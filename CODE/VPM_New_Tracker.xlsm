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8" yWindow="-108" windowWidth="23256" windowHeight="13176"/>
  </bookViews>
  <sheets>
    <sheet name="Tasks" sheetId="1" r:id="rId1"/>
  </sheets>
  <functionGroups builtInGroupCount="17"/>
  <definedNames>
    <definedName name="_xlnm._FilterDatabase" localSheetId="0" hidden="1">Tasks!$A$1:$G$26</definedName>
    <definedName name="OwnerList">Tasks!$M$2:$M$36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9" i="1"/>
  <c r="D14" i="1" l="1"/>
  <c r="D13" i="1"/>
  <c r="D12" i="1"/>
  <c r="D11" i="1"/>
  <c r="D10" i="1"/>
  <c r="D9" i="1"/>
  <c r="D8" i="1"/>
  <c r="D7" i="1"/>
  <c r="D6" i="1"/>
  <c r="D5" i="1"/>
  <c r="D26" i="1"/>
  <c r="D25" i="1"/>
  <c r="D24" i="1"/>
  <c r="D23" i="1"/>
  <c r="D22" i="1"/>
  <c r="D21" i="1"/>
  <c r="D19" i="1"/>
  <c r="D18" i="1"/>
  <c r="D17" i="1" l="1"/>
  <c r="D27" i="1"/>
  <c r="D20" i="1"/>
  <c r="D16" i="1"/>
  <c r="D4" i="1"/>
  <c r="D15" i="1"/>
  <c r="D3" i="1"/>
  <c r="D2" i="1"/>
</calcChain>
</file>

<file path=xl/sharedStrings.xml><?xml version="1.0" encoding="utf-8"?>
<sst xmlns="http://schemas.openxmlformats.org/spreadsheetml/2006/main" count="84" uniqueCount="47">
  <si>
    <t>Task Name</t>
  </si>
  <si>
    <t>Start Date</t>
  </si>
  <si>
    <t>End Date</t>
  </si>
  <si>
    <t>Duration</t>
  </si>
  <si>
    <t>Status</t>
  </si>
  <si>
    <t>Owner</t>
  </si>
  <si>
    <t>Notes</t>
  </si>
  <si>
    <t>ID</t>
  </si>
  <si>
    <t>Level</t>
  </si>
  <si>
    <t>Parent_ID</t>
  </si>
  <si>
    <t>Dates_Locked</t>
  </si>
  <si>
    <t>Owner List</t>
  </si>
  <si>
    <t>In Progress</t>
  </si>
  <si>
    <t>FALSE</t>
  </si>
  <si>
    <t>Brett</t>
  </si>
  <si>
    <t>Not Started</t>
  </si>
  <si>
    <t>John</t>
  </si>
  <si>
    <t>Chris</t>
  </si>
  <si>
    <t>Sunil</t>
  </si>
  <si>
    <t>DG-2.0</t>
  </si>
  <si>
    <t xml:space="preserve">    &gt; One connect release</t>
  </si>
  <si>
    <t xml:space="preserve">  &gt; LAB TESTING</t>
  </si>
  <si>
    <t xml:space="preserve">  &gt; ENG PENDING TASK</t>
  </si>
  <si>
    <t xml:space="preserve">    &gt; UL/NSF testing (All cases)</t>
  </si>
  <si>
    <t xml:space="preserve">    &gt; Structural/ Other testing</t>
  </si>
  <si>
    <t xml:space="preserve">  &gt; TUCUMSEH TASKS</t>
  </si>
  <si>
    <t xml:space="preserve">      &gt; Room 11 - 2Dr</t>
  </si>
  <si>
    <t xml:space="preserve">      &gt; Room 8 - 5Dr</t>
  </si>
  <si>
    <t xml:space="preserve">      &gt; Room 4 - 3Dr</t>
  </si>
  <si>
    <t xml:space="preserve">        &gt; Update 3D model</t>
  </si>
  <si>
    <t xml:space="preserve">        &gt; MS request</t>
  </si>
  <si>
    <t xml:space="preserve">        &gt; Load test request</t>
  </si>
  <si>
    <t xml:space="preserve">      &gt; Load test - 5Dr</t>
  </si>
  <si>
    <t xml:space="preserve">        &gt; Load test</t>
  </si>
  <si>
    <t xml:space="preserve">      &gt; Monitor Copper coated hot gas pan performance</t>
  </si>
  <si>
    <t xml:space="preserve">    &gt; Microblock gasket</t>
  </si>
  <si>
    <t xml:space="preserve">    &gt; Door/frame Fit issues</t>
  </si>
  <si>
    <t xml:space="preserve">      &gt; Dimensional analysis</t>
  </si>
  <si>
    <t xml:space="preserve">      &gt; 3D Scanning</t>
  </si>
  <si>
    <t xml:space="preserve">      &gt; Identify the problem</t>
  </si>
  <si>
    <t xml:space="preserve">      &gt; Update drawings/ TC release</t>
  </si>
  <si>
    <t xml:space="preserve">    &gt; Foam spacer in canopy</t>
  </si>
  <si>
    <t xml:space="preserve">    &gt; Riser kits</t>
  </si>
  <si>
    <t xml:space="preserve">      &gt; TC Implementation</t>
  </si>
  <si>
    <t xml:space="preserve">      &gt; Testing/Validation</t>
  </si>
  <si>
    <t xml:space="preserve">    &gt; Data test validation</t>
  </si>
  <si>
    <t xml:space="preserve">  &gt; ECN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</si>
</sst>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vertical="top" wrapText="1"/>
    </xf>
    <xf numFmtId="164" fontId="2" fillId="0" borderId="0" xfId="0" applyNumberFormat="1" applyFont="1"/>
  </cellXfs>
  <cellStyles count="1">
    <cellStyle name="Normal" xfId="0" builtinId="0"/>
  </cellStyles>
  <dxfs count="4">
    <dxf>
      <fill>
        <patternFill>
          <bgColor rgb="FFF2F2F2"/>
        </patternFill>
      </fill>
    </dxf>
    <dxf>
      <fill>
        <patternFill>
          <bgColor rgb="FFFFD699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M1024"/>
  <sheetViews>
    <sheetView tabSelected="1" workbookViewId="0">
      <pane ySplit="1" topLeftCell="A2" activePane="bottomLeft" state="frozen"/>
      <selection pane="bottomLeft" activeCell="G39" sqref="G39"/>
    </sheetView>
  </sheetViews>
  <sheetFormatPr defaultRowHeight="14.4" outlineLevelRow="4" x14ac:dyDescent="0.3"/>
  <cols>
    <col min="1" max="1" width="45.77734375" customWidth="1"/>
    <col min="2" max="3" width="12" customWidth="1"/>
    <col min="4" max="4" width="10" customWidth="1"/>
    <col min="5" max="6" width="15" customWidth="1"/>
    <col min="7" max="7" width="50" customWidth="1"/>
    <col min="8" max="9" width="8" hidden="1" customWidth="1"/>
    <col min="10" max="10" width="10" hidden="1" customWidth="1"/>
    <col min="11" max="11" width="12" hidden="1" customWidth="1"/>
    <col min="12" max="12" width="10" hidden="1" customWidth="1"/>
    <col min="13" max="13" width="15" hidden="1" customWidth="1"/>
  </cols>
  <sheetData>
    <row r="1" spans="1:13" ht="19.9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/>
      <c r="M1" s="1" t="s">
        <v>11</v>
      </c>
    </row>
    <row r="2" spans="1:13" ht="15" customHeight="1" x14ac:dyDescent="0.3">
      <c r="A2" t="s">
        <v>19</v>
      </c>
      <c r="B2" s="5">
        <v>45979</v>
      </c>
      <c r="C2" s="5">
        <v>46065</v>
      </c>
      <c r="D2" s="3">
        <f t="shared" ref="D2:D20" si="0">C2-B2</f>
        <v>86</v>
      </c>
      <c r="E2" t="s">
        <v>12</v>
      </c>
      <c r="G2" s="4"/>
      <c r="H2">
        <v>1</v>
      </c>
      <c r="I2">
        <v>1</v>
      </c>
      <c r="K2" t="b">
        <v>1</v>
      </c>
      <c r="M2" t="s">
        <v>14</v>
      </c>
    </row>
    <row r="3" spans="1:13" ht="15" customHeight="1" outlineLevel="1" collapsed="1" x14ac:dyDescent="0.3">
      <c r="A3" t="s">
        <v>22</v>
      </c>
      <c r="B3" s="2">
        <v>45979</v>
      </c>
      <c r="C3" s="2">
        <v>46011</v>
      </c>
      <c r="D3" s="3">
        <f t="shared" si="0"/>
        <v>32</v>
      </c>
      <c r="E3" t="s">
        <v>15</v>
      </c>
      <c r="G3" s="4"/>
      <c r="H3">
        <v>2</v>
      </c>
      <c r="I3">
        <v>2</v>
      </c>
      <c r="J3">
        <v>1</v>
      </c>
      <c r="K3" t="s">
        <v>13</v>
      </c>
      <c r="M3" t="s">
        <v>16</v>
      </c>
    </row>
    <row r="4" spans="1:13" ht="15" hidden="1" customHeight="1" outlineLevel="2" x14ac:dyDescent="0.3">
      <c r="A4" t="s">
        <v>20</v>
      </c>
      <c r="B4" s="2">
        <v>45979</v>
      </c>
      <c r="C4" s="2">
        <v>46009</v>
      </c>
      <c r="D4" s="3">
        <f t="shared" si="0"/>
        <v>30</v>
      </c>
      <c r="E4" t="s">
        <v>15</v>
      </c>
      <c r="F4" t="s">
        <v>16</v>
      </c>
      <c r="G4" s="4"/>
      <c r="H4">
        <v>4</v>
      </c>
      <c r="I4">
        <v>3</v>
      </c>
      <c r="J4">
        <v>2</v>
      </c>
      <c r="K4" t="b">
        <v>0</v>
      </c>
      <c r="M4" t="s">
        <v>17</v>
      </c>
    </row>
    <row r="5" spans="1:13" ht="15" hidden="1" customHeight="1" outlineLevel="2" x14ac:dyDescent="0.3">
      <c r="A5" t="s">
        <v>35</v>
      </c>
      <c r="B5" s="2">
        <v>46009</v>
      </c>
      <c r="C5" s="2">
        <v>46011</v>
      </c>
      <c r="D5" s="3">
        <f t="shared" ref="D5:D14" si="1">C5-B5</f>
        <v>2</v>
      </c>
      <c r="E5" t="s">
        <v>15</v>
      </c>
      <c r="G5" s="4"/>
      <c r="H5">
        <v>19</v>
      </c>
      <c r="I5">
        <v>3</v>
      </c>
      <c r="J5">
        <v>2</v>
      </c>
      <c r="K5" t="b">
        <v>0</v>
      </c>
      <c r="M5" t="s">
        <v>18</v>
      </c>
    </row>
    <row r="6" spans="1:13" ht="15" hidden="1" customHeight="1" outlineLevel="2" x14ac:dyDescent="0.3">
      <c r="A6" t="s">
        <v>36</v>
      </c>
      <c r="B6" s="2">
        <v>45979</v>
      </c>
      <c r="C6" s="2">
        <v>45991</v>
      </c>
      <c r="D6" s="3">
        <f t="shared" si="1"/>
        <v>12</v>
      </c>
      <c r="E6" t="s">
        <v>15</v>
      </c>
      <c r="G6" s="4"/>
      <c r="H6">
        <v>20</v>
      </c>
      <c r="I6">
        <v>3</v>
      </c>
      <c r="J6">
        <v>2</v>
      </c>
      <c r="K6" t="b">
        <v>0</v>
      </c>
    </row>
    <row r="7" spans="1:13" ht="15" hidden="1" customHeight="1" outlineLevel="3" x14ac:dyDescent="0.3">
      <c r="A7" t="s">
        <v>37</v>
      </c>
      <c r="B7" s="2">
        <v>45979</v>
      </c>
      <c r="C7" s="2">
        <v>45985</v>
      </c>
      <c r="D7" s="3">
        <f t="shared" si="1"/>
        <v>6</v>
      </c>
      <c r="E7" t="s">
        <v>15</v>
      </c>
      <c r="G7" s="4"/>
      <c r="H7">
        <v>21</v>
      </c>
      <c r="I7">
        <v>4</v>
      </c>
      <c r="J7">
        <v>20</v>
      </c>
      <c r="K7" t="b">
        <v>0</v>
      </c>
    </row>
    <row r="8" spans="1:13" ht="15" hidden="1" customHeight="1" outlineLevel="3" x14ac:dyDescent="0.3">
      <c r="A8" t="s">
        <v>38</v>
      </c>
      <c r="B8" s="2">
        <v>45982</v>
      </c>
      <c r="C8" s="2">
        <v>45986</v>
      </c>
      <c r="D8" s="3">
        <f t="shared" si="1"/>
        <v>4</v>
      </c>
      <c r="E8" t="s">
        <v>15</v>
      </c>
      <c r="G8" s="4"/>
      <c r="H8">
        <v>22</v>
      </c>
      <c r="I8">
        <v>4</v>
      </c>
      <c r="J8">
        <v>20</v>
      </c>
      <c r="K8" t="b">
        <v>0</v>
      </c>
    </row>
    <row r="9" spans="1:13" ht="15" hidden="1" customHeight="1" outlineLevel="3" x14ac:dyDescent="0.3">
      <c r="A9" t="s">
        <v>39</v>
      </c>
      <c r="B9" s="2">
        <v>45986</v>
      </c>
      <c r="C9" s="2">
        <v>45989</v>
      </c>
      <c r="D9" s="3">
        <f t="shared" si="1"/>
        <v>3</v>
      </c>
      <c r="E9" t="s">
        <v>15</v>
      </c>
      <c r="G9" s="4"/>
      <c r="H9">
        <v>23</v>
      </c>
      <c r="I9">
        <v>4</v>
      </c>
      <c r="J9">
        <v>20</v>
      </c>
      <c r="K9" t="b">
        <v>0</v>
      </c>
    </row>
    <row r="10" spans="1:13" ht="15" hidden="1" customHeight="1" outlineLevel="3" x14ac:dyDescent="0.3">
      <c r="A10" t="s">
        <v>40</v>
      </c>
      <c r="B10" s="2">
        <v>45989</v>
      </c>
      <c r="C10" s="2">
        <v>45991</v>
      </c>
      <c r="D10" s="3">
        <f t="shared" si="1"/>
        <v>2</v>
      </c>
      <c r="E10" t="s">
        <v>15</v>
      </c>
      <c r="G10" s="4"/>
      <c r="H10">
        <v>24</v>
      </c>
      <c r="I10">
        <v>4</v>
      </c>
      <c r="J10">
        <v>20</v>
      </c>
      <c r="K10" t="b">
        <v>0</v>
      </c>
    </row>
    <row r="11" spans="1:13" ht="15" hidden="1" customHeight="1" outlineLevel="2" x14ac:dyDescent="0.3">
      <c r="A11" t="s">
        <v>41</v>
      </c>
      <c r="B11" s="2">
        <v>45979</v>
      </c>
      <c r="C11" s="2">
        <v>46009</v>
      </c>
      <c r="D11" s="3">
        <f t="shared" si="1"/>
        <v>30</v>
      </c>
      <c r="E11" t="s">
        <v>15</v>
      </c>
      <c r="G11" s="4"/>
      <c r="H11">
        <v>25</v>
      </c>
      <c r="I11">
        <v>3</v>
      </c>
      <c r="J11">
        <v>2</v>
      </c>
      <c r="K11" t="b">
        <v>0</v>
      </c>
    </row>
    <row r="12" spans="1:13" ht="15" hidden="1" customHeight="1" outlineLevel="2" x14ac:dyDescent="0.3">
      <c r="A12" t="s">
        <v>42</v>
      </c>
      <c r="B12" s="2">
        <v>45979</v>
      </c>
      <c r="C12" s="2">
        <v>46009</v>
      </c>
      <c r="D12" s="3">
        <f t="shared" si="1"/>
        <v>30</v>
      </c>
      <c r="E12" t="s">
        <v>15</v>
      </c>
      <c r="G12" s="4"/>
      <c r="H12">
        <v>26</v>
      </c>
      <c r="I12">
        <v>3</v>
      </c>
      <c r="J12">
        <v>2</v>
      </c>
      <c r="K12" t="b">
        <v>0</v>
      </c>
    </row>
    <row r="13" spans="1:13" ht="15" hidden="1" customHeight="1" outlineLevel="3" x14ac:dyDescent="0.3">
      <c r="A13" t="s">
        <v>44</v>
      </c>
      <c r="B13" s="2">
        <v>45979</v>
      </c>
      <c r="C13" s="2">
        <v>46009</v>
      </c>
      <c r="D13" s="3">
        <f t="shared" si="1"/>
        <v>30</v>
      </c>
      <c r="E13" t="s">
        <v>15</v>
      </c>
      <c r="G13" s="4"/>
      <c r="H13">
        <v>27</v>
      </c>
      <c r="I13">
        <v>4</v>
      </c>
      <c r="J13">
        <v>26</v>
      </c>
      <c r="K13" t="b">
        <v>0</v>
      </c>
    </row>
    <row r="14" spans="1:13" ht="15" hidden="1" customHeight="1" outlineLevel="3" x14ac:dyDescent="0.3">
      <c r="A14" t="s">
        <v>43</v>
      </c>
      <c r="B14" s="2">
        <v>45979</v>
      </c>
      <c r="C14" s="2">
        <v>46009</v>
      </c>
      <c r="D14" s="3">
        <f t="shared" si="1"/>
        <v>30</v>
      </c>
      <c r="E14" t="s">
        <v>15</v>
      </c>
      <c r="G14" s="4"/>
      <c r="H14">
        <v>28</v>
      </c>
      <c r="I14">
        <v>4</v>
      </c>
      <c r="J14">
        <v>26</v>
      </c>
      <c r="K14" t="b">
        <v>0</v>
      </c>
    </row>
    <row r="15" spans="1:13" ht="15" customHeight="1" outlineLevel="1" collapsed="1" x14ac:dyDescent="0.3">
      <c r="A15" t="s">
        <v>21</v>
      </c>
      <c r="B15" s="2">
        <v>45979</v>
      </c>
      <c r="C15" s="2">
        <v>46009</v>
      </c>
      <c r="D15" s="3">
        <f t="shared" si="0"/>
        <v>30</v>
      </c>
      <c r="E15" t="s">
        <v>15</v>
      </c>
      <c r="G15" s="4"/>
      <c r="H15">
        <v>3</v>
      </c>
      <c r="I15">
        <v>2</v>
      </c>
      <c r="J15">
        <v>1</v>
      </c>
      <c r="K15" t="s">
        <v>13</v>
      </c>
    </row>
    <row r="16" spans="1:13" ht="15" hidden="1" customHeight="1" outlineLevel="2" x14ac:dyDescent="0.3">
      <c r="A16" t="s">
        <v>23</v>
      </c>
      <c r="B16" s="2">
        <v>45979</v>
      </c>
      <c r="C16" s="2">
        <v>46009</v>
      </c>
      <c r="D16" s="3">
        <f t="shared" si="0"/>
        <v>30</v>
      </c>
      <c r="E16" t="s">
        <v>15</v>
      </c>
      <c r="G16" s="4"/>
      <c r="H16">
        <v>6</v>
      </c>
      <c r="I16">
        <v>3</v>
      </c>
      <c r="J16">
        <v>3</v>
      </c>
      <c r="K16" t="b">
        <v>0</v>
      </c>
    </row>
    <row r="17" spans="1:11" ht="15" hidden="1" customHeight="1" outlineLevel="3" x14ac:dyDescent="0.3">
      <c r="A17" t="s">
        <v>28</v>
      </c>
      <c r="B17" s="2">
        <v>45979</v>
      </c>
      <c r="C17" s="2">
        <v>46009</v>
      </c>
      <c r="D17" s="3">
        <f>C17-B17</f>
        <v>30</v>
      </c>
      <c r="E17" t="s">
        <v>15</v>
      </c>
      <c r="F17" t="s">
        <v>17</v>
      </c>
      <c r="G17" s="4"/>
      <c r="H17">
        <v>9</v>
      </c>
      <c r="I17">
        <v>4</v>
      </c>
      <c r="J17">
        <v>6</v>
      </c>
      <c r="K17" t="b">
        <v>0</v>
      </c>
    </row>
    <row r="18" spans="1:11" ht="15" hidden="1" customHeight="1" outlineLevel="3" x14ac:dyDescent="0.3">
      <c r="A18" t="s">
        <v>27</v>
      </c>
      <c r="B18" s="2">
        <v>45979</v>
      </c>
      <c r="C18" s="2">
        <v>46009</v>
      </c>
      <c r="D18" s="3">
        <f>C18-B18</f>
        <v>30</v>
      </c>
      <c r="E18" t="s">
        <v>15</v>
      </c>
      <c r="F18" t="s">
        <v>17</v>
      </c>
      <c r="G18" s="4"/>
      <c r="H18">
        <v>10</v>
      </c>
      <c r="I18">
        <v>4</v>
      </c>
      <c r="J18">
        <v>6</v>
      </c>
      <c r="K18" t="b">
        <v>0</v>
      </c>
    </row>
    <row r="19" spans="1:11" ht="15" hidden="1" customHeight="1" outlineLevel="3" x14ac:dyDescent="0.3">
      <c r="A19" t="s">
        <v>26</v>
      </c>
      <c r="B19" s="2">
        <v>45979</v>
      </c>
      <c r="C19" s="2">
        <v>46009</v>
      </c>
      <c r="D19" s="3">
        <f>C19-B19</f>
        <v>30</v>
      </c>
      <c r="E19" t="s">
        <v>15</v>
      </c>
      <c r="F19" t="s">
        <v>17</v>
      </c>
      <c r="G19" s="4"/>
      <c r="H19">
        <v>11</v>
      </c>
      <c r="I19">
        <v>4</v>
      </c>
      <c r="J19">
        <v>6</v>
      </c>
      <c r="K19" t="b">
        <v>0</v>
      </c>
    </row>
    <row r="20" spans="1:11" ht="15" hidden="1" customHeight="1" outlineLevel="2" x14ac:dyDescent="0.3">
      <c r="A20" t="s">
        <v>24</v>
      </c>
      <c r="B20" s="2">
        <v>45979</v>
      </c>
      <c r="C20" s="2">
        <v>46009</v>
      </c>
      <c r="D20" s="3">
        <f t="shared" si="0"/>
        <v>30</v>
      </c>
      <c r="E20" t="s">
        <v>15</v>
      </c>
      <c r="F20" t="s">
        <v>16</v>
      </c>
      <c r="G20" s="4"/>
      <c r="H20">
        <v>7</v>
      </c>
      <c r="I20">
        <v>3</v>
      </c>
      <c r="J20">
        <v>3</v>
      </c>
      <c r="K20" t="b">
        <v>0</v>
      </c>
    </row>
    <row r="21" spans="1:11" ht="15" hidden="1" customHeight="1" outlineLevel="3" collapsed="1" x14ac:dyDescent="0.3">
      <c r="A21" t="s">
        <v>32</v>
      </c>
      <c r="B21" s="2">
        <v>45979</v>
      </c>
      <c r="C21" s="2">
        <v>46009</v>
      </c>
      <c r="D21" s="3">
        <f t="shared" ref="D21:D26" si="2">C21-B21</f>
        <v>30</v>
      </c>
      <c r="E21" t="s">
        <v>15</v>
      </c>
      <c r="G21" s="4"/>
      <c r="H21">
        <v>12</v>
      </c>
      <c r="I21">
        <v>4</v>
      </c>
      <c r="J21">
        <v>7</v>
      </c>
      <c r="K21" t="b">
        <v>0</v>
      </c>
    </row>
    <row r="22" spans="1:11" ht="15" hidden="1" customHeight="1" outlineLevel="4" x14ac:dyDescent="0.3">
      <c r="A22" t="s">
        <v>29</v>
      </c>
      <c r="B22" s="2">
        <v>45979</v>
      </c>
      <c r="C22" s="2">
        <v>46009</v>
      </c>
      <c r="D22" s="3">
        <f t="shared" si="2"/>
        <v>30</v>
      </c>
      <c r="E22" t="s">
        <v>15</v>
      </c>
      <c r="F22" t="s">
        <v>17</v>
      </c>
      <c r="G22" s="4"/>
      <c r="H22">
        <v>13</v>
      </c>
      <c r="I22">
        <v>5</v>
      </c>
      <c r="J22">
        <v>12</v>
      </c>
      <c r="K22" t="b">
        <v>0</v>
      </c>
    </row>
    <row r="23" spans="1:11" ht="15" hidden="1" customHeight="1" outlineLevel="4" x14ac:dyDescent="0.3">
      <c r="A23" t="s">
        <v>30</v>
      </c>
      <c r="B23" s="2">
        <v>45979</v>
      </c>
      <c r="C23" s="2">
        <v>46009</v>
      </c>
      <c r="D23" s="3">
        <f t="shared" si="2"/>
        <v>30</v>
      </c>
      <c r="E23" t="s">
        <v>15</v>
      </c>
      <c r="F23" t="s">
        <v>17</v>
      </c>
      <c r="G23" s="4"/>
      <c r="H23">
        <v>14</v>
      </c>
      <c r="I23">
        <v>5</v>
      </c>
      <c r="J23">
        <v>12</v>
      </c>
      <c r="K23" t="b">
        <v>0</v>
      </c>
    </row>
    <row r="24" spans="1:11" ht="15" hidden="1" customHeight="1" outlineLevel="4" x14ac:dyDescent="0.3">
      <c r="A24" t="s">
        <v>31</v>
      </c>
      <c r="B24" s="2">
        <v>45979</v>
      </c>
      <c r="C24" s="2">
        <v>46009</v>
      </c>
      <c r="D24" s="3">
        <f t="shared" si="2"/>
        <v>30</v>
      </c>
      <c r="E24" t="s">
        <v>15</v>
      </c>
      <c r="F24" t="s">
        <v>17</v>
      </c>
      <c r="G24" s="4"/>
      <c r="H24">
        <v>15</v>
      </c>
      <c r="I24">
        <v>5</v>
      </c>
      <c r="J24">
        <v>12</v>
      </c>
      <c r="K24" t="b">
        <v>0</v>
      </c>
    </row>
    <row r="25" spans="1:11" ht="15" hidden="1" customHeight="1" outlineLevel="4" x14ac:dyDescent="0.3">
      <c r="A25" t="s">
        <v>33</v>
      </c>
      <c r="B25" s="2">
        <v>45979</v>
      </c>
      <c r="C25" s="2">
        <v>46009</v>
      </c>
      <c r="D25" s="3">
        <f t="shared" si="2"/>
        <v>30</v>
      </c>
      <c r="E25" t="s">
        <v>15</v>
      </c>
      <c r="F25" t="s">
        <v>17</v>
      </c>
      <c r="G25" s="4"/>
      <c r="H25">
        <v>16</v>
      </c>
      <c r="I25">
        <v>5</v>
      </c>
      <c r="J25">
        <v>12</v>
      </c>
      <c r="K25" t="b">
        <v>0</v>
      </c>
    </row>
    <row r="26" spans="1:11" ht="15" hidden="1" customHeight="1" outlineLevel="3" x14ac:dyDescent="0.3">
      <c r="A26" t="s">
        <v>34</v>
      </c>
      <c r="B26" s="2">
        <v>45979</v>
      </c>
      <c r="C26" s="2">
        <v>46009</v>
      </c>
      <c r="D26" s="3">
        <f t="shared" si="2"/>
        <v>30</v>
      </c>
      <c r="E26" t="s">
        <v>15</v>
      </c>
      <c r="G26" s="4"/>
      <c r="H26">
        <v>17</v>
      </c>
      <c r="I26">
        <v>4</v>
      </c>
      <c r="J26">
        <v>7</v>
      </c>
      <c r="K26" t="b">
        <v>0</v>
      </c>
    </row>
    <row r="27" spans="1:11" ht="15" customHeight="1" outlineLevel="1" collapsed="1" x14ac:dyDescent="0.3">
      <c r="A27" t="s">
        <v>25</v>
      </c>
      <c r="B27" s="2">
        <v>45979</v>
      </c>
      <c r="C27" s="2">
        <v>46065</v>
      </c>
      <c r="D27" s="3">
        <f>C27-B27</f>
        <v>86</v>
      </c>
      <c r="E27" t="s">
        <v>15</v>
      </c>
      <c r="G27" s="4"/>
      <c r="H27">
        <v>8</v>
      </c>
      <c r="I27">
        <v>2</v>
      </c>
      <c r="J27">
        <v>1</v>
      </c>
      <c r="K27" t="b">
        <v>0</v>
      </c>
    </row>
    <row r="28" spans="1:11" ht="15" customHeight="1" outlineLevel="1" collapsed="1" x14ac:dyDescent="0.3">
      <c r="A28" t="s">
        <v>46</v>
      </c>
      <c r="B28" s="2">
        <v>45979</v>
      </c>
      <c r="C28" s="2">
        <v>46065</v>
      </c>
      <c r="D28" s="3">
        <f>C28-B28</f>
        <v>86</v>
      </c>
      <c r="E28" t="s">
        <v>15</v>
      </c>
      <c r="G28" s="4"/>
      <c r="H28">
        <v>29</v>
      </c>
      <c r="I28">
        <v>2</v>
      </c>
      <c r="J28">
        <v>1</v>
      </c>
      <c r="K28" t="b">
        <v>0</v>
      </c>
    </row>
    <row r="29" spans="1:11" ht="15" hidden="1" customHeight="1" outlineLevel="2" x14ac:dyDescent="0.3">
      <c r="A29" t="s">
        <v>45</v>
      </c>
      <c r="B29" s="2">
        <v>45979</v>
      </c>
      <c r="C29" s="2">
        <v>46065</v>
      </c>
      <c r="D29" s="3">
        <f>C29-B29</f>
        <v>86</v>
      </c>
      <c r="E29" t="s">
        <v>15</v>
      </c>
      <c r="F29" t="s">
        <v>17</v>
      </c>
      <c r="G29" s="4"/>
      <c r="H29">
        <v>29</v>
      </c>
      <c r="I29">
        <v>3</v>
      </c>
      <c r="J29">
        <v>8</v>
      </c>
      <c r="K29" t="b">
        <v>0</v>
      </c>
    </row>
    <row r="30" spans="1:11" ht="15" customHeight="1" x14ac:dyDescent="0.3"/>
    <row r="31" spans="1:11" ht="15" customHeight="1" x14ac:dyDescent="0.3"/>
    <row r="32" spans="1:1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  <row r="998" ht="15" customHeight="1" x14ac:dyDescent="0.3"/>
    <row r="999" ht="15" customHeight="1" x14ac:dyDescent="0.3"/>
    <row r="1000" ht="15" customHeight="1" x14ac:dyDescent="0.3"/>
    <row r="1001" ht="15" customHeight="1" x14ac:dyDescent="0.3"/>
    <row r="1002" ht="15" customHeight="1" x14ac:dyDescent="0.3"/>
    <row r="1003" ht="15" customHeight="1" x14ac:dyDescent="0.3"/>
    <row r="1004" ht="15" customHeight="1" x14ac:dyDescent="0.3"/>
    <row r="1005" ht="15" customHeight="1" x14ac:dyDescent="0.3"/>
    <row r="1006" ht="15" customHeight="1" x14ac:dyDescent="0.3"/>
    <row r="1007" ht="15" customHeight="1" x14ac:dyDescent="0.3"/>
    <row r="1008" ht="15" customHeight="1" x14ac:dyDescent="0.3"/>
    <row r="1009" ht="15" customHeight="1" x14ac:dyDescent="0.3"/>
    <row r="1010" ht="15" customHeight="1" x14ac:dyDescent="0.3"/>
    <row r="1011" ht="15" customHeight="1" x14ac:dyDescent="0.3"/>
    <row r="1012" ht="15" customHeight="1" x14ac:dyDescent="0.3"/>
    <row r="1013" ht="15" customHeight="1" x14ac:dyDescent="0.3"/>
    <row r="1014" ht="15" customHeight="1" x14ac:dyDescent="0.3"/>
    <row r="1015" ht="15" customHeight="1" x14ac:dyDescent="0.3"/>
    <row r="1016" ht="15" customHeight="1" x14ac:dyDescent="0.3"/>
    <row r="1017" ht="15" customHeight="1" x14ac:dyDescent="0.3"/>
    <row r="1018" ht="15" customHeight="1" x14ac:dyDescent="0.3"/>
    <row r="1019" ht="15" customHeight="1" x14ac:dyDescent="0.3"/>
    <row r="1020" ht="15" customHeight="1" x14ac:dyDescent="0.3"/>
    <row r="1021" ht="15" customHeight="1" x14ac:dyDescent="0.3"/>
    <row r="1022" ht="15" customHeight="1" x14ac:dyDescent="0.3"/>
    <row r="1023" ht="15" customHeight="1" x14ac:dyDescent="0.3"/>
    <row r="1024" ht="15" customHeight="1" x14ac:dyDescent="0.3"/>
  </sheetData>
  <autoFilter ref="A1:G26"/>
  <conditionalFormatting sqref="A2:G1002">
    <cfRule type="expression" dxfId="3" priority="1" stopIfTrue="1">
      <formula>AND($C2&lt;TODAY(),$E2&lt;&gt;"Completed")</formula>
    </cfRule>
    <cfRule type="expression" dxfId="2" priority="2" stopIfTrue="1">
      <formula>$E2="Completed"</formula>
    </cfRule>
    <cfRule type="expression" dxfId="1" priority="3" stopIfTrue="1">
      <formula>COUNTIF($J:$J,$H2)=0</formula>
    </cfRule>
    <cfRule type="expression" dxfId="0" priority="4" stopIfTrue="1">
      <formula>COUNTIF($J:$J,$H2)&gt;0</formula>
    </cfRule>
  </conditionalFormatting>
  <dataValidations count="2">
    <dataValidation type="list" errorTitle="Invalid Entry" error="Invalid status" promptTitle="Status" prompt="Select a status" sqref="E2:E1025">
      <formula1>"Not Started,In Progress,Completed,Delayed"</formula1>
    </dataValidation>
    <dataValidation type="list" allowBlank="1" errorTitle="Invalid Owner" error="Please select from the owner list" promptTitle="Owner" prompt="Select an owner (or right-click to edit list)" sqref="F2:F1025">
      <formula1>OwnerList</formula1>
    </dataValidation>
  </dataValidation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OwnerList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Archana silamkoti</cp:lastModifiedBy>
  <dcterms:created xsi:type="dcterms:W3CDTF">2025-11-19T02:42:57Z</dcterms:created>
  <dcterms:modified xsi:type="dcterms:W3CDTF">2025-11-19T06:42:11Z</dcterms:modified>
</cp:coreProperties>
</file>