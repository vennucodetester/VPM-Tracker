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hussmann-my.sharepoint.com/personal/coraline_fink_hussmann_com/Documents/Microsoft Teams Chat Files/"/>
    </mc:Choice>
  </mc:AlternateContent>
  <xr:revisionPtr revIDLastSave="1" documentId="13_ncr:1_{26B04B62-8D86-4A90-B121-AC84F7E543BF}" xr6:coauthVersionLast="47" xr6:coauthVersionMax="47" xr10:uidLastSave="{31B4D99C-C09E-422B-9E9B-D123F06EEBB9}"/>
  <bookViews>
    <workbookView xWindow="28680" yWindow="-240" windowWidth="29040" windowHeight="15720" xr2:uid="{00000000-000D-0000-FFFF-FFFF00000000}"/>
  </bookViews>
  <sheets>
    <sheet name="Detail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L45" i="1"/>
  <c r="L46" i="1"/>
  <c r="L43" i="1"/>
  <c r="F44" i="1"/>
  <c r="F45" i="1"/>
  <c r="F46" i="1"/>
  <c r="F43" i="1"/>
  <c r="I62" i="1" l="1"/>
  <c r="K86" i="1" s="1"/>
  <c r="K66" i="1"/>
  <c r="K67" i="1"/>
  <c r="K68" i="1"/>
  <c r="K69" i="1"/>
  <c r="L69" i="1" s="1"/>
  <c r="K70" i="1"/>
  <c r="L70" i="1" s="1"/>
  <c r="K71" i="1"/>
  <c r="K72" i="1"/>
  <c r="K73" i="1"/>
  <c r="K74" i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7" i="1"/>
  <c r="K65" i="1"/>
  <c r="L87" i="1"/>
  <c r="J86" i="1"/>
  <c r="J74" i="1"/>
  <c r="L73" i="1"/>
  <c r="L72" i="1"/>
  <c r="L71" i="1"/>
  <c r="L68" i="1"/>
  <c r="L67" i="1"/>
  <c r="L66" i="1"/>
  <c r="L65" i="1"/>
  <c r="L56" i="1"/>
  <c r="L58" i="1" s="1"/>
  <c r="L41" i="1"/>
  <c r="L40" i="1"/>
  <c r="F49" i="1"/>
  <c r="F50" i="1"/>
  <c r="F51" i="1"/>
  <c r="F52" i="1"/>
  <c r="F53" i="1"/>
  <c r="F54" i="1"/>
  <c r="F55" i="1"/>
  <c r="F48" i="1"/>
  <c r="E73" i="1"/>
  <c r="F73" i="1" s="1"/>
  <c r="E66" i="1"/>
  <c r="F66" i="1" s="1"/>
  <c r="D86" i="1"/>
  <c r="D74" i="1"/>
  <c r="E74" i="1" s="1"/>
  <c r="F74" i="1" s="1"/>
  <c r="L74" i="1" l="1"/>
  <c r="L86" i="1"/>
  <c r="L89" i="1"/>
  <c r="L91" i="1" s="1"/>
  <c r="E77" i="1"/>
  <c r="F77" i="1" s="1"/>
  <c r="E76" i="1"/>
  <c r="F76" i="1" s="1"/>
  <c r="E72" i="1"/>
  <c r="F72" i="1" s="1"/>
  <c r="E69" i="1"/>
  <c r="F69" i="1" s="1"/>
  <c r="E71" i="1"/>
  <c r="F71" i="1" s="1"/>
  <c r="E70" i="1"/>
  <c r="F70" i="1" s="1"/>
  <c r="E86" i="1"/>
  <c r="F86" i="1" s="1"/>
  <c r="E81" i="1"/>
  <c r="F81" i="1" s="1"/>
  <c r="E84" i="1"/>
  <c r="F84" i="1" s="1"/>
  <c r="E80" i="1"/>
  <c r="F80" i="1" s="1"/>
  <c r="E82" i="1"/>
  <c r="F82" i="1" s="1"/>
  <c r="E79" i="1"/>
  <c r="F79" i="1" s="1"/>
  <c r="E83" i="1"/>
  <c r="F83" i="1" s="1"/>
  <c r="E78" i="1"/>
  <c r="F78" i="1" s="1"/>
  <c r="E85" i="1"/>
  <c r="F85" i="1" s="1"/>
  <c r="E68" i="1"/>
  <c r="F68" i="1" s="1"/>
  <c r="E65" i="1"/>
  <c r="F65" i="1" s="1"/>
  <c r="E67" i="1"/>
  <c r="F67" i="1" s="1"/>
  <c r="E87" i="1"/>
  <c r="F87" i="1" s="1"/>
  <c r="F89" i="1" l="1"/>
  <c r="F41" i="1" l="1"/>
  <c r="F40" i="1"/>
  <c r="F56" i="1" s="1"/>
  <c r="F58" i="1" s="1"/>
  <c r="F91" i="1" s="1"/>
  <c r="F23" i="1"/>
  <c r="F35" i="1"/>
  <c r="F34" i="1"/>
  <c r="F33" i="1"/>
  <c r="F32" i="1"/>
  <c r="F31" i="1"/>
  <c r="F30" i="1"/>
  <c r="F29" i="1"/>
  <c r="F28" i="1"/>
  <c r="F27" i="1"/>
  <c r="F26" i="1"/>
  <c r="F36" i="1" s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4" i="1" l="1"/>
</calcChain>
</file>

<file path=xl/sharedStrings.xml><?xml version="1.0" encoding="utf-8"?>
<sst xmlns="http://schemas.openxmlformats.org/spreadsheetml/2006/main" count="157" uniqueCount="114">
  <si>
    <t>Hussmann Part Number</t>
  </si>
  <si>
    <t>Description</t>
  </si>
  <si>
    <t>Total per Unit</t>
  </si>
  <si>
    <t>COIL ASSY-EVAP 40P 2C .375 CAS</t>
  </si>
  <si>
    <t>Low Temp Compressor (AL-1045-E)</t>
  </si>
  <si>
    <t>HEATER-TUBE DRAIN 120V 9W</t>
  </si>
  <si>
    <t>HEATER-PAN TOP 120V 80W</t>
  </si>
  <si>
    <t>DISTRIBUTOR ASSY-0.33 TON KG 2 CKT LH</t>
  </si>
  <si>
    <t>VALVE-EXPANSION R448A NXE-A10-VW</t>
  </si>
  <si>
    <t>VALVE-SOL 0.250 OD NO FDF2AK08</t>
  </si>
  <si>
    <t>HEAT EXCHANGER-MICROCHANNEL</t>
  </si>
  <si>
    <t>FILTER DRIER R-290 0.25 ODF</t>
  </si>
  <si>
    <t>COIL-SOLENOID 120V AC 4.5-5W</t>
  </si>
  <si>
    <t>VALVE-SOLENOID 0.25 OD NC</t>
  </si>
  <si>
    <t>Evap/Condenser FAN</t>
  </si>
  <si>
    <t>CAREL CONTROLLER IJFPSA4B04S0725</t>
  </si>
  <si>
    <t>SENSOR-CAREL TEMP NTC</t>
  </si>
  <si>
    <t>HIGH PRES SWITCH, R-290 1/4" SWEAT TUBE</t>
  </si>
  <si>
    <t>VALVE-CHECK .250 ODF PISTON</t>
  </si>
  <si>
    <t>FRP panel</t>
  </si>
  <si>
    <t>0392277</t>
  </si>
  <si>
    <t>COUPLING-RDCR 0.375X0.250 CXC</t>
  </si>
  <si>
    <t>Case to cassette gasket</t>
  </si>
  <si>
    <t>70355K36</t>
  </si>
  <si>
    <t>Main Power Cord</t>
  </si>
  <si>
    <t>0378406</t>
  </si>
  <si>
    <t>COUPLING-RDCR 0.500X0.375 CXC</t>
  </si>
  <si>
    <t>0327376</t>
  </si>
  <si>
    <t>BUSHING-FLUSH 0.375 X 0.250 FTG X C</t>
  </si>
  <si>
    <t>0021168</t>
  </si>
  <si>
    <t>TEE-0.250 CxCxC</t>
  </si>
  <si>
    <t>0534133</t>
  </si>
  <si>
    <t>BUSHING-.875 FLEXIBLE ID SPLIT</t>
  </si>
  <si>
    <t>3087293</t>
  </si>
  <si>
    <t>TUBE-.375X.028WX1.75</t>
  </si>
  <si>
    <t>3057746</t>
  </si>
  <si>
    <t>ELBOW-90 SR .25 FTGxC</t>
  </si>
  <si>
    <t>0700977</t>
  </si>
  <si>
    <t>ELBOW-90 LR 0.250 CXC</t>
  </si>
  <si>
    <t>3108823</t>
  </si>
  <si>
    <t>CLAMP-0.250 LOOP CUSHIONED</t>
  </si>
  <si>
    <t>0374802</t>
  </si>
  <si>
    <t>COUPLING-RDCR 0.375X0.312 CXC</t>
  </si>
  <si>
    <t>0378122</t>
  </si>
  <si>
    <t>TEE-RDCR 0.375 X 0.375 X 0.250 CxCxC</t>
  </si>
  <si>
    <t>All Foam (bottom, evap walls)</t>
  </si>
  <si>
    <t>Wire (meter)</t>
  </si>
  <si>
    <t>Terminals</t>
  </si>
  <si>
    <t>Raw Material</t>
  </si>
  <si>
    <t>Sheet metal (kg)</t>
  </si>
  <si>
    <t xml:space="preserve">.019 galv </t>
  </si>
  <si>
    <t>.019 stainless</t>
  </si>
  <si>
    <t>.023 galv</t>
  </si>
  <si>
    <t>.035 galv</t>
  </si>
  <si>
    <t>.047 galv</t>
  </si>
  <si>
    <t>.035 stainless</t>
  </si>
  <si>
    <t>.029 galv</t>
  </si>
  <si>
    <t>.023 stainless</t>
  </si>
  <si>
    <t>Copper</t>
  </si>
  <si>
    <t>Raw material cost + multiplier for labor, direct, indirect cost</t>
  </si>
  <si>
    <t>3/8 tube</t>
  </si>
  <si>
    <t>1/4 tube</t>
  </si>
  <si>
    <t>5/16 tube</t>
  </si>
  <si>
    <t>1/4 NI-CU tube</t>
  </si>
  <si>
    <t>Purchase Parts</t>
  </si>
  <si>
    <t>Wiring Parts</t>
  </si>
  <si>
    <t>Tubing Parts</t>
  </si>
  <si>
    <t>Labor</t>
  </si>
  <si>
    <t>Operation</t>
  </si>
  <si>
    <t>Time (min)</t>
  </si>
  <si>
    <t>Subassemblies</t>
  </si>
  <si>
    <t>Heater Pan</t>
  </si>
  <si>
    <t>Evap Fan Shroud</t>
  </si>
  <si>
    <t>Evap Fans</t>
  </si>
  <si>
    <t>Gasket</t>
  </si>
  <si>
    <t>Evap Coil Shroud</t>
  </si>
  <si>
    <t>Controller</t>
  </si>
  <si>
    <t>Enclosure</t>
  </si>
  <si>
    <t>Base</t>
  </si>
  <si>
    <t>Condenser</t>
  </si>
  <si>
    <t>Piping</t>
  </si>
  <si>
    <t>Main Line</t>
  </si>
  <si>
    <t>Gasket and inserts on base and palette</t>
  </si>
  <si>
    <t>Attach components to base</t>
  </si>
  <si>
    <t>Braze</t>
  </si>
  <si>
    <t>Attach control box and run wire</t>
  </si>
  <si>
    <t>Insulate piping</t>
  </si>
  <si>
    <t>Hi pot test</t>
  </si>
  <si>
    <t>Wrap wire and pull vacuum</t>
  </si>
  <si>
    <t>Charge and snip</t>
  </si>
  <si>
    <t>Accessories</t>
  </si>
  <si>
    <t>End of line test</t>
  </si>
  <si>
    <t>Enclosure and labels (2 people)</t>
  </si>
  <si>
    <t>Packaging</t>
  </si>
  <si>
    <t>Rate ($/hr MS)</t>
  </si>
  <si>
    <t>Total Labor</t>
  </si>
  <si>
    <t>Total</t>
  </si>
  <si>
    <t>Category</t>
  </si>
  <si>
    <t>Subtotal</t>
  </si>
  <si>
    <t>Monterrey Pricing</t>
  </si>
  <si>
    <t>Tecumseh Pricing</t>
  </si>
  <si>
    <t>Rate ($/hr MTY)</t>
  </si>
  <si>
    <t>Cost</t>
  </si>
  <si>
    <t>Qty</t>
  </si>
  <si>
    <t>Sheet metal</t>
  </si>
  <si>
    <t>Purchase part cost assumed common between MTY and Tecumseh</t>
  </si>
  <si>
    <t>Estimated wiring lengths</t>
  </si>
  <si>
    <t>Based on quote from Glassfiber</t>
  </si>
  <si>
    <t>Prices found from equivalent Hussmann parts</t>
  </si>
  <si>
    <t>Operations timed at Tecumseh</t>
  </si>
  <si>
    <t>Estimate (x1.5 for labor)</t>
  </si>
  <si>
    <t>Total Parts</t>
  </si>
  <si>
    <t>Based on quote from CR Metal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</si>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</sst>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2">
    <xf numFmtId="0" fontId="0" fillId="0" borderId="0" xfId="0"/>
    <xf numFmtId="0" fontId="0" fillId="0" borderId="1" xfId="0" applyBorder="1"/>
    <xf numFmtId="44" fontId="0" fillId="0" borderId="0" xfId="1" applyFont="1"/>
    <xf numFmtId="44" fontId="0" fillId="0" borderId="0" xfId="0" applyNumberFormat="1"/>
    <xf numFmtId="0" fontId="0" fillId="0" borderId="0" xfId="0" applyBorder="1"/>
    <xf numFmtId="0" fontId="0" fillId="0" borderId="0" xfId="0" applyFont="1" applyBorder="1"/>
    <xf numFmtId="0" fontId="0" fillId="0" borderId="0" xfId="0" applyFont="1" applyBorder="1" applyAlignment="1">
      <alignment horizontal="right"/>
    </xf>
    <xf numFmtId="44" fontId="1" fillId="0" borderId="0" xfId="1" applyFont="1" applyBorder="1"/>
    <xf numFmtId="0" fontId="2" fillId="0" borderId="0" xfId="0" applyFont="1"/>
    <xf numFmtId="0" fontId="2" fillId="0" borderId="0" xfId="0" applyFont="1" applyBorder="1"/>
    <xf numFmtId="0" fontId="0" fillId="0" borderId="1" xfId="0" applyFont="1" applyBorder="1"/>
    <xf numFmtId="0" fontId="0" fillId="0" borderId="2" xfId="0" applyFont="1" applyBorder="1"/>
    <xf numFmtId="44" fontId="0" fillId="0" borderId="3" xfId="1" applyFont="1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44" fontId="1" fillId="0" borderId="8" xfId="1" applyFont="1" applyBorder="1"/>
    <xf numFmtId="0" fontId="0" fillId="0" borderId="9" xfId="0" applyFont="1" applyBorder="1"/>
    <xf numFmtId="0" fontId="0" fillId="0" borderId="10" xfId="0" applyFont="1" applyBorder="1"/>
    <xf numFmtId="0" fontId="0" fillId="2" borderId="10" xfId="0" applyFont="1" applyFill="1" applyBorder="1"/>
    <xf numFmtId="44" fontId="0" fillId="2" borderId="11" xfId="0" applyNumberFormat="1" applyFont="1" applyFill="1" applyBorder="1"/>
    <xf numFmtId="0" fontId="0" fillId="0" borderId="7" xfId="0" applyBorder="1"/>
    <xf numFmtId="44" fontId="0" fillId="0" borderId="0" xfId="1" applyFont="1" applyBorder="1"/>
    <xf numFmtId="44" fontId="0" fillId="0" borderId="8" xfId="0" applyNumberFormat="1" applyBorder="1"/>
    <xf numFmtId="0" fontId="0" fillId="0" borderId="9" xfId="0" applyBorder="1"/>
    <xf numFmtId="0" fontId="0" fillId="0" borderId="10" xfId="0" applyBorder="1"/>
    <xf numFmtId="49" fontId="0" fillId="0" borderId="2" xfId="0" applyNumberFormat="1" applyBorder="1" applyAlignment="1">
      <alignment horizontal="right"/>
    </xf>
    <xf numFmtId="0" fontId="0" fillId="0" borderId="3" xfId="0" applyBorder="1" applyAlignment="1">
      <alignment horizontal="left"/>
    </xf>
    <xf numFmtId="44" fontId="0" fillId="0" borderId="3" xfId="1" applyFont="1" applyBorder="1"/>
    <xf numFmtId="44" fontId="0" fillId="0" borderId="4" xfId="0" applyNumberFormat="1" applyBorder="1"/>
    <xf numFmtId="49" fontId="0" fillId="0" borderId="7" xfId="0" applyNumberFormat="1" applyBorder="1" applyAlignment="1">
      <alignment horizontal="right"/>
    </xf>
    <xf numFmtId="0" fontId="0" fillId="0" borderId="0" xfId="0" applyBorder="1" applyAlignment="1">
      <alignment horizontal="left"/>
    </xf>
    <xf numFmtId="49" fontId="0" fillId="0" borderId="9" xfId="0" applyNumberFormat="1" applyBorder="1" applyAlignment="1">
      <alignment horizontal="right"/>
    </xf>
    <xf numFmtId="0" fontId="0" fillId="0" borderId="10" xfId="0" applyBorder="1" applyAlignment="1">
      <alignment horizontal="left"/>
    </xf>
    <xf numFmtId="44" fontId="0" fillId="2" borderId="10" xfId="1" applyFont="1" applyFill="1" applyBorder="1" applyAlignment="1">
      <alignment vertical="center"/>
    </xf>
    <xf numFmtId="44" fontId="0" fillId="2" borderId="11" xfId="0" applyNumberFormat="1" applyFill="1" applyBorder="1" applyAlignment="1">
      <alignment vertical="center"/>
    </xf>
    <xf numFmtId="0" fontId="0" fillId="0" borderId="2" xfId="0" applyBorder="1" applyAlignment="1">
      <alignment horizontal="right"/>
    </xf>
    <xf numFmtId="0" fontId="0" fillId="0" borderId="7" xfId="0" applyBorder="1" applyAlignment="1">
      <alignment horizontal="right"/>
    </xf>
    <xf numFmtId="44" fontId="0" fillId="0" borderId="0" xfId="0" applyNumberFormat="1" applyBorder="1"/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vertical="center"/>
    </xf>
    <xf numFmtId="44" fontId="0" fillId="0" borderId="0" xfId="1" applyFont="1" applyBorder="1" applyAlignment="1">
      <alignment vertical="center"/>
    </xf>
    <xf numFmtId="44" fontId="0" fillId="0" borderId="8" xfId="0" applyNumberFormat="1" applyBorder="1" applyAlignment="1">
      <alignment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0" fillId="2" borderId="12" xfId="0" applyFill="1" applyBorder="1"/>
    <xf numFmtId="44" fontId="0" fillId="2" borderId="13" xfId="0" applyNumberFormat="1" applyFill="1" applyBorder="1"/>
    <xf numFmtId="0" fontId="3" fillId="0" borderId="0" xfId="0" applyFont="1" applyBorder="1"/>
    <xf numFmtId="0" fontId="3" fillId="0" borderId="0" xfId="0" applyFont="1"/>
    <xf numFmtId="0" fontId="3" fillId="0" borderId="3" xfId="0" applyFont="1" applyBorder="1"/>
    <xf numFmtId="0" fontId="4" fillId="2" borderId="12" xfId="0" applyFont="1" applyFill="1" applyBorder="1"/>
    <xf numFmtId="44" fontId="4" fillId="2" borderId="13" xfId="0" applyNumberFormat="1" applyFont="1" applyFill="1" applyBorder="1"/>
    <xf numFmtId="6" fontId="0" fillId="0" borderId="8" xfId="0" applyNumberFormat="1" applyBorder="1"/>
    <xf numFmtId="0" fontId="2" fillId="0" borderId="7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1"/>
  <sheetViews>
    <sheetView tabSelected="1" workbookViewId="0">
      <selection activeCell="I27" sqref="I27"/>
    </sheetView>
  </sheetViews>
  <sheetFormatPr defaultRowHeight="14.4" x14ac:dyDescent="0.3"/>
  <cols>
    <col min="1" max="1" width="13.5546875" bestFit="1" customWidth="1"/>
    <col min="2" max="2" width="21.109375" customWidth="1"/>
    <col min="3" max="3" width="38.77734375" bestFit="1" customWidth="1"/>
    <col min="4" max="4" width="10.109375" customWidth="1"/>
    <col min="5" max="5" width="13.5546875" bestFit="1" customWidth="1"/>
    <col min="6" max="6" width="15.5546875" bestFit="1" customWidth="1"/>
    <col min="7" max="7" width="7.21875" customWidth="1"/>
    <col min="8" max="8" width="14.109375" bestFit="1" customWidth="1"/>
    <col min="9" max="9" width="32.77734375" bestFit="1" customWidth="1"/>
    <col min="10" max="10" width="9.88671875" customWidth="1"/>
    <col min="11" max="11" width="10.33203125" bestFit="1" customWidth="1"/>
    <col min="12" max="12" width="15.5546875" bestFit="1" customWidth="1"/>
  </cols>
  <sheetData>
    <row r="1" spans="1:7" ht="15" thickBot="1" x14ac:dyDescent="0.35">
      <c r="A1" s="58" t="s">
        <v>97</v>
      </c>
      <c r="B1" s="58" t="s">
        <v>0</v>
      </c>
      <c r="C1" s="58" t="s">
        <v>1</v>
      </c>
      <c r="D1" s="58" t="s">
        <v>103</v>
      </c>
      <c r="E1" s="58" t="s">
        <v>102</v>
      </c>
      <c r="F1" s="58" t="s">
        <v>2</v>
      </c>
      <c r="G1" s="1"/>
    </row>
    <row r="2" spans="1:7" ht="15.6" thickTop="1" thickBot="1" x14ac:dyDescent="0.35">
      <c r="A2" s="8" t="s">
        <v>64</v>
      </c>
      <c r="B2" s="50" t="s">
        <v>105</v>
      </c>
      <c r="C2" s="4"/>
      <c r="D2" s="50" t="s">
        <v>108</v>
      </c>
      <c r="E2" s="4"/>
      <c r="F2" s="4"/>
      <c r="G2" s="4"/>
    </row>
    <row r="3" spans="1:7" x14ac:dyDescent="0.3">
      <c r="B3" s="39">
        <v>3186699</v>
      </c>
      <c r="C3" s="13" t="s">
        <v>3</v>
      </c>
      <c r="D3" s="13">
        <v>1</v>
      </c>
      <c r="E3" s="31">
        <v>80.31</v>
      </c>
      <c r="F3" s="32">
        <f t="shared" ref="F3:F22" si="0">E3*D3</f>
        <v>80.31</v>
      </c>
      <c r="G3" s="4"/>
    </row>
    <row r="4" spans="1:7" x14ac:dyDescent="0.3">
      <c r="B4" s="40"/>
      <c r="C4" s="4" t="s">
        <v>4</v>
      </c>
      <c r="D4" s="4">
        <v>1</v>
      </c>
      <c r="E4" s="25">
        <v>160.53</v>
      </c>
      <c r="F4" s="26">
        <f t="shared" si="0"/>
        <v>160.53</v>
      </c>
      <c r="G4" s="4"/>
    </row>
    <row r="5" spans="1:7" x14ac:dyDescent="0.3">
      <c r="B5" s="40">
        <v>3204290</v>
      </c>
      <c r="C5" s="4" t="s">
        <v>5</v>
      </c>
      <c r="D5" s="4">
        <v>1</v>
      </c>
      <c r="E5" s="25">
        <v>9.48</v>
      </c>
      <c r="F5" s="26">
        <f t="shared" si="0"/>
        <v>9.48</v>
      </c>
      <c r="G5" s="4"/>
    </row>
    <row r="6" spans="1:7" x14ac:dyDescent="0.3">
      <c r="B6" s="40">
        <v>3204352</v>
      </c>
      <c r="C6" s="4" t="s">
        <v>6</v>
      </c>
      <c r="D6" s="4">
        <v>1</v>
      </c>
      <c r="E6" s="25">
        <v>4.95</v>
      </c>
      <c r="F6" s="26">
        <f t="shared" si="0"/>
        <v>4.95</v>
      </c>
    </row>
    <row r="7" spans="1:7" x14ac:dyDescent="0.3">
      <c r="B7" s="40">
        <v>3072162</v>
      </c>
      <c r="C7" s="4" t="s">
        <v>7</v>
      </c>
      <c r="D7" s="4">
        <v>1</v>
      </c>
      <c r="E7" s="25">
        <v>23.95</v>
      </c>
      <c r="F7" s="26">
        <f t="shared" si="0"/>
        <v>23.95</v>
      </c>
    </row>
    <row r="8" spans="1:7" x14ac:dyDescent="0.3">
      <c r="B8" s="40"/>
      <c r="C8" s="4" t="s">
        <v>8</v>
      </c>
      <c r="D8" s="4">
        <v>1</v>
      </c>
      <c r="E8" s="25">
        <v>24.21</v>
      </c>
      <c r="F8" s="26">
        <f t="shared" si="0"/>
        <v>24.21</v>
      </c>
    </row>
    <row r="9" spans="1:7" x14ac:dyDescent="0.3">
      <c r="B9" s="40">
        <v>3153819</v>
      </c>
      <c r="C9" s="4" t="s">
        <v>9</v>
      </c>
      <c r="D9" s="4">
        <v>1</v>
      </c>
      <c r="E9" s="25">
        <v>6.16</v>
      </c>
      <c r="F9" s="26">
        <f t="shared" si="0"/>
        <v>6.16</v>
      </c>
    </row>
    <row r="10" spans="1:7" x14ac:dyDescent="0.3">
      <c r="B10" s="40">
        <v>3113227</v>
      </c>
      <c r="C10" s="4" t="s">
        <v>10</v>
      </c>
      <c r="D10" s="4">
        <v>1</v>
      </c>
      <c r="E10" s="25">
        <v>46.31</v>
      </c>
      <c r="F10" s="26">
        <f t="shared" si="0"/>
        <v>46.31</v>
      </c>
    </row>
    <row r="11" spans="1:7" x14ac:dyDescent="0.3">
      <c r="B11" s="40">
        <v>3119618</v>
      </c>
      <c r="C11" s="4" t="s">
        <v>11</v>
      </c>
      <c r="D11" s="4">
        <v>1</v>
      </c>
      <c r="E11" s="25">
        <v>7.95</v>
      </c>
      <c r="F11" s="26">
        <f t="shared" si="0"/>
        <v>7.95</v>
      </c>
    </row>
    <row r="12" spans="1:7" x14ac:dyDescent="0.3">
      <c r="B12" s="40">
        <v>3130306</v>
      </c>
      <c r="C12" s="4" t="s">
        <v>12</v>
      </c>
      <c r="D12" s="4">
        <v>2</v>
      </c>
      <c r="E12" s="25">
        <v>5.51</v>
      </c>
      <c r="F12" s="26">
        <f t="shared" si="0"/>
        <v>11.02</v>
      </c>
    </row>
    <row r="13" spans="1:7" x14ac:dyDescent="0.3">
      <c r="B13" s="40">
        <v>3130305</v>
      </c>
      <c r="C13" s="4" t="s">
        <v>13</v>
      </c>
      <c r="D13" s="4">
        <v>1</v>
      </c>
      <c r="E13" s="25">
        <v>7.59</v>
      </c>
      <c r="F13" s="26">
        <f t="shared" si="0"/>
        <v>7.59</v>
      </c>
    </row>
    <row r="14" spans="1:7" x14ac:dyDescent="0.3">
      <c r="B14" s="40"/>
      <c r="C14" s="4" t="s">
        <v>14</v>
      </c>
      <c r="D14" s="4">
        <v>3</v>
      </c>
      <c r="E14" s="25">
        <v>30.5</v>
      </c>
      <c r="F14" s="26">
        <f t="shared" si="0"/>
        <v>91.5</v>
      </c>
    </row>
    <row r="15" spans="1:7" x14ac:dyDescent="0.3">
      <c r="B15" s="40">
        <v>3241906</v>
      </c>
      <c r="C15" s="4" t="s">
        <v>15</v>
      </c>
      <c r="D15" s="4">
        <v>1</v>
      </c>
      <c r="E15" s="25">
        <v>64.37</v>
      </c>
      <c r="F15" s="26">
        <f t="shared" si="0"/>
        <v>64.37</v>
      </c>
    </row>
    <row r="16" spans="1:7" x14ac:dyDescent="0.3">
      <c r="B16" s="40">
        <v>3128607</v>
      </c>
      <c r="C16" s="4" t="s">
        <v>16</v>
      </c>
      <c r="D16" s="4">
        <v>2</v>
      </c>
      <c r="E16" s="25">
        <v>8.17</v>
      </c>
      <c r="F16" s="26">
        <f t="shared" si="0"/>
        <v>16.34</v>
      </c>
    </row>
    <row r="17" spans="1:9" x14ac:dyDescent="0.3">
      <c r="B17" s="40"/>
      <c r="C17" s="4" t="s">
        <v>17</v>
      </c>
      <c r="D17" s="4">
        <v>1</v>
      </c>
      <c r="E17" s="25">
        <v>7.03</v>
      </c>
      <c r="F17" s="26">
        <f t="shared" si="0"/>
        <v>7.03</v>
      </c>
    </row>
    <row r="18" spans="1:9" x14ac:dyDescent="0.3">
      <c r="B18" s="40">
        <v>3192474</v>
      </c>
      <c r="C18" s="4" t="s">
        <v>18</v>
      </c>
      <c r="D18" s="4">
        <v>1</v>
      </c>
      <c r="E18" s="25">
        <v>6.85</v>
      </c>
      <c r="F18" s="26">
        <f t="shared" si="0"/>
        <v>6.85</v>
      </c>
    </row>
    <row r="19" spans="1:9" x14ac:dyDescent="0.3">
      <c r="B19" s="40"/>
      <c r="C19" s="4" t="s">
        <v>19</v>
      </c>
      <c r="D19" s="4">
        <v>1</v>
      </c>
      <c r="E19" s="25">
        <v>0.28000000000000003</v>
      </c>
      <c r="F19" s="26">
        <f t="shared" si="0"/>
        <v>0.28000000000000003</v>
      </c>
    </row>
    <row r="20" spans="1:9" x14ac:dyDescent="0.3">
      <c r="B20" s="33" t="s">
        <v>20</v>
      </c>
      <c r="C20" s="4" t="s">
        <v>21</v>
      </c>
      <c r="D20" s="4">
        <v>2</v>
      </c>
      <c r="E20" s="25">
        <v>0.6</v>
      </c>
      <c r="F20" s="26">
        <f t="shared" si="0"/>
        <v>1.2</v>
      </c>
    </row>
    <row r="21" spans="1:9" x14ac:dyDescent="0.3">
      <c r="B21" s="40"/>
      <c r="C21" s="4" t="s">
        <v>22</v>
      </c>
      <c r="D21" s="4">
        <v>1</v>
      </c>
      <c r="E21" s="25">
        <v>15.42</v>
      </c>
      <c r="F21" s="26">
        <f t="shared" si="0"/>
        <v>15.42</v>
      </c>
      <c r="G21" s="51" t="s">
        <v>107</v>
      </c>
    </row>
    <row r="22" spans="1:9" x14ac:dyDescent="0.3">
      <c r="B22" s="40" t="s">
        <v>23</v>
      </c>
      <c r="C22" s="4" t="s">
        <v>24</v>
      </c>
      <c r="D22" s="4">
        <v>1</v>
      </c>
      <c r="E22" s="41">
        <v>20.22</v>
      </c>
      <c r="F22" s="26">
        <f t="shared" si="0"/>
        <v>20.22</v>
      </c>
    </row>
    <row r="23" spans="1:9" x14ac:dyDescent="0.3">
      <c r="B23" s="24"/>
      <c r="C23" s="42" t="s">
        <v>45</v>
      </c>
      <c r="D23" s="43">
        <v>1</v>
      </c>
      <c r="E23" s="44">
        <v>24</v>
      </c>
      <c r="F23" s="45">
        <f>E23*D23*1.5</f>
        <v>36</v>
      </c>
      <c r="G23" s="51" t="s">
        <v>110</v>
      </c>
    </row>
    <row r="24" spans="1:9" ht="15" thickBot="1" x14ac:dyDescent="0.35">
      <c r="B24" s="27"/>
      <c r="C24" s="46"/>
      <c r="D24" s="47"/>
      <c r="E24" s="37" t="s">
        <v>98</v>
      </c>
      <c r="F24" s="38">
        <f>SUM(F3:F23)</f>
        <v>641.66999999999996</v>
      </c>
    </row>
    <row r="25" spans="1:9" ht="15" thickBot="1" x14ac:dyDescent="0.35">
      <c r="A25" s="8" t="s">
        <v>66</v>
      </c>
    </row>
    <row r="26" spans="1:9" x14ac:dyDescent="0.3">
      <c r="B26" s="29" t="s">
        <v>25</v>
      </c>
      <c r="C26" s="30" t="s">
        <v>26</v>
      </c>
      <c r="D26" s="13">
        <v>1</v>
      </c>
      <c r="E26" s="31">
        <v>0.27</v>
      </c>
      <c r="F26" s="32">
        <f t="shared" ref="F26:F35" si="1">E26*D26</f>
        <v>0.27</v>
      </c>
    </row>
    <row r="27" spans="1:9" x14ac:dyDescent="0.3">
      <c r="B27" s="33" t="s">
        <v>27</v>
      </c>
      <c r="C27" s="34" t="s">
        <v>28</v>
      </c>
      <c r="D27" s="4">
        <v>1</v>
      </c>
      <c r="E27" s="25">
        <v>0.24</v>
      </c>
      <c r="F27" s="26">
        <f t="shared" si="1"/>
        <v>0.24</v>
      </c>
      <c r="I27" t="s">
        <v>113</v>
      </c>
    </row>
    <row r="28" spans="1:9" x14ac:dyDescent="0.3">
      <c r="B28" s="33" t="s">
        <v>29</v>
      </c>
      <c r="C28" s="34" t="s">
        <v>30</v>
      </c>
      <c r="D28" s="4">
        <v>2</v>
      </c>
      <c r="E28" s="25">
        <v>2.06</v>
      </c>
      <c r="F28" s="26">
        <f t="shared" si="1"/>
        <v>4.12</v>
      </c>
    </row>
    <row r="29" spans="1:9" x14ac:dyDescent="0.3">
      <c r="B29" s="33" t="s">
        <v>31</v>
      </c>
      <c r="C29" s="34" t="s">
        <v>32</v>
      </c>
      <c r="D29" s="4">
        <v>3</v>
      </c>
      <c r="E29" s="25">
        <v>0.13</v>
      </c>
      <c r="F29" s="26">
        <f t="shared" si="1"/>
        <v>0.39</v>
      </c>
    </row>
    <row r="30" spans="1:9" x14ac:dyDescent="0.3">
      <c r="B30" s="33" t="s">
        <v>33</v>
      </c>
      <c r="C30" s="34" t="s">
        <v>34</v>
      </c>
      <c r="D30" s="4">
        <v>1</v>
      </c>
      <c r="E30" s="25">
        <v>0.11</v>
      </c>
      <c r="F30" s="26">
        <f t="shared" si="1"/>
        <v>0.11</v>
      </c>
    </row>
    <row r="31" spans="1:9" x14ac:dyDescent="0.3">
      <c r="B31" s="33" t="s">
        <v>35</v>
      </c>
      <c r="C31" s="34" t="s">
        <v>36</v>
      </c>
      <c r="D31" s="4">
        <v>4</v>
      </c>
      <c r="E31" s="25">
        <v>4.55</v>
      </c>
      <c r="F31" s="26">
        <f t="shared" si="1"/>
        <v>18.2</v>
      </c>
    </row>
    <row r="32" spans="1:9" x14ac:dyDescent="0.3">
      <c r="B32" s="33" t="s">
        <v>37</v>
      </c>
      <c r="C32" s="34" t="s">
        <v>38</v>
      </c>
      <c r="D32" s="4">
        <v>1</v>
      </c>
      <c r="E32" s="25">
        <v>3.6</v>
      </c>
      <c r="F32" s="26">
        <f t="shared" si="1"/>
        <v>3.6</v>
      </c>
    </row>
    <row r="33" spans="1:12" x14ac:dyDescent="0.3">
      <c r="B33" s="33" t="s">
        <v>39</v>
      </c>
      <c r="C33" s="34" t="s">
        <v>40</v>
      </c>
      <c r="D33" s="4">
        <v>2</v>
      </c>
      <c r="E33" s="25">
        <v>1.47</v>
      </c>
      <c r="F33" s="26">
        <f t="shared" si="1"/>
        <v>2.94</v>
      </c>
    </row>
    <row r="34" spans="1:12" x14ac:dyDescent="0.3">
      <c r="B34" s="33" t="s">
        <v>41</v>
      </c>
      <c r="C34" s="34" t="s">
        <v>42</v>
      </c>
      <c r="D34" s="4">
        <v>1</v>
      </c>
      <c r="E34" s="25">
        <v>2.09</v>
      </c>
      <c r="F34" s="26">
        <f t="shared" si="1"/>
        <v>2.09</v>
      </c>
    </row>
    <row r="35" spans="1:12" x14ac:dyDescent="0.3">
      <c r="B35" s="33" t="s">
        <v>43</v>
      </c>
      <c r="C35" s="34" t="s">
        <v>44</v>
      </c>
      <c r="D35" s="4">
        <v>1</v>
      </c>
      <c r="E35" s="4">
        <v>2.59</v>
      </c>
      <c r="F35" s="26">
        <f t="shared" si="1"/>
        <v>2.59</v>
      </c>
    </row>
    <row r="36" spans="1:12" ht="15" thickBot="1" x14ac:dyDescent="0.35">
      <c r="B36" s="35"/>
      <c r="C36" s="36"/>
      <c r="D36" s="28"/>
      <c r="E36" s="37" t="s">
        <v>98</v>
      </c>
      <c r="F36" s="38">
        <f>SUM(F26:F35)</f>
        <v>34.549999999999997</v>
      </c>
    </row>
    <row r="37" spans="1:12" ht="15" thickBot="1" x14ac:dyDescent="0.35">
      <c r="A37" s="8" t="s">
        <v>48</v>
      </c>
    </row>
    <row r="38" spans="1:12" x14ac:dyDescent="0.3">
      <c r="B38" s="59" t="s">
        <v>99</v>
      </c>
      <c r="C38" s="60"/>
      <c r="D38" s="60"/>
      <c r="E38" s="60"/>
      <c r="F38" s="61"/>
      <c r="H38" s="59" t="s">
        <v>100</v>
      </c>
      <c r="I38" s="60"/>
      <c r="J38" s="60"/>
      <c r="K38" s="60"/>
      <c r="L38" s="61"/>
    </row>
    <row r="39" spans="1:12" x14ac:dyDescent="0.3">
      <c r="B39" s="56" t="s">
        <v>65</v>
      </c>
      <c r="C39" s="4"/>
      <c r="D39" s="4"/>
      <c r="E39" s="25"/>
      <c r="F39" s="26"/>
      <c r="H39" s="56" t="s">
        <v>65</v>
      </c>
      <c r="I39" s="51" t="s">
        <v>106</v>
      </c>
      <c r="J39" s="4"/>
      <c r="K39" s="25"/>
      <c r="L39" s="26"/>
    </row>
    <row r="40" spans="1:12" x14ac:dyDescent="0.3">
      <c r="B40" s="24"/>
      <c r="C40" s="4" t="s">
        <v>46</v>
      </c>
      <c r="D40" s="4">
        <v>3.5</v>
      </c>
      <c r="E40" s="25">
        <v>0.26</v>
      </c>
      <c r="F40" s="26">
        <f t="shared" ref="F40:F41" si="2">E40*D40</f>
        <v>0.91</v>
      </c>
      <c r="H40" s="24"/>
      <c r="I40" s="4" t="s">
        <v>46</v>
      </c>
      <c r="J40" s="4">
        <v>3.5</v>
      </c>
      <c r="K40" s="25">
        <v>0.26</v>
      </c>
      <c r="L40" s="26">
        <f t="shared" ref="L40:L41" si="3">K40*J40</f>
        <v>0.91</v>
      </c>
    </row>
    <row r="41" spans="1:12" x14ac:dyDescent="0.3">
      <c r="B41" s="24"/>
      <c r="C41" s="4" t="s">
        <v>47</v>
      </c>
      <c r="D41" s="4">
        <v>8</v>
      </c>
      <c r="E41" s="25">
        <v>0.2</v>
      </c>
      <c r="F41" s="26">
        <f t="shared" si="2"/>
        <v>1.6</v>
      </c>
      <c r="H41" s="24"/>
      <c r="I41" s="4" t="s">
        <v>47</v>
      </c>
      <c r="J41" s="4">
        <v>8</v>
      </c>
      <c r="K41" s="25">
        <v>0.2</v>
      </c>
      <c r="L41" s="26">
        <f t="shared" si="3"/>
        <v>1.6</v>
      </c>
    </row>
    <row r="42" spans="1:12" x14ac:dyDescent="0.3">
      <c r="B42" s="56" t="s">
        <v>58</v>
      </c>
      <c r="C42" s="51" t="s">
        <v>59</v>
      </c>
      <c r="D42" s="4"/>
      <c r="E42" s="25"/>
      <c r="F42" s="26"/>
      <c r="H42" s="56" t="s">
        <v>58</v>
      </c>
      <c r="I42" s="51" t="s">
        <v>59</v>
      </c>
      <c r="J42" s="4"/>
      <c r="K42" s="25"/>
      <c r="L42" s="26"/>
    </row>
    <row r="43" spans="1:12" x14ac:dyDescent="0.3">
      <c r="B43" s="24"/>
      <c r="C43" s="4" t="s">
        <v>60</v>
      </c>
      <c r="D43" s="4">
        <v>0.312</v>
      </c>
      <c r="E43" s="25">
        <v>2.4500000000000002</v>
      </c>
      <c r="F43" s="26">
        <f>(E43*D43)+6</f>
        <v>6.7644000000000002</v>
      </c>
      <c r="H43" s="24"/>
      <c r="I43" s="4" t="s">
        <v>60</v>
      </c>
      <c r="J43" s="4">
        <v>0.312</v>
      </c>
      <c r="K43" s="25">
        <v>2.4500000000000002</v>
      </c>
      <c r="L43" s="26">
        <f>(K43*J43)+18</f>
        <v>18.764399999999998</v>
      </c>
    </row>
    <row r="44" spans="1:12" x14ac:dyDescent="0.3">
      <c r="B44" s="24"/>
      <c r="C44" s="4" t="s">
        <v>61</v>
      </c>
      <c r="D44" s="4">
        <v>0.47499999999999998</v>
      </c>
      <c r="E44" s="25">
        <v>6.3</v>
      </c>
      <c r="F44" s="26">
        <f t="shared" ref="F44:F46" si="4">(E44*D44)+6</f>
        <v>8.9924999999999997</v>
      </c>
      <c r="H44" s="24"/>
      <c r="I44" s="4" t="s">
        <v>61</v>
      </c>
      <c r="J44" s="4">
        <v>0.47499999999999998</v>
      </c>
      <c r="K44" s="25">
        <v>6.3</v>
      </c>
      <c r="L44" s="26">
        <f t="shared" ref="L44:L46" si="5">(K44*J44)+18</f>
        <v>20.9925</v>
      </c>
    </row>
    <row r="45" spans="1:12" x14ac:dyDescent="0.3">
      <c r="B45" s="24"/>
      <c r="C45" s="4" t="s">
        <v>62</v>
      </c>
      <c r="D45" s="4">
        <v>7.3999999999999996E-2</v>
      </c>
      <c r="E45" s="25">
        <v>4.13</v>
      </c>
      <c r="F45" s="26">
        <f t="shared" si="4"/>
        <v>6.3056200000000002</v>
      </c>
      <c r="H45" s="24"/>
      <c r="I45" s="4" t="s">
        <v>62</v>
      </c>
      <c r="J45" s="4">
        <v>7.3999999999999996E-2</v>
      </c>
      <c r="K45" s="25">
        <v>4.13</v>
      </c>
      <c r="L45" s="26">
        <f t="shared" si="5"/>
        <v>18.305620000000001</v>
      </c>
    </row>
    <row r="46" spans="1:12" x14ac:dyDescent="0.3">
      <c r="B46" s="24"/>
      <c r="C46" s="4" t="s">
        <v>63</v>
      </c>
      <c r="D46" s="4">
        <v>0.48199999999999998</v>
      </c>
      <c r="E46" s="25">
        <v>26.41</v>
      </c>
      <c r="F46" s="26">
        <f t="shared" si="4"/>
        <v>18.729619999999997</v>
      </c>
      <c r="H46" s="24"/>
      <c r="I46" s="4" t="s">
        <v>63</v>
      </c>
      <c r="J46" s="4">
        <v>0.48199999999999998</v>
      </c>
      <c r="K46" s="25">
        <v>26.41</v>
      </c>
      <c r="L46" s="26">
        <f t="shared" si="5"/>
        <v>30.729619999999997</v>
      </c>
    </row>
    <row r="47" spans="1:12" x14ac:dyDescent="0.3">
      <c r="B47" s="56" t="s">
        <v>49</v>
      </c>
      <c r="C47" s="51" t="s">
        <v>59</v>
      </c>
      <c r="D47" s="4"/>
      <c r="E47" s="25"/>
      <c r="F47" s="26"/>
      <c r="H47" s="56" t="s">
        <v>104</v>
      </c>
      <c r="I47" s="50" t="s">
        <v>112</v>
      </c>
      <c r="J47" s="4"/>
      <c r="K47" s="25"/>
      <c r="L47" s="26"/>
    </row>
    <row r="48" spans="1:12" x14ac:dyDescent="0.3">
      <c r="B48" s="24"/>
      <c r="C48" s="4" t="s">
        <v>50</v>
      </c>
      <c r="D48" s="4">
        <v>8.6639999999999997</v>
      </c>
      <c r="E48" s="25">
        <v>1.75</v>
      </c>
      <c r="F48" s="26">
        <f t="shared" ref="F48:F55" si="6">(E48*D48)+12.25</f>
        <v>27.411999999999999</v>
      </c>
      <c r="H48" s="24"/>
      <c r="I48" s="4"/>
      <c r="J48" s="4"/>
      <c r="K48" s="25"/>
      <c r="L48" s="55"/>
    </row>
    <row r="49" spans="1:12" x14ac:dyDescent="0.3">
      <c r="B49" s="24"/>
      <c r="C49" s="4" t="s">
        <v>51</v>
      </c>
      <c r="D49" s="4">
        <v>0.24299999999999999</v>
      </c>
      <c r="E49" s="25">
        <v>2.63</v>
      </c>
      <c r="F49" s="26">
        <f t="shared" si="6"/>
        <v>12.889089999999999</v>
      </c>
      <c r="H49" s="24"/>
      <c r="I49" s="4"/>
      <c r="J49" s="4"/>
      <c r="K49" s="25"/>
      <c r="L49" s="26"/>
    </row>
    <row r="50" spans="1:12" x14ac:dyDescent="0.3">
      <c r="B50" s="24"/>
      <c r="C50" s="4" t="s">
        <v>52</v>
      </c>
      <c r="D50" s="4">
        <v>16.425999999999998</v>
      </c>
      <c r="E50" s="25">
        <v>1.69</v>
      </c>
      <c r="F50" s="26">
        <f t="shared" si="6"/>
        <v>40.00994</v>
      </c>
      <c r="H50" s="24"/>
      <c r="I50" s="4"/>
      <c r="J50" s="4"/>
      <c r="K50" s="25"/>
      <c r="L50" s="26"/>
    </row>
    <row r="51" spans="1:12" x14ac:dyDescent="0.3">
      <c r="B51" s="24"/>
      <c r="C51" s="4" t="s">
        <v>53</v>
      </c>
      <c r="D51" s="4">
        <v>8.4369999999999994</v>
      </c>
      <c r="E51" s="25">
        <v>1.62</v>
      </c>
      <c r="F51" s="26">
        <f t="shared" si="6"/>
        <v>25.917940000000002</v>
      </c>
      <c r="H51" s="24"/>
      <c r="I51" s="4"/>
      <c r="J51" s="4"/>
      <c r="K51" s="25"/>
      <c r="L51" s="26"/>
    </row>
    <row r="52" spans="1:12" x14ac:dyDescent="0.3">
      <c r="B52" s="24"/>
      <c r="C52" s="4" t="s">
        <v>54</v>
      </c>
      <c r="D52" s="4">
        <v>3.0649999999999999</v>
      </c>
      <c r="E52" s="25">
        <v>1.62</v>
      </c>
      <c r="F52" s="26">
        <f t="shared" si="6"/>
        <v>17.215299999999999</v>
      </c>
      <c r="H52" s="24"/>
      <c r="I52" s="4"/>
      <c r="J52" s="4"/>
      <c r="K52" s="25"/>
      <c r="L52" s="26"/>
    </row>
    <row r="53" spans="1:12" x14ac:dyDescent="0.3">
      <c r="B53" s="24"/>
      <c r="C53" s="4" t="s">
        <v>55</v>
      </c>
      <c r="D53" s="4">
        <v>8.5999999999999993E-2</v>
      </c>
      <c r="E53" s="25">
        <v>2.86</v>
      </c>
      <c r="F53" s="26">
        <f t="shared" si="6"/>
        <v>12.49596</v>
      </c>
      <c r="H53" s="24"/>
      <c r="I53" s="4"/>
      <c r="J53" s="4"/>
      <c r="K53" s="25"/>
      <c r="L53" s="26"/>
    </row>
    <row r="54" spans="1:12" x14ac:dyDescent="0.3">
      <c r="B54" s="24"/>
      <c r="C54" s="4" t="s">
        <v>56</v>
      </c>
      <c r="D54" s="4">
        <v>6.625</v>
      </c>
      <c r="E54" s="25">
        <v>1.67</v>
      </c>
      <c r="F54" s="26">
        <f t="shared" si="6"/>
        <v>23.313749999999999</v>
      </c>
      <c r="H54" s="24"/>
      <c r="I54" s="4"/>
      <c r="J54" s="4"/>
      <c r="K54" s="25"/>
      <c r="L54" s="26"/>
    </row>
    <row r="55" spans="1:12" x14ac:dyDescent="0.3">
      <c r="B55" s="24"/>
      <c r="C55" s="4" t="s">
        <v>57</v>
      </c>
      <c r="D55" s="4">
        <v>1.1950000000000001</v>
      </c>
      <c r="E55" s="25">
        <v>3.18</v>
      </c>
      <c r="F55" s="26">
        <f t="shared" si="6"/>
        <v>16.0501</v>
      </c>
      <c r="H55" s="24"/>
      <c r="I55" s="4"/>
      <c r="J55" s="4"/>
      <c r="K55" s="25"/>
      <c r="L55" s="26"/>
    </row>
    <row r="56" spans="1:12" ht="15" thickBot="1" x14ac:dyDescent="0.35">
      <c r="B56" s="27"/>
      <c r="C56" s="28"/>
      <c r="D56" s="28"/>
      <c r="E56" s="22" t="s">
        <v>98</v>
      </c>
      <c r="F56" s="23">
        <f>SUM(F40:F55)</f>
        <v>218.60621999999995</v>
      </c>
      <c r="H56" s="27"/>
      <c r="I56" s="28"/>
      <c r="J56" s="28"/>
      <c r="K56" s="22" t="s">
        <v>98</v>
      </c>
      <c r="L56" s="23">
        <f>SUM(L40:L55)</f>
        <v>91.302139999999994</v>
      </c>
    </row>
    <row r="57" spans="1:12" ht="15" thickBot="1" x14ac:dyDescent="0.35"/>
    <row r="58" spans="1:12" ht="15" thickBot="1" x14ac:dyDescent="0.35">
      <c r="E58" s="48" t="s">
        <v>111</v>
      </c>
      <c r="F58" s="49">
        <f>SUM(F56,F36,F24)</f>
        <v>894.82621999999992</v>
      </c>
      <c r="K58" s="48" t="s">
        <v>111</v>
      </c>
      <c r="L58" s="49">
        <f>SUM(L56,F36,F24)</f>
        <v>767.52213999999992</v>
      </c>
    </row>
    <row r="61" spans="1:12" ht="15" thickBot="1" x14ac:dyDescent="0.35">
      <c r="E61" s="2"/>
      <c r="F61" s="3"/>
    </row>
    <row r="62" spans="1:12" x14ac:dyDescent="0.3">
      <c r="A62" s="9" t="s">
        <v>67</v>
      </c>
      <c r="B62" s="11" t="s">
        <v>101</v>
      </c>
      <c r="C62" s="12">
        <v>36.46</v>
      </c>
      <c r="D62" s="52" t="s">
        <v>109</v>
      </c>
      <c r="E62" s="13"/>
      <c r="F62" s="14"/>
      <c r="H62" s="11" t="s">
        <v>94</v>
      </c>
      <c r="I62" s="12">
        <f>36.46*20/6.86</f>
        <v>106.29737609329446</v>
      </c>
      <c r="J62" s="52" t="s">
        <v>109</v>
      </c>
      <c r="K62" s="13"/>
      <c r="L62" s="14"/>
    </row>
    <row r="63" spans="1:12" ht="15" thickBot="1" x14ac:dyDescent="0.35">
      <c r="B63" s="15"/>
      <c r="C63" s="57" t="s">
        <v>68</v>
      </c>
      <c r="D63" s="57" t="s">
        <v>69</v>
      </c>
      <c r="E63" s="10"/>
      <c r="F63" s="16"/>
      <c r="G63" s="4"/>
      <c r="H63" s="15"/>
      <c r="I63" s="57" t="s">
        <v>68</v>
      </c>
      <c r="J63" s="57" t="s">
        <v>69</v>
      </c>
      <c r="K63" s="10"/>
      <c r="L63" s="16"/>
    </row>
    <row r="64" spans="1:12" ht="15" thickTop="1" x14ac:dyDescent="0.3">
      <c r="B64" s="56" t="s">
        <v>70</v>
      </c>
      <c r="C64" s="5"/>
      <c r="D64" s="5"/>
      <c r="E64" s="5"/>
      <c r="F64" s="18"/>
      <c r="H64" s="56" t="s">
        <v>70</v>
      </c>
      <c r="I64" s="5"/>
      <c r="J64" s="5"/>
      <c r="K64" s="5"/>
      <c r="L64" s="18"/>
    </row>
    <row r="65" spans="1:12" x14ac:dyDescent="0.3">
      <c r="A65" s="5"/>
      <c r="B65" s="17"/>
      <c r="C65" s="6" t="s">
        <v>71</v>
      </c>
      <c r="D65" s="5">
        <v>2</v>
      </c>
      <c r="E65" s="7">
        <f t="shared" ref="E65:E74" si="7">D65*$C$62/60</f>
        <v>1.2153333333333334</v>
      </c>
      <c r="F65" s="19">
        <f>E65</f>
        <v>1.2153333333333334</v>
      </c>
      <c r="H65" s="17"/>
      <c r="I65" s="6" t="s">
        <v>71</v>
      </c>
      <c r="J65" s="5">
        <v>2</v>
      </c>
      <c r="K65" s="7">
        <f>J65*$I$62/60</f>
        <v>3.5432458697764821</v>
      </c>
      <c r="L65" s="19">
        <f>K65</f>
        <v>3.5432458697764821</v>
      </c>
    </row>
    <row r="66" spans="1:12" x14ac:dyDescent="0.3">
      <c r="A66" s="5"/>
      <c r="B66" s="17"/>
      <c r="C66" s="6" t="s">
        <v>72</v>
      </c>
      <c r="D66" s="5">
        <v>3.5</v>
      </c>
      <c r="E66" s="7">
        <f t="shared" si="7"/>
        <v>2.1268333333333334</v>
      </c>
      <c r="F66" s="19">
        <f t="shared" ref="F66:F87" si="8">E66</f>
        <v>2.1268333333333334</v>
      </c>
      <c r="H66" s="17"/>
      <c r="I66" s="6" t="s">
        <v>72</v>
      </c>
      <c r="J66" s="5">
        <v>3.5</v>
      </c>
      <c r="K66" s="7">
        <f t="shared" ref="K66:K87" si="9">J66*$I$62/60</f>
        <v>6.2006802721088432</v>
      </c>
      <c r="L66" s="19">
        <f t="shared" ref="L66:L74" si="10">K66</f>
        <v>6.2006802721088432</v>
      </c>
    </row>
    <row r="67" spans="1:12" x14ac:dyDescent="0.3">
      <c r="A67" s="5"/>
      <c r="B67" s="17"/>
      <c r="C67" s="6" t="s">
        <v>73</v>
      </c>
      <c r="D67" s="5">
        <v>2</v>
      </c>
      <c r="E67" s="7">
        <f t="shared" si="7"/>
        <v>1.2153333333333334</v>
      </c>
      <c r="F67" s="19">
        <f t="shared" si="8"/>
        <v>1.2153333333333334</v>
      </c>
      <c r="H67" s="17"/>
      <c r="I67" s="6" t="s">
        <v>73</v>
      </c>
      <c r="J67" s="5">
        <v>2</v>
      </c>
      <c r="K67" s="7">
        <f t="shared" si="9"/>
        <v>3.5432458697764821</v>
      </c>
      <c r="L67" s="19">
        <f t="shared" si="10"/>
        <v>3.5432458697764821</v>
      </c>
    </row>
    <row r="68" spans="1:12" x14ac:dyDescent="0.3">
      <c r="A68" s="5"/>
      <c r="B68" s="17"/>
      <c r="C68" s="6" t="s">
        <v>74</v>
      </c>
      <c r="D68" s="5">
        <v>6</v>
      </c>
      <c r="E68" s="7">
        <f t="shared" si="7"/>
        <v>3.6459999999999999</v>
      </c>
      <c r="F68" s="19">
        <f t="shared" si="8"/>
        <v>3.6459999999999999</v>
      </c>
      <c r="H68" s="17"/>
      <c r="I68" s="6" t="s">
        <v>74</v>
      </c>
      <c r="J68" s="5">
        <v>6</v>
      </c>
      <c r="K68" s="7">
        <f t="shared" si="9"/>
        <v>10.629737609329446</v>
      </c>
      <c r="L68" s="19">
        <f t="shared" si="10"/>
        <v>10.629737609329446</v>
      </c>
    </row>
    <row r="69" spans="1:12" x14ac:dyDescent="0.3">
      <c r="A69" s="5"/>
      <c r="B69" s="17"/>
      <c r="C69" s="6" t="s">
        <v>75</v>
      </c>
      <c r="D69" s="5">
        <v>3.5</v>
      </c>
      <c r="E69" s="7">
        <f t="shared" si="7"/>
        <v>2.1268333333333334</v>
      </c>
      <c r="F69" s="19">
        <f t="shared" si="8"/>
        <v>2.1268333333333334</v>
      </c>
      <c r="H69" s="17"/>
      <c r="I69" s="6" t="s">
        <v>75</v>
      </c>
      <c r="J69" s="5">
        <v>3.5</v>
      </c>
      <c r="K69" s="7">
        <f t="shared" si="9"/>
        <v>6.2006802721088432</v>
      </c>
      <c r="L69" s="19">
        <f t="shared" si="10"/>
        <v>6.2006802721088432</v>
      </c>
    </row>
    <row r="70" spans="1:12" x14ac:dyDescent="0.3">
      <c r="A70" s="5"/>
      <c r="B70" s="17"/>
      <c r="C70" s="6" t="s">
        <v>76</v>
      </c>
      <c r="D70" s="5">
        <v>5</v>
      </c>
      <c r="E70" s="7">
        <f t="shared" si="7"/>
        <v>3.0383333333333336</v>
      </c>
      <c r="F70" s="19">
        <f t="shared" si="8"/>
        <v>3.0383333333333336</v>
      </c>
      <c r="H70" s="17"/>
      <c r="I70" s="6" t="s">
        <v>76</v>
      </c>
      <c r="J70" s="5">
        <v>5</v>
      </c>
      <c r="K70" s="7">
        <f t="shared" si="9"/>
        <v>8.8581146744412038</v>
      </c>
      <c r="L70" s="19">
        <f t="shared" si="10"/>
        <v>8.8581146744412038</v>
      </c>
    </row>
    <row r="71" spans="1:12" x14ac:dyDescent="0.3">
      <c r="A71" s="5"/>
      <c r="B71" s="17"/>
      <c r="C71" s="6" t="s">
        <v>77</v>
      </c>
      <c r="D71" s="5">
        <v>15</v>
      </c>
      <c r="E71" s="7">
        <f t="shared" si="7"/>
        <v>9.1150000000000002</v>
      </c>
      <c r="F71" s="19">
        <f t="shared" si="8"/>
        <v>9.1150000000000002</v>
      </c>
      <c r="H71" s="17"/>
      <c r="I71" s="6" t="s">
        <v>77</v>
      </c>
      <c r="J71" s="5">
        <v>15</v>
      </c>
      <c r="K71" s="7">
        <f t="shared" si="9"/>
        <v>26.574344023323615</v>
      </c>
      <c r="L71" s="19">
        <f t="shared" si="10"/>
        <v>26.574344023323615</v>
      </c>
    </row>
    <row r="72" spans="1:12" x14ac:dyDescent="0.3">
      <c r="A72" s="5"/>
      <c r="B72" s="17"/>
      <c r="C72" s="6" t="s">
        <v>78</v>
      </c>
      <c r="D72" s="5">
        <v>15</v>
      </c>
      <c r="E72" s="7">
        <f t="shared" si="7"/>
        <v>9.1150000000000002</v>
      </c>
      <c r="F72" s="19">
        <f t="shared" si="8"/>
        <v>9.1150000000000002</v>
      </c>
      <c r="H72" s="17"/>
      <c r="I72" s="6" t="s">
        <v>78</v>
      </c>
      <c r="J72" s="5">
        <v>15</v>
      </c>
      <c r="K72" s="7">
        <f t="shared" si="9"/>
        <v>26.574344023323615</v>
      </c>
      <c r="L72" s="19">
        <f t="shared" si="10"/>
        <v>26.574344023323615</v>
      </c>
    </row>
    <row r="73" spans="1:12" x14ac:dyDescent="0.3">
      <c r="A73" s="5"/>
      <c r="B73" s="17"/>
      <c r="C73" s="6" t="s">
        <v>79</v>
      </c>
      <c r="D73" s="5">
        <v>2.5</v>
      </c>
      <c r="E73" s="7">
        <f t="shared" si="7"/>
        <v>1.5191666666666668</v>
      </c>
      <c r="F73" s="19">
        <f t="shared" si="8"/>
        <v>1.5191666666666668</v>
      </c>
      <c r="H73" s="17"/>
      <c r="I73" s="6" t="s">
        <v>79</v>
      </c>
      <c r="J73" s="5">
        <v>2.5</v>
      </c>
      <c r="K73" s="7">
        <f t="shared" si="9"/>
        <v>4.4290573372206019</v>
      </c>
      <c r="L73" s="19">
        <f t="shared" si="10"/>
        <v>4.4290573372206019</v>
      </c>
    </row>
    <row r="74" spans="1:12" x14ac:dyDescent="0.3">
      <c r="A74" s="5"/>
      <c r="B74" s="17"/>
      <c r="C74" s="6" t="s">
        <v>80</v>
      </c>
      <c r="D74" s="5">
        <f>21*24/60</f>
        <v>8.4</v>
      </c>
      <c r="E74" s="7">
        <f t="shared" si="7"/>
        <v>5.1044</v>
      </c>
      <c r="F74" s="19">
        <f t="shared" si="8"/>
        <v>5.1044</v>
      </c>
      <c r="H74" s="17"/>
      <c r="I74" s="6" t="s">
        <v>80</v>
      </c>
      <c r="J74" s="5">
        <f>21*24/60</f>
        <v>8.4</v>
      </c>
      <c r="K74" s="7">
        <f t="shared" si="9"/>
        <v>14.881632653061224</v>
      </c>
      <c r="L74" s="19">
        <f t="shared" si="10"/>
        <v>14.881632653061224</v>
      </c>
    </row>
    <row r="75" spans="1:12" x14ac:dyDescent="0.3">
      <c r="A75" s="5"/>
      <c r="B75" s="56" t="s">
        <v>81</v>
      </c>
      <c r="C75" s="5"/>
      <c r="D75" s="5"/>
      <c r="E75" s="7"/>
      <c r="F75" s="19"/>
      <c r="H75" s="56" t="s">
        <v>81</v>
      </c>
      <c r="I75" s="5"/>
      <c r="J75" s="5"/>
      <c r="K75" s="7"/>
      <c r="L75" s="19"/>
    </row>
    <row r="76" spans="1:12" x14ac:dyDescent="0.3">
      <c r="A76" s="5"/>
      <c r="B76" s="17"/>
      <c r="C76" s="6" t="s">
        <v>82</v>
      </c>
      <c r="D76" s="5">
        <v>3.25</v>
      </c>
      <c r="E76" s="7">
        <f t="shared" ref="E76:E87" si="11">D76*$C$62/60</f>
        <v>1.9749166666666667</v>
      </c>
      <c r="F76" s="19">
        <f t="shared" si="8"/>
        <v>1.9749166666666667</v>
      </c>
      <c r="H76" s="17"/>
      <c r="I76" s="6" t="s">
        <v>82</v>
      </c>
      <c r="J76" s="5">
        <v>3.25</v>
      </c>
      <c r="K76" s="7">
        <f t="shared" si="9"/>
        <v>5.7577745383867835</v>
      </c>
      <c r="L76" s="19">
        <f t="shared" ref="L76:L85" si="12">K76</f>
        <v>5.7577745383867835</v>
      </c>
    </row>
    <row r="77" spans="1:12" x14ac:dyDescent="0.3">
      <c r="A77" s="5"/>
      <c r="B77" s="17"/>
      <c r="C77" s="6" t="s">
        <v>83</v>
      </c>
      <c r="D77" s="5">
        <v>10</v>
      </c>
      <c r="E77" s="7">
        <f t="shared" si="11"/>
        <v>6.0766666666666671</v>
      </c>
      <c r="F77" s="19">
        <f t="shared" si="8"/>
        <v>6.0766666666666671</v>
      </c>
      <c r="H77" s="17"/>
      <c r="I77" s="6" t="s">
        <v>83</v>
      </c>
      <c r="J77" s="5">
        <v>10</v>
      </c>
      <c r="K77" s="7">
        <f t="shared" si="9"/>
        <v>17.716229348882408</v>
      </c>
      <c r="L77" s="19">
        <f t="shared" si="12"/>
        <v>17.716229348882408</v>
      </c>
    </row>
    <row r="78" spans="1:12" x14ac:dyDescent="0.3">
      <c r="A78" s="5"/>
      <c r="B78" s="17"/>
      <c r="C78" s="6" t="s">
        <v>84</v>
      </c>
      <c r="D78" s="5">
        <v>10</v>
      </c>
      <c r="E78" s="7">
        <f t="shared" si="11"/>
        <v>6.0766666666666671</v>
      </c>
      <c r="F78" s="19">
        <f t="shared" si="8"/>
        <v>6.0766666666666671</v>
      </c>
      <c r="H78" s="17"/>
      <c r="I78" s="6" t="s">
        <v>84</v>
      </c>
      <c r="J78" s="5">
        <v>10</v>
      </c>
      <c r="K78" s="7">
        <f t="shared" si="9"/>
        <v>17.716229348882408</v>
      </c>
      <c r="L78" s="19">
        <f t="shared" si="12"/>
        <v>17.716229348882408</v>
      </c>
    </row>
    <row r="79" spans="1:12" x14ac:dyDescent="0.3">
      <c r="A79" s="5"/>
      <c r="B79" s="17"/>
      <c r="C79" s="6" t="s">
        <v>85</v>
      </c>
      <c r="D79" s="5">
        <v>15</v>
      </c>
      <c r="E79" s="7">
        <f t="shared" si="11"/>
        <v>9.1150000000000002</v>
      </c>
      <c r="F79" s="19">
        <f t="shared" si="8"/>
        <v>9.1150000000000002</v>
      </c>
      <c r="H79" s="17"/>
      <c r="I79" s="6" t="s">
        <v>85</v>
      </c>
      <c r="J79" s="5">
        <v>15</v>
      </c>
      <c r="K79" s="7">
        <f t="shared" si="9"/>
        <v>26.574344023323615</v>
      </c>
      <c r="L79" s="19">
        <f t="shared" si="12"/>
        <v>26.574344023323615</v>
      </c>
    </row>
    <row r="80" spans="1:12" x14ac:dyDescent="0.3">
      <c r="A80" s="5"/>
      <c r="B80" s="17"/>
      <c r="C80" s="6" t="s">
        <v>86</v>
      </c>
      <c r="D80" s="5">
        <v>8</v>
      </c>
      <c r="E80" s="7">
        <f t="shared" si="11"/>
        <v>4.8613333333333335</v>
      </c>
      <c r="F80" s="19">
        <f t="shared" si="8"/>
        <v>4.8613333333333335</v>
      </c>
      <c r="H80" s="17"/>
      <c r="I80" s="6" t="s">
        <v>86</v>
      </c>
      <c r="J80" s="5">
        <v>8</v>
      </c>
      <c r="K80" s="7">
        <f t="shared" si="9"/>
        <v>14.172983479105929</v>
      </c>
      <c r="L80" s="19">
        <f t="shared" si="12"/>
        <v>14.172983479105929</v>
      </c>
    </row>
    <row r="81" spans="1:12" x14ac:dyDescent="0.3">
      <c r="A81" s="5"/>
      <c r="B81" s="17"/>
      <c r="C81" s="6" t="s">
        <v>87</v>
      </c>
      <c r="D81" s="5">
        <v>5</v>
      </c>
      <c r="E81" s="7">
        <f t="shared" si="11"/>
        <v>3.0383333333333336</v>
      </c>
      <c r="F81" s="19">
        <f t="shared" si="8"/>
        <v>3.0383333333333336</v>
      </c>
      <c r="H81" s="17"/>
      <c r="I81" s="6" t="s">
        <v>87</v>
      </c>
      <c r="J81" s="5">
        <v>5</v>
      </c>
      <c r="K81" s="7">
        <f t="shared" si="9"/>
        <v>8.8581146744412038</v>
      </c>
      <c r="L81" s="19">
        <f t="shared" si="12"/>
        <v>8.8581146744412038</v>
      </c>
    </row>
    <row r="82" spans="1:12" x14ac:dyDescent="0.3">
      <c r="A82" s="5"/>
      <c r="B82" s="17"/>
      <c r="C82" s="6" t="s">
        <v>88</v>
      </c>
      <c r="D82" s="5">
        <v>14.75</v>
      </c>
      <c r="E82" s="7">
        <f t="shared" si="11"/>
        <v>8.9630833333333335</v>
      </c>
      <c r="F82" s="19">
        <f t="shared" si="8"/>
        <v>8.9630833333333335</v>
      </c>
      <c r="H82" s="17"/>
      <c r="I82" s="6" t="s">
        <v>88</v>
      </c>
      <c r="J82" s="5">
        <v>14.75</v>
      </c>
      <c r="K82" s="7">
        <f t="shared" si="9"/>
        <v>26.131438289601554</v>
      </c>
      <c r="L82" s="19">
        <f t="shared" si="12"/>
        <v>26.131438289601554</v>
      </c>
    </row>
    <row r="83" spans="1:12" x14ac:dyDescent="0.3">
      <c r="A83" s="5"/>
      <c r="B83" s="17"/>
      <c r="C83" s="6" t="s">
        <v>89</v>
      </c>
      <c r="D83" s="5">
        <v>4.75</v>
      </c>
      <c r="E83" s="7">
        <f t="shared" si="11"/>
        <v>2.8864166666666669</v>
      </c>
      <c r="F83" s="19">
        <f t="shared" si="8"/>
        <v>2.8864166666666669</v>
      </c>
      <c r="G83" s="3"/>
      <c r="H83" s="17"/>
      <c r="I83" s="6" t="s">
        <v>89</v>
      </c>
      <c r="J83" s="5">
        <v>4.75</v>
      </c>
      <c r="K83" s="7">
        <f t="shared" si="9"/>
        <v>8.415208940719145</v>
      </c>
      <c r="L83" s="19">
        <f t="shared" si="12"/>
        <v>8.415208940719145</v>
      </c>
    </row>
    <row r="84" spans="1:12" x14ac:dyDescent="0.3">
      <c r="A84" s="5"/>
      <c r="B84" s="17"/>
      <c r="C84" s="6" t="s">
        <v>90</v>
      </c>
      <c r="D84" s="5">
        <v>4</v>
      </c>
      <c r="E84" s="7">
        <f t="shared" si="11"/>
        <v>2.4306666666666668</v>
      </c>
      <c r="F84" s="19">
        <f t="shared" si="8"/>
        <v>2.4306666666666668</v>
      </c>
      <c r="H84" s="17"/>
      <c r="I84" s="6" t="s">
        <v>90</v>
      </c>
      <c r="J84" s="5">
        <v>4</v>
      </c>
      <c r="K84" s="7">
        <f t="shared" si="9"/>
        <v>7.0864917395529643</v>
      </c>
      <c r="L84" s="19">
        <f t="shared" si="12"/>
        <v>7.0864917395529643</v>
      </c>
    </row>
    <row r="85" spans="1:12" x14ac:dyDescent="0.3">
      <c r="A85" s="5"/>
      <c r="B85" s="17"/>
      <c r="C85" s="6" t="s">
        <v>91</v>
      </c>
      <c r="D85" s="5">
        <v>4</v>
      </c>
      <c r="E85" s="7">
        <f t="shared" si="11"/>
        <v>2.4306666666666668</v>
      </c>
      <c r="F85" s="19">
        <f t="shared" si="8"/>
        <v>2.4306666666666668</v>
      </c>
      <c r="G85" s="3"/>
      <c r="H85" s="17"/>
      <c r="I85" s="6" t="s">
        <v>91</v>
      </c>
      <c r="J85" s="5">
        <v>4</v>
      </c>
      <c r="K85" s="7">
        <f t="shared" si="9"/>
        <v>7.0864917395529643</v>
      </c>
      <c r="L85" s="19">
        <f t="shared" si="12"/>
        <v>7.0864917395529643</v>
      </c>
    </row>
    <row r="86" spans="1:12" x14ac:dyDescent="0.3">
      <c r="A86" s="5"/>
      <c r="B86" s="17"/>
      <c r="C86" s="6" t="s">
        <v>92</v>
      </c>
      <c r="D86" s="5">
        <f>16*2</f>
        <v>32</v>
      </c>
      <c r="E86" s="7">
        <f t="shared" si="11"/>
        <v>19.445333333333334</v>
      </c>
      <c r="F86" s="19">
        <f>E86*2</f>
        <v>38.890666666666668</v>
      </c>
      <c r="H86" s="17"/>
      <c r="I86" s="6" t="s">
        <v>92</v>
      </c>
      <c r="J86" s="5">
        <f>16*2</f>
        <v>32</v>
      </c>
      <c r="K86" s="7">
        <f t="shared" si="9"/>
        <v>56.691933916423714</v>
      </c>
      <c r="L86" s="19">
        <f>K86*2</f>
        <v>113.38386783284743</v>
      </c>
    </row>
    <row r="87" spans="1:12" x14ac:dyDescent="0.3">
      <c r="A87" s="5"/>
      <c r="B87" s="17"/>
      <c r="C87" s="6" t="s">
        <v>93</v>
      </c>
      <c r="D87" s="5">
        <v>7.5</v>
      </c>
      <c r="E87" s="7">
        <f t="shared" si="11"/>
        <v>4.5575000000000001</v>
      </c>
      <c r="F87" s="19">
        <f t="shared" si="8"/>
        <v>4.5575000000000001</v>
      </c>
      <c r="H87" s="17"/>
      <c r="I87" s="6" t="s">
        <v>93</v>
      </c>
      <c r="J87" s="5">
        <v>7.5</v>
      </c>
      <c r="K87" s="7">
        <f t="shared" si="9"/>
        <v>13.287172011661808</v>
      </c>
      <c r="L87" s="19">
        <f t="shared" ref="L87" si="13">K87</f>
        <v>13.287172011661808</v>
      </c>
    </row>
    <row r="88" spans="1:12" x14ac:dyDescent="0.3">
      <c r="A88" s="5"/>
      <c r="B88" s="17"/>
      <c r="C88" s="5"/>
      <c r="D88" s="5"/>
      <c r="E88" s="5"/>
      <c r="F88" s="18"/>
      <c r="H88" s="17"/>
      <c r="I88" s="5"/>
      <c r="J88" s="5"/>
      <c r="K88" s="5"/>
      <c r="L88" s="18"/>
    </row>
    <row r="89" spans="1:12" ht="15" thickBot="1" x14ac:dyDescent="0.35">
      <c r="A89" s="5"/>
      <c r="B89" s="20"/>
      <c r="C89" s="21"/>
      <c r="D89" s="21"/>
      <c r="E89" s="22" t="s">
        <v>95</v>
      </c>
      <c r="F89" s="23">
        <f>SUM(F65:F87)</f>
        <v>129.52414999999999</v>
      </c>
      <c r="H89" s="20"/>
      <c r="I89" s="21"/>
      <c r="J89" s="21"/>
      <c r="K89" s="22" t="s">
        <v>95</v>
      </c>
      <c r="L89" s="23">
        <f>SUM(L65:L87)</f>
        <v>377.62142857142862</v>
      </c>
    </row>
    <row r="90" spans="1:12" ht="15" thickBot="1" x14ac:dyDescent="0.35">
      <c r="A90" s="5"/>
      <c r="B90" s="5"/>
      <c r="C90" s="5"/>
      <c r="D90" s="5"/>
      <c r="E90" s="5"/>
      <c r="F90" s="5"/>
      <c r="H90" s="5"/>
      <c r="I90" s="5"/>
      <c r="J90" s="5"/>
      <c r="K90" s="5"/>
      <c r="L90" s="5"/>
    </row>
    <row r="91" spans="1:12" ht="21.6" thickBot="1" x14ac:dyDescent="0.45">
      <c r="A91" s="5"/>
      <c r="B91" s="5"/>
      <c r="C91" s="5"/>
      <c r="D91" s="5"/>
      <c r="E91" s="53" t="s">
        <v>96</v>
      </c>
      <c r="F91" s="54">
        <f>F89+F58</f>
        <v>1024.3503699999999</v>
      </c>
      <c r="H91" s="5"/>
      <c r="I91" s="5"/>
      <c r="J91" s="5"/>
      <c r="K91" s="53" t="s">
        <v>96</v>
      </c>
      <c r="L91" s="54">
        <f>L89+L58</f>
        <v>1145.1435685714287</v>
      </c>
    </row>
  </sheetData>
  <mergeCells count="2">
    <mergeCell ref="B38:F38"/>
    <mergeCell ref="H38:L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Fink, Coraline</dc:creator>
  <cp:lastModifiedBy>Vennu, Sunil</cp:lastModifiedBy>
  <dcterms:created xsi:type="dcterms:W3CDTF">2015-06-05T18:17:20Z</dcterms:created>
  <dcterms:modified xsi:type="dcterms:W3CDTF">2026-04-28T15:18:37Z</dcterms:modified>
</cp:coreProperties>
</file>