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hussmann-my.sharepoint.com/personal/sunilkumar_vennu_hussmann_com/Documents/Desktop/VPM/"/>
    </mc:Choice>
  </mc:AlternateContent>
  <xr:revisionPtr revIDLastSave="241" documentId="11_49C37DB2371CEF263B9C67D19DBAEFD3E597AD98" xr6:coauthVersionLast="47" xr6:coauthVersionMax="47" xr10:uidLastSave="{FBF50596-9CB0-4AC7-BE5C-AC387951C0D1}"/>
  <bookViews>
    <workbookView xWindow="-120" yWindow="-120" windowWidth="29040" windowHeight="15720" xr2:uid="{00000000-000D-0000-FFFF-FFFF00000000}"/>
  </bookViews>
  <sheets>
    <sheet name="Detailed" sheetId="1" r:id="rId1"/>
    <sheet name="VAVE" sheetId="2" r:id="rId2"/>
    <sheet name="Sheet1" sheetId="3" r:id="rId3"/>
  </sheets>
  <definedNames>
    <definedName name="_xlnm._FilterDatabase" localSheetId="2" hidden="1">Sheet1!$A$1:$F$1</definedName>
    <definedName name="_xlnm._FilterDatabase" localSheetId="1" hidden="1">VAVE!$A$1:$K$80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1" i="2" l="1"/>
  <c r="F83" i="2" s="1"/>
  <c r="L91" i="1"/>
  <c r="H81" i="2"/>
  <c r="E87" i="1"/>
  <c r="F87" i="1" s="1"/>
  <c r="J86" i="1"/>
  <c r="D86" i="1"/>
  <c r="E86" i="1" s="1"/>
  <c r="F86" i="1" s="1"/>
  <c r="E85" i="1"/>
  <c r="F85" i="1" s="1"/>
  <c r="K84" i="1"/>
  <c r="L84" i="1" s="1"/>
  <c r="F84" i="1"/>
  <c r="E84" i="1"/>
  <c r="L83" i="1"/>
  <c r="K83" i="1"/>
  <c r="E83" i="1"/>
  <c r="F83" i="1" s="1"/>
  <c r="K82" i="1"/>
  <c r="L82" i="1" s="1"/>
  <c r="E82" i="1"/>
  <c r="F82" i="1" s="1"/>
  <c r="K81" i="1"/>
  <c r="L81" i="1" s="1"/>
  <c r="E81" i="1"/>
  <c r="F81" i="1" s="1"/>
  <c r="E80" i="1"/>
  <c r="F80" i="1" s="1"/>
  <c r="F79" i="1"/>
  <c r="E79" i="1"/>
  <c r="K78" i="1"/>
  <c r="L78" i="1" s="1"/>
  <c r="E78" i="1"/>
  <c r="F78" i="1" s="1"/>
  <c r="K77" i="1"/>
  <c r="L77" i="1" s="1"/>
  <c r="E77" i="1"/>
  <c r="F77" i="1" s="1"/>
  <c r="L76" i="1"/>
  <c r="K76" i="1"/>
  <c r="E76" i="1"/>
  <c r="F76" i="1" s="1"/>
  <c r="J74" i="1"/>
  <c r="K74" i="1" s="1"/>
  <c r="L74" i="1" s="1"/>
  <c r="D74" i="1"/>
  <c r="E74" i="1" s="1"/>
  <c r="F74" i="1" s="1"/>
  <c r="K73" i="1"/>
  <c r="L73" i="1" s="1"/>
  <c r="E73" i="1"/>
  <c r="F73" i="1" s="1"/>
  <c r="K72" i="1"/>
  <c r="L72" i="1" s="1"/>
  <c r="F72" i="1"/>
  <c r="E72" i="1"/>
  <c r="E71" i="1"/>
  <c r="F71" i="1" s="1"/>
  <c r="K70" i="1"/>
  <c r="L70" i="1" s="1"/>
  <c r="E70" i="1"/>
  <c r="F70" i="1" s="1"/>
  <c r="K69" i="1"/>
  <c r="L69" i="1" s="1"/>
  <c r="F69" i="1"/>
  <c r="E69" i="1"/>
  <c r="L68" i="1"/>
  <c r="K68" i="1"/>
  <c r="E68" i="1"/>
  <c r="F68" i="1" s="1"/>
  <c r="K67" i="1"/>
  <c r="L67" i="1" s="1"/>
  <c r="E67" i="1"/>
  <c r="F67" i="1" s="1"/>
  <c r="K66" i="1"/>
  <c r="L66" i="1" s="1"/>
  <c r="E66" i="1"/>
  <c r="F66" i="1" s="1"/>
  <c r="K65" i="1"/>
  <c r="L65" i="1" s="1"/>
  <c r="F65" i="1"/>
  <c r="E65" i="1"/>
  <c r="I62" i="1"/>
  <c r="K87" i="1" s="1"/>
  <c r="L87" i="1" s="1"/>
  <c r="F55" i="1"/>
  <c r="F54" i="1"/>
  <c r="F53" i="1"/>
  <c r="F52" i="1"/>
  <c r="F51" i="1"/>
  <c r="F50" i="1"/>
  <c r="F49" i="1"/>
  <c r="F48" i="1"/>
  <c r="L46" i="1"/>
  <c r="F46" i="1"/>
  <c r="L45" i="1"/>
  <c r="F45" i="1"/>
  <c r="L44" i="1"/>
  <c r="F44" i="1"/>
  <c r="F56" i="1" s="1"/>
  <c r="L43" i="1"/>
  <c r="L56" i="1" s="1"/>
  <c r="L58" i="1" s="1"/>
  <c r="F43" i="1"/>
  <c r="L41" i="1"/>
  <c r="F41" i="1"/>
  <c r="L40" i="1"/>
  <c r="F40" i="1"/>
  <c r="F35" i="1"/>
  <c r="F34" i="1"/>
  <c r="F33" i="1"/>
  <c r="F32" i="1"/>
  <c r="F31" i="1"/>
  <c r="F30" i="1"/>
  <c r="F29" i="1"/>
  <c r="F28" i="1"/>
  <c r="F27" i="1"/>
  <c r="F26" i="1"/>
  <c r="F36" i="1" s="1"/>
  <c r="F23" i="1"/>
  <c r="F22" i="1"/>
  <c r="F21" i="1"/>
  <c r="F20" i="1"/>
  <c r="F19" i="1"/>
  <c r="F18" i="1"/>
  <c r="F17" i="1"/>
  <c r="F16" i="1"/>
  <c r="F15" i="1"/>
  <c r="F14" i="1"/>
  <c r="F13" i="1"/>
  <c r="F24" i="1" s="1"/>
  <c r="F12" i="1"/>
  <c r="F11" i="1"/>
  <c r="F10" i="1"/>
  <c r="F9" i="1"/>
  <c r="F8" i="1"/>
  <c r="F7" i="1"/>
  <c r="F6" i="1"/>
  <c r="F5" i="1"/>
  <c r="F4" i="1"/>
  <c r="F3" i="1"/>
  <c r="F89" i="1" l="1"/>
  <c r="F58" i="1"/>
  <c r="K85" i="1"/>
  <c r="L85" i="1" s="1"/>
  <c r="K71" i="1"/>
  <c r="L71" i="1" s="1"/>
  <c r="L89" i="1" s="1"/>
  <c r="K79" i="1"/>
  <c r="L79" i="1" s="1"/>
  <c r="K86" i="1"/>
  <c r="L86" i="1" s="1"/>
  <c r="K80" i="1"/>
  <c r="L80" i="1" s="1"/>
  <c r="F91" i="1" l="1"/>
</calcChain>
</file>

<file path=xl/sharedStrings.xml><?xml version="1.0" encoding="utf-8"?>
<sst xmlns="http://schemas.openxmlformats.org/spreadsheetml/2006/main" count="398" uniqueCount="153">
  <si>
    <t>Category</t>
  </si>
  <si>
    <t>Hussmann Part Number</t>
  </si>
  <si>
    <t>Description</t>
  </si>
  <si>
    <t>Qty</t>
  </si>
  <si>
    <t>Cost</t>
  </si>
  <si>
    <t>Total per Unit</t>
  </si>
  <si>
    <t>Purchase Parts</t>
  </si>
  <si>
    <t>Purchase part cost assumed common between MTY and Tecumseh</t>
  </si>
  <si>
    <t>Prices found from equivalent Hussmann parts</t>
  </si>
  <si>
    <t>COIL ASSY-EVAP 40P 2C .375 CAS</t>
  </si>
  <si>
    <t>Low Temp Compressor (AL-1045-E)</t>
  </si>
  <si>
    <t>HEATER-TUBE DRAIN 120V 9W</t>
  </si>
  <si>
    <t>HEATER-PAN TOP 120V 80W</t>
  </si>
  <si>
    <t>DISTRIBUTOR ASSY-0.33 TON KG 2 CKT LH</t>
  </si>
  <si>
    <t>VALVE-EXPANSION R448A NXE-A10-VW</t>
  </si>
  <si>
    <t>VALVE-SOL 0.250 OD NO FDF2AK08</t>
  </si>
  <si>
    <t>HEAT EXCHANGER-MICROCHANNEL</t>
  </si>
  <si>
    <t>FILTER DRIER R-290 0.25 ODF</t>
  </si>
  <si>
    <t>COIL-SOLENOID 120V AC 4.5-5W</t>
  </si>
  <si>
    <t>VALVE-SOLENOID 0.25 OD NC</t>
  </si>
  <si>
    <t>Evap/Condenser FAN</t>
  </si>
  <si>
    <t>CAREL CONTROLLER IJFPSA4B04S0725</t>
  </si>
  <si>
    <t>SENSOR-CAREL TEMP NTC</t>
  </si>
  <si>
    <t>HIGH PRES SWITCH, R-290 1/4" SWEAT TUBE</t>
  </si>
  <si>
    <t>VALVE-CHECK .250 ODF PISTON</t>
  </si>
  <si>
    <t>FRP panel</t>
  </si>
  <si>
    <t>0392277</t>
  </si>
  <si>
    <t>COUPLING-RDCR 0.375X0.250 CXC</t>
  </si>
  <si>
    <t>Case to cassette gasket</t>
  </si>
  <si>
    <t>Based on quote from Glassfiber</t>
  </si>
  <si>
    <t>70355K36</t>
  </si>
  <si>
    <t>Main Power Cord</t>
  </si>
  <si>
    <t>All Foam (bottom, evap walls)</t>
  </si>
  <si>
    <t>Estimate (x1.5 for labor)</t>
  </si>
  <si>
    <t>Subtotal</t>
  </si>
  <si>
    <t>Tubing Parts</t>
  </si>
  <si>
    <t>0378406</t>
  </si>
  <si>
    <t>COUPLING-RDCR 0.500X0.375 CXC</t>
  </si>
  <si>
    <t>0327376</t>
  </si>
  <si>
    <t>BUSHING-FLUSH 0.375 X 0.250 FTG X C</t>
  </si>
  <si>
    <t xml:space="preserve">     </t>
  </si>
  <si>
    <t>0021168</t>
  </si>
  <si>
    <t>TEE-0.250 CxCxC</t>
  </si>
  <si>
    <t>0534133</t>
  </si>
  <si>
    <t>BUSHING-.875 FLEXIBLE ID SPLIT</t>
  </si>
  <si>
    <t>3087293</t>
  </si>
  <si>
    <t>TUBE-.375X.028WX1.75</t>
  </si>
  <si>
    <t>3057746</t>
  </si>
  <si>
    <t>ELBOW-90 SR .25 FTGxC</t>
  </si>
  <si>
    <t>0700977</t>
  </si>
  <si>
    <t>ELBOW-90 LR 0.250 CXC</t>
  </si>
  <si>
    <t>3108823</t>
  </si>
  <si>
    <t>CLAMP-0.250 LOOP CUSHIONED</t>
  </si>
  <si>
    <t>0374802</t>
  </si>
  <si>
    <t>COUPLING-RDCR 0.375X0.312 CXC</t>
  </si>
  <si>
    <t>0378122</t>
  </si>
  <si>
    <t>TEE-RDCR 0.375 X 0.375 X 0.250 CxCxC</t>
  </si>
  <si>
    <t>Raw Material</t>
  </si>
  <si>
    <t>Monterrey Pricing</t>
  </si>
  <si>
    <t>Tecumseh Pricing</t>
  </si>
  <si>
    <t>Wiring Parts</t>
  </si>
  <si>
    <t>Estimated wiring lengths</t>
  </si>
  <si>
    <t>Wire (meter)</t>
  </si>
  <si>
    <t>Terminals</t>
  </si>
  <si>
    <t>Copper</t>
  </si>
  <si>
    <t>Raw material cost + multiplier for labor, direct, indirect cost</t>
  </si>
  <si>
    <t>3/8 tube</t>
  </si>
  <si>
    <t>1/4 tube</t>
  </si>
  <si>
    <t>5/16 tube</t>
  </si>
  <si>
    <t>1/4 NI-CU tube</t>
  </si>
  <si>
    <t>Sheet metal (kg)</t>
  </si>
  <si>
    <t>Sheet metal</t>
  </si>
  <si>
    <t>Based on quote from CR Metal</t>
  </si>
  <si>
    <t xml:space="preserve">.019 galv </t>
  </si>
  <si>
    <t>.019 stainless</t>
  </si>
  <si>
    <t>.023 galv</t>
  </si>
  <si>
    <t>.035 galv</t>
  </si>
  <si>
    <t>.047 galv</t>
  </si>
  <si>
    <t>.035 stainless</t>
  </si>
  <si>
    <t>.029 galv</t>
  </si>
  <si>
    <t>.023 stainless</t>
  </si>
  <si>
    <t>Total Parts</t>
  </si>
  <si>
    <t>Labor</t>
  </si>
  <si>
    <t>Rate ($/hr MTY)</t>
  </si>
  <si>
    <t>Operations timed at Tecumseh</t>
  </si>
  <si>
    <t>Rate ($/hr MS)</t>
  </si>
  <si>
    <t>Operation</t>
  </si>
  <si>
    <t>Time (min)</t>
  </si>
  <si>
    <t>Subassemblies</t>
  </si>
  <si>
    <t>Heater Pan</t>
  </si>
  <si>
    <t>Evap Fan Shroud</t>
  </si>
  <si>
    <t>Evap Fans</t>
  </si>
  <si>
    <t>Gasket</t>
  </si>
  <si>
    <t>Evap Coil Shroud</t>
  </si>
  <si>
    <t>Controller</t>
  </si>
  <si>
    <t>Enclosure</t>
  </si>
  <si>
    <t>Base</t>
  </si>
  <si>
    <t>Condenser</t>
  </si>
  <si>
    <t>Piping</t>
  </si>
  <si>
    <t>Main Line</t>
  </si>
  <si>
    <t>Gasket and inserts on base and palette</t>
  </si>
  <si>
    <t>Attach components to base</t>
  </si>
  <si>
    <t>Braze</t>
  </si>
  <si>
    <t>Attach control box and run wire</t>
  </si>
  <si>
    <t>Insulate piping</t>
  </si>
  <si>
    <t>Hi pot test</t>
  </si>
  <si>
    <t>Wrap wire and pull vacuum</t>
  </si>
  <si>
    <t>Charge and snip</t>
  </si>
  <si>
    <t>Accessories</t>
  </si>
  <si>
    <t>End of line test</t>
  </si>
  <si>
    <t>Enclosure and labels (2 people)</t>
  </si>
  <si>
    <t>Packaging</t>
  </si>
  <si>
    <t>Total Labor</t>
  </si>
  <si>
    <t>Total</t>
  </si>
  <si>
    <t>Part # / Reference</t>
  </si>
  <si>
    <t>VAVE Idea</t>
  </si>
  <si>
    <t>Est. Savings ($/unit)</t>
  </si>
  <si>
    <t>Implementation Timeline</t>
  </si>
  <si>
    <t>Testing Needed</t>
  </si>
  <si>
    <t>Notes</t>
  </si>
  <si>
    <t>Raw Material - Copper</t>
  </si>
  <si>
    <t>Raw Material - Sheet Metal</t>
  </si>
  <si>
    <t>TOTAL</t>
  </si>
  <si>
    <t>Yes</t>
  </si>
  <si>
    <t>1. Aluminum coil</t>
  </si>
  <si>
    <t>TBD</t>
  </si>
  <si>
    <t>8067K11</t>
  </si>
  <si>
    <t>Wire conduit 0.5"</t>
  </si>
  <si>
    <t>8067K12</t>
  </si>
  <si>
    <t>Wire conduit 0.75"</t>
  </si>
  <si>
    <t>Misc fasteners and materials</t>
  </si>
  <si>
    <t>Wooden Pallet</t>
  </si>
  <si>
    <t>Shipping Box</t>
  </si>
  <si>
    <t>Unit Cost ($)</t>
  </si>
  <si>
    <t>Total Cost ($)</t>
  </si>
  <si>
    <t>Labor - Sub asm</t>
  </si>
  <si>
    <t>Labor - main line</t>
  </si>
  <si>
    <t>Wiring parts</t>
  </si>
  <si>
    <t>Evap Shroud</t>
  </si>
  <si>
    <t>Fan Shroud</t>
  </si>
  <si>
    <t>Shroud mid</t>
  </si>
  <si>
    <t>Condenser base</t>
  </si>
  <si>
    <t>Handle</t>
  </si>
  <si>
    <t>Compressor base</t>
  </si>
  <si>
    <t>Condenser venturi</t>
  </si>
  <si>
    <t>Base top</t>
  </si>
  <si>
    <t>Base bottom</t>
  </si>
  <si>
    <t>Shroud strap</t>
  </si>
  <si>
    <t>Air deflector</t>
  </si>
  <si>
    <t>Controller enclosure</t>
  </si>
  <si>
    <t>Controller top</t>
  </si>
  <si>
    <t>Enclosure top</t>
  </si>
  <si>
    <t>Enclosure front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</si>
</sst>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44" formatCode="_(&quot;$&quot;* #,##0.00_);_(&quot;$&quot;* \(#,##0.00\);_(&quot;$&quot;* &quot;-&quot;??_);_(@_)"/>
    <numFmt numFmtId="164" formatCode="0.##"/>
    <numFmt numFmtId="165" formatCode="\$#,##0.00;\(\$#,##0.00\);&quot;-&quot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4472C4"/>
      </patternFill>
    </fill>
    <fill>
      <patternFill patternType="solid">
        <fgColor rgb="FFDCE6F1"/>
      </patternFill>
    </fill>
    <fill>
      <patternFill patternType="solid">
        <fgColor rgb="FFFFFFC0"/>
      </patternFill>
    </fill>
    <fill>
      <patternFill patternType="solid">
        <fgColor rgb="FFEBF1DE"/>
      </patternFill>
    </fill>
    <fill>
      <patternFill patternType="solid">
        <fgColor rgb="FFFDE9D9"/>
      </patternFill>
    </fill>
    <fill>
      <patternFill patternType="solid">
        <fgColor rgb="FFF2DCDB"/>
      </patternFill>
    </fill>
    <fill>
      <patternFill patternType="solid">
        <fgColor rgb="FFFFFF99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3">
    <xf numFmtId="0" fontId="0" fillId="0" borderId="0"/>
    <xf numFmtId="44" fontId="1" fillId="0" borderId="0"/>
    <xf numFmtId="44" fontId="1" fillId="0" borderId="0" applyFont="0" applyFill="0" applyBorder="0" applyAlignment="0" applyProtection="0"/>
  </cellStyleXfs>
  <cellXfs count="91">
    <xf numFmtId="0" fontId="0" fillId="0" borderId="0" xfId="0"/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2" borderId="10" xfId="0" applyFill="1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49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left"/>
    </xf>
    <xf numFmtId="49" fontId="0" fillId="0" borderId="7" xfId="0" applyNumberFormat="1" applyBorder="1" applyAlignment="1">
      <alignment horizontal="right"/>
    </xf>
    <xf numFmtId="0" fontId="0" fillId="0" borderId="0" xfId="0" applyAlignment="1">
      <alignment horizontal="left"/>
    </xf>
    <xf numFmtId="49" fontId="0" fillId="0" borderId="9" xfId="0" applyNumberFormat="1" applyBorder="1" applyAlignment="1">
      <alignment horizontal="right"/>
    </xf>
    <xf numFmtId="0" fontId="0" fillId="0" borderId="10" xfId="0" applyBorder="1" applyAlignment="1">
      <alignment horizontal="left"/>
    </xf>
    <xf numFmtId="0" fontId="0" fillId="0" borderId="2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0" borderId="10" xfId="0" applyBorder="1" applyAlignment="1">
      <alignment horizontal="left" vertical="center"/>
    </xf>
    <xf numFmtId="0" fontId="0" fillId="0" borderId="10" xfId="0" applyBorder="1" applyAlignment="1">
      <alignment vertical="center"/>
    </xf>
    <xf numFmtId="0" fontId="0" fillId="2" borderId="12" xfId="0" applyFill="1" applyBorder="1"/>
    <xf numFmtId="0" fontId="3" fillId="0" borderId="0" xfId="0" applyFont="1"/>
    <xf numFmtId="0" fontId="3" fillId="0" borderId="3" xfId="0" applyFont="1" applyBorder="1"/>
    <xf numFmtId="0" fontId="4" fillId="2" borderId="12" xfId="0" applyFont="1" applyFill="1" applyBorder="1"/>
    <xf numFmtId="0" fontId="2" fillId="0" borderId="7" xfId="0" applyFont="1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44" fontId="0" fillId="0" borderId="3" xfId="1" applyFont="1" applyBorder="1"/>
    <xf numFmtId="44" fontId="0" fillId="0" borderId="4" xfId="0" applyNumberFormat="1" applyBorder="1"/>
    <xf numFmtId="44" fontId="0" fillId="0" borderId="0" xfId="1" applyFont="1"/>
    <xf numFmtId="44" fontId="0" fillId="0" borderId="8" xfId="0" applyNumberFormat="1" applyBorder="1"/>
    <xf numFmtId="44" fontId="0" fillId="0" borderId="0" xfId="0" applyNumberFormat="1"/>
    <xf numFmtId="44" fontId="0" fillId="0" borderId="0" xfId="1" applyFont="1" applyAlignment="1">
      <alignment vertical="center"/>
    </xf>
    <xf numFmtId="44" fontId="0" fillId="0" borderId="8" xfId="0" applyNumberFormat="1" applyBorder="1" applyAlignment="1">
      <alignment vertical="center"/>
    </xf>
    <xf numFmtId="44" fontId="0" fillId="2" borderId="10" xfId="1" applyFont="1" applyFill="1" applyBorder="1" applyAlignment="1">
      <alignment vertical="center"/>
    </xf>
    <xf numFmtId="44" fontId="0" fillId="2" borderId="11" xfId="0" applyNumberFormat="1" applyFill="1" applyBorder="1" applyAlignment="1">
      <alignment vertical="center"/>
    </xf>
    <xf numFmtId="6" fontId="0" fillId="0" borderId="8" xfId="0" applyNumberFormat="1" applyBorder="1"/>
    <xf numFmtId="44" fontId="0" fillId="2" borderId="11" xfId="0" applyNumberFormat="1" applyFill="1" applyBorder="1"/>
    <xf numFmtId="44" fontId="0" fillId="2" borderId="13" xfId="0" applyNumberFormat="1" applyFill="1" applyBorder="1"/>
    <xf numFmtId="44" fontId="0" fillId="0" borderId="3" xfId="1" applyFont="1" applyBorder="1" applyAlignment="1">
      <alignment horizontal="left"/>
    </xf>
    <xf numFmtId="44" fontId="1" fillId="0" borderId="0" xfId="1"/>
    <xf numFmtId="44" fontId="1" fillId="0" borderId="8" xfId="1" applyBorder="1"/>
    <xf numFmtId="44" fontId="4" fillId="2" borderId="13" xfId="0" applyNumberFormat="1" applyFont="1" applyFill="1" applyBorder="1"/>
    <xf numFmtId="0" fontId="5" fillId="3" borderId="15" xfId="0" applyFont="1" applyFill="1" applyBorder="1" applyAlignment="1">
      <alignment horizontal="center" vertical="center" wrapText="1"/>
    </xf>
    <xf numFmtId="0" fontId="6" fillId="4" borderId="15" xfId="0" applyFont="1" applyFill="1" applyBorder="1" applyAlignment="1">
      <alignment horizontal="left" vertical="center"/>
    </xf>
    <xf numFmtId="164" fontId="6" fillId="4" borderId="15" xfId="0" applyNumberFormat="1" applyFont="1" applyFill="1" applyBorder="1" applyAlignment="1">
      <alignment horizontal="left" vertical="center"/>
    </xf>
    <xf numFmtId="165" fontId="6" fillId="4" borderId="15" xfId="0" applyNumberFormat="1" applyFont="1" applyFill="1" applyBorder="1" applyAlignment="1">
      <alignment horizontal="left" vertical="center"/>
    </xf>
    <xf numFmtId="0" fontId="6" fillId="5" borderId="15" xfId="0" applyFont="1" applyFill="1" applyBorder="1" applyAlignment="1">
      <alignment horizontal="left" vertical="center"/>
    </xf>
    <xf numFmtId="165" fontId="6" fillId="5" borderId="15" xfId="0" applyNumberFormat="1" applyFont="1" applyFill="1" applyBorder="1" applyAlignment="1">
      <alignment horizontal="left" vertical="center"/>
    </xf>
    <xf numFmtId="0" fontId="6" fillId="6" borderId="15" xfId="0" applyFont="1" applyFill="1" applyBorder="1" applyAlignment="1">
      <alignment horizontal="left" vertical="center"/>
    </xf>
    <xf numFmtId="164" fontId="6" fillId="6" borderId="15" xfId="0" applyNumberFormat="1" applyFont="1" applyFill="1" applyBorder="1" applyAlignment="1">
      <alignment horizontal="left" vertical="center"/>
    </xf>
    <xf numFmtId="165" fontId="6" fillId="6" borderId="15" xfId="0" applyNumberFormat="1" applyFont="1" applyFill="1" applyBorder="1" applyAlignment="1">
      <alignment horizontal="left" vertical="center"/>
    </xf>
    <xf numFmtId="0" fontId="6" fillId="7" borderId="15" xfId="0" applyFont="1" applyFill="1" applyBorder="1" applyAlignment="1">
      <alignment horizontal="left" vertical="center"/>
    </xf>
    <xf numFmtId="164" fontId="6" fillId="7" borderId="15" xfId="0" applyNumberFormat="1" applyFont="1" applyFill="1" applyBorder="1" applyAlignment="1">
      <alignment horizontal="left" vertical="center"/>
    </xf>
    <xf numFmtId="165" fontId="6" fillId="7" borderId="15" xfId="0" applyNumberFormat="1" applyFont="1" applyFill="1" applyBorder="1" applyAlignment="1">
      <alignment horizontal="left" vertical="center"/>
    </xf>
    <xf numFmtId="0" fontId="6" fillId="8" borderId="15" xfId="0" applyFont="1" applyFill="1" applyBorder="1" applyAlignment="1">
      <alignment horizontal="left" vertical="center"/>
    </xf>
    <xf numFmtId="164" fontId="6" fillId="8" borderId="15" xfId="0" applyNumberFormat="1" applyFont="1" applyFill="1" applyBorder="1" applyAlignment="1">
      <alignment horizontal="left" vertical="center"/>
    </xf>
    <xf numFmtId="165" fontId="6" fillId="8" borderId="15" xfId="0" applyNumberFormat="1" applyFont="1" applyFill="1" applyBorder="1" applyAlignment="1">
      <alignment horizontal="left" vertical="center"/>
    </xf>
    <xf numFmtId="0" fontId="5" fillId="3" borderId="15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left" vertical="center"/>
    </xf>
    <xf numFmtId="165" fontId="5" fillId="3" borderId="15" xfId="0" applyNumberFormat="1" applyFont="1" applyFill="1" applyBorder="1" applyAlignment="1">
      <alignment horizontal="right" vertical="center"/>
    </xf>
    <xf numFmtId="165" fontId="7" fillId="9" borderId="15" xfId="0" applyNumberFormat="1" applyFont="1" applyFill="1" applyBorder="1" applyAlignment="1">
      <alignment horizontal="right" vertical="center"/>
    </xf>
    <xf numFmtId="0" fontId="2" fillId="0" borderId="14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6" fillId="5" borderId="15" xfId="0" applyFont="1" applyFill="1" applyBorder="1" applyAlignment="1">
      <alignment horizontal="left" vertical="center" wrapText="1"/>
    </xf>
    <xf numFmtId="0" fontId="6" fillId="5" borderId="15" xfId="0" applyFont="1" applyFill="1" applyBorder="1" applyAlignment="1">
      <alignment horizontal="left" vertical="top" wrapText="1"/>
    </xf>
    <xf numFmtId="0" fontId="6" fillId="4" borderId="0" xfId="0" applyFont="1" applyFill="1" applyBorder="1" applyAlignment="1">
      <alignment horizontal="left" vertical="center"/>
    </xf>
    <xf numFmtId="164" fontId="6" fillId="4" borderId="0" xfId="0" applyNumberFormat="1" applyFont="1" applyFill="1" applyBorder="1" applyAlignment="1">
      <alignment horizontal="left" vertical="center"/>
    </xf>
    <xf numFmtId="165" fontId="6" fillId="4" borderId="0" xfId="0" applyNumberFormat="1" applyFont="1" applyFill="1" applyBorder="1" applyAlignment="1">
      <alignment horizontal="left" vertical="center"/>
    </xf>
    <xf numFmtId="0" fontId="0" fillId="0" borderId="0" xfId="0" applyBorder="1"/>
    <xf numFmtId="44" fontId="0" fillId="0" borderId="0" xfId="2" applyFont="1" applyBorder="1"/>
    <xf numFmtId="44" fontId="0" fillId="0" borderId="8" xfId="0" applyNumberFormat="1" applyBorder="1"/>
    <xf numFmtId="49" fontId="0" fillId="0" borderId="7" xfId="0" applyNumberFormat="1" applyBorder="1" applyAlignment="1">
      <alignment horizontal="right"/>
    </xf>
    <xf numFmtId="0" fontId="0" fillId="0" borderId="0" xfId="0"/>
    <xf numFmtId="0" fontId="6" fillId="5" borderId="15" xfId="0" applyFont="1" applyFill="1" applyBorder="1" applyAlignment="1">
      <alignment horizontal="left"/>
    </xf>
    <xf numFmtId="165" fontId="6" fillId="8" borderId="16" xfId="0" applyNumberFormat="1" applyFont="1" applyFill="1" applyBorder="1" applyAlignment="1">
      <alignment horizontal="left" vertical="center"/>
    </xf>
    <xf numFmtId="0" fontId="0" fillId="0" borderId="0" xfId="0"/>
    <xf numFmtId="0" fontId="0" fillId="0" borderId="0" xfId="0"/>
    <xf numFmtId="0" fontId="6" fillId="10" borderId="15" xfId="0" applyFont="1" applyFill="1" applyBorder="1" applyAlignment="1">
      <alignment horizontal="left" vertical="center"/>
    </xf>
    <xf numFmtId="164" fontId="6" fillId="10" borderId="15" xfId="0" applyNumberFormat="1" applyFont="1" applyFill="1" applyBorder="1" applyAlignment="1">
      <alignment horizontal="left" vertical="center"/>
    </xf>
    <xf numFmtId="165" fontId="6" fillId="10" borderId="15" xfId="0" applyNumberFormat="1" applyFont="1" applyFill="1" applyBorder="1" applyAlignment="1">
      <alignment horizontal="left" vertical="center"/>
    </xf>
    <xf numFmtId="0" fontId="6" fillId="11" borderId="15" xfId="0" applyFont="1" applyFill="1" applyBorder="1" applyAlignment="1">
      <alignment horizontal="left" vertical="center"/>
    </xf>
    <xf numFmtId="165" fontId="6" fillId="11" borderId="15" xfId="0" applyNumberFormat="1" applyFont="1" applyFill="1" applyBorder="1" applyAlignment="1">
      <alignment horizontal="left" vertical="center"/>
    </xf>
  </cellXfs>
  <cellStyles count="3">
    <cellStyle name="Currency" xfId="1" builtinId="4"/>
    <cellStyle name="Currency 2" xfId="2" xr:uid="{65179F21-9EEC-4946-825E-6EC81019F805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1"/>
  <sheetViews>
    <sheetView tabSelected="1" topLeftCell="A33" workbookViewId="0">
      <selection activeCell="C42" sqref="C42"/>
    </sheetView>
  </sheetViews>
  <sheetFormatPr defaultRowHeight="14.4" x14ac:dyDescent="0.3"/>
  <cols>
    <col min="1" max="1" width="13.5546875" style="1" bestFit="1" customWidth="1"/>
    <col min="2" max="2" width="21.109375" style="1" customWidth="1"/>
    <col min="3" max="3" width="38.77734375" style="1" bestFit="1" customWidth="1"/>
    <col min="4" max="4" width="10.109375" style="1" customWidth="1"/>
    <col min="5" max="5" width="13.5546875" style="1" bestFit="1" customWidth="1"/>
    <col min="6" max="6" width="15.5546875" style="1" bestFit="1" customWidth="1"/>
    <col min="7" max="7" width="7.21875" style="1" customWidth="1"/>
    <col min="8" max="8" width="14.109375" style="1" bestFit="1" customWidth="1"/>
    <col min="9" max="9" width="32.77734375" style="1" bestFit="1" customWidth="1"/>
    <col min="10" max="10" width="9.88671875" style="1" customWidth="1"/>
    <col min="11" max="11" width="10.33203125" style="1" bestFit="1" customWidth="1"/>
    <col min="12" max="12" width="15.5546875" style="1" bestFit="1" customWidth="1"/>
  </cols>
  <sheetData>
    <row r="1" spans="1:7" ht="15" customHeight="1" thickBot="1" x14ac:dyDescent="0.35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4"/>
    </row>
    <row r="2" spans="1:7" ht="15.6" customHeight="1" thickTop="1" thickBot="1" x14ac:dyDescent="0.35">
      <c r="A2" s="3" t="s">
        <v>6</v>
      </c>
      <c r="B2" s="28" t="s">
        <v>7</v>
      </c>
      <c r="D2" s="28" t="s">
        <v>8</v>
      </c>
    </row>
    <row r="3" spans="1:7" x14ac:dyDescent="0.3">
      <c r="B3" s="21">
        <v>3186699</v>
      </c>
      <c r="C3" s="6" t="s">
        <v>9</v>
      </c>
      <c r="D3" s="6">
        <v>1</v>
      </c>
      <c r="E3" s="34">
        <v>80.31</v>
      </c>
      <c r="F3" s="35">
        <f t="shared" ref="F3:F22" si="0">E3*D3</f>
        <v>80.31</v>
      </c>
    </row>
    <row r="4" spans="1:7" x14ac:dyDescent="0.3">
      <c r="B4" s="22"/>
      <c r="C4" t="s">
        <v>10</v>
      </c>
      <c r="D4">
        <v>1</v>
      </c>
      <c r="E4" s="36">
        <v>160.53</v>
      </c>
      <c r="F4" s="37">
        <f t="shared" si="0"/>
        <v>160.53</v>
      </c>
    </row>
    <row r="5" spans="1:7" x14ac:dyDescent="0.3">
      <c r="B5" s="22">
        <v>3204290</v>
      </c>
      <c r="C5" t="s">
        <v>11</v>
      </c>
      <c r="D5">
        <v>1</v>
      </c>
      <c r="E5" s="36">
        <v>9.48</v>
      </c>
      <c r="F5" s="37">
        <f t="shared" si="0"/>
        <v>9.48</v>
      </c>
    </row>
    <row r="6" spans="1:7" x14ac:dyDescent="0.3">
      <c r="B6" s="22">
        <v>3204352</v>
      </c>
      <c r="C6" t="s">
        <v>12</v>
      </c>
      <c r="D6">
        <v>1</v>
      </c>
      <c r="E6" s="36">
        <v>4.95</v>
      </c>
      <c r="F6" s="37">
        <f t="shared" si="0"/>
        <v>4.95</v>
      </c>
    </row>
    <row r="7" spans="1:7" x14ac:dyDescent="0.3">
      <c r="B7" s="22">
        <v>3072162</v>
      </c>
      <c r="C7" t="s">
        <v>13</v>
      </c>
      <c r="D7">
        <v>1</v>
      </c>
      <c r="E7" s="36">
        <v>23.95</v>
      </c>
      <c r="F7" s="37">
        <f t="shared" si="0"/>
        <v>23.95</v>
      </c>
    </row>
    <row r="8" spans="1:7" x14ac:dyDescent="0.3">
      <c r="B8" s="22"/>
      <c r="C8" t="s">
        <v>14</v>
      </c>
      <c r="D8">
        <v>1</v>
      </c>
      <c r="E8" s="36">
        <v>24.21</v>
      </c>
      <c r="F8" s="37">
        <f t="shared" si="0"/>
        <v>24.21</v>
      </c>
    </row>
    <row r="9" spans="1:7" x14ac:dyDescent="0.3">
      <c r="B9" s="22">
        <v>3153819</v>
      </c>
      <c r="C9" t="s">
        <v>15</v>
      </c>
      <c r="D9">
        <v>1</v>
      </c>
      <c r="E9" s="36">
        <v>6.16</v>
      </c>
      <c r="F9" s="37">
        <f t="shared" si="0"/>
        <v>6.16</v>
      </c>
    </row>
    <row r="10" spans="1:7" x14ac:dyDescent="0.3">
      <c r="B10" s="22">
        <v>3113227</v>
      </c>
      <c r="C10" t="s">
        <v>16</v>
      </c>
      <c r="D10">
        <v>1</v>
      </c>
      <c r="E10" s="36">
        <v>46.31</v>
      </c>
      <c r="F10" s="37">
        <f t="shared" si="0"/>
        <v>46.31</v>
      </c>
    </row>
    <row r="11" spans="1:7" x14ac:dyDescent="0.3">
      <c r="B11" s="22">
        <v>3119618</v>
      </c>
      <c r="C11" t="s">
        <v>17</v>
      </c>
      <c r="D11">
        <v>1</v>
      </c>
      <c r="E11" s="36">
        <v>7.95</v>
      </c>
      <c r="F11" s="37">
        <f t="shared" si="0"/>
        <v>7.95</v>
      </c>
    </row>
    <row r="12" spans="1:7" x14ac:dyDescent="0.3">
      <c r="B12" s="22">
        <v>3130306</v>
      </c>
      <c r="C12" t="s">
        <v>18</v>
      </c>
      <c r="D12">
        <v>2</v>
      </c>
      <c r="E12" s="36">
        <v>5.51</v>
      </c>
      <c r="F12" s="37">
        <f t="shared" si="0"/>
        <v>11.02</v>
      </c>
    </row>
    <row r="13" spans="1:7" x14ac:dyDescent="0.3">
      <c r="B13" s="22">
        <v>3130305</v>
      </c>
      <c r="C13" t="s">
        <v>19</v>
      </c>
      <c r="D13">
        <v>1</v>
      </c>
      <c r="E13" s="36">
        <v>7.59</v>
      </c>
      <c r="F13" s="37">
        <f t="shared" si="0"/>
        <v>7.59</v>
      </c>
    </row>
    <row r="14" spans="1:7" x14ac:dyDescent="0.3">
      <c r="B14" s="22"/>
      <c r="C14" t="s">
        <v>20</v>
      </c>
      <c r="D14">
        <v>3</v>
      </c>
      <c r="E14" s="36">
        <v>30.5</v>
      </c>
      <c r="F14" s="37">
        <f t="shared" si="0"/>
        <v>91.5</v>
      </c>
    </row>
    <row r="15" spans="1:7" x14ac:dyDescent="0.3">
      <c r="B15" s="22">
        <v>3241906</v>
      </c>
      <c r="C15" t="s">
        <v>21</v>
      </c>
      <c r="D15">
        <v>1</v>
      </c>
      <c r="E15" s="36">
        <v>64.37</v>
      </c>
      <c r="F15" s="37">
        <f t="shared" si="0"/>
        <v>64.37</v>
      </c>
    </row>
    <row r="16" spans="1:7" x14ac:dyDescent="0.3">
      <c r="B16" s="22">
        <v>3128607</v>
      </c>
      <c r="C16" t="s">
        <v>22</v>
      </c>
      <c r="D16">
        <v>2</v>
      </c>
      <c r="E16" s="36">
        <v>8.17</v>
      </c>
      <c r="F16" s="37">
        <f t="shared" si="0"/>
        <v>16.34</v>
      </c>
    </row>
    <row r="17" spans="1:9" x14ac:dyDescent="0.3">
      <c r="B17" s="22"/>
      <c r="C17" t="s">
        <v>23</v>
      </c>
      <c r="D17">
        <v>1</v>
      </c>
      <c r="E17" s="36">
        <v>7.03</v>
      </c>
      <c r="F17" s="37">
        <f t="shared" si="0"/>
        <v>7.03</v>
      </c>
    </row>
    <row r="18" spans="1:9" x14ac:dyDescent="0.3">
      <c r="B18" s="22">
        <v>3192474</v>
      </c>
      <c r="C18" t="s">
        <v>24</v>
      </c>
      <c r="D18">
        <v>1</v>
      </c>
      <c r="E18" s="36">
        <v>6.85</v>
      </c>
      <c r="F18" s="37">
        <f t="shared" si="0"/>
        <v>6.85</v>
      </c>
    </row>
    <row r="19" spans="1:9" x14ac:dyDescent="0.3">
      <c r="B19" s="22"/>
      <c r="C19" t="s">
        <v>25</v>
      </c>
      <c r="D19">
        <v>1</v>
      </c>
      <c r="E19" s="36">
        <v>0.28000000000000003</v>
      </c>
      <c r="F19" s="37">
        <f t="shared" si="0"/>
        <v>0.28000000000000003</v>
      </c>
    </row>
    <row r="20" spans="1:9" x14ac:dyDescent="0.3">
      <c r="B20" s="17" t="s">
        <v>26</v>
      </c>
      <c r="C20" t="s">
        <v>27</v>
      </c>
      <c r="D20">
        <v>2</v>
      </c>
      <c r="E20" s="36">
        <v>0.6</v>
      </c>
      <c r="F20" s="37">
        <f t="shared" si="0"/>
        <v>1.2</v>
      </c>
    </row>
    <row r="21" spans="1:9" x14ac:dyDescent="0.3">
      <c r="B21" s="22"/>
      <c r="C21" t="s">
        <v>28</v>
      </c>
      <c r="D21">
        <v>1</v>
      </c>
      <c r="E21" s="36">
        <v>15.42</v>
      </c>
      <c r="F21" s="37">
        <f t="shared" si="0"/>
        <v>15.42</v>
      </c>
      <c r="G21" s="28" t="s">
        <v>29</v>
      </c>
    </row>
    <row r="22" spans="1:9" x14ac:dyDescent="0.3">
      <c r="B22" s="22" t="s">
        <v>30</v>
      </c>
      <c r="C22" t="s">
        <v>31</v>
      </c>
      <c r="D22">
        <v>1</v>
      </c>
      <c r="E22" s="38">
        <v>20.22</v>
      </c>
      <c r="F22" s="37">
        <f t="shared" si="0"/>
        <v>20.22</v>
      </c>
    </row>
    <row r="23" spans="1:9" x14ac:dyDescent="0.3">
      <c r="B23" s="12"/>
      <c r="C23" s="23" t="s">
        <v>32</v>
      </c>
      <c r="D23" s="24">
        <v>1</v>
      </c>
      <c r="E23" s="39">
        <v>24</v>
      </c>
      <c r="F23" s="40">
        <f>E23*D23*1.5</f>
        <v>36</v>
      </c>
      <c r="G23" s="28" t="s">
        <v>33</v>
      </c>
    </row>
    <row r="24" spans="1:9" ht="15" customHeight="1" thickBot="1" x14ac:dyDescent="0.35">
      <c r="B24" s="13"/>
      <c r="C24" s="25"/>
      <c r="D24" s="26"/>
      <c r="E24" s="41" t="s">
        <v>34</v>
      </c>
      <c r="F24" s="42">
        <f>SUM(F3:F23)</f>
        <v>641.66999999999996</v>
      </c>
    </row>
    <row r="25" spans="1:9" ht="15" customHeight="1" thickBot="1" x14ac:dyDescent="0.35">
      <c r="A25" s="3" t="s">
        <v>35</v>
      </c>
    </row>
    <row r="26" spans="1:9" x14ac:dyDescent="0.3">
      <c r="B26" s="15" t="s">
        <v>36</v>
      </c>
      <c r="C26" s="16" t="s">
        <v>37</v>
      </c>
      <c r="D26" s="6">
        <v>1</v>
      </c>
      <c r="E26" s="34">
        <v>0.27</v>
      </c>
      <c r="F26" s="35">
        <f t="shared" ref="F26:F35" si="1">E26*D26</f>
        <v>0.27</v>
      </c>
    </row>
    <row r="27" spans="1:9" x14ac:dyDescent="0.3">
      <c r="B27" s="17" t="s">
        <v>38</v>
      </c>
      <c r="C27" s="18" t="s">
        <v>39</v>
      </c>
      <c r="D27">
        <v>1</v>
      </c>
      <c r="E27" s="36">
        <v>0.24</v>
      </c>
      <c r="F27" s="37">
        <f t="shared" si="1"/>
        <v>0.24</v>
      </c>
      <c r="I27" t="s">
        <v>40</v>
      </c>
    </row>
    <row r="28" spans="1:9" x14ac:dyDescent="0.3">
      <c r="B28" s="17" t="s">
        <v>41</v>
      </c>
      <c r="C28" s="18" t="s">
        <v>42</v>
      </c>
      <c r="D28">
        <v>2</v>
      </c>
      <c r="E28" s="36">
        <v>2.06</v>
      </c>
      <c r="F28" s="37">
        <f t="shared" si="1"/>
        <v>4.12</v>
      </c>
    </row>
    <row r="29" spans="1:9" x14ac:dyDescent="0.3">
      <c r="B29" s="17" t="s">
        <v>43</v>
      </c>
      <c r="C29" s="18" t="s">
        <v>44</v>
      </c>
      <c r="D29">
        <v>3</v>
      </c>
      <c r="E29" s="36">
        <v>0.13</v>
      </c>
      <c r="F29" s="37">
        <f t="shared" si="1"/>
        <v>0.39</v>
      </c>
    </row>
    <row r="30" spans="1:9" x14ac:dyDescent="0.3">
      <c r="B30" s="17" t="s">
        <v>45</v>
      </c>
      <c r="C30" s="18" t="s">
        <v>46</v>
      </c>
      <c r="D30">
        <v>1</v>
      </c>
      <c r="E30" s="36">
        <v>0.11</v>
      </c>
      <c r="F30" s="37">
        <f t="shared" si="1"/>
        <v>0.11</v>
      </c>
    </row>
    <row r="31" spans="1:9" x14ac:dyDescent="0.3">
      <c r="B31" s="17" t="s">
        <v>47</v>
      </c>
      <c r="C31" s="18" t="s">
        <v>48</v>
      </c>
      <c r="D31">
        <v>4</v>
      </c>
      <c r="E31" s="36">
        <v>4.55</v>
      </c>
      <c r="F31" s="37">
        <f t="shared" si="1"/>
        <v>18.2</v>
      </c>
    </row>
    <row r="32" spans="1:9" x14ac:dyDescent="0.3">
      <c r="B32" s="17" t="s">
        <v>49</v>
      </c>
      <c r="C32" s="18" t="s">
        <v>50</v>
      </c>
      <c r="D32">
        <v>1</v>
      </c>
      <c r="E32" s="36">
        <v>3.6</v>
      </c>
      <c r="F32" s="37">
        <f t="shared" si="1"/>
        <v>3.6</v>
      </c>
    </row>
    <row r="33" spans="1:12" x14ac:dyDescent="0.3">
      <c r="B33" s="17" t="s">
        <v>51</v>
      </c>
      <c r="C33" s="18" t="s">
        <v>52</v>
      </c>
      <c r="D33">
        <v>2</v>
      </c>
      <c r="E33" s="36">
        <v>1.47</v>
      </c>
      <c r="F33" s="37">
        <f t="shared" si="1"/>
        <v>2.94</v>
      </c>
    </row>
    <row r="34" spans="1:12" x14ac:dyDescent="0.3">
      <c r="B34" s="17" t="s">
        <v>53</v>
      </c>
      <c r="C34" s="18" t="s">
        <v>54</v>
      </c>
      <c r="D34">
        <v>1</v>
      </c>
      <c r="E34" s="36">
        <v>2.09</v>
      </c>
      <c r="F34" s="37">
        <f t="shared" si="1"/>
        <v>2.09</v>
      </c>
    </row>
    <row r="35" spans="1:12" x14ac:dyDescent="0.3">
      <c r="B35" s="17" t="s">
        <v>55</v>
      </c>
      <c r="C35" s="18" t="s">
        <v>56</v>
      </c>
      <c r="D35">
        <v>1</v>
      </c>
      <c r="E35">
        <v>2.59</v>
      </c>
      <c r="F35" s="37">
        <f t="shared" si="1"/>
        <v>2.59</v>
      </c>
    </row>
    <row r="36" spans="1:12" ht="15" customHeight="1" thickBot="1" x14ac:dyDescent="0.35">
      <c r="B36" s="19"/>
      <c r="C36" s="20"/>
      <c r="D36" s="14"/>
      <c r="E36" s="41" t="s">
        <v>34</v>
      </c>
      <c r="F36" s="42">
        <f>SUM(F26:F35)</f>
        <v>34.549999999999997</v>
      </c>
    </row>
    <row r="37" spans="1:12" ht="15" customHeight="1" thickBot="1" x14ac:dyDescent="0.35">
      <c r="A37" s="3" t="s">
        <v>57</v>
      </c>
    </row>
    <row r="38" spans="1:12" x14ac:dyDescent="0.3">
      <c r="B38" s="69" t="s">
        <v>58</v>
      </c>
      <c r="C38" s="70"/>
      <c r="D38" s="70"/>
      <c r="E38" s="70"/>
      <c r="F38" s="71"/>
      <c r="H38" s="69" t="s">
        <v>59</v>
      </c>
      <c r="I38" s="70"/>
      <c r="J38" s="70"/>
      <c r="K38" s="70"/>
      <c r="L38" s="71"/>
    </row>
    <row r="39" spans="1:12" x14ac:dyDescent="0.3">
      <c r="B39" s="31" t="s">
        <v>60</v>
      </c>
      <c r="E39" s="36"/>
      <c r="F39" s="37"/>
      <c r="H39" s="31" t="s">
        <v>60</v>
      </c>
      <c r="I39" s="28" t="s">
        <v>61</v>
      </c>
      <c r="K39" s="36"/>
      <c r="L39" s="37"/>
    </row>
    <row r="40" spans="1:12" x14ac:dyDescent="0.3">
      <c r="B40" s="12"/>
      <c r="C40" t="s">
        <v>62</v>
      </c>
      <c r="D40">
        <v>3.5</v>
      </c>
      <c r="E40" s="36">
        <v>0.26</v>
      </c>
      <c r="F40" s="37">
        <f>E40*D40</f>
        <v>0.91</v>
      </c>
      <c r="H40" s="12"/>
      <c r="I40" t="s">
        <v>62</v>
      </c>
      <c r="J40">
        <v>3.5</v>
      </c>
      <c r="K40" s="36">
        <v>0.26</v>
      </c>
      <c r="L40" s="37">
        <f>K40*J40</f>
        <v>0.91</v>
      </c>
    </row>
    <row r="41" spans="1:12" x14ac:dyDescent="0.3">
      <c r="B41" s="12"/>
      <c r="C41" t="s">
        <v>63</v>
      </c>
      <c r="D41">
        <v>8</v>
      </c>
      <c r="E41" s="36">
        <v>0.2</v>
      </c>
      <c r="F41" s="37">
        <f>E41*D41</f>
        <v>1.6</v>
      </c>
      <c r="H41" s="12"/>
      <c r="I41" t="s">
        <v>63</v>
      </c>
      <c r="J41">
        <v>8</v>
      </c>
      <c r="K41" s="36">
        <v>0.2</v>
      </c>
      <c r="L41" s="37">
        <f>K41*J41</f>
        <v>1.6</v>
      </c>
    </row>
    <row r="42" spans="1:12" x14ac:dyDescent="0.3">
      <c r="B42" s="31" t="s">
        <v>64</v>
      </c>
      <c r="C42" s="28" t="s">
        <v>65</v>
      </c>
      <c r="E42" s="36"/>
      <c r="F42" s="37"/>
      <c r="H42" s="31" t="s">
        <v>64</v>
      </c>
      <c r="I42" s="28" t="s">
        <v>65</v>
      </c>
      <c r="K42" s="36"/>
      <c r="L42" s="37"/>
    </row>
    <row r="43" spans="1:12" x14ac:dyDescent="0.3">
      <c r="B43" s="12"/>
      <c r="C43" t="s">
        <v>66</v>
      </c>
      <c r="D43">
        <v>0.312</v>
      </c>
      <c r="E43" s="36">
        <v>2.4500000000000002</v>
      </c>
      <c r="F43" s="37">
        <f>(E43*D43)+6</f>
        <v>6.7644000000000002</v>
      </c>
      <c r="H43" s="12"/>
      <c r="I43" t="s">
        <v>66</v>
      </c>
      <c r="J43">
        <v>0.312</v>
      </c>
      <c r="K43" s="36">
        <v>2.4500000000000002</v>
      </c>
      <c r="L43" s="37">
        <f>(K43*J43)+18</f>
        <v>18.764399999999998</v>
      </c>
    </row>
    <row r="44" spans="1:12" x14ac:dyDescent="0.3">
      <c r="B44" s="12"/>
      <c r="C44" t="s">
        <v>67</v>
      </c>
      <c r="D44">
        <v>0.47499999999999998</v>
      </c>
      <c r="E44" s="36">
        <v>6.3</v>
      </c>
      <c r="F44" s="37">
        <f>(E44*D44)+6</f>
        <v>8.9924999999999997</v>
      </c>
      <c r="H44" s="12"/>
      <c r="I44" t="s">
        <v>67</v>
      </c>
      <c r="J44">
        <v>0.47499999999999998</v>
      </c>
      <c r="K44" s="36">
        <v>6.3</v>
      </c>
      <c r="L44" s="37">
        <f>(K44*J44)+18</f>
        <v>20.9925</v>
      </c>
    </row>
    <row r="45" spans="1:12" x14ac:dyDescent="0.3">
      <c r="B45" s="12"/>
      <c r="C45" t="s">
        <v>68</v>
      </c>
      <c r="D45">
        <v>7.3999999999999996E-2</v>
      </c>
      <c r="E45" s="36">
        <v>4.13</v>
      </c>
      <c r="F45" s="37">
        <f>(E45*D45)+6</f>
        <v>6.3056200000000002</v>
      </c>
      <c r="H45" s="12"/>
      <c r="I45" t="s">
        <v>68</v>
      </c>
      <c r="J45">
        <v>7.3999999999999996E-2</v>
      </c>
      <c r="K45" s="36">
        <v>4.13</v>
      </c>
      <c r="L45" s="37">
        <f>(K45*J45)+18</f>
        <v>18.305620000000001</v>
      </c>
    </row>
    <row r="46" spans="1:12" x14ac:dyDescent="0.3">
      <c r="B46" s="12"/>
      <c r="C46" t="s">
        <v>69</v>
      </c>
      <c r="D46">
        <v>0.48199999999999998</v>
      </c>
      <c r="E46" s="36">
        <v>26.41</v>
      </c>
      <c r="F46" s="37">
        <f>(E46*D46)+6</f>
        <v>18.729619999999997</v>
      </c>
      <c r="H46" s="12"/>
      <c r="I46" t="s">
        <v>69</v>
      </c>
      <c r="J46">
        <v>0.48199999999999998</v>
      </c>
      <c r="K46" s="36">
        <v>26.41</v>
      </c>
      <c r="L46" s="37">
        <f>(K46*J46)+18</f>
        <v>30.729619999999997</v>
      </c>
    </row>
    <row r="47" spans="1:12" x14ac:dyDescent="0.3">
      <c r="B47" s="31" t="s">
        <v>70</v>
      </c>
      <c r="C47" s="28" t="s">
        <v>65</v>
      </c>
      <c r="E47" s="36"/>
      <c r="F47" s="37"/>
      <c r="H47" s="31" t="s">
        <v>71</v>
      </c>
      <c r="I47" s="28" t="s">
        <v>72</v>
      </c>
      <c r="K47" s="36"/>
      <c r="L47" s="37"/>
    </row>
    <row r="48" spans="1:12" x14ac:dyDescent="0.3">
      <c r="B48" s="12"/>
      <c r="C48" t="s">
        <v>73</v>
      </c>
      <c r="D48">
        <v>8.6639999999999997</v>
      </c>
      <c r="E48" s="36">
        <v>1.75</v>
      </c>
      <c r="F48" s="37">
        <f t="shared" ref="F48:F55" si="2">(E48*D48)+12.25</f>
        <v>27.411999999999999</v>
      </c>
      <c r="H48" s="12"/>
      <c r="K48" s="36"/>
      <c r="L48" s="43"/>
    </row>
    <row r="49" spans="1:12" x14ac:dyDescent="0.3">
      <c r="B49" s="12"/>
      <c r="C49" t="s">
        <v>74</v>
      </c>
      <c r="D49">
        <v>0.24299999999999999</v>
      </c>
      <c r="E49" s="36">
        <v>2.63</v>
      </c>
      <c r="F49" s="37">
        <f t="shared" si="2"/>
        <v>12.889089999999999</v>
      </c>
      <c r="H49" s="12"/>
      <c r="K49" s="36"/>
      <c r="L49" s="37"/>
    </row>
    <row r="50" spans="1:12" x14ac:dyDescent="0.3">
      <c r="B50" s="12"/>
      <c r="C50" t="s">
        <v>75</v>
      </c>
      <c r="D50">
        <v>16.425999999999998</v>
      </c>
      <c r="E50" s="36">
        <v>1.69</v>
      </c>
      <c r="F50" s="37">
        <f t="shared" si="2"/>
        <v>40.00994</v>
      </c>
      <c r="H50" s="12"/>
      <c r="K50" s="36"/>
      <c r="L50" s="37"/>
    </row>
    <row r="51" spans="1:12" x14ac:dyDescent="0.3">
      <c r="B51" s="12"/>
      <c r="C51" t="s">
        <v>76</v>
      </c>
      <c r="D51">
        <v>8.4369999999999994</v>
      </c>
      <c r="E51" s="36">
        <v>1.62</v>
      </c>
      <c r="F51" s="37">
        <f t="shared" si="2"/>
        <v>25.917940000000002</v>
      </c>
      <c r="H51" s="12"/>
      <c r="K51" s="36"/>
      <c r="L51" s="37"/>
    </row>
    <row r="52" spans="1:12" x14ac:dyDescent="0.3">
      <c r="B52" s="12"/>
      <c r="C52" t="s">
        <v>77</v>
      </c>
      <c r="D52">
        <v>3.0649999999999999</v>
      </c>
      <c r="E52" s="36">
        <v>1.62</v>
      </c>
      <c r="F52" s="37">
        <f t="shared" si="2"/>
        <v>17.215299999999999</v>
      </c>
      <c r="H52" s="12"/>
      <c r="K52" s="36"/>
      <c r="L52" s="37"/>
    </row>
    <row r="53" spans="1:12" x14ac:dyDescent="0.3">
      <c r="B53" s="12"/>
      <c r="C53" t="s">
        <v>78</v>
      </c>
      <c r="D53">
        <v>8.5999999999999993E-2</v>
      </c>
      <c r="E53" s="36">
        <v>2.86</v>
      </c>
      <c r="F53" s="37">
        <f t="shared" si="2"/>
        <v>12.49596</v>
      </c>
      <c r="H53" s="12"/>
      <c r="K53" s="36"/>
      <c r="L53" s="37"/>
    </row>
    <row r="54" spans="1:12" x14ac:dyDescent="0.3">
      <c r="B54" s="12"/>
      <c r="C54" t="s">
        <v>79</v>
      </c>
      <c r="D54">
        <v>6.625</v>
      </c>
      <c r="E54" s="36">
        <v>1.67</v>
      </c>
      <c r="F54" s="37">
        <f t="shared" si="2"/>
        <v>23.313749999999999</v>
      </c>
      <c r="H54" s="12"/>
      <c r="K54" s="36"/>
      <c r="L54" s="37"/>
    </row>
    <row r="55" spans="1:12" x14ac:dyDescent="0.3">
      <c r="B55" s="12"/>
      <c r="C55" t="s">
        <v>80</v>
      </c>
      <c r="D55">
        <v>1.1950000000000001</v>
      </c>
      <c r="E55" s="36">
        <v>3.18</v>
      </c>
      <c r="F55" s="37">
        <f t="shared" si="2"/>
        <v>16.0501</v>
      </c>
      <c r="H55" s="12"/>
      <c r="K55" s="36"/>
      <c r="L55" s="37"/>
    </row>
    <row r="56" spans="1:12" ht="15" customHeight="1" thickBot="1" x14ac:dyDescent="0.35">
      <c r="B56" s="13"/>
      <c r="C56" s="14"/>
      <c r="D56" s="14"/>
      <c r="E56" s="11" t="s">
        <v>34</v>
      </c>
      <c r="F56" s="44">
        <f>SUM(F40:F55)</f>
        <v>218.60621999999995</v>
      </c>
      <c r="H56" s="13"/>
      <c r="I56" s="14"/>
      <c r="J56" s="14"/>
      <c r="K56" s="11" t="s">
        <v>34</v>
      </c>
      <c r="L56" s="44">
        <f>SUM(L40:L55)</f>
        <v>91.302139999999994</v>
      </c>
    </row>
    <row r="57" spans="1:12" ht="15" customHeight="1" thickBot="1" x14ac:dyDescent="0.35"/>
    <row r="58" spans="1:12" ht="15" customHeight="1" thickBot="1" x14ac:dyDescent="0.35">
      <c r="E58" s="27" t="s">
        <v>81</v>
      </c>
      <c r="F58" s="45">
        <f>SUM(F56,F36,F24)</f>
        <v>894.82621999999992</v>
      </c>
      <c r="K58" s="27" t="s">
        <v>81</v>
      </c>
      <c r="L58" s="45">
        <f>SUM(L56,F36,F24)</f>
        <v>767.52213999999992</v>
      </c>
    </row>
    <row r="61" spans="1:12" ht="15" customHeight="1" thickBot="1" x14ac:dyDescent="0.35">
      <c r="E61" s="36"/>
      <c r="F61" s="38"/>
    </row>
    <row r="62" spans="1:12" x14ac:dyDescent="0.3">
      <c r="A62" s="3" t="s">
        <v>82</v>
      </c>
      <c r="B62" s="5" t="s">
        <v>83</v>
      </c>
      <c r="C62" s="46">
        <v>36.46</v>
      </c>
      <c r="D62" s="29" t="s">
        <v>84</v>
      </c>
      <c r="E62" s="6"/>
      <c r="F62" s="7"/>
      <c r="H62" s="5" t="s">
        <v>85</v>
      </c>
      <c r="I62" s="46">
        <f>36.46*20/6.86</f>
        <v>106.29737609329446</v>
      </c>
      <c r="J62" s="29" t="s">
        <v>84</v>
      </c>
      <c r="K62" s="6"/>
      <c r="L62" s="7"/>
    </row>
    <row r="63" spans="1:12" ht="15" customHeight="1" thickBot="1" x14ac:dyDescent="0.35">
      <c r="B63" s="8"/>
      <c r="C63" s="32" t="s">
        <v>86</v>
      </c>
      <c r="D63" s="32" t="s">
        <v>87</v>
      </c>
      <c r="E63" s="4"/>
      <c r="F63" s="9"/>
      <c r="H63" s="8"/>
      <c r="I63" s="32" t="s">
        <v>86</v>
      </c>
      <c r="J63" s="32" t="s">
        <v>87</v>
      </c>
      <c r="K63" s="4"/>
      <c r="L63" s="9"/>
    </row>
    <row r="64" spans="1:12" ht="15" customHeight="1" thickTop="1" x14ac:dyDescent="0.3">
      <c r="B64" s="31" t="s">
        <v>88</v>
      </c>
      <c r="F64" s="10"/>
      <c r="H64" s="31" t="s">
        <v>88</v>
      </c>
      <c r="L64" s="10"/>
    </row>
    <row r="65" spans="2:12" x14ac:dyDescent="0.3">
      <c r="B65" s="12"/>
      <c r="C65" s="2" t="s">
        <v>89</v>
      </c>
      <c r="D65">
        <v>2</v>
      </c>
      <c r="E65" s="47">
        <f t="shared" ref="E65:E74" si="3">D65*$C$62/60</f>
        <v>1.2153333333333334</v>
      </c>
      <c r="F65" s="48">
        <f t="shared" ref="F65:F74" si="4">E65</f>
        <v>1.2153333333333334</v>
      </c>
      <c r="H65" s="12"/>
      <c r="I65" s="2" t="s">
        <v>89</v>
      </c>
      <c r="J65">
        <v>2</v>
      </c>
      <c r="K65" s="47">
        <f t="shared" ref="K65:K74" si="5">J65*$I$62/60</f>
        <v>3.5432458697764821</v>
      </c>
      <c r="L65" s="48">
        <f t="shared" ref="L65:L74" si="6">K65</f>
        <v>3.5432458697764821</v>
      </c>
    </row>
    <row r="66" spans="2:12" x14ac:dyDescent="0.3">
      <c r="B66" s="12"/>
      <c r="C66" s="2" t="s">
        <v>90</v>
      </c>
      <c r="D66">
        <v>3.5</v>
      </c>
      <c r="E66" s="47">
        <f t="shared" si="3"/>
        <v>2.1268333333333334</v>
      </c>
      <c r="F66" s="48">
        <f t="shared" si="4"/>
        <v>2.1268333333333334</v>
      </c>
      <c r="H66" s="12"/>
      <c r="I66" s="2" t="s">
        <v>90</v>
      </c>
      <c r="J66">
        <v>3.5</v>
      </c>
      <c r="K66" s="47">
        <f t="shared" si="5"/>
        <v>6.2006802721088432</v>
      </c>
      <c r="L66" s="48">
        <f t="shared" si="6"/>
        <v>6.2006802721088432</v>
      </c>
    </row>
    <row r="67" spans="2:12" x14ac:dyDescent="0.3">
      <c r="B67" s="12"/>
      <c r="C67" s="2" t="s">
        <v>91</v>
      </c>
      <c r="D67">
        <v>2</v>
      </c>
      <c r="E67" s="47">
        <f t="shared" si="3"/>
        <v>1.2153333333333334</v>
      </c>
      <c r="F67" s="48">
        <f t="shared" si="4"/>
        <v>1.2153333333333334</v>
      </c>
      <c r="H67" s="12"/>
      <c r="I67" s="2" t="s">
        <v>91</v>
      </c>
      <c r="J67">
        <v>2</v>
      </c>
      <c r="K67" s="47">
        <f t="shared" si="5"/>
        <v>3.5432458697764821</v>
      </c>
      <c r="L67" s="48">
        <f t="shared" si="6"/>
        <v>3.5432458697764821</v>
      </c>
    </row>
    <row r="68" spans="2:12" x14ac:dyDescent="0.3">
      <c r="B68" s="12"/>
      <c r="C68" s="2" t="s">
        <v>92</v>
      </c>
      <c r="D68">
        <v>6</v>
      </c>
      <c r="E68" s="47">
        <f t="shared" si="3"/>
        <v>3.6459999999999999</v>
      </c>
      <c r="F68" s="48">
        <f t="shared" si="4"/>
        <v>3.6459999999999999</v>
      </c>
      <c r="H68" s="12"/>
      <c r="I68" s="2" t="s">
        <v>92</v>
      </c>
      <c r="J68">
        <v>6</v>
      </c>
      <c r="K68" s="47">
        <f t="shared" si="5"/>
        <v>10.629737609329446</v>
      </c>
      <c r="L68" s="48">
        <f t="shared" si="6"/>
        <v>10.629737609329446</v>
      </c>
    </row>
    <row r="69" spans="2:12" x14ac:dyDescent="0.3">
      <c r="B69" s="12"/>
      <c r="C69" s="2" t="s">
        <v>93</v>
      </c>
      <c r="D69">
        <v>3.5</v>
      </c>
      <c r="E69" s="47">
        <f t="shared" si="3"/>
        <v>2.1268333333333334</v>
      </c>
      <c r="F69" s="48">
        <f t="shared" si="4"/>
        <v>2.1268333333333334</v>
      </c>
      <c r="H69" s="12"/>
      <c r="I69" s="2" t="s">
        <v>93</v>
      </c>
      <c r="J69">
        <v>3.5</v>
      </c>
      <c r="K69" s="47">
        <f t="shared" si="5"/>
        <v>6.2006802721088432</v>
      </c>
      <c r="L69" s="48">
        <f t="shared" si="6"/>
        <v>6.2006802721088432</v>
      </c>
    </row>
    <row r="70" spans="2:12" x14ac:dyDescent="0.3">
      <c r="B70" s="12"/>
      <c r="C70" s="2" t="s">
        <v>94</v>
      </c>
      <c r="D70">
        <v>5</v>
      </c>
      <c r="E70" s="47">
        <f t="shared" si="3"/>
        <v>3.0383333333333336</v>
      </c>
      <c r="F70" s="48">
        <f t="shared" si="4"/>
        <v>3.0383333333333336</v>
      </c>
      <c r="H70" s="12"/>
      <c r="I70" s="2" t="s">
        <v>94</v>
      </c>
      <c r="J70">
        <v>5</v>
      </c>
      <c r="K70" s="47">
        <f t="shared" si="5"/>
        <v>8.8581146744412038</v>
      </c>
      <c r="L70" s="48">
        <f t="shared" si="6"/>
        <v>8.8581146744412038</v>
      </c>
    </row>
    <row r="71" spans="2:12" x14ac:dyDescent="0.3">
      <c r="B71" s="12"/>
      <c r="C71" s="2" t="s">
        <v>95</v>
      </c>
      <c r="D71">
        <v>15</v>
      </c>
      <c r="E71" s="47">
        <f t="shared" si="3"/>
        <v>9.1150000000000002</v>
      </c>
      <c r="F71" s="48">
        <f t="shared" si="4"/>
        <v>9.1150000000000002</v>
      </c>
      <c r="H71" s="12"/>
      <c r="I71" s="2" t="s">
        <v>95</v>
      </c>
      <c r="J71">
        <v>15</v>
      </c>
      <c r="K71" s="47">
        <f t="shared" si="5"/>
        <v>26.574344023323615</v>
      </c>
      <c r="L71" s="48">
        <f t="shared" si="6"/>
        <v>26.574344023323615</v>
      </c>
    </row>
    <row r="72" spans="2:12" x14ac:dyDescent="0.3">
      <c r="B72" s="12"/>
      <c r="C72" s="2" t="s">
        <v>96</v>
      </c>
      <c r="D72">
        <v>15</v>
      </c>
      <c r="E72" s="47">
        <f t="shared" si="3"/>
        <v>9.1150000000000002</v>
      </c>
      <c r="F72" s="48">
        <f t="shared" si="4"/>
        <v>9.1150000000000002</v>
      </c>
      <c r="H72" s="12"/>
      <c r="I72" s="2" t="s">
        <v>96</v>
      </c>
      <c r="J72">
        <v>15</v>
      </c>
      <c r="K72" s="47">
        <f t="shared" si="5"/>
        <v>26.574344023323615</v>
      </c>
      <c r="L72" s="48">
        <f t="shared" si="6"/>
        <v>26.574344023323615</v>
      </c>
    </row>
    <row r="73" spans="2:12" x14ac:dyDescent="0.3">
      <c r="B73" s="12"/>
      <c r="C73" s="2" t="s">
        <v>97</v>
      </c>
      <c r="D73">
        <v>2.5</v>
      </c>
      <c r="E73" s="47">
        <f t="shared" si="3"/>
        <v>1.5191666666666668</v>
      </c>
      <c r="F73" s="48">
        <f t="shared" si="4"/>
        <v>1.5191666666666668</v>
      </c>
      <c r="H73" s="12"/>
      <c r="I73" s="2" t="s">
        <v>97</v>
      </c>
      <c r="J73">
        <v>2.5</v>
      </c>
      <c r="K73" s="47">
        <f t="shared" si="5"/>
        <v>4.4290573372206019</v>
      </c>
      <c r="L73" s="48">
        <f t="shared" si="6"/>
        <v>4.4290573372206019</v>
      </c>
    </row>
    <row r="74" spans="2:12" x14ac:dyDescent="0.3">
      <c r="B74" s="12"/>
      <c r="C74" s="2" t="s">
        <v>98</v>
      </c>
      <c r="D74">
        <f>21*24/60</f>
        <v>8.4</v>
      </c>
      <c r="E74" s="47">
        <f t="shared" si="3"/>
        <v>5.1044</v>
      </c>
      <c r="F74" s="48">
        <f t="shared" si="4"/>
        <v>5.1044</v>
      </c>
      <c r="H74" s="12"/>
      <c r="I74" s="2" t="s">
        <v>98</v>
      </c>
      <c r="J74">
        <f>21*24/60</f>
        <v>8.4</v>
      </c>
      <c r="K74" s="47">
        <f t="shared" si="5"/>
        <v>14.881632653061224</v>
      </c>
      <c r="L74" s="48">
        <f t="shared" si="6"/>
        <v>14.881632653061224</v>
      </c>
    </row>
    <row r="75" spans="2:12" x14ac:dyDescent="0.3">
      <c r="B75" s="31" t="s">
        <v>99</v>
      </c>
      <c r="E75" s="47"/>
      <c r="F75" s="48"/>
      <c r="H75" s="31" t="s">
        <v>99</v>
      </c>
      <c r="K75" s="47"/>
      <c r="L75" s="48"/>
    </row>
    <row r="76" spans="2:12" x14ac:dyDescent="0.3">
      <c r="B76" s="12"/>
      <c r="C76" s="2" t="s">
        <v>100</v>
      </c>
      <c r="D76">
        <v>3.25</v>
      </c>
      <c r="E76" s="47">
        <f t="shared" ref="E76:E87" si="7">D76*$C$62/60</f>
        <v>1.9749166666666667</v>
      </c>
      <c r="F76" s="48">
        <f t="shared" ref="F76:F85" si="8">E76</f>
        <v>1.9749166666666667</v>
      </c>
      <c r="H76" s="12"/>
      <c r="I76" s="2" t="s">
        <v>100</v>
      </c>
      <c r="J76">
        <v>3.25</v>
      </c>
      <c r="K76" s="47">
        <f t="shared" ref="K76:K87" si="9">J76*$I$62/60</f>
        <v>5.7577745383867835</v>
      </c>
      <c r="L76" s="48">
        <f t="shared" ref="L76:L85" si="10">K76</f>
        <v>5.7577745383867835</v>
      </c>
    </row>
    <row r="77" spans="2:12" x14ac:dyDescent="0.3">
      <c r="B77" s="12"/>
      <c r="C77" s="2" t="s">
        <v>101</v>
      </c>
      <c r="D77">
        <v>10</v>
      </c>
      <c r="E77" s="47">
        <f t="shared" si="7"/>
        <v>6.0766666666666671</v>
      </c>
      <c r="F77" s="48">
        <f t="shared" si="8"/>
        <v>6.0766666666666671</v>
      </c>
      <c r="H77" s="12"/>
      <c r="I77" s="2" t="s">
        <v>101</v>
      </c>
      <c r="J77">
        <v>10</v>
      </c>
      <c r="K77" s="47">
        <f t="shared" si="9"/>
        <v>17.716229348882408</v>
      </c>
      <c r="L77" s="48">
        <f t="shared" si="10"/>
        <v>17.716229348882408</v>
      </c>
    </row>
    <row r="78" spans="2:12" x14ac:dyDescent="0.3">
      <c r="B78" s="12"/>
      <c r="C78" s="2" t="s">
        <v>102</v>
      </c>
      <c r="D78">
        <v>10</v>
      </c>
      <c r="E78" s="47">
        <f t="shared" si="7"/>
        <v>6.0766666666666671</v>
      </c>
      <c r="F78" s="48">
        <f t="shared" si="8"/>
        <v>6.0766666666666671</v>
      </c>
      <c r="H78" s="12"/>
      <c r="I78" s="2" t="s">
        <v>102</v>
      </c>
      <c r="J78">
        <v>10</v>
      </c>
      <c r="K78" s="47">
        <f t="shared" si="9"/>
        <v>17.716229348882408</v>
      </c>
      <c r="L78" s="48">
        <f t="shared" si="10"/>
        <v>17.716229348882408</v>
      </c>
    </row>
    <row r="79" spans="2:12" x14ac:dyDescent="0.3">
      <c r="B79" s="12"/>
      <c r="C79" s="2" t="s">
        <v>103</v>
      </c>
      <c r="D79">
        <v>15</v>
      </c>
      <c r="E79" s="47">
        <f t="shared" si="7"/>
        <v>9.1150000000000002</v>
      </c>
      <c r="F79" s="48">
        <f t="shared" si="8"/>
        <v>9.1150000000000002</v>
      </c>
      <c r="H79" s="12"/>
      <c r="I79" s="2" t="s">
        <v>103</v>
      </c>
      <c r="J79">
        <v>15</v>
      </c>
      <c r="K79" s="47">
        <f t="shared" si="9"/>
        <v>26.574344023323615</v>
      </c>
      <c r="L79" s="48">
        <f t="shared" si="10"/>
        <v>26.574344023323615</v>
      </c>
    </row>
    <row r="80" spans="2:12" x14ac:dyDescent="0.3">
      <c r="B80" s="12"/>
      <c r="C80" s="2" t="s">
        <v>104</v>
      </c>
      <c r="D80">
        <v>8</v>
      </c>
      <c r="E80" s="47">
        <f t="shared" si="7"/>
        <v>4.8613333333333335</v>
      </c>
      <c r="F80" s="48">
        <f t="shared" si="8"/>
        <v>4.8613333333333335</v>
      </c>
      <c r="H80" s="12"/>
      <c r="I80" s="2" t="s">
        <v>104</v>
      </c>
      <c r="J80">
        <v>8</v>
      </c>
      <c r="K80" s="47">
        <f t="shared" si="9"/>
        <v>14.172983479105929</v>
      </c>
      <c r="L80" s="48">
        <f t="shared" si="10"/>
        <v>14.172983479105929</v>
      </c>
    </row>
    <row r="81" spans="2:12" x14ac:dyDescent="0.3">
      <c r="B81" s="12"/>
      <c r="C81" s="2" t="s">
        <v>105</v>
      </c>
      <c r="D81">
        <v>5</v>
      </c>
      <c r="E81" s="47">
        <f t="shared" si="7"/>
        <v>3.0383333333333336</v>
      </c>
      <c r="F81" s="48">
        <f t="shared" si="8"/>
        <v>3.0383333333333336</v>
      </c>
      <c r="H81" s="12"/>
      <c r="I81" s="2" t="s">
        <v>105</v>
      </c>
      <c r="J81">
        <v>5</v>
      </c>
      <c r="K81" s="47">
        <f t="shared" si="9"/>
        <v>8.8581146744412038</v>
      </c>
      <c r="L81" s="48">
        <f t="shared" si="10"/>
        <v>8.8581146744412038</v>
      </c>
    </row>
    <row r="82" spans="2:12" x14ac:dyDescent="0.3">
      <c r="B82" s="12"/>
      <c r="C82" s="2" t="s">
        <v>106</v>
      </c>
      <c r="D82">
        <v>14.75</v>
      </c>
      <c r="E82" s="47">
        <f t="shared" si="7"/>
        <v>8.9630833333333335</v>
      </c>
      <c r="F82" s="48">
        <f t="shared" si="8"/>
        <v>8.9630833333333335</v>
      </c>
      <c r="H82" s="12"/>
      <c r="I82" s="2" t="s">
        <v>106</v>
      </c>
      <c r="J82">
        <v>14.75</v>
      </c>
      <c r="K82" s="47">
        <f t="shared" si="9"/>
        <v>26.131438289601554</v>
      </c>
      <c r="L82" s="48">
        <f t="shared" si="10"/>
        <v>26.131438289601554</v>
      </c>
    </row>
    <row r="83" spans="2:12" x14ac:dyDescent="0.3">
      <c r="B83" s="12"/>
      <c r="C83" s="2" t="s">
        <v>107</v>
      </c>
      <c r="D83">
        <v>4.75</v>
      </c>
      <c r="E83" s="47">
        <f t="shared" si="7"/>
        <v>2.8864166666666669</v>
      </c>
      <c r="F83" s="48">
        <f t="shared" si="8"/>
        <v>2.8864166666666669</v>
      </c>
      <c r="G83" s="38"/>
      <c r="H83" s="12"/>
      <c r="I83" s="2" t="s">
        <v>107</v>
      </c>
      <c r="J83">
        <v>4.75</v>
      </c>
      <c r="K83" s="47">
        <f t="shared" si="9"/>
        <v>8.415208940719145</v>
      </c>
      <c r="L83" s="48">
        <f t="shared" si="10"/>
        <v>8.415208940719145</v>
      </c>
    </row>
    <row r="84" spans="2:12" x14ac:dyDescent="0.3">
      <c r="B84" s="12"/>
      <c r="C84" s="2" t="s">
        <v>108</v>
      </c>
      <c r="D84">
        <v>4</v>
      </c>
      <c r="E84" s="47">
        <f t="shared" si="7"/>
        <v>2.4306666666666668</v>
      </c>
      <c r="F84" s="48">
        <f t="shared" si="8"/>
        <v>2.4306666666666668</v>
      </c>
      <c r="H84" s="12"/>
      <c r="I84" s="2" t="s">
        <v>108</v>
      </c>
      <c r="J84">
        <v>4</v>
      </c>
      <c r="K84" s="47">
        <f t="shared" si="9"/>
        <v>7.0864917395529643</v>
      </c>
      <c r="L84" s="48">
        <f t="shared" si="10"/>
        <v>7.0864917395529643</v>
      </c>
    </row>
    <row r="85" spans="2:12" x14ac:dyDescent="0.3">
      <c r="B85" s="12"/>
      <c r="C85" s="2" t="s">
        <v>109</v>
      </c>
      <c r="D85">
        <v>4</v>
      </c>
      <c r="E85" s="47">
        <f t="shared" si="7"/>
        <v>2.4306666666666668</v>
      </c>
      <c r="F85" s="48">
        <f t="shared" si="8"/>
        <v>2.4306666666666668</v>
      </c>
      <c r="G85" s="38"/>
      <c r="H85" s="12"/>
      <c r="I85" s="2" t="s">
        <v>109</v>
      </c>
      <c r="J85">
        <v>4</v>
      </c>
      <c r="K85" s="47">
        <f t="shared" si="9"/>
        <v>7.0864917395529643</v>
      </c>
      <c r="L85" s="48">
        <f t="shared" si="10"/>
        <v>7.0864917395529643</v>
      </c>
    </row>
    <row r="86" spans="2:12" x14ac:dyDescent="0.3">
      <c r="B86" s="12"/>
      <c r="C86" s="2" t="s">
        <v>110</v>
      </c>
      <c r="D86">
        <f>16*2</f>
        <v>32</v>
      </c>
      <c r="E86" s="47">
        <f t="shared" si="7"/>
        <v>19.445333333333334</v>
      </c>
      <c r="F86" s="48">
        <f>E86*2</f>
        <v>38.890666666666668</v>
      </c>
      <c r="H86" s="12"/>
      <c r="I86" s="2" t="s">
        <v>110</v>
      </c>
      <c r="J86">
        <f>16*2</f>
        <v>32</v>
      </c>
      <c r="K86" s="47">
        <f t="shared" si="9"/>
        <v>56.691933916423714</v>
      </c>
      <c r="L86" s="48">
        <f>K86*2</f>
        <v>113.38386783284743</v>
      </c>
    </row>
    <row r="87" spans="2:12" x14ac:dyDescent="0.3">
      <c r="B87" s="12"/>
      <c r="C87" s="2" t="s">
        <v>111</v>
      </c>
      <c r="D87">
        <v>7.5</v>
      </c>
      <c r="E87" s="47">
        <f t="shared" si="7"/>
        <v>4.5575000000000001</v>
      </c>
      <c r="F87" s="48">
        <f>E87</f>
        <v>4.5575000000000001</v>
      </c>
      <c r="H87" s="12"/>
      <c r="I87" s="2" t="s">
        <v>111</v>
      </c>
      <c r="J87">
        <v>7.5</v>
      </c>
      <c r="K87" s="47">
        <f t="shared" si="9"/>
        <v>13.287172011661808</v>
      </c>
      <c r="L87" s="48">
        <f>K87</f>
        <v>13.287172011661808</v>
      </c>
    </row>
    <row r="88" spans="2:12" x14ac:dyDescent="0.3">
      <c r="B88" s="12"/>
      <c r="F88" s="10"/>
      <c r="H88" s="12"/>
      <c r="L88" s="10"/>
    </row>
    <row r="89" spans="2:12" ht="15" customHeight="1" thickBot="1" x14ac:dyDescent="0.35">
      <c r="B89" s="13"/>
      <c r="C89" s="14"/>
      <c r="D89" s="14"/>
      <c r="E89" s="11" t="s">
        <v>112</v>
      </c>
      <c r="F89" s="44">
        <f>SUM(F65:F87)</f>
        <v>129.52414999999999</v>
      </c>
      <c r="H89" s="13"/>
      <c r="I89" s="14"/>
      <c r="J89" s="14"/>
      <c r="K89" s="11" t="s">
        <v>112</v>
      </c>
      <c r="L89" s="44">
        <f>SUM(L65:L87)</f>
        <v>377.62142857142862</v>
      </c>
    </row>
    <row r="90" spans="2:12" ht="15" customHeight="1" thickBot="1" x14ac:dyDescent="0.35"/>
    <row r="91" spans="2:12" ht="21.6" customHeight="1" thickBot="1" x14ac:dyDescent="0.45">
      <c r="E91" s="30" t="s">
        <v>113</v>
      </c>
      <c r="F91" s="49">
        <f>F89+F58</f>
        <v>1024.3503699999999</v>
      </c>
      <c r="K91" s="30" t="s">
        <v>113</v>
      </c>
      <c r="L91" s="49">
        <f>L89+L58</f>
        <v>1145.1435685714287</v>
      </c>
    </row>
  </sheetData>
  <mergeCells count="2">
    <mergeCell ref="H38:L38"/>
    <mergeCell ref="B38:F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3"/>
  <sheetViews>
    <sheetView workbookViewId="0">
      <pane ySplit="1" topLeftCell="A2" activePane="bottomLeft" state="frozen"/>
      <selection pane="bottomLeft" activeCell="I20" sqref="I20"/>
    </sheetView>
  </sheetViews>
  <sheetFormatPr defaultRowHeight="14.4" x14ac:dyDescent="0.3"/>
  <cols>
    <col min="1" max="1" width="24" style="1" customWidth="1"/>
    <col min="2" max="2" width="18" style="1" customWidth="1"/>
    <col min="3" max="3" width="42" style="1" customWidth="1"/>
    <col min="4" max="4" width="6" style="1" customWidth="1"/>
    <col min="5" max="6" width="16" style="1" customWidth="1"/>
    <col min="7" max="7" width="40.109375" style="1" bestFit="1" customWidth="1"/>
    <col min="8" max="8" width="18" style="1" customWidth="1"/>
    <col min="9" max="9" width="22" style="1" customWidth="1"/>
    <col min="10" max="10" width="14" style="1" customWidth="1"/>
    <col min="11" max="11" width="30" style="1" customWidth="1"/>
  </cols>
  <sheetData>
    <row r="1" spans="1:11" ht="31.95" customHeight="1" x14ac:dyDescent="0.3">
      <c r="A1" s="50" t="s">
        <v>0</v>
      </c>
      <c r="B1" s="50" t="s">
        <v>114</v>
      </c>
      <c r="C1" s="50" t="s">
        <v>2</v>
      </c>
      <c r="D1" s="50" t="s">
        <v>3</v>
      </c>
      <c r="E1" s="50" t="s">
        <v>133</v>
      </c>
      <c r="F1" s="50" t="s">
        <v>134</v>
      </c>
      <c r="G1" s="50" t="s">
        <v>115</v>
      </c>
      <c r="H1" s="50" t="s">
        <v>116</v>
      </c>
      <c r="I1" s="50" t="s">
        <v>117</v>
      </c>
      <c r="J1" s="50" t="s">
        <v>118</v>
      </c>
      <c r="K1" s="50" t="s">
        <v>119</v>
      </c>
    </row>
    <row r="2" spans="1:11" ht="18" customHeight="1" x14ac:dyDescent="0.3">
      <c r="A2" s="74" t="s">
        <v>6</v>
      </c>
      <c r="B2" s="74"/>
      <c r="C2" s="74" t="s">
        <v>10</v>
      </c>
      <c r="D2" s="75">
        <v>1</v>
      </c>
      <c r="E2" s="76">
        <v>160.53</v>
      </c>
      <c r="F2" s="76">
        <v>160.53</v>
      </c>
      <c r="G2" s="73"/>
      <c r="H2" s="55"/>
      <c r="I2" s="54"/>
      <c r="J2" s="54" t="s">
        <v>123</v>
      </c>
      <c r="K2" s="54"/>
    </row>
    <row r="3" spans="1:11" ht="18" customHeight="1" x14ac:dyDescent="0.3">
      <c r="A3" s="51" t="s">
        <v>6</v>
      </c>
      <c r="B3" s="51"/>
      <c r="C3" s="51" t="s">
        <v>20</v>
      </c>
      <c r="D3" s="52">
        <v>3</v>
      </c>
      <c r="E3" s="53">
        <v>30.5</v>
      </c>
      <c r="F3" s="53">
        <v>91.5</v>
      </c>
      <c r="G3" s="54"/>
      <c r="H3" s="55"/>
      <c r="I3" s="54"/>
      <c r="J3" s="54"/>
      <c r="K3" s="54"/>
    </row>
    <row r="4" spans="1:11" s="1" customFormat="1" ht="18" customHeight="1" x14ac:dyDescent="0.3">
      <c r="A4" s="51" t="s">
        <v>6</v>
      </c>
      <c r="B4" s="51">
        <v>3186699</v>
      </c>
      <c r="C4" s="51" t="s">
        <v>9</v>
      </c>
      <c r="D4" s="52">
        <v>1</v>
      </c>
      <c r="E4" s="53">
        <v>80.31</v>
      </c>
      <c r="F4" s="53">
        <v>80.31</v>
      </c>
      <c r="G4" s="72" t="s">
        <v>124</v>
      </c>
      <c r="H4" s="55" t="s">
        <v>125</v>
      </c>
      <c r="I4" s="54"/>
      <c r="J4" s="54"/>
      <c r="K4" s="54"/>
    </row>
    <row r="5" spans="1:11" s="1" customFormat="1" ht="18" customHeight="1" x14ac:dyDescent="0.3">
      <c r="A5" s="51"/>
      <c r="B5" s="51">
        <v>3241906</v>
      </c>
      <c r="C5" s="51" t="s">
        <v>21</v>
      </c>
      <c r="D5" s="52">
        <v>1</v>
      </c>
      <c r="E5" s="53">
        <v>64.37</v>
      </c>
      <c r="F5" s="53">
        <v>64.37</v>
      </c>
      <c r="G5" s="72"/>
      <c r="H5" s="55"/>
      <c r="I5" s="54"/>
      <c r="J5" s="54"/>
      <c r="K5" s="54"/>
    </row>
    <row r="6" spans="1:11" ht="18" customHeight="1" x14ac:dyDescent="0.3">
      <c r="A6" s="51" t="s">
        <v>6</v>
      </c>
      <c r="B6" s="51">
        <v>3113227</v>
      </c>
      <c r="C6" s="51" t="s">
        <v>16</v>
      </c>
      <c r="D6" s="52">
        <v>1</v>
      </c>
      <c r="E6" s="53">
        <v>46.31</v>
      </c>
      <c r="F6" s="53">
        <v>46.31</v>
      </c>
      <c r="G6" s="54"/>
      <c r="H6" s="55"/>
      <c r="I6" s="54"/>
      <c r="J6" s="54"/>
      <c r="K6" s="54"/>
    </row>
    <row r="7" spans="1:11" ht="18" customHeight="1" x14ac:dyDescent="0.3">
      <c r="A7" s="51" t="s">
        <v>6</v>
      </c>
      <c r="B7" s="51"/>
      <c r="C7" s="51" t="s">
        <v>131</v>
      </c>
      <c r="D7" s="52">
        <v>1</v>
      </c>
      <c r="E7" s="53">
        <v>46</v>
      </c>
      <c r="F7" s="53">
        <v>46</v>
      </c>
      <c r="G7" s="54"/>
      <c r="H7" s="55"/>
      <c r="I7" s="54"/>
      <c r="J7" s="54"/>
      <c r="K7" s="54"/>
    </row>
    <row r="8" spans="1:11" ht="18" customHeight="1" x14ac:dyDescent="0.3">
      <c r="A8" s="51" t="s">
        <v>6</v>
      </c>
      <c r="B8" s="51"/>
      <c r="C8" s="51" t="s">
        <v>32</v>
      </c>
      <c r="D8" s="52">
        <v>1</v>
      </c>
      <c r="E8" s="53">
        <v>24</v>
      </c>
      <c r="F8" s="53">
        <v>36</v>
      </c>
      <c r="G8" s="54"/>
      <c r="H8" s="55"/>
      <c r="I8" s="54"/>
      <c r="J8" s="54"/>
      <c r="K8" s="54"/>
    </row>
    <row r="9" spans="1:11" ht="18" customHeight="1" x14ac:dyDescent="0.3">
      <c r="A9" s="51" t="s">
        <v>6</v>
      </c>
      <c r="B9" s="51">
        <v>3128607</v>
      </c>
      <c r="C9" s="51" t="s">
        <v>22</v>
      </c>
      <c r="D9" s="52">
        <v>3</v>
      </c>
      <c r="E9" s="53">
        <v>8.17</v>
      </c>
      <c r="F9" s="53">
        <v>24.509999999999998</v>
      </c>
      <c r="G9" s="54"/>
      <c r="H9" s="55"/>
      <c r="I9" s="54"/>
      <c r="J9" s="54"/>
      <c r="K9" s="54"/>
    </row>
    <row r="10" spans="1:11" ht="18" customHeight="1" x14ac:dyDescent="0.3">
      <c r="A10" s="51" t="s">
        <v>6</v>
      </c>
      <c r="B10" s="51">
        <v>3241262</v>
      </c>
      <c r="C10" s="51" t="s">
        <v>14</v>
      </c>
      <c r="D10" s="52">
        <v>1</v>
      </c>
      <c r="E10" s="53">
        <v>24.21</v>
      </c>
      <c r="F10" s="53">
        <v>24.21</v>
      </c>
      <c r="G10" s="54"/>
      <c r="H10" s="55"/>
      <c r="I10" s="54"/>
      <c r="J10" s="54"/>
      <c r="K10" s="54"/>
    </row>
    <row r="11" spans="1:11" ht="18" customHeight="1" x14ac:dyDescent="0.3">
      <c r="A11" s="51" t="s">
        <v>6</v>
      </c>
      <c r="B11" s="51">
        <v>3072162</v>
      </c>
      <c r="C11" s="51" t="s">
        <v>13</v>
      </c>
      <c r="D11" s="52">
        <v>1</v>
      </c>
      <c r="E11" s="53">
        <v>23.95</v>
      </c>
      <c r="F11" s="53">
        <v>23.95</v>
      </c>
      <c r="G11" s="54"/>
      <c r="H11" s="55"/>
      <c r="I11" s="54"/>
      <c r="J11" s="54"/>
      <c r="K11" s="54"/>
    </row>
    <row r="12" spans="1:11" ht="18" customHeight="1" x14ac:dyDescent="0.3">
      <c r="A12" s="51" t="s">
        <v>6</v>
      </c>
      <c r="B12" s="51"/>
      <c r="C12" s="51" t="s">
        <v>132</v>
      </c>
      <c r="D12" s="52">
        <v>1</v>
      </c>
      <c r="E12" s="53">
        <v>22</v>
      </c>
      <c r="F12" s="53">
        <v>22</v>
      </c>
      <c r="G12" s="54"/>
      <c r="H12" s="55"/>
      <c r="I12" s="54"/>
      <c r="J12" s="54"/>
      <c r="K12" s="54"/>
    </row>
    <row r="13" spans="1:11" ht="18" customHeight="1" x14ac:dyDescent="0.3">
      <c r="A13" s="51" t="s">
        <v>6</v>
      </c>
      <c r="B13" s="51" t="s">
        <v>30</v>
      </c>
      <c r="C13" s="51" t="s">
        <v>31</v>
      </c>
      <c r="D13" s="52">
        <v>1</v>
      </c>
      <c r="E13" s="53">
        <v>20.22</v>
      </c>
      <c r="F13" s="53">
        <v>20.22</v>
      </c>
      <c r="G13" s="54"/>
      <c r="H13" s="55"/>
      <c r="I13" s="54"/>
      <c r="J13" s="54"/>
      <c r="K13" s="54"/>
    </row>
    <row r="14" spans="1:11" ht="18" customHeight="1" x14ac:dyDescent="0.3">
      <c r="A14" s="51" t="s">
        <v>6</v>
      </c>
      <c r="B14" s="51"/>
      <c r="C14" s="51" t="s">
        <v>28</v>
      </c>
      <c r="D14" s="52">
        <v>1</v>
      </c>
      <c r="E14" s="53">
        <v>15.42</v>
      </c>
      <c r="F14" s="53">
        <v>15.42</v>
      </c>
      <c r="G14" s="54"/>
      <c r="H14" s="55"/>
      <c r="I14" s="54"/>
      <c r="J14" s="54"/>
      <c r="K14" s="54"/>
    </row>
    <row r="15" spans="1:11" ht="18" customHeight="1" x14ac:dyDescent="0.3">
      <c r="A15" s="51" t="s">
        <v>6</v>
      </c>
      <c r="B15" s="51" t="s">
        <v>126</v>
      </c>
      <c r="C15" s="51" t="s">
        <v>127</v>
      </c>
      <c r="D15" s="52">
        <v>9</v>
      </c>
      <c r="E15" s="53">
        <v>1.46</v>
      </c>
      <c r="F15" s="53">
        <v>13.14</v>
      </c>
      <c r="G15" s="54"/>
      <c r="H15" s="55"/>
      <c r="I15" s="54"/>
      <c r="J15" s="54"/>
      <c r="K15" s="54"/>
    </row>
    <row r="16" spans="1:11" ht="18" customHeight="1" x14ac:dyDescent="0.3">
      <c r="A16" s="51" t="s">
        <v>6</v>
      </c>
      <c r="B16" s="51">
        <v>3130306</v>
      </c>
      <c r="C16" s="51" t="s">
        <v>18</v>
      </c>
      <c r="D16" s="52">
        <v>2</v>
      </c>
      <c r="E16" s="53">
        <v>5.51</v>
      </c>
      <c r="F16" s="53">
        <v>11.02</v>
      </c>
      <c r="G16" s="54"/>
      <c r="H16" s="55"/>
      <c r="I16" s="54"/>
      <c r="J16" s="54"/>
      <c r="K16" s="54"/>
    </row>
    <row r="17" spans="1:11" ht="18" customHeight="1" x14ac:dyDescent="0.3">
      <c r="A17" s="51" t="s">
        <v>6</v>
      </c>
      <c r="B17" s="51"/>
      <c r="C17" s="51" t="s">
        <v>25</v>
      </c>
      <c r="D17" s="52">
        <v>1</v>
      </c>
      <c r="E17" s="53">
        <v>10</v>
      </c>
      <c r="F17" s="53">
        <v>10</v>
      </c>
      <c r="G17" s="54"/>
      <c r="H17" s="55"/>
      <c r="I17" s="54"/>
      <c r="J17" s="54"/>
      <c r="K17" s="54"/>
    </row>
    <row r="18" spans="1:11" ht="18" customHeight="1" x14ac:dyDescent="0.3">
      <c r="A18" s="51" t="s">
        <v>6</v>
      </c>
      <c r="B18" s="51">
        <v>3204290</v>
      </c>
      <c r="C18" s="51" t="s">
        <v>11</v>
      </c>
      <c r="D18" s="52">
        <v>1</v>
      </c>
      <c r="E18" s="53">
        <v>9.48</v>
      </c>
      <c r="F18" s="53">
        <v>9.48</v>
      </c>
      <c r="G18" s="54"/>
      <c r="H18" s="55"/>
      <c r="I18" s="54"/>
      <c r="J18" s="54"/>
      <c r="K18" s="54"/>
    </row>
    <row r="19" spans="1:11" ht="18" customHeight="1" x14ac:dyDescent="0.3">
      <c r="A19" s="51" t="s">
        <v>6</v>
      </c>
      <c r="B19" s="51">
        <v>3119618</v>
      </c>
      <c r="C19" s="51" t="s">
        <v>17</v>
      </c>
      <c r="D19" s="52">
        <v>1</v>
      </c>
      <c r="E19" s="53">
        <v>7.95</v>
      </c>
      <c r="F19" s="53">
        <v>7.95</v>
      </c>
      <c r="G19" s="54"/>
      <c r="H19" s="55"/>
      <c r="I19" s="54"/>
      <c r="J19" s="54"/>
      <c r="K19" s="54"/>
    </row>
    <row r="20" spans="1:11" ht="18" customHeight="1" x14ac:dyDescent="0.3">
      <c r="A20" s="51" t="s">
        <v>6</v>
      </c>
      <c r="B20" s="51">
        <v>3130305</v>
      </c>
      <c r="C20" s="51" t="s">
        <v>19</v>
      </c>
      <c r="D20" s="52">
        <v>1</v>
      </c>
      <c r="E20" s="53">
        <v>7.59</v>
      </c>
      <c r="F20" s="53">
        <v>7.59</v>
      </c>
      <c r="G20" s="54"/>
      <c r="H20" s="55"/>
      <c r="I20" s="54"/>
      <c r="J20" s="54"/>
      <c r="K20" s="54"/>
    </row>
    <row r="21" spans="1:11" ht="18" customHeight="1" x14ac:dyDescent="0.3">
      <c r="A21" s="51" t="s">
        <v>6</v>
      </c>
      <c r="B21" s="51">
        <v>3247900</v>
      </c>
      <c r="C21" s="51" t="s">
        <v>23</v>
      </c>
      <c r="D21" s="52">
        <v>1</v>
      </c>
      <c r="E21" s="53">
        <v>7.03</v>
      </c>
      <c r="F21" s="53">
        <v>7.03</v>
      </c>
      <c r="G21" s="54"/>
      <c r="H21" s="55"/>
      <c r="I21" s="54"/>
      <c r="J21" s="54"/>
      <c r="K21" s="54"/>
    </row>
    <row r="22" spans="1:11" ht="18" customHeight="1" x14ac:dyDescent="0.3">
      <c r="A22" s="51" t="s">
        <v>6</v>
      </c>
      <c r="B22" s="51">
        <v>3192474</v>
      </c>
      <c r="C22" s="51" t="s">
        <v>24</v>
      </c>
      <c r="D22" s="52">
        <v>1</v>
      </c>
      <c r="E22" s="53">
        <v>6.85</v>
      </c>
      <c r="F22" s="53">
        <v>6.85</v>
      </c>
      <c r="G22" s="54"/>
      <c r="H22" s="55"/>
      <c r="I22" s="54"/>
      <c r="J22" s="54"/>
      <c r="K22" s="54"/>
    </row>
    <row r="23" spans="1:11" ht="18" customHeight="1" x14ac:dyDescent="0.3">
      <c r="A23" s="51" t="s">
        <v>6</v>
      </c>
      <c r="B23" s="51">
        <v>3153819</v>
      </c>
      <c r="C23" s="51" t="s">
        <v>15</v>
      </c>
      <c r="D23" s="52">
        <v>1</v>
      </c>
      <c r="E23" s="53">
        <v>6.16</v>
      </c>
      <c r="F23" s="53">
        <v>6.16</v>
      </c>
      <c r="G23" s="54"/>
      <c r="H23" s="55"/>
      <c r="I23" s="54"/>
      <c r="J23" s="54"/>
      <c r="K23" s="54"/>
    </row>
    <row r="24" spans="1:11" ht="18" customHeight="1" x14ac:dyDescent="0.3">
      <c r="A24" s="51" t="s">
        <v>6</v>
      </c>
      <c r="B24" s="51" t="s">
        <v>128</v>
      </c>
      <c r="C24" s="51" t="s">
        <v>129</v>
      </c>
      <c r="D24" s="51">
        <v>3</v>
      </c>
      <c r="E24" s="51">
        <v>2.02</v>
      </c>
      <c r="F24" s="51">
        <v>6.0600000000000005</v>
      </c>
      <c r="G24" s="54"/>
      <c r="H24" s="55"/>
      <c r="I24" s="54"/>
      <c r="J24" s="54"/>
      <c r="K24" s="54"/>
    </row>
    <row r="25" spans="1:11" ht="18" customHeight="1" x14ac:dyDescent="0.3">
      <c r="A25" s="51" t="s">
        <v>6</v>
      </c>
      <c r="B25" s="51"/>
      <c r="C25" s="51" t="s">
        <v>130</v>
      </c>
      <c r="D25" s="51">
        <v>1</v>
      </c>
      <c r="E25" s="51">
        <v>5</v>
      </c>
      <c r="F25" s="51">
        <v>5</v>
      </c>
      <c r="G25" s="54"/>
      <c r="H25" s="55"/>
      <c r="I25" s="54"/>
      <c r="J25" s="54"/>
      <c r="K25" s="54"/>
    </row>
    <row r="26" spans="1:11" ht="18" customHeight="1" x14ac:dyDescent="0.3">
      <c r="A26" s="51" t="s">
        <v>6</v>
      </c>
      <c r="B26" s="51">
        <v>3204352</v>
      </c>
      <c r="C26" s="51" t="s">
        <v>12</v>
      </c>
      <c r="D26" s="51">
        <v>1</v>
      </c>
      <c r="E26" s="51">
        <v>4.95</v>
      </c>
      <c r="F26" s="51">
        <v>4.95</v>
      </c>
      <c r="G26" s="54"/>
      <c r="H26" s="55"/>
      <c r="I26" s="54"/>
      <c r="J26" s="54"/>
      <c r="K26" s="54"/>
    </row>
    <row r="27" spans="1:11" ht="18" customHeight="1" x14ac:dyDescent="0.3">
      <c r="A27" s="51" t="s">
        <v>6</v>
      </c>
      <c r="B27" s="51" t="s">
        <v>26</v>
      </c>
      <c r="C27" s="51" t="s">
        <v>27</v>
      </c>
      <c r="D27" s="51">
        <v>2</v>
      </c>
      <c r="E27" s="51">
        <v>0.6</v>
      </c>
      <c r="F27" s="51">
        <v>1.2</v>
      </c>
      <c r="G27" s="54"/>
      <c r="H27" s="55"/>
      <c r="I27" s="54"/>
      <c r="J27" s="54"/>
      <c r="K27" s="54"/>
    </row>
    <row r="28" spans="1:11" ht="18" customHeight="1" x14ac:dyDescent="0.3">
      <c r="A28" s="56" t="s">
        <v>35</v>
      </c>
      <c r="B28" s="56" t="s">
        <v>47</v>
      </c>
      <c r="C28" s="56" t="s">
        <v>48</v>
      </c>
      <c r="D28" s="57">
        <v>4</v>
      </c>
      <c r="E28" s="58">
        <v>4.55</v>
      </c>
      <c r="F28" s="58">
        <v>18.2</v>
      </c>
      <c r="G28" s="54"/>
      <c r="H28" s="55"/>
      <c r="I28" s="54"/>
      <c r="J28" s="54"/>
      <c r="K28" s="54"/>
    </row>
    <row r="29" spans="1:11" ht="18" customHeight="1" x14ac:dyDescent="0.3">
      <c r="A29" s="56" t="s">
        <v>35</v>
      </c>
      <c r="B29" s="56" t="s">
        <v>49</v>
      </c>
      <c r="C29" s="56" t="s">
        <v>50</v>
      </c>
      <c r="D29" s="57">
        <v>1</v>
      </c>
      <c r="E29" s="58">
        <v>3.6</v>
      </c>
      <c r="F29" s="58">
        <v>3.6</v>
      </c>
      <c r="G29" s="54"/>
      <c r="H29" s="55"/>
      <c r="I29" s="54"/>
      <c r="J29" s="54"/>
      <c r="K29" s="54"/>
    </row>
    <row r="30" spans="1:11" ht="18" customHeight="1" x14ac:dyDescent="0.3">
      <c r="A30" s="56" t="s">
        <v>35</v>
      </c>
      <c r="B30" s="56" t="s">
        <v>55</v>
      </c>
      <c r="C30" s="56" t="s">
        <v>56</v>
      </c>
      <c r="D30" s="57">
        <v>1</v>
      </c>
      <c r="E30" s="58">
        <v>2.59</v>
      </c>
      <c r="F30" s="58">
        <v>2.59</v>
      </c>
      <c r="G30" s="54"/>
      <c r="H30" s="55"/>
      <c r="I30" s="54"/>
      <c r="J30" s="54"/>
      <c r="K30" s="54"/>
    </row>
    <row r="31" spans="1:11" ht="18" customHeight="1" x14ac:dyDescent="0.3">
      <c r="A31" s="56" t="s">
        <v>35</v>
      </c>
      <c r="B31" s="56" t="s">
        <v>53</v>
      </c>
      <c r="C31" s="56" t="s">
        <v>54</v>
      </c>
      <c r="D31" s="57">
        <v>1</v>
      </c>
      <c r="E31" s="58">
        <v>2.09</v>
      </c>
      <c r="F31" s="58">
        <v>2.09</v>
      </c>
      <c r="G31" s="54"/>
      <c r="H31" s="55"/>
      <c r="I31" s="54"/>
      <c r="J31" s="54"/>
      <c r="K31" s="54"/>
    </row>
    <row r="32" spans="1:11" ht="18" customHeight="1" x14ac:dyDescent="0.3">
      <c r="A32" s="56" t="s">
        <v>35</v>
      </c>
      <c r="B32" s="56" t="s">
        <v>41</v>
      </c>
      <c r="C32" s="56" t="s">
        <v>42</v>
      </c>
      <c r="D32" s="57">
        <v>2</v>
      </c>
      <c r="E32" s="58">
        <v>2.06</v>
      </c>
      <c r="F32" s="58">
        <v>4.12</v>
      </c>
      <c r="G32" s="54"/>
      <c r="H32" s="55"/>
      <c r="I32" s="54"/>
      <c r="J32" s="54"/>
      <c r="K32" s="54"/>
    </row>
    <row r="33" spans="1:11" ht="18" customHeight="1" x14ac:dyDescent="0.3">
      <c r="A33" s="56" t="s">
        <v>35</v>
      </c>
      <c r="B33" s="56" t="s">
        <v>51</v>
      </c>
      <c r="C33" s="56" t="s">
        <v>52</v>
      </c>
      <c r="D33" s="57">
        <v>2</v>
      </c>
      <c r="E33" s="58">
        <v>1.47</v>
      </c>
      <c r="F33" s="58">
        <v>2.94</v>
      </c>
      <c r="G33" s="54"/>
      <c r="H33" s="55"/>
      <c r="I33" s="54"/>
      <c r="J33" s="54"/>
      <c r="K33" s="54"/>
    </row>
    <row r="34" spans="1:11" ht="18" customHeight="1" x14ac:dyDescent="0.3">
      <c r="A34" s="56" t="s">
        <v>35</v>
      </c>
      <c r="B34" s="56" t="s">
        <v>36</v>
      </c>
      <c r="C34" s="56" t="s">
        <v>37</v>
      </c>
      <c r="D34" s="56">
        <v>1</v>
      </c>
      <c r="E34" s="56">
        <v>0.27</v>
      </c>
      <c r="F34" s="56">
        <v>0.27</v>
      </c>
      <c r="G34" s="54"/>
      <c r="H34" s="55"/>
      <c r="I34" s="54"/>
      <c r="J34" s="54"/>
      <c r="K34" s="54"/>
    </row>
    <row r="35" spans="1:11" ht="18" customHeight="1" x14ac:dyDescent="0.3">
      <c r="A35" s="56" t="s">
        <v>35</v>
      </c>
      <c r="B35" s="56" t="s">
        <v>38</v>
      </c>
      <c r="C35" s="56" t="s">
        <v>39</v>
      </c>
      <c r="D35" s="56">
        <v>1</v>
      </c>
      <c r="E35" s="56">
        <v>0.24</v>
      </c>
      <c r="F35" s="56">
        <v>0.24</v>
      </c>
      <c r="G35" s="54"/>
      <c r="H35" s="55"/>
      <c r="I35" s="54"/>
      <c r="J35" s="54"/>
      <c r="K35" s="54"/>
    </row>
    <row r="36" spans="1:11" ht="18" customHeight="1" x14ac:dyDescent="0.3">
      <c r="A36" s="56" t="s">
        <v>35</v>
      </c>
      <c r="B36" s="56" t="s">
        <v>43</v>
      </c>
      <c r="C36" s="56" t="s">
        <v>44</v>
      </c>
      <c r="D36" s="56">
        <v>3</v>
      </c>
      <c r="E36" s="56">
        <v>0.13</v>
      </c>
      <c r="F36" s="56">
        <v>0.39</v>
      </c>
      <c r="G36" s="54"/>
      <c r="H36" s="55"/>
      <c r="I36" s="54"/>
      <c r="J36" s="54"/>
      <c r="K36" s="54"/>
    </row>
    <row r="37" spans="1:11" ht="18" customHeight="1" x14ac:dyDescent="0.3">
      <c r="A37" s="56" t="s">
        <v>35</v>
      </c>
      <c r="B37" s="56" t="s">
        <v>45</v>
      </c>
      <c r="C37" s="56" t="s">
        <v>46</v>
      </c>
      <c r="D37" s="56">
        <v>1</v>
      </c>
      <c r="E37" s="56">
        <v>0.11</v>
      </c>
      <c r="F37" s="56">
        <v>0.11</v>
      </c>
      <c r="G37" s="54"/>
      <c r="H37" s="55"/>
      <c r="I37" s="54"/>
      <c r="J37" s="54"/>
      <c r="K37" s="54"/>
    </row>
    <row r="38" spans="1:11" s="81" customFormat="1" ht="18" customHeight="1" x14ac:dyDescent="0.3">
      <c r="A38" s="89" t="s">
        <v>120</v>
      </c>
      <c r="B38" s="89"/>
      <c r="C38" s="89" t="s">
        <v>69</v>
      </c>
      <c r="D38" s="89">
        <v>0.48199999999999998</v>
      </c>
      <c r="E38" s="90">
        <v>26.41</v>
      </c>
      <c r="F38" s="90">
        <v>30.729619999999997</v>
      </c>
      <c r="G38" s="54"/>
      <c r="H38" s="55"/>
      <c r="I38" s="54"/>
      <c r="J38" s="54"/>
      <c r="K38" s="54"/>
    </row>
    <row r="39" spans="1:11" s="81" customFormat="1" ht="18" customHeight="1" x14ac:dyDescent="0.3">
      <c r="A39" s="89" t="s">
        <v>120</v>
      </c>
      <c r="B39" s="89"/>
      <c r="C39" s="89" t="s">
        <v>67</v>
      </c>
      <c r="D39" s="89">
        <v>0.47499999999999998</v>
      </c>
      <c r="E39" s="90">
        <v>6.3</v>
      </c>
      <c r="F39" s="90">
        <v>20.9925</v>
      </c>
      <c r="G39" s="54"/>
      <c r="H39" s="55"/>
      <c r="I39" s="54"/>
      <c r="J39" s="54"/>
      <c r="K39" s="54"/>
    </row>
    <row r="40" spans="1:11" ht="18" customHeight="1" x14ac:dyDescent="0.3">
      <c r="A40" s="89" t="s">
        <v>120</v>
      </c>
      <c r="B40" s="89"/>
      <c r="C40" s="89" t="s">
        <v>66</v>
      </c>
      <c r="D40" s="89">
        <v>0.312</v>
      </c>
      <c r="E40" s="90">
        <v>2.4500000000000002</v>
      </c>
      <c r="F40" s="90">
        <v>18.764399999999998</v>
      </c>
      <c r="G40" s="54"/>
      <c r="H40" s="55"/>
      <c r="I40" s="54"/>
      <c r="J40" s="54"/>
      <c r="K40" s="54"/>
    </row>
    <row r="41" spans="1:11" ht="18" customHeight="1" x14ac:dyDescent="0.3">
      <c r="A41" s="89" t="s">
        <v>120</v>
      </c>
      <c r="B41" s="89"/>
      <c r="C41" s="89" t="s">
        <v>68</v>
      </c>
      <c r="D41" s="89">
        <v>7.3999999999999996E-2</v>
      </c>
      <c r="E41" s="90">
        <v>4.13</v>
      </c>
      <c r="F41" s="90">
        <v>18.305620000000001</v>
      </c>
      <c r="G41" s="54"/>
      <c r="H41" s="55"/>
      <c r="I41" s="54"/>
      <c r="J41" s="54"/>
      <c r="K41" s="54"/>
    </row>
    <row r="42" spans="1:11" ht="18" customHeight="1" x14ac:dyDescent="0.3">
      <c r="A42" s="59" t="s">
        <v>121</v>
      </c>
      <c r="B42" s="59"/>
      <c r="C42" s="59" t="s">
        <v>145</v>
      </c>
      <c r="D42" s="60">
        <v>1</v>
      </c>
      <c r="E42" s="61">
        <v>71.319999999999993</v>
      </c>
      <c r="F42" s="61">
        <v>71.319999999999993</v>
      </c>
      <c r="G42" s="54"/>
      <c r="H42" s="55"/>
      <c r="I42" s="54"/>
      <c r="J42" s="54"/>
      <c r="K42" s="54"/>
    </row>
    <row r="43" spans="1:11" ht="18" customHeight="1" x14ac:dyDescent="0.3">
      <c r="A43" s="59" t="s">
        <v>121</v>
      </c>
      <c r="B43" s="59"/>
      <c r="C43" s="59" t="s">
        <v>146</v>
      </c>
      <c r="D43" s="60">
        <v>1</v>
      </c>
      <c r="E43" s="61">
        <v>69.319999999999993</v>
      </c>
      <c r="F43" s="61">
        <v>69.319999999999993</v>
      </c>
      <c r="G43" s="54"/>
      <c r="H43" s="55"/>
      <c r="I43" s="54"/>
      <c r="J43" s="54"/>
      <c r="K43" s="54"/>
    </row>
    <row r="44" spans="1:11" ht="18" customHeight="1" x14ac:dyDescent="0.3">
      <c r="A44" s="59" t="s">
        <v>121</v>
      </c>
      <c r="B44" s="59"/>
      <c r="C44" s="59" t="s">
        <v>151</v>
      </c>
      <c r="D44" s="60">
        <v>1</v>
      </c>
      <c r="E44" s="61">
        <v>59.45</v>
      </c>
      <c r="F44" s="61">
        <v>59.45</v>
      </c>
      <c r="G44" s="82"/>
      <c r="H44" s="55"/>
      <c r="I44" s="54"/>
      <c r="J44" s="54"/>
      <c r="K44" s="54"/>
    </row>
    <row r="45" spans="1:11" ht="18" customHeight="1" x14ac:dyDescent="0.3">
      <c r="A45" s="59" t="s">
        <v>121</v>
      </c>
      <c r="B45" s="59"/>
      <c r="C45" s="59" t="s">
        <v>139</v>
      </c>
      <c r="D45" s="60">
        <v>1</v>
      </c>
      <c r="E45" s="61">
        <v>22.38</v>
      </c>
      <c r="F45" s="61">
        <v>22.38</v>
      </c>
      <c r="G45" s="54"/>
      <c r="H45" s="55"/>
      <c r="I45" s="54"/>
      <c r="J45" s="54"/>
      <c r="K45" s="54"/>
    </row>
    <row r="46" spans="1:11" ht="18" customHeight="1" x14ac:dyDescent="0.3">
      <c r="A46" s="59" t="s">
        <v>121</v>
      </c>
      <c r="B46" s="59"/>
      <c r="C46" s="59" t="s">
        <v>140</v>
      </c>
      <c r="D46" s="60">
        <v>1</v>
      </c>
      <c r="E46" s="61">
        <v>20.3</v>
      </c>
      <c r="F46" s="61">
        <v>20.3</v>
      </c>
      <c r="G46" s="54"/>
      <c r="H46" s="55"/>
      <c r="I46" s="54"/>
      <c r="J46" s="54"/>
      <c r="K46" s="54"/>
    </row>
    <row r="47" spans="1:11" ht="18" customHeight="1" x14ac:dyDescent="0.3">
      <c r="A47" s="59" t="s">
        <v>121</v>
      </c>
      <c r="B47" s="59"/>
      <c r="C47" s="59" t="s">
        <v>152</v>
      </c>
      <c r="D47" s="60">
        <v>1</v>
      </c>
      <c r="E47" s="61">
        <v>19.350000000000001</v>
      </c>
      <c r="F47" s="61">
        <v>19.350000000000001</v>
      </c>
      <c r="G47" s="54"/>
      <c r="H47" s="55"/>
      <c r="I47" s="54"/>
      <c r="J47" s="54"/>
      <c r="K47" s="54"/>
    </row>
    <row r="48" spans="1:11" ht="18" customHeight="1" x14ac:dyDescent="0.3">
      <c r="A48" s="59" t="s">
        <v>121</v>
      </c>
      <c r="B48" s="59"/>
      <c r="C48" s="59" t="s">
        <v>138</v>
      </c>
      <c r="D48" s="60">
        <v>1</v>
      </c>
      <c r="E48" s="61">
        <v>14.05</v>
      </c>
      <c r="F48" s="61">
        <v>14.05</v>
      </c>
      <c r="G48" s="54"/>
      <c r="H48" s="55"/>
      <c r="I48" s="54"/>
      <c r="J48" s="54"/>
      <c r="K48" s="54"/>
    </row>
    <row r="49" spans="1:11" ht="18" customHeight="1" x14ac:dyDescent="0.3">
      <c r="A49" s="59" t="s">
        <v>121</v>
      </c>
      <c r="B49" s="59"/>
      <c r="C49" s="59" t="s">
        <v>144</v>
      </c>
      <c r="D49" s="60">
        <v>1</v>
      </c>
      <c r="E49" s="61">
        <v>12.12</v>
      </c>
      <c r="F49" s="61">
        <v>12.12</v>
      </c>
      <c r="G49" s="54"/>
      <c r="H49" s="55"/>
      <c r="I49" s="54"/>
      <c r="J49" s="54"/>
      <c r="K49" s="54"/>
    </row>
    <row r="50" spans="1:11" s="85" customFormat="1" ht="18" customHeight="1" x14ac:dyDescent="0.3">
      <c r="A50" s="59" t="s">
        <v>121</v>
      </c>
      <c r="B50" s="59"/>
      <c r="C50" s="59" t="s">
        <v>142</v>
      </c>
      <c r="D50" s="60">
        <v>2</v>
      </c>
      <c r="E50" s="61">
        <v>6.04</v>
      </c>
      <c r="F50" s="61">
        <v>12.08</v>
      </c>
      <c r="G50" s="54"/>
      <c r="H50" s="55"/>
      <c r="I50" s="54"/>
      <c r="J50" s="54"/>
      <c r="K50" s="54"/>
    </row>
    <row r="51" spans="1:11" s="85" customFormat="1" ht="18" customHeight="1" x14ac:dyDescent="0.3">
      <c r="A51" s="59" t="s">
        <v>121</v>
      </c>
      <c r="B51" s="59"/>
      <c r="C51" s="59" t="s">
        <v>148</v>
      </c>
      <c r="D51" s="60">
        <v>1</v>
      </c>
      <c r="E51" s="61">
        <v>7.76</v>
      </c>
      <c r="F51" s="61">
        <v>7.76</v>
      </c>
      <c r="G51" s="54"/>
      <c r="H51" s="55"/>
      <c r="I51" s="54"/>
      <c r="J51" s="54"/>
      <c r="K51" s="54"/>
    </row>
    <row r="52" spans="1:11" s="85" customFormat="1" ht="18" customHeight="1" x14ac:dyDescent="0.3">
      <c r="A52" s="59" t="s">
        <v>121</v>
      </c>
      <c r="B52" s="59"/>
      <c r="C52" s="59" t="s">
        <v>143</v>
      </c>
      <c r="D52" s="60">
        <v>1</v>
      </c>
      <c r="E52" s="61">
        <v>6.61</v>
      </c>
      <c r="F52" s="61">
        <v>6.61</v>
      </c>
      <c r="G52" s="54"/>
      <c r="H52" s="55"/>
      <c r="I52" s="54"/>
      <c r="J52" s="54"/>
      <c r="K52" s="54"/>
    </row>
    <row r="53" spans="1:11" s="85" customFormat="1" ht="18" customHeight="1" x14ac:dyDescent="0.3">
      <c r="A53" s="59" t="s">
        <v>121</v>
      </c>
      <c r="B53" s="59"/>
      <c r="C53" s="59" t="s">
        <v>149</v>
      </c>
      <c r="D53" s="60">
        <v>1</v>
      </c>
      <c r="E53" s="61">
        <v>3.93</v>
      </c>
      <c r="F53" s="61">
        <v>3.93</v>
      </c>
      <c r="G53" s="54"/>
      <c r="H53" s="55"/>
      <c r="I53" s="54"/>
      <c r="J53" s="54"/>
      <c r="K53" s="54"/>
    </row>
    <row r="54" spans="1:11" s="85" customFormat="1" ht="18" customHeight="1" x14ac:dyDescent="0.3">
      <c r="A54" s="59" t="s">
        <v>121</v>
      </c>
      <c r="B54" s="59"/>
      <c r="C54" s="59" t="s">
        <v>147</v>
      </c>
      <c r="D54" s="60">
        <v>2</v>
      </c>
      <c r="E54" s="61">
        <v>1.58</v>
      </c>
      <c r="F54" s="61">
        <v>3.16</v>
      </c>
      <c r="G54" s="54"/>
      <c r="H54" s="55"/>
      <c r="I54" s="54"/>
      <c r="J54" s="54"/>
      <c r="K54" s="54"/>
    </row>
    <row r="55" spans="1:11" s="85" customFormat="1" ht="18" customHeight="1" x14ac:dyDescent="0.3">
      <c r="A55" s="59" t="s">
        <v>121</v>
      </c>
      <c r="B55" s="59"/>
      <c r="C55" s="59" t="s">
        <v>141</v>
      </c>
      <c r="D55" s="60">
        <v>1</v>
      </c>
      <c r="E55" s="61">
        <v>1.9</v>
      </c>
      <c r="F55" s="61">
        <v>1.9</v>
      </c>
      <c r="G55" s="54"/>
      <c r="H55" s="55"/>
      <c r="I55" s="54"/>
      <c r="J55" s="54"/>
      <c r="K55" s="54"/>
    </row>
    <row r="56" spans="1:11" s="85" customFormat="1" ht="18" customHeight="1" x14ac:dyDescent="0.3">
      <c r="A56" s="59" t="s">
        <v>121</v>
      </c>
      <c r="B56" s="59"/>
      <c r="C56" s="59" t="s">
        <v>150</v>
      </c>
      <c r="D56" s="60">
        <v>1</v>
      </c>
      <c r="E56" s="61">
        <v>1.74</v>
      </c>
      <c r="F56" s="61">
        <v>1.74</v>
      </c>
      <c r="G56" s="54"/>
      <c r="H56" s="55"/>
      <c r="I56" s="54"/>
      <c r="J56" s="54"/>
      <c r="K56" s="54"/>
    </row>
    <row r="57" spans="1:11" s="84" customFormat="1" ht="18" customHeight="1" x14ac:dyDescent="0.3">
      <c r="A57" s="86" t="s">
        <v>137</v>
      </c>
      <c r="B57" s="86"/>
      <c r="C57" s="86" t="s">
        <v>62</v>
      </c>
      <c r="D57" s="87">
        <v>3.5</v>
      </c>
      <c r="E57" s="88">
        <v>0.26</v>
      </c>
      <c r="F57" s="88">
        <v>0.91</v>
      </c>
      <c r="G57" s="54"/>
      <c r="H57" s="55"/>
      <c r="I57" s="54"/>
      <c r="J57" s="54"/>
      <c r="K57" s="54"/>
    </row>
    <row r="58" spans="1:11" s="84" customFormat="1" ht="18" customHeight="1" x14ac:dyDescent="0.3">
      <c r="A58" s="86" t="s">
        <v>137</v>
      </c>
      <c r="B58" s="86"/>
      <c r="C58" s="86" t="s">
        <v>63</v>
      </c>
      <c r="D58" s="87">
        <v>8</v>
      </c>
      <c r="E58" s="88">
        <v>0.2</v>
      </c>
      <c r="F58" s="88">
        <v>1.6</v>
      </c>
      <c r="G58" s="54"/>
      <c r="H58" s="55"/>
      <c r="I58" s="54"/>
      <c r="J58" s="54"/>
      <c r="K58" s="54"/>
    </row>
    <row r="59" spans="1:11" ht="18" customHeight="1" x14ac:dyDescent="0.3">
      <c r="A59" s="62" t="s">
        <v>135</v>
      </c>
      <c r="B59" s="62"/>
      <c r="C59" s="62" t="s">
        <v>95</v>
      </c>
      <c r="D59" s="62">
        <v>15</v>
      </c>
      <c r="E59" s="64">
        <v>26.574344023323615</v>
      </c>
      <c r="F59" s="64">
        <v>26.574344023323615</v>
      </c>
      <c r="G59" s="54"/>
      <c r="H59" s="55"/>
      <c r="I59" s="54"/>
      <c r="J59" s="54"/>
      <c r="K59" s="54"/>
    </row>
    <row r="60" spans="1:11" ht="18" customHeight="1" x14ac:dyDescent="0.3">
      <c r="A60" s="62" t="s">
        <v>135</v>
      </c>
      <c r="B60" s="62"/>
      <c r="C60" s="62" t="s">
        <v>96</v>
      </c>
      <c r="D60" s="62">
        <v>15</v>
      </c>
      <c r="E60" s="64">
        <v>26.574344023323615</v>
      </c>
      <c r="F60" s="64">
        <v>26.574344023323615</v>
      </c>
      <c r="G60" s="54"/>
      <c r="H60" s="55"/>
      <c r="I60" s="54"/>
      <c r="J60" s="54"/>
      <c r="K60" s="54"/>
    </row>
    <row r="61" spans="1:11" ht="18" customHeight="1" x14ac:dyDescent="0.3">
      <c r="A61" s="62" t="s">
        <v>135</v>
      </c>
      <c r="B61" s="62"/>
      <c r="C61" s="62" t="s">
        <v>98</v>
      </c>
      <c r="D61" s="62">
        <v>8.4</v>
      </c>
      <c r="E61" s="64">
        <v>14.881632653061224</v>
      </c>
      <c r="F61" s="64">
        <v>14.881632653061224</v>
      </c>
      <c r="G61" s="54"/>
      <c r="H61" s="55"/>
      <c r="I61" s="54"/>
      <c r="J61" s="54"/>
      <c r="K61" s="54"/>
    </row>
    <row r="62" spans="1:11" ht="18" customHeight="1" x14ac:dyDescent="0.3">
      <c r="A62" s="62" t="s">
        <v>135</v>
      </c>
      <c r="B62" s="62"/>
      <c r="C62" s="62" t="s">
        <v>92</v>
      </c>
      <c r="D62" s="62">
        <v>6</v>
      </c>
      <c r="E62" s="64">
        <v>10.629737609329446</v>
      </c>
      <c r="F62" s="64">
        <v>10.629737609329446</v>
      </c>
      <c r="G62" s="54"/>
      <c r="H62" s="55"/>
      <c r="I62" s="54"/>
      <c r="J62" s="54"/>
      <c r="K62" s="54"/>
    </row>
    <row r="63" spans="1:11" ht="18" customHeight="1" x14ac:dyDescent="0.3">
      <c r="A63" s="62" t="s">
        <v>135</v>
      </c>
      <c r="B63" s="62"/>
      <c r="C63" s="62" t="s">
        <v>94</v>
      </c>
      <c r="D63" s="62">
        <v>5</v>
      </c>
      <c r="E63" s="64">
        <v>8.8581146744412038</v>
      </c>
      <c r="F63" s="64">
        <v>8.8581146744412038</v>
      </c>
      <c r="G63" s="54"/>
      <c r="H63" s="55"/>
      <c r="I63" s="54"/>
      <c r="J63" s="54"/>
      <c r="K63" s="54"/>
    </row>
    <row r="64" spans="1:11" ht="18" customHeight="1" x14ac:dyDescent="0.3">
      <c r="A64" s="62" t="s">
        <v>135</v>
      </c>
      <c r="B64" s="62"/>
      <c r="C64" s="62" t="s">
        <v>90</v>
      </c>
      <c r="D64" s="62">
        <v>3.5</v>
      </c>
      <c r="E64" s="64">
        <v>6.2006802721088432</v>
      </c>
      <c r="F64" s="64">
        <v>6.2006802721088432</v>
      </c>
      <c r="G64" s="54"/>
      <c r="H64" s="55"/>
      <c r="I64" s="54"/>
      <c r="J64" s="54"/>
      <c r="K64" s="54"/>
    </row>
    <row r="65" spans="1:11" ht="18" customHeight="1" x14ac:dyDescent="0.3">
      <c r="A65" s="62" t="s">
        <v>135</v>
      </c>
      <c r="B65" s="62"/>
      <c r="C65" s="62" t="s">
        <v>93</v>
      </c>
      <c r="D65" s="62">
        <v>3.5</v>
      </c>
      <c r="E65" s="64">
        <v>6.2006802721088432</v>
      </c>
      <c r="F65" s="64">
        <v>6.2006802721088432</v>
      </c>
      <c r="G65" s="54"/>
      <c r="H65" s="55"/>
      <c r="I65" s="54"/>
      <c r="J65" s="54"/>
      <c r="K65" s="54"/>
    </row>
    <row r="66" spans="1:11" ht="18" customHeight="1" x14ac:dyDescent="0.3">
      <c r="A66" s="62" t="s">
        <v>135</v>
      </c>
      <c r="B66" s="62"/>
      <c r="C66" s="62" t="s">
        <v>97</v>
      </c>
      <c r="D66" s="62">
        <v>2.5</v>
      </c>
      <c r="E66" s="64">
        <v>4.4290573372206019</v>
      </c>
      <c r="F66" s="64">
        <v>4.4290573372206019</v>
      </c>
      <c r="G66" s="54"/>
      <c r="H66" s="55"/>
      <c r="I66" s="54"/>
      <c r="J66" s="54"/>
      <c r="K66" s="54"/>
    </row>
    <row r="67" spans="1:11" ht="18" customHeight="1" x14ac:dyDescent="0.3">
      <c r="A67" s="62" t="s">
        <v>135</v>
      </c>
      <c r="B67" s="62"/>
      <c r="C67" s="62" t="s">
        <v>89</v>
      </c>
      <c r="D67" s="62">
        <v>2</v>
      </c>
      <c r="E67" s="64">
        <v>3.5432458697764821</v>
      </c>
      <c r="F67" s="64">
        <v>3.5432458697764821</v>
      </c>
      <c r="G67" s="54"/>
      <c r="H67" s="55"/>
      <c r="I67" s="54"/>
      <c r="J67" s="54"/>
      <c r="K67" s="54"/>
    </row>
    <row r="68" spans="1:11" ht="18" customHeight="1" x14ac:dyDescent="0.3">
      <c r="A68" s="62" t="s">
        <v>135</v>
      </c>
      <c r="B68" s="62"/>
      <c r="C68" s="62" t="s">
        <v>91</v>
      </c>
      <c r="D68" s="62">
        <v>2</v>
      </c>
      <c r="E68" s="64">
        <v>3.5432458697764821</v>
      </c>
      <c r="F68" s="64">
        <v>3.5432458697764821</v>
      </c>
      <c r="G68" s="54"/>
      <c r="H68" s="55"/>
      <c r="I68" s="54"/>
      <c r="J68" s="54"/>
      <c r="K68" s="54"/>
    </row>
    <row r="69" spans="1:11" ht="18" customHeight="1" x14ac:dyDescent="0.3">
      <c r="A69" s="62" t="s">
        <v>136</v>
      </c>
      <c r="B69" s="62"/>
      <c r="C69" s="62" t="s">
        <v>110</v>
      </c>
      <c r="D69" s="63">
        <v>16</v>
      </c>
      <c r="E69" s="64">
        <v>28.345966958211857</v>
      </c>
      <c r="F69" s="64">
        <v>56.691933916423714</v>
      </c>
      <c r="G69" s="54"/>
      <c r="H69" s="55"/>
      <c r="I69" s="54"/>
      <c r="J69" s="54"/>
      <c r="K69" s="54"/>
    </row>
    <row r="70" spans="1:11" ht="18" customHeight="1" x14ac:dyDescent="0.3">
      <c r="A70" s="62" t="s">
        <v>136</v>
      </c>
      <c r="B70" s="62"/>
      <c r="C70" s="62" t="s">
        <v>103</v>
      </c>
      <c r="D70" s="63">
        <v>15</v>
      </c>
      <c r="E70" s="64">
        <v>26.574344023323615</v>
      </c>
      <c r="F70" s="64">
        <v>26.574344023323615</v>
      </c>
      <c r="G70" s="54"/>
      <c r="H70" s="55"/>
      <c r="I70" s="54"/>
      <c r="J70" s="54"/>
      <c r="K70" s="54"/>
    </row>
    <row r="71" spans="1:11" ht="18" customHeight="1" x14ac:dyDescent="0.3">
      <c r="A71" s="62" t="s">
        <v>136</v>
      </c>
      <c r="B71" s="62"/>
      <c r="C71" s="62" t="s">
        <v>106</v>
      </c>
      <c r="D71" s="63">
        <v>14.75</v>
      </c>
      <c r="E71" s="64">
        <v>26.131438289601554</v>
      </c>
      <c r="F71" s="64">
        <v>26.131438289601554</v>
      </c>
      <c r="G71" s="54"/>
      <c r="H71" s="55"/>
      <c r="I71" s="54"/>
      <c r="J71" s="54"/>
      <c r="K71" s="54"/>
    </row>
    <row r="72" spans="1:11" ht="18" customHeight="1" x14ac:dyDescent="0.3">
      <c r="A72" s="62" t="s">
        <v>136</v>
      </c>
      <c r="B72" s="62"/>
      <c r="C72" s="62" t="s">
        <v>101</v>
      </c>
      <c r="D72" s="63">
        <v>10</v>
      </c>
      <c r="E72" s="64">
        <v>17.716229348882408</v>
      </c>
      <c r="F72" s="64">
        <v>17.716229348882408</v>
      </c>
      <c r="G72" s="54"/>
      <c r="H72" s="55"/>
      <c r="I72" s="54"/>
      <c r="J72" s="54"/>
      <c r="K72" s="54"/>
    </row>
    <row r="73" spans="1:11" ht="18" customHeight="1" x14ac:dyDescent="0.3">
      <c r="A73" s="62" t="s">
        <v>136</v>
      </c>
      <c r="B73" s="62"/>
      <c r="C73" s="62" t="s">
        <v>102</v>
      </c>
      <c r="D73" s="63">
        <v>10</v>
      </c>
      <c r="E73" s="64">
        <v>17.716229348882408</v>
      </c>
      <c r="F73" s="64">
        <v>17.716229348882408</v>
      </c>
      <c r="G73" s="54"/>
      <c r="H73" s="55"/>
      <c r="I73" s="54"/>
      <c r="J73" s="54"/>
      <c r="K73" s="54"/>
    </row>
    <row r="74" spans="1:11" ht="18" customHeight="1" x14ac:dyDescent="0.3">
      <c r="A74" s="62" t="s">
        <v>136</v>
      </c>
      <c r="B74" s="62"/>
      <c r="C74" s="62" t="s">
        <v>104</v>
      </c>
      <c r="D74" s="63">
        <v>8</v>
      </c>
      <c r="E74" s="64">
        <v>14.172983479105929</v>
      </c>
      <c r="F74" s="64">
        <v>14.172983479105929</v>
      </c>
      <c r="G74" s="54"/>
      <c r="H74" s="55"/>
      <c r="I74" s="54"/>
      <c r="J74" s="54"/>
      <c r="K74" s="54"/>
    </row>
    <row r="75" spans="1:11" ht="18" customHeight="1" x14ac:dyDescent="0.3">
      <c r="A75" s="62" t="s">
        <v>136</v>
      </c>
      <c r="B75" s="62"/>
      <c r="C75" s="62" t="s">
        <v>111</v>
      </c>
      <c r="D75" s="63">
        <v>7.5</v>
      </c>
      <c r="E75" s="64">
        <v>13.287172011661808</v>
      </c>
      <c r="F75" s="64">
        <v>13.287172011661808</v>
      </c>
      <c r="G75" s="54"/>
      <c r="H75" s="55"/>
      <c r="I75" s="54"/>
      <c r="J75" s="54"/>
      <c r="K75" s="54"/>
    </row>
    <row r="76" spans="1:11" ht="18" customHeight="1" x14ac:dyDescent="0.3">
      <c r="A76" s="62" t="s">
        <v>136</v>
      </c>
      <c r="B76" s="62"/>
      <c r="C76" s="62" t="s">
        <v>105</v>
      </c>
      <c r="D76" s="63">
        <v>5</v>
      </c>
      <c r="E76" s="64">
        <v>8.8581146744412038</v>
      </c>
      <c r="F76" s="64">
        <v>8.8581146744412038</v>
      </c>
      <c r="G76" s="54"/>
      <c r="H76" s="55"/>
      <c r="I76" s="54"/>
      <c r="J76" s="54"/>
      <c r="K76" s="54"/>
    </row>
    <row r="77" spans="1:11" ht="18" customHeight="1" x14ac:dyDescent="0.3">
      <c r="A77" s="62" t="s">
        <v>136</v>
      </c>
      <c r="B77" s="62"/>
      <c r="C77" s="62" t="s">
        <v>107</v>
      </c>
      <c r="D77" s="63">
        <v>4.75</v>
      </c>
      <c r="E77" s="64">
        <v>8.415208940719145</v>
      </c>
      <c r="F77" s="64">
        <v>8.415208940719145</v>
      </c>
      <c r="G77" s="54"/>
      <c r="H77" s="55"/>
      <c r="I77" s="54"/>
      <c r="J77" s="54"/>
      <c r="K77" s="54"/>
    </row>
    <row r="78" spans="1:11" ht="18" customHeight="1" x14ac:dyDescent="0.3">
      <c r="A78" s="62" t="s">
        <v>136</v>
      </c>
      <c r="B78" s="62"/>
      <c r="C78" s="62" t="s">
        <v>108</v>
      </c>
      <c r="D78" s="63">
        <v>4</v>
      </c>
      <c r="E78" s="64">
        <v>7.0864917395529643</v>
      </c>
      <c r="F78" s="64">
        <v>7.0864917395529643</v>
      </c>
      <c r="G78" s="54"/>
      <c r="H78" s="55"/>
      <c r="I78" s="54"/>
      <c r="J78" s="54"/>
      <c r="K78" s="54"/>
    </row>
    <row r="79" spans="1:11" ht="18" customHeight="1" x14ac:dyDescent="0.3">
      <c r="A79" s="62" t="s">
        <v>136</v>
      </c>
      <c r="B79" s="62"/>
      <c r="C79" s="62" t="s">
        <v>109</v>
      </c>
      <c r="D79" s="63">
        <v>4</v>
      </c>
      <c r="E79" s="64">
        <v>7.0864917395529643</v>
      </c>
      <c r="F79" s="64">
        <v>7.0864917395529643</v>
      </c>
      <c r="G79" s="54"/>
      <c r="H79" s="55"/>
      <c r="I79" s="54"/>
      <c r="J79" s="54"/>
      <c r="K79" s="54"/>
    </row>
    <row r="80" spans="1:11" ht="18" customHeight="1" x14ac:dyDescent="0.3">
      <c r="A80" s="62" t="s">
        <v>136</v>
      </c>
      <c r="B80" s="62"/>
      <c r="C80" s="62" t="s">
        <v>100</v>
      </c>
      <c r="D80" s="63">
        <v>3.25</v>
      </c>
      <c r="E80" s="64">
        <v>5.7577745383867835</v>
      </c>
      <c r="F80" s="64">
        <v>5.7577745383867835</v>
      </c>
      <c r="G80" s="54"/>
      <c r="H80" s="55"/>
      <c r="I80" s="54"/>
      <c r="J80" s="54"/>
      <c r="K80" s="54"/>
    </row>
    <row r="81" spans="1:11" ht="18" customHeight="1" x14ac:dyDescent="0.3">
      <c r="A81" s="65" t="s">
        <v>122</v>
      </c>
      <c r="B81" s="66"/>
      <c r="C81" s="66"/>
      <c r="D81" s="66"/>
      <c r="E81" s="66"/>
      <c r="F81" s="67">
        <f>SUM(F2:F80)</f>
        <v>1524.0116346550049</v>
      </c>
      <c r="G81" s="66"/>
      <c r="H81" s="68">
        <f>SUM(H2:H80)</f>
        <v>0</v>
      </c>
      <c r="I81" s="66"/>
      <c r="J81" s="66"/>
      <c r="K81" s="66"/>
    </row>
    <row r="82" spans="1:11" x14ac:dyDescent="0.3">
      <c r="F82" s="83">
        <v>193.2</v>
      </c>
    </row>
    <row r="83" spans="1:11" x14ac:dyDescent="0.3">
      <c r="F83" s="67">
        <f>F82+F81</f>
        <v>1717.2116346550049</v>
      </c>
    </row>
  </sheetData>
  <autoFilter ref="A1:K80" xr:uid="{00000000-0009-0000-0000-000001000000}"/>
  <dataValidations count="2">
    <dataValidation type="list" allowBlank="1" sqref="J2:J16 J17:J80" xr:uid="{00000000-0002-0000-0100-000000000000}">
      <formula1>"Yes,No"</formula1>
    </dataValidation>
    <dataValidation type="list" allowBlank="1" sqref="I2:I16 I17:I80" xr:uid="{00000000-0002-0000-0100-000002000000}">
      <formula1>"Short Term,Medium Term,Long Term"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4DA35-EDBA-4364-8359-1DABC788B3EF}">
  <dimension ref="A1:G27"/>
  <sheetViews>
    <sheetView workbookViewId="0">
      <selection sqref="A1:F26"/>
    </sheetView>
  </sheetViews>
  <sheetFormatPr defaultRowHeight="14.4" x14ac:dyDescent="0.3"/>
  <cols>
    <col min="1" max="1" width="13.77734375" bestFit="1" customWidth="1"/>
  </cols>
  <sheetData>
    <row r="1" spans="1:7" s="1" customFormat="1" x14ac:dyDescent="0.3">
      <c r="A1" s="74" t="s">
        <v>6</v>
      </c>
      <c r="B1" s="74"/>
      <c r="C1" s="74" t="s">
        <v>10</v>
      </c>
      <c r="D1" s="75">
        <v>1</v>
      </c>
      <c r="E1" s="76">
        <v>160.53</v>
      </c>
      <c r="F1" s="76">
        <v>160.53</v>
      </c>
      <c r="G1" s="64"/>
    </row>
    <row r="2" spans="1:7" x14ac:dyDescent="0.3">
      <c r="A2" s="51" t="s">
        <v>6</v>
      </c>
      <c r="B2" s="51"/>
      <c r="C2" s="51" t="s">
        <v>20</v>
      </c>
      <c r="D2" s="52">
        <v>3</v>
      </c>
      <c r="E2" s="53">
        <v>30.5</v>
      </c>
      <c r="F2" s="53">
        <v>91.5</v>
      </c>
      <c r="G2" s="64"/>
    </row>
    <row r="3" spans="1:7" x14ac:dyDescent="0.3">
      <c r="A3" s="51" t="s">
        <v>6</v>
      </c>
      <c r="B3" s="51">
        <v>3186699</v>
      </c>
      <c r="C3" s="51" t="s">
        <v>9</v>
      </c>
      <c r="D3" s="52">
        <v>1</v>
      </c>
      <c r="E3" s="53">
        <v>80.31</v>
      </c>
      <c r="F3" s="53">
        <v>80.31</v>
      </c>
      <c r="G3" s="64"/>
    </row>
    <row r="4" spans="1:7" x14ac:dyDescent="0.3">
      <c r="A4" s="51"/>
      <c r="B4" s="51">
        <v>3241906</v>
      </c>
      <c r="C4" s="51" t="s">
        <v>21</v>
      </c>
      <c r="D4" s="52">
        <v>1</v>
      </c>
      <c r="E4" s="53">
        <v>64.37</v>
      </c>
      <c r="F4" s="53">
        <v>64.37</v>
      </c>
      <c r="G4" s="64"/>
    </row>
    <row r="5" spans="1:7" x14ac:dyDescent="0.3">
      <c r="A5" s="51" t="s">
        <v>6</v>
      </c>
      <c r="B5" s="51">
        <v>3113227</v>
      </c>
      <c r="C5" s="51" t="s">
        <v>16</v>
      </c>
      <c r="D5" s="52">
        <v>1</v>
      </c>
      <c r="E5" s="53">
        <v>46.31</v>
      </c>
      <c r="F5" s="53">
        <v>46.31</v>
      </c>
      <c r="G5" s="64"/>
    </row>
    <row r="6" spans="1:7" x14ac:dyDescent="0.3">
      <c r="A6" s="51" t="s">
        <v>6</v>
      </c>
      <c r="B6" s="51"/>
      <c r="C6" s="51" t="s">
        <v>131</v>
      </c>
      <c r="D6" s="52">
        <v>1</v>
      </c>
      <c r="E6" s="53">
        <v>46</v>
      </c>
      <c r="F6" s="53">
        <v>46</v>
      </c>
      <c r="G6" s="64"/>
    </row>
    <row r="7" spans="1:7" x14ac:dyDescent="0.3">
      <c r="A7" s="51" t="s">
        <v>6</v>
      </c>
      <c r="B7" s="51"/>
      <c r="C7" s="51" t="s">
        <v>32</v>
      </c>
      <c r="D7" s="52">
        <v>1</v>
      </c>
      <c r="E7" s="53">
        <v>24</v>
      </c>
      <c r="F7" s="53">
        <v>36</v>
      </c>
      <c r="G7" s="64"/>
    </row>
    <row r="8" spans="1:7" x14ac:dyDescent="0.3">
      <c r="A8" s="51" t="s">
        <v>6</v>
      </c>
      <c r="B8" s="51">
        <v>3128607</v>
      </c>
      <c r="C8" s="51" t="s">
        <v>22</v>
      </c>
      <c r="D8" s="52">
        <v>3</v>
      </c>
      <c r="E8" s="53">
        <v>8.17</v>
      </c>
      <c r="F8" s="53">
        <v>24.509999999999998</v>
      </c>
      <c r="G8" s="64"/>
    </row>
    <row r="9" spans="1:7" x14ac:dyDescent="0.3">
      <c r="A9" s="51" t="s">
        <v>6</v>
      </c>
      <c r="B9" s="51">
        <v>3241262</v>
      </c>
      <c r="C9" s="51" t="s">
        <v>14</v>
      </c>
      <c r="D9" s="52">
        <v>1</v>
      </c>
      <c r="E9" s="53">
        <v>24.21</v>
      </c>
      <c r="F9" s="53">
        <v>24.21</v>
      </c>
      <c r="G9" s="64"/>
    </row>
    <row r="10" spans="1:7" x14ac:dyDescent="0.3">
      <c r="A10" s="51" t="s">
        <v>6</v>
      </c>
      <c r="B10" s="51">
        <v>3072162</v>
      </c>
      <c r="C10" s="51" t="s">
        <v>13</v>
      </c>
      <c r="D10" s="52">
        <v>1</v>
      </c>
      <c r="E10" s="53">
        <v>23.95</v>
      </c>
      <c r="F10" s="53">
        <v>23.95</v>
      </c>
      <c r="G10" s="64"/>
    </row>
    <row r="11" spans="1:7" x14ac:dyDescent="0.3">
      <c r="A11" s="51" t="s">
        <v>6</v>
      </c>
      <c r="B11" s="51"/>
      <c r="C11" s="51" t="s">
        <v>132</v>
      </c>
      <c r="D11" s="52">
        <v>1</v>
      </c>
      <c r="E11" s="53">
        <v>22</v>
      </c>
      <c r="F11" s="53">
        <v>22</v>
      </c>
      <c r="G11" s="64"/>
    </row>
    <row r="12" spans="1:7" x14ac:dyDescent="0.3">
      <c r="A12" s="51" t="s">
        <v>6</v>
      </c>
      <c r="B12" s="51" t="s">
        <v>30</v>
      </c>
      <c r="C12" s="51" t="s">
        <v>31</v>
      </c>
      <c r="D12" s="52">
        <v>1</v>
      </c>
      <c r="E12" s="53">
        <v>20.22</v>
      </c>
      <c r="F12" s="53">
        <v>20.22</v>
      </c>
      <c r="G12" s="64"/>
    </row>
    <row r="13" spans="1:7" x14ac:dyDescent="0.3">
      <c r="A13" s="51" t="s">
        <v>6</v>
      </c>
      <c r="B13" s="51"/>
      <c r="C13" s="51" t="s">
        <v>28</v>
      </c>
      <c r="D13" s="52">
        <v>1</v>
      </c>
      <c r="E13" s="53">
        <v>15.42</v>
      </c>
      <c r="F13" s="53">
        <v>15.42</v>
      </c>
      <c r="G13" s="64"/>
    </row>
    <row r="14" spans="1:7" x14ac:dyDescent="0.3">
      <c r="A14" s="51" t="s">
        <v>6</v>
      </c>
      <c r="B14" s="51" t="s">
        <v>126</v>
      </c>
      <c r="C14" s="51" t="s">
        <v>127</v>
      </c>
      <c r="D14" s="51">
        <v>9</v>
      </c>
      <c r="E14" s="51">
        <v>1.46</v>
      </c>
      <c r="F14" s="51">
        <v>13.14</v>
      </c>
      <c r="G14" s="64"/>
    </row>
    <row r="15" spans="1:7" x14ac:dyDescent="0.3">
      <c r="A15" s="51" t="s">
        <v>6</v>
      </c>
      <c r="B15" s="51">
        <v>3130306</v>
      </c>
      <c r="C15" s="51" t="s">
        <v>18</v>
      </c>
      <c r="D15" s="52">
        <v>2</v>
      </c>
      <c r="E15" s="53">
        <v>5.51</v>
      </c>
      <c r="F15" s="53">
        <v>11.02</v>
      </c>
      <c r="G15" s="64"/>
    </row>
    <row r="16" spans="1:7" x14ac:dyDescent="0.3">
      <c r="A16" s="51" t="s">
        <v>6</v>
      </c>
      <c r="B16" s="51"/>
      <c r="C16" s="51" t="s">
        <v>25</v>
      </c>
      <c r="D16" s="52">
        <v>1</v>
      </c>
      <c r="E16" s="53">
        <v>10</v>
      </c>
      <c r="F16" s="53">
        <v>10</v>
      </c>
      <c r="G16" s="64"/>
    </row>
    <row r="17" spans="1:7" x14ac:dyDescent="0.3">
      <c r="A17" s="51" t="s">
        <v>6</v>
      </c>
      <c r="B17" s="51">
        <v>3204290</v>
      </c>
      <c r="C17" s="51" t="s">
        <v>11</v>
      </c>
      <c r="D17" s="52">
        <v>1</v>
      </c>
      <c r="E17" s="53">
        <v>9.48</v>
      </c>
      <c r="F17" s="53">
        <v>9.48</v>
      </c>
      <c r="G17" s="64"/>
    </row>
    <row r="18" spans="1:7" x14ac:dyDescent="0.3">
      <c r="A18" s="51" t="s">
        <v>6</v>
      </c>
      <c r="B18" s="51">
        <v>3119618</v>
      </c>
      <c r="C18" s="51" t="s">
        <v>17</v>
      </c>
      <c r="D18" s="52">
        <v>1</v>
      </c>
      <c r="E18" s="53">
        <v>7.95</v>
      </c>
      <c r="F18" s="53">
        <v>7.95</v>
      </c>
      <c r="G18" s="64"/>
    </row>
    <row r="19" spans="1:7" x14ac:dyDescent="0.3">
      <c r="A19" s="51" t="s">
        <v>6</v>
      </c>
      <c r="B19" s="51">
        <v>3130305</v>
      </c>
      <c r="C19" s="51" t="s">
        <v>19</v>
      </c>
      <c r="D19" s="52">
        <v>1</v>
      </c>
      <c r="E19" s="53">
        <v>7.59</v>
      </c>
      <c r="F19" s="53">
        <v>7.59</v>
      </c>
      <c r="G19" s="64"/>
    </row>
    <row r="20" spans="1:7" x14ac:dyDescent="0.3">
      <c r="A20" s="51" t="s">
        <v>6</v>
      </c>
      <c r="B20" s="51">
        <v>3247900</v>
      </c>
      <c r="C20" s="51" t="s">
        <v>23</v>
      </c>
      <c r="D20" s="52">
        <v>1</v>
      </c>
      <c r="E20" s="53">
        <v>7.03</v>
      </c>
      <c r="F20" s="53">
        <v>7.03</v>
      </c>
      <c r="G20" s="64"/>
    </row>
    <row r="21" spans="1:7" x14ac:dyDescent="0.3">
      <c r="A21" s="51" t="s">
        <v>6</v>
      </c>
      <c r="B21" s="51">
        <v>3192474</v>
      </c>
      <c r="C21" s="51" t="s">
        <v>24</v>
      </c>
      <c r="D21" s="52">
        <v>1</v>
      </c>
      <c r="E21" s="53">
        <v>6.85</v>
      </c>
      <c r="F21" s="53">
        <v>6.85</v>
      </c>
      <c r="G21" s="64"/>
    </row>
    <row r="22" spans="1:7" x14ac:dyDescent="0.3">
      <c r="A22" s="51" t="s">
        <v>6</v>
      </c>
      <c r="B22" s="51">
        <v>3153819</v>
      </c>
      <c r="C22" s="51" t="s">
        <v>15</v>
      </c>
      <c r="D22" s="52">
        <v>1</v>
      </c>
      <c r="E22" s="53">
        <v>6.16</v>
      </c>
      <c r="F22" s="53">
        <v>6.16</v>
      </c>
      <c r="G22" s="64"/>
    </row>
    <row r="23" spans="1:7" x14ac:dyDescent="0.3">
      <c r="A23" s="51" t="s">
        <v>6</v>
      </c>
      <c r="B23" s="51" t="s">
        <v>128</v>
      </c>
      <c r="C23" s="51" t="s">
        <v>129</v>
      </c>
      <c r="D23" s="51">
        <v>3</v>
      </c>
      <c r="E23" s="51">
        <v>2.02</v>
      </c>
      <c r="F23" s="51">
        <v>6.0600000000000005</v>
      </c>
    </row>
    <row r="24" spans="1:7" x14ac:dyDescent="0.3">
      <c r="A24" s="51" t="s">
        <v>6</v>
      </c>
      <c r="B24" s="51"/>
      <c r="C24" s="51" t="s">
        <v>130</v>
      </c>
      <c r="D24" s="52">
        <v>1</v>
      </c>
      <c r="E24" s="53">
        <v>5</v>
      </c>
      <c r="F24" s="53">
        <v>5</v>
      </c>
    </row>
    <row r="25" spans="1:7" x14ac:dyDescent="0.3">
      <c r="A25" s="51" t="s">
        <v>6</v>
      </c>
      <c r="B25" s="51">
        <v>3204352</v>
      </c>
      <c r="C25" s="51" t="s">
        <v>12</v>
      </c>
      <c r="D25" s="51">
        <v>1</v>
      </c>
      <c r="E25" s="51">
        <v>4.95</v>
      </c>
      <c r="F25" s="51">
        <v>4.95</v>
      </c>
    </row>
    <row r="26" spans="1:7" x14ac:dyDescent="0.3">
      <c r="A26" s="51" t="s">
        <v>6</v>
      </c>
      <c r="B26" s="51" t="s">
        <v>26</v>
      </c>
      <c r="C26" s="51" t="s">
        <v>27</v>
      </c>
      <c r="D26" s="51">
        <v>2</v>
      </c>
      <c r="E26" s="51">
        <v>0.6</v>
      </c>
      <c r="F26" s="51">
        <v>1.2</v>
      </c>
    </row>
    <row r="27" spans="1:7" x14ac:dyDescent="0.3">
      <c r="A27" s="80"/>
      <c r="B27" s="77"/>
      <c r="C27" s="77"/>
      <c r="D27" s="78"/>
      <c r="E27" s="79"/>
    </row>
  </sheetData>
  <autoFilter ref="A1:F1" xr:uid="{CEB4DA35-EDBA-4364-8359-1DABC788B3EF}"/>
  <sortState xmlns:xlrd2="http://schemas.microsoft.com/office/spreadsheetml/2017/richdata2" ref="A1:F27">
    <sortCondition descending="1" ref="F1:F2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Detailed</vt:lpstr>
      <vt:lpstr>VAVE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Fink, Coraline</dc:creator>
  <cp:lastModifiedBy>Vennu, Sunil</cp:lastModifiedBy>
  <dcterms:created xsi:type="dcterms:W3CDTF">2015-06-05T18:17:20Z</dcterms:created>
  <dcterms:modified xsi:type="dcterms:W3CDTF">2026-04-29T17:42:40Z</dcterms:modified>
</cp:coreProperties>
</file>