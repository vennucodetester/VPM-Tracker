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240" windowWidth="29040" windowHeight="15720" tabRatio="600" firstSheet="0" activeTab="0" autoFilterDateGrouping="1"/>
  </bookViews>
  <sheets>
    <sheet xmlns:r="http://schemas.openxmlformats.org/officeDocument/2006/relationships" name="Detailed" sheetId="1" state="visible" r:id="rId1"/>
    <sheet xmlns:r="http://schemas.openxmlformats.org/officeDocument/2006/relationships" name="VAVE" sheetId="2" state="visible" r:id="rId2"/>
  </sheets>
  <definedNames>
    <definedName name="_xlnm._FilterDatabase" localSheetId="1" hidden="1">'VAVE'!$A$1:$N$68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&quot;$&quot;#,##0_);[Red]\(&quot;$&quot;#,##0\)"/>
    <numFmt numFmtId="166" formatCode="0.##"/>
    <numFmt numFmtId="167" formatCode="$#,##0.00;($#,##0.00);&quot;-&quot;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004472C4"/>
      </patternFill>
    </fill>
    <fill>
      <patternFill patternType="solid">
        <fgColor rgb="00DCE6F1"/>
      </patternFill>
    </fill>
    <fill>
      <patternFill patternType="solid">
        <fgColor rgb="00FFFFC0"/>
      </patternFill>
    </fill>
    <fill>
      <patternFill patternType="solid">
        <fgColor rgb="00EBF1DE"/>
      </patternFill>
    </fill>
    <fill>
      <patternFill patternType="solid">
        <fgColor rgb="00FDE9D9"/>
      </patternFill>
    </fill>
    <fill>
      <patternFill patternType="solid">
        <fgColor rgb="00F2DCDB"/>
      </patternFill>
    </fill>
    <fill>
      <patternFill patternType="solid">
        <fgColor rgb="00FFFF99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2">
    <xf numFmtId="0" fontId="1" fillId="0" borderId="0"/>
    <xf numFmtId="44" fontId="1" fillId="0" borderId="0"/>
  </cellStyleXfs>
  <cellXfs count="98">
    <xf numFmtId="0" fontId="0" fillId="0" borderId="0" pivotButton="0" quotePrefix="0" xfId="0"/>
    <xf numFmtId="0" fontId="0" fillId="0" borderId="1" pivotButton="0" quotePrefix="0" xfId="0"/>
    <xf numFmtId="164" fontId="0" fillId="0" borderId="0" pivotButton="0" quotePrefix="0" xfId="1"/>
    <xf numFmtId="164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164" fontId="1" fillId="0" borderId="0" pivotButton="0" quotePrefix="0" xfId="1"/>
    <xf numFmtId="0" fontId="2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4" fontId="0" fillId="0" borderId="3" applyAlignment="1" pivotButton="0" quotePrefix="0" xfId="1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1" fillId="0" borderId="8" pivotButton="0" quotePrefix="0" xfId="1"/>
    <xf numFmtId="0" fontId="0" fillId="0" borderId="9" pivotButton="0" quotePrefix="0" xfId="0"/>
    <xf numFmtId="0" fontId="0" fillId="0" borderId="10" pivotButton="0" quotePrefix="0" xfId="0"/>
    <xf numFmtId="0" fontId="0" fillId="2" borderId="10" pivotButton="0" quotePrefix="0" xfId="0"/>
    <xf numFmtId="164" fontId="0" fillId="2" borderId="11" pivotButton="0" quotePrefix="0" xfId="0"/>
    <xf numFmtId="0" fontId="0" fillId="0" borderId="7" pivotButton="0" quotePrefix="0" xfId="0"/>
    <xf numFmtId="164" fontId="0" fillId="0" borderId="0" pivotButton="0" quotePrefix="0" xfId="1"/>
    <xf numFmtId="164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49" fontId="0" fillId="0" borderId="2" applyAlignment="1" pivotButton="0" quotePrefix="0" xfId="0">
      <alignment horizontal="right"/>
    </xf>
    <xf numFmtId="0" fontId="0" fillId="0" borderId="3" applyAlignment="1" pivotButton="0" quotePrefix="0" xfId="0">
      <alignment horizontal="left"/>
    </xf>
    <xf numFmtId="164" fontId="0" fillId="0" borderId="3" pivotButton="0" quotePrefix="0" xfId="1"/>
    <xf numFmtId="164" fontId="0" fillId="0" borderId="4" pivotButton="0" quotePrefix="0" xfId="0"/>
    <xf numFmtId="49" fontId="0" fillId="0" borderId="7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49" fontId="0" fillId="0" borderId="9" applyAlignment="1" pivotButton="0" quotePrefix="0" xfId="0">
      <alignment horizontal="right"/>
    </xf>
    <xf numFmtId="0" fontId="0" fillId="0" borderId="10" applyAlignment="1" pivotButton="0" quotePrefix="0" xfId="0">
      <alignment horizontal="left"/>
    </xf>
    <xf numFmtId="164" fontId="0" fillId="2" borderId="10" applyAlignment="1" pivotButton="0" quotePrefix="0" xfId="1">
      <alignment vertical="center"/>
    </xf>
    <xf numFmtId="164" fontId="0" fillId="2" borderId="11" applyAlignment="1" pivotButton="0" quotePrefix="0" xfId="0">
      <alignment vertical="center"/>
    </xf>
    <xf numFmtId="0" fontId="0" fillId="0" borderId="2" applyAlignment="1" pivotButton="0" quotePrefix="0" xfId="0">
      <alignment horizontal="right"/>
    </xf>
    <xf numFmtId="0" fontId="0" fillId="0" borderId="7" applyAlignment="1" pivotButton="0" quotePrefix="0" xfId="0">
      <alignment horizontal="right"/>
    </xf>
    <xf numFmtId="164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1">
      <alignment vertical="center"/>
    </xf>
    <xf numFmtId="164" fontId="0" fillId="0" borderId="8" applyAlignment="1" pivotButton="0" quotePrefix="0" xfId="0">
      <alignment vertical="center"/>
    </xf>
    <xf numFmtId="0" fontId="0" fillId="0" borderId="10" applyAlignment="1" pivotButton="0" quotePrefix="0" xfId="0">
      <alignment horizontal="left" vertical="center"/>
    </xf>
    <xf numFmtId="0" fontId="0" fillId="0" borderId="10" applyAlignment="1" pivotButton="0" quotePrefix="0" xfId="0">
      <alignment vertical="center"/>
    </xf>
    <xf numFmtId="0" fontId="0" fillId="2" borderId="12" pivotButton="0" quotePrefix="0" xfId="0"/>
    <xf numFmtId="164" fontId="0" fillId="2" borderId="13" pivotButton="0" quotePrefix="0" xfId="0"/>
    <xf numFmtId="0" fontId="3" fillId="0" borderId="0" pivotButton="0" quotePrefix="0" xfId="0"/>
    <xf numFmtId="0" fontId="3" fillId="0" borderId="0" pivotButton="0" quotePrefix="0" xfId="0"/>
    <xf numFmtId="0" fontId="3" fillId="0" borderId="3" pivotButton="0" quotePrefix="0" xfId="0"/>
    <xf numFmtId="0" fontId="4" fillId="2" borderId="12" pivotButton="0" quotePrefix="0" xfId="0"/>
    <xf numFmtId="164" fontId="4" fillId="2" borderId="13" pivotButton="0" quotePrefix="0" xfId="0"/>
    <xf numFmtId="165" fontId="0" fillId="0" borderId="8" pivotButton="0" quotePrefix="0" xfId="0"/>
    <xf numFmtId="0" fontId="2" fillId="0" borderId="7" pivotButton="0" quotePrefix="0" xfId="0"/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164" fontId="0" fillId="0" borderId="3" pivotButton="0" quotePrefix="0" xfId="1"/>
    <xf numFmtId="164" fontId="0" fillId="0" borderId="4" pivotButton="0" quotePrefix="0" xfId="0"/>
    <xf numFmtId="164" fontId="0" fillId="0" borderId="0" pivotButton="0" quotePrefix="0" xfId="1"/>
    <xf numFmtId="164" fontId="0" fillId="0" borderId="8" pivotButton="0" quotePrefix="0" xfId="0"/>
    <xf numFmtId="164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8" applyAlignment="1" pivotButton="0" quotePrefix="0" xfId="0">
      <alignment vertical="center"/>
    </xf>
    <xf numFmtId="164" fontId="0" fillId="2" borderId="10" applyAlignment="1" pivotButton="0" quotePrefix="0" xfId="1">
      <alignment vertical="center"/>
    </xf>
    <xf numFmtId="164" fontId="0" fillId="2" borderId="11" applyAlignment="1" pivotButton="0" quotePrefix="0" xfId="0">
      <alignment vertical="center"/>
    </xf>
    <xf numFmtId="0" fontId="2" fillId="0" borderId="14" applyAlignment="1" pivotButton="0" quotePrefix="0" xfId="0">
      <alignment horizontal="center"/>
    </xf>
    <xf numFmtId="165" fontId="0" fillId="0" borderId="8" pivotButton="0" quotePrefix="0" xfId="0"/>
    <xf numFmtId="164" fontId="0" fillId="2" borderId="11" pivotButton="0" quotePrefix="0" xfId="0"/>
    <xf numFmtId="164" fontId="0" fillId="2" borderId="13" pivotButton="0" quotePrefix="0" xfId="0"/>
    <xf numFmtId="164" fontId="0" fillId="0" borderId="3" applyAlignment="1" pivotButton="0" quotePrefix="0" xfId="1">
      <alignment horizontal="left"/>
    </xf>
    <xf numFmtId="164" fontId="1" fillId="0" borderId="0" pivotButton="0" quotePrefix="0" xfId="1"/>
    <xf numFmtId="164" fontId="1" fillId="0" borderId="8" pivotButton="0" quotePrefix="0" xfId="1"/>
    <xf numFmtId="164" fontId="4" fillId="2" borderId="13" pivotButton="0" quotePrefix="0" xfId="0"/>
    <xf numFmtId="0" fontId="5" fillId="3" borderId="15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left" vertical="center"/>
    </xf>
    <xf numFmtId="166" fontId="6" fillId="4" borderId="15" applyAlignment="1" pivotButton="0" quotePrefix="0" xfId="0">
      <alignment horizontal="left" vertical="center"/>
    </xf>
    <xf numFmtId="167" fontId="6" fillId="4" borderId="15" applyAlignment="1" pivotButton="0" quotePrefix="0" xfId="0">
      <alignment horizontal="left" vertical="center"/>
    </xf>
    <xf numFmtId="0" fontId="6" fillId="5" borderId="15" applyAlignment="1" pivotButton="0" quotePrefix="0" xfId="0">
      <alignment horizontal="left" vertical="center"/>
    </xf>
    <xf numFmtId="167" fontId="6" fillId="5" borderId="15" applyAlignment="1" pivotButton="0" quotePrefix="0" xfId="0">
      <alignment horizontal="left" vertical="center"/>
    </xf>
    <xf numFmtId="0" fontId="6" fillId="6" borderId="15" applyAlignment="1" pivotButton="0" quotePrefix="0" xfId="0">
      <alignment horizontal="left" vertical="center"/>
    </xf>
    <xf numFmtId="166" fontId="6" fillId="6" borderId="15" applyAlignment="1" pivotButton="0" quotePrefix="0" xfId="0">
      <alignment horizontal="left" vertical="center"/>
    </xf>
    <xf numFmtId="167" fontId="6" fillId="6" borderId="15" applyAlignment="1" pivotButton="0" quotePrefix="0" xfId="0">
      <alignment horizontal="left" vertical="center"/>
    </xf>
    <xf numFmtId="0" fontId="6" fillId="7" borderId="15" applyAlignment="1" pivotButton="0" quotePrefix="0" xfId="0">
      <alignment horizontal="left" vertical="center"/>
    </xf>
    <xf numFmtId="166" fontId="6" fillId="7" borderId="15" applyAlignment="1" pivotButton="0" quotePrefix="0" xfId="0">
      <alignment horizontal="left" vertical="center"/>
    </xf>
    <xf numFmtId="167" fontId="6" fillId="7" borderId="15" applyAlignment="1" pivotButton="0" quotePrefix="0" xfId="0">
      <alignment horizontal="left" vertical="center"/>
    </xf>
    <xf numFmtId="0" fontId="6" fillId="8" borderId="15" applyAlignment="1" pivotButton="0" quotePrefix="0" xfId="0">
      <alignment horizontal="left" vertical="center"/>
    </xf>
    <xf numFmtId="166" fontId="6" fillId="8" borderId="15" applyAlignment="1" pivotButton="0" quotePrefix="0" xfId="0">
      <alignment horizontal="left" vertical="center"/>
    </xf>
    <xf numFmtId="167" fontId="6" fillId="8" borderId="15" applyAlignment="1" pivotButton="0" quotePrefix="0" xfId="0">
      <alignment horizontal="left" vertical="center"/>
    </xf>
    <xf numFmtId="0" fontId="5" fillId="3" borderId="15" applyAlignment="1" pivotButton="0" quotePrefix="0" xfId="0">
      <alignment horizontal="center" vertical="center"/>
    </xf>
    <xf numFmtId="0" fontId="5" fillId="3" borderId="15" applyAlignment="1" pivotButton="0" quotePrefix="0" xfId="0">
      <alignment horizontal="left" vertical="center"/>
    </xf>
    <xf numFmtId="167" fontId="5" fillId="3" borderId="15" applyAlignment="1" pivotButton="0" quotePrefix="0" xfId="0">
      <alignment horizontal="right" vertical="center"/>
    </xf>
    <xf numFmtId="167" fontId="7" fillId="9" borderId="15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tabSelected="1" workbookViewId="0">
      <selection activeCell="I27" sqref="I27"/>
    </sheetView>
  </sheetViews>
  <sheetFormatPr baseColWidth="8" defaultRowHeight="14.4"/>
  <cols>
    <col width="13.5546875" bestFit="1" customWidth="1" style="5" min="1" max="1"/>
    <col width="21.109375" customWidth="1" style="5" min="2" max="2"/>
    <col width="38.77734375" bestFit="1" customWidth="1" style="5" min="3" max="3"/>
    <col width="10.109375" customWidth="1" style="5" min="4" max="4"/>
    <col width="13.5546875" bestFit="1" customWidth="1" style="5" min="5" max="5"/>
    <col width="15.5546875" bestFit="1" customWidth="1" style="5" min="6" max="6"/>
    <col width="7.21875" customWidth="1" style="5" min="7" max="7"/>
    <col width="14.109375" bestFit="1" customWidth="1" style="5" min="8" max="8"/>
    <col width="32.77734375" bestFit="1" customWidth="1" style="5" min="9" max="9"/>
    <col width="9.88671875" customWidth="1" style="5" min="10" max="10"/>
    <col width="10.33203125" bestFit="1" customWidth="1" style="5" min="11" max="11"/>
    <col width="15.5546875" bestFit="1" customWidth="1" style="5" min="12" max="12"/>
  </cols>
  <sheetData>
    <row r="1" ht="15" customHeight="1" s="5" thickBot="1">
      <c r="A1" s="58" t="inlineStr">
        <is>
          <t>Category</t>
        </is>
      </c>
      <c r="B1" s="58" t="inlineStr">
        <is>
          <t>Hussmann Part Number</t>
        </is>
      </c>
      <c r="C1" s="58" t="inlineStr">
        <is>
          <t>Description</t>
        </is>
      </c>
      <c r="D1" s="58" t="inlineStr">
        <is>
          <t>Qty</t>
        </is>
      </c>
      <c r="E1" s="58" t="inlineStr">
        <is>
          <t>Cost</t>
        </is>
      </c>
      <c r="F1" s="58" t="inlineStr">
        <is>
          <t>Total per Unit</t>
        </is>
      </c>
      <c r="G1" s="10" t="n"/>
    </row>
    <row r="2" ht="15.6" customHeight="1" s="5" thickBot="1" thickTop="1">
      <c r="A2" s="9" t="inlineStr">
        <is>
          <t>Purchase Parts</t>
        </is>
      </c>
      <c r="B2" s="51" t="inlineStr">
        <is>
          <t>Purchase part cost assumed common between MTY and Tecumseh</t>
        </is>
      </c>
      <c r="D2" s="51" t="inlineStr">
        <is>
          <t>Prices found from equivalent Hussmann parts</t>
        </is>
      </c>
    </row>
    <row r="3">
      <c r="B3" s="39" t="n">
        <v>3186699</v>
      </c>
      <c r="C3" s="13" t="inlineStr">
        <is>
          <t>COIL ASSY-EVAP 40P 2C .375 CAS</t>
        </is>
      </c>
      <c r="D3" s="13" t="n">
        <v>1</v>
      </c>
      <c r="E3" s="62" t="n">
        <v>80.31</v>
      </c>
      <c r="F3" s="63">
        <f>E3*D3</f>
        <v/>
      </c>
    </row>
    <row r="4">
      <c r="B4" s="40" t="n"/>
      <c r="C4" t="inlineStr">
        <is>
          <t>Low Temp Compressor (AL-1045-E)</t>
        </is>
      </c>
      <c r="D4" t="n">
        <v>1</v>
      </c>
      <c r="E4" s="64" t="n">
        <v>160.53</v>
      </c>
      <c r="F4" s="65">
        <f>E4*D4</f>
        <v/>
      </c>
    </row>
    <row r="5">
      <c r="B5" s="40" t="n">
        <v>3204290</v>
      </c>
      <c r="C5" t="inlineStr">
        <is>
          <t>HEATER-TUBE DRAIN 120V 9W</t>
        </is>
      </c>
      <c r="D5" t="n">
        <v>1</v>
      </c>
      <c r="E5" s="64" t="n">
        <v>9.48</v>
      </c>
      <c r="F5" s="65">
        <f>E5*D5</f>
        <v/>
      </c>
    </row>
    <row r="6">
      <c r="B6" s="40" t="n">
        <v>3204352</v>
      </c>
      <c r="C6" t="inlineStr">
        <is>
          <t>HEATER-PAN TOP 120V 80W</t>
        </is>
      </c>
      <c r="D6" t="n">
        <v>1</v>
      </c>
      <c r="E6" s="64" t="n">
        <v>4.95</v>
      </c>
      <c r="F6" s="65">
        <f>E6*D6</f>
        <v/>
      </c>
    </row>
    <row r="7">
      <c r="B7" s="40" t="n">
        <v>3072162</v>
      </c>
      <c r="C7" t="inlineStr">
        <is>
          <t>DISTRIBUTOR ASSY-0.33 TON KG 2 CKT LH</t>
        </is>
      </c>
      <c r="D7" t="n">
        <v>1</v>
      </c>
      <c r="E7" s="64" t="n">
        <v>23.95</v>
      </c>
      <c r="F7" s="65">
        <f>E7*D7</f>
        <v/>
      </c>
    </row>
    <row r="8">
      <c r="B8" s="40" t="n"/>
      <c r="C8" t="inlineStr">
        <is>
          <t>VALVE-EXPANSION R448A NXE-A10-VW</t>
        </is>
      </c>
      <c r="D8" t="n">
        <v>1</v>
      </c>
      <c r="E8" s="64" t="n">
        <v>24.21</v>
      </c>
      <c r="F8" s="65">
        <f>E8*D8</f>
        <v/>
      </c>
    </row>
    <row r="9">
      <c r="B9" s="40" t="n">
        <v>3153819</v>
      </c>
      <c r="C9" t="inlineStr">
        <is>
          <t>VALVE-SOL 0.250 OD NO FDF2AK08</t>
        </is>
      </c>
      <c r="D9" t="n">
        <v>1</v>
      </c>
      <c r="E9" s="64" t="n">
        <v>6.16</v>
      </c>
      <c r="F9" s="65">
        <f>E9*D9</f>
        <v/>
      </c>
    </row>
    <row r="10">
      <c r="B10" s="40" t="n">
        <v>3113227</v>
      </c>
      <c r="C10" t="inlineStr">
        <is>
          <t>HEAT EXCHANGER-MICROCHANNEL</t>
        </is>
      </c>
      <c r="D10" t="n">
        <v>1</v>
      </c>
      <c r="E10" s="64" t="n">
        <v>46.31</v>
      </c>
      <c r="F10" s="65">
        <f>E10*D10</f>
        <v/>
      </c>
    </row>
    <row r="11">
      <c r="B11" s="40" t="n">
        <v>3119618</v>
      </c>
      <c r="C11" t="inlineStr">
        <is>
          <t>FILTER DRIER R-290 0.25 ODF</t>
        </is>
      </c>
      <c r="D11" t="n">
        <v>1</v>
      </c>
      <c r="E11" s="64" t="n">
        <v>7.95</v>
      </c>
      <c r="F11" s="65">
        <f>E11*D11</f>
        <v/>
      </c>
    </row>
    <row r="12">
      <c r="B12" s="40" t="n">
        <v>3130306</v>
      </c>
      <c r="C12" t="inlineStr">
        <is>
          <t>COIL-SOLENOID 120V AC 4.5-5W</t>
        </is>
      </c>
      <c r="D12" t="n">
        <v>2</v>
      </c>
      <c r="E12" s="64" t="n">
        <v>5.51</v>
      </c>
      <c r="F12" s="65">
        <f>E12*D12</f>
        <v/>
      </c>
    </row>
    <row r="13">
      <c r="B13" s="40" t="n">
        <v>3130305</v>
      </c>
      <c r="C13" t="inlineStr">
        <is>
          <t>VALVE-SOLENOID 0.25 OD NC</t>
        </is>
      </c>
      <c r="D13" t="n">
        <v>1</v>
      </c>
      <c r="E13" s="64" t="n">
        <v>7.59</v>
      </c>
      <c r="F13" s="65">
        <f>E13*D13</f>
        <v/>
      </c>
    </row>
    <row r="14">
      <c r="B14" s="40" t="n"/>
      <c r="C14" t="inlineStr">
        <is>
          <t>Evap/Condenser FAN</t>
        </is>
      </c>
      <c r="D14" t="n">
        <v>3</v>
      </c>
      <c r="E14" s="64" t="n">
        <v>30.5</v>
      </c>
      <c r="F14" s="65">
        <f>E14*D14</f>
        <v/>
      </c>
    </row>
    <row r="15">
      <c r="B15" s="40" t="n">
        <v>3241906</v>
      </c>
      <c r="C15" t="inlineStr">
        <is>
          <t>CAREL CONTROLLER IJFPSA4B04S0725</t>
        </is>
      </c>
      <c r="D15" t="n">
        <v>1</v>
      </c>
      <c r="E15" s="64" t="n">
        <v>64.37</v>
      </c>
      <c r="F15" s="65">
        <f>E15*D15</f>
        <v/>
      </c>
    </row>
    <row r="16">
      <c r="B16" s="40" t="n">
        <v>3128607</v>
      </c>
      <c r="C16" t="inlineStr">
        <is>
          <t>SENSOR-CAREL TEMP NTC</t>
        </is>
      </c>
      <c r="D16" t="n">
        <v>2</v>
      </c>
      <c r="E16" s="64" t="n">
        <v>8.17</v>
      </c>
      <c r="F16" s="65">
        <f>E16*D16</f>
        <v/>
      </c>
    </row>
    <row r="17">
      <c r="B17" s="40" t="n"/>
      <c r="C17" t="inlineStr">
        <is>
          <t>HIGH PRES SWITCH, R-290 1/4" SWEAT TUBE</t>
        </is>
      </c>
      <c r="D17" t="n">
        <v>1</v>
      </c>
      <c r="E17" s="64" t="n">
        <v>7.03</v>
      </c>
      <c r="F17" s="65">
        <f>E17*D17</f>
        <v/>
      </c>
    </row>
    <row r="18">
      <c r="B18" s="40" t="n">
        <v>3192474</v>
      </c>
      <c r="C18" t="inlineStr">
        <is>
          <t>VALVE-CHECK .250 ODF PISTON</t>
        </is>
      </c>
      <c r="D18" t="n">
        <v>1</v>
      </c>
      <c r="E18" s="64" t="n">
        <v>6.85</v>
      </c>
      <c r="F18" s="65">
        <f>E18*D18</f>
        <v/>
      </c>
    </row>
    <row r="19">
      <c r="B19" s="40" t="n"/>
      <c r="C19" t="inlineStr">
        <is>
          <t>FRP panel</t>
        </is>
      </c>
      <c r="D19" t="n">
        <v>1</v>
      </c>
      <c r="E19" s="64" t="n">
        <v>0.28</v>
      </c>
      <c r="F19" s="65">
        <f>E19*D19</f>
        <v/>
      </c>
    </row>
    <row r="20">
      <c r="B20" s="33" t="inlineStr">
        <is>
          <t>0392277</t>
        </is>
      </c>
      <c r="C20" t="inlineStr">
        <is>
          <t>COUPLING-RDCR 0.375X0.250 CXC</t>
        </is>
      </c>
      <c r="D20" t="n">
        <v>2</v>
      </c>
      <c r="E20" s="64" t="n">
        <v>0.6</v>
      </c>
      <c r="F20" s="65">
        <f>E20*D20</f>
        <v/>
      </c>
    </row>
    <row r="21">
      <c r="B21" s="40" t="n"/>
      <c r="C21" t="inlineStr">
        <is>
          <t>Case to cassette gasket</t>
        </is>
      </c>
      <c r="D21" t="n">
        <v>1</v>
      </c>
      <c r="E21" s="64" t="n">
        <v>15.42</v>
      </c>
      <c r="F21" s="65">
        <f>E21*D21</f>
        <v/>
      </c>
      <c r="G21" s="51" t="inlineStr">
        <is>
          <t>Based on quote from Glassfiber</t>
        </is>
      </c>
    </row>
    <row r="22">
      <c r="B22" s="40" t="inlineStr">
        <is>
          <t>70355K36</t>
        </is>
      </c>
      <c r="C22" t="inlineStr">
        <is>
          <t>Main Power Cord</t>
        </is>
      </c>
      <c r="D22" t="n">
        <v>1</v>
      </c>
      <c r="E22" s="66" t="n">
        <v>20.22</v>
      </c>
      <c r="F22" s="65">
        <f>E22*D22</f>
        <v/>
      </c>
    </row>
    <row r="23">
      <c r="B23" s="24" t="n"/>
      <c r="C23" s="42" t="inlineStr">
        <is>
          <t>All Foam (bottom, evap walls)</t>
        </is>
      </c>
      <c r="D23" s="43" t="n">
        <v>1</v>
      </c>
      <c r="E23" s="67" t="n">
        <v>24</v>
      </c>
      <c r="F23" s="68">
        <f>E23*D23*1.5</f>
        <v/>
      </c>
      <c r="G23" s="51" t="inlineStr">
        <is>
          <t>Estimate (x1.5 for labor)</t>
        </is>
      </c>
    </row>
    <row r="24" ht="15" customHeight="1" s="5" thickBot="1">
      <c r="B24" s="27" t="n"/>
      <c r="C24" s="46" t="n"/>
      <c r="D24" s="47" t="n"/>
      <c r="E24" s="69" t="inlineStr">
        <is>
          <t>Subtotal</t>
        </is>
      </c>
      <c r="F24" s="70">
        <f>SUM(F3:F23)</f>
        <v/>
      </c>
    </row>
    <row r="25" ht="15" customHeight="1" s="5" thickBot="1">
      <c r="A25" s="9" t="inlineStr">
        <is>
          <t>Tubing Parts</t>
        </is>
      </c>
    </row>
    <row r="26">
      <c r="B26" s="29" t="inlineStr">
        <is>
          <t>0378406</t>
        </is>
      </c>
      <c r="C26" s="30" t="inlineStr">
        <is>
          <t>COUPLING-RDCR 0.500X0.375 CXC</t>
        </is>
      </c>
      <c r="D26" s="13" t="n">
        <v>1</v>
      </c>
      <c r="E26" s="62" t="n">
        <v>0.27</v>
      </c>
      <c r="F26" s="63">
        <f>E26*D26</f>
        <v/>
      </c>
    </row>
    <row r="27">
      <c r="B27" s="33" t="inlineStr">
        <is>
          <t>0327376</t>
        </is>
      </c>
      <c r="C27" s="34" t="inlineStr">
        <is>
          <t>BUSHING-FLUSH 0.375 X 0.250 FTG X C</t>
        </is>
      </c>
      <c r="D27" t="n">
        <v>1</v>
      </c>
      <c r="E27" s="64" t="n">
        <v>0.24</v>
      </c>
      <c r="F27" s="65">
        <f>E27*D27</f>
        <v/>
      </c>
      <c r="I27" t="inlineStr">
        <is>
          <t xml:space="preserve">     </t>
        </is>
      </c>
    </row>
    <row r="28">
      <c r="B28" s="33" t="inlineStr">
        <is>
          <t>0021168</t>
        </is>
      </c>
      <c r="C28" s="34" t="inlineStr">
        <is>
          <t>TEE-0.250 CxCxC</t>
        </is>
      </c>
      <c r="D28" t="n">
        <v>2</v>
      </c>
      <c r="E28" s="64" t="n">
        <v>2.06</v>
      </c>
      <c r="F28" s="65">
        <f>E28*D28</f>
        <v/>
      </c>
    </row>
    <row r="29">
      <c r="B29" s="33" t="inlineStr">
        <is>
          <t>0534133</t>
        </is>
      </c>
      <c r="C29" s="34" t="inlineStr">
        <is>
          <t>BUSHING-.875 FLEXIBLE ID SPLIT</t>
        </is>
      </c>
      <c r="D29" t="n">
        <v>3</v>
      </c>
      <c r="E29" s="64" t="n">
        <v>0.13</v>
      </c>
      <c r="F29" s="65">
        <f>E29*D29</f>
        <v/>
      </c>
    </row>
    <row r="30">
      <c r="B30" s="33" t="inlineStr">
        <is>
          <t>3087293</t>
        </is>
      </c>
      <c r="C30" s="34" t="inlineStr">
        <is>
          <t>TUBE-.375X.028WX1.75</t>
        </is>
      </c>
      <c r="D30" t="n">
        <v>1</v>
      </c>
      <c r="E30" s="64" t="n">
        <v>0.11</v>
      </c>
      <c r="F30" s="65">
        <f>E30*D30</f>
        <v/>
      </c>
    </row>
    <row r="31">
      <c r="B31" s="33" t="inlineStr">
        <is>
          <t>3057746</t>
        </is>
      </c>
      <c r="C31" s="34" t="inlineStr">
        <is>
          <t>ELBOW-90 SR .25 FTGxC</t>
        </is>
      </c>
      <c r="D31" t="n">
        <v>4</v>
      </c>
      <c r="E31" s="64" t="n">
        <v>4.55</v>
      </c>
      <c r="F31" s="65">
        <f>E31*D31</f>
        <v/>
      </c>
    </row>
    <row r="32">
      <c r="B32" s="33" t="inlineStr">
        <is>
          <t>0700977</t>
        </is>
      </c>
      <c r="C32" s="34" t="inlineStr">
        <is>
          <t>ELBOW-90 LR 0.250 CXC</t>
        </is>
      </c>
      <c r="D32" t="n">
        <v>1</v>
      </c>
      <c r="E32" s="64" t="n">
        <v>3.6</v>
      </c>
      <c r="F32" s="65">
        <f>E32*D32</f>
        <v/>
      </c>
    </row>
    <row r="33">
      <c r="B33" s="33" t="inlineStr">
        <is>
          <t>3108823</t>
        </is>
      </c>
      <c r="C33" s="34" t="inlineStr">
        <is>
          <t>CLAMP-0.250 LOOP CUSHIONED</t>
        </is>
      </c>
      <c r="D33" t="n">
        <v>2</v>
      </c>
      <c r="E33" s="64" t="n">
        <v>1.47</v>
      </c>
      <c r="F33" s="65">
        <f>E33*D33</f>
        <v/>
      </c>
    </row>
    <row r="34">
      <c r="B34" s="33" t="inlineStr">
        <is>
          <t>0374802</t>
        </is>
      </c>
      <c r="C34" s="34" t="inlineStr">
        <is>
          <t>COUPLING-RDCR 0.375X0.312 CXC</t>
        </is>
      </c>
      <c r="D34" t="n">
        <v>1</v>
      </c>
      <c r="E34" s="64" t="n">
        <v>2.09</v>
      </c>
      <c r="F34" s="65">
        <f>E34*D34</f>
        <v/>
      </c>
    </row>
    <row r="35">
      <c r="B35" s="33" t="inlineStr">
        <is>
          <t>0378122</t>
        </is>
      </c>
      <c r="C35" s="34" t="inlineStr">
        <is>
          <t>TEE-RDCR 0.375 X 0.375 X 0.250 CxCxC</t>
        </is>
      </c>
      <c r="D35" t="n">
        <v>1</v>
      </c>
      <c r="E35" t="n">
        <v>2.59</v>
      </c>
      <c r="F35" s="65">
        <f>E35*D35</f>
        <v/>
      </c>
    </row>
    <row r="36" ht="15" customHeight="1" s="5" thickBot="1">
      <c r="B36" s="35" t="n"/>
      <c r="C36" s="36" t="n"/>
      <c r="D36" s="28" t="n"/>
      <c r="E36" s="69" t="inlineStr">
        <is>
          <t>Subtotal</t>
        </is>
      </c>
      <c r="F36" s="70">
        <f>SUM(F26:F35)</f>
        <v/>
      </c>
    </row>
    <row r="37" ht="15" customHeight="1" s="5" thickBot="1">
      <c r="A37" s="9" t="inlineStr">
        <is>
          <t>Raw Material</t>
        </is>
      </c>
    </row>
    <row r="38">
      <c r="B38" s="71" t="inlineStr">
        <is>
          <t>Monterrey Pricing</t>
        </is>
      </c>
      <c r="C38" s="13" t="n"/>
      <c r="D38" s="13" t="n"/>
      <c r="E38" s="13" t="n"/>
      <c r="F38" s="14" t="n"/>
      <c r="H38" s="71" t="inlineStr">
        <is>
          <t>Tecumseh Pricing</t>
        </is>
      </c>
      <c r="I38" s="13" t="n"/>
      <c r="J38" s="13" t="n"/>
      <c r="K38" s="13" t="n"/>
      <c r="L38" s="14" t="n"/>
    </row>
    <row r="39">
      <c r="B39" s="56" t="inlineStr">
        <is>
          <t>Wiring Parts</t>
        </is>
      </c>
      <c r="E39" s="64" t="n"/>
      <c r="F39" s="65" t="n"/>
      <c r="H39" s="56" t="inlineStr">
        <is>
          <t>Wiring Parts</t>
        </is>
      </c>
      <c r="I39" s="51" t="inlineStr">
        <is>
          <t>Estimated wiring lengths</t>
        </is>
      </c>
      <c r="K39" s="64" t="n"/>
      <c r="L39" s="65" t="n"/>
    </row>
    <row r="40">
      <c r="B40" s="24" t="n"/>
      <c r="C40" t="inlineStr">
        <is>
          <t>Wire (meter)</t>
        </is>
      </c>
      <c r="D40" t="n">
        <v>3.5</v>
      </c>
      <c r="E40" s="64" t="n">
        <v>0.26</v>
      </c>
      <c r="F40" s="65">
        <f>E40*D40</f>
        <v/>
      </c>
      <c r="H40" s="24" t="n"/>
      <c r="I40" t="inlineStr">
        <is>
          <t>Wire (meter)</t>
        </is>
      </c>
      <c r="J40" t="n">
        <v>3.5</v>
      </c>
      <c r="K40" s="64" t="n">
        <v>0.26</v>
      </c>
      <c r="L40" s="65">
        <f>K40*J40</f>
        <v/>
      </c>
    </row>
    <row r="41">
      <c r="B41" s="24" t="n"/>
      <c r="C41" t="inlineStr">
        <is>
          <t>Terminals</t>
        </is>
      </c>
      <c r="D41" t="n">
        <v>8</v>
      </c>
      <c r="E41" s="64" t="n">
        <v>0.2</v>
      </c>
      <c r="F41" s="65">
        <f>E41*D41</f>
        <v/>
      </c>
      <c r="H41" s="24" t="n"/>
      <c r="I41" t="inlineStr">
        <is>
          <t>Terminals</t>
        </is>
      </c>
      <c r="J41" t="n">
        <v>8</v>
      </c>
      <c r="K41" s="64" t="n">
        <v>0.2</v>
      </c>
      <c r="L41" s="65">
        <f>K41*J41</f>
        <v/>
      </c>
    </row>
    <row r="42">
      <c r="B42" s="56" t="inlineStr">
        <is>
          <t>Copper</t>
        </is>
      </c>
      <c r="C42" s="51" t="inlineStr">
        <is>
          <t>Raw material cost + multiplier for labor, direct, indirect cost</t>
        </is>
      </c>
      <c r="E42" s="64" t="n"/>
      <c r="F42" s="65" t="n"/>
      <c r="H42" s="56" t="inlineStr">
        <is>
          <t>Copper</t>
        </is>
      </c>
      <c r="I42" s="51" t="inlineStr">
        <is>
          <t>Raw material cost + multiplier for labor, direct, indirect cost</t>
        </is>
      </c>
      <c r="K42" s="64" t="n"/>
      <c r="L42" s="65" t="n"/>
    </row>
    <row r="43">
      <c r="B43" s="24" t="n"/>
      <c r="C43" t="inlineStr">
        <is>
          <t>3/8 tube</t>
        </is>
      </c>
      <c r="D43" t="n">
        <v>0.312</v>
      </c>
      <c r="E43" s="64" t="n">
        <v>2.45</v>
      </c>
      <c r="F43" s="65">
        <f>(E43*D43)+6</f>
        <v/>
      </c>
      <c r="H43" s="24" t="n"/>
      <c r="I43" t="inlineStr">
        <is>
          <t>3/8 tube</t>
        </is>
      </c>
      <c r="J43" t="n">
        <v>0.312</v>
      </c>
      <c r="K43" s="64" t="n">
        <v>2.45</v>
      </c>
      <c r="L43" s="65">
        <f>(K43*J43)+18</f>
        <v/>
      </c>
    </row>
    <row r="44">
      <c r="B44" s="24" t="n"/>
      <c r="C44" t="inlineStr">
        <is>
          <t>1/4 tube</t>
        </is>
      </c>
      <c r="D44" t="n">
        <v>0.475</v>
      </c>
      <c r="E44" s="64" t="n">
        <v>6.3</v>
      </c>
      <c r="F44" s="65">
        <f>(E44*D44)+6</f>
        <v/>
      </c>
      <c r="H44" s="24" t="n"/>
      <c r="I44" t="inlineStr">
        <is>
          <t>1/4 tube</t>
        </is>
      </c>
      <c r="J44" t="n">
        <v>0.475</v>
      </c>
      <c r="K44" s="64" t="n">
        <v>6.3</v>
      </c>
      <c r="L44" s="65">
        <f>(K44*J44)+18</f>
        <v/>
      </c>
    </row>
    <row r="45">
      <c r="B45" s="24" t="n"/>
      <c r="C45" t="inlineStr">
        <is>
          <t>5/16 tube</t>
        </is>
      </c>
      <c r="D45" t="n">
        <v>0.074</v>
      </c>
      <c r="E45" s="64" t="n">
        <v>4.13</v>
      </c>
      <c r="F45" s="65">
        <f>(E45*D45)+6</f>
        <v/>
      </c>
      <c r="H45" s="24" t="n"/>
      <c r="I45" t="inlineStr">
        <is>
          <t>5/16 tube</t>
        </is>
      </c>
      <c r="J45" t="n">
        <v>0.074</v>
      </c>
      <c r="K45" s="64" t="n">
        <v>4.13</v>
      </c>
      <c r="L45" s="65">
        <f>(K45*J45)+18</f>
        <v/>
      </c>
    </row>
    <row r="46">
      <c r="B46" s="24" t="n"/>
      <c r="C46" t="inlineStr">
        <is>
          <t>1/4 NI-CU tube</t>
        </is>
      </c>
      <c r="D46" t="n">
        <v>0.482</v>
      </c>
      <c r="E46" s="64" t="n">
        <v>26.41</v>
      </c>
      <c r="F46" s="65">
        <f>(E46*D46)+6</f>
        <v/>
      </c>
      <c r="H46" s="24" t="n"/>
      <c r="I46" t="inlineStr">
        <is>
          <t>1/4 NI-CU tube</t>
        </is>
      </c>
      <c r="J46" t="n">
        <v>0.482</v>
      </c>
      <c r="K46" s="64" t="n">
        <v>26.41</v>
      </c>
      <c r="L46" s="65">
        <f>(K46*J46)+18</f>
        <v/>
      </c>
    </row>
    <row r="47">
      <c r="B47" s="56" t="inlineStr">
        <is>
          <t>Sheet metal (kg)</t>
        </is>
      </c>
      <c r="C47" s="51" t="inlineStr">
        <is>
          <t>Raw material cost + multiplier for labor, direct, indirect cost</t>
        </is>
      </c>
      <c r="E47" s="64" t="n"/>
      <c r="F47" s="65" t="n"/>
      <c r="H47" s="56" t="inlineStr">
        <is>
          <t>Sheet metal</t>
        </is>
      </c>
      <c r="I47" s="51" t="inlineStr">
        <is>
          <t>Based on quote from CR Metal</t>
        </is>
      </c>
      <c r="K47" s="64" t="n"/>
      <c r="L47" s="65" t="n"/>
    </row>
    <row r="48">
      <c r="B48" s="24" t="n"/>
      <c r="C48" t="inlineStr">
        <is>
          <t xml:space="preserve">.019 galv </t>
        </is>
      </c>
      <c r="D48" t="n">
        <v>8.664</v>
      </c>
      <c r="E48" s="64" t="n">
        <v>1.75</v>
      </c>
      <c r="F48" s="65">
        <f>(E48*D48)+12.25</f>
        <v/>
      </c>
      <c r="H48" s="24" t="n"/>
      <c r="K48" s="64" t="n"/>
      <c r="L48" s="72" t="n"/>
    </row>
    <row r="49">
      <c r="B49" s="24" t="n"/>
      <c r="C49" t="inlineStr">
        <is>
          <t>.019 stainless</t>
        </is>
      </c>
      <c r="D49" t="n">
        <v>0.243</v>
      </c>
      <c r="E49" s="64" t="n">
        <v>2.63</v>
      </c>
      <c r="F49" s="65">
        <f>(E49*D49)+12.25</f>
        <v/>
      </c>
      <c r="H49" s="24" t="n"/>
      <c r="K49" s="64" t="n"/>
      <c r="L49" s="65" t="n"/>
    </row>
    <row r="50">
      <c r="B50" s="24" t="n"/>
      <c r="C50" t="inlineStr">
        <is>
          <t>.023 galv</t>
        </is>
      </c>
      <c r="D50" t="n">
        <v>16.426</v>
      </c>
      <c r="E50" s="64" t="n">
        <v>1.69</v>
      </c>
      <c r="F50" s="65">
        <f>(E50*D50)+12.25</f>
        <v/>
      </c>
      <c r="H50" s="24" t="n"/>
      <c r="K50" s="64" t="n"/>
      <c r="L50" s="65" t="n"/>
    </row>
    <row r="51">
      <c r="B51" s="24" t="n"/>
      <c r="C51" t="inlineStr">
        <is>
          <t>.035 galv</t>
        </is>
      </c>
      <c r="D51" t="n">
        <v>8.436999999999999</v>
      </c>
      <c r="E51" s="64" t="n">
        <v>1.62</v>
      </c>
      <c r="F51" s="65">
        <f>(E51*D51)+12.25</f>
        <v/>
      </c>
      <c r="H51" s="24" t="n"/>
      <c r="K51" s="64" t="n"/>
      <c r="L51" s="65" t="n"/>
    </row>
    <row r="52">
      <c r="B52" s="24" t="n"/>
      <c r="C52" t="inlineStr">
        <is>
          <t>.047 galv</t>
        </is>
      </c>
      <c r="D52" t="n">
        <v>3.065</v>
      </c>
      <c r="E52" s="64" t="n">
        <v>1.62</v>
      </c>
      <c r="F52" s="65">
        <f>(E52*D52)+12.25</f>
        <v/>
      </c>
      <c r="H52" s="24" t="n"/>
      <c r="K52" s="64" t="n"/>
      <c r="L52" s="65" t="n"/>
    </row>
    <row r="53">
      <c r="B53" s="24" t="n"/>
      <c r="C53" t="inlineStr">
        <is>
          <t>.035 stainless</t>
        </is>
      </c>
      <c r="D53" t="n">
        <v>0.08599999999999999</v>
      </c>
      <c r="E53" s="64" t="n">
        <v>2.86</v>
      </c>
      <c r="F53" s="65">
        <f>(E53*D53)+12.25</f>
        <v/>
      </c>
      <c r="H53" s="24" t="n"/>
      <c r="K53" s="64" t="n"/>
      <c r="L53" s="65" t="n"/>
    </row>
    <row r="54">
      <c r="B54" s="24" t="n"/>
      <c r="C54" t="inlineStr">
        <is>
          <t>.029 galv</t>
        </is>
      </c>
      <c r="D54" t="n">
        <v>6.625</v>
      </c>
      <c r="E54" s="64" t="n">
        <v>1.67</v>
      </c>
      <c r="F54" s="65">
        <f>(E54*D54)+12.25</f>
        <v/>
      </c>
      <c r="H54" s="24" t="n"/>
      <c r="K54" s="64" t="n"/>
      <c r="L54" s="65" t="n"/>
    </row>
    <row r="55">
      <c r="B55" s="24" t="n"/>
      <c r="C55" t="inlineStr">
        <is>
          <t>.023 stainless</t>
        </is>
      </c>
      <c r="D55" t="n">
        <v>1.195</v>
      </c>
      <c r="E55" s="64" t="n">
        <v>3.18</v>
      </c>
      <c r="F55" s="65">
        <f>(E55*D55)+12.25</f>
        <v/>
      </c>
      <c r="H55" s="24" t="n"/>
      <c r="K55" s="64" t="n"/>
      <c r="L55" s="65" t="n"/>
    </row>
    <row r="56" ht="15" customHeight="1" s="5" thickBot="1">
      <c r="B56" s="27" t="n"/>
      <c r="C56" s="28" t="n"/>
      <c r="D56" s="28" t="n"/>
      <c r="E56" s="22" t="inlineStr">
        <is>
          <t>Subtotal</t>
        </is>
      </c>
      <c r="F56" s="73">
        <f>SUM(F40:F55)</f>
        <v/>
      </c>
      <c r="H56" s="27" t="n"/>
      <c r="I56" s="28" t="n"/>
      <c r="J56" s="28" t="n"/>
      <c r="K56" s="22" t="inlineStr">
        <is>
          <t>Subtotal</t>
        </is>
      </c>
      <c r="L56" s="73">
        <f>SUM(L40:L55)</f>
        <v/>
      </c>
    </row>
    <row r="57" ht="15" customHeight="1" s="5" thickBot="1"/>
    <row r="58" ht="15" customHeight="1" s="5" thickBot="1">
      <c r="E58" s="48" t="inlineStr">
        <is>
          <t>Total Parts</t>
        </is>
      </c>
      <c r="F58" s="74">
        <f>SUM(F56,F36,F24)</f>
        <v/>
      </c>
      <c r="K58" s="48" t="inlineStr">
        <is>
          <t>Total Parts</t>
        </is>
      </c>
      <c r="L58" s="74">
        <f>SUM(L56,F36,F24)</f>
        <v/>
      </c>
    </row>
    <row r="61" ht="15" customHeight="1" s="5" thickBot="1">
      <c r="E61" s="64" t="n"/>
      <c r="F61" s="66" t="n"/>
    </row>
    <row r="62">
      <c r="A62" s="9" t="inlineStr">
        <is>
          <t>Labor</t>
        </is>
      </c>
      <c r="B62" s="11" t="inlineStr">
        <is>
          <t>Rate ($/hr MTY)</t>
        </is>
      </c>
      <c r="C62" s="75" t="n">
        <v>36.46</v>
      </c>
      <c r="D62" s="52" t="inlineStr">
        <is>
          <t>Operations timed at Tecumseh</t>
        </is>
      </c>
      <c r="E62" s="13" t="n"/>
      <c r="F62" s="14" t="n"/>
      <c r="H62" s="11" t="inlineStr">
        <is>
          <t>Rate ($/hr MS)</t>
        </is>
      </c>
      <c r="I62" s="75">
        <f>36.46*20/6.86</f>
        <v/>
      </c>
      <c r="J62" s="52" t="inlineStr">
        <is>
          <t>Operations timed at Tecumseh</t>
        </is>
      </c>
      <c r="K62" s="13" t="n"/>
      <c r="L62" s="14" t="n"/>
    </row>
    <row r="63" ht="15" customHeight="1" s="5" thickBot="1">
      <c r="B63" s="15" t="n"/>
      <c r="C63" s="57" t="inlineStr">
        <is>
          <t>Operation</t>
        </is>
      </c>
      <c r="D63" s="57" t="inlineStr">
        <is>
          <t>Time (min)</t>
        </is>
      </c>
      <c r="E63" s="10" t="n"/>
      <c r="F63" s="16" t="n"/>
      <c r="H63" s="15" t="n"/>
      <c r="I63" s="57" t="inlineStr">
        <is>
          <t>Operation</t>
        </is>
      </c>
      <c r="J63" s="57" t="inlineStr">
        <is>
          <t>Time (min)</t>
        </is>
      </c>
      <c r="K63" s="10" t="n"/>
      <c r="L63" s="16" t="n"/>
    </row>
    <row r="64" ht="15" customHeight="1" s="5" thickTop="1">
      <c r="B64" s="56" t="inlineStr">
        <is>
          <t>Subassemblies</t>
        </is>
      </c>
      <c r="F64" s="18" t="n"/>
      <c r="H64" s="56" t="inlineStr">
        <is>
          <t>Subassemblies</t>
        </is>
      </c>
      <c r="L64" s="18" t="n"/>
    </row>
    <row r="65">
      <c r="B65" s="24" t="n"/>
      <c r="C65" s="6" t="inlineStr">
        <is>
          <t>Heater Pan</t>
        </is>
      </c>
      <c r="D65" t="n">
        <v>2</v>
      </c>
      <c r="E65" s="76">
        <f>D65*$C$62/60</f>
        <v/>
      </c>
      <c r="F65" s="77">
        <f>E65</f>
        <v/>
      </c>
      <c r="H65" s="24" t="n"/>
      <c r="I65" s="6" t="inlineStr">
        <is>
          <t>Heater Pan</t>
        </is>
      </c>
      <c r="J65" t="n">
        <v>2</v>
      </c>
      <c r="K65" s="76">
        <f>J65*$I$62/60</f>
        <v/>
      </c>
      <c r="L65" s="77">
        <f>K65</f>
        <v/>
      </c>
    </row>
    <row r="66">
      <c r="B66" s="24" t="n"/>
      <c r="C66" s="6" t="inlineStr">
        <is>
          <t>Evap Fan Shroud</t>
        </is>
      </c>
      <c r="D66" t="n">
        <v>3.5</v>
      </c>
      <c r="E66" s="76">
        <f>D66*$C$62/60</f>
        <v/>
      </c>
      <c r="F66" s="77">
        <f>E66</f>
        <v/>
      </c>
      <c r="H66" s="24" t="n"/>
      <c r="I66" s="6" t="inlineStr">
        <is>
          <t>Evap Fan Shroud</t>
        </is>
      </c>
      <c r="J66" t="n">
        <v>3.5</v>
      </c>
      <c r="K66" s="76">
        <f>J66*$I$62/60</f>
        <v/>
      </c>
      <c r="L66" s="77">
        <f>K66</f>
        <v/>
      </c>
    </row>
    <row r="67">
      <c r="B67" s="24" t="n"/>
      <c r="C67" s="6" t="inlineStr">
        <is>
          <t>Evap Fans</t>
        </is>
      </c>
      <c r="D67" t="n">
        <v>2</v>
      </c>
      <c r="E67" s="76">
        <f>D67*$C$62/60</f>
        <v/>
      </c>
      <c r="F67" s="77">
        <f>E67</f>
        <v/>
      </c>
      <c r="H67" s="24" t="n"/>
      <c r="I67" s="6" t="inlineStr">
        <is>
          <t>Evap Fans</t>
        </is>
      </c>
      <c r="J67" t="n">
        <v>2</v>
      </c>
      <c r="K67" s="76">
        <f>J67*$I$62/60</f>
        <v/>
      </c>
      <c r="L67" s="77">
        <f>K67</f>
        <v/>
      </c>
    </row>
    <row r="68">
      <c r="B68" s="24" t="n"/>
      <c r="C68" s="6" t="inlineStr">
        <is>
          <t>Gasket</t>
        </is>
      </c>
      <c r="D68" t="n">
        <v>6</v>
      </c>
      <c r="E68" s="76">
        <f>D68*$C$62/60</f>
        <v/>
      </c>
      <c r="F68" s="77">
        <f>E68</f>
        <v/>
      </c>
      <c r="H68" s="24" t="n"/>
      <c r="I68" s="6" t="inlineStr">
        <is>
          <t>Gasket</t>
        </is>
      </c>
      <c r="J68" t="n">
        <v>6</v>
      </c>
      <c r="K68" s="76">
        <f>J68*$I$62/60</f>
        <v/>
      </c>
      <c r="L68" s="77">
        <f>K68</f>
        <v/>
      </c>
    </row>
    <row r="69">
      <c r="B69" s="24" t="n"/>
      <c r="C69" s="6" t="inlineStr">
        <is>
          <t>Evap Coil Shroud</t>
        </is>
      </c>
      <c r="D69" t="n">
        <v>3.5</v>
      </c>
      <c r="E69" s="76">
        <f>D69*$C$62/60</f>
        <v/>
      </c>
      <c r="F69" s="77">
        <f>E69</f>
        <v/>
      </c>
      <c r="H69" s="24" t="n"/>
      <c r="I69" s="6" t="inlineStr">
        <is>
          <t>Evap Coil Shroud</t>
        </is>
      </c>
      <c r="J69" t="n">
        <v>3.5</v>
      </c>
      <c r="K69" s="76">
        <f>J69*$I$62/60</f>
        <v/>
      </c>
      <c r="L69" s="77">
        <f>K69</f>
        <v/>
      </c>
    </row>
    <row r="70">
      <c r="B70" s="24" t="n"/>
      <c r="C70" s="6" t="inlineStr">
        <is>
          <t>Controller</t>
        </is>
      </c>
      <c r="D70" t="n">
        <v>5</v>
      </c>
      <c r="E70" s="76">
        <f>D70*$C$62/60</f>
        <v/>
      </c>
      <c r="F70" s="77">
        <f>E70</f>
        <v/>
      </c>
      <c r="H70" s="24" t="n"/>
      <c r="I70" s="6" t="inlineStr">
        <is>
          <t>Controller</t>
        </is>
      </c>
      <c r="J70" t="n">
        <v>5</v>
      </c>
      <c r="K70" s="76">
        <f>J70*$I$62/60</f>
        <v/>
      </c>
      <c r="L70" s="77">
        <f>K70</f>
        <v/>
      </c>
    </row>
    <row r="71">
      <c r="B71" s="24" t="n"/>
      <c r="C71" s="6" t="inlineStr">
        <is>
          <t>Enclosure</t>
        </is>
      </c>
      <c r="D71" t="n">
        <v>15</v>
      </c>
      <c r="E71" s="76">
        <f>D71*$C$62/60</f>
        <v/>
      </c>
      <c r="F71" s="77">
        <f>E71</f>
        <v/>
      </c>
      <c r="H71" s="24" t="n"/>
      <c r="I71" s="6" t="inlineStr">
        <is>
          <t>Enclosure</t>
        </is>
      </c>
      <c r="J71" t="n">
        <v>15</v>
      </c>
      <c r="K71" s="76">
        <f>J71*$I$62/60</f>
        <v/>
      </c>
      <c r="L71" s="77">
        <f>K71</f>
        <v/>
      </c>
    </row>
    <row r="72">
      <c r="B72" s="24" t="n"/>
      <c r="C72" s="6" t="inlineStr">
        <is>
          <t>Base</t>
        </is>
      </c>
      <c r="D72" t="n">
        <v>15</v>
      </c>
      <c r="E72" s="76">
        <f>D72*$C$62/60</f>
        <v/>
      </c>
      <c r="F72" s="77">
        <f>E72</f>
        <v/>
      </c>
      <c r="H72" s="24" t="n"/>
      <c r="I72" s="6" t="inlineStr">
        <is>
          <t>Base</t>
        </is>
      </c>
      <c r="J72" t="n">
        <v>15</v>
      </c>
      <c r="K72" s="76">
        <f>J72*$I$62/60</f>
        <v/>
      </c>
      <c r="L72" s="77">
        <f>K72</f>
        <v/>
      </c>
    </row>
    <row r="73">
      <c r="B73" s="24" t="n"/>
      <c r="C73" s="6" t="inlineStr">
        <is>
          <t>Condenser</t>
        </is>
      </c>
      <c r="D73" t="n">
        <v>2.5</v>
      </c>
      <c r="E73" s="76">
        <f>D73*$C$62/60</f>
        <v/>
      </c>
      <c r="F73" s="77">
        <f>E73</f>
        <v/>
      </c>
      <c r="H73" s="24" t="n"/>
      <c r="I73" s="6" t="inlineStr">
        <is>
          <t>Condenser</t>
        </is>
      </c>
      <c r="J73" t="n">
        <v>2.5</v>
      </c>
      <c r="K73" s="76">
        <f>J73*$I$62/60</f>
        <v/>
      </c>
      <c r="L73" s="77">
        <f>K73</f>
        <v/>
      </c>
    </row>
    <row r="74">
      <c r="B74" s="24" t="n"/>
      <c r="C74" s="6" t="inlineStr">
        <is>
          <t>Piping</t>
        </is>
      </c>
      <c r="D74">
        <f>21*24/60</f>
        <v/>
      </c>
      <c r="E74" s="76">
        <f>D74*$C$62/60</f>
        <v/>
      </c>
      <c r="F74" s="77">
        <f>E74</f>
        <v/>
      </c>
      <c r="H74" s="24" t="n"/>
      <c r="I74" s="6" t="inlineStr">
        <is>
          <t>Piping</t>
        </is>
      </c>
      <c r="J74">
        <f>21*24/60</f>
        <v/>
      </c>
      <c r="K74" s="76">
        <f>J74*$I$62/60</f>
        <v/>
      </c>
      <c r="L74" s="77">
        <f>K74</f>
        <v/>
      </c>
    </row>
    <row r="75">
      <c r="B75" s="56" t="inlineStr">
        <is>
          <t>Main Line</t>
        </is>
      </c>
      <c r="E75" s="76" t="n"/>
      <c r="F75" s="77" t="n"/>
      <c r="H75" s="56" t="inlineStr">
        <is>
          <t>Main Line</t>
        </is>
      </c>
      <c r="K75" s="76" t="n"/>
      <c r="L75" s="77" t="n"/>
    </row>
    <row r="76">
      <c r="B76" s="24" t="n"/>
      <c r="C76" s="6" t="inlineStr">
        <is>
          <t>Gasket and inserts on base and palette</t>
        </is>
      </c>
      <c r="D76" t="n">
        <v>3.25</v>
      </c>
      <c r="E76" s="76">
        <f>D76*$C$62/60</f>
        <v/>
      </c>
      <c r="F76" s="77">
        <f>E76</f>
        <v/>
      </c>
      <c r="H76" s="24" t="n"/>
      <c r="I76" s="6" t="inlineStr">
        <is>
          <t>Gasket and inserts on base and palette</t>
        </is>
      </c>
      <c r="J76" t="n">
        <v>3.25</v>
      </c>
      <c r="K76" s="76">
        <f>J76*$I$62/60</f>
        <v/>
      </c>
      <c r="L76" s="77">
        <f>K76</f>
        <v/>
      </c>
    </row>
    <row r="77">
      <c r="B77" s="24" t="n"/>
      <c r="C77" s="6" t="inlineStr">
        <is>
          <t>Attach components to base</t>
        </is>
      </c>
      <c r="D77" t="n">
        <v>10</v>
      </c>
      <c r="E77" s="76">
        <f>D77*$C$62/60</f>
        <v/>
      </c>
      <c r="F77" s="77">
        <f>E77</f>
        <v/>
      </c>
      <c r="H77" s="24" t="n"/>
      <c r="I77" s="6" t="inlineStr">
        <is>
          <t>Attach components to base</t>
        </is>
      </c>
      <c r="J77" t="n">
        <v>10</v>
      </c>
      <c r="K77" s="76">
        <f>J77*$I$62/60</f>
        <v/>
      </c>
      <c r="L77" s="77">
        <f>K77</f>
        <v/>
      </c>
    </row>
    <row r="78">
      <c r="B78" s="24" t="n"/>
      <c r="C78" s="6" t="inlineStr">
        <is>
          <t>Braze</t>
        </is>
      </c>
      <c r="D78" t="n">
        <v>10</v>
      </c>
      <c r="E78" s="76">
        <f>D78*$C$62/60</f>
        <v/>
      </c>
      <c r="F78" s="77">
        <f>E78</f>
        <v/>
      </c>
      <c r="H78" s="24" t="n"/>
      <c r="I78" s="6" t="inlineStr">
        <is>
          <t>Braze</t>
        </is>
      </c>
      <c r="J78" t="n">
        <v>10</v>
      </c>
      <c r="K78" s="76">
        <f>J78*$I$62/60</f>
        <v/>
      </c>
      <c r="L78" s="77">
        <f>K78</f>
        <v/>
      </c>
    </row>
    <row r="79">
      <c r="B79" s="24" t="n"/>
      <c r="C79" s="6" t="inlineStr">
        <is>
          <t>Attach control box and run wire</t>
        </is>
      </c>
      <c r="D79" t="n">
        <v>15</v>
      </c>
      <c r="E79" s="76">
        <f>D79*$C$62/60</f>
        <v/>
      </c>
      <c r="F79" s="77">
        <f>E79</f>
        <v/>
      </c>
      <c r="H79" s="24" t="n"/>
      <c r="I79" s="6" t="inlineStr">
        <is>
          <t>Attach control box and run wire</t>
        </is>
      </c>
      <c r="J79" t="n">
        <v>15</v>
      </c>
      <c r="K79" s="76">
        <f>J79*$I$62/60</f>
        <v/>
      </c>
      <c r="L79" s="77">
        <f>K79</f>
        <v/>
      </c>
    </row>
    <row r="80">
      <c r="B80" s="24" t="n"/>
      <c r="C80" s="6" t="inlineStr">
        <is>
          <t>Insulate piping</t>
        </is>
      </c>
      <c r="D80" t="n">
        <v>8</v>
      </c>
      <c r="E80" s="76">
        <f>D80*$C$62/60</f>
        <v/>
      </c>
      <c r="F80" s="77">
        <f>E80</f>
        <v/>
      </c>
      <c r="H80" s="24" t="n"/>
      <c r="I80" s="6" t="inlineStr">
        <is>
          <t>Insulate piping</t>
        </is>
      </c>
      <c r="J80" t="n">
        <v>8</v>
      </c>
      <c r="K80" s="76">
        <f>J80*$I$62/60</f>
        <v/>
      </c>
      <c r="L80" s="77">
        <f>K80</f>
        <v/>
      </c>
    </row>
    <row r="81">
      <c r="B81" s="24" t="n"/>
      <c r="C81" s="6" t="inlineStr">
        <is>
          <t>Hi pot test</t>
        </is>
      </c>
      <c r="D81" t="n">
        <v>5</v>
      </c>
      <c r="E81" s="76">
        <f>D81*$C$62/60</f>
        <v/>
      </c>
      <c r="F81" s="77">
        <f>E81</f>
        <v/>
      </c>
      <c r="H81" s="24" t="n"/>
      <c r="I81" s="6" t="inlineStr">
        <is>
          <t>Hi pot test</t>
        </is>
      </c>
      <c r="J81" t="n">
        <v>5</v>
      </c>
      <c r="K81" s="76">
        <f>J81*$I$62/60</f>
        <v/>
      </c>
      <c r="L81" s="77">
        <f>K81</f>
        <v/>
      </c>
    </row>
    <row r="82">
      <c r="B82" s="24" t="n"/>
      <c r="C82" s="6" t="inlineStr">
        <is>
          <t>Wrap wire and pull vacuum</t>
        </is>
      </c>
      <c r="D82" t="n">
        <v>14.75</v>
      </c>
      <c r="E82" s="76">
        <f>D82*$C$62/60</f>
        <v/>
      </c>
      <c r="F82" s="77">
        <f>E82</f>
        <v/>
      </c>
      <c r="H82" s="24" t="n"/>
      <c r="I82" s="6" t="inlineStr">
        <is>
          <t>Wrap wire and pull vacuum</t>
        </is>
      </c>
      <c r="J82" t="n">
        <v>14.75</v>
      </c>
      <c r="K82" s="76">
        <f>J82*$I$62/60</f>
        <v/>
      </c>
      <c r="L82" s="77">
        <f>K82</f>
        <v/>
      </c>
    </row>
    <row r="83">
      <c r="B83" s="24" t="n"/>
      <c r="C83" s="6" t="inlineStr">
        <is>
          <t>Charge and snip</t>
        </is>
      </c>
      <c r="D83" t="n">
        <v>4.75</v>
      </c>
      <c r="E83" s="76">
        <f>D83*$C$62/60</f>
        <v/>
      </c>
      <c r="F83" s="77">
        <f>E83</f>
        <v/>
      </c>
      <c r="G83" s="66" t="n"/>
      <c r="H83" s="24" t="n"/>
      <c r="I83" s="6" t="inlineStr">
        <is>
          <t>Charge and snip</t>
        </is>
      </c>
      <c r="J83" t="n">
        <v>4.75</v>
      </c>
      <c r="K83" s="76">
        <f>J83*$I$62/60</f>
        <v/>
      </c>
      <c r="L83" s="77">
        <f>K83</f>
        <v/>
      </c>
    </row>
    <row r="84">
      <c r="B84" s="24" t="n"/>
      <c r="C84" s="6" t="inlineStr">
        <is>
          <t>Accessories</t>
        </is>
      </c>
      <c r="D84" t="n">
        <v>4</v>
      </c>
      <c r="E84" s="76">
        <f>D84*$C$62/60</f>
        <v/>
      </c>
      <c r="F84" s="77">
        <f>E84</f>
        <v/>
      </c>
      <c r="H84" s="24" t="n"/>
      <c r="I84" s="6" t="inlineStr">
        <is>
          <t>Accessories</t>
        </is>
      </c>
      <c r="J84" t="n">
        <v>4</v>
      </c>
      <c r="K84" s="76">
        <f>J84*$I$62/60</f>
        <v/>
      </c>
      <c r="L84" s="77">
        <f>K84</f>
        <v/>
      </c>
    </row>
    <row r="85">
      <c r="B85" s="24" t="n"/>
      <c r="C85" s="6" t="inlineStr">
        <is>
          <t>End of line test</t>
        </is>
      </c>
      <c r="D85" t="n">
        <v>4</v>
      </c>
      <c r="E85" s="76">
        <f>D85*$C$62/60</f>
        <v/>
      </c>
      <c r="F85" s="77">
        <f>E85</f>
        <v/>
      </c>
      <c r="G85" s="66" t="n"/>
      <c r="H85" s="24" t="n"/>
      <c r="I85" s="6" t="inlineStr">
        <is>
          <t>End of line test</t>
        </is>
      </c>
      <c r="J85" t="n">
        <v>4</v>
      </c>
      <c r="K85" s="76">
        <f>J85*$I$62/60</f>
        <v/>
      </c>
      <c r="L85" s="77">
        <f>K85</f>
        <v/>
      </c>
    </row>
    <row r="86">
      <c r="B86" s="24" t="n"/>
      <c r="C86" s="6" t="inlineStr">
        <is>
          <t>Enclosure and labels (2 people)</t>
        </is>
      </c>
      <c r="D86">
        <f>16*2</f>
        <v/>
      </c>
      <c r="E86" s="76">
        <f>D86*$C$62/60</f>
        <v/>
      </c>
      <c r="F86" s="77">
        <f>E86*2</f>
        <v/>
      </c>
      <c r="H86" s="24" t="n"/>
      <c r="I86" s="6" t="inlineStr">
        <is>
          <t>Enclosure and labels (2 people)</t>
        </is>
      </c>
      <c r="J86">
        <f>16*2</f>
        <v/>
      </c>
      <c r="K86" s="76">
        <f>J86*$I$62/60</f>
        <v/>
      </c>
      <c r="L86" s="77">
        <f>K86*2</f>
        <v/>
      </c>
    </row>
    <row r="87">
      <c r="B87" s="24" t="n"/>
      <c r="C87" s="6" t="inlineStr">
        <is>
          <t>Packaging</t>
        </is>
      </c>
      <c r="D87" t="n">
        <v>7.5</v>
      </c>
      <c r="E87" s="76">
        <f>D87*$C$62/60</f>
        <v/>
      </c>
      <c r="F87" s="77">
        <f>E87</f>
        <v/>
      </c>
      <c r="H87" s="24" t="n"/>
      <c r="I87" s="6" t="inlineStr">
        <is>
          <t>Packaging</t>
        </is>
      </c>
      <c r="J87" t="n">
        <v>7.5</v>
      </c>
      <c r="K87" s="76">
        <f>J87*$I$62/60</f>
        <v/>
      </c>
      <c r="L87" s="77">
        <f>K87</f>
        <v/>
      </c>
    </row>
    <row r="88">
      <c r="B88" s="24" t="n"/>
      <c r="F88" s="18" t="n"/>
      <c r="H88" s="24" t="n"/>
      <c r="L88" s="18" t="n"/>
    </row>
    <row r="89" ht="15" customHeight="1" s="5" thickBot="1">
      <c r="B89" s="27" t="n"/>
      <c r="C89" s="28" t="n"/>
      <c r="D89" s="28" t="n"/>
      <c r="E89" s="22" t="inlineStr">
        <is>
          <t>Total Labor</t>
        </is>
      </c>
      <c r="F89" s="73">
        <f>SUM(F65:F87)</f>
        <v/>
      </c>
      <c r="H89" s="27" t="n"/>
      <c r="I89" s="28" t="n"/>
      <c r="J89" s="28" t="n"/>
      <c r="K89" s="22" t="inlineStr">
        <is>
          <t>Total Labor</t>
        </is>
      </c>
      <c r="L89" s="73">
        <f>SUM(L65:L87)</f>
        <v/>
      </c>
    </row>
    <row r="90" ht="15" customHeight="1" s="5" thickBot="1"/>
    <row r="91" ht="21.6" customHeight="1" s="5" thickBot="1">
      <c r="E91" s="53" t="inlineStr">
        <is>
          <t>Total</t>
        </is>
      </c>
      <c r="F91" s="78">
        <f>F89+F58</f>
        <v/>
      </c>
      <c r="K91" s="53" t="inlineStr">
        <is>
          <t>Total</t>
        </is>
      </c>
      <c r="L91" s="78">
        <f>L89+L58</f>
        <v/>
      </c>
    </row>
  </sheetData>
  <mergeCells count="2">
    <mergeCell ref="H38:L38"/>
    <mergeCell ref="B38:F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5" min="1" max="1"/>
    <col width="18" customWidth="1" style="5" min="2" max="2"/>
    <col width="42" customWidth="1" style="5" min="3" max="3"/>
    <col width="6" customWidth="1" style="5" min="4" max="4"/>
    <col width="16" customWidth="1" style="5" min="5" max="5"/>
    <col width="16" customWidth="1" style="5" min="6" max="6"/>
    <col width="18" customWidth="1" style="5" min="7" max="7"/>
    <col width="22" customWidth="1" style="5" min="8" max="8"/>
    <col width="36" customWidth="1" style="5" min="9" max="9"/>
    <col width="18" customWidth="1" style="5" min="10" max="10"/>
    <col width="22" customWidth="1" style="5" min="11" max="11"/>
    <col width="14" customWidth="1" style="5" min="12" max="12"/>
    <col width="16" customWidth="1" style="5" min="13" max="13"/>
    <col width="30" customWidth="1" style="5" min="14" max="14"/>
  </cols>
  <sheetData>
    <row r="1" ht="32" customHeight="1" s="5">
      <c r="A1" s="79" t="inlineStr">
        <is>
          <t>Category</t>
        </is>
      </c>
      <c r="B1" s="79" t="inlineStr">
        <is>
          <t>Part # / Reference</t>
        </is>
      </c>
      <c r="C1" s="79" t="inlineStr">
        <is>
          <t>Description</t>
        </is>
      </c>
      <c r="D1" s="79" t="inlineStr">
        <is>
          <t>Qty</t>
        </is>
      </c>
      <c r="E1" s="79" t="inlineStr">
        <is>
          <t>MTY Unit Cost ($)</t>
        </is>
      </c>
      <c r="F1" s="79" t="inlineStr">
        <is>
          <t>MTY Total Cost ($)</t>
        </is>
      </c>
      <c r="G1" s="79" t="inlineStr">
        <is>
          <t>Tecumseh Total Cost ($)</t>
        </is>
      </c>
      <c r="H1" s="79" t="inlineStr">
        <is>
          <t>Function</t>
        </is>
      </c>
      <c r="I1" s="79" t="inlineStr">
        <is>
          <t>VAVE Idea</t>
        </is>
      </c>
      <c r="J1" s="79" t="inlineStr">
        <is>
          <t>Est. Savings ($/unit)</t>
        </is>
      </c>
      <c r="K1" s="79" t="inlineStr">
        <is>
          <t>Implementation Timeline</t>
        </is>
      </c>
      <c r="L1" s="79" t="inlineStr">
        <is>
          <t>Testing Needed</t>
        </is>
      </c>
      <c r="M1" s="79" t="inlineStr">
        <is>
          <t>Status</t>
        </is>
      </c>
      <c r="N1" s="79" t="inlineStr">
        <is>
          <t>Notes</t>
        </is>
      </c>
    </row>
    <row r="2" ht="18" customHeight="1" s="5">
      <c r="A2" s="80" t="inlineStr">
        <is>
          <t>Purchase Parts</t>
        </is>
      </c>
      <c r="B2" s="80" t="inlineStr">
        <is>
          <t>3186699</t>
        </is>
      </c>
      <c r="C2" s="80" t="inlineStr">
        <is>
          <t>COIL ASSY-EVAP 40P 2C .375 CAS</t>
        </is>
      </c>
      <c r="D2" s="81" t="n">
        <v>1</v>
      </c>
      <c r="E2" s="82" t="n">
        <v>80.31</v>
      </c>
      <c r="F2" s="82" t="n">
        <v>80.31</v>
      </c>
      <c r="G2" s="82" t="n"/>
      <c r="H2" s="83" t="inlineStr"/>
      <c r="I2" s="83" t="inlineStr"/>
      <c r="J2" s="84" t="n"/>
      <c r="K2" s="83" t="inlineStr"/>
      <c r="L2" s="83" t="inlineStr"/>
      <c r="M2" s="83" t="inlineStr"/>
      <c r="N2" s="83" t="inlineStr"/>
    </row>
    <row r="3" ht="18" customHeight="1" s="5">
      <c r="A3" s="80" t="inlineStr">
        <is>
          <t>Purchase Parts</t>
        </is>
      </c>
      <c r="B3" s="80" t="inlineStr"/>
      <c r="C3" s="80" t="inlineStr">
        <is>
          <t>Low Temp Compressor (AL-1045-E)</t>
        </is>
      </c>
      <c r="D3" s="81" t="n">
        <v>1</v>
      </c>
      <c r="E3" s="82" t="n">
        <v>160.53</v>
      </c>
      <c r="F3" s="82" t="n">
        <v>160.53</v>
      </c>
      <c r="G3" s="82" t="n"/>
      <c r="H3" s="83" t="inlineStr"/>
      <c r="I3" s="83" t="inlineStr"/>
      <c r="J3" s="84" t="n"/>
      <c r="K3" s="83" t="inlineStr"/>
      <c r="L3" s="83" t="inlineStr"/>
      <c r="M3" s="83" t="inlineStr"/>
      <c r="N3" s="83" t="inlineStr"/>
    </row>
    <row r="4" ht="18" customHeight="1" s="5">
      <c r="A4" s="80" t="inlineStr">
        <is>
          <t>Purchase Parts</t>
        </is>
      </c>
      <c r="B4" s="80" t="inlineStr">
        <is>
          <t>3204290</t>
        </is>
      </c>
      <c r="C4" s="80" t="inlineStr">
        <is>
          <t>HEATER-TUBE DRAIN 120V 9W</t>
        </is>
      </c>
      <c r="D4" s="81" t="n">
        <v>1</v>
      </c>
      <c r="E4" s="82" t="n">
        <v>9.48</v>
      </c>
      <c r="F4" s="82" t="n">
        <v>9.48</v>
      </c>
      <c r="G4" s="82" t="n"/>
      <c r="H4" s="83" t="inlineStr"/>
      <c r="I4" s="83" t="inlineStr"/>
      <c r="J4" s="84" t="n"/>
      <c r="K4" s="83" t="inlineStr"/>
      <c r="L4" s="83" t="inlineStr"/>
      <c r="M4" s="83" t="inlineStr"/>
      <c r="N4" s="83" t="inlineStr"/>
    </row>
    <row r="5" ht="18" customHeight="1" s="5">
      <c r="A5" s="80" t="inlineStr">
        <is>
          <t>Purchase Parts</t>
        </is>
      </c>
      <c r="B5" s="80" t="inlineStr">
        <is>
          <t>3204352</t>
        </is>
      </c>
      <c r="C5" s="80" t="inlineStr">
        <is>
          <t>HEATER-PAN TOP 120V 80W</t>
        </is>
      </c>
      <c r="D5" s="81" t="n">
        <v>1</v>
      </c>
      <c r="E5" s="82" t="n">
        <v>4.95</v>
      </c>
      <c r="F5" s="82" t="n">
        <v>4.95</v>
      </c>
      <c r="G5" s="82" t="n"/>
      <c r="H5" s="83" t="inlineStr"/>
      <c r="I5" s="83" t="inlineStr"/>
      <c r="J5" s="84" t="n"/>
      <c r="K5" s="83" t="inlineStr"/>
      <c r="L5" s="83" t="inlineStr"/>
      <c r="M5" s="83" t="inlineStr"/>
      <c r="N5" s="83" t="inlineStr"/>
    </row>
    <row r="6" ht="18" customHeight="1" s="5">
      <c r="A6" s="80" t="inlineStr">
        <is>
          <t>Purchase Parts</t>
        </is>
      </c>
      <c r="B6" s="80" t="inlineStr">
        <is>
          <t>3072162</t>
        </is>
      </c>
      <c r="C6" s="80" t="inlineStr">
        <is>
          <t>DISTRIBUTOR ASSY-0.33 TON KG 2 CKT LH</t>
        </is>
      </c>
      <c r="D6" s="81" t="n">
        <v>1</v>
      </c>
      <c r="E6" s="82" t="n">
        <v>23.95</v>
      </c>
      <c r="F6" s="82" t="n">
        <v>23.95</v>
      </c>
      <c r="G6" s="82" t="n"/>
      <c r="H6" s="83" t="inlineStr"/>
      <c r="I6" s="83" t="inlineStr"/>
      <c r="J6" s="84" t="n"/>
      <c r="K6" s="83" t="inlineStr"/>
      <c r="L6" s="83" t="inlineStr"/>
      <c r="M6" s="83" t="inlineStr"/>
      <c r="N6" s="83" t="inlineStr"/>
    </row>
    <row r="7" ht="18" customHeight="1" s="5">
      <c r="A7" s="80" t="inlineStr">
        <is>
          <t>Purchase Parts</t>
        </is>
      </c>
      <c r="B7" s="80" t="inlineStr"/>
      <c r="C7" s="80" t="inlineStr">
        <is>
          <t>VALVE-EXPANSION R448A NXE-A10-VW</t>
        </is>
      </c>
      <c r="D7" s="81" t="n">
        <v>1</v>
      </c>
      <c r="E7" s="82" t="n">
        <v>24.21</v>
      </c>
      <c r="F7" s="82" t="n">
        <v>24.21</v>
      </c>
      <c r="G7" s="82" t="n"/>
      <c r="H7" s="83" t="inlineStr"/>
      <c r="I7" s="83" t="inlineStr"/>
      <c r="J7" s="84" t="n"/>
      <c r="K7" s="83" t="inlineStr"/>
      <c r="L7" s="83" t="inlineStr"/>
      <c r="M7" s="83" t="inlineStr"/>
      <c r="N7" s="83" t="inlineStr"/>
    </row>
    <row r="8" ht="18" customHeight="1" s="5">
      <c r="A8" s="80" t="inlineStr">
        <is>
          <t>Purchase Parts</t>
        </is>
      </c>
      <c r="B8" s="80" t="inlineStr">
        <is>
          <t>3153819</t>
        </is>
      </c>
      <c r="C8" s="80" t="inlineStr">
        <is>
          <t>VALVE-SOL 0.250 OD NO FDF2AK08</t>
        </is>
      </c>
      <c r="D8" s="81" t="n">
        <v>1</v>
      </c>
      <c r="E8" s="82" t="n">
        <v>6.16</v>
      </c>
      <c r="F8" s="82" t="n">
        <v>6.16</v>
      </c>
      <c r="G8" s="82" t="n"/>
      <c r="H8" s="83" t="inlineStr"/>
      <c r="I8" s="83" t="inlineStr"/>
      <c r="J8" s="84" t="n"/>
      <c r="K8" s="83" t="inlineStr"/>
      <c r="L8" s="83" t="inlineStr"/>
      <c r="M8" s="83" t="inlineStr"/>
      <c r="N8" s="83" t="inlineStr"/>
    </row>
    <row r="9" ht="18" customHeight="1" s="5">
      <c r="A9" s="80" t="inlineStr">
        <is>
          <t>Purchase Parts</t>
        </is>
      </c>
      <c r="B9" s="80" t="inlineStr">
        <is>
          <t>3113227</t>
        </is>
      </c>
      <c r="C9" s="80" t="inlineStr">
        <is>
          <t>HEAT EXCHANGER-MICROCHANNEL</t>
        </is>
      </c>
      <c r="D9" s="81" t="n">
        <v>1</v>
      </c>
      <c r="E9" s="82" t="n">
        <v>46.31</v>
      </c>
      <c r="F9" s="82" t="n">
        <v>46.31</v>
      </c>
      <c r="G9" s="82" t="n"/>
      <c r="H9" s="83" t="inlineStr"/>
      <c r="I9" s="83" t="inlineStr"/>
      <c r="J9" s="84" t="n"/>
      <c r="K9" s="83" t="inlineStr"/>
      <c r="L9" s="83" t="inlineStr"/>
      <c r="M9" s="83" t="inlineStr"/>
      <c r="N9" s="83" t="inlineStr"/>
    </row>
    <row r="10" ht="18" customHeight="1" s="5">
      <c r="A10" s="80" t="inlineStr">
        <is>
          <t>Purchase Parts</t>
        </is>
      </c>
      <c r="B10" s="80" t="inlineStr">
        <is>
          <t>3119618</t>
        </is>
      </c>
      <c r="C10" s="80" t="inlineStr">
        <is>
          <t>FILTER DRIER R-290 0.25 ODF</t>
        </is>
      </c>
      <c r="D10" s="81" t="n">
        <v>1</v>
      </c>
      <c r="E10" s="82" t="n">
        <v>7.95</v>
      </c>
      <c r="F10" s="82" t="n">
        <v>7.95</v>
      </c>
      <c r="G10" s="82" t="n"/>
      <c r="H10" s="83" t="inlineStr"/>
      <c r="I10" s="83" t="inlineStr"/>
      <c r="J10" s="84" t="n"/>
      <c r="K10" s="83" t="inlineStr"/>
      <c r="L10" s="83" t="inlineStr"/>
      <c r="M10" s="83" t="inlineStr"/>
      <c r="N10" s="83" t="inlineStr"/>
    </row>
    <row r="11" ht="18" customHeight="1" s="5">
      <c r="A11" s="80" t="inlineStr">
        <is>
          <t>Purchase Parts</t>
        </is>
      </c>
      <c r="B11" s="80" t="inlineStr">
        <is>
          <t>3130306</t>
        </is>
      </c>
      <c r="C11" s="80" t="inlineStr">
        <is>
          <t>COIL-SOLENOID 120V AC 4.5-5W</t>
        </is>
      </c>
      <c r="D11" s="81" t="n">
        <v>2</v>
      </c>
      <c r="E11" s="82" t="n">
        <v>5.51</v>
      </c>
      <c r="F11" s="82" t="n">
        <v>11.02</v>
      </c>
      <c r="G11" s="82" t="n"/>
      <c r="H11" s="83" t="inlineStr"/>
      <c r="I11" s="83" t="inlineStr"/>
      <c r="J11" s="84" t="n"/>
      <c r="K11" s="83" t="inlineStr"/>
      <c r="L11" s="83" t="inlineStr"/>
      <c r="M11" s="83" t="inlineStr"/>
      <c r="N11" s="83" t="inlineStr"/>
    </row>
    <row r="12" ht="18" customHeight="1" s="5">
      <c r="A12" s="80" t="inlineStr">
        <is>
          <t>Purchase Parts</t>
        </is>
      </c>
      <c r="B12" s="80" t="inlineStr">
        <is>
          <t>3130305</t>
        </is>
      </c>
      <c r="C12" s="80" t="inlineStr">
        <is>
          <t>VALVE-SOLENOID 0.25 OD NC</t>
        </is>
      </c>
      <c r="D12" s="81" t="n">
        <v>1</v>
      </c>
      <c r="E12" s="82" t="n">
        <v>7.59</v>
      </c>
      <c r="F12" s="82" t="n">
        <v>7.59</v>
      </c>
      <c r="G12" s="82" t="n"/>
      <c r="H12" s="83" t="inlineStr"/>
      <c r="I12" s="83" t="inlineStr"/>
      <c r="J12" s="84" t="n"/>
      <c r="K12" s="83" t="inlineStr"/>
      <c r="L12" s="83" t="inlineStr"/>
      <c r="M12" s="83" t="inlineStr"/>
      <c r="N12" s="83" t="inlineStr"/>
    </row>
    <row r="13" ht="18" customHeight="1" s="5">
      <c r="A13" s="80" t="inlineStr">
        <is>
          <t>Purchase Parts</t>
        </is>
      </c>
      <c r="B13" s="80" t="inlineStr"/>
      <c r="C13" s="80" t="inlineStr">
        <is>
          <t>Evap/Condenser FAN</t>
        </is>
      </c>
      <c r="D13" s="81" t="n">
        <v>3</v>
      </c>
      <c r="E13" s="82" t="n">
        <v>30.5</v>
      </c>
      <c r="F13" s="82" t="n">
        <v>91.5</v>
      </c>
      <c r="G13" s="82" t="n"/>
      <c r="H13" s="83" t="inlineStr"/>
      <c r="I13" s="83" t="inlineStr"/>
      <c r="J13" s="84" t="n"/>
      <c r="K13" s="83" t="inlineStr"/>
      <c r="L13" s="83" t="inlineStr"/>
      <c r="M13" s="83" t="inlineStr"/>
      <c r="N13" s="83" t="inlineStr"/>
    </row>
    <row r="14" ht="18" customHeight="1" s="5">
      <c r="A14" s="80" t="inlineStr">
        <is>
          <t>Purchase Parts</t>
        </is>
      </c>
      <c r="B14" s="80" t="inlineStr">
        <is>
          <t>3241906</t>
        </is>
      </c>
      <c r="C14" s="80" t="inlineStr">
        <is>
          <t>CAREL CONTROLLER IJFPSA4B04S0725</t>
        </is>
      </c>
      <c r="D14" s="81" t="n">
        <v>1</v>
      </c>
      <c r="E14" s="82" t="n">
        <v>64.37</v>
      </c>
      <c r="F14" s="82" t="n">
        <v>64.37</v>
      </c>
      <c r="G14" s="82" t="n"/>
      <c r="H14" s="83" t="inlineStr"/>
      <c r="I14" s="83" t="inlineStr"/>
      <c r="J14" s="84" t="n"/>
      <c r="K14" s="83" t="inlineStr"/>
      <c r="L14" s="83" t="inlineStr"/>
      <c r="M14" s="83" t="inlineStr"/>
      <c r="N14" s="83" t="inlineStr"/>
    </row>
    <row r="15" ht="18" customHeight="1" s="5">
      <c r="A15" s="80" t="inlineStr">
        <is>
          <t>Purchase Parts</t>
        </is>
      </c>
      <c r="B15" s="80" t="inlineStr">
        <is>
          <t>3128607</t>
        </is>
      </c>
      <c r="C15" s="80" t="inlineStr">
        <is>
          <t>SENSOR-CAREL TEMP NTC</t>
        </is>
      </c>
      <c r="D15" s="81" t="n">
        <v>2</v>
      </c>
      <c r="E15" s="82" t="n">
        <v>8.17</v>
      </c>
      <c r="F15" s="82" t="n">
        <v>16.34</v>
      </c>
      <c r="G15" s="82" t="n"/>
      <c r="H15" s="83" t="inlineStr"/>
      <c r="I15" s="83" t="inlineStr"/>
      <c r="J15" s="84" t="n"/>
      <c r="K15" s="83" t="inlineStr"/>
      <c r="L15" s="83" t="inlineStr"/>
      <c r="M15" s="83" t="inlineStr"/>
      <c r="N15" s="83" t="inlineStr"/>
    </row>
    <row r="16" ht="18" customHeight="1" s="5">
      <c r="A16" s="80" t="inlineStr">
        <is>
          <t>Purchase Parts</t>
        </is>
      </c>
      <c r="B16" s="80" t="inlineStr"/>
      <c r="C16" s="80" t="inlineStr">
        <is>
          <t>HIGH PRES SWITCH, R-290 1/4" SWEAT TUBE</t>
        </is>
      </c>
      <c r="D16" s="81" t="n">
        <v>1</v>
      </c>
      <c r="E16" s="82" t="n">
        <v>7.03</v>
      </c>
      <c r="F16" s="82" t="n">
        <v>7.03</v>
      </c>
      <c r="G16" s="82" t="n"/>
      <c r="H16" s="83" t="inlineStr"/>
      <c r="I16" s="83" t="inlineStr"/>
      <c r="J16" s="84" t="n"/>
      <c r="K16" s="83" t="inlineStr"/>
      <c r="L16" s="83" t="inlineStr"/>
      <c r="M16" s="83" t="inlineStr"/>
      <c r="N16" s="83" t="inlineStr"/>
    </row>
    <row r="17" ht="18" customHeight="1" s="5">
      <c r="A17" s="80" t="inlineStr">
        <is>
          <t>Purchase Parts</t>
        </is>
      </c>
      <c r="B17" s="80" t="inlineStr">
        <is>
          <t>3192474</t>
        </is>
      </c>
      <c r="C17" s="80" t="inlineStr">
        <is>
          <t>VALVE-CHECK .250 ODF PISTON</t>
        </is>
      </c>
      <c r="D17" s="81" t="n">
        <v>1</v>
      </c>
      <c r="E17" s="82" t="n">
        <v>6.85</v>
      </c>
      <c r="F17" s="82" t="n">
        <v>6.85</v>
      </c>
      <c r="G17" s="82" t="n"/>
      <c r="H17" s="83" t="inlineStr"/>
      <c r="I17" s="83" t="inlineStr"/>
      <c r="J17" s="84" t="n"/>
      <c r="K17" s="83" t="inlineStr"/>
      <c r="L17" s="83" t="inlineStr"/>
      <c r="M17" s="83" t="inlineStr"/>
      <c r="N17" s="83" t="inlineStr"/>
    </row>
    <row r="18" ht="18" customHeight="1" s="5">
      <c r="A18" s="80" t="inlineStr">
        <is>
          <t>Purchase Parts</t>
        </is>
      </c>
      <c r="B18" s="80" t="inlineStr"/>
      <c r="C18" s="80" t="inlineStr">
        <is>
          <t>FRP panel</t>
        </is>
      </c>
      <c r="D18" s="81" t="n">
        <v>1</v>
      </c>
      <c r="E18" s="82" t="n">
        <v>0.28</v>
      </c>
      <c r="F18" s="82" t="n">
        <v>0.28</v>
      </c>
      <c r="G18" s="82" t="n"/>
      <c r="H18" s="83" t="inlineStr"/>
      <c r="I18" s="83" t="inlineStr"/>
      <c r="J18" s="84" t="n"/>
      <c r="K18" s="83" t="inlineStr"/>
      <c r="L18" s="83" t="inlineStr"/>
      <c r="M18" s="83" t="inlineStr"/>
      <c r="N18" s="83" t="inlineStr"/>
    </row>
    <row r="19" ht="18" customHeight="1" s="5">
      <c r="A19" s="80" t="inlineStr">
        <is>
          <t>Purchase Parts</t>
        </is>
      </c>
      <c r="B19" s="80" t="inlineStr">
        <is>
          <t>0392277</t>
        </is>
      </c>
      <c r="C19" s="80" t="inlineStr">
        <is>
          <t>COUPLING-RDCR 0.375X0.250 CXC</t>
        </is>
      </c>
      <c r="D19" s="81" t="n">
        <v>2</v>
      </c>
      <c r="E19" s="82" t="n">
        <v>0.6</v>
      </c>
      <c r="F19" s="82" t="n">
        <v>1.2</v>
      </c>
      <c r="G19" s="82" t="n"/>
      <c r="H19" s="83" t="inlineStr"/>
      <c r="I19" s="83" t="inlineStr"/>
      <c r="J19" s="84" t="n"/>
      <c r="K19" s="83" t="inlineStr"/>
      <c r="L19" s="83" t="inlineStr"/>
      <c r="M19" s="83" t="inlineStr"/>
      <c r="N19" s="83" t="inlineStr"/>
    </row>
    <row r="20" ht="18" customHeight="1" s="5">
      <c r="A20" s="80" t="inlineStr">
        <is>
          <t>Purchase Parts</t>
        </is>
      </c>
      <c r="B20" s="80" t="inlineStr"/>
      <c r="C20" s="80" t="inlineStr">
        <is>
          <t>Case to cassette gasket</t>
        </is>
      </c>
      <c r="D20" s="81" t="n">
        <v>1</v>
      </c>
      <c r="E20" s="82" t="n">
        <v>15.42</v>
      </c>
      <c r="F20" s="82" t="n">
        <v>15.42</v>
      </c>
      <c r="G20" s="82" t="n"/>
      <c r="H20" s="83" t="inlineStr"/>
      <c r="I20" s="83" t="inlineStr"/>
      <c r="J20" s="84" t="n"/>
      <c r="K20" s="83" t="inlineStr"/>
      <c r="L20" s="83" t="inlineStr"/>
      <c r="M20" s="83" t="inlineStr"/>
      <c r="N20" s="83" t="inlineStr"/>
    </row>
    <row r="21" ht="18" customHeight="1" s="5">
      <c r="A21" s="80" t="inlineStr">
        <is>
          <t>Purchase Parts</t>
        </is>
      </c>
      <c r="B21" s="80" t="inlineStr">
        <is>
          <t>70355K36</t>
        </is>
      </c>
      <c r="C21" s="80" t="inlineStr">
        <is>
          <t>Main Power Cord</t>
        </is>
      </c>
      <c r="D21" s="81" t="n">
        <v>1</v>
      </c>
      <c r="E21" s="82" t="n">
        <v>20.22</v>
      </c>
      <c r="F21" s="82" t="n">
        <v>20.22</v>
      </c>
      <c r="G21" s="82" t="n"/>
      <c r="H21" s="83" t="inlineStr"/>
      <c r="I21" s="83" t="inlineStr"/>
      <c r="J21" s="84" t="n"/>
      <c r="K21" s="83" t="inlineStr"/>
      <c r="L21" s="83" t="inlineStr"/>
      <c r="M21" s="83" t="inlineStr"/>
      <c r="N21" s="83" t="inlineStr"/>
    </row>
    <row r="22" ht="18" customHeight="1" s="5">
      <c r="A22" s="80" t="inlineStr">
        <is>
          <t>Purchase Parts</t>
        </is>
      </c>
      <c r="B22" s="80" t="inlineStr"/>
      <c r="C22" s="80" t="inlineStr">
        <is>
          <t>All Foam (bottom, evap walls)</t>
        </is>
      </c>
      <c r="D22" s="81" t="n">
        <v>1</v>
      </c>
      <c r="E22" s="82" t="n">
        <v>24</v>
      </c>
      <c r="F22" s="82" t="n">
        <v>36</v>
      </c>
      <c r="G22" s="82" t="n"/>
      <c r="H22" s="83" t="inlineStr"/>
      <c r="I22" s="83" t="inlineStr"/>
      <c r="J22" s="84" t="n"/>
      <c r="K22" s="83" t="inlineStr"/>
      <c r="L22" s="83" t="inlineStr"/>
      <c r="M22" s="83" t="inlineStr"/>
      <c r="N22" s="83" t="inlineStr"/>
    </row>
    <row r="23" ht="18" customHeight="1" s="5">
      <c r="A23" s="85" t="inlineStr">
        <is>
          <t>Tubing Parts</t>
        </is>
      </c>
      <c r="B23" s="85" t="inlineStr">
        <is>
          <t>0378406</t>
        </is>
      </c>
      <c r="C23" s="85" t="inlineStr">
        <is>
          <t>COUPLING-RDCR 0.500X0.375 CXC</t>
        </is>
      </c>
      <c r="D23" s="86" t="n">
        <v>1</v>
      </c>
      <c r="E23" s="87" t="n">
        <v>0.27</v>
      </c>
      <c r="F23" s="87" t="n">
        <v>0.27</v>
      </c>
      <c r="G23" s="87" t="n"/>
      <c r="H23" s="83" t="inlineStr"/>
      <c r="I23" s="83" t="inlineStr"/>
      <c r="J23" s="84" t="n"/>
      <c r="K23" s="83" t="inlineStr"/>
      <c r="L23" s="83" t="inlineStr"/>
      <c r="M23" s="83" t="inlineStr"/>
      <c r="N23" s="83" t="inlineStr"/>
    </row>
    <row r="24" ht="18" customHeight="1" s="5">
      <c r="A24" s="85" t="inlineStr">
        <is>
          <t>Tubing Parts</t>
        </is>
      </c>
      <c r="B24" s="85" t="inlineStr">
        <is>
          <t>0327376</t>
        </is>
      </c>
      <c r="C24" s="85" t="inlineStr">
        <is>
          <t>BUSHING-FLUSH 0.375 X 0.250 FTG X C</t>
        </is>
      </c>
      <c r="D24" s="86" t="n">
        <v>1</v>
      </c>
      <c r="E24" s="87" t="n">
        <v>0.24</v>
      </c>
      <c r="F24" s="87" t="n">
        <v>0.24</v>
      </c>
      <c r="G24" s="87" t="n"/>
      <c r="H24" s="83" t="inlineStr"/>
      <c r="I24" s="83" t="inlineStr"/>
      <c r="J24" s="84" t="n"/>
      <c r="K24" s="83" t="inlineStr"/>
      <c r="L24" s="83" t="inlineStr"/>
      <c r="M24" s="83" t="inlineStr"/>
      <c r="N24" s="83" t="inlineStr"/>
    </row>
    <row r="25" ht="18" customHeight="1" s="5">
      <c r="A25" s="85" t="inlineStr">
        <is>
          <t>Tubing Parts</t>
        </is>
      </c>
      <c r="B25" s="85" t="inlineStr">
        <is>
          <t>0021168</t>
        </is>
      </c>
      <c r="C25" s="85" t="inlineStr">
        <is>
          <t>TEE-0.250 CxCxC</t>
        </is>
      </c>
      <c r="D25" s="86" t="n">
        <v>2</v>
      </c>
      <c r="E25" s="87" t="n">
        <v>2.06</v>
      </c>
      <c r="F25" s="87" t="n">
        <v>4.12</v>
      </c>
      <c r="G25" s="87" t="n"/>
      <c r="H25" s="83" t="inlineStr"/>
      <c r="I25" s="83" t="inlineStr"/>
      <c r="J25" s="84" t="n"/>
      <c r="K25" s="83" t="inlineStr"/>
      <c r="L25" s="83" t="inlineStr"/>
      <c r="M25" s="83" t="inlineStr"/>
      <c r="N25" s="83" t="inlineStr"/>
    </row>
    <row r="26" ht="18" customHeight="1" s="5">
      <c r="A26" s="85" t="inlineStr">
        <is>
          <t>Tubing Parts</t>
        </is>
      </c>
      <c r="B26" s="85" t="inlineStr">
        <is>
          <t>0534133</t>
        </is>
      </c>
      <c r="C26" s="85" t="inlineStr">
        <is>
          <t>BUSHING-.875 FLEXIBLE ID SPLIT</t>
        </is>
      </c>
      <c r="D26" s="86" t="n">
        <v>3</v>
      </c>
      <c r="E26" s="87" t="n">
        <v>0.13</v>
      </c>
      <c r="F26" s="87" t="n">
        <v>0.39</v>
      </c>
      <c r="G26" s="87" t="n"/>
      <c r="H26" s="83" t="inlineStr"/>
      <c r="I26" s="83" t="inlineStr"/>
      <c r="J26" s="84" t="n"/>
      <c r="K26" s="83" t="inlineStr"/>
      <c r="L26" s="83" t="inlineStr"/>
      <c r="M26" s="83" t="inlineStr"/>
      <c r="N26" s="83" t="inlineStr"/>
    </row>
    <row r="27" ht="18" customHeight="1" s="5">
      <c r="A27" s="85" t="inlineStr">
        <is>
          <t>Tubing Parts</t>
        </is>
      </c>
      <c r="B27" s="85" t="inlineStr">
        <is>
          <t>3087293</t>
        </is>
      </c>
      <c r="C27" s="85" t="inlineStr">
        <is>
          <t>TUBE-.375X.028WX1.75</t>
        </is>
      </c>
      <c r="D27" s="86" t="n">
        <v>1</v>
      </c>
      <c r="E27" s="87" t="n">
        <v>0.11</v>
      </c>
      <c r="F27" s="87" t="n">
        <v>0.11</v>
      </c>
      <c r="G27" s="87" t="n"/>
      <c r="H27" s="83" t="inlineStr"/>
      <c r="I27" s="83" t="inlineStr"/>
      <c r="J27" s="84" t="n"/>
      <c r="K27" s="83" t="inlineStr"/>
      <c r="L27" s="83" t="inlineStr"/>
      <c r="M27" s="83" t="inlineStr"/>
      <c r="N27" s="83" t="inlineStr"/>
    </row>
    <row r="28" ht="18" customHeight="1" s="5">
      <c r="A28" s="85" t="inlineStr">
        <is>
          <t>Tubing Parts</t>
        </is>
      </c>
      <c r="B28" s="85" t="inlineStr">
        <is>
          <t>3057746</t>
        </is>
      </c>
      <c r="C28" s="85" t="inlineStr">
        <is>
          <t>ELBOW-90 SR .25 FTGxC</t>
        </is>
      </c>
      <c r="D28" s="86" t="n">
        <v>4</v>
      </c>
      <c r="E28" s="87" t="n">
        <v>4.55</v>
      </c>
      <c r="F28" s="87" t="n">
        <v>18.2</v>
      </c>
      <c r="G28" s="87" t="n"/>
      <c r="H28" s="83" t="inlineStr"/>
      <c r="I28" s="83" t="inlineStr"/>
      <c r="J28" s="84" t="n"/>
      <c r="K28" s="83" t="inlineStr"/>
      <c r="L28" s="83" t="inlineStr"/>
      <c r="M28" s="83" t="inlineStr"/>
      <c r="N28" s="83" t="inlineStr"/>
    </row>
    <row r="29" ht="18" customHeight="1" s="5">
      <c r="A29" s="85" t="inlineStr">
        <is>
          <t>Tubing Parts</t>
        </is>
      </c>
      <c r="B29" s="85" t="inlineStr">
        <is>
          <t>0700977</t>
        </is>
      </c>
      <c r="C29" s="85" t="inlineStr">
        <is>
          <t>ELBOW-90 LR 0.250 CXC</t>
        </is>
      </c>
      <c r="D29" s="86" t="n">
        <v>1</v>
      </c>
      <c r="E29" s="87" t="n">
        <v>3.6</v>
      </c>
      <c r="F29" s="87" t="n">
        <v>3.6</v>
      </c>
      <c r="G29" s="87" t="n"/>
      <c r="H29" s="83" t="inlineStr"/>
      <c r="I29" s="83" t="inlineStr"/>
      <c r="J29" s="84" t="n"/>
      <c r="K29" s="83" t="inlineStr"/>
      <c r="L29" s="83" t="inlineStr"/>
      <c r="M29" s="83" t="inlineStr"/>
      <c r="N29" s="83" t="inlineStr"/>
    </row>
    <row r="30" ht="18" customHeight="1" s="5">
      <c r="A30" s="85" t="inlineStr">
        <is>
          <t>Tubing Parts</t>
        </is>
      </c>
      <c r="B30" s="85" t="inlineStr">
        <is>
          <t>3108823</t>
        </is>
      </c>
      <c r="C30" s="85" t="inlineStr">
        <is>
          <t>CLAMP-0.250 LOOP CUSHIONED</t>
        </is>
      </c>
      <c r="D30" s="86" t="n">
        <v>2</v>
      </c>
      <c r="E30" s="87" t="n">
        <v>1.47</v>
      </c>
      <c r="F30" s="87" t="n">
        <v>2.94</v>
      </c>
      <c r="G30" s="87" t="n"/>
      <c r="H30" s="83" t="inlineStr"/>
      <c r="I30" s="83" t="inlineStr"/>
      <c r="J30" s="84" t="n"/>
      <c r="K30" s="83" t="inlineStr"/>
      <c r="L30" s="83" t="inlineStr"/>
      <c r="M30" s="83" t="inlineStr"/>
      <c r="N30" s="83" t="inlineStr"/>
    </row>
    <row r="31" ht="18" customHeight="1" s="5">
      <c r="A31" s="85" t="inlineStr">
        <is>
          <t>Tubing Parts</t>
        </is>
      </c>
      <c r="B31" s="85" t="inlineStr">
        <is>
          <t>0374802</t>
        </is>
      </c>
      <c r="C31" s="85" t="inlineStr">
        <is>
          <t>COUPLING-RDCR 0.375X0.312 CXC</t>
        </is>
      </c>
      <c r="D31" s="86" t="n">
        <v>1</v>
      </c>
      <c r="E31" s="87" t="n">
        <v>2.09</v>
      </c>
      <c r="F31" s="87" t="n">
        <v>2.09</v>
      </c>
      <c r="G31" s="87" t="n"/>
      <c r="H31" s="83" t="inlineStr"/>
      <c r="I31" s="83" t="inlineStr"/>
      <c r="J31" s="84" t="n"/>
      <c r="K31" s="83" t="inlineStr"/>
      <c r="L31" s="83" t="inlineStr"/>
      <c r="M31" s="83" t="inlineStr"/>
      <c r="N31" s="83" t="inlineStr"/>
    </row>
    <row r="32" ht="18" customHeight="1" s="5">
      <c r="A32" s="85" t="inlineStr">
        <is>
          <t>Tubing Parts</t>
        </is>
      </c>
      <c r="B32" s="85" t="inlineStr">
        <is>
          <t>0378122</t>
        </is>
      </c>
      <c r="C32" s="85" t="inlineStr">
        <is>
          <t>TEE-RDCR 0.375 X 0.375 X 0.250 CxCxC</t>
        </is>
      </c>
      <c r="D32" s="86" t="n">
        <v>1</v>
      </c>
      <c r="E32" s="87" t="n">
        <v>2.59</v>
      </c>
      <c r="F32" s="87" t="n">
        <v>2.59</v>
      </c>
      <c r="G32" s="87" t="n"/>
      <c r="H32" s="83" t="inlineStr"/>
      <c r="I32" s="83" t="inlineStr"/>
      <c r="J32" s="84" t="n"/>
      <c r="K32" s="83" t="inlineStr"/>
      <c r="L32" s="83" t="inlineStr"/>
      <c r="M32" s="83" t="inlineStr"/>
      <c r="N32" s="83" t="inlineStr"/>
    </row>
    <row r="33" ht="18" customHeight="1" s="5">
      <c r="A33" s="88" t="inlineStr">
        <is>
          <t>Raw Material - Wiring</t>
        </is>
      </c>
      <c r="B33" s="88" t="inlineStr"/>
      <c r="C33" s="88" t="inlineStr">
        <is>
          <t>Wire (meter)</t>
        </is>
      </c>
      <c r="D33" s="89" t="n">
        <v>3.5</v>
      </c>
      <c r="E33" s="90" t="n">
        <v>0.26</v>
      </c>
      <c r="F33" s="90" t="n">
        <v>0.91</v>
      </c>
      <c r="G33" s="90" t="n">
        <v>0.91</v>
      </c>
      <c r="H33" s="83" t="inlineStr"/>
      <c r="I33" s="83" t="inlineStr"/>
      <c r="J33" s="84" t="n"/>
      <c r="K33" s="83" t="inlineStr"/>
      <c r="L33" s="83" t="inlineStr"/>
      <c r="M33" s="83" t="inlineStr"/>
      <c r="N33" s="83" t="inlineStr"/>
    </row>
    <row r="34" ht="18" customHeight="1" s="5">
      <c r="A34" s="88" t="inlineStr">
        <is>
          <t>Raw Material - Wiring</t>
        </is>
      </c>
      <c r="B34" s="88" t="inlineStr"/>
      <c r="C34" s="88" t="inlineStr">
        <is>
          <t>Terminals</t>
        </is>
      </c>
      <c r="D34" s="89" t="n">
        <v>8</v>
      </c>
      <c r="E34" s="90" t="n">
        <v>0.2</v>
      </c>
      <c r="F34" s="90" t="n">
        <v>1.6</v>
      </c>
      <c r="G34" s="90" t="n">
        <v>1.6</v>
      </c>
      <c r="H34" s="83" t="inlineStr"/>
      <c r="I34" s="83" t="inlineStr"/>
      <c r="J34" s="84" t="n"/>
      <c r="K34" s="83" t="inlineStr"/>
      <c r="L34" s="83" t="inlineStr"/>
      <c r="M34" s="83" t="inlineStr"/>
      <c r="N34" s="83" t="inlineStr"/>
    </row>
    <row r="35" ht="18" customHeight="1" s="5">
      <c r="A35" s="88" t="inlineStr">
        <is>
          <t>Raw Material - Copper</t>
        </is>
      </c>
      <c r="B35" s="88" t="inlineStr"/>
      <c r="C35" s="88" t="inlineStr">
        <is>
          <t>3/8 tube</t>
        </is>
      </c>
      <c r="D35" s="89" t="n">
        <v>0.312</v>
      </c>
      <c r="E35" s="90" t="n">
        <v>2.45</v>
      </c>
      <c r="F35" s="90" t="n">
        <v>6.7644</v>
      </c>
      <c r="G35" s="90" t="n">
        <v>18.7644</v>
      </c>
      <c r="H35" s="83" t="inlineStr"/>
      <c r="I35" s="83" t="inlineStr"/>
      <c r="J35" s="84" t="n"/>
      <c r="K35" s="83" t="inlineStr"/>
      <c r="L35" s="83" t="inlineStr"/>
      <c r="M35" s="83" t="inlineStr"/>
      <c r="N35" s="83" t="inlineStr"/>
    </row>
    <row r="36" ht="18" customHeight="1" s="5">
      <c r="A36" s="88" t="inlineStr">
        <is>
          <t>Raw Material - Copper</t>
        </is>
      </c>
      <c r="B36" s="88" t="inlineStr"/>
      <c r="C36" s="88" t="inlineStr">
        <is>
          <t>1/4 tube</t>
        </is>
      </c>
      <c r="D36" s="89" t="n">
        <v>0.475</v>
      </c>
      <c r="E36" s="90" t="n">
        <v>6.3</v>
      </c>
      <c r="F36" s="90" t="n">
        <v>8.9925</v>
      </c>
      <c r="G36" s="90" t="n">
        <v>20.9925</v>
      </c>
      <c r="H36" s="83" t="inlineStr"/>
      <c r="I36" s="83" t="inlineStr"/>
      <c r="J36" s="84" t="n"/>
      <c r="K36" s="83" t="inlineStr"/>
      <c r="L36" s="83" t="inlineStr"/>
      <c r="M36" s="83" t="inlineStr"/>
      <c r="N36" s="83" t="inlineStr"/>
    </row>
    <row r="37" ht="18" customHeight="1" s="5">
      <c r="A37" s="88" t="inlineStr">
        <is>
          <t>Raw Material - Copper</t>
        </is>
      </c>
      <c r="B37" s="88" t="inlineStr"/>
      <c r="C37" s="88" t="inlineStr">
        <is>
          <t>5/16 tube</t>
        </is>
      </c>
      <c r="D37" s="89" t="n">
        <v>0.074</v>
      </c>
      <c r="E37" s="90" t="n">
        <v>4.13</v>
      </c>
      <c r="F37" s="90" t="n">
        <v>6.3056</v>
      </c>
      <c r="G37" s="90" t="n">
        <v>18.3056</v>
      </c>
      <c r="H37" s="83" t="inlineStr"/>
      <c r="I37" s="83" t="inlineStr"/>
      <c r="J37" s="84" t="n"/>
      <c r="K37" s="83" t="inlineStr"/>
      <c r="L37" s="83" t="inlineStr"/>
      <c r="M37" s="83" t="inlineStr"/>
      <c r="N37" s="83" t="inlineStr"/>
    </row>
    <row r="38" ht="18" customHeight="1" s="5">
      <c r="A38" s="88" t="inlineStr">
        <is>
          <t>Raw Material - Copper</t>
        </is>
      </c>
      <c r="B38" s="88" t="inlineStr"/>
      <c r="C38" s="88" t="inlineStr">
        <is>
          <t>1/4 NI-CU tube</t>
        </is>
      </c>
      <c r="D38" s="89" t="n">
        <v>0.482</v>
      </c>
      <c r="E38" s="90" t="n">
        <v>26.41</v>
      </c>
      <c r="F38" s="90" t="n">
        <v>18.7296</v>
      </c>
      <c r="G38" s="90" t="n">
        <v>30.7296</v>
      </c>
      <c r="H38" s="83" t="inlineStr"/>
      <c r="I38" s="83" t="inlineStr"/>
      <c r="J38" s="84" t="n"/>
      <c r="K38" s="83" t="inlineStr"/>
      <c r="L38" s="83" t="inlineStr"/>
      <c r="M38" s="83" t="inlineStr"/>
      <c r="N38" s="83" t="inlineStr"/>
    </row>
    <row r="39" ht="18" customHeight="1" s="5">
      <c r="A39" s="88" t="inlineStr">
        <is>
          <t>Raw Material - Sheet Metal</t>
        </is>
      </c>
      <c r="B39" s="88" t="inlineStr"/>
      <c r="C39" s="88" t="inlineStr">
        <is>
          <t>.019 galv</t>
        </is>
      </c>
      <c r="D39" s="89" t="n">
        <v>8.664</v>
      </c>
      <c r="E39" s="90" t="n">
        <v>1.75</v>
      </c>
      <c r="F39" s="90" t="n">
        <v>27.412</v>
      </c>
      <c r="G39" s="90" t="n"/>
      <c r="H39" s="83" t="inlineStr"/>
      <c r="I39" s="83" t="inlineStr"/>
      <c r="J39" s="84" t="n"/>
      <c r="K39" s="83" t="inlineStr"/>
      <c r="L39" s="83" t="inlineStr"/>
      <c r="M39" s="83" t="inlineStr"/>
      <c r="N39" s="83" t="inlineStr"/>
    </row>
    <row r="40" ht="18" customHeight="1" s="5">
      <c r="A40" s="88" t="inlineStr">
        <is>
          <t>Raw Material - Sheet Metal</t>
        </is>
      </c>
      <c r="B40" s="88" t="inlineStr"/>
      <c r="C40" s="88" t="inlineStr">
        <is>
          <t>.019 stainless</t>
        </is>
      </c>
      <c r="D40" s="89" t="n">
        <v>0.243</v>
      </c>
      <c r="E40" s="90" t="n">
        <v>2.63</v>
      </c>
      <c r="F40" s="90" t="n">
        <v>12.8891</v>
      </c>
      <c r="G40" s="90" t="n"/>
      <c r="H40" s="83" t="inlineStr"/>
      <c r="I40" s="83" t="inlineStr"/>
      <c r="J40" s="84" t="n"/>
      <c r="K40" s="83" t="inlineStr"/>
      <c r="L40" s="83" t="inlineStr"/>
      <c r="M40" s="83" t="inlineStr"/>
      <c r="N40" s="83" t="inlineStr"/>
    </row>
    <row r="41" ht="18" customHeight="1" s="5">
      <c r="A41" s="88" t="inlineStr">
        <is>
          <t>Raw Material - Sheet Metal</t>
        </is>
      </c>
      <c r="B41" s="88" t="inlineStr"/>
      <c r="C41" s="88" t="inlineStr">
        <is>
          <t>.023 galv</t>
        </is>
      </c>
      <c r="D41" s="89" t="n">
        <v>16.426</v>
      </c>
      <c r="E41" s="90" t="n">
        <v>1.69</v>
      </c>
      <c r="F41" s="90" t="n">
        <v>40.0099</v>
      </c>
      <c r="G41" s="90" t="n"/>
      <c r="H41" s="83" t="inlineStr"/>
      <c r="I41" s="83" t="inlineStr"/>
      <c r="J41" s="84" t="n"/>
      <c r="K41" s="83" t="inlineStr"/>
      <c r="L41" s="83" t="inlineStr"/>
      <c r="M41" s="83" t="inlineStr"/>
      <c r="N41" s="83" t="inlineStr"/>
    </row>
    <row r="42" ht="18" customHeight="1" s="5">
      <c r="A42" s="88" t="inlineStr">
        <is>
          <t>Raw Material - Sheet Metal</t>
        </is>
      </c>
      <c r="B42" s="88" t="inlineStr"/>
      <c r="C42" s="88" t="inlineStr">
        <is>
          <t>.035 galv</t>
        </is>
      </c>
      <c r="D42" s="89" t="n">
        <v>8.436999999999999</v>
      </c>
      <c r="E42" s="90" t="n">
        <v>1.62</v>
      </c>
      <c r="F42" s="90" t="n">
        <v>25.9179</v>
      </c>
      <c r="G42" s="90" t="n"/>
      <c r="H42" s="83" t="inlineStr"/>
      <c r="I42" s="83" t="inlineStr"/>
      <c r="J42" s="84" t="n"/>
      <c r="K42" s="83" t="inlineStr"/>
      <c r="L42" s="83" t="inlineStr"/>
      <c r="M42" s="83" t="inlineStr"/>
      <c r="N42" s="83" t="inlineStr"/>
    </row>
    <row r="43" ht="18" customHeight="1" s="5">
      <c r="A43" s="88" t="inlineStr">
        <is>
          <t>Raw Material - Sheet Metal</t>
        </is>
      </c>
      <c r="B43" s="88" t="inlineStr"/>
      <c r="C43" s="88" t="inlineStr">
        <is>
          <t>.047 galv</t>
        </is>
      </c>
      <c r="D43" s="89" t="n">
        <v>3.065</v>
      </c>
      <c r="E43" s="90" t="n">
        <v>1.62</v>
      </c>
      <c r="F43" s="90" t="n">
        <v>17.2153</v>
      </c>
      <c r="G43" s="90" t="n"/>
      <c r="H43" s="83" t="inlineStr"/>
      <c r="I43" s="83" t="inlineStr"/>
      <c r="J43" s="84" t="n"/>
      <c r="K43" s="83" t="inlineStr"/>
      <c r="L43" s="83" t="inlineStr"/>
      <c r="M43" s="83" t="inlineStr"/>
      <c r="N43" s="83" t="inlineStr"/>
    </row>
    <row r="44" ht="18" customHeight="1" s="5">
      <c r="A44" s="88" t="inlineStr">
        <is>
          <t>Raw Material - Sheet Metal</t>
        </is>
      </c>
      <c r="B44" s="88" t="inlineStr"/>
      <c r="C44" s="88" t="inlineStr">
        <is>
          <t>.035 stainless</t>
        </is>
      </c>
      <c r="D44" s="89" t="n">
        <v>0.08599999999999999</v>
      </c>
      <c r="E44" s="90" t="n">
        <v>2.86</v>
      </c>
      <c r="F44" s="90" t="n">
        <v>12.496</v>
      </c>
      <c r="G44" s="90" t="n"/>
      <c r="H44" s="83" t="inlineStr"/>
      <c r="I44" s="83" t="inlineStr"/>
      <c r="J44" s="84" t="n"/>
      <c r="K44" s="83" t="inlineStr"/>
      <c r="L44" s="83" t="inlineStr"/>
      <c r="M44" s="83" t="inlineStr"/>
      <c r="N44" s="83" t="inlineStr"/>
    </row>
    <row r="45" ht="18" customHeight="1" s="5">
      <c r="A45" s="88" t="inlineStr">
        <is>
          <t>Raw Material - Sheet Metal</t>
        </is>
      </c>
      <c r="B45" s="88" t="inlineStr"/>
      <c r="C45" s="88" t="inlineStr">
        <is>
          <t>.029 galv</t>
        </is>
      </c>
      <c r="D45" s="89" t="n">
        <v>6.625</v>
      </c>
      <c r="E45" s="90" t="n">
        <v>1.67</v>
      </c>
      <c r="F45" s="90" t="n">
        <v>23.3137</v>
      </c>
      <c r="G45" s="90" t="n"/>
      <c r="H45" s="83" t="inlineStr"/>
      <c r="I45" s="83" t="inlineStr"/>
      <c r="J45" s="84" t="n"/>
      <c r="K45" s="83" t="inlineStr"/>
      <c r="L45" s="83" t="inlineStr"/>
      <c r="M45" s="83" t="inlineStr"/>
      <c r="N45" s="83" t="inlineStr"/>
    </row>
    <row r="46" ht="18" customHeight="1" s="5">
      <c r="A46" s="88" t="inlineStr">
        <is>
          <t>Raw Material - Sheet Metal</t>
        </is>
      </c>
      <c r="B46" s="88" t="inlineStr"/>
      <c r="C46" s="88" t="inlineStr">
        <is>
          <t>.023 stainless</t>
        </is>
      </c>
      <c r="D46" s="89" t="n">
        <v>1.195</v>
      </c>
      <c r="E46" s="90" t="n">
        <v>3.18</v>
      </c>
      <c r="F46" s="90" t="n">
        <v>16.0501</v>
      </c>
      <c r="G46" s="90" t="n"/>
      <c r="H46" s="83" t="inlineStr"/>
      <c r="I46" s="83" t="inlineStr"/>
      <c r="J46" s="84" t="n"/>
      <c r="K46" s="83" t="inlineStr"/>
      <c r="L46" s="83" t="inlineStr"/>
      <c r="M46" s="83" t="inlineStr"/>
      <c r="N46" s="83" t="inlineStr"/>
    </row>
    <row r="47" ht="18" customHeight="1" s="5">
      <c r="A47" s="91" t="inlineStr">
        <is>
          <t>Labor</t>
        </is>
      </c>
      <c r="B47" s="91" t="inlineStr"/>
      <c r="C47" s="91" t="inlineStr">
        <is>
          <t>Heater Pan</t>
        </is>
      </c>
      <c r="D47" s="92" t="n">
        <v>2</v>
      </c>
      <c r="E47" s="93" t="n">
        <v>1.2153</v>
      </c>
      <c r="F47" s="93" t="n">
        <v>1.2153</v>
      </c>
      <c r="G47" s="93" t="n">
        <v>3.5432</v>
      </c>
      <c r="H47" s="83" t="inlineStr"/>
      <c r="I47" s="83" t="inlineStr"/>
      <c r="J47" s="84" t="n"/>
      <c r="K47" s="83" t="inlineStr"/>
      <c r="L47" s="83" t="inlineStr"/>
      <c r="M47" s="83" t="inlineStr"/>
      <c r="N47" s="83" t="inlineStr"/>
    </row>
    <row r="48" ht="18" customHeight="1" s="5">
      <c r="A48" s="91" t="inlineStr">
        <is>
          <t>Labor</t>
        </is>
      </c>
      <c r="B48" s="91" t="inlineStr"/>
      <c r="C48" s="91" t="inlineStr">
        <is>
          <t>Evap Fan Shroud</t>
        </is>
      </c>
      <c r="D48" s="92" t="n">
        <v>3.5</v>
      </c>
      <c r="E48" s="93" t="n">
        <v>2.1268</v>
      </c>
      <c r="F48" s="93" t="n">
        <v>2.1268</v>
      </c>
      <c r="G48" s="93" t="n">
        <v>6.2007</v>
      </c>
      <c r="H48" s="83" t="inlineStr"/>
      <c r="I48" s="83" t="inlineStr"/>
      <c r="J48" s="84" t="n"/>
      <c r="K48" s="83" t="inlineStr"/>
      <c r="L48" s="83" t="inlineStr"/>
      <c r="M48" s="83" t="inlineStr"/>
      <c r="N48" s="83" t="inlineStr"/>
    </row>
    <row r="49" ht="18" customHeight="1" s="5">
      <c r="A49" s="91" t="inlineStr">
        <is>
          <t>Labor</t>
        </is>
      </c>
      <c r="B49" s="91" t="inlineStr"/>
      <c r="C49" s="91" t="inlineStr">
        <is>
          <t>Evap Fans</t>
        </is>
      </c>
      <c r="D49" s="92" t="n">
        <v>2</v>
      </c>
      <c r="E49" s="93" t="n">
        <v>1.2153</v>
      </c>
      <c r="F49" s="93" t="n">
        <v>1.2153</v>
      </c>
      <c r="G49" s="93" t="n">
        <v>3.5432</v>
      </c>
      <c r="H49" s="83" t="inlineStr"/>
      <c r="I49" s="83" t="inlineStr"/>
      <c r="J49" s="84" t="n"/>
      <c r="K49" s="83" t="inlineStr"/>
      <c r="L49" s="83" t="inlineStr"/>
      <c r="M49" s="83" t="inlineStr"/>
      <c r="N49" s="83" t="inlineStr"/>
    </row>
    <row r="50" ht="18" customHeight="1" s="5">
      <c r="A50" s="91" t="inlineStr">
        <is>
          <t>Labor</t>
        </is>
      </c>
      <c r="B50" s="91" t="inlineStr"/>
      <c r="C50" s="91" t="inlineStr">
        <is>
          <t>Gasket</t>
        </is>
      </c>
      <c r="D50" s="92" t="n">
        <v>6</v>
      </c>
      <c r="E50" s="93" t="n">
        <v>3.646</v>
      </c>
      <c r="F50" s="93" t="n">
        <v>3.646</v>
      </c>
      <c r="G50" s="93" t="n">
        <v>10.6297</v>
      </c>
      <c r="H50" s="83" t="inlineStr"/>
      <c r="I50" s="83" t="inlineStr"/>
      <c r="J50" s="84" t="n"/>
      <c r="K50" s="83" t="inlineStr"/>
      <c r="L50" s="83" t="inlineStr"/>
      <c r="M50" s="83" t="inlineStr"/>
      <c r="N50" s="83" t="inlineStr"/>
    </row>
    <row r="51" ht="18" customHeight="1" s="5">
      <c r="A51" s="91" t="inlineStr">
        <is>
          <t>Labor</t>
        </is>
      </c>
      <c r="B51" s="91" t="inlineStr"/>
      <c r="C51" s="91" t="inlineStr">
        <is>
          <t>Evap Coil Shroud</t>
        </is>
      </c>
      <c r="D51" s="92" t="n">
        <v>3.5</v>
      </c>
      <c r="E51" s="93" t="n">
        <v>2.1268</v>
      </c>
      <c r="F51" s="93" t="n">
        <v>2.1268</v>
      </c>
      <c r="G51" s="93" t="n">
        <v>6.2007</v>
      </c>
      <c r="H51" s="83" t="inlineStr"/>
      <c r="I51" s="83" t="inlineStr"/>
      <c r="J51" s="84" t="n"/>
      <c r="K51" s="83" t="inlineStr"/>
      <c r="L51" s="83" t="inlineStr"/>
      <c r="M51" s="83" t="inlineStr"/>
      <c r="N51" s="83" t="inlineStr"/>
    </row>
    <row r="52" ht="18" customHeight="1" s="5">
      <c r="A52" s="91" t="inlineStr">
        <is>
          <t>Labor</t>
        </is>
      </c>
      <c r="B52" s="91" t="inlineStr"/>
      <c r="C52" s="91" t="inlineStr">
        <is>
          <t>Controller</t>
        </is>
      </c>
      <c r="D52" s="92" t="n">
        <v>5</v>
      </c>
      <c r="E52" s="93" t="n">
        <v>3.0383</v>
      </c>
      <c r="F52" s="93" t="n">
        <v>3.0383</v>
      </c>
      <c r="G52" s="93" t="n">
        <v>8.8581</v>
      </c>
      <c r="H52" s="83" t="inlineStr"/>
      <c r="I52" s="83" t="inlineStr"/>
      <c r="J52" s="84" t="n"/>
      <c r="K52" s="83" t="inlineStr"/>
      <c r="L52" s="83" t="inlineStr"/>
      <c r="M52" s="83" t="inlineStr"/>
      <c r="N52" s="83" t="inlineStr"/>
    </row>
    <row r="53" ht="18" customHeight="1" s="5">
      <c r="A53" s="91" t="inlineStr">
        <is>
          <t>Labor</t>
        </is>
      </c>
      <c r="B53" s="91" t="inlineStr"/>
      <c r="C53" s="91" t="inlineStr">
        <is>
          <t>Enclosure</t>
        </is>
      </c>
      <c r="D53" s="92" t="n">
        <v>15</v>
      </c>
      <c r="E53" s="93" t="n">
        <v>9.115</v>
      </c>
      <c r="F53" s="93" t="n">
        <v>9.115</v>
      </c>
      <c r="G53" s="93" t="n">
        <v>26.5743</v>
      </c>
      <c r="H53" s="83" t="inlineStr"/>
      <c r="I53" s="83" t="inlineStr"/>
      <c r="J53" s="84" t="n"/>
      <c r="K53" s="83" t="inlineStr"/>
      <c r="L53" s="83" t="inlineStr"/>
      <c r="M53" s="83" t="inlineStr"/>
      <c r="N53" s="83" t="inlineStr"/>
    </row>
    <row r="54" ht="18" customHeight="1" s="5">
      <c r="A54" s="91" t="inlineStr">
        <is>
          <t>Labor</t>
        </is>
      </c>
      <c r="B54" s="91" t="inlineStr"/>
      <c r="C54" s="91" t="inlineStr">
        <is>
          <t>Base</t>
        </is>
      </c>
      <c r="D54" s="92" t="n">
        <v>15</v>
      </c>
      <c r="E54" s="93" t="n">
        <v>9.115</v>
      </c>
      <c r="F54" s="93" t="n">
        <v>9.115</v>
      </c>
      <c r="G54" s="93" t="n">
        <v>26.5743</v>
      </c>
      <c r="H54" s="83" t="inlineStr"/>
      <c r="I54" s="83" t="inlineStr"/>
      <c r="J54" s="84" t="n"/>
      <c r="K54" s="83" t="inlineStr"/>
      <c r="L54" s="83" t="inlineStr"/>
      <c r="M54" s="83" t="inlineStr"/>
      <c r="N54" s="83" t="inlineStr"/>
    </row>
    <row r="55" ht="18" customHeight="1" s="5">
      <c r="A55" s="91" t="inlineStr">
        <is>
          <t>Labor</t>
        </is>
      </c>
      <c r="B55" s="91" t="inlineStr"/>
      <c r="C55" s="91" t="inlineStr">
        <is>
          <t>Condenser</t>
        </is>
      </c>
      <c r="D55" s="92" t="n">
        <v>2.5</v>
      </c>
      <c r="E55" s="93" t="n">
        <v>1.5192</v>
      </c>
      <c r="F55" s="93" t="n">
        <v>1.5192</v>
      </c>
      <c r="G55" s="93" t="n">
        <v>4.4291</v>
      </c>
      <c r="H55" s="83" t="inlineStr"/>
      <c r="I55" s="83" t="inlineStr"/>
      <c r="J55" s="84" t="n"/>
      <c r="K55" s="83" t="inlineStr"/>
      <c r="L55" s="83" t="inlineStr"/>
      <c r="M55" s="83" t="inlineStr"/>
      <c r="N55" s="83" t="inlineStr"/>
    </row>
    <row r="56" ht="18" customHeight="1" s="5">
      <c r="A56" s="91" t="inlineStr">
        <is>
          <t>Labor</t>
        </is>
      </c>
      <c r="B56" s="91" t="inlineStr"/>
      <c r="C56" s="91" t="inlineStr">
        <is>
          <t>Piping</t>
        </is>
      </c>
      <c r="D56" s="92" t="n">
        <v>8.4</v>
      </c>
      <c r="E56" s="93" t="n">
        <v>5.1044</v>
      </c>
      <c r="F56" s="93" t="n">
        <v>5.1044</v>
      </c>
      <c r="G56" s="93" t="n">
        <v>14.8816</v>
      </c>
      <c r="H56" s="83" t="inlineStr"/>
      <c r="I56" s="83" t="inlineStr"/>
      <c r="J56" s="84" t="n"/>
      <c r="K56" s="83" t="inlineStr"/>
      <c r="L56" s="83" t="inlineStr"/>
      <c r="M56" s="83" t="inlineStr"/>
      <c r="N56" s="83" t="inlineStr"/>
    </row>
    <row r="57" ht="18" customHeight="1" s="5">
      <c r="A57" s="91" t="inlineStr">
        <is>
          <t>Labor</t>
        </is>
      </c>
      <c r="B57" s="91" t="inlineStr"/>
      <c r="C57" s="91" t="inlineStr">
        <is>
          <t>Gasket and inserts on base and palette</t>
        </is>
      </c>
      <c r="D57" s="92" t="n">
        <v>3.25</v>
      </c>
      <c r="E57" s="93" t="n">
        <v>1.9749</v>
      </c>
      <c r="F57" s="93" t="n">
        <v>1.9749</v>
      </c>
      <c r="G57" s="93" t="n">
        <v>5.7578</v>
      </c>
      <c r="H57" s="83" t="inlineStr"/>
      <c r="I57" s="83" t="inlineStr"/>
      <c r="J57" s="84" t="n"/>
      <c r="K57" s="83" t="inlineStr"/>
      <c r="L57" s="83" t="inlineStr"/>
      <c r="M57" s="83" t="inlineStr"/>
      <c r="N57" s="83" t="inlineStr"/>
    </row>
    <row r="58" ht="18" customHeight="1" s="5">
      <c r="A58" s="91" t="inlineStr">
        <is>
          <t>Labor</t>
        </is>
      </c>
      <c r="B58" s="91" t="inlineStr"/>
      <c r="C58" s="91" t="inlineStr">
        <is>
          <t>Attach components to base</t>
        </is>
      </c>
      <c r="D58" s="92" t="n">
        <v>10</v>
      </c>
      <c r="E58" s="93" t="n">
        <v>6.0767</v>
      </c>
      <c r="F58" s="93" t="n">
        <v>6.0767</v>
      </c>
      <c r="G58" s="93" t="n">
        <v>17.7162</v>
      </c>
      <c r="H58" s="83" t="inlineStr"/>
      <c r="I58" s="83" t="inlineStr"/>
      <c r="J58" s="84" t="n"/>
      <c r="K58" s="83" t="inlineStr"/>
      <c r="L58" s="83" t="inlineStr"/>
      <c r="M58" s="83" t="inlineStr"/>
      <c r="N58" s="83" t="inlineStr"/>
    </row>
    <row r="59" ht="18" customHeight="1" s="5">
      <c r="A59" s="91" t="inlineStr">
        <is>
          <t>Labor</t>
        </is>
      </c>
      <c r="B59" s="91" t="inlineStr"/>
      <c r="C59" s="91" t="inlineStr">
        <is>
          <t>Braze</t>
        </is>
      </c>
      <c r="D59" s="92" t="n">
        <v>10</v>
      </c>
      <c r="E59" s="93" t="n">
        <v>6.0767</v>
      </c>
      <c r="F59" s="93" t="n">
        <v>6.0767</v>
      </c>
      <c r="G59" s="93" t="n">
        <v>17.7162</v>
      </c>
      <c r="H59" s="83" t="inlineStr"/>
      <c r="I59" s="83" t="inlineStr"/>
      <c r="J59" s="84" t="n"/>
      <c r="K59" s="83" t="inlineStr"/>
      <c r="L59" s="83" t="inlineStr"/>
      <c r="M59" s="83" t="inlineStr"/>
      <c r="N59" s="83" t="inlineStr"/>
    </row>
    <row r="60" ht="18" customHeight="1" s="5">
      <c r="A60" s="91" t="inlineStr">
        <is>
          <t>Labor</t>
        </is>
      </c>
      <c r="B60" s="91" t="inlineStr"/>
      <c r="C60" s="91" t="inlineStr">
        <is>
          <t>Attach control box and run wire</t>
        </is>
      </c>
      <c r="D60" s="92" t="n">
        <v>15</v>
      </c>
      <c r="E60" s="93" t="n">
        <v>9.115</v>
      </c>
      <c r="F60" s="93" t="n">
        <v>9.115</v>
      </c>
      <c r="G60" s="93" t="n">
        <v>26.5743</v>
      </c>
      <c r="H60" s="83" t="inlineStr"/>
      <c r="I60" s="83" t="inlineStr"/>
      <c r="J60" s="84" t="n"/>
      <c r="K60" s="83" t="inlineStr"/>
      <c r="L60" s="83" t="inlineStr"/>
      <c r="M60" s="83" t="inlineStr"/>
      <c r="N60" s="83" t="inlineStr"/>
    </row>
    <row r="61" ht="18" customHeight="1" s="5">
      <c r="A61" s="91" t="inlineStr">
        <is>
          <t>Labor</t>
        </is>
      </c>
      <c r="B61" s="91" t="inlineStr"/>
      <c r="C61" s="91" t="inlineStr">
        <is>
          <t>Insulate piping</t>
        </is>
      </c>
      <c r="D61" s="92" t="n">
        <v>8</v>
      </c>
      <c r="E61" s="93" t="n">
        <v>4.8613</v>
      </c>
      <c r="F61" s="93" t="n">
        <v>4.8613</v>
      </c>
      <c r="G61" s="93" t="n">
        <v>14.173</v>
      </c>
      <c r="H61" s="83" t="inlineStr"/>
      <c r="I61" s="83" t="inlineStr"/>
      <c r="J61" s="84" t="n"/>
      <c r="K61" s="83" t="inlineStr"/>
      <c r="L61" s="83" t="inlineStr"/>
      <c r="M61" s="83" t="inlineStr"/>
      <c r="N61" s="83" t="inlineStr"/>
    </row>
    <row r="62" ht="18" customHeight="1" s="5">
      <c r="A62" s="91" t="inlineStr">
        <is>
          <t>Labor</t>
        </is>
      </c>
      <c r="B62" s="91" t="inlineStr"/>
      <c r="C62" s="91" t="inlineStr">
        <is>
          <t>Hi pot test</t>
        </is>
      </c>
      <c r="D62" s="92" t="n">
        <v>5</v>
      </c>
      <c r="E62" s="93" t="n">
        <v>3.0383</v>
      </c>
      <c r="F62" s="93" t="n">
        <v>3.0383</v>
      </c>
      <c r="G62" s="93" t="n">
        <v>8.8581</v>
      </c>
      <c r="H62" s="83" t="inlineStr"/>
      <c r="I62" s="83" t="inlineStr"/>
      <c r="J62" s="84" t="n"/>
      <c r="K62" s="83" t="inlineStr"/>
      <c r="L62" s="83" t="inlineStr"/>
      <c r="M62" s="83" t="inlineStr"/>
      <c r="N62" s="83" t="inlineStr"/>
    </row>
    <row r="63" ht="18" customHeight="1" s="5">
      <c r="A63" s="91" t="inlineStr">
        <is>
          <t>Labor</t>
        </is>
      </c>
      <c r="B63" s="91" t="inlineStr"/>
      <c r="C63" s="91" t="inlineStr">
        <is>
          <t>Wrap wire and pull vacuum</t>
        </is>
      </c>
      <c r="D63" s="92" t="n">
        <v>14.75</v>
      </c>
      <c r="E63" s="93" t="n">
        <v>8.963100000000001</v>
      </c>
      <c r="F63" s="93" t="n">
        <v>8.963100000000001</v>
      </c>
      <c r="G63" s="93" t="n">
        <v>26.1314</v>
      </c>
      <c r="H63" s="83" t="inlineStr"/>
      <c r="I63" s="83" t="inlineStr"/>
      <c r="J63" s="84" t="n"/>
      <c r="K63" s="83" t="inlineStr"/>
      <c r="L63" s="83" t="inlineStr"/>
      <c r="M63" s="83" t="inlineStr"/>
      <c r="N63" s="83" t="inlineStr"/>
    </row>
    <row r="64" ht="18" customHeight="1" s="5">
      <c r="A64" s="91" t="inlineStr">
        <is>
          <t>Labor</t>
        </is>
      </c>
      <c r="B64" s="91" t="inlineStr"/>
      <c r="C64" s="91" t="inlineStr">
        <is>
          <t>Charge and snip</t>
        </is>
      </c>
      <c r="D64" s="92" t="n">
        <v>4.75</v>
      </c>
      <c r="E64" s="93" t="n">
        <v>2.8864</v>
      </c>
      <c r="F64" s="93" t="n">
        <v>2.8864</v>
      </c>
      <c r="G64" s="93" t="n">
        <v>8.4152</v>
      </c>
      <c r="H64" s="83" t="inlineStr"/>
      <c r="I64" s="83" t="inlineStr"/>
      <c r="J64" s="84" t="n"/>
      <c r="K64" s="83" t="inlineStr"/>
      <c r="L64" s="83" t="inlineStr"/>
      <c r="M64" s="83" t="inlineStr"/>
      <c r="N64" s="83" t="inlineStr"/>
    </row>
    <row r="65" ht="18" customHeight="1" s="5">
      <c r="A65" s="91" t="inlineStr">
        <is>
          <t>Labor</t>
        </is>
      </c>
      <c r="B65" s="91" t="inlineStr"/>
      <c r="C65" s="91" t="inlineStr">
        <is>
          <t>Accessories</t>
        </is>
      </c>
      <c r="D65" s="92" t="n">
        <v>4</v>
      </c>
      <c r="E65" s="93" t="n">
        <v>2.4307</v>
      </c>
      <c r="F65" s="93" t="n">
        <v>2.4307</v>
      </c>
      <c r="G65" s="93" t="n">
        <v>7.0865</v>
      </c>
      <c r="H65" s="83" t="inlineStr"/>
      <c r="I65" s="83" t="inlineStr"/>
      <c r="J65" s="84" t="n"/>
      <c r="K65" s="83" t="inlineStr"/>
      <c r="L65" s="83" t="inlineStr"/>
      <c r="M65" s="83" t="inlineStr"/>
      <c r="N65" s="83" t="inlineStr"/>
    </row>
    <row r="66" ht="18" customHeight="1" s="5">
      <c r="A66" s="91" t="inlineStr">
        <is>
          <t>Labor</t>
        </is>
      </c>
      <c r="B66" s="91" t="inlineStr"/>
      <c r="C66" s="91" t="inlineStr">
        <is>
          <t>End of line test</t>
        </is>
      </c>
      <c r="D66" s="92" t="n">
        <v>4</v>
      </c>
      <c r="E66" s="93" t="n">
        <v>2.4307</v>
      </c>
      <c r="F66" s="93" t="n">
        <v>2.4307</v>
      </c>
      <c r="G66" s="93" t="n">
        <v>7.0865</v>
      </c>
      <c r="H66" s="83" t="inlineStr"/>
      <c r="I66" s="83" t="inlineStr"/>
      <c r="J66" s="84" t="n"/>
      <c r="K66" s="83" t="inlineStr"/>
      <c r="L66" s="83" t="inlineStr"/>
      <c r="M66" s="83" t="inlineStr"/>
      <c r="N66" s="83" t="inlineStr"/>
    </row>
    <row r="67" ht="18" customHeight="1" s="5">
      <c r="A67" s="91" t="inlineStr">
        <is>
          <t>Labor</t>
        </is>
      </c>
      <c r="B67" s="91" t="inlineStr"/>
      <c r="C67" s="91" t="inlineStr">
        <is>
          <t>Enclosure and labels (2 people)</t>
        </is>
      </c>
      <c r="D67" s="92" t="n">
        <v>32</v>
      </c>
      <c r="E67" s="93" t="n">
        <v>19.4453</v>
      </c>
      <c r="F67" s="93" t="n">
        <v>38.8907</v>
      </c>
      <c r="G67" s="93" t="n">
        <v>113.3839</v>
      </c>
      <c r="H67" s="83" t="inlineStr"/>
      <c r="I67" s="83" t="inlineStr"/>
      <c r="J67" s="84" t="n"/>
      <c r="K67" s="83" t="inlineStr"/>
      <c r="L67" s="83" t="inlineStr"/>
      <c r="M67" s="83" t="inlineStr"/>
      <c r="N67" s="83" t="inlineStr"/>
    </row>
    <row r="68" ht="18" customHeight="1" s="5">
      <c r="A68" s="91" t="inlineStr">
        <is>
          <t>Labor</t>
        </is>
      </c>
      <c r="B68" s="91" t="inlineStr"/>
      <c r="C68" s="91" t="inlineStr">
        <is>
          <t>Packaging</t>
        </is>
      </c>
      <c r="D68" s="92" t="n">
        <v>7.5</v>
      </c>
      <c r="E68" s="93" t="n">
        <v>4.5575</v>
      </c>
      <c r="F68" s="93" t="n">
        <v>4.5575</v>
      </c>
      <c r="G68" s="93" t="n">
        <v>13.2872</v>
      </c>
      <c r="H68" s="83" t="inlineStr"/>
      <c r="I68" s="83" t="inlineStr"/>
      <c r="J68" s="84" t="n"/>
      <c r="K68" s="83" t="inlineStr"/>
      <c r="L68" s="83" t="inlineStr"/>
      <c r="M68" s="83" t="inlineStr"/>
      <c r="N68" s="83" t="inlineStr"/>
    </row>
    <row r="69" ht="18" customHeight="1" s="5">
      <c r="A69" s="94" t="inlineStr">
        <is>
          <t>TOTAL</t>
        </is>
      </c>
      <c r="B69" s="95" t="n"/>
      <c r="C69" s="95" t="n"/>
      <c r="D69" s="95" t="n"/>
      <c r="E69" s="95" t="n"/>
      <c r="F69" s="96">
        <f>SUM(F2:F68)</f>
        <v/>
      </c>
      <c r="G69" s="96">
        <f>SUM(G2:G68)</f>
        <v/>
      </c>
      <c r="H69" s="95" t="n"/>
      <c r="I69" s="95" t="n"/>
      <c r="J69" s="97">
        <f>SUM(J2:J68)</f>
        <v/>
      </c>
      <c r="K69" s="95" t="n"/>
      <c r="L69" s="95" t="n"/>
      <c r="M69" s="95" t="n"/>
      <c r="N69" s="95" t="n"/>
    </row>
  </sheetData>
  <autoFilter ref="A1:N68"/>
  <dataValidations count="3">
    <dataValidation sqref="L2:L68" showDropDown="0" showInputMessage="0" showErrorMessage="0" allowBlank="1" type="list">
      <formula1>"Yes,No"</formula1>
    </dataValidation>
    <dataValidation sqref="M2:M68" showDropDown="0" showInputMessage="0" showErrorMessage="0" allowBlank="1" type="list">
      <formula1>"Open,In Review,Approved,Rejected"</formula1>
    </dataValidation>
    <dataValidation sqref="K2:K68" showDropDown="0" showInputMessage="0" showErrorMessage="0" allowBlank="1" type="list">
      <formula1>"Short Term,Medium Term,Long Term"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Fink, Coraline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2026-04-29T03:07:41Z</dcterms:modified>
  <cp:lastModifiedBy>Vennu, Sunil</cp:lastModifiedBy>
</cp:coreProperties>
</file>