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ussmann-my.sharepoint.com/personal/sunilkumar_vennu_hussmann_com/Documents/Desktop/VPM/VPM_Tracker_Rev_2026.07.08-r1/"/>
    </mc:Choice>
  </mc:AlternateContent>
  <xr:revisionPtr revIDLastSave="96" documentId="11_AB5534D7F04931CB16DF155EC09FAE7618EB7722" xr6:coauthVersionLast="47" xr6:coauthVersionMax="47" xr10:uidLastSave="{3FF042C9-A949-4CB9-84F5-F649EB9141D2}"/>
  <bookViews>
    <workbookView xWindow="11424" yWindow="0" windowWidth="11712" windowHeight="13776" xr2:uid="{00000000-000D-0000-FFFF-FFFF00000000}"/>
  </bookViews>
  <sheets>
    <sheet name="VAVE-MB 2.0 Tasks" sheetId="3" r:id="rId1"/>
    <sheet name="Summary" sheetId="5" r:id="rId2"/>
  </sheets>
  <definedNames>
    <definedName name="_xlnm._FilterDatabase" localSheetId="0" hidden="1">'VAVE-MB 2.0 Tasks'!$A$1:$G$123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9" i="5" s="1"/>
  <c r="G7" i="5"/>
  <c r="G9" i="5" s="1"/>
  <c r="H7" i="5"/>
  <c r="H9" i="5" s="1"/>
  <c r="I7" i="5"/>
  <c r="I9" i="5" s="1"/>
  <c r="C7" i="5"/>
  <c r="C9" i="5" s="1"/>
  <c r="D7" i="5"/>
  <c r="D9" i="5" s="1"/>
  <c r="E7" i="5"/>
  <c r="E9" i="5" s="1"/>
  <c r="B7" i="5"/>
  <c r="B9" i="5" s="1"/>
  <c r="G2" i="3"/>
  <c r="G98" i="3"/>
</calcChain>
</file>

<file path=xl/sharedStrings.xml><?xml version="1.0" encoding="utf-8"?>
<sst xmlns="http://schemas.openxmlformats.org/spreadsheetml/2006/main" count="632" uniqueCount="216">
  <si>
    <t>Level</t>
  </si>
  <si>
    <t>Task Name</t>
  </si>
  <si>
    <t>Start</t>
  </si>
  <si>
    <t>End</t>
  </si>
  <si>
    <t>Duration</t>
  </si>
  <si>
    <t>Status</t>
  </si>
  <si>
    <t>In Progress</t>
  </si>
  <si>
    <t>2026-07-24</t>
  </si>
  <si>
    <t>75</t>
  </si>
  <si>
    <t>Completed</t>
  </si>
  <si>
    <t>35</t>
  </si>
  <si>
    <t>2026-06-18</t>
  </si>
  <si>
    <t>25</t>
  </si>
  <si>
    <t>2026-06-17</t>
  </si>
  <si>
    <t>1</t>
  </si>
  <si>
    <t>2026-06-05</t>
  </si>
  <si>
    <t>16</t>
  </si>
  <si>
    <t>2026-06-08</t>
  </si>
  <si>
    <t>2026-07-13</t>
  </si>
  <si>
    <t>2026-07-14</t>
  </si>
  <si>
    <t>2026-07-23</t>
  </si>
  <si>
    <t>2</t>
  </si>
  <si>
    <t>2026-07-16</t>
  </si>
  <si>
    <t>3</t>
  </si>
  <si>
    <t>2026-07-20</t>
  </si>
  <si>
    <t>5</t>
  </si>
  <si>
    <t>Not Started</t>
  </si>
  <si>
    <t>2026-07-21</t>
  </si>
  <si>
    <t>48</t>
  </si>
  <si>
    <t>20</t>
  </si>
  <si>
    <t>2026-06-23</t>
  </si>
  <si>
    <t>2026-06-24</t>
  </si>
  <si>
    <t>10</t>
  </si>
  <si>
    <t>NSF</t>
  </si>
  <si>
    <t>2026-07-08</t>
  </si>
  <si>
    <t>DOE</t>
  </si>
  <si>
    <t>2026-09-01</t>
  </si>
  <si>
    <t>2026-09-02</t>
  </si>
  <si>
    <t>15</t>
  </si>
  <si>
    <t>2026-07-31</t>
  </si>
  <si>
    <t>2026-07-10</t>
  </si>
  <si>
    <t>2026-07-15</t>
  </si>
  <si>
    <t>2026-06-25</t>
  </si>
  <si>
    <t>2026-07-28</t>
  </si>
  <si>
    <t>2026-07-17</t>
  </si>
  <si>
    <t>50</t>
  </si>
  <si>
    <t>4</t>
  </si>
  <si>
    <t>2026-08-18</t>
  </si>
  <si>
    <t>2026-08-19</t>
  </si>
  <si>
    <t>2026-08-26</t>
  </si>
  <si>
    <t>2026-10-20</t>
  </si>
  <si>
    <t>Lab testing</t>
  </si>
  <si>
    <t>2026-10-26</t>
  </si>
  <si>
    <t>Samples</t>
  </si>
  <si>
    <t>2026-08-10</t>
  </si>
  <si>
    <t>2026-08-11</t>
  </si>
  <si>
    <t>2026-10-23</t>
  </si>
  <si>
    <t>2026-08-28</t>
  </si>
  <si>
    <t>14</t>
  </si>
  <si>
    <t>2026-08-31</t>
  </si>
  <si>
    <t>2026-09-18</t>
  </si>
  <si>
    <t>2027-02-01</t>
  </si>
  <si>
    <t>172</t>
  </si>
  <si>
    <t>2026-06-26</t>
  </si>
  <si>
    <t>Cassette VAVE activities</t>
  </si>
  <si>
    <t>CAP Tube testing - MT</t>
  </si>
  <si>
    <t>2026-09-04</t>
  </si>
  <si>
    <t>66</t>
  </si>
  <si>
    <t>Hot box  Validation - MT</t>
  </si>
  <si>
    <t>31</t>
  </si>
  <si>
    <t>Baseline run</t>
  </si>
  <si>
    <t>2026-06-22</t>
  </si>
  <si>
    <t>12</t>
  </si>
  <si>
    <t>Captube trial 1</t>
  </si>
  <si>
    <t>Captube trial 2</t>
  </si>
  <si>
    <t>17</t>
  </si>
  <si>
    <t>Lab testing - 2Dr case</t>
  </si>
  <si>
    <t>ECO Process</t>
  </si>
  <si>
    <t>2026-07-27</t>
  </si>
  <si>
    <t>2026-08-07</t>
  </si>
  <si>
    <t>Tecumseh sourcing (Unknown)</t>
  </si>
  <si>
    <t>Implementation</t>
  </si>
  <si>
    <t>Check valve removal</t>
  </si>
  <si>
    <t>2026-08-21</t>
  </si>
  <si>
    <t>MS request - LT unit</t>
  </si>
  <si>
    <t>2026-07-30</t>
  </si>
  <si>
    <t>Hot box testing.</t>
  </si>
  <si>
    <t>S/M - 1 (Removing parts/clamps from design)</t>
  </si>
  <si>
    <t>26</t>
  </si>
  <si>
    <t>Transit test</t>
  </si>
  <si>
    <t>8</t>
  </si>
  <si>
    <t>Vibration/sound test</t>
  </si>
  <si>
    <t>6</t>
  </si>
  <si>
    <t>ECO process</t>
  </si>
  <si>
    <t>11</t>
  </si>
  <si>
    <t>S/m - 2 (Control box redesign, evap shroud, compress base, cond. shroud)</t>
  </si>
  <si>
    <t>2026-10-07</t>
  </si>
  <si>
    <t>89</t>
  </si>
  <si>
    <t>Design finalize</t>
  </si>
  <si>
    <t>13</t>
  </si>
  <si>
    <t>MS request</t>
  </si>
  <si>
    <t>MS work - complete</t>
  </si>
  <si>
    <t>Ship to Tecumseh</t>
  </si>
  <si>
    <t>Cassettes build</t>
  </si>
  <si>
    <t>2026-08-13</t>
  </si>
  <si>
    <t>Ship to Hussmann</t>
  </si>
  <si>
    <t>2026-08-14</t>
  </si>
  <si>
    <t>2026-08-20</t>
  </si>
  <si>
    <t>Vibration test</t>
  </si>
  <si>
    <t>2026-08-27</t>
  </si>
  <si>
    <t>2026-09-03</t>
  </si>
  <si>
    <t>2026-09-16</t>
  </si>
  <si>
    <t>Implementation timeline (Confirm inventory)</t>
  </si>
  <si>
    <t>2026-09-17</t>
  </si>
  <si>
    <t>New enclosure for 2.0 (Molded foam/ Sm/ gasket)</t>
  </si>
  <si>
    <t>2026-10-30</t>
  </si>
  <si>
    <t>106</t>
  </si>
  <si>
    <t>Concept design-1 (Roto mold)</t>
  </si>
  <si>
    <t>2026-06-19</t>
  </si>
  <si>
    <t>Concept design 2 (S/m cover design)</t>
  </si>
  <si>
    <t>Quotes</t>
  </si>
  <si>
    <t>sheetmetal - Victor Lopez</t>
  </si>
  <si>
    <t>Molded foam Quotes - MTY/ATI</t>
  </si>
  <si>
    <t>Prototypes - MS</t>
  </si>
  <si>
    <t>3D printed foam</t>
  </si>
  <si>
    <t>S/m part</t>
  </si>
  <si>
    <t>Gasket routing (Ray)</t>
  </si>
  <si>
    <t>Initial Validation Test - on 2Dr case</t>
  </si>
  <si>
    <t>Cut PO</t>
  </si>
  <si>
    <t>Prototype samples</t>
  </si>
  <si>
    <t>2026-10-09</t>
  </si>
  <si>
    <t>44</t>
  </si>
  <si>
    <t>2026-10-12</t>
  </si>
  <si>
    <t>2026-10-16</t>
  </si>
  <si>
    <t>2026-10-19</t>
  </si>
  <si>
    <t>Implementation date</t>
  </si>
  <si>
    <t>Aluminum coil</t>
  </si>
  <si>
    <t>MT Aluminum coil</t>
  </si>
  <si>
    <t>Define coil spec. Drawings?</t>
  </si>
  <si>
    <t>Request for quotes. Send dwgs</t>
  </si>
  <si>
    <t>Get quotes/Timelines from supplier</t>
  </si>
  <si>
    <t>18</t>
  </si>
  <si>
    <t>Request samples- Send PO</t>
  </si>
  <si>
    <t>Receive samples</t>
  </si>
  <si>
    <t>56</t>
  </si>
  <si>
    <t>2026-10-13</t>
  </si>
  <si>
    <t>2026-11-02</t>
  </si>
  <si>
    <t>Order parts</t>
  </si>
  <si>
    <t>2026-11-03</t>
  </si>
  <si>
    <t>2027-01-11</t>
  </si>
  <si>
    <t>2027-01-12</t>
  </si>
  <si>
    <t>LT Aluminum coil</t>
  </si>
  <si>
    <t>Cheaper Carel controller</t>
  </si>
  <si>
    <t>74</t>
  </si>
  <si>
    <t>Carel discussion - new part number initiation</t>
  </si>
  <si>
    <t>New wiring diagrams</t>
  </si>
  <si>
    <t>Quote</t>
  </si>
  <si>
    <t>Initiate Sample PO</t>
  </si>
  <si>
    <t>Bench testing</t>
  </si>
  <si>
    <t>2026-08-17</t>
  </si>
  <si>
    <t>Initiate production PO</t>
  </si>
  <si>
    <t>Procure parts for production</t>
  </si>
  <si>
    <t>2026-09-15</t>
  </si>
  <si>
    <t>Tube on drip tray</t>
  </si>
  <si>
    <t>Design validation</t>
  </si>
  <si>
    <t>2026-07-09</t>
  </si>
  <si>
    <t>Procure parts</t>
  </si>
  <si>
    <t>Harness design</t>
  </si>
  <si>
    <t>Drawing to supplier</t>
  </si>
  <si>
    <t>2026-06-29</t>
  </si>
  <si>
    <t>PO for samples</t>
  </si>
  <si>
    <t>Validation</t>
  </si>
  <si>
    <t>Eco Process</t>
  </si>
  <si>
    <t>2026-09-10</t>
  </si>
  <si>
    <t>2026-09-11</t>
  </si>
  <si>
    <t>Case VAVE activities</t>
  </si>
  <si>
    <t>61</t>
  </si>
  <si>
    <t>Plastic Deck Pans</t>
  </si>
  <si>
    <t>LAb request</t>
  </si>
  <si>
    <t>Lab test base line</t>
  </si>
  <si>
    <t>2026-08-03</t>
  </si>
  <si>
    <t>Lab test new deck pans</t>
  </si>
  <si>
    <t>ECN release process</t>
  </si>
  <si>
    <t>2026-08-24</t>
  </si>
  <si>
    <t>2026-09-14</t>
  </si>
  <si>
    <t>Simplify Raceway</t>
  </si>
  <si>
    <t>Design changes</t>
  </si>
  <si>
    <t>ECN Release</t>
  </si>
  <si>
    <t>Case power cord</t>
  </si>
  <si>
    <t>Seperate ECN ( sourcing task)</t>
  </si>
  <si>
    <t>10Amp Breaker</t>
  </si>
  <si>
    <t>33</t>
  </si>
  <si>
    <t>Simplify Under Door Support</t>
  </si>
  <si>
    <t>Reduce Qty of Canopy Foam Backers</t>
  </si>
  <si>
    <t>Remove Drain</t>
  </si>
  <si>
    <t>2026-08-12</t>
  </si>
  <si>
    <t>34</t>
  </si>
  <si>
    <t>Savings</t>
  </si>
  <si>
    <t>Tariff</t>
  </si>
  <si>
    <t>RMN5MA</t>
  </si>
  <si>
    <t>RMN4MA</t>
  </si>
  <si>
    <t>RMN3MA</t>
  </si>
  <si>
    <t>RMN2MA</t>
  </si>
  <si>
    <t>RLN5MA</t>
  </si>
  <si>
    <t>RLN4MA</t>
  </si>
  <si>
    <t>RLN3MA</t>
  </si>
  <si>
    <t>RLN2MA</t>
  </si>
  <si>
    <t># of cassettes</t>
  </si>
  <si>
    <t>VAVE Savings - Cassettes</t>
  </si>
  <si>
    <t>VAVE Savings - Case</t>
  </si>
  <si>
    <t>Total VAVE savings</t>
  </si>
  <si>
    <t>Total savings realized</t>
  </si>
  <si>
    <t>Savings realized - Cassette</t>
  </si>
  <si>
    <t>Savings realized - Case</t>
  </si>
  <si>
    <t>will get back on this timeline</t>
  </si>
  <si>
    <t>have parts in house most likely. If not then it takes about 3 to 4 weeks. 6 weeks for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</si>
</sst>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(&quot;$&quot;* #,##0.0_);_(&quot;$&quot;* \(#,##0.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vertical="top" wrapText="1" indent="2"/>
    </xf>
    <xf numFmtId="164" fontId="0" fillId="3" borderId="1" xfId="0" applyNumberFormat="1" applyFill="1" applyBorder="1"/>
    <xf numFmtId="0" fontId="0" fillId="0" borderId="1" xfId="0" applyBorder="1" applyAlignment="1">
      <alignment vertical="top" wrapText="1" indent="3"/>
    </xf>
    <xf numFmtId="164" fontId="0" fillId="0" borderId="1" xfId="0" applyNumberFormat="1" applyBorder="1"/>
    <xf numFmtId="164" fontId="0" fillId="4" borderId="1" xfId="0" applyNumberForma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1" xfId="0" applyBorder="1" applyAlignment="1">
      <alignment vertical="top" wrapText="1" indent="4"/>
    </xf>
    <xf numFmtId="0" fontId="0" fillId="0" borderId="1" xfId="0" applyBorder="1" applyAlignment="1">
      <alignment vertical="top" wrapText="1" indent="5"/>
    </xf>
    <xf numFmtId="0" fontId="0" fillId="0" borderId="1" xfId="0" applyBorder="1" applyAlignment="1">
      <alignment vertical="top" wrapText="1" indent="6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3" fillId="3" borderId="1" xfId="0" applyFont="1" applyFill="1" applyBorder="1"/>
    <xf numFmtId="165" fontId="0" fillId="3" borderId="1" xfId="0" applyNumberFormat="1" applyFill="1" applyBorder="1" applyAlignment="1">
      <alignment horizontal="center"/>
    </xf>
    <xf numFmtId="0" fontId="3" fillId="0" borderId="1" xfId="0" applyFont="1" applyFill="1" applyBorder="1"/>
    <xf numFmtId="0" fontId="3" fillId="4" borderId="1" xfId="0" applyFont="1" applyFill="1" applyBorder="1"/>
    <xf numFmtId="44" fontId="0" fillId="4" borderId="1" xfId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123"/>
  <sheetViews>
    <sheetView tabSelected="1" workbookViewId="0">
      <pane ySplit="1" topLeftCell="A2" activePane="bottomLeft" state="frozen"/>
      <selection pane="bottomLeft" activeCell="G99" sqref="G99:G120"/>
    </sheetView>
  </sheetViews>
  <sheetFormatPr defaultRowHeight="15" x14ac:dyDescent="0.25"/>
  <cols>
    <col min="1" max="1" width="8" customWidth="1"/>
    <col min="2" max="2" width="42" customWidth="1"/>
    <col min="3" max="4" width="12" hidden="1" customWidth="1"/>
    <col min="5" max="5" width="10" hidden="1" customWidth="1"/>
    <col min="6" max="6" width="14" hidden="1" customWidth="1"/>
    <col min="7" max="7" width="18" style="1" customWidth="1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197</v>
      </c>
    </row>
    <row r="2" spans="1:9" x14ac:dyDescent="0.25">
      <c r="A2" s="2">
        <v>2</v>
      </c>
      <c r="B2" s="3" t="s">
        <v>64</v>
      </c>
      <c r="C2" s="2" t="s">
        <v>15</v>
      </c>
      <c r="D2" s="2" t="s">
        <v>61</v>
      </c>
      <c r="E2" s="2" t="s">
        <v>62</v>
      </c>
      <c r="F2" s="2" t="s">
        <v>6</v>
      </c>
      <c r="G2" s="4">
        <f>SUM(G3:G90)</f>
        <v>165.5</v>
      </c>
    </row>
    <row r="3" spans="1:9" x14ac:dyDescent="0.25">
      <c r="A3" s="2">
        <v>3</v>
      </c>
      <c r="B3" s="5" t="s">
        <v>65</v>
      </c>
      <c r="C3" s="2" t="s">
        <v>15</v>
      </c>
      <c r="D3" s="2" t="s">
        <v>66</v>
      </c>
      <c r="E3" s="2" t="s">
        <v>67</v>
      </c>
      <c r="F3" s="2" t="s">
        <v>6</v>
      </c>
      <c r="G3" s="6">
        <v>28</v>
      </c>
      <c r="I3" t="s">
        <v>215</v>
      </c>
    </row>
    <row r="4" spans="1:9" hidden="1" x14ac:dyDescent="0.25">
      <c r="A4" s="2">
        <v>4</v>
      </c>
      <c r="B4" s="10" t="s">
        <v>68</v>
      </c>
      <c r="C4" s="2" t="s">
        <v>15</v>
      </c>
      <c r="D4" s="2" t="s">
        <v>44</v>
      </c>
      <c r="E4" s="2" t="s">
        <v>69</v>
      </c>
      <c r="F4" s="2" t="s">
        <v>6</v>
      </c>
      <c r="G4" s="2"/>
    </row>
    <row r="5" spans="1:9" hidden="1" x14ac:dyDescent="0.25">
      <c r="A5" s="2">
        <v>5</v>
      </c>
      <c r="B5" s="11" t="s">
        <v>70</v>
      </c>
      <c r="C5" s="2" t="s">
        <v>15</v>
      </c>
      <c r="D5" s="2" t="s">
        <v>71</v>
      </c>
      <c r="E5" s="2" t="s">
        <v>72</v>
      </c>
      <c r="F5" s="2" t="s">
        <v>9</v>
      </c>
      <c r="G5" s="2"/>
    </row>
    <row r="6" spans="1:9" hidden="1" x14ac:dyDescent="0.25">
      <c r="A6" s="2">
        <v>5</v>
      </c>
      <c r="B6" s="11" t="s">
        <v>73</v>
      </c>
      <c r="C6" s="2" t="s">
        <v>30</v>
      </c>
      <c r="D6" s="2" t="s">
        <v>31</v>
      </c>
      <c r="E6" s="2" t="s">
        <v>21</v>
      </c>
      <c r="F6" s="2" t="s">
        <v>9</v>
      </c>
      <c r="G6" s="2"/>
    </row>
    <row r="7" spans="1:9" hidden="1" x14ac:dyDescent="0.25">
      <c r="A7" s="2">
        <v>5</v>
      </c>
      <c r="B7" s="11" t="s">
        <v>74</v>
      </c>
      <c r="C7" s="2" t="s">
        <v>42</v>
      </c>
      <c r="D7" s="2" t="s">
        <v>44</v>
      </c>
      <c r="E7" s="2" t="s">
        <v>75</v>
      </c>
      <c r="F7" s="2" t="s">
        <v>6</v>
      </c>
      <c r="G7" s="2"/>
    </row>
    <row r="8" spans="1:9" hidden="1" x14ac:dyDescent="0.25">
      <c r="A8" s="2">
        <v>4</v>
      </c>
      <c r="B8" s="10" t="s">
        <v>76</v>
      </c>
      <c r="C8" s="2" t="s">
        <v>24</v>
      </c>
      <c r="D8" s="2" t="s">
        <v>7</v>
      </c>
      <c r="E8" s="2" t="s">
        <v>25</v>
      </c>
      <c r="F8" s="2" t="s">
        <v>26</v>
      </c>
      <c r="G8" s="2"/>
    </row>
    <row r="9" spans="1:9" hidden="1" x14ac:dyDescent="0.25">
      <c r="A9" s="2">
        <v>4</v>
      </c>
      <c r="B9" s="10" t="s">
        <v>77</v>
      </c>
      <c r="C9" s="2" t="s">
        <v>78</v>
      </c>
      <c r="D9" s="2" t="s">
        <v>79</v>
      </c>
      <c r="E9" s="2" t="s">
        <v>32</v>
      </c>
      <c r="F9" s="2" t="s">
        <v>26</v>
      </c>
      <c r="G9" s="2"/>
    </row>
    <row r="10" spans="1:9" hidden="1" x14ac:dyDescent="0.25">
      <c r="A10" s="2">
        <v>4</v>
      </c>
      <c r="B10" s="10" t="s">
        <v>80</v>
      </c>
      <c r="C10" s="2" t="s">
        <v>54</v>
      </c>
      <c r="D10" s="2" t="s">
        <v>57</v>
      </c>
      <c r="E10" s="2" t="s">
        <v>38</v>
      </c>
      <c r="F10" s="2" t="s">
        <v>26</v>
      </c>
      <c r="G10" s="2"/>
    </row>
    <row r="11" spans="1:9" hidden="1" x14ac:dyDescent="0.25">
      <c r="A11" s="2">
        <v>4</v>
      </c>
      <c r="B11" s="10" t="s">
        <v>81</v>
      </c>
      <c r="C11" s="2" t="s">
        <v>59</v>
      </c>
      <c r="D11" s="2" t="s">
        <v>66</v>
      </c>
      <c r="E11" s="2" t="s">
        <v>25</v>
      </c>
      <c r="F11" s="2" t="s">
        <v>26</v>
      </c>
      <c r="G11" s="2"/>
    </row>
    <row r="12" spans="1:9" x14ac:dyDescent="0.25">
      <c r="A12" s="2">
        <v>3</v>
      </c>
      <c r="B12" s="5" t="s">
        <v>82</v>
      </c>
      <c r="C12" s="2" t="s">
        <v>24</v>
      </c>
      <c r="D12" s="2" t="s">
        <v>83</v>
      </c>
      <c r="E12" s="2" t="s">
        <v>12</v>
      </c>
      <c r="F12" s="2" t="s">
        <v>26</v>
      </c>
      <c r="G12" s="6">
        <v>5</v>
      </c>
    </row>
    <row r="13" spans="1:9" hidden="1" x14ac:dyDescent="0.25">
      <c r="A13" s="2">
        <v>4</v>
      </c>
      <c r="B13" s="10" t="s">
        <v>84</v>
      </c>
      <c r="C13" s="2" t="s">
        <v>85</v>
      </c>
      <c r="D13" s="2" t="s">
        <v>83</v>
      </c>
      <c r="E13" s="2" t="s">
        <v>75</v>
      </c>
      <c r="F13" s="2" t="s">
        <v>9</v>
      </c>
      <c r="G13" s="2"/>
    </row>
    <row r="14" spans="1:9" hidden="1" x14ac:dyDescent="0.25">
      <c r="A14" s="2">
        <v>4</v>
      </c>
      <c r="B14" s="10" t="s">
        <v>86</v>
      </c>
      <c r="C14" s="2" t="s">
        <v>24</v>
      </c>
      <c r="D14" s="2" t="s">
        <v>7</v>
      </c>
      <c r="E14" s="2" t="s">
        <v>25</v>
      </c>
      <c r="F14" s="2" t="s">
        <v>26</v>
      </c>
      <c r="G14" s="2"/>
    </row>
    <row r="15" spans="1:9" ht="30" x14ac:dyDescent="0.25">
      <c r="A15" s="2">
        <v>3</v>
      </c>
      <c r="B15" s="5" t="s">
        <v>87</v>
      </c>
      <c r="C15" s="2" t="s">
        <v>17</v>
      </c>
      <c r="D15" s="2" t="s">
        <v>18</v>
      </c>
      <c r="E15" s="2" t="s">
        <v>88</v>
      </c>
      <c r="F15" s="2" t="s">
        <v>6</v>
      </c>
      <c r="G15" s="6">
        <v>7.5</v>
      </c>
      <c r="I15" t="s">
        <v>214</v>
      </c>
    </row>
    <row r="16" spans="1:9" hidden="1" x14ac:dyDescent="0.25">
      <c r="A16" s="2">
        <v>4</v>
      </c>
      <c r="B16" s="10" t="s">
        <v>89</v>
      </c>
      <c r="C16" s="2" t="s">
        <v>17</v>
      </c>
      <c r="D16" s="2" t="s">
        <v>13</v>
      </c>
      <c r="E16" s="2" t="s">
        <v>90</v>
      </c>
      <c r="F16" s="2" t="s">
        <v>9</v>
      </c>
      <c r="G16" s="2"/>
    </row>
    <row r="17" spans="1:7" hidden="1" x14ac:dyDescent="0.25">
      <c r="A17" s="2">
        <v>4</v>
      </c>
      <c r="B17" s="10" t="s">
        <v>91</v>
      </c>
      <c r="C17" s="2" t="s">
        <v>11</v>
      </c>
      <c r="D17" s="2" t="s">
        <v>42</v>
      </c>
      <c r="E17" s="2" t="s">
        <v>92</v>
      </c>
      <c r="F17" s="2" t="s">
        <v>9</v>
      </c>
      <c r="G17" s="2"/>
    </row>
    <row r="18" spans="1:7" hidden="1" x14ac:dyDescent="0.25">
      <c r="A18" s="2">
        <v>4</v>
      </c>
      <c r="B18" s="10" t="s">
        <v>93</v>
      </c>
      <c r="C18" s="2" t="s">
        <v>63</v>
      </c>
      <c r="D18" s="2" t="s">
        <v>40</v>
      </c>
      <c r="E18" s="2" t="s">
        <v>94</v>
      </c>
      <c r="F18" s="2" t="s">
        <v>6</v>
      </c>
      <c r="G18" s="2"/>
    </row>
    <row r="19" spans="1:7" hidden="1" x14ac:dyDescent="0.25">
      <c r="A19" s="2">
        <v>4</v>
      </c>
      <c r="B19" s="10" t="s">
        <v>81</v>
      </c>
      <c r="C19" s="2" t="s">
        <v>18</v>
      </c>
      <c r="D19" s="2" t="s">
        <v>18</v>
      </c>
      <c r="E19" s="2" t="s">
        <v>14</v>
      </c>
      <c r="F19" s="2" t="s">
        <v>26</v>
      </c>
      <c r="G19" s="2"/>
    </row>
    <row r="20" spans="1:7" ht="30" x14ac:dyDescent="0.25">
      <c r="A20" s="2">
        <v>3</v>
      </c>
      <c r="B20" s="5" t="s">
        <v>95</v>
      </c>
      <c r="C20" s="2" t="s">
        <v>15</v>
      </c>
      <c r="D20" s="2" t="s">
        <v>96</v>
      </c>
      <c r="E20" s="2" t="s">
        <v>97</v>
      </c>
      <c r="F20" s="2" t="s">
        <v>6</v>
      </c>
      <c r="G20" s="6">
        <v>30</v>
      </c>
    </row>
    <row r="21" spans="1:7" hidden="1" x14ac:dyDescent="0.25">
      <c r="A21" s="2">
        <v>4</v>
      </c>
      <c r="B21" s="10" t="s">
        <v>98</v>
      </c>
      <c r="C21" s="2" t="s">
        <v>15</v>
      </c>
      <c r="D21" s="2" t="s">
        <v>30</v>
      </c>
      <c r="E21" s="2" t="s">
        <v>99</v>
      </c>
      <c r="F21" s="2" t="s">
        <v>9</v>
      </c>
      <c r="G21" s="2"/>
    </row>
    <row r="22" spans="1:7" hidden="1" x14ac:dyDescent="0.25">
      <c r="A22" s="2">
        <v>4</v>
      </c>
      <c r="B22" s="10" t="s">
        <v>100</v>
      </c>
      <c r="C22" s="2" t="s">
        <v>31</v>
      </c>
      <c r="D22" s="2" t="s">
        <v>40</v>
      </c>
      <c r="E22" s="2" t="s">
        <v>99</v>
      </c>
      <c r="F22" s="2" t="s">
        <v>6</v>
      </c>
      <c r="G22" s="2"/>
    </row>
    <row r="23" spans="1:7" hidden="1" x14ac:dyDescent="0.25">
      <c r="A23" s="2">
        <v>4</v>
      </c>
      <c r="B23" s="10" t="s">
        <v>101</v>
      </c>
      <c r="C23" s="2" t="s">
        <v>18</v>
      </c>
      <c r="D23" s="2" t="s">
        <v>7</v>
      </c>
      <c r="E23" s="2" t="s">
        <v>32</v>
      </c>
      <c r="F23" s="2" t="s">
        <v>26</v>
      </c>
      <c r="G23" s="2"/>
    </row>
    <row r="24" spans="1:7" hidden="1" x14ac:dyDescent="0.25">
      <c r="A24" s="2">
        <v>4</v>
      </c>
      <c r="B24" s="10" t="s">
        <v>102</v>
      </c>
      <c r="C24" s="2" t="s">
        <v>78</v>
      </c>
      <c r="D24" s="2" t="s">
        <v>85</v>
      </c>
      <c r="E24" s="2" t="s">
        <v>46</v>
      </c>
      <c r="F24" s="2" t="s">
        <v>26</v>
      </c>
      <c r="G24" s="2"/>
    </row>
    <row r="25" spans="1:7" hidden="1" x14ac:dyDescent="0.25">
      <c r="A25" s="2">
        <v>4</v>
      </c>
      <c r="B25" s="10" t="s">
        <v>103</v>
      </c>
      <c r="C25" s="2" t="s">
        <v>39</v>
      </c>
      <c r="D25" s="2" t="s">
        <v>104</v>
      </c>
      <c r="E25" s="2" t="s">
        <v>32</v>
      </c>
      <c r="F25" s="2" t="s">
        <v>26</v>
      </c>
      <c r="G25" s="2"/>
    </row>
    <row r="26" spans="1:7" hidden="1" x14ac:dyDescent="0.25">
      <c r="A26" s="2">
        <v>4</v>
      </c>
      <c r="B26" s="10" t="s">
        <v>105</v>
      </c>
      <c r="C26" s="2" t="s">
        <v>106</v>
      </c>
      <c r="D26" s="2" t="s">
        <v>107</v>
      </c>
      <c r="E26" s="2" t="s">
        <v>25</v>
      </c>
      <c r="F26" s="2" t="s">
        <v>26</v>
      </c>
      <c r="G26" s="2"/>
    </row>
    <row r="27" spans="1:7" hidden="1" x14ac:dyDescent="0.25">
      <c r="A27" s="2">
        <v>4</v>
      </c>
      <c r="B27" s="10" t="s">
        <v>89</v>
      </c>
      <c r="C27" s="2" t="s">
        <v>83</v>
      </c>
      <c r="D27" s="2" t="s">
        <v>49</v>
      </c>
      <c r="E27" s="2" t="s">
        <v>46</v>
      </c>
      <c r="F27" s="2" t="s">
        <v>26</v>
      </c>
      <c r="G27" s="2"/>
    </row>
    <row r="28" spans="1:7" hidden="1" x14ac:dyDescent="0.25">
      <c r="A28" s="2">
        <v>4</v>
      </c>
      <c r="B28" s="10" t="s">
        <v>108</v>
      </c>
      <c r="C28" s="2" t="s">
        <v>109</v>
      </c>
      <c r="D28" s="2" t="s">
        <v>37</v>
      </c>
      <c r="E28" s="2" t="s">
        <v>25</v>
      </c>
      <c r="F28" s="2" t="s">
        <v>26</v>
      </c>
      <c r="G28" s="2"/>
    </row>
    <row r="29" spans="1:7" hidden="1" x14ac:dyDescent="0.25">
      <c r="A29" s="2">
        <v>4</v>
      </c>
      <c r="B29" s="10" t="s">
        <v>77</v>
      </c>
      <c r="C29" s="2" t="s">
        <v>110</v>
      </c>
      <c r="D29" s="2" t="s">
        <v>111</v>
      </c>
      <c r="E29" s="2" t="s">
        <v>32</v>
      </c>
      <c r="F29" s="2" t="s">
        <v>26</v>
      </c>
      <c r="G29" s="2"/>
    </row>
    <row r="30" spans="1:7" ht="30" hidden="1" x14ac:dyDescent="0.25">
      <c r="A30" s="2">
        <v>4</v>
      </c>
      <c r="B30" s="10" t="s">
        <v>112</v>
      </c>
      <c r="C30" s="2" t="s">
        <v>113</v>
      </c>
      <c r="D30" s="2" t="s">
        <v>96</v>
      </c>
      <c r="E30" s="2" t="s">
        <v>38</v>
      </c>
      <c r="F30" s="2" t="s">
        <v>26</v>
      </c>
      <c r="G30" s="2"/>
    </row>
    <row r="31" spans="1:7" ht="30" x14ac:dyDescent="0.25">
      <c r="A31" s="2">
        <v>3</v>
      </c>
      <c r="B31" s="5" t="s">
        <v>114</v>
      </c>
      <c r="C31" s="2" t="s">
        <v>15</v>
      </c>
      <c r="D31" s="2" t="s">
        <v>115</v>
      </c>
      <c r="E31" s="2" t="s">
        <v>116</v>
      </c>
      <c r="F31" s="2" t="s">
        <v>6</v>
      </c>
      <c r="G31" s="6">
        <v>20</v>
      </c>
    </row>
    <row r="32" spans="1:7" hidden="1" x14ac:dyDescent="0.25">
      <c r="A32" s="2">
        <v>4</v>
      </c>
      <c r="B32" s="10" t="s">
        <v>117</v>
      </c>
      <c r="C32" s="2" t="s">
        <v>15</v>
      </c>
      <c r="D32" s="2" t="s">
        <v>118</v>
      </c>
      <c r="E32" s="2" t="s">
        <v>94</v>
      </c>
      <c r="F32" s="2" t="s">
        <v>9</v>
      </c>
      <c r="G32" s="2"/>
    </row>
    <row r="33" spans="1:7" hidden="1" x14ac:dyDescent="0.25">
      <c r="A33" s="2">
        <v>4</v>
      </c>
      <c r="B33" s="10" t="s">
        <v>119</v>
      </c>
      <c r="C33" s="2" t="s">
        <v>71</v>
      </c>
      <c r="D33" s="2" t="s">
        <v>40</v>
      </c>
      <c r="E33" s="2" t="s">
        <v>38</v>
      </c>
      <c r="F33" s="2" t="s">
        <v>6</v>
      </c>
      <c r="G33" s="2"/>
    </row>
    <row r="34" spans="1:7" hidden="1" x14ac:dyDescent="0.25">
      <c r="A34" s="2">
        <v>4</v>
      </c>
      <c r="B34" s="10" t="s">
        <v>120</v>
      </c>
      <c r="C34" s="2" t="s">
        <v>18</v>
      </c>
      <c r="D34" s="2" t="s">
        <v>7</v>
      </c>
      <c r="E34" s="2" t="s">
        <v>32</v>
      </c>
      <c r="F34" s="2" t="s">
        <v>26</v>
      </c>
      <c r="G34" s="2"/>
    </row>
    <row r="35" spans="1:7" hidden="1" x14ac:dyDescent="0.25">
      <c r="A35" s="2">
        <v>5</v>
      </c>
      <c r="B35" s="11" t="s">
        <v>121</v>
      </c>
      <c r="C35" s="2" t="s">
        <v>18</v>
      </c>
      <c r="D35" s="2" t="s">
        <v>44</v>
      </c>
      <c r="E35" s="2" t="s">
        <v>25</v>
      </c>
      <c r="F35" s="2" t="s">
        <v>26</v>
      </c>
      <c r="G35" s="2"/>
    </row>
    <row r="36" spans="1:7" hidden="1" x14ac:dyDescent="0.25">
      <c r="A36" s="2">
        <v>5</v>
      </c>
      <c r="B36" s="11" t="s">
        <v>122</v>
      </c>
      <c r="C36" s="2" t="s">
        <v>24</v>
      </c>
      <c r="D36" s="2" t="s">
        <v>7</v>
      </c>
      <c r="E36" s="2" t="s">
        <v>25</v>
      </c>
      <c r="F36" s="2" t="s">
        <v>26</v>
      </c>
      <c r="G36" s="2"/>
    </row>
    <row r="37" spans="1:7" hidden="1" x14ac:dyDescent="0.25">
      <c r="A37" s="2">
        <v>4</v>
      </c>
      <c r="B37" s="10" t="s">
        <v>123</v>
      </c>
      <c r="C37" s="2" t="s">
        <v>18</v>
      </c>
      <c r="D37" s="2" t="s">
        <v>7</v>
      </c>
      <c r="E37" s="2" t="s">
        <v>32</v>
      </c>
      <c r="F37" s="2" t="s">
        <v>26</v>
      </c>
      <c r="G37" s="2"/>
    </row>
    <row r="38" spans="1:7" hidden="1" x14ac:dyDescent="0.25">
      <c r="A38" s="2">
        <v>5</v>
      </c>
      <c r="B38" s="11" t="s">
        <v>124</v>
      </c>
      <c r="C38" s="2" t="s">
        <v>18</v>
      </c>
      <c r="D38" s="2" t="s">
        <v>7</v>
      </c>
      <c r="E38" s="2" t="s">
        <v>32</v>
      </c>
      <c r="F38" s="2" t="s">
        <v>26</v>
      </c>
      <c r="G38" s="2"/>
    </row>
    <row r="39" spans="1:7" hidden="1" x14ac:dyDescent="0.25">
      <c r="A39" s="2">
        <v>5</v>
      </c>
      <c r="B39" s="11" t="s">
        <v>125</v>
      </c>
      <c r="C39" s="2" t="s">
        <v>18</v>
      </c>
      <c r="D39" s="2" t="s">
        <v>44</v>
      </c>
      <c r="E39" s="2" t="s">
        <v>25</v>
      </c>
      <c r="F39" s="2" t="s">
        <v>26</v>
      </c>
      <c r="G39" s="2"/>
    </row>
    <row r="40" spans="1:7" hidden="1" x14ac:dyDescent="0.25">
      <c r="A40" s="2">
        <v>5</v>
      </c>
      <c r="B40" s="11" t="s">
        <v>126</v>
      </c>
      <c r="C40" s="2" t="s">
        <v>18</v>
      </c>
      <c r="D40" s="2" t="s">
        <v>7</v>
      </c>
      <c r="E40" s="2" t="s">
        <v>32</v>
      </c>
      <c r="F40" s="2" t="s">
        <v>26</v>
      </c>
      <c r="G40" s="2"/>
    </row>
    <row r="41" spans="1:7" hidden="1" x14ac:dyDescent="0.25">
      <c r="A41" s="2">
        <v>4</v>
      </c>
      <c r="B41" s="10" t="s">
        <v>127</v>
      </c>
      <c r="C41" s="2" t="s">
        <v>78</v>
      </c>
      <c r="D41" s="2" t="s">
        <v>79</v>
      </c>
      <c r="E41" s="2" t="s">
        <v>32</v>
      </c>
      <c r="F41" s="2" t="s">
        <v>26</v>
      </c>
      <c r="G41" s="2"/>
    </row>
    <row r="42" spans="1:7" hidden="1" x14ac:dyDescent="0.25">
      <c r="A42" s="2">
        <v>4</v>
      </c>
      <c r="B42" s="10" t="s">
        <v>128</v>
      </c>
      <c r="C42" s="2" t="s">
        <v>54</v>
      </c>
      <c r="D42" s="2" t="s">
        <v>54</v>
      </c>
      <c r="E42" s="2" t="s">
        <v>14</v>
      </c>
      <c r="F42" s="2" t="s">
        <v>26</v>
      </c>
      <c r="G42" s="2"/>
    </row>
    <row r="43" spans="1:7" hidden="1" x14ac:dyDescent="0.25">
      <c r="A43" s="2">
        <v>4</v>
      </c>
      <c r="B43" s="10" t="s">
        <v>129</v>
      </c>
      <c r="C43" s="2" t="s">
        <v>55</v>
      </c>
      <c r="D43" s="2" t="s">
        <v>130</v>
      </c>
      <c r="E43" s="2" t="s">
        <v>131</v>
      </c>
      <c r="F43" s="2" t="s">
        <v>26</v>
      </c>
      <c r="G43" s="2"/>
    </row>
    <row r="44" spans="1:7" hidden="1" x14ac:dyDescent="0.25">
      <c r="A44" s="2">
        <v>4</v>
      </c>
      <c r="B44" s="10" t="s">
        <v>51</v>
      </c>
      <c r="C44" s="2" t="s">
        <v>132</v>
      </c>
      <c r="D44" s="2" t="s">
        <v>115</v>
      </c>
      <c r="E44" s="2" t="s">
        <v>38</v>
      </c>
      <c r="F44" s="2" t="s">
        <v>26</v>
      </c>
      <c r="G44" s="2"/>
    </row>
    <row r="45" spans="1:7" hidden="1" x14ac:dyDescent="0.25">
      <c r="A45" s="2">
        <v>5</v>
      </c>
      <c r="B45" s="11" t="s">
        <v>33</v>
      </c>
      <c r="C45" s="2" t="s">
        <v>132</v>
      </c>
      <c r="D45" s="2" t="s">
        <v>133</v>
      </c>
      <c r="E45" s="2" t="s">
        <v>25</v>
      </c>
      <c r="F45" s="2" t="s">
        <v>26</v>
      </c>
      <c r="G45" s="2"/>
    </row>
    <row r="46" spans="1:7" hidden="1" x14ac:dyDescent="0.25">
      <c r="A46" s="2">
        <v>5</v>
      </c>
      <c r="B46" s="11" t="s">
        <v>35</v>
      </c>
      <c r="C46" s="2" t="s">
        <v>134</v>
      </c>
      <c r="D46" s="2" t="s">
        <v>115</v>
      </c>
      <c r="E46" s="2" t="s">
        <v>32</v>
      </c>
      <c r="F46" s="2" t="s">
        <v>26</v>
      </c>
      <c r="G46" s="2"/>
    </row>
    <row r="47" spans="1:7" hidden="1" x14ac:dyDescent="0.25">
      <c r="A47" s="2">
        <v>4</v>
      </c>
      <c r="B47" s="10" t="s">
        <v>77</v>
      </c>
      <c r="C47" s="2" t="s">
        <v>55</v>
      </c>
      <c r="D47" s="2" t="s">
        <v>57</v>
      </c>
      <c r="E47" s="2" t="s">
        <v>58</v>
      </c>
      <c r="F47" s="2" t="s">
        <v>26</v>
      </c>
      <c r="G47" s="2"/>
    </row>
    <row r="48" spans="1:7" hidden="1" x14ac:dyDescent="0.25">
      <c r="A48" s="2">
        <v>4</v>
      </c>
      <c r="B48" s="10" t="s">
        <v>135</v>
      </c>
      <c r="C48" s="2" t="s">
        <v>132</v>
      </c>
      <c r="D48" s="2" t="s">
        <v>56</v>
      </c>
      <c r="E48" s="2" t="s">
        <v>32</v>
      </c>
      <c r="F48" s="2" t="s">
        <v>26</v>
      </c>
      <c r="G48" s="2"/>
    </row>
    <row r="49" spans="1:7" x14ac:dyDescent="0.25">
      <c r="A49" s="2">
        <v>3</v>
      </c>
      <c r="B49" s="5" t="s">
        <v>136</v>
      </c>
      <c r="C49" s="2" t="s">
        <v>15</v>
      </c>
      <c r="D49" s="2" t="s">
        <v>61</v>
      </c>
      <c r="E49" s="2" t="s">
        <v>62</v>
      </c>
      <c r="F49" s="2" t="s">
        <v>6</v>
      </c>
      <c r="G49" s="6">
        <v>40</v>
      </c>
    </row>
    <row r="50" spans="1:7" hidden="1" x14ac:dyDescent="0.25">
      <c r="A50" s="2">
        <v>4</v>
      </c>
      <c r="B50" s="10" t="s">
        <v>137</v>
      </c>
      <c r="C50" s="2" t="s">
        <v>15</v>
      </c>
      <c r="D50" s="2" t="s">
        <v>61</v>
      </c>
      <c r="E50" s="2" t="s">
        <v>62</v>
      </c>
      <c r="F50" s="2" t="s">
        <v>6</v>
      </c>
      <c r="G50" s="2"/>
    </row>
    <row r="51" spans="1:7" hidden="1" x14ac:dyDescent="0.25">
      <c r="A51" s="2">
        <v>5</v>
      </c>
      <c r="B51" s="11" t="s">
        <v>138</v>
      </c>
      <c r="C51" s="2" t="s">
        <v>15</v>
      </c>
      <c r="D51" s="2" t="s">
        <v>11</v>
      </c>
      <c r="E51" s="2" t="s">
        <v>32</v>
      </c>
      <c r="F51" s="2" t="s">
        <v>9</v>
      </c>
      <c r="G51" s="2"/>
    </row>
    <row r="52" spans="1:7" hidden="1" x14ac:dyDescent="0.25">
      <c r="A52" s="2">
        <v>5</v>
      </c>
      <c r="B52" s="11" t="s">
        <v>139</v>
      </c>
      <c r="C52" s="2" t="s">
        <v>118</v>
      </c>
      <c r="D52" s="2" t="s">
        <v>30</v>
      </c>
      <c r="E52" s="2" t="s">
        <v>23</v>
      </c>
      <c r="F52" s="2" t="s">
        <v>9</v>
      </c>
      <c r="G52" s="2"/>
    </row>
    <row r="53" spans="1:7" hidden="1" x14ac:dyDescent="0.25">
      <c r="A53" s="2">
        <v>5</v>
      </c>
      <c r="B53" s="11" t="s">
        <v>140</v>
      </c>
      <c r="C53" s="2" t="s">
        <v>31</v>
      </c>
      <c r="D53" s="2" t="s">
        <v>44</v>
      </c>
      <c r="E53" s="2" t="s">
        <v>141</v>
      </c>
      <c r="F53" s="2" t="s">
        <v>6</v>
      </c>
      <c r="G53" s="2"/>
    </row>
    <row r="54" spans="1:7" hidden="1" x14ac:dyDescent="0.25">
      <c r="A54" s="2">
        <v>5</v>
      </c>
      <c r="B54" s="11" t="s">
        <v>142</v>
      </c>
      <c r="C54" s="2" t="s">
        <v>24</v>
      </c>
      <c r="D54" s="2" t="s">
        <v>7</v>
      </c>
      <c r="E54" s="2" t="s">
        <v>25</v>
      </c>
      <c r="F54" s="2" t="s">
        <v>26</v>
      </c>
      <c r="G54" s="2"/>
    </row>
    <row r="55" spans="1:7" hidden="1" x14ac:dyDescent="0.25">
      <c r="A55" s="2">
        <v>5</v>
      </c>
      <c r="B55" s="11" t="s">
        <v>143</v>
      </c>
      <c r="C55" s="2" t="s">
        <v>78</v>
      </c>
      <c r="D55" s="2" t="s">
        <v>132</v>
      </c>
      <c r="E55" s="2" t="s">
        <v>144</v>
      </c>
      <c r="F55" s="2" t="s">
        <v>26</v>
      </c>
      <c r="G55" s="2"/>
    </row>
    <row r="56" spans="1:7" hidden="1" x14ac:dyDescent="0.25">
      <c r="A56" s="2">
        <v>5</v>
      </c>
      <c r="B56" s="11" t="s">
        <v>51</v>
      </c>
      <c r="C56" s="2" t="s">
        <v>145</v>
      </c>
      <c r="D56" s="2" t="s">
        <v>52</v>
      </c>
      <c r="E56" s="2" t="s">
        <v>32</v>
      </c>
      <c r="F56" s="2" t="s">
        <v>26</v>
      </c>
      <c r="G56" s="2"/>
    </row>
    <row r="57" spans="1:7" hidden="1" x14ac:dyDescent="0.25">
      <c r="A57" s="2">
        <v>6</v>
      </c>
      <c r="B57" s="12" t="s">
        <v>33</v>
      </c>
      <c r="C57" s="2" t="s">
        <v>145</v>
      </c>
      <c r="D57" s="2" t="s">
        <v>134</v>
      </c>
      <c r="E57" s="2" t="s">
        <v>25</v>
      </c>
      <c r="F57" s="2" t="s">
        <v>26</v>
      </c>
      <c r="G57" s="2"/>
    </row>
    <row r="58" spans="1:7" hidden="1" x14ac:dyDescent="0.25">
      <c r="A58" s="2">
        <v>6</v>
      </c>
      <c r="B58" s="12" t="s">
        <v>35</v>
      </c>
      <c r="C58" s="2" t="s">
        <v>50</v>
      </c>
      <c r="D58" s="2" t="s">
        <v>52</v>
      </c>
      <c r="E58" s="2" t="s">
        <v>25</v>
      </c>
      <c r="F58" s="2" t="s">
        <v>26</v>
      </c>
      <c r="G58" s="2"/>
    </row>
    <row r="59" spans="1:7" hidden="1" x14ac:dyDescent="0.25">
      <c r="A59" s="2">
        <v>5</v>
      </c>
      <c r="B59" s="11" t="s">
        <v>93</v>
      </c>
      <c r="C59" s="2" t="s">
        <v>50</v>
      </c>
      <c r="D59" s="2" t="s">
        <v>146</v>
      </c>
      <c r="E59" s="2" t="s">
        <v>32</v>
      </c>
      <c r="F59" s="2" t="s">
        <v>26</v>
      </c>
      <c r="G59" s="2"/>
    </row>
    <row r="60" spans="1:7" hidden="1" x14ac:dyDescent="0.25">
      <c r="A60" s="2">
        <v>5</v>
      </c>
      <c r="B60" s="11" t="s">
        <v>147</v>
      </c>
      <c r="C60" s="2" t="s">
        <v>148</v>
      </c>
      <c r="D60" s="2" t="s">
        <v>149</v>
      </c>
      <c r="E60" s="2" t="s">
        <v>45</v>
      </c>
      <c r="F60" s="2" t="s">
        <v>26</v>
      </c>
      <c r="G60" s="2"/>
    </row>
    <row r="61" spans="1:7" hidden="1" x14ac:dyDescent="0.25">
      <c r="A61" s="2">
        <v>5</v>
      </c>
      <c r="B61" s="11" t="s">
        <v>135</v>
      </c>
      <c r="C61" s="2" t="s">
        <v>150</v>
      </c>
      <c r="D61" s="2" t="s">
        <v>61</v>
      </c>
      <c r="E61" s="2" t="s">
        <v>38</v>
      </c>
      <c r="F61" s="2" t="s">
        <v>26</v>
      </c>
      <c r="G61" s="2"/>
    </row>
    <row r="62" spans="1:7" hidden="1" x14ac:dyDescent="0.25">
      <c r="A62" s="2">
        <v>4</v>
      </c>
      <c r="B62" s="10" t="s">
        <v>151</v>
      </c>
      <c r="C62" s="2" t="s">
        <v>15</v>
      </c>
      <c r="D62" s="2" t="s">
        <v>61</v>
      </c>
      <c r="E62" s="2" t="s">
        <v>62</v>
      </c>
      <c r="F62" s="2" t="s">
        <v>6</v>
      </c>
      <c r="G62" s="2"/>
    </row>
    <row r="63" spans="1:7" hidden="1" x14ac:dyDescent="0.25">
      <c r="A63" s="2">
        <v>5</v>
      </c>
      <c r="B63" s="11" t="s">
        <v>138</v>
      </c>
      <c r="C63" s="2" t="s">
        <v>15</v>
      </c>
      <c r="D63" s="2" t="s">
        <v>11</v>
      </c>
      <c r="E63" s="2" t="s">
        <v>32</v>
      </c>
      <c r="F63" s="2" t="s">
        <v>9</v>
      </c>
      <c r="G63" s="2"/>
    </row>
    <row r="64" spans="1:7" hidden="1" x14ac:dyDescent="0.25">
      <c r="A64" s="2">
        <v>5</v>
      </c>
      <c r="B64" s="11" t="s">
        <v>139</v>
      </c>
      <c r="C64" s="2" t="s">
        <v>118</v>
      </c>
      <c r="D64" s="2" t="s">
        <v>30</v>
      </c>
      <c r="E64" s="2" t="s">
        <v>23</v>
      </c>
      <c r="F64" s="2" t="s">
        <v>9</v>
      </c>
      <c r="G64" s="2"/>
    </row>
    <row r="65" spans="1:7" hidden="1" x14ac:dyDescent="0.25">
      <c r="A65" s="2">
        <v>5</v>
      </c>
      <c r="B65" s="11" t="s">
        <v>140</v>
      </c>
      <c r="C65" s="2" t="s">
        <v>31</v>
      </c>
      <c r="D65" s="2" t="s">
        <v>44</v>
      </c>
      <c r="E65" s="2" t="s">
        <v>141</v>
      </c>
      <c r="F65" s="2" t="s">
        <v>6</v>
      </c>
      <c r="G65" s="2"/>
    </row>
    <row r="66" spans="1:7" hidden="1" x14ac:dyDescent="0.25">
      <c r="A66" s="2">
        <v>5</v>
      </c>
      <c r="B66" s="11" t="s">
        <v>142</v>
      </c>
      <c r="C66" s="2" t="s">
        <v>24</v>
      </c>
      <c r="D66" s="2" t="s">
        <v>7</v>
      </c>
      <c r="E66" s="2" t="s">
        <v>25</v>
      </c>
      <c r="F66" s="2" t="s">
        <v>26</v>
      </c>
      <c r="G66" s="2"/>
    </row>
    <row r="67" spans="1:7" hidden="1" x14ac:dyDescent="0.25">
      <c r="A67" s="2">
        <v>5</v>
      </c>
      <c r="B67" s="11" t="s">
        <v>143</v>
      </c>
      <c r="C67" s="2" t="s">
        <v>78</v>
      </c>
      <c r="D67" s="2" t="s">
        <v>132</v>
      </c>
      <c r="E67" s="2" t="s">
        <v>144</v>
      </c>
      <c r="F67" s="2" t="s">
        <v>26</v>
      </c>
      <c r="G67" s="2"/>
    </row>
    <row r="68" spans="1:7" hidden="1" x14ac:dyDescent="0.25">
      <c r="A68" s="2">
        <v>5</v>
      </c>
      <c r="B68" s="11" t="s">
        <v>51</v>
      </c>
      <c r="C68" s="2" t="s">
        <v>145</v>
      </c>
      <c r="D68" s="2" t="s">
        <v>52</v>
      </c>
      <c r="E68" s="2" t="s">
        <v>32</v>
      </c>
      <c r="F68" s="2" t="s">
        <v>26</v>
      </c>
      <c r="G68" s="2"/>
    </row>
    <row r="69" spans="1:7" hidden="1" x14ac:dyDescent="0.25">
      <c r="A69" s="2">
        <v>6</v>
      </c>
      <c r="B69" s="12" t="s">
        <v>33</v>
      </c>
      <c r="C69" s="2" t="s">
        <v>145</v>
      </c>
      <c r="D69" s="2" t="s">
        <v>134</v>
      </c>
      <c r="E69" s="2" t="s">
        <v>25</v>
      </c>
      <c r="F69" s="2" t="s">
        <v>26</v>
      </c>
      <c r="G69" s="2"/>
    </row>
    <row r="70" spans="1:7" hidden="1" x14ac:dyDescent="0.25">
      <c r="A70" s="2">
        <v>6</v>
      </c>
      <c r="B70" s="12" t="s">
        <v>35</v>
      </c>
      <c r="C70" s="2" t="s">
        <v>50</v>
      </c>
      <c r="D70" s="2" t="s">
        <v>52</v>
      </c>
      <c r="E70" s="2" t="s">
        <v>25</v>
      </c>
      <c r="F70" s="2" t="s">
        <v>26</v>
      </c>
      <c r="G70" s="2"/>
    </row>
    <row r="71" spans="1:7" hidden="1" x14ac:dyDescent="0.25">
      <c r="A71" s="2">
        <v>5</v>
      </c>
      <c r="B71" s="11" t="s">
        <v>93</v>
      </c>
      <c r="C71" s="2" t="s">
        <v>50</v>
      </c>
      <c r="D71" s="2" t="s">
        <v>146</v>
      </c>
      <c r="E71" s="2" t="s">
        <v>32</v>
      </c>
      <c r="F71" s="2" t="s">
        <v>26</v>
      </c>
      <c r="G71" s="2"/>
    </row>
    <row r="72" spans="1:7" hidden="1" x14ac:dyDescent="0.25">
      <c r="A72" s="2">
        <v>5</v>
      </c>
      <c r="B72" s="11" t="s">
        <v>147</v>
      </c>
      <c r="C72" s="2" t="s">
        <v>148</v>
      </c>
      <c r="D72" s="2" t="s">
        <v>149</v>
      </c>
      <c r="E72" s="2" t="s">
        <v>45</v>
      </c>
      <c r="F72" s="2" t="s">
        <v>26</v>
      </c>
      <c r="G72" s="2"/>
    </row>
    <row r="73" spans="1:7" hidden="1" x14ac:dyDescent="0.25">
      <c r="A73" s="2">
        <v>5</v>
      </c>
      <c r="B73" s="11" t="s">
        <v>135</v>
      </c>
      <c r="C73" s="2" t="s">
        <v>150</v>
      </c>
      <c r="D73" s="2" t="s">
        <v>61</v>
      </c>
      <c r="E73" s="2" t="s">
        <v>38</v>
      </c>
      <c r="F73" s="2" t="s">
        <v>26</v>
      </c>
      <c r="G73" s="2"/>
    </row>
    <row r="74" spans="1:7" x14ac:dyDescent="0.25">
      <c r="A74" s="2">
        <v>3</v>
      </c>
      <c r="B74" s="5" t="s">
        <v>152</v>
      </c>
      <c r="C74" s="2" t="s">
        <v>15</v>
      </c>
      <c r="D74" s="2" t="s">
        <v>111</v>
      </c>
      <c r="E74" s="2" t="s">
        <v>153</v>
      </c>
      <c r="F74" s="2" t="s">
        <v>6</v>
      </c>
      <c r="G74" s="6">
        <v>15</v>
      </c>
    </row>
    <row r="75" spans="1:7" ht="30" hidden="1" x14ac:dyDescent="0.25">
      <c r="A75" s="2">
        <v>4</v>
      </c>
      <c r="B75" s="10" t="s">
        <v>154</v>
      </c>
      <c r="C75" s="2" t="s">
        <v>15</v>
      </c>
      <c r="D75" s="2" t="s">
        <v>71</v>
      </c>
      <c r="E75" s="2" t="s">
        <v>72</v>
      </c>
      <c r="F75" s="2" t="s">
        <v>9</v>
      </c>
      <c r="G75" s="2"/>
    </row>
    <row r="76" spans="1:7" hidden="1" x14ac:dyDescent="0.25">
      <c r="A76" s="2">
        <v>4</v>
      </c>
      <c r="B76" s="10" t="s">
        <v>155</v>
      </c>
      <c r="C76" s="2" t="s">
        <v>30</v>
      </c>
      <c r="D76" s="2" t="s">
        <v>18</v>
      </c>
      <c r="E76" s="2" t="s">
        <v>38</v>
      </c>
      <c r="F76" s="2" t="s">
        <v>6</v>
      </c>
      <c r="G76" s="2"/>
    </row>
    <row r="77" spans="1:7" hidden="1" x14ac:dyDescent="0.25">
      <c r="A77" s="2">
        <v>4</v>
      </c>
      <c r="B77" s="10" t="s">
        <v>156</v>
      </c>
      <c r="C77" s="2" t="s">
        <v>19</v>
      </c>
      <c r="D77" s="2" t="s">
        <v>24</v>
      </c>
      <c r="E77" s="2" t="s">
        <v>25</v>
      </c>
      <c r="F77" s="2" t="s">
        <v>26</v>
      </c>
      <c r="G77" s="2"/>
    </row>
    <row r="78" spans="1:7" hidden="1" x14ac:dyDescent="0.25">
      <c r="A78" s="2">
        <v>4</v>
      </c>
      <c r="B78" s="10" t="s">
        <v>157</v>
      </c>
      <c r="C78" s="2" t="s">
        <v>27</v>
      </c>
      <c r="D78" s="2" t="s">
        <v>78</v>
      </c>
      <c r="E78" s="2" t="s">
        <v>25</v>
      </c>
      <c r="F78" s="2" t="s">
        <v>26</v>
      </c>
      <c r="G78" s="2"/>
    </row>
    <row r="79" spans="1:7" hidden="1" x14ac:dyDescent="0.25">
      <c r="A79" s="2">
        <v>4</v>
      </c>
      <c r="B79" s="10" t="s">
        <v>53</v>
      </c>
      <c r="C79" s="2" t="s">
        <v>43</v>
      </c>
      <c r="D79" s="2" t="s">
        <v>54</v>
      </c>
      <c r="E79" s="2" t="s">
        <v>32</v>
      </c>
      <c r="F79" s="2" t="s">
        <v>26</v>
      </c>
      <c r="G79" s="2"/>
    </row>
    <row r="80" spans="1:7" hidden="1" x14ac:dyDescent="0.25">
      <c r="A80" s="2">
        <v>4</v>
      </c>
      <c r="B80" s="10" t="s">
        <v>158</v>
      </c>
      <c r="C80" s="2" t="s">
        <v>55</v>
      </c>
      <c r="D80" s="2" t="s">
        <v>159</v>
      </c>
      <c r="E80" s="2" t="s">
        <v>25</v>
      </c>
      <c r="F80" s="2" t="s">
        <v>26</v>
      </c>
      <c r="G80" s="2"/>
    </row>
    <row r="81" spans="1:7" hidden="1" x14ac:dyDescent="0.25">
      <c r="A81" s="2">
        <v>4</v>
      </c>
      <c r="B81" s="10" t="s">
        <v>160</v>
      </c>
      <c r="C81" s="2" t="s">
        <v>47</v>
      </c>
      <c r="D81" s="2" t="s">
        <v>47</v>
      </c>
      <c r="E81" s="2" t="s">
        <v>14</v>
      </c>
      <c r="F81" s="2" t="s">
        <v>26</v>
      </c>
      <c r="G81" s="2"/>
    </row>
    <row r="82" spans="1:7" hidden="1" x14ac:dyDescent="0.25">
      <c r="A82" s="2">
        <v>4</v>
      </c>
      <c r="B82" s="10" t="s">
        <v>93</v>
      </c>
      <c r="C82" s="2" t="s">
        <v>48</v>
      </c>
      <c r="D82" s="2" t="s">
        <v>36</v>
      </c>
      <c r="E82" s="2" t="s">
        <v>32</v>
      </c>
      <c r="F82" s="2" t="s">
        <v>26</v>
      </c>
      <c r="G82" s="2"/>
    </row>
    <row r="83" spans="1:7" hidden="1" x14ac:dyDescent="0.25">
      <c r="A83" s="2">
        <v>4</v>
      </c>
      <c r="B83" s="10" t="s">
        <v>161</v>
      </c>
      <c r="C83" s="2" t="s">
        <v>48</v>
      </c>
      <c r="D83" s="2" t="s">
        <v>162</v>
      </c>
      <c r="E83" s="2" t="s">
        <v>29</v>
      </c>
      <c r="F83" s="2" t="s">
        <v>26</v>
      </c>
      <c r="G83" s="2"/>
    </row>
    <row r="84" spans="1:7" hidden="1" x14ac:dyDescent="0.25">
      <c r="A84" s="2">
        <v>4</v>
      </c>
      <c r="B84" s="10" t="s">
        <v>135</v>
      </c>
      <c r="C84" s="2" t="s">
        <v>111</v>
      </c>
      <c r="D84" s="2" t="s">
        <v>111</v>
      </c>
      <c r="E84" s="2" t="s">
        <v>14</v>
      </c>
      <c r="F84" s="2" t="s">
        <v>26</v>
      </c>
      <c r="G84" s="2"/>
    </row>
    <row r="85" spans="1:7" x14ac:dyDescent="0.25">
      <c r="A85" s="2">
        <v>3</v>
      </c>
      <c r="B85" s="5" t="s">
        <v>163</v>
      </c>
      <c r="C85" s="2" t="s">
        <v>34</v>
      </c>
      <c r="D85" s="2" t="s">
        <v>7</v>
      </c>
      <c r="E85" s="2" t="s">
        <v>99</v>
      </c>
      <c r="F85" s="2" t="s">
        <v>6</v>
      </c>
      <c r="G85" s="6">
        <v>0</v>
      </c>
    </row>
    <row r="86" spans="1:7" hidden="1" x14ac:dyDescent="0.25">
      <c r="A86" s="2">
        <v>4</v>
      </c>
      <c r="B86" s="10" t="s">
        <v>164</v>
      </c>
      <c r="C86" s="2" t="s">
        <v>34</v>
      </c>
      <c r="D86" s="2" t="s">
        <v>165</v>
      </c>
      <c r="E86" s="2" t="s">
        <v>21</v>
      </c>
      <c r="F86" s="2" t="s">
        <v>6</v>
      </c>
      <c r="G86" s="2"/>
    </row>
    <row r="87" spans="1:7" hidden="1" x14ac:dyDescent="0.25">
      <c r="A87" s="2">
        <v>4</v>
      </c>
      <c r="B87" s="10" t="s">
        <v>93</v>
      </c>
      <c r="C87" s="2" t="s">
        <v>40</v>
      </c>
      <c r="D87" s="2" t="s">
        <v>20</v>
      </c>
      <c r="E87" s="2" t="s">
        <v>32</v>
      </c>
      <c r="F87" s="2" t="s">
        <v>26</v>
      </c>
      <c r="G87" s="2"/>
    </row>
    <row r="88" spans="1:7" hidden="1" x14ac:dyDescent="0.25">
      <c r="A88" s="2">
        <v>4</v>
      </c>
      <c r="B88" s="10" t="s">
        <v>166</v>
      </c>
      <c r="C88" s="2" t="s">
        <v>40</v>
      </c>
      <c r="D88" s="2" t="s">
        <v>20</v>
      </c>
      <c r="E88" s="2" t="s">
        <v>32</v>
      </c>
      <c r="F88" s="2" t="s">
        <v>26</v>
      </c>
      <c r="G88" s="2"/>
    </row>
    <row r="89" spans="1:7" hidden="1" x14ac:dyDescent="0.25">
      <c r="A89" s="2">
        <v>4</v>
      </c>
      <c r="B89" s="10" t="s">
        <v>81</v>
      </c>
      <c r="C89" s="2" t="s">
        <v>7</v>
      </c>
      <c r="D89" s="2" t="s">
        <v>7</v>
      </c>
      <c r="E89" s="2" t="s">
        <v>14</v>
      </c>
      <c r="F89" s="2" t="s">
        <v>26</v>
      </c>
      <c r="G89" s="2"/>
    </row>
    <row r="90" spans="1:7" x14ac:dyDescent="0.25">
      <c r="A90" s="2">
        <v>3</v>
      </c>
      <c r="B90" s="5" t="s">
        <v>167</v>
      </c>
      <c r="C90" s="2" t="s">
        <v>15</v>
      </c>
      <c r="D90" s="2" t="s">
        <v>113</v>
      </c>
      <c r="E90" s="2" t="s">
        <v>8</v>
      </c>
      <c r="F90" s="2" t="s">
        <v>6</v>
      </c>
      <c r="G90" s="6">
        <v>20</v>
      </c>
    </row>
    <row r="91" spans="1:7" hidden="1" x14ac:dyDescent="0.25">
      <c r="A91" s="2">
        <v>4</v>
      </c>
      <c r="B91" s="10" t="s">
        <v>168</v>
      </c>
      <c r="C91" s="2" t="s">
        <v>15</v>
      </c>
      <c r="D91" s="2" t="s">
        <v>63</v>
      </c>
      <c r="E91" s="2" t="s">
        <v>16</v>
      </c>
      <c r="F91" s="2" t="s">
        <v>9</v>
      </c>
      <c r="G91" s="2"/>
    </row>
    <row r="92" spans="1:7" hidden="1" x14ac:dyDescent="0.25">
      <c r="A92" s="2">
        <v>4</v>
      </c>
      <c r="B92" s="10" t="s">
        <v>156</v>
      </c>
      <c r="C92" s="2" t="s">
        <v>169</v>
      </c>
      <c r="D92" s="2" t="s">
        <v>41</v>
      </c>
      <c r="E92" s="2" t="s">
        <v>99</v>
      </c>
      <c r="F92" s="2" t="s">
        <v>6</v>
      </c>
      <c r="G92" s="2"/>
    </row>
    <row r="93" spans="1:7" hidden="1" x14ac:dyDescent="0.25">
      <c r="A93" s="2">
        <v>4</v>
      </c>
      <c r="B93" s="10" t="s">
        <v>170</v>
      </c>
      <c r="C93" s="2" t="s">
        <v>22</v>
      </c>
      <c r="D93" s="2" t="s">
        <v>22</v>
      </c>
      <c r="E93" s="2" t="s">
        <v>14</v>
      </c>
      <c r="F93" s="2" t="s">
        <v>26</v>
      </c>
      <c r="G93" s="2"/>
    </row>
    <row r="94" spans="1:7" hidden="1" x14ac:dyDescent="0.25">
      <c r="A94" s="2">
        <v>4</v>
      </c>
      <c r="B94" s="10" t="s">
        <v>53</v>
      </c>
      <c r="C94" s="2" t="s">
        <v>44</v>
      </c>
      <c r="D94" s="2" t="s">
        <v>107</v>
      </c>
      <c r="E94" s="2" t="s">
        <v>12</v>
      </c>
      <c r="F94" s="2" t="s">
        <v>26</v>
      </c>
      <c r="G94" s="2"/>
    </row>
    <row r="95" spans="1:7" hidden="1" x14ac:dyDescent="0.25">
      <c r="A95" s="2">
        <v>4</v>
      </c>
      <c r="B95" s="10" t="s">
        <v>171</v>
      </c>
      <c r="C95" s="2" t="s">
        <v>83</v>
      </c>
      <c r="D95" s="2" t="s">
        <v>109</v>
      </c>
      <c r="E95" s="2" t="s">
        <v>25</v>
      </c>
      <c r="F95" s="2" t="s">
        <v>26</v>
      </c>
      <c r="G95" s="2"/>
    </row>
    <row r="96" spans="1:7" hidden="1" x14ac:dyDescent="0.25">
      <c r="A96" s="2">
        <v>4</v>
      </c>
      <c r="B96" s="10" t="s">
        <v>172</v>
      </c>
      <c r="C96" s="2" t="s">
        <v>57</v>
      </c>
      <c r="D96" s="2" t="s">
        <v>173</v>
      </c>
      <c r="E96" s="2" t="s">
        <v>32</v>
      </c>
      <c r="F96" s="2" t="s">
        <v>26</v>
      </c>
      <c r="G96" s="2"/>
    </row>
    <row r="97" spans="1:7" hidden="1" x14ac:dyDescent="0.25">
      <c r="A97" s="2">
        <v>4</v>
      </c>
      <c r="B97" s="10" t="s">
        <v>135</v>
      </c>
      <c r="C97" s="2" t="s">
        <v>174</v>
      </c>
      <c r="D97" s="2" t="s">
        <v>113</v>
      </c>
      <c r="E97" s="2" t="s">
        <v>25</v>
      </c>
      <c r="F97" s="2" t="s">
        <v>26</v>
      </c>
      <c r="G97" s="2"/>
    </row>
    <row r="98" spans="1:7" x14ac:dyDescent="0.25">
      <c r="A98" s="2">
        <v>2</v>
      </c>
      <c r="B98" s="3" t="s">
        <v>175</v>
      </c>
      <c r="C98" s="2" t="s">
        <v>63</v>
      </c>
      <c r="D98" s="2" t="s">
        <v>60</v>
      </c>
      <c r="E98" s="2" t="s">
        <v>176</v>
      </c>
      <c r="F98" s="2" t="s">
        <v>6</v>
      </c>
      <c r="G98" s="4">
        <f>SUM(G99:G120)</f>
        <v>78.290000000000006</v>
      </c>
    </row>
    <row r="99" spans="1:7" x14ac:dyDescent="0.25">
      <c r="A99" s="2">
        <v>3</v>
      </c>
      <c r="B99" s="5" t="s">
        <v>177</v>
      </c>
      <c r="C99" s="2" t="s">
        <v>63</v>
      </c>
      <c r="D99" s="2" t="s">
        <v>60</v>
      </c>
      <c r="E99" s="2" t="s">
        <v>176</v>
      </c>
      <c r="F99" s="2" t="s">
        <v>6</v>
      </c>
      <c r="G99" s="6">
        <v>26.65</v>
      </c>
    </row>
    <row r="100" spans="1:7" hidden="1" x14ac:dyDescent="0.25">
      <c r="A100" s="2">
        <v>4</v>
      </c>
      <c r="B100" s="10" t="s">
        <v>178</v>
      </c>
      <c r="C100" s="2" t="s">
        <v>63</v>
      </c>
      <c r="D100" s="2" t="s">
        <v>39</v>
      </c>
      <c r="E100" s="2" t="s">
        <v>88</v>
      </c>
      <c r="F100" s="2" t="s">
        <v>6</v>
      </c>
      <c r="G100" s="2"/>
    </row>
    <row r="101" spans="1:7" hidden="1" x14ac:dyDescent="0.25">
      <c r="A101" s="2">
        <v>4</v>
      </c>
      <c r="B101" s="10" t="s">
        <v>179</v>
      </c>
      <c r="C101" s="2" t="s">
        <v>180</v>
      </c>
      <c r="D101" s="2" t="s">
        <v>106</v>
      </c>
      <c r="E101" s="2" t="s">
        <v>32</v>
      </c>
      <c r="F101" s="2" t="s">
        <v>26</v>
      </c>
      <c r="G101" s="2"/>
    </row>
    <row r="102" spans="1:7" hidden="1" x14ac:dyDescent="0.25">
      <c r="A102" s="2">
        <v>4</v>
      </c>
      <c r="B102" s="10" t="s">
        <v>181</v>
      </c>
      <c r="C102" s="2" t="s">
        <v>159</v>
      </c>
      <c r="D102" s="2" t="s">
        <v>83</v>
      </c>
      <c r="E102" s="2" t="s">
        <v>25</v>
      </c>
      <c r="F102" s="2" t="s">
        <v>26</v>
      </c>
      <c r="G102" s="2"/>
    </row>
    <row r="103" spans="1:7" hidden="1" x14ac:dyDescent="0.25">
      <c r="A103" s="2">
        <v>4</v>
      </c>
      <c r="B103" s="10" t="s">
        <v>182</v>
      </c>
      <c r="C103" s="2" t="s">
        <v>183</v>
      </c>
      <c r="D103" s="2" t="s">
        <v>174</v>
      </c>
      <c r="E103" s="2" t="s">
        <v>38</v>
      </c>
      <c r="F103" s="2" t="s">
        <v>26</v>
      </c>
      <c r="G103" s="2"/>
    </row>
    <row r="104" spans="1:7" hidden="1" x14ac:dyDescent="0.25">
      <c r="A104" s="2">
        <v>4</v>
      </c>
      <c r="B104" s="10" t="s">
        <v>135</v>
      </c>
      <c r="C104" s="2" t="s">
        <v>184</v>
      </c>
      <c r="D104" s="2" t="s">
        <v>60</v>
      </c>
      <c r="E104" s="2" t="s">
        <v>25</v>
      </c>
      <c r="F104" s="2" t="s">
        <v>26</v>
      </c>
      <c r="G104" s="2"/>
    </row>
    <row r="105" spans="1:7" x14ac:dyDescent="0.25">
      <c r="A105" s="2">
        <v>3</v>
      </c>
      <c r="B105" s="5" t="s">
        <v>185</v>
      </c>
      <c r="C105" s="2" t="s">
        <v>63</v>
      </c>
      <c r="D105" s="2" t="s">
        <v>79</v>
      </c>
      <c r="E105" s="2" t="s">
        <v>69</v>
      </c>
      <c r="F105" s="2" t="s">
        <v>6</v>
      </c>
      <c r="G105" s="6">
        <v>3.07</v>
      </c>
    </row>
    <row r="106" spans="1:7" hidden="1" x14ac:dyDescent="0.25">
      <c r="A106" s="2">
        <v>4</v>
      </c>
      <c r="B106" s="10" t="s">
        <v>186</v>
      </c>
      <c r="C106" s="2" t="s">
        <v>63</v>
      </c>
      <c r="D106" s="2" t="s">
        <v>40</v>
      </c>
      <c r="E106" s="2" t="s">
        <v>94</v>
      </c>
      <c r="F106" s="2" t="s">
        <v>6</v>
      </c>
      <c r="G106" s="2"/>
    </row>
    <row r="107" spans="1:7" hidden="1" x14ac:dyDescent="0.25">
      <c r="A107" s="2">
        <v>4</v>
      </c>
      <c r="B107" s="10" t="s">
        <v>187</v>
      </c>
      <c r="C107" s="2" t="s">
        <v>18</v>
      </c>
      <c r="D107" s="2" t="s">
        <v>79</v>
      </c>
      <c r="E107" s="2" t="s">
        <v>29</v>
      </c>
      <c r="F107" s="2" t="s">
        <v>26</v>
      </c>
      <c r="G107" s="2"/>
    </row>
    <row r="108" spans="1:7" x14ac:dyDescent="0.25">
      <c r="A108" s="2">
        <v>3</v>
      </c>
      <c r="B108" s="5" t="s">
        <v>188</v>
      </c>
      <c r="C108" s="2" t="s">
        <v>63</v>
      </c>
      <c r="D108" s="2" t="s">
        <v>36</v>
      </c>
      <c r="E108" s="2" t="s">
        <v>28</v>
      </c>
      <c r="F108" s="2" t="s">
        <v>6</v>
      </c>
      <c r="G108" s="6">
        <v>5.49</v>
      </c>
    </row>
    <row r="109" spans="1:7" hidden="1" x14ac:dyDescent="0.25">
      <c r="A109" s="2">
        <v>4</v>
      </c>
      <c r="B109" s="10" t="s">
        <v>186</v>
      </c>
      <c r="C109" s="2" t="s">
        <v>63</v>
      </c>
      <c r="D109" s="2" t="s">
        <v>19</v>
      </c>
      <c r="E109" s="2" t="s">
        <v>99</v>
      </c>
      <c r="F109" s="2" t="s">
        <v>6</v>
      </c>
      <c r="G109" s="2"/>
    </row>
    <row r="110" spans="1:7" hidden="1" x14ac:dyDescent="0.25">
      <c r="A110" s="2">
        <v>4</v>
      </c>
      <c r="B110" s="10" t="s">
        <v>189</v>
      </c>
      <c r="C110" s="2" t="s">
        <v>41</v>
      </c>
      <c r="D110" s="2" t="s">
        <v>36</v>
      </c>
      <c r="E110" s="2" t="s">
        <v>10</v>
      </c>
      <c r="F110" s="2" t="s">
        <v>26</v>
      </c>
      <c r="G110" s="2"/>
    </row>
    <row r="111" spans="1:7" x14ac:dyDescent="0.25">
      <c r="A111" s="2">
        <v>3</v>
      </c>
      <c r="B111" s="5" t="s">
        <v>190</v>
      </c>
      <c r="C111" s="2" t="s">
        <v>63</v>
      </c>
      <c r="D111" s="2" t="s">
        <v>55</v>
      </c>
      <c r="E111" s="2" t="s">
        <v>191</v>
      </c>
      <c r="F111" s="2" t="s">
        <v>6</v>
      </c>
      <c r="G111" s="6">
        <v>32.56</v>
      </c>
    </row>
    <row r="112" spans="1:7" hidden="1" x14ac:dyDescent="0.25">
      <c r="A112" s="2">
        <v>4</v>
      </c>
      <c r="B112" s="10" t="s">
        <v>186</v>
      </c>
      <c r="C112" s="2" t="s">
        <v>63</v>
      </c>
      <c r="D112" s="2" t="s">
        <v>19</v>
      </c>
      <c r="E112" s="2" t="s">
        <v>99</v>
      </c>
      <c r="F112" s="2" t="s">
        <v>6</v>
      </c>
      <c r="G112" s="2"/>
    </row>
    <row r="113" spans="1:7" hidden="1" x14ac:dyDescent="0.25">
      <c r="A113" s="2">
        <v>4</v>
      </c>
      <c r="B113" s="10" t="s">
        <v>187</v>
      </c>
      <c r="C113" s="2" t="s">
        <v>41</v>
      </c>
      <c r="D113" s="2" t="s">
        <v>55</v>
      </c>
      <c r="E113" s="2" t="s">
        <v>29</v>
      </c>
      <c r="F113" s="2" t="s">
        <v>26</v>
      </c>
      <c r="G113" s="2"/>
    </row>
    <row r="114" spans="1:7" x14ac:dyDescent="0.25">
      <c r="A114" s="2">
        <v>3</v>
      </c>
      <c r="B114" s="5" t="s">
        <v>192</v>
      </c>
      <c r="C114" s="2" t="s">
        <v>63</v>
      </c>
      <c r="D114" s="2" t="s">
        <v>79</v>
      </c>
      <c r="E114" s="2" t="s">
        <v>69</v>
      </c>
      <c r="F114" s="2" t="s">
        <v>6</v>
      </c>
      <c r="G114" s="6">
        <v>1.48</v>
      </c>
    </row>
    <row r="115" spans="1:7" hidden="1" x14ac:dyDescent="0.25">
      <c r="A115" s="2">
        <v>4</v>
      </c>
      <c r="B115" s="10" t="s">
        <v>186</v>
      </c>
      <c r="C115" s="2" t="s">
        <v>63</v>
      </c>
      <c r="D115" s="2" t="s">
        <v>40</v>
      </c>
      <c r="E115" s="2" t="s">
        <v>94</v>
      </c>
      <c r="F115" s="2" t="s">
        <v>6</v>
      </c>
      <c r="G115" s="2"/>
    </row>
    <row r="116" spans="1:7" hidden="1" x14ac:dyDescent="0.25">
      <c r="A116" s="2">
        <v>4</v>
      </c>
      <c r="B116" s="10" t="s">
        <v>187</v>
      </c>
      <c r="C116" s="2" t="s">
        <v>18</v>
      </c>
      <c r="D116" s="2" t="s">
        <v>79</v>
      </c>
      <c r="E116" s="2" t="s">
        <v>29</v>
      </c>
      <c r="F116" s="2" t="s">
        <v>26</v>
      </c>
      <c r="G116" s="2"/>
    </row>
    <row r="117" spans="1:7" x14ac:dyDescent="0.25">
      <c r="A117" s="2">
        <v>3</v>
      </c>
      <c r="B117" s="5" t="s">
        <v>193</v>
      </c>
      <c r="C117" s="2" t="s">
        <v>63</v>
      </c>
      <c r="D117" s="2" t="s">
        <v>79</v>
      </c>
      <c r="E117" s="2" t="s">
        <v>69</v>
      </c>
      <c r="F117" s="2" t="s">
        <v>6</v>
      </c>
      <c r="G117" s="6">
        <v>5.27</v>
      </c>
    </row>
    <row r="118" spans="1:7" hidden="1" x14ac:dyDescent="0.25">
      <c r="A118" s="2">
        <v>4</v>
      </c>
      <c r="B118" s="10" t="s">
        <v>186</v>
      </c>
      <c r="C118" s="2" t="s">
        <v>63</v>
      </c>
      <c r="D118" s="2" t="s">
        <v>40</v>
      </c>
      <c r="E118" s="2" t="s">
        <v>94</v>
      </c>
      <c r="F118" s="2" t="s">
        <v>6</v>
      </c>
      <c r="G118" s="2"/>
    </row>
    <row r="119" spans="1:7" hidden="1" x14ac:dyDescent="0.25">
      <c r="A119" s="2">
        <v>4</v>
      </c>
      <c r="B119" s="10" t="s">
        <v>187</v>
      </c>
      <c r="C119" s="2" t="s">
        <v>18</v>
      </c>
      <c r="D119" s="2" t="s">
        <v>79</v>
      </c>
      <c r="E119" s="2" t="s">
        <v>29</v>
      </c>
      <c r="F119" s="2" t="s">
        <v>26</v>
      </c>
      <c r="G119" s="2"/>
    </row>
    <row r="120" spans="1:7" x14ac:dyDescent="0.25">
      <c r="A120" s="2">
        <v>3</v>
      </c>
      <c r="B120" s="5" t="s">
        <v>194</v>
      </c>
      <c r="C120" s="2" t="s">
        <v>63</v>
      </c>
      <c r="D120" s="2" t="s">
        <v>195</v>
      </c>
      <c r="E120" s="2" t="s">
        <v>196</v>
      </c>
      <c r="F120" s="2" t="s">
        <v>6</v>
      </c>
      <c r="G120" s="6">
        <v>3.77</v>
      </c>
    </row>
    <row r="121" spans="1:7" hidden="1" x14ac:dyDescent="0.25">
      <c r="A121" s="2">
        <v>4</v>
      </c>
      <c r="B121" s="10" t="s">
        <v>186</v>
      </c>
      <c r="C121" s="2" t="s">
        <v>63</v>
      </c>
      <c r="D121" s="2" t="s">
        <v>41</v>
      </c>
      <c r="E121" s="2" t="s">
        <v>58</v>
      </c>
      <c r="F121" s="2" t="s">
        <v>6</v>
      </c>
      <c r="G121" s="2"/>
    </row>
    <row r="122" spans="1:7" hidden="1" x14ac:dyDescent="0.25">
      <c r="A122" s="2">
        <v>4</v>
      </c>
      <c r="B122" s="10" t="s">
        <v>187</v>
      </c>
      <c r="C122" s="2" t="s">
        <v>22</v>
      </c>
      <c r="D122" s="2" t="s">
        <v>195</v>
      </c>
      <c r="E122" s="2" t="s">
        <v>29</v>
      </c>
      <c r="F122" s="2" t="s">
        <v>26</v>
      </c>
      <c r="G122" s="2"/>
    </row>
    <row r="123" spans="1:7" x14ac:dyDescent="0.25">
      <c r="A123" s="2">
        <v>3</v>
      </c>
      <c r="B123" s="5" t="s">
        <v>198</v>
      </c>
      <c r="C123" s="2" t="s">
        <v>63</v>
      </c>
      <c r="D123" s="2" t="s">
        <v>9</v>
      </c>
      <c r="E123" s="2"/>
      <c r="F123" s="2"/>
      <c r="G123" s="7">
        <v>43.26</v>
      </c>
    </row>
  </sheetData>
  <autoFilter ref="A1:G123" xr:uid="{00000000-0001-0000-0200-000000000000}">
    <filterColumn colId="0">
      <filters>
        <filter val="2"/>
        <filter val="3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95B6-E311-4CB1-8B83-4568E7DAB056}">
  <dimension ref="A1:I9"/>
  <sheetViews>
    <sheetView workbookViewId="0">
      <selection activeCell="C14" sqref="C14"/>
    </sheetView>
  </sheetViews>
  <sheetFormatPr defaultRowHeight="15" x14ac:dyDescent="0.25"/>
  <cols>
    <col min="1" max="1" width="24.7109375" bestFit="1" customWidth="1"/>
    <col min="2" max="5" width="9.5703125" bestFit="1" customWidth="1"/>
    <col min="6" max="9" width="9" bestFit="1" customWidth="1"/>
  </cols>
  <sheetData>
    <row r="1" spans="1:9" x14ac:dyDescent="0.25">
      <c r="A1" s="2"/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3" t="s">
        <v>205</v>
      </c>
      <c r="I1" s="13" t="s">
        <v>206</v>
      </c>
    </row>
    <row r="2" spans="1:9" x14ac:dyDescent="0.25">
      <c r="A2" s="14" t="s">
        <v>207</v>
      </c>
      <c r="B2" s="15">
        <v>2</v>
      </c>
      <c r="C2" s="15">
        <v>2</v>
      </c>
      <c r="D2" s="15">
        <v>2</v>
      </c>
      <c r="E2" s="15">
        <v>1</v>
      </c>
      <c r="F2" s="15">
        <v>3</v>
      </c>
      <c r="G2" s="15">
        <v>2</v>
      </c>
      <c r="H2" s="15">
        <v>2</v>
      </c>
      <c r="I2" s="15">
        <v>1</v>
      </c>
    </row>
    <row r="3" spans="1:9" x14ac:dyDescent="0.25">
      <c r="A3" s="14" t="s">
        <v>208</v>
      </c>
      <c r="B3" s="16">
        <v>410.82</v>
      </c>
      <c r="C3" s="16">
        <v>410.82</v>
      </c>
      <c r="D3" s="16">
        <v>410.82</v>
      </c>
      <c r="E3" s="16">
        <v>205.41</v>
      </c>
      <c r="F3" s="16">
        <v>631.23</v>
      </c>
      <c r="G3" s="16">
        <v>420.82</v>
      </c>
      <c r="H3" s="16">
        <v>420.82</v>
      </c>
      <c r="I3" s="16">
        <v>210.41</v>
      </c>
    </row>
    <row r="4" spans="1:9" x14ac:dyDescent="0.25">
      <c r="A4" s="14" t="s">
        <v>209</v>
      </c>
      <c r="B4" s="17">
        <v>81.982745518163028</v>
      </c>
      <c r="C4" s="17">
        <v>78.586833683825347</v>
      </c>
      <c r="D4" s="17">
        <v>75.190921849487665</v>
      </c>
      <c r="E4" s="17">
        <v>64.768343348483313</v>
      </c>
      <c r="F4" s="17">
        <v>81.982745518163028</v>
      </c>
      <c r="G4" s="17">
        <v>78.586833683825347</v>
      </c>
      <c r="H4" s="17">
        <v>75.190921849487665</v>
      </c>
      <c r="I4" s="17">
        <v>64.768343348483313</v>
      </c>
    </row>
    <row r="5" spans="1:9" x14ac:dyDescent="0.25">
      <c r="A5" s="18" t="s">
        <v>210</v>
      </c>
      <c r="B5" s="19">
        <v>492.80274551816302</v>
      </c>
      <c r="C5" s="19">
        <v>489.40683368382531</v>
      </c>
      <c r="D5" s="19">
        <v>486.01092184948766</v>
      </c>
      <c r="E5" s="19">
        <v>270.17834334848328</v>
      </c>
      <c r="F5" s="19">
        <v>713.21274551816305</v>
      </c>
      <c r="G5" s="19">
        <v>499.40683368382531</v>
      </c>
      <c r="H5" s="19">
        <v>496.01092184948766</v>
      </c>
      <c r="I5" s="19">
        <v>275.17834334848328</v>
      </c>
    </row>
    <row r="7" spans="1:9" x14ac:dyDescent="0.25">
      <c r="A7" s="20" t="s">
        <v>212</v>
      </c>
      <c r="B7" s="16">
        <f>'VAVE-MB 2.0 Tasks'!$G$123*B2</f>
        <v>86.52</v>
      </c>
      <c r="C7" s="16">
        <f>'VAVE-MB 2.0 Tasks'!$G$123*C2</f>
        <v>86.52</v>
      </c>
      <c r="D7" s="16">
        <f>'VAVE-MB 2.0 Tasks'!$G$123*D2</f>
        <v>86.52</v>
      </c>
      <c r="E7" s="16">
        <f>'VAVE-MB 2.0 Tasks'!$G$123*E2</f>
        <v>43.26</v>
      </c>
      <c r="F7" s="16">
        <f>'VAVE-MB 2.0 Tasks'!$G$123*F2</f>
        <v>129.78</v>
      </c>
      <c r="G7" s="16">
        <f>'VAVE-MB 2.0 Tasks'!$G$123*G2</f>
        <v>86.52</v>
      </c>
      <c r="H7" s="16">
        <f>'VAVE-MB 2.0 Tasks'!$G$123*H2</f>
        <v>86.52</v>
      </c>
      <c r="I7" s="16">
        <f>'VAVE-MB 2.0 Tasks'!$G$123*I2</f>
        <v>43.26</v>
      </c>
    </row>
    <row r="8" spans="1:9" x14ac:dyDescent="0.25">
      <c r="A8" s="20" t="s">
        <v>213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</row>
    <row r="9" spans="1:9" x14ac:dyDescent="0.25">
      <c r="A9" s="21" t="s">
        <v>211</v>
      </c>
      <c r="B9" s="22">
        <f>B7+B8</f>
        <v>86.52</v>
      </c>
      <c r="C9" s="22">
        <f t="shared" ref="C9:I9" si="0">C7+C8</f>
        <v>86.52</v>
      </c>
      <c r="D9" s="22">
        <f t="shared" si="0"/>
        <v>86.52</v>
      </c>
      <c r="E9" s="22">
        <f t="shared" si="0"/>
        <v>43.26</v>
      </c>
      <c r="F9" s="22">
        <f t="shared" si="0"/>
        <v>129.78</v>
      </c>
      <c r="G9" s="22">
        <f t="shared" si="0"/>
        <v>86.52</v>
      </c>
      <c r="H9" s="22">
        <f t="shared" si="0"/>
        <v>86.52</v>
      </c>
      <c r="I9" s="22">
        <f t="shared" si="0"/>
        <v>43.26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VAVE-MB 2.0 Tasks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Vennu, Sunil</cp:lastModifiedBy>
  <dcterms:created xsi:type="dcterms:W3CDTF">2026-07-09T16:19:16Z</dcterms:created>
  <dcterms:modified xsi:type="dcterms:W3CDTF">2026-07-10T03:41:42Z</dcterms:modified>
</cp:coreProperties>
</file>