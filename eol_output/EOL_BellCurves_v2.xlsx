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 activeTab="4"/>
  </bookViews>
  <sheets>
    <sheet name="RawData" sheetId="1" r:id="rId1"/>
    <sheet name="Stats" sheetId="2" r:id="rId2"/>
    <sheet name="LT_BellCurves" sheetId="3" r:id="rId3"/>
    <sheet name="MT_BellCurves" sheetId="4" r:id="rId4"/>
    <sheet name="Tolerance_Bands" sheetId="5" r:id="rId5"/>
    <sheet name="Outliers" sheetId="6" r:id="rId6"/>
  </sheets>
  <definedNames>
    <definedName name="_xlnm._FilterDatabase" localSheetId="5" hidden="1">Outliers!$A$1:$I$297</definedName>
    <definedName name="_xlnm._FilterDatabase" localSheetId="0" hidden="1">RawData!$A$1:$AD$941</definedName>
    <definedName name="_xlnm._FilterDatabase" localSheetId="4" hidden="1">Tolerance_Bands!$A$1:$O$25</definedName>
  </definedNames>
  <calcPr calcId="144525"/>
</workbook>
</file>

<file path=xl/calcChain.xml><?xml version="1.0" encoding="utf-8"?>
<calcChain xmlns="http://schemas.openxmlformats.org/spreadsheetml/2006/main">
  <c r="AD941" i="1" l="1"/>
  <c r="AC941" i="1"/>
  <c r="AB941" i="1"/>
  <c r="AA941" i="1"/>
  <c r="Z941" i="1"/>
  <c r="Y941" i="1"/>
  <c r="X941" i="1"/>
  <c r="W941" i="1"/>
  <c r="V941" i="1"/>
  <c r="U941" i="1"/>
  <c r="T941" i="1"/>
  <c r="S941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AD99" i="1"/>
  <c r="AC99" i="1"/>
  <c r="AB99" i="1"/>
  <c r="AA99" i="1"/>
  <c r="Z99" i="1"/>
  <c r="Y99" i="1"/>
  <c r="X99" i="1"/>
  <c r="W99" i="1"/>
  <c r="V99" i="1"/>
  <c r="U99" i="1"/>
  <c r="T99" i="1"/>
  <c r="S99" i="1"/>
  <c r="AD98" i="1"/>
  <c r="AC98" i="1"/>
  <c r="AB98" i="1"/>
  <c r="AA98" i="1"/>
  <c r="Z98" i="1"/>
  <c r="Y98" i="1"/>
  <c r="X98" i="1"/>
  <c r="W98" i="1"/>
  <c r="V98" i="1"/>
  <c r="U98" i="1"/>
  <c r="T98" i="1"/>
  <c r="S98" i="1"/>
  <c r="AD97" i="1"/>
  <c r="AC97" i="1"/>
  <c r="AB97" i="1"/>
  <c r="AA97" i="1"/>
  <c r="Z97" i="1"/>
  <c r="Y97" i="1"/>
  <c r="X97" i="1"/>
  <c r="W97" i="1"/>
  <c r="V97" i="1"/>
  <c r="U97" i="1"/>
  <c r="T97" i="1"/>
  <c r="S97" i="1"/>
  <c r="AD96" i="1"/>
  <c r="AC96" i="1"/>
  <c r="AB96" i="1"/>
  <c r="AA96" i="1"/>
  <c r="Z96" i="1"/>
  <c r="Y96" i="1"/>
  <c r="X96" i="1"/>
  <c r="W96" i="1"/>
  <c r="V96" i="1"/>
  <c r="U96" i="1"/>
  <c r="T96" i="1"/>
  <c r="S96" i="1"/>
  <c r="AD95" i="1"/>
  <c r="AC95" i="1"/>
  <c r="AB95" i="1"/>
  <c r="AA95" i="1"/>
  <c r="Z95" i="1"/>
  <c r="Y95" i="1"/>
  <c r="X95" i="1"/>
  <c r="W95" i="1"/>
  <c r="V95" i="1"/>
  <c r="U95" i="1"/>
  <c r="T95" i="1"/>
  <c r="S95" i="1"/>
  <c r="AD94" i="1"/>
  <c r="AC94" i="1"/>
  <c r="AB94" i="1"/>
  <c r="AA94" i="1"/>
  <c r="Z94" i="1"/>
  <c r="Y94" i="1"/>
  <c r="X94" i="1"/>
  <c r="W94" i="1"/>
  <c r="V94" i="1"/>
  <c r="U94" i="1"/>
  <c r="T94" i="1"/>
  <c r="S94" i="1"/>
  <c r="AD93" i="1"/>
  <c r="AC93" i="1"/>
  <c r="AB93" i="1"/>
  <c r="AA93" i="1"/>
  <c r="Z93" i="1"/>
  <c r="Y93" i="1"/>
  <c r="X93" i="1"/>
  <c r="W93" i="1"/>
  <c r="V93" i="1"/>
  <c r="U93" i="1"/>
  <c r="T93" i="1"/>
  <c r="S93" i="1"/>
  <c r="AD92" i="1"/>
  <c r="AC92" i="1"/>
  <c r="AB92" i="1"/>
  <c r="AA92" i="1"/>
  <c r="Z92" i="1"/>
  <c r="Y92" i="1"/>
  <c r="X92" i="1"/>
  <c r="W92" i="1"/>
  <c r="V92" i="1"/>
  <c r="U92" i="1"/>
  <c r="T92" i="1"/>
  <c r="S92" i="1"/>
  <c r="AD91" i="1"/>
  <c r="AC91" i="1"/>
  <c r="AB91" i="1"/>
  <c r="AA91" i="1"/>
  <c r="Z91" i="1"/>
  <c r="Y91" i="1"/>
  <c r="X91" i="1"/>
  <c r="W91" i="1"/>
  <c r="V91" i="1"/>
  <c r="U91" i="1"/>
  <c r="T91" i="1"/>
  <c r="S91" i="1"/>
  <c r="AD90" i="1"/>
  <c r="AC90" i="1"/>
  <c r="AB90" i="1"/>
  <c r="AA90" i="1"/>
  <c r="Z90" i="1"/>
  <c r="Y90" i="1"/>
  <c r="X90" i="1"/>
  <c r="W90" i="1"/>
  <c r="V90" i="1"/>
  <c r="U90" i="1"/>
  <c r="T90" i="1"/>
  <c r="S90" i="1"/>
  <c r="AD89" i="1"/>
  <c r="AC89" i="1"/>
  <c r="AB89" i="1"/>
  <c r="AA89" i="1"/>
  <c r="Z89" i="1"/>
  <c r="Y89" i="1"/>
  <c r="X89" i="1"/>
  <c r="W89" i="1"/>
  <c r="V89" i="1"/>
  <c r="U89" i="1"/>
  <c r="T89" i="1"/>
  <c r="S89" i="1"/>
  <c r="AD88" i="1"/>
  <c r="AC88" i="1"/>
  <c r="AB88" i="1"/>
  <c r="AA88" i="1"/>
  <c r="Z88" i="1"/>
  <c r="Y88" i="1"/>
  <c r="X88" i="1"/>
  <c r="W88" i="1"/>
  <c r="V88" i="1"/>
  <c r="U88" i="1"/>
  <c r="T88" i="1"/>
  <c r="S88" i="1"/>
  <c r="AD87" i="1"/>
  <c r="AC87" i="1"/>
  <c r="AB87" i="1"/>
  <c r="AA87" i="1"/>
  <c r="Z87" i="1"/>
  <c r="Y87" i="1"/>
  <c r="X87" i="1"/>
  <c r="W87" i="1"/>
  <c r="V87" i="1"/>
  <c r="U87" i="1"/>
  <c r="T87" i="1"/>
  <c r="S87" i="1"/>
  <c r="AD86" i="1"/>
  <c r="AC86" i="1"/>
  <c r="AB86" i="1"/>
  <c r="AA86" i="1"/>
  <c r="Z86" i="1"/>
  <c r="Y86" i="1"/>
  <c r="X86" i="1"/>
  <c r="W86" i="1"/>
  <c r="V86" i="1"/>
  <c r="U86" i="1"/>
  <c r="T86" i="1"/>
  <c r="S86" i="1"/>
  <c r="AD85" i="1"/>
  <c r="AC85" i="1"/>
  <c r="AB85" i="1"/>
  <c r="AA85" i="1"/>
  <c r="Z85" i="1"/>
  <c r="Y85" i="1"/>
  <c r="X85" i="1"/>
  <c r="W85" i="1"/>
  <c r="V85" i="1"/>
  <c r="U85" i="1"/>
  <c r="T85" i="1"/>
  <c r="S85" i="1"/>
  <c r="AD84" i="1"/>
  <c r="AC84" i="1"/>
  <c r="AB84" i="1"/>
  <c r="AA84" i="1"/>
  <c r="Z84" i="1"/>
  <c r="Y84" i="1"/>
  <c r="X84" i="1"/>
  <c r="W84" i="1"/>
  <c r="V84" i="1"/>
  <c r="U84" i="1"/>
  <c r="T84" i="1"/>
  <c r="S84" i="1"/>
  <c r="AD83" i="1"/>
  <c r="AC83" i="1"/>
  <c r="AB83" i="1"/>
  <c r="AA83" i="1"/>
  <c r="Z83" i="1"/>
  <c r="Y83" i="1"/>
  <c r="X83" i="1"/>
  <c r="W83" i="1"/>
  <c r="V83" i="1"/>
  <c r="U83" i="1"/>
  <c r="T83" i="1"/>
  <c r="S83" i="1"/>
  <c r="AD82" i="1"/>
  <c r="AC82" i="1"/>
  <c r="AB82" i="1"/>
  <c r="AA82" i="1"/>
  <c r="Z82" i="1"/>
  <c r="Y82" i="1"/>
  <c r="X82" i="1"/>
  <c r="W82" i="1"/>
  <c r="V82" i="1"/>
  <c r="U82" i="1"/>
  <c r="T82" i="1"/>
  <c r="S82" i="1"/>
  <c r="AD81" i="1"/>
  <c r="AC81" i="1"/>
  <c r="AB81" i="1"/>
  <c r="AA81" i="1"/>
  <c r="Z81" i="1"/>
  <c r="Y81" i="1"/>
  <c r="X81" i="1"/>
  <c r="W81" i="1"/>
  <c r="V81" i="1"/>
  <c r="U81" i="1"/>
  <c r="T81" i="1"/>
  <c r="S81" i="1"/>
  <c r="AD80" i="1"/>
  <c r="AC80" i="1"/>
  <c r="AB80" i="1"/>
  <c r="AA80" i="1"/>
  <c r="Z80" i="1"/>
  <c r="Y80" i="1"/>
  <c r="X80" i="1"/>
  <c r="W80" i="1"/>
  <c r="V80" i="1"/>
  <c r="U80" i="1"/>
  <c r="T80" i="1"/>
  <c r="S80" i="1"/>
  <c r="AD79" i="1"/>
  <c r="AC79" i="1"/>
  <c r="AB79" i="1"/>
  <c r="AA79" i="1"/>
  <c r="Z79" i="1"/>
  <c r="Y79" i="1"/>
  <c r="X79" i="1"/>
  <c r="W79" i="1"/>
  <c r="V79" i="1"/>
  <c r="U79" i="1"/>
  <c r="T79" i="1"/>
  <c r="S79" i="1"/>
  <c r="AD78" i="1"/>
  <c r="AC78" i="1"/>
  <c r="AB78" i="1"/>
  <c r="AA78" i="1"/>
  <c r="Z78" i="1"/>
  <c r="Y78" i="1"/>
  <c r="X78" i="1"/>
  <c r="W78" i="1"/>
  <c r="V78" i="1"/>
  <c r="U78" i="1"/>
  <c r="T78" i="1"/>
  <c r="S78" i="1"/>
  <c r="AD77" i="1"/>
  <c r="AC77" i="1"/>
  <c r="AB77" i="1"/>
  <c r="AA77" i="1"/>
  <c r="Z77" i="1"/>
  <c r="Y77" i="1"/>
  <c r="X77" i="1"/>
  <c r="W77" i="1"/>
  <c r="V77" i="1"/>
  <c r="U77" i="1"/>
  <c r="T77" i="1"/>
  <c r="S77" i="1"/>
  <c r="AD76" i="1"/>
  <c r="AC76" i="1"/>
  <c r="AB76" i="1"/>
  <c r="AA76" i="1"/>
  <c r="Z76" i="1"/>
  <c r="Y76" i="1"/>
  <c r="X76" i="1"/>
  <c r="W76" i="1"/>
  <c r="V76" i="1"/>
  <c r="U76" i="1"/>
  <c r="T76" i="1"/>
  <c r="S76" i="1"/>
  <c r="AD75" i="1"/>
  <c r="AC75" i="1"/>
  <c r="AB75" i="1"/>
  <c r="AA75" i="1"/>
  <c r="Z75" i="1"/>
  <c r="Y75" i="1"/>
  <c r="X75" i="1"/>
  <c r="W75" i="1"/>
  <c r="V75" i="1"/>
  <c r="U75" i="1"/>
  <c r="T75" i="1"/>
  <c r="S75" i="1"/>
  <c r="AD74" i="1"/>
  <c r="AC74" i="1"/>
  <c r="AB74" i="1"/>
  <c r="AA74" i="1"/>
  <c r="Z74" i="1"/>
  <c r="Y74" i="1"/>
  <c r="X74" i="1"/>
  <c r="W74" i="1"/>
  <c r="V74" i="1"/>
  <c r="U74" i="1"/>
  <c r="T74" i="1"/>
  <c r="S74" i="1"/>
  <c r="AD73" i="1"/>
  <c r="AC73" i="1"/>
  <c r="AB73" i="1"/>
  <c r="AA73" i="1"/>
  <c r="Z73" i="1"/>
  <c r="Y73" i="1"/>
  <c r="X73" i="1"/>
  <c r="W73" i="1"/>
  <c r="V73" i="1"/>
  <c r="U73" i="1"/>
  <c r="T73" i="1"/>
  <c r="S73" i="1"/>
  <c r="AD72" i="1"/>
  <c r="AC72" i="1"/>
  <c r="AB72" i="1"/>
  <c r="AA72" i="1"/>
  <c r="Z72" i="1"/>
  <c r="Y72" i="1"/>
  <c r="X72" i="1"/>
  <c r="W72" i="1"/>
  <c r="V72" i="1"/>
  <c r="U72" i="1"/>
  <c r="T72" i="1"/>
  <c r="S72" i="1"/>
  <c r="AD71" i="1"/>
  <c r="AC71" i="1"/>
  <c r="AB71" i="1"/>
  <c r="AA71" i="1"/>
  <c r="Z71" i="1"/>
  <c r="Y71" i="1"/>
  <c r="X71" i="1"/>
  <c r="W71" i="1"/>
  <c r="V71" i="1"/>
  <c r="U71" i="1"/>
  <c r="T71" i="1"/>
  <c r="S71" i="1"/>
  <c r="AD70" i="1"/>
  <c r="AC70" i="1"/>
  <c r="AB70" i="1"/>
  <c r="AA70" i="1"/>
  <c r="Z70" i="1"/>
  <c r="Y70" i="1"/>
  <c r="X70" i="1"/>
  <c r="W70" i="1"/>
  <c r="V70" i="1"/>
  <c r="U70" i="1"/>
  <c r="T70" i="1"/>
  <c r="S70" i="1"/>
  <c r="AD69" i="1"/>
  <c r="AC69" i="1"/>
  <c r="AB69" i="1"/>
  <c r="AA69" i="1"/>
  <c r="Z69" i="1"/>
  <c r="Y69" i="1"/>
  <c r="X69" i="1"/>
  <c r="W69" i="1"/>
  <c r="V69" i="1"/>
  <c r="U69" i="1"/>
  <c r="T69" i="1"/>
  <c r="S69" i="1"/>
  <c r="AD68" i="1"/>
  <c r="AC68" i="1"/>
  <c r="AB68" i="1"/>
  <c r="AA68" i="1"/>
  <c r="Z68" i="1"/>
  <c r="Y68" i="1"/>
  <c r="X68" i="1"/>
  <c r="W68" i="1"/>
  <c r="V68" i="1"/>
  <c r="U68" i="1"/>
  <c r="T68" i="1"/>
  <c r="S68" i="1"/>
  <c r="AD67" i="1"/>
  <c r="AC67" i="1"/>
  <c r="AB67" i="1"/>
  <c r="AA67" i="1"/>
  <c r="Z67" i="1"/>
  <c r="Y67" i="1"/>
  <c r="X67" i="1"/>
  <c r="W67" i="1"/>
  <c r="V67" i="1"/>
  <c r="U67" i="1"/>
  <c r="T67" i="1"/>
  <c r="S67" i="1"/>
  <c r="AD66" i="1"/>
  <c r="AC66" i="1"/>
  <c r="AB66" i="1"/>
  <c r="AA66" i="1"/>
  <c r="Z66" i="1"/>
  <c r="Y66" i="1"/>
  <c r="X66" i="1"/>
  <c r="W66" i="1"/>
  <c r="V66" i="1"/>
  <c r="U66" i="1"/>
  <c r="T66" i="1"/>
  <c r="S66" i="1"/>
  <c r="AD65" i="1"/>
  <c r="AC65" i="1"/>
  <c r="AB65" i="1"/>
  <c r="AA65" i="1"/>
  <c r="Z65" i="1"/>
  <c r="Y65" i="1"/>
  <c r="X65" i="1"/>
  <c r="W65" i="1"/>
  <c r="V65" i="1"/>
  <c r="U65" i="1"/>
  <c r="T65" i="1"/>
  <c r="S65" i="1"/>
  <c r="AD64" i="1"/>
  <c r="AC64" i="1"/>
  <c r="AB64" i="1"/>
  <c r="AA64" i="1"/>
  <c r="Z64" i="1"/>
  <c r="Y64" i="1"/>
  <c r="X64" i="1"/>
  <c r="W64" i="1"/>
  <c r="V64" i="1"/>
  <c r="U64" i="1"/>
  <c r="T64" i="1"/>
  <c r="S64" i="1"/>
  <c r="AD63" i="1"/>
  <c r="AC63" i="1"/>
  <c r="AB63" i="1"/>
  <c r="AA63" i="1"/>
  <c r="Z63" i="1"/>
  <c r="Y63" i="1"/>
  <c r="X63" i="1"/>
  <c r="W63" i="1"/>
  <c r="V63" i="1"/>
  <c r="U63" i="1"/>
  <c r="T63" i="1"/>
  <c r="S63" i="1"/>
  <c r="AD62" i="1"/>
  <c r="AC62" i="1"/>
  <c r="AB62" i="1"/>
  <c r="AA62" i="1"/>
  <c r="Z62" i="1"/>
  <c r="Y62" i="1"/>
  <c r="X62" i="1"/>
  <c r="W62" i="1"/>
  <c r="V62" i="1"/>
  <c r="U62" i="1"/>
  <c r="T62" i="1"/>
  <c r="S62" i="1"/>
  <c r="AD61" i="1"/>
  <c r="AC61" i="1"/>
  <c r="AB61" i="1"/>
  <c r="AA61" i="1"/>
  <c r="Z61" i="1"/>
  <c r="Y61" i="1"/>
  <c r="X61" i="1"/>
  <c r="W61" i="1"/>
  <c r="V61" i="1"/>
  <c r="U61" i="1"/>
  <c r="T61" i="1"/>
  <c r="S61" i="1"/>
  <c r="AD60" i="1"/>
  <c r="AC60" i="1"/>
  <c r="AB60" i="1"/>
  <c r="AA60" i="1"/>
  <c r="Z60" i="1"/>
  <c r="Y60" i="1"/>
  <c r="X60" i="1"/>
  <c r="W60" i="1"/>
  <c r="V60" i="1"/>
  <c r="U60" i="1"/>
  <c r="T60" i="1"/>
  <c r="S60" i="1"/>
  <c r="AD59" i="1"/>
  <c r="AC59" i="1"/>
  <c r="AB59" i="1"/>
  <c r="AA59" i="1"/>
  <c r="Z59" i="1"/>
  <c r="Y59" i="1"/>
  <c r="X59" i="1"/>
  <c r="W59" i="1"/>
  <c r="V59" i="1"/>
  <c r="U59" i="1"/>
  <c r="T59" i="1"/>
  <c r="S59" i="1"/>
  <c r="AD58" i="1"/>
  <c r="AC58" i="1"/>
  <c r="AB58" i="1"/>
  <c r="AA58" i="1"/>
  <c r="Z58" i="1"/>
  <c r="Y58" i="1"/>
  <c r="X58" i="1"/>
  <c r="W58" i="1"/>
  <c r="V58" i="1"/>
  <c r="U58" i="1"/>
  <c r="T58" i="1"/>
  <c r="S58" i="1"/>
  <c r="AD57" i="1"/>
  <c r="AC57" i="1"/>
  <c r="AB57" i="1"/>
  <c r="AA57" i="1"/>
  <c r="Z57" i="1"/>
  <c r="Y57" i="1"/>
  <c r="X57" i="1"/>
  <c r="W57" i="1"/>
  <c r="V57" i="1"/>
  <c r="U57" i="1"/>
  <c r="T57" i="1"/>
  <c r="S57" i="1"/>
  <c r="AD56" i="1"/>
  <c r="AC56" i="1"/>
  <c r="AB56" i="1"/>
  <c r="AA56" i="1"/>
  <c r="Z56" i="1"/>
  <c r="Y56" i="1"/>
  <c r="X56" i="1"/>
  <c r="W56" i="1"/>
  <c r="V56" i="1"/>
  <c r="U56" i="1"/>
  <c r="T56" i="1"/>
  <c r="S56" i="1"/>
  <c r="AD55" i="1"/>
  <c r="AC55" i="1"/>
  <c r="AB55" i="1"/>
  <c r="AA55" i="1"/>
  <c r="Z55" i="1"/>
  <c r="Y55" i="1"/>
  <c r="X55" i="1"/>
  <c r="W55" i="1"/>
  <c r="V55" i="1"/>
  <c r="U55" i="1"/>
  <c r="T55" i="1"/>
  <c r="S55" i="1"/>
  <c r="AD54" i="1"/>
  <c r="AC54" i="1"/>
  <c r="AB54" i="1"/>
  <c r="AA54" i="1"/>
  <c r="Z54" i="1"/>
  <c r="Y54" i="1"/>
  <c r="X54" i="1"/>
  <c r="W54" i="1"/>
  <c r="V54" i="1"/>
  <c r="U54" i="1"/>
  <c r="T54" i="1"/>
  <c r="S54" i="1"/>
  <c r="AD53" i="1"/>
  <c r="AC53" i="1"/>
  <c r="AB53" i="1"/>
  <c r="AA53" i="1"/>
  <c r="Z53" i="1"/>
  <c r="Y53" i="1"/>
  <c r="X53" i="1"/>
  <c r="W53" i="1"/>
  <c r="V53" i="1"/>
  <c r="U53" i="1"/>
  <c r="T53" i="1"/>
  <c r="S53" i="1"/>
  <c r="AD52" i="1"/>
  <c r="AC52" i="1"/>
  <c r="AB52" i="1"/>
  <c r="AA52" i="1"/>
  <c r="Z52" i="1"/>
  <c r="Y52" i="1"/>
  <c r="X52" i="1"/>
  <c r="W52" i="1"/>
  <c r="V52" i="1"/>
  <c r="U52" i="1"/>
  <c r="T52" i="1"/>
  <c r="S52" i="1"/>
  <c r="AD51" i="1"/>
  <c r="AC51" i="1"/>
  <c r="AB51" i="1"/>
  <c r="AA51" i="1"/>
  <c r="Z51" i="1"/>
  <c r="Y51" i="1"/>
  <c r="X51" i="1"/>
  <c r="W51" i="1"/>
  <c r="V51" i="1"/>
  <c r="U51" i="1"/>
  <c r="T51" i="1"/>
  <c r="S51" i="1"/>
  <c r="AD50" i="1"/>
  <c r="AC50" i="1"/>
  <c r="AB50" i="1"/>
  <c r="AA50" i="1"/>
  <c r="Z50" i="1"/>
  <c r="Y50" i="1"/>
  <c r="X50" i="1"/>
  <c r="W50" i="1"/>
  <c r="V50" i="1"/>
  <c r="U50" i="1"/>
  <c r="T50" i="1"/>
  <c r="S50" i="1"/>
  <c r="AD49" i="1"/>
  <c r="AC49" i="1"/>
  <c r="AB49" i="1"/>
  <c r="AA49" i="1"/>
  <c r="Z49" i="1"/>
  <c r="Y49" i="1"/>
  <c r="X49" i="1"/>
  <c r="W49" i="1"/>
  <c r="V49" i="1"/>
  <c r="U49" i="1"/>
  <c r="T49" i="1"/>
  <c r="S49" i="1"/>
  <c r="AD48" i="1"/>
  <c r="AC48" i="1"/>
  <c r="AB48" i="1"/>
  <c r="AA48" i="1"/>
  <c r="Z48" i="1"/>
  <c r="Y48" i="1"/>
  <c r="X48" i="1"/>
  <c r="W48" i="1"/>
  <c r="V48" i="1"/>
  <c r="U48" i="1"/>
  <c r="T48" i="1"/>
  <c r="S48" i="1"/>
  <c r="AD47" i="1"/>
  <c r="AC47" i="1"/>
  <c r="AB47" i="1"/>
  <c r="AA47" i="1"/>
  <c r="Z47" i="1"/>
  <c r="Y47" i="1"/>
  <c r="X47" i="1"/>
  <c r="W47" i="1"/>
  <c r="V47" i="1"/>
  <c r="U47" i="1"/>
  <c r="T47" i="1"/>
  <c r="S47" i="1"/>
  <c r="AD46" i="1"/>
  <c r="AC46" i="1"/>
  <c r="AB46" i="1"/>
  <c r="AA46" i="1"/>
  <c r="Z46" i="1"/>
  <c r="Y46" i="1"/>
  <c r="X46" i="1"/>
  <c r="W46" i="1"/>
  <c r="V46" i="1"/>
  <c r="U46" i="1"/>
  <c r="T46" i="1"/>
  <c r="S46" i="1"/>
  <c r="AD45" i="1"/>
  <c r="AC45" i="1"/>
  <c r="AB45" i="1"/>
  <c r="AA45" i="1"/>
  <c r="Z45" i="1"/>
  <c r="Y45" i="1"/>
  <c r="X45" i="1"/>
  <c r="W45" i="1"/>
  <c r="V45" i="1"/>
  <c r="U45" i="1"/>
  <c r="T45" i="1"/>
  <c r="S45" i="1"/>
  <c r="AD44" i="1"/>
  <c r="AC44" i="1"/>
  <c r="AB44" i="1"/>
  <c r="AA44" i="1"/>
  <c r="Z44" i="1"/>
  <c r="Y44" i="1"/>
  <c r="X44" i="1"/>
  <c r="W44" i="1"/>
  <c r="V44" i="1"/>
  <c r="U44" i="1"/>
  <c r="T44" i="1"/>
  <c r="S44" i="1"/>
  <c r="AD43" i="1"/>
  <c r="AC43" i="1"/>
  <c r="AB43" i="1"/>
  <c r="AA43" i="1"/>
  <c r="Z43" i="1"/>
  <c r="Y43" i="1"/>
  <c r="X43" i="1"/>
  <c r="W43" i="1"/>
  <c r="V43" i="1"/>
  <c r="U43" i="1"/>
  <c r="T43" i="1"/>
  <c r="S43" i="1"/>
  <c r="AD42" i="1"/>
  <c r="AC42" i="1"/>
  <c r="AB42" i="1"/>
  <c r="AA42" i="1"/>
  <c r="Z42" i="1"/>
  <c r="Y42" i="1"/>
  <c r="X42" i="1"/>
  <c r="W42" i="1"/>
  <c r="V42" i="1"/>
  <c r="U42" i="1"/>
  <c r="T42" i="1"/>
  <c r="S42" i="1"/>
  <c r="AD41" i="1"/>
  <c r="AC41" i="1"/>
  <c r="AB41" i="1"/>
  <c r="AA41" i="1"/>
  <c r="Z41" i="1"/>
  <c r="Y41" i="1"/>
  <c r="X41" i="1"/>
  <c r="W41" i="1"/>
  <c r="V41" i="1"/>
  <c r="U41" i="1"/>
  <c r="T41" i="1"/>
  <c r="S41" i="1"/>
  <c r="AD40" i="1"/>
  <c r="AC40" i="1"/>
  <c r="AB40" i="1"/>
  <c r="AA40" i="1"/>
  <c r="Z40" i="1"/>
  <c r="Y40" i="1"/>
  <c r="X40" i="1"/>
  <c r="W40" i="1"/>
  <c r="V40" i="1"/>
  <c r="U40" i="1"/>
  <c r="T40" i="1"/>
  <c r="S40" i="1"/>
  <c r="AD39" i="1"/>
  <c r="AC39" i="1"/>
  <c r="AB39" i="1"/>
  <c r="AA39" i="1"/>
  <c r="Z39" i="1"/>
  <c r="Y39" i="1"/>
  <c r="X39" i="1"/>
  <c r="W39" i="1"/>
  <c r="V39" i="1"/>
  <c r="U39" i="1"/>
  <c r="T39" i="1"/>
  <c r="S39" i="1"/>
  <c r="AD38" i="1"/>
  <c r="AC38" i="1"/>
  <c r="AB38" i="1"/>
  <c r="AA38" i="1"/>
  <c r="Z38" i="1"/>
  <c r="Y38" i="1"/>
  <c r="X38" i="1"/>
  <c r="W38" i="1"/>
  <c r="V38" i="1"/>
  <c r="U38" i="1"/>
  <c r="T38" i="1"/>
  <c r="S38" i="1"/>
  <c r="AD37" i="1"/>
  <c r="AC37" i="1"/>
  <c r="AB37" i="1"/>
  <c r="AA37" i="1"/>
  <c r="Z37" i="1"/>
  <c r="Y37" i="1"/>
  <c r="X37" i="1"/>
  <c r="W37" i="1"/>
  <c r="V37" i="1"/>
  <c r="U37" i="1"/>
  <c r="T37" i="1"/>
  <c r="S37" i="1"/>
  <c r="AD36" i="1"/>
  <c r="AC36" i="1"/>
  <c r="AB36" i="1"/>
  <c r="AA36" i="1"/>
  <c r="Z36" i="1"/>
  <c r="Y36" i="1"/>
  <c r="X36" i="1"/>
  <c r="W36" i="1"/>
  <c r="V36" i="1"/>
  <c r="U36" i="1"/>
  <c r="T36" i="1"/>
  <c r="S36" i="1"/>
  <c r="AD35" i="1"/>
  <c r="AC35" i="1"/>
  <c r="AB35" i="1"/>
  <c r="AA35" i="1"/>
  <c r="Z35" i="1"/>
  <c r="Y35" i="1"/>
  <c r="X35" i="1"/>
  <c r="W35" i="1"/>
  <c r="V35" i="1"/>
  <c r="U35" i="1"/>
  <c r="T35" i="1"/>
  <c r="S35" i="1"/>
  <c r="AD34" i="1"/>
  <c r="AC34" i="1"/>
  <c r="AB34" i="1"/>
  <c r="AA34" i="1"/>
  <c r="Z34" i="1"/>
  <c r="Y34" i="1"/>
  <c r="X34" i="1"/>
  <c r="W34" i="1"/>
  <c r="V34" i="1"/>
  <c r="U34" i="1"/>
  <c r="T34" i="1"/>
  <c r="S34" i="1"/>
  <c r="AD33" i="1"/>
  <c r="AC33" i="1"/>
  <c r="AB33" i="1"/>
  <c r="AA33" i="1"/>
  <c r="Z33" i="1"/>
  <c r="Y33" i="1"/>
  <c r="X33" i="1"/>
  <c r="W33" i="1"/>
  <c r="V33" i="1"/>
  <c r="U33" i="1"/>
  <c r="T33" i="1"/>
  <c r="S33" i="1"/>
  <c r="AD32" i="1"/>
  <c r="AC32" i="1"/>
  <c r="AB32" i="1"/>
  <c r="AA32" i="1"/>
  <c r="Z32" i="1"/>
  <c r="Y32" i="1"/>
  <c r="X32" i="1"/>
  <c r="W32" i="1"/>
  <c r="V32" i="1"/>
  <c r="U32" i="1"/>
  <c r="T32" i="1"/>
  <c r="S32" i="1"/>
  <c r="AD31" i="1"/>
  <c r="AC31" i="1"/>
  <c r="AB31" i="1"/>
  <c r="AA31" i="1"/>
  <c r="Z31" i="1"/>
  <c r="Y31" i="1"/>
  <c r="X31" i="1"/>
  <c r="W31" i="1"/>
  <c r="V31" i="1"/>
  <c r="U31" i="1"/>
  <c r="T31" i="1"/>
  <c r="S31" i="1"/>
  <c r="AD30" i="1"/>
  <c r="AC30" i="1"/>
  <c r="AB30" i="1"/>
  <c r="AA30" i="1"/>
  <c r="Z30" i="1"/>
  <c r="Y30" i="1"/>
  <c r="X30" i="1"/>
  <c r="W30" i="1"/>
  <c r="V30" i="1"/>
  <c r="U30" i="1"/>
  <c r="T30" i="1"/>
  <c r="S30" i="1"/>
  <c r="AD29" i="1"/>
  <c r="AC29" i="1"/>
  <c r="AB29" i="1"/>
  <c r="AA29" i="1"/>
  <c r="Z29" i="1"/>
  <c r="Y29" i="1"/>
  <c r="X29" i="1"/>
  <c r="W29" i="1"/>
  <c r="V29" i="1"/>
  <c r="U29" i="1"/>
  <c r="T29" i="1"/>
  <c r="S29" i="1"/>
  <c r="AD28" i="1"/>
  <c r="AC28" i="1"/>
  <c r="AB28" i="1"/>
  <c r="AA28" i="1"/>
  <c r="Z28" i="1"/>
  <c r="Y28" i="1"/>
  <c r="X28" i="1"/>
  <c r="W28" i="1"/>
  <c r="V28" i="1"/>
  <c r="U28" i="1"/>
  <c r="T28" i="1"/>
  <c r="S28" i="1"/>
  <c r="AD27" i="1"/>
  <c r="AC27" i="1"/>
  <c r="AB27" i="1"/>
  <c r="AA27" i="1"/>
  <c r="Z27" i="1"/>
  <c r="Y27" i="1"/>
  <c r="X27" i="1"/>
  <c r="W27" i="1"/>
  <c r="V27" i="1"/>
  <c r="U27" i="1"/>
  <c r="T27" i="1"/>
  <c r="S27" i="1"/>
  <c r="AD26" i="1"/>
  <c r="AC26" i="1"/>
  <c r="AB26" i="1"/>
  <c r="AA26" i="1"/>
  <c r="Z26" i="1"/>
  <c r="Y26" i="1"/>
  <c r="X26" i="1"/>
  <c r="W26" i="1"/>
  <c r="V26" i="1"/>
  <c r="U26" i="1"/>
  <c r="T26" i="1"/>
  <c r="S26" i="1"/>
  <c r="AD25" i="1"/>
  <c r="AC25" i="1"/>
  <c r="AB25" i="1"/>
  <c r="AA25" i="1"/>
  <c r="Z25" i="1"/>
  <c r="Y25" i="1"/>
  <c r="X25" i="1"/>
  <c r="W25" i="1"/>
  <c r="V25" i="1"/>
  <c r="U25" i="1"/>
  <c r="T25" i="1"/>
  <c r="S25" i="1"/>
  <c r="AD24" i="1"/>
  <c r="AC24" i="1"/>
  <c r="AB24" i="1"/>
  <c r="AA24" i="1"/>
  <c r="Z24" i="1"/>
  <c r="Y24" i="1"/>
  <c r="X24" i="1"/>
  <c r="W24" i="1"/>
  <c r="V24" i="1"/>
  <c r="U24" i="1"/>
  <c r="T24" i="1"/>
  <c r="S24" i="1"/>
  <c r="AD23" i="1"/>
  <c r="AC23" i="1"/>
  <c r="AB23" i="1"/>
  <c r="AA23" i="1"/>
  <c r="Z23" i="1"/>
  <c r="Y23" i="1"/>
  <c r="X23" i="1"/>
  <c r="W23" i="1"/>
  <c r="V23" i="1"/>
  <c r="U23" i="1"/>
  <c r="T23" i="1"/>
  <c r="S23" i="1"/>
  <c r="AD22" i="1"/>
  <c r="AC22" i="1"/>
  <c r="AB22" i="1"/>
  <c r="AA22" i="1"/>
  <c r="Z22" i="1"/>
  <c r="Y22" i="1"/>
  <c r="X22" i="1"/>
  <c r="W22" i="1"/>
  <c r="V22" i="1"/>
  <c r="U22" i="1"/>
  <c r="T22" i="1"/>
  <c r="S22" i="1"/>
  <c r="AD21" i="1"/>
  <c r="AC21" i="1"/>
  <c r="AB21" i="1"/>
  <c r="AA21" i="1"/>
  <c r="Z21" i="1"/>
  <c r="Y21" i="1"/>
  <c r="X21" i="1"/>
  <c r="W21" i="1"/>
  <c r="V21" i="1"/>
  <c r="U21" i="1"/>
  <c r="T21" i="1"/>
  <c r="S21" i="1"/>
  <c r="AD20" i="1"/>
  <c r="AC20" i="1"/>
  <c r="AB20" i="1"/>
  <c r="AA20" i="1"/>
  <c r="Z20" i="1"/>
  <c r="Y20" i="1"/>
  <c r="X20" i="1"/>
  <c r="W20" i="1"/>
  <c r="V20" i="1"/>
  <c r="U20" i="1"/>
  <c r="T20" i="1"/>
  <c r="S20" i="1"/>
  <c r="AD19" i="1"/>
  <c r="AC19" i="1"/>
  <c r="AB19" i="1"/>
  <c r="AA19" i="1"/>
  <c r="Z19" i="1"/>
  <c r="Y19" i="1"/>
  <c r="X19" i="1"/>
  <c r="W19" i="1"/>
  <c r="V19" i="1"/>
  <c r="U19" i="1"/>
  <c r="T19" i="1"/>
  <c r="S19" i="1"/>
  <c r="AD18" i="1"/>
  <c r="AC18" i="1"/>
  <c r="AB18" i="1"/>
  <c r="AA18" i="1"/>
  <c r="Z18" i="1"/>
  <c r="Y18" i="1"/>
  <c r="X18" i="1"/>
  <c r="W18" i="1"/>
  <c r="V18" i="1"/>
  <c r="U18" i="1"/>
  <c r="T18" i="1"/>
  <c r="S18" i="1"/>
  <c r="AD17" i="1"/>
  <c r="AC17" i="1"/>
  <c r="AB17" i="1"/>
  <c r="AA17" i="1"/>
  <c r="Z17" i="1"/>
  <c r="Y17" i="1"/>
  <c r="X17" i="1"/>
  <c r="W17" i="1"/>
  <c r="V17" i="1"/>
  <c r="U17" i="1"/>
  <c r="T17" i="1"/>
  <c r="S17" i="1"/>
  <c r="AD16" i="1"/>
  <c r="AC16" i="1"/>
  <c r="AB16" i="1"/>
  <c r="AA16" i="1"/>
  <c r="Z16" i="1"/>
  <c r="Y16" i="1"/>
  <c r="X16" i="1"/>
  <c r="W16" i="1"/>
  <c r="V16" i="1"/>
  <c r="U16" i="1"/>
  <c r="T16" i="1"/>
  <c r="S16" i="1"/>
  <c r="AD15" i="1"/>
  <c r="AC15" i="1"/>
  <c r="AB15" i="1"/>
  <c r="AA15" i="1"/>
  <c r="Z15" i="1"/>
  <c r="Y15" i="1"/>
  <c r="X15" i="1"/>
  <c r="W15" i="1"/>
  <c r="V15" i="1"/>
  <c r="U15" i="1"/>
  <c r="T15" i="1"/>
  <c r="S15" i="1"/>
  <c r="AD14" i="1"/>
  <c r="AC14" i="1"/>
  <c r="AB14" i="1"/>
  <c r="AA14" i="1"/>
  <c r="Z14" i="1"/>
  <c r="Y14" i="1"/>
  <c r="X14" i="1"/>
  <c r="W14" i="1"/>
  <c r="V14" i="1"/>
  <c r="U14" i="1"/>
  <c r="T14" i="1"/>
  <c r="S14" i="1"/>
  <c r="AD13" i="1"/>
  <c r="AC13" i="1"/>
  <c r="AB13" i="1"/>
  <c r="AA13" i="1"/>
  <c r="Z13" i="1"/>
  <c r="Y13" i="1"/>
  <c r="X13" i="1"/>
  <c r="W13" i="1"/>
  <c r="V13" i="1"/>
  <c r="U13" i="1"/>
  <c r="T13" i="1"/>
  <c r="S13" i="1"/>
  <c r="AD12" i="1"/>
  <c r="AC12" i="1"/>
  <c r="AB12" i="1"/>
  <c r="AA12" i="1"/>
  <c r="Z12" i="1"/>
  <c r="Y12" i="1"/>
  <c r="X12" i="1"/>
  <c r="W12" i="1"/>
  <c r="V12" i="1"/>
  <c r="U12" i="1"/>
  <c r="T12" i="1"/>
  <c r="S12" i="1"/>
  <c r="AD11" i="1"/>
  <c r="AC11" i="1"/>
  <c r="AB11" i="1"/>
  <c r="AA11" i="1"/>
  <c r="Z11" i="1"/>
  <c r="Y11" i="1"/>
  <c r="X11" i="1"/>
  <c r="W11" i="1"/>
  <c r="V11" i="1"/>
  <c r="U11" i="1"/>
  <c r="T11" i="1"/>
  <c r="S11" i="1"/>
  <c r="AD10" i="1"/>
  <c r="AC10" i="1"/>
  <c r="AB10" i="1"/>
  <c r="AA10" i="1"/>
  <c r="Z10" i="1"/>
  <c r="Y10" i="1"/>
  <c r="X10" i="1"/>
  <c r="W10" i="1"/>
  <c r="V10" i="1"/>
  <c r="U10" i="1"/>
  <c r="T10" i="1"/>
  <c r="S10" i="1"/>
  <c r="AD9" i="1"/>
  <c r="AC9" i="1"/>
  <c r="AB9" i="1"/>
  <c r="AA9" i="1"/>
  <c r="Z9" i="1"/>
  <c r="Y9" i="1"/>
  <c r="X9" i="1"/>
  <c r="W9" i="1"/>
  <c r="V9" i="1"/>
  <c r="U9" i="1"/>
  <c r="T9" i="1"/>
  <c r="S9" i="1"/>
  <c r="AD8" i="1"/>
  <c r="AC8" i="1"/>
  <c r="AB8" i="1"/>
  <c r="AA8" i="1"/>
  <c r="Z8" i="1"/>
  <c r="Y8" i="1"/>
  <c r="X8" i="1"/>
  <c r="W8" i="1"/>
  <c r="V8" i="1"/>
  <c r="U8" i="1"/>
  <c r="T8" i="1"/>
  <c r="S8" i="1"/>
  <c r="AD7" i="1"/>
  <c r="AC7" i="1"/>
  <c r="AB7" i="1"/>
  <c r="AA7" i="1"/>
  <c r="Z7" i="1"/>
  <c r="Y7" i="1"/>
  <c r="X7" i="1"/>
  <c r="W7" i="1"/>
  <c r="V7" i="1"/>
  <c r="U7" i="1"/>
  <c r="T7" i="1"/>
  <c r="S7" i="1"/>
  <c r="AD6" i="1"/>
  <c r="AC6" i="1"/>
  <c r="AB6" i="1"/>
  <c r="AA6" i="1"/>
  <c r="Z6" i="1"/>
  <c r="Y6" i="1"/>
  <c r="X6" i="1"/>
  <c r="W6" i="1"/>
  <c r="V6" i="1"/>
  <c r="U6" i="1"/>
  <c r="T6" i="1"/>
  <c r="S6" i="1"/>
  <c r="AD5" i="1"/>
  <c r="AC5" i="1"/>
  <c r="AB5" i="1"/>
  <c r="AA5" i="1"/>
  <c r="Z5" i="1"/>
  <c r="Y5" i="1"/>
  <c r="X5" i="1"/>
  <c r="W5" i="1"/>
  <c r="V5" i="1"/>
  <c r="U5" i="1"/>
  <c r="T5" i="1"/>
  <c r="S5" i="1"/>
  <c r="AD4" i="1"/>
  <c r="AC4" i="1"/>
  <c r="AB4" i="1"/>
  <c r="AA4" i="1"/>
  <c r="Z4" i="1"/>
  <c r="Y4" i="1"/>
  <c r="X4" i="1"/>
  <c r="W4" i="1"/>
  <c r="V4" i="1"/>
  <c r="U4" i="1"/>
  <c r="T4" i="1"/>
  <c r="S4" i="1"/>
  <c r="AD3" i="1"/>
  <c r="AC3" i="1"/>
  <c r="AB3" i="1"/>
  <c r="AA3" i="1"/>
  <c r="Z3" i="1"/>
  <c r="Y3" i="1"/>
  <c r="X3" i="1"/>
  <c r="W3" i="1"/>
  <c r="V3" i="1"/>
  <c r="U3" i="1"/>
  <c r="T3" i="1"/>
  <c r="S3" i="1"/>
  <c r="AD2" i="1"/>
  <c r="AC2" i="1"/>
  <c r="AB2" i="1"/>
  <c r="AA2" i="1"/>
  <c r="Z2" i="1"/>
  <c r="Y2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<sst xmlns="http://schemas.openxmlformats.org/spreadsheetml/2006/main" count="6769" uniqueCount="641">
  <si>
    <t>SerialNo</t>
  </si>
  <si>
    <t>BomNo</t>
  </si>
  <si>
    <t>UnitType</t>
  </si>
  <si>
    <t>ModelNo</t>
  </si>
  <si>
    <t>TestDate</t>
  </si>
  <si>
    <t>OverallPassFail</t>
  </si>
  <si>
    <t>RunTestSuctionTubeTemp</t>
  </si>
  <si>
    <t>RunTestEvapInletRetBendATemp</t>
  </si>
  <si>
    <t>RunTestEvapInletRetBendBTemp</t>
  </si>
  <si>
    <t>RunTestEvapOutletAirTemp</t>
  </si>
  <si>
    <t>RunTestEvap_B_OutletAirTemp</t>
  </si>
  <si>
    <t>RunTestInletOutletAirTempDelta</t>
  </si>
  <si>
    <t>RunTestInletOutlet_B_AirTempDelta</t>
  </si>
  <si>
    <t>RunTestAmbientTemperature</t>
  </si>
  <si>
    <t>RunTestVoltageStartup</t>
  </si>
  <si>
    <t>RunTestFinalVoltage</t>
  </si>
  <si>
    <t>RunTestCurrentStartup</t>
  </si>
  <si>
    <t>RunTestFinalCurrent</t>
  </si>
  <si>
    <t>Z_RunTestSuctionTubeTemp</t>
  </si>
  <si>
    <t>Z_RunTestEvapInletRetBendATemp</t>
  </si>
  <si>
    <t>Z_RunTestEvapInletRetBendBTemp</t>
  </si>
  <si>
    <t>Z_RunTestEvapOutletAirTemp</t>
  </si>
  <si>
    <t>Z_RunTestEvap_B_OutletAirTemp</t>
  </si>
  <si>
    <t>Z_RunTestInletOutletAirTempDelta</t>
  </si>
  <si>
    <t>Z_RunTestInletOutlet_B_AirTempDelta</t>
  </si>
  <si>
    <t>Z_RunTestAmbientTemperature</t>
  </si>
  <si>
    <t>Z_RunTestVoltageStartup</t>
  </si>
  <si>
    <t>Z_RunTestFinalVoltage</t>
  </si>
  <si>
    <t>Z_RunTestCurrentStartup</t>
  </si>
  <si>
    <t>Z_RunTestFinalCurrent</t>
  </si>
  <si>
    <t>04M1925120154</t>
  </si>
  <si>
    <t>CRS0000675</t>
  </si>
  <si>
    <t>LT</t>
  </si>
  <si>
    <t>ALX440U-DS3B01</t>
  </si>
  <si>
    <t>Fail</t>
  </si>
  <si>
    <t>04M2225120168</t>
  </si>
  <si>
    <t>04A2026120315</t>
  </si>
  <si>
    <t>CRS0000674</t>
  </si>
  <si>
    <t>MT</t>
  </si>
  <si>
    <t>TCX413U-DS1B01</t>
  </si>
  <si>
    <t>Pass</t>
  </si>
  <si>
    <t>04A2926120429</t>
  </si>
  <si>
    <t>04B0326120505</t>
  </si>
  <si>
    <t>04A2926120428</t>
  </si>
  <si>
    <t>04B1226120597</t>
  </si>
  <si>
    <t>04B1226120599</t>
  </si>
  <si>
    <t>04B1926120664</t>
  </si>
  <si>
    <t>04B1926120665</t>
  </si>
  <si>
    <t>04B2526120683</t>
  </si>
  <si>
    <t>04B2526120684</t>
  </si>
  <si>
    <t>04B2526120685</t>
  </si>
  <si>
    <t>04B2626120693</t>
  </si>
  <si>
    <t>04B2626120694</t>
  </si>
  <si>
    <t>04B2626120695</t>
  </si>
  <si>
    <t>04B2626120696</t>
  </si>
  <si>
    <t>04B2626120697</t>
  </si>
  <si>
    <t>04B2626120698</t>
  </si>
  <si>
    <t>04B2626120699</t>
  </si>
  <si>
    <t>04B2626120700</t>
  </si>
  <si>
    <t>04B2626120701</t>
  </si>
  <si>
    <t>04B2726120702</t>
  </si>
  <si>
    <t>04B2726120703</t>
  </si>
  <si>
    <t>04B2726120704</t>
  </si>
  <si>
    <t>04B2726120705</t>
  </si>
  <si>
    <t>04B2726120706</t>
  </si>
  <si>
    <t>04B2726120707</t>
  </si>
  <si>
    <t>04B2726120708</t>
  </si>
  <si>
    <t>04B2726120709</t>
  </si>
  <si>
    <t>04B2726120710</t>
  </si>
  <si>
    <t>04B2726120711</t>
  </si>
  <si>
    <t>04B2826120712</t>
  </si>
  <si>
    <t>04B2826120713</t>
  </si>
  <si>
    <t>04B2826120714</t>
  </si>
  <si>
    <t>04B2826120715</t>
  </si>
  <si>
    <t>04B2826120716</t>
  </si>
  <si>
    <t>04B2826120717</t>
  </si>
  <si>
    <t>04B2826120719</t>
  </si>
  <si>
    <t>04B2826120720</t>
  </si>
  <si>
    <t>04B2826120722</t>
  </si>
  <si>
    <t>04B2826120723</t>
  </si>
  <si>
    <t>04B2826120724</t>
  </si>
  <si>
    <t>04B2826120718</t>
  </si>
  <si>
    <t>04B2826120725</t>
  </si>
  <si>
    <t>04C0126120727</t>
  </si>
  <si>
    <t>04C0126120729</t>
  </si>
  <si>
    <t>04C0126120730</t>
  </si>
  <si>
    <t>04C0126120731</t>
  </si>
  <si>
    <t>04C0126120732</t>
  </si>
  <si>
    <t>04C0126120733</t>
  </si>
  <si>
    <t>04C0226120734</t>
  </si>
  <si>
    <t>04C0226120735</t>
  </si>
  <si>
    <t>04C0226120737</t>
  </si>
  <si>
    <t>04C0226120738</t>
  </si>
  <si>
    <t>04B2826120726</t>
  </si>
  <si>
    <t>04C0226120739</t>
  </si>
  <si>
    <t>04C0226120740</t>
  </si>
  <si>
    <t>04C0226120741</t>
  </si>
  <si>
    <t>04C0226120742</t>
  </si>
  <si>
    <t>04C0226120743</t>
  </si>
  <si>
    <t>04C0226120744</t>
  </si>
  <si>
    <t>04C0226120745</t>
  </si>
  <si>
    <t>04B1226120598</t>
  </si>
  <si>
    <t>04C0226120746</t>
  </si>
  <si>
    <t>04C0226120747</t>
  </si>
  <si>
    <t>04C0226120748</t>
  </si>
  <si>
    <t>04C0226120749</t>
  </si>
  <si>
    <t>04C0226120750</t>
  </si>
  <si>
    <t>04C0226120751</t>
  </si>
  <si>
    <t>04C0226120752</t>
  </si>
  <si>
    <t>04C0226120753</t>
  </si>
  <si>
    <t>04C0226120754</t>
  </si>
  <si>
    <t>04C0226120736</t>
  </si>
  <si>
    <t>04C0326120755</t>
  </si>
  <si>
    <t>04C0326120756</t>
  </si>
  <si>
    <t>04C0326120757</t>
  </si>
  <si>
    <t>04C0326120758</t>
  </si>
  <si>
    <t>04C0126120728</t>
  </si>
  <si>
    <t>04C0326120759</t>
  </si>
  <si>
    <t>04C0326120760</t>
  </si>
  <si>
    <t>04C0326120761</t>
  </si>
  <si>
    <t>04C0326120762</t>
  </si>
  <si>
    <t>04C0326120763</t>
  </si>
  <si>
    <t>04C0326120767</t>
  </si>
  <si>
    <t>04C0326120768</t>
  </si>
  <si>
    <t>04C0326120769</t>
  </si>
  <si>
    <t>04C0326120770</t>
  </si>
  <si>
    <t>04C0326120771</t>
  </si>
  <si>
    <t>04C0326120772</t>
  </si>
  <si>
    <t>04C0326120773</t>
  </si>
  <si>
    <t>04C0326120774</t>
  </si>
  <si>
    <t>04C0326120775</t>
  </si>
  <si>
    <t>04C0326120776</t>
  </si>
  <si>
    <t>04C0326120778</t>
  </si>
  <si>
    <t>04C0326120779</t>
  </si>
  <si>
    <t>04C0326120777</t>
  </si>
  <si>
    <t>04C0426120780</t>
  </si>
  <si>
    <t>04C0426120781</t>
  </si>
  <si>
    <t>04C0426120782</t>
  </si>
  <si>
    <t>04C0426120783</t>
  </si>
  <si>
    <t>04C0426120784</t>
  </si>
  <si>
    <t>04C0426120785</t>
  </si>
  <si>
    <t>04C0426120786</t>
  </si>
  <si>
    <t>04C0426120787</t>
  </si>
  <si>
    <t>04C0426120788</t>
  </si>
  <si>
    <t>04C0426120789</t>
  </si>
  <si>
    <t>04C0426120790</t>
  </si>
  <si>
    <t>04c526120791</t>
  </si>
  <si>
    <t>04c526120792</t>
  </si>
  <si>
    <t>04C0526120793</t>
  </si>
  <si>
    <t>04C0526120794</t>
  </si>
  <si>
    <t>04C0526120795</t>
  </si>
  <si>
    <t>04C0526120796</t>
  </si>
  <si>
    <t>04C0526120797</t>
  </si>
  <si>
    <t>04C0526120798</t>
  </si>
  <si>
    <t>04C0526120799</t>
  </si>
  <si>
    <t>04C0526120801</t>
  </si>
  <si>
    <t>04C0926120836</t>
  </si>
  <si>
    <t>04C0926120837</t>
  </si>
  <si>
    <t>04C0926120838</t>
  </si>
  <si>
    <t>04C1026120839</t>
  </si>
  <si>
    <t>04C1026120840</t>
  </si>
  <si>
    <t>04C1026120841</t>
  </si>
  <si>
    <t>04C1026120842</t>
  </si>
  <si>
    <t>04C1026120889</t>
  </si>
  <si>
    <t>04C1026120844</t>
  </si>
  <si>
    <t>04C1026120845</t>
  </si>
  <si>
    <t>04C1026120846</t>
  </si>
  <si>
    <t>04C1026120895</t>
  </si>
  <si>
    <t>04C1026120896</t>
  </si>
  <si>
    <t>04C1026120897</t>
  </si>
  <si>
    <t>04C1026120898</t>
  </si>
  <si>
    <t>04C1026120899</t>
  </si>
  <si>
    <t>04C1026120900</t>
  </si>
  <si>
    <t>04C1126120901</t>
  </si>
  <si>
    <t>04C1126120902</t>
  </si>
  <si>
    <t>04C1126120903</t>
  </si>
  <si>
    <t>04C1126120905</t>
  </si>
  <si>
    <t>04C1126120906</t>
  </si>
  <si>
    <t>04C1126120907</t>
  </si>
  <si>
    <t>04C1126120908</t>
  </si>
  <si>
    <t>04C1126120909</t>
  </si>
  <si>
    <t>04C1126120910</t>
  </si>
  <si>
    <t>04C1126120911</t>
  </si>
  <si>
    <t>04C1126120904</t>
  </si>
  <si>
    <t>04C1126120912</t>
  </si>
  <si>
    <t>04C1126120913</t>
  </si>
  <si>
    <t>04C1126120914</t>
  </si>
  <si>
    <t>04C1126120915</t>
  </si>
  <si>
    <t>04C1126120916</t>
  </si>
  <si>
    <t>04C1126120917</t>
  </si>
  <si>
    <t>04C1126120918</t>
  </si>
  <si>
    <t>04C1226120919</t>
  </si>
  <si>
    <t>04C1226120920</t>
  </si>
  <si>
    <t>04C1226120921</t>
  </si>
  <si>
    <t>04C1226120922</t>
  </si>
  <si>
    <t>04C1226120923</t>
  </si>
  <si>
    <t>04C1226120924</t>
  </si>
  <si>
    <t>04C1226120928</t>
  </si>
  <si>
    <t>04C1226120925</t>
  </si>
  <si>
    <t>04C1226120926</t>
  </si>
  <si>
    <t>04C1226120927</t>
  </si>
  <si>
    <t>04C1226120929</t>
  </si>
  <si>
    <t>04C1226120930</t>
  </si>
  <si>
    <t>04C1226120931</t>
  </si>
  <si>
    <t>04C1226120932</t>
  </si>
  <si>
    <t>04C1226120933</t>
  </si>
  <si>
    <t>04C1226120934</t>
  </si>
  <si>
    <t>04C1226120935</t>
  </si>
  <si>
    <t>04C1226120936</t>
  </si>
  <si>
    <t>04C1226120937</t>
  </si>
  <si>
    <t>04C1326120938</t>
  </si>
  <si>
    <t>04C1326120939</t>
  </si>
  <si>
    <t>04C1326120940</t>
  </si>
  <si>
    <t>04C1326120941</t>
  </si>
  <si>
    <t>04C1326120942</t>
  </si>
  <si>
    <t>04C1326120943</t>
  </si>
  <si>
    <t>04C1326120944</t>
  </si>
  <si>
    <t>04C1326120946</t>
  </si>
  <si>
    <t>04C1326120947</t>
  </si>
  <si>
    <t>04C1326120948</t>
  </si>
  <si>
    <t>04C1326120949</t>
  </si>
  <si>
    <t>04C1326120950</t>
  </si>
  <si>
    <t>04C1326120951</t>
  </si>
  <si>
    <t>04C1326120952</t>
  </si>
  <si>
    <t>04C1326120953</t>
  </si>
  <si>
    <t>04C1426120955</t>
  </si>
  <si>
    <t>04C1426120956</t>
  </si>
  <si>
    <t>04C1426120957</t>
  </si>
  <si>
    <t>04C1426120958</t>
  </si>
  <si>
    <t>04C1426120959</t>
  </si>
  <si>
    <t>04C1326120945</t>
  </si>
  <si>
    <t>04C1426120960</t>
  </si>
  <si>
    <t>04C1426120961</t>
  </si>
  <si>
    <t>04C1426120962</t>
  </si>
  <si>
    <t>04C1426120963</t>
  </si>
  <si>
    <t>04C1426120964</t>
  </si>
  <si>
    <t>04C1426120965</t>
  </si>
  <si>
    <t>04C1626120966</t>
  </si>
  <si>
    <t>04C1626120967</t>
  </si>
  <si>
    <t>04C1626120968</t>
  </si>
  <si>
    <t>04C1626120969</t>
  </si>
  <si>
    <t>04C1626120970</t>
  </si>
  <si>
    <t>04C1626120971</t>
  </si>
  <si>
    <t>04C1626120972</t>
  </si>
  <si>
    <t>04C1626120973</t>
  </si>
  <si>
    <t>04C1626120974</t>
  </si>
  <si>
    <t>04C1626120975</t>
  </si>
  <si>
    <t>04C1626120976</t>
  </si>
  <si>
    <t>04C1626120977</t>
  </si>
  <si>
    <t>04C1626120978</t>
  </si>
  <si>
    <t>04C1626120979</t>
  </si>
  <si>
    <t>04C1626120980</t>
  </si>
  <si>
    <t>04C1626120981</t>
  </si>
  <si>
    <t>04C1626120982</t>
  </si>
  <si>
    <t>04C1726120983</t>
  </si>
  <si>
    <t>04C1726120984</t>
  </si>
  <si>
    <t>04C1726120985</t>
  </si>
  <si>
    <t>04C1726120986</t>
  </si>
  <si>
    <t>04C1726120987</t>
  </si>
  <si>
    <t>04C1726120988</t>
  </si>
  <si>
    <t>04C1726120989</t>
  </si>
  <si>
    <t>04C1726120990</t>
  </si>
  <si>
    <t>04C1726120991</t>
  </si>
  <si>
    <t>04C1726120993</t>
  </si>
  <si>
    <t>04C1726120994</t>
  </si>
  <si>
    <t>04C1826120995</t>
  </si>
  <si>
    <t>04C1826120996</t>
  </si>
  <si>
    <t>04C1726120992</t>
  </si>
  <si>
    <t>04C1826120997</t>
  </si>
  <si>
    <t>04C1826120998</t>
  </si>
  <si>
    <t>04C1826120999</t>
  </si>
  <si>
    <t>04C1826121000</t>
  </si>
  <si>
    <t>04C1826121001</t>
  </si>
  <si>
    <t>04C1826121002</t>
  </si>
  <si>
    <t>04C1826121003</t>
  </si>
  <si>
    <t>04C1826121004</t>
  </si>
  <si>
    <t>04C1826121005</t>
  </si>
  <si>
    <t>04C1826121006</t>
  </si>
  <si>
    <t>04C1826121007</t>
  </si>
  <si>
    <t>04C1926121008</t>
  </si>
  <si>
    <t>04C1926121009</t>
  </si>
  <si>
    <t>04C1926121010</t>
  </si>
  <si>
    <t>04C1926121011</t>
  </si>
  <si>
    <t>04C1926121012</t>
  </si>
  <si>
    <t>04C1926121013</t>
  </si>
  <si>
    <t>04C1926121019</t>
  </si>
  <si>
    <t>04C1926121021</t>
  </si>
  <si>
    <t>04C1926121020</t>
  </si>
  <si>
    <t>04C1926121023</t>
  </si>
  <si>
    <t>04C1926121024</t>
  </si>
  <si>
    <t>04C1926121025</t>
  </si>
  <si>
    <t>04C1926121026</t>
  </si>
  <si>
    <t>04C1926121027</t>
  </si>
  <si>
    <t>04C1926121028</t>
  </si>
  <si>
    <t>04C1926121029</t>
  </si>
  <si>
    <t>04C1926121030</t>
  </si>
  <si>
    <t>04C2026121031</t>
  </si>
  <si>
    <t>04C2026121032</t>
  </si>
  <si>
    <t>04C2026121033</t>
  </si>
  <si>
    <t>04C2026121034</t>
  </si>
  <si>
    <t>04C2026121036</t>
  </si>
  <si>
    <t>04C2026121037</t>
  </si>
  <si>
    <t>04C2026121038</t>
  </si>
  <si>
    <t>04C2026121039</t>
  </si>
  <si>
    <t>04C2026121040</t>
  </si>
  <si>
    <t>04C2026121041</t>
  </si>
  <si>
    <t>04C2026121042</t>
  </si>
  <si>
    <t>04C2126121043</t>
  </si>
  <si>
    <t>04C2126121044</t>
  </si>
  <si>
    <t>04C2126121045</t>
  </si>
  <si>
    <t>04C2126121046</t>
  </si>
  <si>
    <t>04C2126121047</t>
  </si>
  <si>
    <t>04C2126121048</t>
  </si>
  <si>
    <t>04C2126121049</t>
  </si>
  <si>
    <t>04C2126121050</t>
  </si>
  <si>
    <t>04C2126121052</t>
  </si>
  <si>
    <t>04C2126121053</t>
  </si>
  <si>
    <t>04C2126121054</t>
  </si>
  <si>
    <t>04C2126121055</t>
  </si>
  <si>
    <t>04C2326121056</t>
  </si>
  <si>
    <t>04C2326121057</t>
  </si>
  <si>
    <t>04C2126121051</t>
  </si>
  <si>
    <t>04C2326121058</t>
  </si>
  <si>
    <t>04C2326121059</t>
  </si>
  <si>
    <t>04C2326121060</t>
  </si>
  <si>
    <t>04C2326121062</t>
  </si>
  <si>
    <t>04C2326121063</t>
  </si>
  <si>
    <t>04C2326121064</t>
  </si>
  <si>
    <t>04C2326121065</t>
  </si>
  <si>
    <t>04C2326121066</t>
  </si>
  <si>
    <t>04C2326121067</t>
  </si>
  <si>
    <t>04C2326121068</t>
  </si>
  <si>
    <t>04C2426121069</t>
  </si>
  <si>
    <t>04C2426121070</t>
  </si>
  <si>
    <t>04C2426121071</t>
  </si>
  <si>
    <t>04C2426121072</t>
  </si>
  <si>
    <t>04C2426121073</t>
  </si>
  <si>
    <t>04C2426121074</t>
  </si>
  <si>
    <t>04C2426121075</t>
  </si>
  <si>
    <t>04C2426121076</t>
  </si>
  <si>
    <t>04C2426121077</t>
  </si>
  <si>
    <t>04C2426121079</t>
  </si>
  <si>
    <t>04C2426121080</t>
  </si>
  <si>
    <t>04C2426121081</t>
  </si>
  <si>
    <t>04C2426121082</t>
  </si>
  <si>
    <t>04C2526121083</t>
  </si>
  <si>
    <t>04C2526121084</t>
  </si>
  <si>
    <t>04C2526121085</t>
  </si>
  <si>
    <t>04C2526121086</t>
  </si>
  <si>
    <t>04C2526121087</t>
  </si>
  <si>
    <t>04C2526121088</t>
  </si>
  <si>
    <t>04C2526121091</t>
  </si>
  <si>
    <t>04C2526121092</t>
  </si>
  <si>
    <t>04C2526121093</t>
  </si>
  <si>
    <t>04C2526121094</t>
  </si>
  <si>
    <t>04C2526121095</t>
  </si>
  <si>
    <t>04C2526121096</t>
  </si>
  <si>
    <t>04C2626121097</t>
  </si>
  <si>
    <t>04C2626121099</t>
  </si>
  <si>
    <t>04C2626121100</t>
  </si>
  <si>
    <t>04C2626121101</t>
  </si>
  <si>
    <t>04C2626121102</t>
  </si>
  <si>
    <t>04C2626121103</t>
  </si>
  <si>
    <t>04C2626121104</t>
  </si>
  <si>
    <t>04C2626121105</t>
  </si>
  <si>
    <t>04C2626121106</t>
  </si>
  <si>
    <t>04C2626121107</t>
  </si>
  <si>
    <t>04C2626121108</t>
  </si>
  <si>
    <t>04C2726121109</t>
  </si>
  <si>
    <t>04C2726121110</t>
  </si>
  <si>
    <t>04C2726121111</t>
  </si>
  <si>
    <t>04C2726121112</t>
  </si>
  <si>
    <t>04C2826121136</t>
  </si>
  <si>
    <t>04C2826121137</t>
  </si>
  <si>
    <t>04C2826121138</t>
  </si>
  <si>
    <t>04C2826121139</t>
  </si>
  <si>
    <t>04C2826121140</t>
  </si>
  <si>
    <t>04C3026121141</t>
  </si>
  <si>
    <t>04C3026121143</t>
  </si>
  <si>
    <t>04C3026121144</t>
  </si>
  <si>
    <t>04C2726121113</t>
  </si>
  <si>
    <t>04C2426121078</t>
  </si>
  <si>
    <t>04C3026121146</t>
  </si>
  <si>
    <t>04C2626121098</t>
  </si>
  <si>
    <t>04C3026121145</t>
  </si>
  <si>
    <t>04C3026121147</t>
  </si>
  <si>
    <t>04C3026121148</t>
  </si>
  <si>
    <t>04C3026121149</t>
  </si>
  <si>
    <t>04C2526121090</t>
  </si>
  <si>
    <t>04C3026121150</t>
  </si>
  <si>
    <t>04C3026121151</t>
  </si>
  <si>
    <t>04C3026121152</t>
  </si>
  <si>
    <t>04C3026121153</t>
  </si>
  <si>
    <t>04C3026121154</t>
  </si>
  <si>
    <t>04C3026121155</t>
  </si>
  <si>
    <t>04C3026121156</t>
  </si>
  <si>
    <t>04C3026121157</t>
  </si>
  <si>
    <t>04C2326121061</t>
  </si>
  <si>
    <t>04C3126121158</t>
  </si>
  <si>
    <t>04C3126121159</t>
  </si>
  <si>
    <t>04C3126121160</t>
  </si>
  <si>
    <t>04C3126121161</t>
  </si>
  <si>
    <t>04C3126121162</t>
  </si>
  <si>
    <t>04C3126121163</t>
  </si>
  <si>
    <t>04C3126121164</t>
  </si>
  <si>
    <t>04C3126121165</t>
  </si>
  <si>
    <t>04C3126121166</t>
  </si>
  <si>
    <t>04C3126121167</t>
  </si>
  <si>
    <t>04C3126121168</t>
  </si>
  <si>
    <t>04C3126121169</t>
  </si>
  <si>
    <t>04C3126121170</t>
  </si>
  <si>
    <t>04C3126121171</t>
  </si>
  <si>
    <t>04C3126121172</t>
  </si>
  <si>
    <t>04C3126121173</t>
  </si>
  <si>
    <t>04C3126121174</t>
  </si>
  <si>
    <t>04D0126121175</t>
  </si>
  <si>
    <t>04D0126121176</t>
  </si>
  <si>
    <t>04D0126121177</t>
  </si>
  <si>
    <t>04D0626121251</t>
  </si>
  <si>
    <t>04D0626121253</t>
  </si>
  <si>
    <t>04D0626121254</t>
  </si>
  <si>
    <t>04D0626121252</t>
  </si>
  <si>
    <t>04D0626121257</t>
  </si>
  <si>
    <t>04D0626121258</t>
  </si>
  <si>
    <t>04D0626121259</t>
  </si>
  <si>
    <t>04D0726121260</t>
  </si>
  <si>
    <t>04D0726121261</t>
  </si>
  <si>
    <t>04C1426120954</t>
  </si>
  <si>
    <t>04C2026121035</t>
  </si>
  <si>
    <t>04D0626121256</t>
  </si>
  <si>
    <t>04D0726121262</t>
  </si>
  <si>
    <t>04D0626121255</t>
  </si>
  <si>
    <t>04D0726121263</t>
  </si>
  <si>
    <t>04D0726121264</t>
  </si>
  <si>
    <t>04D0726121265</t>
  </si>
  <si>
    <t>04D0726121266</t>
  </si>
  <si>
    <t>04D0726121267</t>
  </si>
  <si>
    <t>04D0726121268</t>
  </si>
  <si>
    <t>04D0726121269</t>
  </si>
  <si>
    <t>04D0726121270</t>
  </si>
  <si>
    <t>04D0726121271</t>
  </si>
  <si>
    <t>04D0726121272</t>
  </si>
  <si>
    <t>04D0826121274</t>
  </si>
  <si>
    <t>04D0826121275</t>
  </si>
  <si>
    <t>04D0826121276</t>
  </si>
  <si>
    <t>04D0826121277</t>
  </si>
  <si>
    <t>04D0826121278</t>
  </si>
  <si>
    <t>04D0826121279</t>
  </si>
  <si>
    <t>04D0826121280</t>
  </si>
  <si>
    <t>04D0826121281</t>
  </si>
  <si>
    <t>04D0826121283</t>
  </si>
  <si>
    <t>04D0826121284</t>
  </si>
  <si>
    <t>04D0826121287</t>
  </si>
  <si>
    <t>04D0826121285</t>
  </si>
  <si>
    <t>04D0826121288</t>
  </si>
  <si>
    <t>04D0826121289</t>
  </si>
  <si>
    <t>04D0926121290</t>
  </si>
  <si>
    <t>04D0926121291</t>
  </si>
  <si>
    <t>04D0926121292</t>
  </si>
  <si>
    <t>04D0926121294</t>
  </si>
  <si>
    <t>04D0926121295</t>
  </si>
  <si>
    <t>04D0926121296</t>
  </si>
  <si>
    <t>04D0926121297</t>
  </si>
  <si>
    <t>04D0926121298</t>
  </si>
  <si>
    <t>04D0926121299</t>
  </si>
  <si>
    <t>04D0826121286</t>
  </si>
  <si>
    <t>04D0926121300</t>
  </si>
  <si>
    <t>04D1026121326</t>
  </si>
  <si>
    <t>04D1026121327</t>
  </si>
  <si>
    <t>04D1026121328</t>
  </si>
  <si>
    <t>04D1026121329</t>
  </si>
  <si>
    <t>04D1026121330</t>
  </si>
  <si>
    <t>04D1126121331</t>
  </si>
  <si>
    <t>04D1126121332</t>
  </si>
  <si>
    <t>04D1126121333</t>
  </si>
  <si>
    <t>04D1126121334</t>
  </si>
  <si>
    <t>04D1126121335</t>
  </si>
  <si>
    <t>04D1126121336</t>
  </si>
  <si>
    <t>04D1126121337</t>
  </si>
  <si>
    <t>04D1126121338</t>
  </si>
  <si>
    <t>04D1126121339</t>
  </si>
  <si>
    <t>04D1126121340</t>
  </si>
  <si>
    <t>04D1126121342</t>
  </si>
  <si>
    <t>04D1126121343</t>
  </si>
  <si>
    <t>04D1326121344</t>
  </si>
  <si>
    <t>04D1326121345</t>
  </si>
  <si>
    <t>04D1326121346</t>
  </si>
  <si>
    <t>04D1326121347</t>
  </si>
  <si>
    <t>04D1326121348</t>
  </si>
  <si>
    <t>04D1326121349</t>
  </si>
  <si>
    <t>04D1326121350</t>
  </si>
  <si>
    <t>04D1326121351</t>
  </si>
  <si>
    <t>04D1326121352</t>
  </si>
  <si>
    <t>04D1326121353</t>
  </si>
  <si>
    <t>04D1326121354</t>
  </si>
  <si>
    <t>04D1326121355</t>
  </si>
  <si>
    <t>04D1326121356</t>
  </si>
  <si>
    <t>04D1326121357</t>
  </si>
  <si>
    <t>04D1326121358</t>
  </si>
  <si>
    <t>04D1326121359</t>
  </si>
  <si>
    <t>04D1326121360</t>
  </si>
  <si>
    <t>04D1326121361</t>
  </si>
  <si>
    <t>04D1326121362</t>
  </si>
  <si>
    <t>04D1326121363</t>
  </si>
  <si>
    <t>04D1326121364</t>
  </si>
  <si>
    <t>04D1326121365</t>
  </si>
  <si>
    <t>04D1326121366</t>
  </si>
  <si>
    <t>04D1426121367</t>
  </si>
  <si>
    <t>04D1426121368</t>
  </si>
  <si>
    <t>04D1426121369</t>
  </si>
  <si>
    <t>04D1426121370</t>
  </si>
  <si>
    <t>04D1426121371</t>
  </si>
  <si>
    <t>04D1426121372</t>
  </si>
  <si>
    <t>04D1426121373</t>
  </si>
  <si>
    <t>04D1426121374</t>
  </si>
  <si>
    <t>04D1426121375</t>
  </si>
  <si>
    <t>04D1426121376</t>
  </si>
  <si>
    <t>04D1426121377</t>
  </si>
  <si>
    <t>04D1426121378</t>
  </si>
  <si>
    <t>04D1426121379</t>
  </si>
  <si>
    <t>04D1426121380</t>
  </si>
  <si>
    <t>04D1426121381</t>
  </si>
  <si>
    <t>04D1426121382</t>
  </si>
  <si>
    <t>04D1426121383</t>
  </si>
  <si>
    <t>04D1426121384</t>
  </si>
  <si>
    <t>04D1426121385</t>
  </si>
  <si>
    <t>04D1426121387</t>
  </si>
  <si>
    <t>04D1526121388</t>
  </si>
  <si>
    <t>04D1526121389</t>
  </si>
  <si>
    <t>04D1526121390</t>
  </si>
  <si>
    <t>04D1526121391</t>
  </si>
  <si>
    <t>04D1526121392</t>
  </si>
  <si>
    <t>04D1526121393</t>
  </si>
  <si>
    <t>04D1526121394</t>
  </si>
  <si>
    <t>04D1526121395</t>
  </si>
  <si>
    <t>04D1526121396</t>
  </si>
  <si>
    <t>04D1526121397</t>
  </si>
  <si>
    <t>04D1526121398</t>
  </si>
  <si>
    <t>04D1526121399</t>
  </si>
  <si>
    <t>04D1526121400</t>
  </si>
  <si>
    <t>04D1526121401</t>
  </si>
  <si>
    <t>04D1526121402</t>
  </si>
  <si>
    <t>04D1526121403</t>
  </si>
  <si>
    <t>04D1526121404</t>
  </si>
  <si>
    <t>04D1526121405</t>
  </si>
  <si>
    <t>04D1526121406</t>
  </si>
  <si>
    <t>04D1526121407</t>
  </si>
  <si>
    <t>04D1626121408</t>
  </si>
  <si>
    <t>04D1626121409</t>
  </si>
  <si>
    <t>04D1626121410</t>
  </si>
  <si>
    <t>04D1626121411</t>
  </si>
  <si>
    <t>04D1626121412</t>
  </si>
  <si>
    <t>04D1626121413</t>
  </si>
  <si>
    <t>04D1626121414</t>
  </si>
  <si>
    <t>04D1626121415</t>
  </si>
  <si>
    <t>04D1626121416</t>
  </si>
  <si>
    <t>04D1626121417</t>
  </si>
  <si>
    <t>04D1626121418</t>
  </si>
  <si>
    <t>04D1626121419</t>
  </si>
  <si>
    <t>04D0926121293</t>
  </si>
  <si>
    <t>04D1726121461</t>
  </si>
  <si>
    <t>04D1726121462</t>
  </si>
  <si>
    <t>04D1826121463</t>
  </si>
  <si>
    <t>04D1826121464</t>
  </si>
  <si>
    <t>04D1826121465</t>
  </si>
  <si>
    <t>04D1826121466</t>
  </si>
  <si>
    <t>04D1826121467</t>
  </si>
  <si>
    <t>04D1826121468</t>
  </si>
  <si>
    <t>04D1426121386</t>
  </si>
  <si>
    <t>04D1126121341</t>
  </si>
  <si>
    <t>04D0826121273</t>
  </si>
  <si>
    <t>Unit</t>
  </si>
  <si>
    <t>Measurement</t>
  </si>
  <si>
    <t>n_all</t>
  </si>
  <si>
    <t>n_pass</t>
  </si>
  <si>
    <t>Mean(pass)</t>
  </si>
  <si>
    <t>StdDev(pass)</t>
  </si>
  <si>
    <t>Min</t>
  </si>
  <si>
    <t>Max</t>
  </si>
  <si>
    <t>Outliers(&gt;3σ)</t>
  </si>
  <si>
    <t>Suction Tube Temp</t>
  </si>
  <si>
    <t>Evap Inlet Ret Bend A</t>
  </si>
  <si>
    <t>Evap Inlet Ret Bend B</t>
  </si>
  <si>
    <t>Evap Outlet Air Temp</t>
  </si>
  <si>
    <t>Evap B Outlet Air Temp</t>
  </si>
  <si>
    <t>Inlet/Outlet Delta</t>
  </si>
  <si>
    <t>Inlet/Outlet B Delta</t>
  </si>
  <si>
    <t>Ambient Temp</t>
  </si>
  <si>
    <t>Startup Voltage</t>
  </si>
  <si>
    <t>Final Voltage</t>
  </si>
  <si>
    <t>Startup Current</t>
  </si>
  <si>
    <t>Final Current</t>
  </si>
  <si>
    <t>Suction Tube Temp—LT</t>
  </si>
  <si>
    <t>Normal</t>
  </si>
  <si>
    <t>Warning(2-3σ)</t>
  </si>
  <si>
    <t>Outlier(&gt;3σ)</t>
  </si>
  <si>
    <t>CurveX</t>
  </si>
  <si>
    <t>CurveY</t>
  </si>
  <si>
    <t>Evap Inlet Ret Bend A—LT</t>
  </si>
  <si>
    <t>Evap Inlet Ret Bend B (LT) — insufficient data</t>
  </si>
  <si>
    <t>Evap Outlet Air Temp—LT</t>
  </si>
  <si>
    <t>Evap B Outlet Air Temp (LT) — insufficient data</t>
  </si>
  <si>
    <t>Inlet/Outlet Delta—LT</t>
  </si>
  <si>
    <t>Inlet/Outlet B Delta (LT) — insufficient data</t>
  </si>
  <si>
    <t>Ambient Temp—LT</t>
  </si>
  <si>
    <t>Startup Voltage—LT</t>
  </si>
  <si>
    <t>Final Voltage—LT</t>
  </si>
  <si>
    <t>Startup Current—LT</t>
  </si>
  <si>
    <t>Final Current—LT</t>
  </si>
  <si>
    <t>Suction Tube Temp—MT</t>
  </si>
  <si>
    <t>Evap Inlet Ret Bend A—MT</t>
  </si>
  <si>
    <t>Evap Inlet Ret Bend B (MT) — insufficient data</t>
  </si>
  <si>
    <t>Evap Outlet Air Temp—MT</t>
  </si>
  <si>
    <t>Evap B Outlet Air Temp (MT) — insufficient data</t>
  </si>
  <si>
    <t>Inlet/Outlet Delta—MT</t>
  </si>
  <si>
    <t>Inlet/Outlet B Delta (MT) — insufficient data</t>
  </si>
  <si>
    <t>Ambient Temp—MT</t>
  </si>
  <si>
    <t>Startup Voltage—MT</t>
  </si>
  <si>
    <t>Final Voltage—MT</t>
  </si>
  <si>
    <t>Startup Current—MT</t>
  </si>
  <si>
    <t>Final Current—MT</t>
  </si>
  <si>
    <t>Mean</t>
  </si>
  <si>
    <t>StdDev</t>
  </si>
  <si>
    <t>3σ Low</t>
  </si>
  <si>
    <t>3σ High</t>
  </si>
  <si>
    <t>P1 Low</t>
  </si>
  <si>
    <t>P99 High</t>
  </si>
  <si>
    <t>IQR Low</t>
  </si>
  <si>
    <t>IQR High</t>
  </si>
  <si>
    <t>Rec. Low</t>
  </si>
  <si>
    <t>Rec. High</t>
  </si>
  <si>
    <t>Spread Ratio</t>
  </si>
  <si>
    <t>Agreement</t>
  </si>
  <si>
    <t>Poor — non-normal</t>
  </si>
  <si>
    <t>Review</t>
  </si>
  <si>
    <t>Good</t>
  </si>
  <si>
    <t>Failed?</t>
  </si>
  <si>
    <t>Value</t>
  </si>
  <si>
    <t>Z_Score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</si>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</sst>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4FB"/>
      </patternFill>
    </fill>
    <fill>
      <patternFill patternType="solid">
        <fgColor rgb="FFC6EFCE"/>
      </patternFill>
    </fill>
    <fill>
      <patternFill patternType="solid">
        <fgColor rgb="FFFF9999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Suction Tube Temp [LT]  </a:t>
            </a:r>
            <a:r>
              <a:rPr lang="el-GR"/>
              <a:t>μ=152.74  σ=5.73  </a:t>
            </a:r>
            <a:r>
              <a:rPr lang="en-US"/>
              <a:t>n=323  out(3</a:t>
            </a:r>
            <a:r>
              <a:rPr lang="el-GR"/>
              <a:t>σ)=55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LT_BellCurves!$A$2:$A$31</c:f>
              <c:numCache>
                <c:formatCode>General</c:formatCode>
                <c:ptCount val="30"/>
                <c:pt idx="0">
                  <c:v>69.499099999999999</c:v>
                </c:pt>
                <c:pt idx="1">
                  <c:v>73.426699999999997</c:v>
                </c:pt>
                <c:pt idx="2">
                  <c:v>77.354399999999998</c:v>
                </c:pt>
                <c:pt idx="3">
                  <c:v>81.281999999999996</c:v>
                </c:pt>
                <c:pt idx="4">
                  <c:v>85.209699999999998</c:v>
                </c:pt>
                <c:pt idx="5">
                  <c:v>89.137299999999996</c:v>
                </c:pt>
                <c:pt idx="6">
                  <c:v>93.064999999999998</c:v>
                </c:pt>
                <c:pt idx="7">
                  <c:v>96.992599999999996</c:v>
                </c:pt>
                <c:pt idx="8">
                  <c:v>100.9203</c:v>
                </c:pt>
                <c:pt idx="9">
                  <c:v>104.8479</c:v>
                </c:pt>
                <c:pt idx="10">
                  <c:v>108.7756</c:v>
                </c:pt>
                <c:pt idx="11">
                  <c:v>112.7032</c:v>
                </c:pt>
                <c:pt idx="12">
                  <c:v>116.6309</c:v>
                </c:pt>
                <c:pt idx="13">
                  <c:v>120.5585</c:v>
                </c:pt>
                <c:pt idx="14">
                  <c:v>124.4862</c:v>
                </c:pt>
                <c:pt idx="15">
                  <c:v>128.41380000000001</c:v>
                </c:pt>
                <c:pt idx="16">
                  <c:v>132.3415</c:v>
                </c:pt>
                <c:pt idx="17">
                  <c:v>136.26910000000001</c:v>
                </c:pt>
                <c:pt idx="18">
                  <c:v>140.1968</c:v>
                </c:pt>
                <c:pt idx="19">
                  <c:v>144.12440000000001</c:v>
                </c:pt>
                <c:pt idx="20">
                  <c:v>148.0521</c:v>
                </c:pt>
                <c:pt idx="21">
                  <c:v>151.97970000000001</c:v>
                </c:pt>
                <c:pt idx="22">
                  <c:v>155.9074</c:v>
                </c:pt>
                <c:pt idx="23">
                  <c:v>159.83500000000001</c:v>
                </c:pt>
                <c:pt idx="24">
                  <c:v>163.7627</c:v>
                </c:pt>
                <c:pt idx="25">
                  <c:v>167.69030000000001</c:v>
                </c:pt>
                <c:pt idx="26">
                  <c:v>171.61799999999999</c:v>
                </c:pt>
                <c:pt idx="27">
                  <c:v>175.54560000000001</c:v>
                </c:pt>
                <c:pt idx="28">
                  <c:v>179.47329999999999</c:v>
                </c:pt>
                <c:pt idx="29">
                  <c:v>183.40090000000001</c:v>
                </c:pt>
              </c:numCache>
            </c:numRef>
          </c:cat>
          <c:val>
            <c:numRef>
              <c:f>LT_BellCurves!$B$2:$B$31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36</c:v>
                </c:pt>
                <c:pt idx="20">
                  <c:v>66</c:v>
                </c:pt>
                <c:pt idx="21">
                  <c:v>57</c:v>
                </c:pt>
                <c:pt idx="22">
                  <c:v>41</c:v>
                </c:pt>
                <c:pt idx="23">
                  <c:v>32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LT_BellCurves!$A$2:$A$31</c:f>
              <c:numCache>
                <c:formatCode>General</c:formatCode>
                <c:ptCount val="30"/>
                <c:pt idx="0">
                  <c:v>69.499099999999999</c:v>
                </c:pt>
                <c:pt idx="1">
                  <c:v>73.426699999999997</c:v>
                </c:pt>
                <c:pt idx="2">
                  <c:v>77.354399999999998</c:v>
                </c:pt>
                <c:pt idx="3">
                  <c:v>81.281999999999996</c:v>
                </c:pt>
                <c:pt idx="4">
                  <c:v>85.209699999999998</c:v>
                </c:pt>
                <c:pt idx="5">
                  <c:v>89.137299999999996</c:v>
                </c:pt>
                <c:pt idx="6">
                  <c:v>93.064999999999998</c:v>
                </c:pt>
                <c:pt idx="7">
                  <c:v>96.992599999999996</c:v>
                </c:pt>
                <c:pt idx="8">
                  <c:v>100.9203</c:v>
                </c:pt>
                <c:pt idx="9">
                  <c:v>104.8479</c:v>
                </c:pt>
                <c:pt idx="10">
                  <c:v>108.7756</c:v>
                </c:pt>
                <c:pt idx="11">
                  <c:v>112.7032</c:v>
                </c:pt>
                <c:pt idx="12">
                  <c:v>116.6309</c:v>
                </c:pt>
                <c:pt idx="13">
                  <c:v>120.5585</c:v>
                </c:pt>
                <c:pt idx="14">
                  <c:v>124.4862</c:v>
                </c:pt>
                <c:pt idx="15">
                  <c:v>128.41380000000001</c:v>
                </c:pt>
                <c:pt idx="16">
                  <c:v>132.3415</c:v>
                </c:pt>
                <c:pt idx="17">
                  <c:v>136.26910000000001</c:v>
                </c:pt>
                <c:pt idx="18">
                  <c:v>140.1968</c:v>
                </c:pt>
                <c:pt idx="19">
                  <c:v>144.12440000000001</c:v>
                </c:pt>
                <c:pt idx="20">
                  <c:v>148.0521</c:v>
                </c:pt>
                <c:pt idx="21">
                  <c:v>151.97970000000001</c:v>
                </c:pt>
                <c:pt idx="22">
                  <c:v>155.9074</c:v>
                </c:pt>
                <c:pt idx="23">
                  <c:v>159.83500000000001</c:v>
                </c:pt>
                <c:pt idx="24">
                  <c:v>163.7627</c:v>
                </c:pt>
                <c:pt idx="25">
                  <c:v>167.69030000000001</c:v>
                </c:pt>
                <c:pt idx="26">
                  <c:v>171.61799999999999</c:v>
                </c:pt>
                <c:pt idx="27">
                  <c:v>175.54560000000001</c:v>
                </c:pt>
                <c:pt idx="28">
                  <c:v>179.47329999999999</c:v>
                </c:pt>
                <c:pt idx="29">
                  <c:v>183.40090000000001</c:v>
                </c:pt>
              </c:numCache>
            </c:numRef>
          </c:cat>
          <c:val>
            <c:numRef>
              <c:f>LT_BellCurves!$C$2:$C$31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LT_BellCurves!$A$2:$A$31</c:f>
              <c:numCache>
                <c:formatCode>General</c:formatCode>
                <c:ptCount val="30"/>
                <c:pt idx="0">
                  <c:v>69.499099999999999</c:v>
                </c:pt>
                <c:pt idx="1">
                  <c:v>73.426699999999997</c:v>
                </c:pt>
                <c:pt idx="2">
                  <c:v>77.354399999999998</c:v>
                </c:pt>
                <c:pt idx="3">
                  <c:v>81.281999999999996</c:v>
                </c:pt>
                <c:pt idx="4">
                  <c:v>85.209699999999998</c:v>
                </c:pt>
                <c:pt idx="5">
                  <c:v>89.137299999999996</c:v>
                </c:pt>
                <c:pt idx="6">
                  <c:v>93.064999999999998</c:v>
                </c:pt>
                <c:pt idx="7">
                  <c:v>96.992599999999996</c:v>
                </c:pt>
                <c:pt idx="8">
                  <c:v>100.9203</c:v>
                </c:pt>
                <c:pt idx="9">
                  <c:v>104.8479</c:v>
                </c:pt>
                <c:pt idx="10">
                  <c:v>108.7756</c:v>
                </c:pt>
                <c:pt idx="11">
                  <c:v>112.7032</c:v>
                </c:pt>
                <c:pt idx="12">
                  <c:v>116.6309</c:v>
                </c:pt>
                <c:pt idx="13">
                  <c:v>120.5585</c:v>
                </c:pt>
                <c:pt idx="14">
                  <c:v>124.4862</c:v>
                </c:pt>
                <c:pt idx="15">
                  <c:v>128.41380000000001</c:v>
                </c:pt>
                <c:pt idx="16">
                  <c:v>132.3415</c:v>
                </c:pt>
                <c:pt idx="17">
                  <c:v>136.26910000000001</c:v>
                </c:pt>
                <c:pt idx="18">
                  <c:v>140.1968</c:v>
                </c:pt>
                <c:pt idx="19">
                  <c:v>144.12440000000001</c:v>
                </c:pt>
                <c:pt idx="20">
                  <c:v>148.0521</c:v>
                </c:pt>
                <c:pt idx="21">
                  <c:v>151.97970000000001</c:v>
                </c:pt>
                <c:pt idx="22">
                  <c:v>155.9074</c:v>
                </c:pt>
                <c:pt idx="23">
                  <c:v>159.83500000000001</c:v>
                </c:pt>
                <c:pt idx="24">
                  <c:v>163.7627</c:v>
                </c:pt>
                <c:pt idx="25">
                  <c:v>167.69030000000001</c:v>
                </c:pt>
                <c:pt idx="26">
                  <c:v>171.61799999999999</c:v>
                </c:pt>
                <c:pt idx="27">
                  <c:v>175.54560000000001</c:v>
                </c:pt>
                <c:pt idx="28">
                  <c:v>179.47329999999999</c:v>
                </c:pt>
                <c:pt idx="29">
                  <c:v>183.40090000000001</c:v>
                </c:pt>
              </c:numCache>
            </c:numRef>
          </c:cat>
          <c:val>
            <c:numRef>
              <c:f>LT_BellCurves!$D$2:$D$31</c:f>
              <c:numCache>
                <c:formatCode>General</c:formatCode>
                <c:ptCount val="30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6</c:v>
                </c:pt>
                <c:pt idx="28">
                  <c:v>3</c:v>
                </c:pt>
                <c:pt idx="2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388352"/>
        <c:axId val="130390272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LT_BellCurves!$F$2:$F$31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2.9999999999999997E-4</c:v>
                </c:pt>
                <c:pt idx="15">
                  <c:v>1.6199999999999999E-2</c:v>
                </c:pt>
                <c:pt idx="16">
                  <c:v>0.42599999999999999</c:v>
                </c:pt>
                <c:pt idx="17">
                  <c:v>5.1430999999999996</c:v>
                </c:pt>
                <c:pt idx="18">
                  <c:v>28.542100000000001</c:v>
                </c:pt>
                <c:pt idx="19">
                  <c:v>72.816299999999998</c:v>
                </c:pt>
                <c:pt idx="20">
                  <c:v>85.399199999999993</c:v>
                </c:pt>
                <c:pt idx="21">
                  <c:v>46.0428</c:v>
                </c:pt>
                <c:pt idx="22">
                  <c:v>11.411799999999999</c:v>
                </c:pt>
                <c:pt idx="23">
                  <c:v>1.3003</c:v>
                </c:pt>
                <c:pt idx="24">
                  <c:v>6.8099999999999994E-2</c:v>
                </c:pt>
                <c:pt idx="25">
                  <c:v>1.6000000000000001E-3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88352"/>
        <c:axId val="130390272"/>
      </c:lineChart>
      <c:catAx>
        <c:axId val="130388352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390272"/>
        <c:crosses val="autoZero"/>
        <c:auto val="1"/>
        <c:lblAlgn val="ctr"/>
        <c:lblOffset val="100"/>
        <c:tickLblSkip val="5"/>
        <c:noMultiLvlLbl val="1"/>
      </c:catAx>
      <c:valAx>
        <c:axId val="13039027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388352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Evap Inlet Ret Bend A [LT]  </a:t>
            </a:r>
            <a:r>
              <a:rPr lang="el-GR"/>
              <a:t>μ=96.43  σ=5.04  </a:t>
            </a:r>
            <a:r>
              <a:rPr lang="en-US"/>
              <a:t>n=323  out(3</a:t>
            </a:r>
            <a:r>
              <a:rPr lang="el-GR"/>
              <a:t>σ)=35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LT_BellCurves!$A$35:$A$64</c:f>
              <c:numCache>
                <c:formatCode>General</c:formatCode>
                <c:ptCount val="30"/>
                <c:pt idx="0">
                  <c:v>-1940.4148</c:v>
                </c:pt>
                <c:pt idx="1">
                  <c:v>-1868.6069</c:v>
                </c:pt>
                <c:pt idx="2">
                  <c:v>-1796.799</c:v>
                </c:pt>
                <c:pt idx="3">
                  <c:v>-1724.991</c:v>
                </c:pt>
                <c:pt idx="4">
                  <c:v>-1653.1831</c:v>
                </c:pt>
                <c:pt idx="5">
                  <c:v>-1581.3751999999999</c:v>
                </c:pt>
                <c:pt idx="6">
                  <c:v>-1509.5672999999999</c:v>
                </c:pt>
                <c:pt idx="7">
                  <c:v>-1437.7593999999999</c:v>
                </c:pt>
                <c:pt idx="8">
                  <c:v>-1365.9514999999999</c:v>
                </c:pt>
                <c:pt idx="9">
                  <c:v>-1294.1434999999999</c:v>
                </c:pt>
                <c:pt idx="10">
                  <c:v>-1222.3356000000001</c:v>
                </c:pt>
                <c:pt idx="11">
                  <c:v>-1150.5277000000001</c:v>
                </c:pt>
                <c:pt idx="12">
                  <c:v>-1078.7198000000001</c:v>
                </c:pt>
                <c:pt idx="13">
                  <c:v>-1006.9118999999999</c:v>
                </c:pt>
                <c:pt idx="14">
                  <c:v>-935.10400000000004</c:v>
                </c:pt>
                <c:pt idx="15">
                  <c:v>-863.29600000000005</c:v>
                </c:pt>
                <c:pt idx="16">
                  <c:v>-791.48810000000003</c:v>
                </c:pt>
                <c:pt idx="17">
                  <c:v>-719.68020000000001</c:v>
                </c:pt>
                <c:pt idx="18">
                  <c:v>-647.8723</c:v>
                </c:pt>
                <c:pt idx="19">
                  <c:v>-576.06439999999998</c:v>
                </c:pt>
                <c:pt idx="20">
                  <c:v>-504.25650000000002</c:v>
                </c:pt>
                <c:pt idx="21">
                  <c:v>-432.44850000000002</c:v>
                </c:pt>
                <c:pt idx="22">
                  <c:v>-360.64060000000001</c:v>
                </c:pt>
                <c:pt idx="23">
                  <c:v>-288.83269999999999</c:v>
                </c:pt>
                <c:pt idx="24">
                  <c:v>-217.0248</c:v>
                </c:pt>
                <c:pt idx="25">
                  <c:v>-145.21690000000001</c:v>
                </c:pt>
                <c:pt idx="26">
                  <c:v>-73.409000000000006</c:v>
                </c:pt>
                <c:pt idx="27">
                  <c:v>-1.601</c:v>
                </c:pt>
                <c:pt idx="28">
                  <c:v>70.206900000000005</c:v>
                </c:pt>
                <c:pt idx="29">
                  <c:v>142.01480000000001</c:v>
                </c:pt>
              </c:numCache>
            </c:numRef>
          </c:cat>
          <c:val>
            <c:numRef>
              <c:f>LT_BellCurves!$B$35:$B$64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LT_BellCurves!$A$35:$A$64</c:f>
              <c:numCache>
                <c:formatCode>General</c:formatCode>
                <c:ptCount val="30"/>
                <c:pt idx="0">
                  <c:v>-1940.4148</c:v>
                </c:pt>
                <c:pt idx="1">
                  <c:v>-1868.6069</c:v>
                </c:pt>
                <c:pt idx="2">
                  <c:v>-1796.799</c:v>
                </c:pt>
                <c:pt idx="3">
                  <c:v>-1724.991</c:v>
                </c:pt>
                <c:pt idx="4">
                  <c:v>-1653.1831</c:v>
                </c:pt>
                <c:pt idx="5">
                  <c:v>-1581.3751999999999</c:v>
                </c:pt>
                <c:pt idx="6">
                  <c:v>-1509.5672999999999</c:v>
                </c:pt>
                <c:pt idx="7">
                  <c:v>-1437.7593999999999</c:v>
                </c:pt>
                <c:pt idx="8">
                  <c:v>-1365.9514999999999</c:v>
                </c:pt>
                <c:pt idx="9">
                  <c:v>-1294.1434999999999</c:v>
                </c:pt>
                <c:pt idx="10">
                  <c:v>-1222.3356000000001</c:v>
                </c:pt>
                <c:pt idx="11">
                  <c:v>-1150.5277000000001</c:v>
                </c:pt>
                <c:pt idx="12">
                  <c:v>-1078.7198000000001</c:v>
                </c:pt>
                <c:pt idx="13">
                  <c:v>-1006.9118999999999</c:v>
                </c:pt>
                <c:pt idx="14">
                  <c:v>-935.10400000000004</c:v>
                </c:pt>
                <c:pt idx="15">
                  <c:v>-863.29600000000005</c:v>
                </c:pt>
                <c:pt idx="16">
                  <c:v>-791.48810000000003</c:v>
                </c:pt>
                <c:pt idx="17">
                  <c:v>-719.68020000000001</c:v>
                </c:pt>
                <c:pt idx="18">
                  <c:v>-647.8723</c:v>
                </c:pt>
                <c:pt idx="19">
                  <c:v>-576.06439999999998</c:v>
                </c:pt>
                <c:pt idx="20">
                  <c:v>-504.25650000000002</c:v>
                </c:pt>
                <c:pt idx="21">
                  <c:v>-432.44850000000002</c:v>
                </c:pt>
                <c:pt idx="22">
                  <c:v>-360.64060000000001</c:v>
                </c:pt>
                <c:pt idx="23">
                  <c:v>-288.83269999999999</c:v>
                </c:pt>
                <c:pt idx="24">
                  <c:v>-217.0248</c:v>
                </c:pt>
                <c:pt idx="25">
                  <c:v>-145.21690000000001</c:v>
                </c:pt>
                <c:pt idx="26">
                  <c:v>-73.409000000000006</c:v>
                </c:pt>
                <c:pt idx="27">
                  <c:v>-1.601</c:v>
                </c:pt>
                <c:pt idx="28">
                  <c:v>70.206900000000005</c:v>
                </c:pt>
                <c:pt idx="29">
                  <c:v>142.01480000000001</c:v>
                </c:pt>
              </c:numCache>
            </c:numRef>
          </c:cat>
          <c:val>
            <c:numRef>
              <c:f>LT_BellCurves!$C$35:$C$64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LT_BellCurves!$A$35:$A$64</c:f>
              <c:numCache>
                <c:formatCode>General</c:formatCode>
                <c:ptCount val="30"/>
                <c:pt idx="0">
                  <c:v>-1940.4148</c:v>
                </c:pt>
                <c:pt idx="1">
                  <c:v>-1868.6069</c:v>
                </c:pt>
                <c:pt idx="2">
                  <c:v>-1796.799</c:v>
                </c:pt>
                <c:pt idx="3">
                  <c:v>-1724.991</c:v>
                </c:pt>
                <c:pt idx="4">
                  <c:v>-1653.1831</c:v>
                </c:pt>
                <c:pt idx="5">
                  <c:v>-1581.3751999999999</c:v>
                </c:pt>
                <c:pt idx="6">
                  <c:v>-1509.5672999999999</c:v>
                </c:pt>
                <c:pt idx="7">
                  <c:v>-1437.7593999999999</c:v>
                </c:pt>
                <c:pt idx="8">
                  <c:v>-1365.9514999999999</c:v>
                </c:pt>
                <c:pt idx="9">
                  <c:v>-1294.1434999999999</c:v>
                </c:pt>
                <c:pt idx="10">
                  <c:v>-1222.3356000000001</c:v>
                </c:pt>
                <c:pt idx="11">
                  <c:v>-1150.5277000000001</c:v>
                </c:pt>
                <c:pt idx="12">
                  <c:v>-1078.7198000000001</c:v>
                </c:pt>
                <c:pt idx="13">
                  <c:v>-1006.9118999999999</c:v>
                </c:pt>
                <c:pt idx="14">
                  <c:v>-935.10400000000004</c:v>
                </c:pt>
                <c:pt idx="15">
                  <c:v>-863.29600000000005</c:v>
                </c:pt>
                <c:pt idx="16">
                  <c:v>-791.48810000000003</c:v>
                </c:pt>
                <c:pt idx="17">
                  <c:v>-719.68020000000001</c:v>
                </c:pt>
                <c:pt idx="18">
                  <c:v>-647.8723</c:v>
                </c:pt>
                <c:pt idx="19">
                  <c:v>-576.06439999999998</c:v>
                </c:pt>
                <c:pt idx="20">
                  <c:v>-504.25650000000002</c:v>
                </c:pt>
                <c:pt idx="21">
                  <c:v>-432.44850000000002</c:v>
                </c:pt>
                <c:pt idx="22">
                  <c:v>-360.64060000000001</c:v>
                </c:pt>
                <c:pt idx="23">
                  <c:v>-288.83269999999999</c:v>
                </c:pt>
                <c:pt idx="24">
                  <c:v>-217.0248</c:v>
                </c:pt>
                <c:pt idx="25">
                  <c:v>-145.21690000000001</c:v>
                </c:pt>
                <c:pt idx="26">
                  <c:v>-73.409000000000006</c:v>
                </c:pt>
                <c:pt idx="27">
                  <c:v>-1.601</c:v>
                </c:pt>
                <c:pt idx="28">
                  <c:v>70.206900000000005</c:v>
                </c:pt>
                <c:pt idx="29">
                  <c:v>142.01480000000001</c:v>
                </c:pt>
              </c:numCache>
            </c:numRef>
          </c:cat>
          <c:val>
            <c:numRef>
              <c:f>LT_BellCurves!$D$35:$D$64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314</c:v>
                </c:pt>
                <c:pt idx="29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425984"/>
        <c:axId val="130427904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LT_BellCurves!$F$35:$F$64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1.5728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25984"/>
        <c:axId val="130427904"/>
      </c:lineChart>
      <c:catAx>
        <c:axId val="130425984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427904"/>
        <c:crosses val="autoZero"/>
        <c:auto val="1"/>
        <c:lblAlgn val="ctr"/>
        <c:lblOffset val="100"/>
        <c:tickLblSkip val="5"/>
        <c:noMultiLvlLbl val="1"/>
      </c:catAx>
      <c:valAx>
        <c:axId val="13042790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42598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Evap Outlet Air Temp [LT]  </a:t>
            </a:r>
            <a:r>
              <a:rPr lang="el-GR"/>
              <a:t>μ=69.40  σ=2.22  </a:t>
            </a:r>
            <a:r>
              <a:rPr lang="en-US"/>
              <a:t>n=323  out(3</a:t>
            </a:r>
            <a:r>
              <a:rPr lang="el-GR"/>
              <a:t>σ)=13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LT_BellCurves!$A$101:$A$130</c:f>
              <c:numCache>
                <c:formatCode>General</c:formatCode>
                <c:ptCount val="30"/>
                <c:pt idx="0">
                  <c:v>-1919.2561000000001</c:v>
                </c:pt>
                <c:pt idx="1">
                  <c:v>-1851.5453</c:v>
                </c:pt>
                <c:pt idx="2">
                  <c:v>-1783.8344999999999</c:v>
                </c:pt>
                <c:pt idx="3">
                  <c:v>-1716.1238000000001</c:v>
                </c:pt>
                <c:pt idx="4">
                  <c:v>-1648.413</c:v>
                </c:pt>
                <c:pt idx="5">
                  <c:v>-1580.7022999999999</c:v>
                </c:pt>
                <c:pt idx="6">
                  <c:v>-1512.9915000000001</c:v>
                </c:pt>
                <c:pt idx="7">
                  <c:v>-1445.2807</c:v>
                </c:pt>
                <c:pt idx="8">
                  <c:v>-1377.57</c:v>
                </c:pt>
                <c:pt idx="9">
                  <c:v>-1309.8592000000001</c:v>
                </c:pt>
                <c:pt idx="10">
                  <c:v>-1242.1484</c:v>
                </c:pt>
                <c:pt idx="11">
                  <c:v>-1174.4376999999999</c:v>
                </c:pt>
                <c:pt idx="12">
                  <c:v>-1106.7268999999999</c:v>
                </c:pt>
                <c:pt idx="13">
                  <c:v>-1039.0161000000001</c:v>
                </c:pt>
                <c:pt idx="14">
                  <c:v>-971.30539999999996</c:v>
                </c:pt>
                <c:pt idx="15">
                  <c:v>-903.59460000000001</c:v>
                </c:pt>
                <c:pt idx="16">
                  <c:v>-835.88390000000004</c:v>
                </c:pt>
                <c:pt idx="17">
                  <c:v>-768.17309999999998</c:v>
                </c:pt>
                <c:pt idx="18">
                  <c:v>-700.46230000000003</c:v>
                </c:pt>
                <c:pt idx="19">
                  <c:v>-632.75160000000005</c:v>
                </c:pt>
                <c:pt idx="20">
                  <c:v>-565.04079999999999</c:v>
                </c:pt>
                <c:pt idx="21">
                  <c:v>-497.33</c:v>
                </c:pt>
                <c:pt idx="22">
                  <c:v>-429.61930000000001</c:v>
                </c:pt>
                <c:pt idx="23">
                  <c:v>-361.9085</c:v>
                </c:pt>
                <c:pt idx="24">
                  <c:v>-294.1977</c:v>
                </c:pt>
                <c:pt idx="25">
                  <c:v>-226.48699999999999</c:v>
                </c:pt>
                <c:pt idx="26">
                  <c:v>-158.77619999999999</c:v>
                </c:pt>
                <c:pt idx="27">
                  <c:v>-91.0655</c:v>
                </c:pt>
                <c:pt idx="28">
                  <c:v>-23.354700000000001</c:v>
                </c:pt>
                <c:pt idx="29">
                  <c:v>44.356099999999998</c:v>
                </c:pt>
              </c:numCache>
            </c:numRef>
          </c:cat>
          <c:val>
            <c:numRef>
              <c:f>LT_BellCurves!$B$101:$B$130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LT_BellCurves!$A$101:$A$130</c:f>
              <c:numCache>
                <c:formatCode>General</c:formatCode>
                <c:ptCount val="30"/>
                <c:pt idx="0">
                  <c:v>-1919.2561000000001</c:v>
                </c:pt>
                <c:pt idx="1">
                  <c:v>-1851.5453</c:v>
                </c:pt>
                <c:pt idx="2">
                  <c:v>-1783.8344999999999</c:v>
                </c:pt>
                <c:pt idx="3">
                  <c:v>-1716.1238000000001</c:v>
                </c:pt>
                <c:pt idx="4">
                  <c:v>-1648.413</c:v>
                </c:pt>
                <c:pt idx="5">
                  <c:v>-1580.7022999999999</c:v>
                </c:pt>
                <c:pt idx="6">
                  <c:v>-1512.9915000000001</c:v>
                </c:pt>
                <c:pt idx="7">
                  <c:v>-1445.2807</c:v>
                </c:pt>
                <c:pt idx="8">
                  <c:v>-1377.57</c:v>
                </c:pt>
                <c:pt idx="9">
                  <c:v>-1309.8592000000001</c:v>
                </c:pt>
                <c:pt idx="10">
                  <c:v>-1242.1484</c:v>
                </c:pt>
                <c:pt idx="11">
                  <c:v>-1174.4376999999999</c:v>
                </c:pt>
                <c:pt idx="12">
                  <c:v>-1106.7268999999999</c:v>
                </c:pt>
                <c:pt idx="13">
                  <c:v>-1039.0161000000001</c:v>
                </c:pt>
                <c:pt idx="14">
                  <c:v>-971.30539999999996</c:v>
                </c:pt>
                <c:pt idx="15">
                  <c:v>-903.59460000000001</c:v>
                </c:pt>
                <c:pt idx="16">
                  <c:v>-835.88390000000004</c:v>
                </c:pt>
                <c:pt idx="17">
                  <c:v>-768.17309999999998</c:v>
                </c:pt>
                <c:pt idx="18">
                  <c:v>-700.46230000000003</c:v>
                </c:pt>
                <c:pt idx="19">
                  <c:v>-632.75160000000005</c:v>
                </c:pt>
                <c:pt idx="20">
                  <c:v>-565.04079999999999</c:v>
                </c:pt>
                <c:pt idx="21">
                  <c:v>-497.33</c:v>
                </c:pt>
                <c:pt idx="22">
                  <c:v>-429.61930000000001</c:v>
                </c:pt>
                <c:pt idx="23">
                  <c:v>-361.9085</c:v>
                </c:pt>
                <c:pt idx="24">
                  <c:v>-294.1977</c:v>
                </c:pt>
                <c:pt idx="25">
                  <c:v>-226.48699999999999</c:v>
                </c:pt>
                <c:pt idx="26">
                  <c:v>-158.77619999999999</c:v>
                </c:pt>
                <c:pt idx="27">
                  <c:v>-91.0655</c:v>
                </c:pt>
                <c:pt idx="28">
                  <c:v>-23.354700000000001</c:v>
                </c:pt>
                <c:pt idx="29">
                  <c:v>44.356099999999998</c:v>
                </c:pt>
              </c:numCache>
            </c:numRef>
          </c:cat>
          <c:val>
            <c:numRef>
              <c:f>LT_BellCurves!$C$101:$C$130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LT_BellCurves!$A$101:$A$130</c:f>
              <c:numCache>
                <c:formatCode>General</c:formatCode>
                <c:ptCount val="30"/>
                <c:pt idx="0">
                  <c:v>-1919.2561000000001</c:v>
                </c:pt>
                <c:pt idx="1">
                  <c:v>-1851.5453</c:v>
                </c:pt>
                <c:pt idx="2">
                  <c:v>-1783.8344999999999</c:v>
                </c:pt>
                <c:pt idx="3">
                  <c:v>-1716.1238000000001</c:v>
                </c:pt>
                <c:pt idx="4">
                  <c:v>-1648.413</c:v>
                </c:pt>
                <c:pt idx="5">
                  <c:v>-1580.7022999999999</c:v>
                </c:pt>
                <c:pt idx="6">
                  <c:v>-1512.9915000000001</c:v>
                </c:pt>
                <c:pt idx="7">
                  <c:v>-1445.2807</c:v>
                </c:pt>
                <c:pt idx="8">
                  <c:v>-1377.57</c:v>
                </c:pt>
                <c:pt idx="9">
                  <c:v>-1309.8592000000001</c:v>
                </c:pt>
                <c:pt idx="10">
                  <c:v>-1242.1484</c:v>
                </c:pt>
                <c:pt idx="11">
                  <c:v>-1174.4376999999999</c:v>
                </c:pt>
                <c:pt idx="12">
                  <c:v>-1106.7268999999999</c:v>
                </c:pt>
                <c:pt idx="13">
                  <c:v>-1039.0161000000001</c:v>
                </c:pt>
                <c:pt idx="14">
                  <c:v>-971.30539999999996</c:v>
                </c:pt>
                <c:pt idx="15">
                  <c:v>-903.59460000000001</c:v>
                </c:pt>
                <c:pt idx="16">
                  <c:v>-835.88390000000004</c:v>
                </c:pt>
                <c:pt idx="17">
                  <c:v>-768.17309999999998</c:v>
                </c:pt>
                <c:pt idx="18">
                  <c:v>-700.46230000000003</c:v>
                </c:pt>
                <c:pt idx="19">
                  <c:v>-632.75160000000005</c:v>
                </c:pt>
                <c:pt idx="20">
                  <c:v>-565.04079999999999</c:v>
                </c:pt>
                <c:pt idx="21">
                  <c:v>-497.33</c:v>
                </c:pt>
                <c:pt idx="22">
                  <c:v>-429.61930000000001</c:v>
                </c:pt>
                <c:pt idx="23">
                  <c:v>-361.9085</c:v>
                </c:pt>
                <c:pt idx="24">
                  <c:v>-294.1977</c:v>
                </c:pt>
                <c:pt idx="25">
                  <c:v>-226.48699999999999</c:v>
                </c:pt>
                <c:pt idx="26">
                  <c:v>-158.77619999999999</c:v>
                </c:pt>
                <c:pt idx="27">
                  <c:v>-91.0655</c:v>
                </c:pt>
                <c:pt idx="28">
                  <c:v>-23.354700000000001</c:v>
                </c:pt>
                <c:pt idx="29">
                  <c:v>44.356099999999998</c:v>
                </c:pt>
              </c:numCache>
            </c:numRef>
          </c:cat>
          <c:val>
            <c:numRef>
              <c:f>LT_BellCurves!$D$101:$D$130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467712"/>
        <c:axId val="130469888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LT_BellCurves!$F$101:$F$130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67712"/>
        <c:axId val="130469888"/>
      </c:lineChart>
      <c:catAx>
        <c:axId val="130467712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469888"/>
        <c:crosses val="autoZero"/>
        <c:auto val="1"/>
        <c:lblAlgn val="ctr"/>
        <c:lblOffset val="100"/>
        <c:tickLblSkip val="5"/>
        <c:noMultiLvlLbl val="1"/>
      </c:catAx>
      <c:valAx>
        <c:axId val="13046988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467712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Inlet/Outlet Delta [LT]  </a:t>
            </a:r>
            <a:r>
              <a:rPr lang="el-GR"/>
              <a:t>μ=1.85  σ=1.39  </a:t>
            </a:r>
            <a:r>
              <a:rPr lang="en-US"/>
              <a:t>n=317  out(3</a:t>
            </a:r>
            <a:r>
              <a:rPr lang="el-GR"/>
              <a:t>σ)=20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LT_BellCurves!$A$167:$A$196</c:f>
              <c:numCache>
                <c:formatCode>General</c:formatCode>
                <c:ptCount val="30"/>
                <c:pt idx="0">
                  <c:v>33.158299999999997</c:v>
                </c:pt>
                <c:pt idx="1">
                  <c:v>100.66800000000001</c:v>
                </c:pt>
                <c:pt idx="2">
                  <c:v>168.17779999999999</c:v>
                </c:pt>
                <c:pt idx="3">
                  <c:v>235.6876</c:v>
                </c:pt>
                <c:pt idx="4">
                  <c:v>303.19740000000002</c:v>
                </c:pt>
                <c:pt idx="5">
                  <c:v>370.70710000000003</c:v>
                </c:pt>
                <c:pt idx="6">
                  <c:v>438.21690000000001</c:v>
                </c:pt>
                <c:pt idx="7">
                  <c:v>505.72669999999999</c:v>
                </c:pt>
                <c:pt idx="8">
                  <c:v>573.23649999999998</c:v>
                </c:pt>
                <c:pt idx="9">
                  <c:v>640.74620000000004</c:v>
                </c:pt>
                <c:pt idx="10">
                  <c:v>708.25599999999997</c:v>
                </c:pt>
                <c:pt idx="11">
                  <c:v>775.76580000000001</c:v>
                </c:pt>
                <c:pt idx="12">
                  <c:v>843.27560000000005</c:v>
                </c:pt>
                <c:pt idx="13">
                  <c:v>910.78530000000001</c:v>
                </c:pt>
                <c:pt idx="14">
                  <c:v>978.29510000000005</c:v>
                </c:pt>
                <c:pt idx="15">
                  <c:v>1045.8049000000001</c:v>
                </c:pt>
                <c:pt idx="16">
                  <c:v>1113.3146999999999</c:v>
                </c:pt>
                <c:pt idx="17">
                  <c:v>1180.8244</c:v>
                </c:pt>
                <c:pt idx="18">
                  <c:v>1248.3342</c:v>
                </c:pt>
                <c:pt idx="19">
                  <c:v>1315.8440000000001</c:v>
                </c:pt>
                <c:pt idx="20">
                  <c:v>1383.3538000000001</c:v>
                </c:pt>
                <c:pt idx="21">
                  <c:v>1450.8634999999999</c:v>
                </c:pt>
                <c:pt idx="22">
                  <c:v>1518.3733</c:v>
                </c:pt>
                <c:pt idx="23">
                  <c:v>1585.8831</c:v>
                </c:pt>
                <c:pt idx="24">
                  <c:v>1653.3929000000001</c:v>
                </c:pt>
                <c:pt idx="25">
                  <c:v>1720.9025999999999</c:v>
                </c:pt>
                <c:pt idx="26">
                  <c:v>1788.4123999999999</c:v>
                </c:pt>
                <c:pt idx="27">
                  <c:v>1855.9222</c:v>
                </c:pt>
                <c:pt idx="28">
                  <c:v>1923.432</c:v>
                </c:pt>
                <c:pt idx="29">
                  <c:v>1990.9417000000001</c:v>
                </c:pt>
              </c:numCache>
            </c:numRef>
          </c:cat>
          <c:val>
            <c:numRef>
              <c:f>LT_BellCurves!$B$167:$B$196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LT_BellCurves!$A$167:$A$196</c:f>
              <c:numCache>
                <c:formatCode>General</c:formatCode>
                <c:ptCount val="30"/>
                <c:pt idx="0">
                  <c:v>33.158299999999997</c:v>
                </c:pt>
                <c:pt idx="1">
                  <c:v>100.66800000000001</c:v>
                </c:pt>
                <c:pt idx="2">
                  <c:v>168.17779999999999</c:v>
                </c:pt>
                <c:pt idx="3">
                  <c:v>235.6876</c:v>
                </c:pt>
                <c:pt idx="4">
                  <c:v>303.19740000000002</c:v>
                </c:pt>
                <c:pt idx="5">
                  <c:v>370.70710000000003</c:v>
                </c:pt>
                <c:pt idx="6">
                  <c:v>438.21690000000001</c:v>
                </c:pt>
                <c:pt idx="7">
                  <c:v>505.72669999999999</c:v>
                </c:pt>
                <c:pt idx="8">
                  <c:v>573.23649999999998</c:v>
                </c:pt>
                <c:pt idx="9">
                  <c:v>640.74620000000004</c:v>
                </c:pt>
                <c:pt idx="10">
                  <c:v>708.25599999999997</c:v>
                </c:pt>
                <c:pt idx="11">
                  <c:v>775.76580000000001</c:v>
                </c:pt>
                <c:pt idx="12">
                  <c:v>843.27560000000005</c:v>
                </c:pt>
                <c:pt idx="13">
                  <c:v>910.78530000000001</c:v>
                </c:pt>
                <c:pt idx="14">
                  <c:v>978.29510000000005</c:v>
                </c:pt>
                <c:pt idx="15">
                  <c:v>1045.8049000000001</c:v>
                </c:pt>
                <c:pt idx="16">
                  <c:v>1113.3146999999999</c:v>
                </c:pt>
                <c:pt idx="17">
                  <c:v>1180.8244</c:v>
                </c:pt>
                <c:pt idx="18">
                  <c:v>1248.3342</c:v>
                </c:pt>
                <c:pt idx="19">
                  <c:v>1315.8440000000001</c:v>
                </c:pt>
                <c:pt idx="20">
                  <c:v>1383.3538000000001</c:v>
                </c:pt>
                <c:pt idx="21">
                  <c:v>1450.8634999999999</c:v>
                </c:pt>
                <c:pt idx="22">
                  <c:v>1518.3733</c:v>
                </c:pt>
                <c:pt idx="23">
                  <c:v>1585.8831</c:v>
                </c:pt>
                <c:pt idx="24">
                  <c:v>1653.3929000000001</c:v>
                </c:pt>
                <c:pt idx="25">
                  <c:v>1720.9025999999999</c:v>
                </c:pt>
                <c:pt idx="26">
                  <c:v>1788.4123999999999</c:v>
                </c:pt>
                <c:pt idx="27">
                  <c:v>1855.9222</c:v>
                </c:pt>
                <c:pt idx="28">
                  <c:v>1923.432</c:v>
                </c:pt>
                <c:pt idx="29">
                  <c:v>1990.9417000000001</c:v>
                </c:pt>
              </c:numCache>
            </c:numRef>
          </c:cat>
          <c:val>
            <c:numRef>
              <c:f>LT_BellCurves!$C$167:$C$196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LT_BellCurves!$A$167:$A$196</c:f>
              <c:numCache>
                <c:formatCode>General</c:formatCode>
                <c:ptCount val="30"/>
                <c:pt idx="0">
                  <c:v>33.158299999999997</c:v>
                </c:pt>
                <c:pt idx="1">
                  <c:v>100.66800000000001</c:v>
                </c:pt>
                <c:pt idx="2">
                  <c:v>168.17779999999999</c:v>
                </c:pt>
                <c:pt idx="3">
                  <c:v>235.6876</c:v>
                </c:pt>
                <c:pt idx="4">
                  <c:v>303.19740000000002</c:v>
                </c:pt>
                <c:pt idx="5">
                  <c:v>370.70710000000003</c:v>
                </c:pt>
                <c:pt idx="6">
                  <c:v>438.21690000000001</c:v>
                </c:pt>
                <c:pt idx="7">
                  <c:v>505.72669999999999</c:v>
                </c:pt>
                <c:pt idx="8">
                  <c:v>573.23649999999998</c:v>
                </c:pt>
                <c:pt idx="9">
                  <c:v>640.74620000000004</c:v>
                </c:pt>
                <c:pt idx="10">
                  <c:v>708.25599999999997</c:v>
                </c:pt>
                <c:pt idx="11">
                  <c:v>775.76580000000001</c:v>
                </c:pt>
                <c:pt idx="12">
                  <c:v>843.27560000000005</c:v>
                </c:pt>
                <c:pt idx="13">
                  <c:v>910.78530000000001</c:v>
                </c:pt>
                <c:pt idx="14">
                  <c:v>978.29510000000005</c:v>
                </c:pt>
                <c:pt idx="15">
                  <c:v>1045.8049000000001</c:v>
                </c:pt>
                <c:pt idx="16">
                  <c:v>1113.3146999999999</c:v>
                </c:pt>
                <c:pt idx="17">
                  <c:v>1180.8244</c:v>
                </c:pt>
                <c:pt idx="18">
                  <c:v>1248.3342</c:v>
                </c:pt>
                <c:pt idx="19">
                  <c:v>1315.8440000000001</c:v>
                </c:pt>
                <c:pt idx="20">
                  <c:v>1383.3538000000001</c:v>
                </c:pt>
                <c:pt idx="21">
                  <c:v>1450.8634999999999</c:v>
                </c:pt>
                <c:pt idx="22">
                  <c:v>1518.3733</c:v>
                </c:pt>
                <c:pt idx="23">
                  <c:v>1585.8831</c:v>
                </c:pt>
                <c:pt idx="24">
                  <c:v>1653.3929000000001</c:v>
                </c:pt>
                <c:pt idx="25">
                  <c:v>1720.9025999999999</c:v>
                </c:pt>
                <c:pt idx="26">
                  <c:v>1788.4123999999999</c:v>
                </c:pt>
                <c:pt idx="27">
                  <c:v>1855.9222</c:v>
                </c:pt>
                <c:pt idx="28">
                  <c:v>1923.432</c:v>
                </c:pt>
                <c:pt idx="29">
                  <c:v>1990.9417000000001</c:v>
                </c:pt>
              </c:numCache>
            </c:numRef>
          </c:cat>
          <c:val>
            <c:numRef>
              <c:f>LT_BellCurves!$D$167:$D$196</c:f>
              <c:numCache>
                <c:formatCode>General</c:formatCode>
                <c:ptCount val="30"/>
                <c:pt idx="0">
                  <c:v>315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562688"/>
        <c:axId val="130573056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LT_BellCurves!$F$167:$F$196</c:f>
              <c:numCache>
                <c:formatCode>General</c:formatCode>
                <c:ptCount val="30"/>
                <c:pt idx="0">
                  <c:v>0.71489999999999998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62688"/>
        <c:axId val="130573056"/>
      </c:lineChart>
      <c:catAx>
        <c:axId val="13056268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573056"/>
        <c:crosses val="autoZero"/>
        <c:auto val="1"/>
        <c:lblAlgn val="ctr"/>
        <c:lblOffset val="100"/>
        <c:tickLblSkip val="5"/>
        <c:noMultiLvlLbl val="1"/>
      </c:catAx>
      <c:valAx>
        <c:axId val="1305730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56268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Ambient Temp [LT]  </a:t>
            </a:r>
            <a:r>
              <a:rPr lang="el-GR"/>
              <a:t>μ=69.23  σ=2.52  </a:t>
            </a:r>
            <a:r>
              <a:rPr lang="en-US"/>
              <a:t>n=323  out(3</a:t>
            </a:r>
            <a:r>
              <a:rPr lang="el-GR"/>
              <a:t>σ)=1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LT_BellCurves!$A$233:$A$262</c:f>
              <c:numCache>
                <c:formatCode>General</c:formatCode>
                <c:ptCount val="30"/>
                <c:pt idx="0">
                  <c:v>62.522199999999998</c:v>
                </c:pt>
                <c:pt idx="1">
                  <c:v>63.086199999999998</c:v>
                </c:pt>
                <c:pt idx="2">
                  <c:v>63.650199999999998</c:v>
                </c:pt>
                <c:pt idx="3">
                  <c:v>64.214200000000005</c:v>
                </c:pt>
                <c:pt idx="4">
                  <c:v>64.778199999999998</c:v>
                </c:pt>
                <c:pt idx="5">
                  <c:v>65.342100000000002</c:v>
                </c:pt>
                <c:pt idx="6">
                  <c:v>65.906099999999995</c:v>
                </c:pt>
                <c:pt idx="7">
                  <c:v>66.470100000000002</c:v>
                </c:pt>
                <c:pt idx="8">
                  <c:v>67.034099999999995</c:v>
                </c:pt>
                <c:pt idx="9">
                  <c:v>67.598100000000002</c:v>
                </c:pt>
                <c:pt idx="10">
                  <c:v>68.162099999999995</c:v>
                </c:pt>
                <c:pt idx="11">
                  <c:v>68.726100000000002</c:v>
                </c:pt>
                <c:pt idx="12">
                  <c:v>69.290000000000006</c:v>
                </c:pt>
                <c:pt idx="13">
                  <c:v>69.853999999999999</c:v>
                </c:pt>
                <c:pt idx="14">
                  <c:v>70.418000000000006</c:v>
                </c:pt>
                <c:pt idx="15">
                  <c:v>70.981999999999999</c:v>
                </c:pt>
                <c:pt idx="16">
                  <c:v>71.546000000000006</c:v>
                </c:pt>
                <c:pt idx="17">
                  <c:v>72.11</c:v>
                </c:pt>
                <c:pt idx="18">
                  <c:v>72.673900000000003</c:v>
                </c:pt>
                <c:pt idx="19">
                  <c:v>73.237899999999996</c:v>
                </c:pt>
                <c:pt idx="20">
                  <c:v>73.801900000000003</c:v>
                </c:pt>
                <c:pt idx="21">
                  <c:v>74.365899999999996</c:v>
                </c:pt>
                <c:pt idx="22">
                  <c:v>74.929900000000004</c:v>
                </c:pt>
                <c:pt idx="23">
                  <c:v>75.493899999999996</c:v>
                </c:pt>
                <c:pt idx="24">
                  <c:v>76.057900000000004</c:v>
                </c:pt>
                <c:pt idx="25">
                  <c:v>76.621799999999993</c:v>
                </c:pt>
                <c:pt idx="26">
                  <c:v>77.1858</c:v>
                </c:pt>
                <c:pt idx="27">
                  <c:v>77.749799999999993</c:v>
                </c:pt>
                <c:pt idx="28">
                  <c:v>78.313800000000001</c:v>
                </c:pt>
                <c:pt idx="29">
                  <c:v>78.877799999999993</c:v>
                </c:pt>
              </c:numCache>
            </c:numRef>
          </c:cat>
          <c:val>
            <c:numRef>
              <c:f>LT_BellCurves!$B$233:$B$262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21</c:v>
                </c:pt>
                <c:pt idx="8">
                  <c:v>18</c:v>
                </c:pt>
                <c:pt idx="9">
                  <c:v>11</c:v>
                </c:pt>
                <c:pt idx="10">
                  <c:v>21</c:v>
                </c:pt>
                <c:pt idx="11">
                  <c:v>22</c:v>
                </c:pt>
                <c:pt idx="12">
                  <c:v>35</c:v>
                </c:pt>
                <c:pt idx="13">
                  <c:v>26</c:v>
                </c:pt>
                <c:pt idx="14">
                  <c:v>23</c:v>
                </c:pt>
                <c:pt idx="15">
                  <c:v>22</c:v>
                </c:pt>
                <c:pt idx="16">
                  <c:v>24</c:v>
                </c:pt>
                <c:pt idx="17">
                  <c:v>18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LT_BellCurves!$A$233:$A$262</c:f>
              <c:numCache>
                <c:formatCode>General</c:formatCode>
                <c:ptCount val="30"/>
                <c:pt idx="0">
                  <c:v>62.522199999999998</c:v>
                </c:pt>
                <c:pt idx="1">
                  <c:v>63.086199999999998</c:v>
                </c:pt>
                <c:pt idx="2">
                  <c:v>63.650199999999998</c:v>
                </c:pt>
                <c:pt idx="3">
                  <c:v>64.214200000000005</c:v>
                </c:pt>
                <c:pt idx="4">
                  <c:v>64.778199999999998</c:v>
                </c:pt>
                <c:pt idx="5">
                  <c:v>65.342100000000002</c:v>
                </c:pt>
                <c:pt idx="6">
                  <c:v>65.906099999999995</c:v>
                </c:pt>
                <c:pt idx="7">
                  <c:v>66.470100000000002</c:v>
                </c:pt>
                <c:pt idx="8">
                  <c:v>67.034099999999995</c:v>
                </c:pt>
                <c:pt idx="9">
                  <c:v>67.598100000000002</c:v>
                </c:pt>
                <c:pt idx="10">
                  <c:v>68.162099999999995</c:v>
                </c:pt>
                <c:pt idx="11">
                  <c:v>68.726100000000002</c:v>
                </c:pt>
                <c:pt idx="12">
                  <c:v>69.290000000000006</c:v>
                </c:pt>
                <c:pt idx="13">
                  <c:v>69.853999999999999</c:v>
                </c:pt>
                <c:pt idx="14">
                  <c:v>70.418000000000006</c:v>
                </c:pt>
                <c:pt idx="15">
                  <c:v>70.981999999999999</c:v>
                </c:pt>
                <c:pt idx="16">
                  <c:v>71.546000000000006</c:v>
                </c:pt>
                <c:pt idx="17">
                  <c:v>72.11</c:v>
                </c:pt>
                <c:pt idx="18">
                  <c:v>72.673900000000003</c:v>
                </c:pt>
                <c:pt idx="19">
                  <c:v>73.237899999999996</c:v>
                </c:pt>
                <c:pt idx="20">
                  <c:v>73.801900000000003</c:v>
                </c:pt>
                <c:pt idx="21">
                  <c:v>74.365899999999996</c:v>
                </c:pt>
                <c:pt idx="22">
                  <c:v>74.929900000000004</c:v>
                </c:pt>
                <c:pt idx="23">
                  <c:v>75.493899999999996</c:v>
                </c:pt>
                <c:pt idx="24">
                  <c:v>76.057900000000004</c:v>
                </c:pt>
                <c:pt idx="25">
                  <c:v>76.621799999999993</c:v>
                </c:pt>
                <c:pt idx="26">
                  <c:v>77.1858</c:v>
                </c:pt>
                <c:pt idx="27">
                  <c:v>77.749799999999993</c:v>
                </c:pt>
                <c:pt idx="28">
                  <c:v>78.313800000000001</c:v>
                </c:pt>
                <c:pt idx="29">
                  <c:v>78.877799999999993</c:v>
                </c:pt>
              </c:numCache>
            </c:numRef>
          </c:cat>
          <c:val>
            <c:numRef>
              <c:f>LT_BellCurves!$C$233:$C$262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9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LT_BellCurves!$A$233:$A$262</c:f>
              <c:numCache>
                <c:formatCode>General</c:formatCode>
                <c:ptCount val="30"/>
                <c:pt idx="0">
                  <c:v>62.522199999999998</c:v>
                </c:pt>
                <c:pt idx="1">
                  <c:v>63.086199999999998</c:v>
                </c:pt>
                <c:pt idx="2">
                  <c:v>63.650199999999998</c:v>
                </c:pt>
                <c:pt idx="3">
                  <c:v>64.214200000000005</c:v>
                </c:pt>
                <c:pt idx="4">
                  <c:v>64.778199999999998</c:v>
                </c:pt>
                <c:pt idx="5">
                  <c:v>65.342100000000002</c:v>
                </c:pt>
                <c:pt idx="6">
                  <c:v>65.906099999999995</c:v>
                </c:pt>
                <c:pt idx="7">
                  <c:v>66.470100000000002</c:v>
                </c:pt>
                <c:pt idx="8">
                  <c:v>67.034099999999995</c:v>
                </c:pt>
                <c:pt idx="9">
                  <c:v>67.598100000000002</c:v>
                </c:pt>
                <c:pt idx="10">
                  <c:v>68.162099999999995</c:v>
                </c:pt>
                <c:pt idx="11">
                  <c:v>68.726100000000002</c:v>
                </c:pt>
                <c:pt idx="12">
                  <c:v>69.290000000000006</c:v>
                </c:pt>
                <c:pt idx="13">
                  <c:v>69.853999999999999</c:v>
                </c:pt>
                <c:pt idx="14">
                  <c:v>70.418000000000006</c:v>
                </c:pt>
                <c:pt idx="15">
                  <c:v>70.981999999999999</c:v>
                </c:pt>
                <c:pt idx="16">
                  <c:v>71.546000000000006</c:v>
                </c:pt>
                <c:pt idx="17">
                  <c:v>72.11</c:v>
                </c:pt>
                <c:pt idx="18">
                  <c:v>72.673900000000003</c:v>
                </c:pt>
                <c:pt idx="19">
                  <c:v>73.237899999999996</c:v>
                </c:pt>
                <c:pt idx="20">
                  <c:v>73.801900000000003</c:v>
                </c:pt>
                <c:pt idx="21">
                  <c:v>74.365899999999996</c:v>
                </c:pt>
                <c:pt idx="22">
                  <c:v>74.929900000000004</c:v>
                </c:pt>
                <c:pt idx="23">
                  <c:v>75.493899999999996</c:v>
                </c:pt>
                <c:pt idx="24">
                  <c:v>76.057900000000004</c:v>
                </c:pt>
                <c:pt idx="25">
                  <c:v>76.621799999999993</c:v>
                </c:pt>
                <c:pt idx="26">
                  <c:v>77.1858</c:v>
                </c:pt>
                <c:pt idx="27">
                  <c:v>77.749799999999993</c:v>
                </c:pt>
                <c:pt idx="28">
                  <c:v>78.313800000000001</c:v>
                </c:pt>
                <c:pt idx="29">
                  <c:v>78.877799999999993</c:v>
                </c:pt>
              </c:numCache>
            </c:numRef>
          </c:cat>
          <c:val>
            <c:numRef>
              <c:f>LT_BellCurves!$D$233:$D$262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608512"/>
        <c:axId val="130614784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LT_BellCurves!$F$233:$F$262</c:f>
              <c:numCache>
                <c:formatCode>General</c:formatCode>
                <c:ptCount val="30"/>
                <c:pt idx="0">
                  <c:v>0</c:v>
                </c:pt>
                <c:pt idx="1">
                  <c:v>2.0000000000000001E-4</c:v>
                </c:pt>
                <c:pt idx="2">
                  <c:v>1.2999999999999999E-3</c:v>
                </c:pt>
                <c:pt idx="3">
                  <c:v>7.4999999999999997E-3</c:v>
                </c:pt>
                <c:pt idx="4">
                  <c:v>3.5700000000000003E-2</c:v>
                </c:pt>
                <c:pt idx="5">
                  <c:v>0.1444</c:v>
                </c:pt>
                <c:pt idx="6">
                  <c:v>0.49569999999999997</c:v>
                </c:pt>
                <c:pt idx="7">
                  <c:v>1.4454</c:v>
                </c:pt>
                <c:pt idx="8">
                  <c:v>3.5794999999999999</c:v>
                </c:pt>
                <c:pt idx="9">
                  <c:v>7.5301</c:v>
                </c:pt>
                <c:pt idx="10">
                  <c:v>13.455500000000001</c:v>
                </c:pt>
                <c:pt idx="11">
                  <c:v>20.423100000000002</c:v>
                </c:pt>
                <c:pt idx="12">
                  <c:v>26.331199999999999</c:v>
                </c:pt>
                <c:pt idx="13">
                  <c:v>28.836500000000001</c:v>
                </c:pt>
                <c:pt idx="14">
                  <c:v>26.824999999999999</c:v>
                </c:pt>
                <c:pt idx="15">
                  <c:v>21.196400000000001</c:v>
                </c:pt>
                <c:pt idx="16">
                  <c:v>14.226800000000001</c:v>
                </c:pt>
                <c:pt idx="17">
                  <c:v>8.1111000000000004</c:v>
                </c:pt>
                <c:pt idx="18">
                  <c:v>3.9279999999999999</c:v>
                </c:pt>
                <c:pt idx="19">
                  <c:v>1.6157999999999999</c:v>
                </c:pt>
                <c:pt idx="20">
                  <c:v>0.56459999999999999</c:v>
                </c:pt>
                <c:pt idx="21">
                  <c:v>0.1676</c:v>
                </c:pt>
                <c:pt idx="22">
                  <c:v>4.2200000000000001E-2</c:v>
                </c:pt>
                <c:pt idx="23">
                  <c:v>8.9999999999999993E-3</c:v>
                </c:pt>
                <c:pt idx="24">
                  <c:v>1.6000000000000001E-3</c:v>
                </c:pt>
                <c:pt idx="25">
                  <c:v>2.9999999999999997E-4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8512"/>
        <c:axId val="130614784"/>
      </c:lineChart>
      <c:catAx>
        <c:axId val="130608512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614784"/>
        <c:crosses val="autoZero"/>
        <c:auto val="1"/>
        <c:lblAlgn val="ctr"/>
        <c:lblOffset val="100"/>
        <c:tickLblSkip val="5"/>
        <c:noMultiLvlLbl val="1"/>
      </c:catAx>
      <c:valAx>
        <c:axId val="13061478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608512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Startup Voltage [LT]  </a:t>
            </a:r>
            <a:r>
              <a:rPr lang="el-GR"/>
              <a:t>μ=113.18  σ=1.74  </a:t>
            </a:r>
            <a:r>
              <a:rPr lang="en-US"/>
              <a:t>n=326  out(3</a:t>
            </a:r>
            <a:r>
              <a:rPr lang="el-GR"/>
              <a:t>σ)=0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LT_BellCurves!$A$266:$A$295</c:f>
              <c:numCache>
                <c:formatCode>General</c:formatCode>
                <c:ptCount val="30"/>
                <c:pt idx="0">
                  <c:v>109.5376</c:v>
                </c:pt>
                <c:pt idx="1">
                  <c:v>109.84990000000001</c:v>
                </c:pt>
                <c:pt idx="2">
                  <c:v>110.1621</c:v>
                </c:pt>
                <c:pt idx="3">
                  <c:v>110.4743</c:v>
                </c:pt>
                <c:pt idx="4">
                  <c:v>110.78660000000001</c:v>
                </c:pt>
                <c:pt idx="5">
                  <c:v>111.0988</c:v>
                </c:pt>
                <c:pt idx="6">
                  <c:v>111.411</c:v>
                </c:pt>
                <c:pt idx="7">
                  <c:v>111.72329999999999</c:v>
                </c:pt>
                <c:pt idx="8">
                  <c:v>112.0355</c:v>
                </c:pt>
                <c:pt idx="9">
                  <c:v>112.3477</c:v>
                </c:pt>
                <c:pt idx="10">
                  <c:v>112.66</c:v>
                </c:pt>
                <c:pt idx="11">
                  <c:v>112.9722</c:v>
                </c:pt>
                <c:pt idx="12">
                  <c:v>113.28440000000001</c:v>
                </c:pt>
                <c:pt idx="13">
                  <c:v>113.5967</c:v>
                </c:pt>
                <c:pt idx="14">
                  <c:v>113.9089</c:v>
                </c:pt>
                <c:pt idx="15">
                  <c:v>114.22110000000001</c:v>
                </c:pt>
                <c:pt idx="16">
                  <c:v>114.5333</c:v>
                </c:pt>
                <c:pt idx="17">
                  <c:v>114.8456</c:v>
                </c:pt>
                <c:pt idx="18">
                  <c:v>115.15779999999999</c:v>
                </c:pt>
                <c:pt idx="19">
                  <c:v>115.47</c:v>
                </c:pt>
                <c:pt idx="20">
                  <c:v>115.78230000000001</c:v>
                </c:pt>
                <c:pt idx="21">
                  <c:v>116.0945</c:v>
                </c:pt>
                <c:pt idx="22">
                  <c:v>116.4067</c:v>
                </c:pt>
                <c:pt idx="23">
                  <c:v>116.71899999999999</c:v>
                </c:pt>
                <c:pt idx="24">
                  <c:v>117.0312</c:v>
                </c:pt>
                <c:pt idx="25">
                  <c:v>117.3434</c:v>
                </c:pt>
                <c:pt idx="26">
                  <c:v>117.6557</c:v>
                </c:pt>
                <c:pt idx="27">
                  <c:v>117.9679</c:v>
                </c:pt>
                <c:pt idx="28">
                  <c:v>118.2801</c:v>
                </c:pt>
                <c:pt idx="29">
                  <c:v>118.5924</c:v>
                </c:pt>
              </c:numCache>
            </c:numRef>
          </c:cat>
          <c:val>
            <c:numRef>
              <c:f>LT_BellCurves!$B$266:$B$295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20</c:v>
                </c:pt>
                <c:pt idx="6">
                  <c:v>43</c:v>
                </c:pt>
                <c:pt idx="7">
                  <c:v>63</c:v>
                </c:pt>
                <c:pt idx="8">
                  <c:v>23</c:v>
                </c:pt>
                <c:pt idx="9">
                  <c:v>6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3</c:v>
                </c:pt>
                <c:pt idx="16">
                  <c:v>29</c:v>
                </c:pt>
                <c:pt idx="17">
                  <c:v>55</c:v>
                </c:pt>
                <c:pt idx="18">
                  <c:v>42</c:v>
                </c:pt>
                <c:pt idx="19">
                  <c:v>15</c:v>
                </c:pt>
                <c:pt idx="20">
                  <c:v>7</c:v>
                </c:pt>
                <c:pt idx="21">
                  <c:v>1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LT_BellCurves!$A$266:$A$295</c:f>
              <c:numCache>
                <c:formatCode>General</c:formatCode>
                <c:ptCount val="30"/>
                <c:pt idx="0">
                  <c:v>109.5376</c:v>
                </c:pt>
                <c:pt idx="1">
                  <c:v>109.84990000000001</c:v>
                </c:pt>
                <c:pt idx="2">
                  <c:v>110.1621</c:v>
                </c:pt>
                <c:pt idx="3">
                  <c:v>110.4743</c:v>
                </c:pt>
                <c:pt idx="4">
                  <c:v>110.78660000000001</c:v>
                </c:pt>
                <c:pt idx="5">
                  <c:v>111.0988</c:v>
                </c:pt>
                <c:pt idx="6">
                  <c:v>111.411</c:v>
                </c:pt>
                <c:pt idx="7">
                  <c:v>111.72329999999999</c:v>
                </c:pt>
                <c:pt idx="8">
                  <c:v>112.0355</c:v>
                </c:pt>
                <c:pt idx="9">
                  <c:v>112.3477</c:v>
                </c:pt>
                <c:pt idx="10">
                  <c:v>112.66</c:v>
                </c:pt>
                <c:pt idx="11">
                  <c:v>112.9722</c:v>
                </c:pt>
                <c:pt idx="12">
                  <c:v>113.28440000000001</c:v>
                </c:pt>
                <c:pt idx="13">
                  <c:v>113.5967</c:v>
                </c:pt>
                <c:pt idx="14">
                  <c:v>113.9089</c:v>
                </c:pt>
                <c:pt idx="15">
                  <c:v>114.22110000000001</c:v>
                </c:pt>
                <c:pt idx="16">
                  <c:v>114.5333</c:v>
                </c:pt>
                <c:pt idx="17">
                  <c:v>114.8456</c:v>
                </c:pt>
                <c:pt idx="18">
                  <c:v>115.15779999999999</c:v>
                </c:pt>
                <c:pt idx="19">
                  <c:v>115.47</c:v>
                </c:pt>
                <c:pt idx="20">
                  <c:v>115.78230000000001</c:v>
                </c:pt>
                <c:pt idx="21">
                  <c:v>116.0945</c:v>
                </c:pt>
                <c:pt idx="22">
                  <c:v>116.4067</c:v>
                </c:pt>
                <c:pt idx="23">
                  <c:v>116.71899999999999</c:v>
                </c:pt>
                <c:pt idx="24">
                  <c:v>117.0312</c:v>
                </c:pt>
                <c:pt idx="25">
                  <c:v>117.3434</c:v>
                </c:pt>
                <c:pt idx="26">
                  <c:v>117.6557</c:v>
                </c:pt>
                <c:pt idx="27">
                  <c:v>117.9679</c:v>
                </c:pt>
                <c:pt idx="28">
                  <c:v>118.2801</c:v>
                </c:pt>
                <c:pt idx="29">
                  <c:v>118.5924</c:v>
                </c:pt>
              </c:numCache>
            </c:numRef>
          </c:cat>
          <c:val>
            <c:numRef>
              <c:f>LT_BellCurves!$C$266:$C$295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LT_BellCurves!$A$266:$A$295</c:f>
              <c:numCache>
                <c:formatCode>General</c:formatCode>
                <c:ptCount val="30"/>
                <c:pt idx="0">
                  <c:v>109.5376</c:v>
                </c:pt>
                <c:pt idx="1">
                  <c:v>109.84990000000001</c:v>
                </c:pt>
                <c:pt idx="2">
                  <c:v>110.1621</c:v>
                </c:pt>
                <c:pt idx="3">
                  <c:v>110.4743</c:v>
                </c:pt>
                <c:pt idx="4">
                  <c:v>110.78660000000001</c:v>
                </c:pt>
                <c:pt idx="5">
                  <c:v>111.0988</c:v>
                </c:pt>
                <c:pt idx="6">
                  <c:v>111.411</c:v>
                </c:pt>
                <c:pt idx="7">
                  <c:v>111.72329999999999</c:v>
                </c:pt>
                <c:pt idx="8">
                  <c:v>112.0355</c:v>
                </c:pt>
                <c:pt idx="9">
                  <c:v>112.3477</c:v>
                </c:pt>
                <c:pt idx="10">
                  <c:v>112.66</c:v>
                </c:pt>
                <c:pt idx="11">
                  <c:v>112.9722</c:v>
                </c:pt>
                <c:pt idx="12">
                  <c:v>113.28440000000001</c:v>
                </c:pt>
                <c:pt idx="13">
                  <c:v>113.5967</c:v>
                </c:pt>
                <c:pt idx="14">
                  <c:v>113.9089</c:v>
                </c:pt>
                <c:pt idx="15">
                  <c:v>114.22110000000001</c:v>
                </c:pt>
                <c:pt idx="16">
                  <c:v>114.5333</c:v>
                </c:pt>
                <c:pt idx="17">
                  <c:v>114.8456</c:v>
                </c:pt>
                <c:pt idx="18">
                  <c:v>115.15779999999999</c:v>
                </c:pt>
                <c:pt idx="19">
                  <c:v>115.47</c:v>
                </c:pt>
                <c:pt idx="20">
                  <c:v>115.78230000000001</c:v>
                </c:pt>
                <c:pt idx="21">
                  <c:v>116.0945</c:v>
                </c:pt>
                <c:pt idx="22">
                  <c:v>116.4067</c:v>
                </c:pt>
                <c:pt idx="23">
                  <c:v>116.71899999999999</c:v>
                </c:pt>
                <c:pt idx="24">
                  <c:v>117.0312</c:v>
                </c:pt>
                <c:pt idx="25">
                  <c:v>117.3434</c:v>
                </c:pt>
                <c:pt idx="26">
                  <c:v>117.6557</c:v>
                </c:pt>
                <c:pt idx="27">
                  <c:v>117.9679</c:v>
                </c:pt>
                <c:pt idx="28">
                  <c:v>118.2801</c:v>
                </c:pt>
                <c:pt idx="29">
                  <c:v>118.5924</c:v>
                </c:pt>
              </c:numCache>
            </c:numRef>
          </c:cat>
          <c:val>
            <c:numRef>
              <c:f>LT_BellCurves!$D$266:$D$295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658688"/>
        <c:axId val="130660608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LT_BellCurves!$F$266:$F$295</c:f>
              <c:numCache>
                <c:formatCode>General</c:formatCode>
                <c:ptCount val="30"/>
                <c:pt idx="0">
                  <c:v>4.0000000000000002E-4</c:v>
                </c:pt>
                <c:pt idx="1">
                  <c:v>2E-3</c:v>
                </c:pt>
                <c:pt idx="2">
                  <c:v>8.8000000000000005E-3</c:v>
                </c:pt>
                <c:pt idx="3">
                  <c:v>3.44E-2</c:v>
                </c:pt>
                <c:pt idx="4">
                  <c:v>0.1176</c:v>
                </c:pt>
                <c:pt idx="5">
                  <c:v>0.35389999999999999</c:v>
                </c:pt>
                <c:pt idx="6">
                  <c:v>0.93669999999999998</c:v>
                </c:pt>
                <c:pt idx="7">
                  <c:v>2.1802000000000001</c:v>
                </c:pt>
                <c:pt idx="8">
                  <c:v>4.4629000000000003</c:v>
                </c:pt>
                <c:pt idx="9">
                  <c:v>8.0348000000000006</c:v>
                </c:pt>
                <c:pt idx="10">
                  <c:v>12.722</c:v>
                </c:pt>
                <c:pt idx="11">
                  <c:v>17.715699999999998</c:v>
                </c:pt>
                <c:pt idx="12">
                  <c:v>21.696400000000001</c:v>
                </c:pt>
                <c:pt idx="13">
                  <c:v>23.369</c:v>
                </c:pt>
                <c:pt idx="14">
                  <c:v>22.137</c:v>
                </c:pt>
                <c:pt idx="15">
                  <c:v>18.442499999999999</c:v>
                </c:pt>
                <c:pt idx="16">
                  <c:v>13.5128</c:v>
                </c:pt>
                <c:pt idx="17">
                  <c:v>8.7075999999999993</c:v>
                </c:pt>
                <c:pt idx="18">
                  <c:v>4.9348000000000001</c:v>
                </c:pt>
                <c:pt idx="19">
                  <c:v>2.4596</c:v>
                </c:pt>
                <c:pt idx="20">
                  <c:v>1.0782</c:v>
                </c:pt>
                <c:pt idx="21">
                  <c:v>0.41570000000000001</c:v>
                </c:pt>
                <c:pt idx="22">
                  <c:v>0.1409</c:v>
                </c:pt>
                <c:pt idx="23">
                  <c:v>4.2000000000000003E-2</c:v>
                </c:pt>
                <c:pt idx="24">
                  <c:v>1.0999999999999999E-2</c:v>
                </c:pt>
                <c:pt idx="25">
                  <c:v>2.5000000000000001E-3</c:v>
                </c:pt>
                <c:pt idx="26">
                  <c:v>5.0000000000000001E-4</c:v>
                </c:pt>
                <c:pt idx="27">
                  <c:v>1E-4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58688"/>
        <c:axId val="130660608"/>
      </c:lineChart>
      <c:catAx>
        <c:axId val="13065868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660608"/>
        <c:crosses val="autoZero"/>
        <c:auto val="1"/>
        <c:lblAlgn val="ctr"/>
        <c:lblOffset val="100"/>
        <c:tickLblSkip val="5"/>
        <c:noMultiLvlLbl val="1"/>
      </c:catAx>
      <c:valAx>
        <c:axId val="13066060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65868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Final Voltage [LT]  </a:t>
            </a:r>
            <a:r>
              <a:rPr lang="el-GR"/>
              <a:t>μ=114.77  σ=1.65  </a:t>
            </a:r>
            <a:r>
              <a:rPr lang="en-US"/>
              <a:t>n=323  out(3</a:t>
            </a:r>
            <a:r>
              <a:rPr lang="el-GR"/>
              <a:t>σ)=0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LT_BellCurves!$A$299:$A$328</c:f>
              <c:numCache>
                <c:formatCode>General</c:formatCode>
                <c:ptCount val="30"/>
                <c:pt idx="0">
                  <c:v>110.73480000000001</c:v>
                </c:pt>
                <c:pt idx="1">
                  <c:v>111.0097</c:v>
                </c:pt>
                <c:pt idx="2">
                  <c:v>111.28449999999999</c:v>
                </c:pt>
                <c:pt idx="3">
                  <c:v>111.55929999999999</c:v>
                </c:pt>
                <c:pt idx="4">
                  <c:v>111.8342</c:v>
                </c:pt>
                <c:pt idx="5">
                  <c:v>112.10899999999999</c:v>
                </c:pt>
                <c:pt idx="6">
                  <c:v>112.3839</c:v>
                </c:pt>
                <c:pt idx="7">
                  <c:v>112.6587</c:v>
                </c:pt>
                <c:pt idx="8">
                  <c:v>112.9335</c:v>
                </c:pt>
                <c:pt idx="9">
                  <c:v>113.2084</c:v>
                </c:pt>
                <c:pt idx="10">
                  <c:v>113.4832</c:v>
                </c:pt>
                <c:pt idx="11">
                  <c:v>113.7581</c:v>
                </c:pt>
                <c:pt idx="12">
                  <c:v>114.0329</c:v>
                </c:pt>
                <c:pt idx="13">
                  <c:v>114.3077</c:v>
                </c:pt>
                <c:pt idx="14">
                  <c:v>114.5826</c:v>
                </c:pt>
                <c:pt idx="15">
                  <c:v>114.8574</c:v>
                </c:pt>
                <c:pt idx="16">
                  <c:v>115.1323</c:v>
                </c:pt>
                <c:pt idx="17">
                  <c:v>115.4071</c:v>
                </c:pt>
                <c:pt idx="18">
                  <c:v>115.6819</c:v>
                </c:pt>
                <c:pt idx="19">
                  <c:v>115.9568</c:v>
                </c:pt>
                <c:pt idx="20">
                  <c:v>116.2316</c:v>
                </c:pt>
                <c:pt idx="21">
                  <c:v>116.5065</c:v>
                </c:pt>
                <c:pt idx="22">
                  <c:v>116.7813</c:v>
                </c:pt>
                <c:pt idx="23">
                  <c:v>117.0561</c:v>
                </c:pt>
                <c:pt idx="24">
                  <c:v>117.331</c:v>
                </c:pt>
                <c:pt idx="25">
                  <c:v>117.6058</c:v>
                </c:pt>
                <c:pt idx="26">
                  <c:v>117.8807</c:v>
                </c:pt>
                <c:pt idx="27">
                  <c:v>118.1555</c:v>
                </c:pt>
                <c:pt idx="28">
                  <c:v>118.4303</c:v>
                </c:pt>
                <c:pt idx="29">
                  <c:v>118.7052</c:v>
                </c:pt>
              </c:numCache>
            </c:numRef>
          </c:cat>
          <c:val>
            <c:numRef>
              <c:f>LT_BellCurves!$B$299:$B$328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9</c:v>
                </c:pt>
                <c:pt idx="8">
                  <c:v>26</c:v>
                </c:pt>
                <c:pt idx="9">
                  <c:v>51</c:v>
                </c:pt>
                <c:pt idx="10">
                  <c:v>32</c:v>
                </c:pt>
                <c:pt idx="11">
                  <c:v>6</c:v>
                </c:pt>
                <c:pt idx="12">
                  <c:v>1</c:v>
                </c:pt>
                <c:pt idx="13">
                  <c:v>5</c:v>
                </c:pt>
                <c:pt idx="14">
                  <c:v>22</c:v>
                </c:pt>
                <c:pt idx="15">
                  <c:v>52</c:v>
                </c:pt>
                <c:pt idx="16">
                  <c:v>38</c:v>
                </c:pt>
                <c:pt idx="17">
                  <c:v>11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8</c:v>
                </c:pt>
                <c:pt idx="24">
                  <c:v>10</c:v>
                </c:pt>
                <c:pt idx="25">
                  <c:v>24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LT_BellCurves!$A$299:$A$328</c:f>
              <c:numCache>
                <c:formatCode>General</c:formatCode>
                <c:ptCount val="30"/>
                <c:pt idx="0">
                  <c:v>110.73480000000001</c:v>
                </c:pt>
                <c:pt idx="1">
                  <c:v>111.0097</c:v>
                </c:pt>
                <c:pt idx="2">
                  <c:v>111.28449999999999</c:v>
                </c:pt>
                <c:pt idx="3">
                  <c:v>111.55929999999999</c:v>
                </c:pt>
                <c:pt idx="4">
                  <c:v>111.8342</c:v>
                </c:pt>
                <c:pt idx="5">
                  <c:v>112.10899999999999</c:v>
                </c:pt>
                <c:pt idx="6">
                  <c:v>112.3839</c:v>
                </c:pt>
                <c:pt idx="7">
                  <c:v>112.6587</c:v>
                </c:pt>
                <c:pt idx="8">
                  <c:v>112.9335</c:v>
                </c:pt>
                <c:pt idx="9">
                  <c:v>113.2084</c:v>
                </c:pt>
                <c:pt idx="10">
                  <c:v>113.4832</c:v>
                </c:pt>
                <c:pt idx="11">
                  <c:v>113.7581</c:v>
                </c:pt>
                <c:pt idx="12">
                  <c:v>114.0329</c:v>
                </c:pt>
                <c:pt idx="13">
                  <c:v>114.3077</c:v>
                </c:pt>
                <c:pt idx="14">
                  <c:v>114.5826</c:v>
                </c:pt>
                <c:pt idx="15">
                  <c:v>114.8574</c:v>
                </c:pt>
                <c:pt idx="16">
                  <c:v>115.1323</c:v>
                </c:pt>
                <c:pt idx="17">
                  <c:v>115.4071</c:v>
                </c:pt>
                <c:pt idx="18">
                  <c:v>115.6819</c:v>
                </c:pt>
                <c:pt idx="19">
                  <c:v>115.9568</c:v>
                </c:pt>
                <c:pt idx="20">
                  <c:v>116.2316</c:v>
                </c:pt>
                <c:pt idx="21">
                  <c:v>116.5065</c:v>
                </c:pt>
                <c:pt idx="22">
                  <c:v>116.7813</c:v>
                </c:pt>
                <c:pt idx="23">
                  <c:v>117.0561</c:v>
                </c:pt>
                <c:pt idx="24">
                  <c:v>117.331</c:v>
                </c:pt>
                <c:pt idx="25">
                  <c:v>117.6058</c:v>
                </c:pt>
                <c:pt idx="26">
                  <c:v>117.8807</c:v>
                </c:pt>
                <c:pt idx="27">
                  <c:v>118.1555</c:v>
                </c:pt>
                <c:pt idx="28">
                  <c:v>118.4303</c:v>
                </c:pt>
                <c:pt idx="29">
                  <c:v>118.7052</c:v>
                </c:pt>
              </c:numCache>
            </c:numRef>
          </c:cat>
          <c:val>
            <c:numRef>
              <c:f>LT_BellCurves!$C$299:$C$328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LT_BellCurves!$A$299:$A$328</c:f>
              <c:numCache>
                <c:formatCode>General</c:formatCode>
                <c:ptCount val="30"/>
                <c:pt idx="0">
                  <c:v>110.73480000000001</c:v>
                </c:pt>
                <c:pt idx="1">
                  <c:v>111.0097</c:v>
                </c:pt>
                <c:pt idx="2">
                  <c:v>111.28449999999999</c:v>
                </c:pt>
                <c:pt idx="3">
                  <c:v>111.55929999999999</c:v>
                </c:pt>
                <c:pt idx="4">
                  <c:v>111.8342</c:v>
                </c:pt>
                <c:pt idx="5">
                  <c:v>112.10899999999999</c:v>
                </c:pt>
                <c:pt idx="6">
                  <c:v>112.3839</c:v>
                </c:pt>
                <c:pt idx="7">
                  <c:v>112.6587</c:v>
                </c:pt>
                <c:pt idx="8">
                  <c:v>112.9335</c:v>
                </c:pt>
                <c:pt idx="9">
                  <c:v>113.2084</c:v>
                </c:pt>
                <c:pt idx="10">
                  <c:v>113.4832</c:v>
                </c:pt>
                <c:pt idx="11">
                  <c:v>113.7581</c:v>
                </c:pt>
                <c:pt idx="12">
                  <c:v>114.0329</c:v>
                </c:pt>
                <c:pt idx="13">
                  <c:v>114.3077</c:v>
                </c:pt>
                <c:pt idx="14">
                  <c:v>114.5826</c:v>
                </c:pt>
                <c:pt idx="15">
                  <c:v>114.8574</c:v>
                </c:pt>
                <c:pt idx="16">
                  <c:v>115.1323</c:v>
                </c:pt>
                <c:pt idx="17">
                  <c:v>115.4071</c:v>
                </c:pt>
                <c:pt idx="18">
                  <c:v>115.6819</c:v>
                </c:pt>
                <c:pt idx="19">
                  <c:v>115.9568</c:v>
                </c:pt>
                <c:pt idx="20">
                  <c:v>116.2316</c:v>
                </c:pt>
                <c:pt idx="21">
                  <c:v>116.5065</c:v>
                </c:pt>
                <c:pt idx="22">
                  <c:v>116.7813</c:v>
                </c:pt>
                <c:pt idx="23">
                  <c:v>117.0561</c:v>
                </c:pt>
                <c:pt idx="24">
                  <c:v>117.331</c:v>
                </c:pt>
                <c:pt idx="25">
                  <c:v>117.6058</c:v>
                </c:pt>
                <c:pt idx="26">
                  <c:v>117.8807</c:v>
                </c:pt>
                <c:pt idx="27">
                  <c:v>118.1555</c:v>
                </c:pt>
                <c:pt idx="28">
                  <c:v>118.4303</c:v>
                </c:pt>
                <c:pt idx="29">
                  <c:v>118.7052</c:v>
                </c:pt>
              </c:numCache>
            </c:numRef>
          </c:cat>
          <c:val>
            <c:numRef>
              <c:f>LT_BellCurves!$D$299:$D$328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0708608"/>
        <c:axId val="130710528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LT_BellCurves!$F$299:$F$328</c:f>
              <c:numCache>
                <c:formatCode>General</c:formatCode>
                <c:ptCount val="30"/>
                <c:pt idx="0">
                  <c:v>1E-4</c:v>
                </c:pt>
                <c:pt idx="1">
                  <c:v>4.0000000000000002E-4</c:v>
                </c:pt>
                <c:pt idx="2">
                  <c:v>1.6999999999999999E-3</c:v>
                </c:pt>
                <c:pt idx="3">
                  <c:v>7.3000000000000001E-3</c:v>
                </c:pt>
                <c:pt idx="4">
                  <c:v>2.7300000000000001E-2</c:v>
                </c:pt>
                <c:pt idx="5">
                  <c:v>9.0700000000000003E-2</c:v>
                </c:pt>
                <c:pt idx="6">
                  <c:v>0.26769999999999999</c:v>
                </c:pt>
                <c:pt idx="7">
                  <c:v>0.70120000000000005</c:v>
                </c:pt>
                <c:pt idx="8">
                  <c:v>1.6306</c:v>
                </c:pt>
                <c:pt idx="9">
                  <c:v>3.3656999999999999</c:v>
                </c:pt>
                <c:pt idx="10">
                  <c:v>6.1664000000000003</c:v>
                </c:pt>
                <c:pt idx="11">
                  <c:v>10.0283</c:v>
                </c:pt>
                <c:pt idx="12">
                  <c:v>14.476599999999999</c:v>
                </c:pt>
                <c:pt idx="13">
                  <c:v>18.55</c:v>
                </c:pt>
                <c:pt idx="14">
                  <c:v>21.0989</c:v>
                </c:pt>
                <c:pt idx="15">
                  <c:v>21.3017</c:v>
                </c:pt>
                <c:pt idx="16">
                  <c:v>19.0901</c:v>
                </c:pt>
                <c:pt idx="17">
                  <c:v>15.186</c:v>
                </c:pt>
                <c:pt idx="18">
                  <c:v>10.723000000000001</c:v>
                </c:pt>
                <c:pt idx="19">
                  <c:v>6.7209000000000003</c:v>
                </c:pt>
                <c:pt idx="20">
                  <c:v>3.7391999999999999</c:v>
                </c:pt>
                <c:pt idx="21">
                  <c:v>1.8466</c:v>
                </c:pt>
                <c:pt idx="22">
                  <c:v>0.8095</c:v>
                </c:pt>
                <c:pt idx="23">
                  <c:v>0.315</c:v>
                </c:pt>
                <c:pt idx="24">
                  <c:v>0.10879999999999999</c:v>
                </c:pt>
                <c:pt idx="25">
                  <c:v>3.3399999999999999E-2</c:v>
                </c:pt>
                <c:pt idx="26">
                  <c:v>9.1000000000000004E-3</c:v>
                </c:pt>
                <c:pt idx="27">
                  <c:v>2.2000000000000001E-3</c:v>
                </c:pt>
                <c:pt idx="28">
                  <c:v>5.0000000000000001E-4</c:v>
                </c:pt>
                <c:pt idx="29">
                  <c:v>1E-4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08608"/>
        <c:axId val="130710528"/>
      </c:lineChart>
      <c:catAx>
        <c:axId val="13070860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0710528"/>
        <c:crosses val="autoZero"/>
        <c:auto val="1"/>
        <c:lblAlgn val="ctr"/>
        <c:lblOffset val="100"/>
        <c:tickLblSkip val="5"/>
        <c:noMultiLvlLbl val="1"/>
      </c:catAx>
      <c:valAx>
        <c:axId val="1307105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070860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Startup Current [LT]  </a:t>
            </a:r>
            <a:r>
              <a:rPr lang="el-GR"/>
              <a:t>μ=8.04  σ=0.56  </a:t>
            </a:r>
            <a:r>
              <a:rPr lang="en-US"/>
              <a:t>n=325  out(3</a:t>
            </a:r>
            <a:r>
              <a:rPr lang="el-GR"/>
              <a:t>σ)=17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LT_BellCurves!$A$332:$A$361</c:f>
              <c:numCache>
                <c:formatCode>General</c:formatCode>
                <c:ptCount val="30"/>
                <c:pt idx="0">
                  <c:v>1.9858</c:v>
                </c:pt>
                <c:pt idx="1">
                  <c:v>2.274</c:v>
                </c:pt>
                <c:pt idx="2">
                  <c:v>2.5621999999999998</c:v>
                </c:pt>
                <c:pt idx="3">
                  <c:v>2.8504999999999998</c:v>
                </c:pt>
                <c:pt idx="4">
                  <c:v>3.1387</c:v>
                </c:pt>
                <c:pt idx="5">
                  <c:v>3.4268999999999998</c:v>
                </c:pt>
                <c:pt idx="6">
                  <c:v>3.7151000000000001</c:v>
                </c:pt>
                <c:pt idx="7">
                  <c:v>4.0033000000000003</c:v>
                </c:pt>
                <c:pt idx="8">
                  <c:v>4.2915999999999999</c:v>
                </c:pt>
                <c:pt idx="9">
                  <c:v>4.5797999999999996</c:v>
                </c:pt>
                <c:pt idx="10">
                  <c:v>4.8680000000000003</c:v>
                </c:pt>
                <c:pt idx="11">
                  <c:v>5.1562000000000001</c:v>
                </c:pt>
                <c:pt idx="12">
                  <c:v>5.4443999999999999</c:v>
                </c:pt>
                <c:pt idx="13">
                  <c:v>5.7327000000000004</c:v>
                </c:pt>
                <c:pt idx="14">
                  <c:v>6.0209000000000001</c:v>
                </c:pt>
                <c:pt idx="15">
                  <c:v>6.3090999999999999</c:v>
                </c:pt>
                <c:pt idx="16">
                  <c:v>6.5972999999999997</c:v>
                </c:pt>
                <c:pt idx="17">
                  <c:v>6.8856000000000002</c:v>
                </c:pt>
                <c:pt idx="18">
                  <c:v>7.1738</c:v>
                </c:pt>
                <c:pt idx="19">
                  <c:v>7.4619999999999997</c:v>
                </c:pt>
                <c:pt idx="20">
                  <c:v>7.7502000000000004</c:v>
                </c:pt>
                <c:pt idx="21">
                  <c:v>8.0383999999999993</c:v>
                </c:pt>
                <c:pt idx="22">
                  <c:v>8.3267000000000007</c:v>
                </c:pt>
                <c:pt idx="23">
                  <c:v>8.6149000000000004</c:v>
                </c:pt>
                <c:pt idx="24">
                  <c:v>8.9031000000000002</c:v>
                </c:pt>
                <c:pt idx="25">
                  <c:v>9.1913</c:v>
                </c:pt>
                <c:pt idx="26">
                  <c:v>9.4794999999999998</c:v>
                </c:pt>
                <c:pt idx="27">
                  <c:v>9.7677999999999994</c:v>
                </c:pt>
                <c:pt idx="28">
                  <c:v>10.055999999999999</c:v>
                </c:pt>
                <c:pt idx="29">
                  <c:v>10.344200000000001</c:v>
                </c:pt>
              </c:numCache>
            </c:numRef>
          </c:cat>
          <c:val>
            <c:numRef>
              <c:f>LT_BellCurves!$B$332:$B$361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</c:v>
                </c:pt>
                <c:pt idx="19">
                  <c:v>21</c:v>
                </c:pt>
                <c:pt idx="20">
                  <c:v>48</c:v>
                </c:pt>
                <c:pt idx="21">
                  <c:v>64</c:v>
                </c:pt>
                <c:pt idx="22">
                  <c:v>73</c:v>
                </c:pt>
                <c:pt idx="23">
                  <c:v>37</c:v>
                </c:pt>
                <c:pt idx="24">
                  <c:v>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LT_BellCurves!$A$332:$A$361</c:f>
              <c:numCache>
                <c:formatCode>General</c:formatCode>
                <c:ptCount val="30"/>
                <c:pt idx="0">
                  <c:v>1.9858</c:v>
                </c:pt>
                <c:pt idx="1">
                  <c:v>2.274</c:v>
                </c:pt>
                <c:pt idx="2">
                  <c:v>2.5621999999999998</c:v>
                </c:pt>
                <c:pt idx="3">
                  <c:v>2.8504999999999998</c:v>
                </c:pt>
                <c:pt idx="4">
                  <c:v>3.1387</c:v>
                </c:pt>
                <c:pt idx="5">
                  <c:v>3.4268999999999998</c:v>
                </c:pt>
                <c:pt idx="6">
                  <c:v>3.7151000000000001</c:v>
                </c:pt>
                <c:pt idx="7">
                  <c:v>4.0033000000000003</c:v>
                </c:pt>
                <c:pt idx="8">
                  <c:v>4.2915999999999999</c:v>
                </c:pt>
                <c:pt idx="9">
                  <c:v>4.5797999999999996</c:v>
                </c:pt>
                <c:pt idx="10">
                  <c:v>4.8680000000000003</c:v>
                </c:pt>
                <c:pt idx="11">
                  <c:v>5.1562000000000001</c:v>
                </c:pt>
                <c:pt idx="12">
                  <c:v>5.4443999999999999</c:v>
                </c:pt>
                <c:pt idx="13">
                  <c:v>5.7327000000000004</c:v>
                </c:pt>
                <c:pt idx="14">
                  <c:v>6.0209000000000001</c:v>
                </c:pt>
                <c:pt idx="15">
                  <c:v>6.3090999999999999</c:v>
                </c:pt>
                <c:pt idx="16">
                  <c:v>6.5972999999999997</c:v>
                </c:pt>
                <c:pt idx="17">
                  <c:v>6.8856000000000002</c:v>
                </c:pt>
                <c:pt idx="18">
                  <c:v>7.1738</c:v>
                </c:pt>
                <c:pt idx="19">
                  <c:v>7.4619999999999997</c:v>
                </c:pt>
                <c:pt idx="20">
                  <c:v>7.7502000000000004</c:v>
                </c:pt>
                <c:pt idx="21">
                  <c:v>8.0383999999999993</c:v>
                </c:pt>
                <c:pt idx="22">
                  <c:v>8.3267000000000007</c:v>
                </c:pt>
                <c:pt idx="23">
                  <c:v>8.6149000000000004</c:v>
                </c:pt>
                <c:pt idx="24">
                  <c:v>8.9031000000000002</c:v>
                </c:pt>
                <c:pt idx="25">
                  <c:v>9.1913</c:v>
                </c:pt>
                <c:pt idx="26">
                  <c:v>9.4794999999999998</c:v>
                </c:pt>
                <c:pt idx="27">
                  <c:v>9.7677999999999994</c:v>
                </c:pt>
                <c:pt idx="28">
                  <c:v>10.055999999999999</c:v>
                </c:pt>
                <c:pt idx="29">
                  <c:v>10.344200000000001</c:v>
                </c:pt>
              </c:numCache>
            </c:numRef>
          </c:cat>
          <c:val>
            <c:numRef>
              <c:f>LT_BellCurves!$C$332:$C$361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LT_BellCurves!$A$332:$A$361</c:f>
              <c:numCache>
                <c:formatCode>General</c:formatCode>
                <c:ptCount val="30"/>
                <c:pt idx="0">
                  <c:v>1.9858</c:v>
                </c:pt>
                <c:pt idx="1">
                  <c:v>2.274</c:v>
                </c:pt>
                <c:pt idx="2">
                  <c:v>2.5621999999999998</c:v>
                </c:pt>
                <c:pt idx="3">
                  <c:v>2.8504999999999998</c:v>
                </c:pt>
                <c:pt idx="4">
                  <c:v>3.1387</c:v>
                </c:pt>
                <c:pt idx="5">
                  <c:v>3.4268999999999998</c:v>
                </c:pt>
                <c:pt idx="6">
                  <c:v>3.7151000000000001</c:v>
                </c:pt>
                <c:pt idx="7">
                  <c:v>4.0033000000000003</c:v>
                </c:pt>
                <c:pt idx="8">
                  <c:v>4.2915999999999999</c:v>
                </c:pt>
                <c:pt idx="9">
                  <c:v>4.5797999999999996</c:v>
                </c:pt>
                <c:pt idx="10">
                  <c:v>4.8680000000000003</c:v>
                </c:pt>
                <c:pt idx="11">
                  <c:v>5.1562000000000001</c:v>
                </c:pt>
                <c:pt idx="12">
                  <c:v>5.4443999999999999</c:v>
                </c:pt>
                <c:pt idx="13">
                  <c:v>5.7327000000000004</c:v>
                </c:pt>
                <c:pt idx="14">
                  <c:v>6.0209000000000001</c:v>
                </c:pt>
                <c:pt idx="15">
                  <c:v>6.3090999999999999</c:v>
                </c:pt>
                <c:pt idx="16">
                  <c:v>6.5972999999999997</c:v>
                </c:pt>
                <c:pt idx="17">
                  <c:v>6.8856000000000002</c:v>
                </c:pt>
                <c:pt idx="18">
                  <c:v>7.1738</c:v>
                </c:pt>
                <c:pt idx="19">
                  <c:v>7.4619999999999997</c:v>
                </c:pt>
                <c:pt idx="20">
                  <c:v>7.7502000000000004</c:v>
                </c:pt>
                <c:pt idx="21">
                  <c:v>8.0383999999999993</c:v>
                </c:pt>
                <c:pt idx="22">
                  <c:v>8.3267000000000007</c:v>
                </c:pt>
                <c:pt idx="23">
                  <c:v>8.6149000000000004</c:v>
                </c:pt>
                <c:pt idx="24">
                  <c:v>8.9031000000000002</c:v>
                </c:pt>
                <c:pt idx="25">
                  <c:v>9.1913</c:v>
                </c:pt>
                <c:pt idx="26">
                  <c:v>9.4794999999999998</c:v>
                </c:pt>
                <c:pt idx="27">
                  <c:v>9.7677999999999994</c:v>
                </c:pt>
                <c:pt idx="28">
                  <c:v>10.055999999999999</c:v>
                </c:pt>
                <c:pt idx="29">
                  <c:v>10.344200000000001</c:v>
                </c:pt>
              </c:numCache>
            </c:numRef>
          </c:cat>
          <c:val>
            <c:numRef>
              <c:f>LT_BellCurves!$D$332:$D$361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540864"/>
        <c:axId val="131543040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LT_BellCurves!$F$332:$F$361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1E-4</c:v>
                </c:pt>
                <c:pt idx="13">
                  <c:v>3.7000000000000002E-3</c:v>
                </c:pt>
                <c:pt idx="14">
                  <c:v>6.5699999999999995E-2</c:v>
                </c:pt>
                <c:pt idx="15">
                  <c:v>0.71350000000000002</c:v>
                </c:pt>
                <c:pt idx="16">
                  <c:v>4.6944999999999997</c:v>
                </c:pt>
                <c:pt idx="17">
                  <c:v>18.708300000000001</c:v>
                </c:pt>
                <c:pt idx="18">
                  <c:v>45.159300000000002</c:v>
                </c:pt>
                <c:pt idx="19">
                  <c:v>66.027299999999997</c:v>
                </c:pt>
                <c:pt idx="20">
                  <c:v>58.473999999999997</c:v>
                </c:pt>
                <c:pt idx="21">
                  <c:v>31.366499999999998</c:v>
                </c:pt>
                <c:pt idx="22">
                  <c:v>10.1914</c:v>
                </c:pt>
                <c:pt idx="23">
                  <c:v>2.0057</c:v>
                </c:pt>
                <c:pt idx="24">
                  <c:v>0.23910000000000001</c:v>
                </c:pt>
                <c:pt idx="25">
                  <c:v>1.7299999999999999E-2</c:v>
                </c:pt>
                <c:pt idx="26">
                  <c:v>8.0000000000000004E-4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40864"/>
        <c:axId val="131543040"/>
      </c:lineChart>
      <c:catAx>
        <c:axId val="131540864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543040"/>
        <c:crosses val="autoZero"/>
        <c:auto val="1"/>
        <c:lblAlgn val="ctr"/>
        <c:lblOffset val="100"/>
        <c:tickLblSkip val="5"/>
        <c:noMultiLvlLbl val="1"/>
      </c:catAx>
      <c:valAx>
        <c:axId val="13154304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54086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Final Current [LT]  </a:t>
            </a:r>
            <a:r>
              <a:rPr lang="el-GR"/>
              <a:t>μ=7.92  σ=0.40  </a:t>
            </a:r>
            <a:r>
              <a:rPr lang="en-US"/>
              <a:t>n=322  out(3</a:t>
            </a:r>
            <a:r>
              <a:rPr lang="el-GR"/>
              <a:t>σ)=28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LT_BellCurves!$A$365:$A$394</c:f>
              <c:numCache>
                <c:formatCode>General</c:formatCode>
                <c:ptCount val="30"/>
                <c:pt idx="0">
                  <c:v>2.0076000000000001</c:v>
                </c:pt>
                <c:pt idx="1">
                  <c:v>2.2625999999999999</c:v>
                </c:pt>
                <c:pt idx="2">
                  <c:v>2.5175999999999998</c:v>
                </c:pt>
                <c:pt idx="3">
                  <c:v>2.7726000000000002</c:v>
                </c:pt>
                <c:pt idx="4">
                  <c:v>3.0276000000000001</c:v>
                </c:pt>
                <c:pt idx="5">
                  <c:v>3.2826</c:v>
                </c:pt>
                <c:pt idx="6">
                  <c:v>3.5375999999999999</c:v>
                </c:pt>
                <c:pt idx="7">
                  <c:v>3.7926000000000002</c:v>
                </c:pt>
                <c:pt idx="8">
                  <c:v>4.0475000000000003</c:v>
                </c:pt>
                <c:pt idx="9">
                  <c:v>4.3025000000000002</c:v>
                </c:pt>
                <c:pt idx="10">
                  <c:v>4.5575000000000001</c:v>
                </c:pt>
                <c:pt idx="11">
                  <c:v>4.8125</c:v>
                </c:pt>
                <c:pt idx="12">
                  <c:v>5.0674999999999999</c:v>
                </c:pt>
                <c:pt idx="13">
                  <c:v>5.3224999999999998</c:v>
                </c:pt>
                <c:pt idx="14">
                  <c:v>5.5774999999999997</c:v>
                </c:pt>
                <c:pt idx="15">
                  <c:v>5.8324999999999996</c:v>
                </c:pt>
                <c:pt idx="16">
                  <c:v>6.0875000000000004</c:v>
                </c:pt>
                <c:pt idx="17">
                  <c:v>6.3425000000000002</c:v>
                </c:pt>
                <c:pt idx="18">
                  <c:v>6.5975000000000001</c:v>
                </c:pt>
                <c:pt idx="19">
                  <c:v>6.8525</c:v>
                </c:pt>
                <c:pt idx="20">
                  <c:v>7.1074999999999999</c:v>
                </c:pt>
                <c:pt idx="21">
                  <c:v>7.3624999999999998</c:v>
                </c:pt>
                <c:pt idx="22">
                  <c:v>7.6173999999999999</c:v>
                </c:pt>
                <c:pt idx="23">
                  <c:v>7.8723999999999998</c:v>
                </c:pt>
                <c:pt idx="24">
                  <c:v>8.1273999999999997</c:v>
                </c:pt>
                <c:pt idx="25">
                  <c:v>8.3824000000000005</c:v>
                </c:pt>
                <c:pt idx="26">
                  <c:v>8.6373999999999995</c:v>
                </c:pt>
                <c:pt idx="27">
                  <c:v>8.8924000000000003</c:v>
                </c:pt>
                <c:pt idx="28">
                  <c:v>9.1473999999999993</c:v>
                </c:pt>
                <c:pt idx="29">
                  <c:v>9.4024000000000001</c:v>
                </c:pt>
              </c:numCache>
            </c:numRef>
          </c:cat>
          <c:val>
            <c:numRef>
              <c:f>LT_BellCurves!$B$365:$B$394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</c:v>
                </c:pt>
                <c:pt idx="22">
                  <c:v>43</c:v>
                </c:pt>
                <c:pt idx="23">
                  <c:v>69</c:v>
                </c:pt>
                <c:pt idx="24">
                  <c:v>88</c:v>
                </c:pt>
                <c:pt idx="25">
                  <c:v>45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LT_BellCurves!$A$365:$A$394</c:f>
              <c:numCache>
                <c:formatCode>General</c:formatCode>
                <c:ptCount val="30"/>
                <c:pt idx="0">
                  <c:v>2.0076000000000001</c:v>
                </c:pt>
                <c:pt idx="1">
                  <c:v>2.2625999999999999</c:v>
                </c:pt>
                <c:pt idx="2">
                  <c:v>2.5175999999999998</c:v>
                </c:pt>
                <c:pt idx="3">
                  <c:v>2.7726000000000002</c:v>
                </c:pt>
                <c:pt idx="4">
                  <c:v>3.0276000000000001</c:v>
                </c:pt>
                <c:pt idx="5">
                  <c:v>3.2826</c:v>
                </c:pt>
                <c:pt idx="6">
                  <c:v>3.5375999999999999</c:v>
                </c:pt>
                <c:pt idx="7">
                  <c:v>3.7926000000000002</c:v>
                </c:pt>
                <c:pt idx="8">
                  <c:v>4.0475000000000003</c:v>
                </c:pt>
                <c:pt idx="9">
                  <c:v>4.3025000000000002</c:v>
                </c:pt>
                <c:pt idx="10">
                  <c:v>4.5575000000000001</c:v>
                </c:pt>
                <c:pt idx="11">
                  <c:v>4.8125</c:v>
                </c:pt>
                <c:pt idx="12">
                  <c:v>5.0674999999999999</c:v>
                </c:pt>
                <c:pt idx="13">
                  <c:v>5.3224999999999998</c:v>
                </c:pt>
                <c:pt idx="14">
                  <c:v>5.5774999999999997</c:v>
                </c:pt>
                <c:pt idx="15">
                  <c:v>5.8324999999999996</c:v>
                </c:pt>
                <c:pt idx="16">
                  <c:v>6.0875000000000004</c:v>
                </c:pt>
                <c:pt idx="17">
                  <c:v>6.3425000000000002</c:v>
                </c:pt>
                <c:pt idx="18">
                  <c:v>6.5975000000000001</c:v>
                </c:pt>
                <c:pt idx="19">
                  <c:v>6.8525</c:v>
                </c:pt>
                <c:pt idx="20">
                  <c:v>7.1074999999999999</c:v>
                </c:pt>
                <c:pt idx="21">
                  <c:v>7.3624999999999998</c:v>
                </c:pt>
                <c:pt idx="22">
                  <c:v>7.6173999999999999</c:v>
                </c:pt>
                <c:pt idx="23">
                  <c:v>7.8723999999999998</c:v>
                </c:pt>
                <c:pt idx="24">
                  <c:v>8.1273999999999997</c:v>
                </c:pt>
                <c:pt idx="25">
                  <c:v>8.3824000000000005</c:v>
                </c:pt>
                <c:pt idx="26">
                  <c:v>8.6373999999999995</c:v>
                </c:pt>
                <c:pt idx="27">
                  <c:v>8.8924000000000003</c:v>
                </c:pt>
                <c:pt idx="28">
                  <c:v>9.1473999999999993</c:v>
                </c:pt>
                <c:pt idx="29">
                  <c:v>9.4024000000000001</c:v>
                </c:pt>
              </c:numCache>
            </c:numRef>
          </c:cat>
          <c:val>
            <c:numRef>
              <c:f>LT_BellCurves!$C$365:$C$394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LT_BellCurves!$A$365:$A$394</c:f>
              <c:numCache>
                <c:formatCode>General</c:formatCode>
                <c:ptCount val="30"/>
                <c:pt idx="0">
                  <c:v>2.0076000000000001</c:v>
                </c:pt>
                <c:pt idx="1">
                  <c:v>2.2625999999999999</c:v>
                </c:pt>
                <c:pt idx="2">
                  <c:v>2.5175999999999998</c:v>
                </c:pt>
                <c:pt idx="3">
                  <c:v>2.7726000000000002</c:v>
                </c:pt>
                <c:pt idx="4">
                  <c:v>3.0276000000000001</c:v>
                </c:pt>
                <c:pt idx="5">
                  <c:v>3.2826</c:v>
                </c:pt>
                <c:pt idx="6">
                  <c:v>3.5375999999999999</c:v>
                </c:pt>
                <c:pt idx="7">
                  <c:v>3.7926000000000002</c:v>
                </c:pt>
                <c:pt idx="8">
                  <c:v>4.0475000000000003</c:v>
                </c:pt>
                <c:pt idx="9">
                  <c:v>4.3025000000000002</c:v>
                </c:pt>
                <c:pt idx="10">
                  <c:v>4.5575000000000001</c:v>
                </c:pt>
                <c:pt idx="11">
                  <c:v>4.8125</c:v>
                </c:pt>
                <c:pt idx="12">
                  <c:v>5.0674999999999999</c:v>
                </c:pt>
                <c:pt idx="13">
                  <c:v>5.3224999999999998</c:v>
                </c:pt>
                <c:pt idx="14">
                  <c:v>5.5774999999999997</c:v>
                </c:pt>
                <c:pt idx="15">
                  <c:v>5.8324999999999996</c:v>
                </c:pt>
                <c:pt idx="16">
                  <c:v>6.0875000000000004</c:v>
                </c:pt>
                <c:pt idx="17">
                  <c:v>6.3425000000000002</c:v>
                </c:pt>
                <c:pt idx="18">
                  <c:v>6.5975000000000001</c:v>
                </c:pt>
                <c:pt idx="19">
                  <c:v>6.8525</c:v>
                </c:pt>
                <c:pt idx="20">
                  <c:v>7.1074999999999999</c:v>
                </c:pt>
                <c:pt idx="21">
                  <c:v>7.3624999999999998</c:v>
                </c:pt>
                <c:pt idx="22">
                  <c:v>7.6173999999999999</c:v>
                </c:pt>
                <c:pt idx="23">
                  <c:v>7.8723999999999998</c:v>
                </c:pt>
                <c:pt idx="24">
                  <c:v>8.1273999999999997</c:v>
                </c:pt>
                <c:pt idx="25">
                  <c:v>8.3824000000000005</c:v>
                </c:pt>
                <c:pt idx="26">
                  <c:v>8.6373999999999995</c:v>
                </c:pt>
                <c:pt idx="27">
                  <c:v>8.8924000000000003</c:v>
                </c:pt>
                <c:pt idx="28">
                  <c:v>9.1473999999999993</c:v>
                </c:pt>
                <c:pt idx="29">
                  <c:v>9.4024000000000001</c:v>
                </c:pt>
              </c:numCache>
            </c:numRef>
          </c:cat>
          <c:val>
            <c:numRef>
              <c:f>LT_BellCurves!$D$365:$D$394</c:f>
              <c:numCache>
                <c:formatCode>General</c:formatCode>
                <c:ptCount val="30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1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586688"/>
        <c:axId val="131592960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LT_BellCurves!$F$365:$F$394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2.0000000000000001E-4</c:v>
                </c:pt>
                <c:pt idx="16">
                  <c:v>8.6E-3</c:v>
                </c:pt>
                <c:pt idx="17">
                  <c:v>0.2147</c:v>
                </c:pt>
                <c:pt idx="18">
                  <c:v>2.6768999999999998</c:v>
                </c:pt>
                <c:pt idx="19">
                  <c:v>16.697900000000001</c:v>
                </c:pt>
                <c:pt idx="20">
                  <c:v>52.108800000000002</c:v>
                </c:pt>
                <c:pt idx="21">
                  <c:v>81.352999999999994</c:v>
                </c:pt>
                <c:pt idx="22">
                  <c:v>63.540399999999998</c:v>
                </c:pt>
                <c:pt idx="23">
                  <c:v>24.8279</c:v>
                </c:pt>
                <c:pt idx="24">
                  <c:v>4.8533999999999997</c:v>
                </c:pt>
                <c:pt idx="25">
                  <c:v>0.47460000000000002</c:v>
                </c:pt>
                <c:pt idx="26">
                  <c:v>2.3199999999999998E-2</c:v>
                </c:pt>
                <c:pt idx="27">
                  <c:v>5.9999999999999995E-4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86688"/>
        <c:axId val="131592960"/>
      </c:lineChart>
      <c:catAx>
        <c:axId val="13158668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592960"/>
        <c:crosses val="autoZero"/>
        <c:auto val="1"/>
        <c:lblAlgn val="ctr"/>
        <c:lblOffset val="100"/>
        <c:tickLblSkip val="5"/>
        <c:noMultiLvlLbl val="1"/>
      </c:catAx>
      <c:valAx>
        <c:axId val="13159296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58668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Suction Tube Temp [MT]  </a:t>
            </a:r>
            <a:r>
              <a:rPr lang="el-GR"/>
              <a:t>μ=112.56  σ=4.99  </a:t>
            </a:r>
            <a:r>
              <a:rPr lang="en-US"/>
              <a:t>n=496  out(3</a:t>
            </a:r>
            <a:r>
              <a:rPr lang="el-GR"/>
              <a:t>σ)=33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MT_BellCurves!$A$2:$A$31</c:f>
              <c:numCache>
                <c:formatCode>General</c:formatCode>
                <c:ptCount val="30"/>
                <c:pt idx="0">
                  <c:v>69.441800000000001</c:v>
                </c:pt>
                <c:pt idx="1">
                  <c:v>72.511300000000006</c:v>
                </c:pt>
                <c:pt idx="2">
                  <c:v>75.5809</c:v>
                </c:pt>
                <c:pt idx="3">
                  <c:v>78.650400000000005</c:v>
                </c:pt>
                <c:pt idx="4">
                  <c:v>81.719899999999996</c:v>
                </c:pt>
                <c:pt idx="5">
                  <c:v>84.789400000000001</c:v>
                </c:pt>
                <c:pt idx="6">
                  <c:v>87.858999999999995</c:v>
                </c:pt>
                <c:pt idx="7">
                  <c:v>90.9285</c:v>
                </c:pt>
                <c:pt idx="8">
                  <c:v>93.998000000000005</c:v>
                </c:pt>
                <c:pt idx="9">
                  <c:v>97.067599999999999</c:v>
                </c:pt>
                <c:pt idx="10">
                  <c:v>100.1371</c:v>
                </c:pt>
                <c:pt idx="11">
                  <c:v>103.20659999999999</c:v>
                </c:pt>
                <c:pt idx="12">
                  <c:v>106.2762</c:v>
                </c:pt>
                <c:pt idx="13">
                  <c:v>109.34569999999999</c:v>
                </c:pt>
                <c:pt idx="14">
                  <c:v>112.4152</c:v>
                </c:pt>
                <c:pt idx="15">
                  <c:v>115.48480000000001</c:v>
                </c:pt>
                <c:pt idx="16">
                  <c:v>118.5543</c:v>
                </c:pt>
                <c:pt idx="17">
                  <c:v>121.6238</c:v>
                </c:pt>
                <c:pt idx="18">
                  <c:v>124.6934</c:v>
                </c:pt>
                <c:pt idx="19">
                  <c:v>127.7629</c:v>
                </c:pt>
                <c:pt idx="20">
                  <c:v>130.83240000000001</c:v>
                </c:pt>
                <c:pt idx="21">
                  <c:v>133.90199999999999</c:v>
                </c:pt>
                <c:pt idx="22">
                  <c:v>136.97149999999999</c:v>
                </c:pt>
                <c:pt idx="23">
                  <c:v>140.041</c:v>
                </c:pt>
                <c:pt idx="24">
                  <c:v>143.11060000000001</c:v>
                </c:pt>
                <c:pt idx="25">
                  <c:v>146.18010000000001</c:v>
                </c:pt>
                <c:pt idx="26">
                  <c:v>149.24959999999999</c:v>
                </c:pt>
                <c:pt idx="27">
                  <c:v>152.31909999999999</c:v>
                </c:pt>
                <c:pt idx="28">
                  <c:v>155.3887</c:v>
                </c:pt>
                <c:pt idx="29">
                  <c:v>158.45820000000001</c:v>
                </c:pt>
              </c:numCache>
            </c:numRef>
          </c:cat>
          <c:val>
            <c:numRef>
              <c:f>MT_BellCurves!$B$2:$B$31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</c:v>
                </c:pt>
                <c:pt idx="12">
                  <c:v>48</c:v>
                </c:pt>
                <c:pt idx="13">
                  <c:v>68</c:v>
                </c:pt>
                <c:pt idx="14">
                  <c:v>139</c:v>
                </c:pt>
                <c:pt idx="15">
                  <c:v>95</c:v>
                </c:pt>
                <c:pt idx="16">
                  <c:v>54</c:v>
                </c:pt>
                <c:pt idx="17">
                  <c:v>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MT_BellCurves!$A$2:$A$31</c:f>
              <c:numCache>
                <c:formatCode>General</c:formatCode>
                <c:ptCount val="30"/>
                <c:pt idx="0">
                  <c:v>69.441800000000001</c:v>
                </c:pt>
                <c:pt idx="1">
                  <c:v>72.511300000000006</c:v>
                </c:pt>
                <c:pt idx="2">
                  <c:v>75.5809</c:v>
                </c:pt>
                <c:pt idx="3">
                  <c:v>78.650400000000005</c:v>
                </c:pt>
                <c:pt idx="4">
                  <c:v>81.719899999999996</c:v>
                </c:pt>
                <c:pt idx="5">
                  <c:v>84.789400000000001</c:v>
                </c:pt>
                <c:pt idx="6">
                  <c:v>87.858999999999995</c:v>
                </c:pt>
                <c:pt idx="7">
                  <c:v>90.9285</c:v>
                </c:pt>
                <c:pt idx="8">
                  <c:v>93.998000000000005</c:v>
                </c:pt>
                <c:pt idx="9">
                  <c:v>97.067599999999999</c:v>
                </c:pt>
                <c:pt idx="10">
                  <c:v>100.1371</c:v>
                </c:pt>
                <c:pt idx="11">
                  <c:v>103.20659999999999</c:v>
                </c:pt>
                <c:pt idx="12">
                  <c:v>106.2762</c:v>
                </c:pt>
                <c:pt idx="13">
                  <c:v>109.34569999999999</c:v>
                </c:pt>
                <c:pt idx="14">
                  <c:v>112.4152</c:v>
                </c:pt>
                <c:pt idx="15">
                  <c:v>115.48480000000001</c:v>
                </c:pt>
                <c:pt idx="16">
                  <c:v>118.5543</c:v>
                </c:pt>
                <c:pt idx="17">
                  <c:v>121.6238</c:v>
                </c:pt>
                <c:pt idx="18">
                  <c:v>124.6934</c:v>
                </c:pt>
                <c:pt idx="19">
                  <c:v>127.7629</c:v>
                </c:pt>
                <c:pt idx="20">
                  <c:v>130.83240000000001</c:v>
                </c:pt>
                <c:pt idx="21">
                  <c:v>133.90199999999999</c:v>
                </c:pt>
                <c:pt idx="22">
                  <c:v>136.97149999999999</c:v>
                </c:pt>
                <c:pt idx="23">
                  <c:v>140.041</c:v>
                </c:pt>
                <c:pt idx="24">
                  <c:v>143.11060000000001</c:v>
                </c:pt>
                <c:pt idx="25">
                  <c:v>146.18010000000001</c:v>
                </c:pt>
                <c:pt idx="26">
                  <c:v>149.24959999999999</c:v>
                </c:pt>
                <c:pt idx="27">
                  <c:v>152.31909999999999</c:v>
                </c:pt>
                <c:pt idx="28">
                  <c:v>155.3887</c:v>
                </c:pt>
                <c:pt idx="29">
                  <c:v>158.45820000000001</c:v>
                </c:pt>
              </c:numCache>
            </c:numRef>
          </c:cat>
          <c:val>
            <c:numRef>
              <c:f>MT_BellCurves!$C$2:$C$31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MT_BellCurves!$A$2:$A$31</c:f>
              <c:numCache>
                <c:formatCode>General</c:formatCode>
                <c:ptCount val="30"/>
                <c:pt idx="0">
                  <c:v>69.441800000000001</c:v>
                </c:pt>
                <c:pt idx="1">
                  <c:v>72.511300000000006</c:v>
                </c:pt>
                <c:pt idx="2">
                  <c:v>75.5809</c:v>
                </c:pt>
                <c:pt idx="3">
                  <c:v>78.650400000000005</c:v>
                </c:pt>
                <c:pt idx="4">
                  <c:v>81.719899999999996</c:v>
                </c:pt>
                <c:pt idx="5">
                  <c:v>84.789400000000001</c:v>
                </c:pt>
                <c:pt idx="6">
                  <c:v>87.858999999999995</c:v>
                </c:pt>
                <c:pt idx="7">
                  <c:v>90.9285</c:v>
                </c:pt>
                <c:pt idx="8">
                  <c:v>93.998000000000005</c:v>
                </c:pt>
                <c:pt idx="9">
                  <c:v>97.067599999999999</c:v>
                </c:pt>
                <c:pt idx="10">
                  <c:v>100.1371</c:v>
                </c:pt>
                <c:pt idx="11">
                  <c:v>103.20659999999999</c:v>
                </c:pt>
                <c:pt idx="12">
                  <c:v>106.2762</c:v>
                </c:pt>
                <c:pt idx="13">
                  <c:v>109.34569999999999</c:v>
                </c:pt>
                <c:pt idx="14">
                  <c:v>112.4152</c:v>
                </c:pt>
                <c:pt idx="15">
                  <c:v>115.48480000000001</c:v>
                </c:pt>
                <c:pt idx="16">
                  <c:v>118.5543</c:v>
                </c:pt>
                <c:pt idx="17">
                  <c:v>121.6238</c:v>
                </c:pt>
                <c:pt idx="18">
                  <c:v>124.6934</c:v>
                </c:pt>
                <c:pt idx="19">
                  <c:v>127.7629</c:v>
                </c:pt>
                <c:pt idx="20">
                  <c:v>130.83240000000001</c:v>
                </c:pt>
                <c:pt idx="21">
                  <c:v>133.90199999999999</c:v>
                </c:pt>
                <c:pt idx="22">
                  <c:v>136.97149999999999</c:v>
                </c:pt>
                <c:pt idx="23">
                  <c:v>140.041</c:v>
                </c:pt>
                <c:pt idx="24">
                  <c:v>143.11060000000001</c:v>
                </c:pt>
                <c:pt idx="25">
                  <c:v>146.18010000000001</c:v>
                </c:pt>
                <c:pt idx="26">
                  <c:v>149.24959999999999</c:v>
                </c:pt>
                <c:pt idx="27">
                  <c:v>152.31909999999999</c:v>
                </c:pt>
                <c:pt idx="28">
                  <c:v>155.3887</c:v>
                </c:pt>
                <c:pt idx="29">
                  <c:v>158.45820000000001</c:v>
                </c:pt>
              </c:numCache>
            </c:numRef>
          </c:cat>
          <c:val>
            <c:numRef>
              <c:f>MT_BellCurves!$D$2:$D$31</c:f>
              <c:numCache>
                <c:formatCode>General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334144"/>
        <c:axId val="131336064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MT_BellCurves!$F$2:$F$31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5.0000000000000001E-4</c:v>
                </c:pt>
                <c:pt idx="9">
                  <c:v>2.0199999999999999E-2</c:v>
                </c:pt>
                <c:pt idx="10">
                  <c:v>0.4259</c:v>
                </c:pt>
                <c:pt idx="11">
                  <c:v>4.6688000000000001</c:v>
                </c:pt>
                <c:pt idx="12">
                  <c:v>26.586300000000001</c:v>
                </c:pt>
                <c:pt idx="13">
                  <c:v>78.645300000000006</c:v>
                </c:pt>
                <c:pt idx="14">
                  <c:v>120.8524</c:v>
                </c:pt>
                <c:pt idx="15">
                  <c:v>96.472800000000007</c:v>
                </c:pt>
                <c:pt idx="16">
                  <c:v>40.005600000000001</c:v>
                </c:pt>
                <c:pt idx="17">
                  <c:v>8.6180000000000003</c:v>
                </c:pt>
                <c:pt idx="18">
                  <c:v>0.96440000000000003</c:v>
                </c:pt>
                <c:pt idx="19">
                  <c:v>5.6099999999999997E-2</c:v>
                </c:pt>
                <c:pt idx="20">
                  <c:v>1.6999999999999999E-3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34144"/>
        <c:axId val="131336064"/>
      </c:lineChart>
      <c:catAx>
        <c:axId val="131334144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336064"/>
        <c:crosses val="autoZero"/>
        <c:auto val="1"/>
        <c:lblAlgn val="ctr"/>
        <c:lblOffset val="100"/>
        <c:tickLblSkip val="5"/>
        <c:noMultiLvlLbl val="1"/>
      </c:catAx>
      <c:valAx>
        <c:axId val="13133606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33414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Evap Inlet Ret Bend A [MT]  </a:t>
            </a:r>
            <a:r>
              <a:rPr lang="el-GR"/>
              <a:t>μ=80.72  σ=2.82  </a:t>
            </a:r>
            <a:r>
              <a:rPr lang="en-US"/>
              <a:t>n=496  out(3</a:t>
            </a:r>
            <a:r>
              <a:rPr lang="el-GR"/>
              <a:t>σ)=27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MT_BellCurves!$A$35:$A$64</c:f>
              <c:numCache>
                <c:formatCode>General</c:formatCode>
                <c:ptCount val="30"/>
                <c:pt idx="0">
                  <c:v>54.336199999999998</c:v>
                </c:pt>
                <c:pt idx="1">
                  <c:v>57.830199999999998</c:v>
                </c:pt>
                <c:pt idx="2">
                  <c:v>61.324300000000001</c:v>
                </c:pt>
                <c:pt idx="3">
                  <c:v>64.818399999999997</c:v>
                </c:pt>
                <c:pt idx="4">
                  <c:v>68.312399999999997</c:v>
                </c:pt>
                <c:pt idx="5">
                  <c:v>71.8065</c:v>
                </c:pt>
                <c:pt idx="6">
                  <c:v>75.3005</c:v>
                </c:pt>
                <c:pt idx="7">
                  <c:v>78.794600000000003</c:v>
                </c:pt>
                <c:pt idx="8">
                  <c:v>82.288600000000002</c:v>
                </c:pt>
                <c:pt idx="9">
                  <c:v>85.782700000000006</c:v>
                </c:pt>
                <c:pt idx="10">
                  <c:v>89.276700000000005</c:v>
                </c:pt>
                <c:pt idx="11">
                  <c:v>92.770799999999994</c:v>
                </c:pt>
                <c:pt idx="12">
                  <c:v>96.264899999999997</c:v>
                </c:pt>
                <c:pt idx="13">
                  <c:v>99.758899999999997</c:v>
                </c:pt>
                <c:pt idx="14">
                  <c:v>103.253</c:v>
                </c:pt>
                <c:pt idx="15">
                  <c:v>106.747</c:v>
                </c:pt>
                <c:pt idx="16">
                  <c:v>110.2411</c:v>
                </c:pt>
                <c:pt idx="17">
                  <c:v>113.7351</c:v>
                </c:pt>
                <c:pt idx="18">
                  <c:v>117.22920000000001</c:v>
                </c:pt>
                <c:pt idx="19">
                  <c:v>120.72329999999999</c:v>
                </c:pt>
                <c:pt idx="20">
                  <c:v>124.21729999999999</c:v>
                </c:pt>
                <c:pt idx="21">
                  <c:v>127.7114</c:v>
                </c:pt>
                <c:pt idx="22">
                  <c:v>131.2054</c:v>
                </c:pt>
                <c:pt idx="23">
                  <c:v>134.6995</c:v>
                </c:pt>
                <c:pt idx="24">
                  <c:v>138.1935</c:v>
                </c:pt>
                <c:pt idx="25">
                  <c:v>141.6876</c:v>
                </c:pt>
                <c:pt idx="26">
                  <c:v>145.1816</c:v>
                </c:pt>
                <c:pt idx="27">
                  <c:v>148.67570000000001</c:v>
                </c:pt>
                <c:pt idx="28">
                  <c:v>152.16980000000001</c:v>
                </c:pt>
                <c:pt idx="29">
                  <c:v>155.66380000000001</c:v>
                </c:pt>
              </c:numCache>
            </c:numRef>
          </c:cat>
          <c:val>
            <c:numRef>
              <c:f>MT_BellCurves!$B$35:$B$64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67</c:v>
                </c:pt>
                <c:pt idx="7">
                  <c:v>160</c:v>
                </c:pt>
                <c:pt idx="8">
                  <c:v>174</c:v>
                </c:pt>
                <c:pt idx="9">
                  <c:v>59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MT_BellCurves!$A$35:$A$64</c:f>
              <c:numCache>
                <c:formatCode>General</c:formatCode>
                <c:ptCount val="30"/>
                <c:pt idx="0">
                  <c:v>54.336199999999998</c:v>
                </c:pt>
                <c:pt idx="1">
                  <c:v>57.830199999999998</c:v>
                </c:pt>
                <c:pt idx="2">
                  <c:v>61.324300000000001</c:v>
                </c:pt>
                <c:pt idx="3">
                  <c:v>64.818399999999997</c:v>
                </c:pt>
                <c:pt idx="4">
                  <c:v>68.312399999999997</c:v>
                </c:pt>
                <c:pt idx="5">
                  <c:v>71.8065</c:v>
                </c:pt>
                <c:pt idx="6">
                  <c:v>75.3005</c:v>
                </c:pt>
                <c:pt idx="7">
                  <c:v>78.794600000000003</c:v>
                </c:pt>
                <c:pt idx="8">
                  <c:v>82.288600000000002</c:v>
                </c:pt>
                <c:pt idx="9">
                  <c:v>85.782700000000006</c:v>
                </c:pt>
                <c:pt idx="10">
                  <c:v>89.276700000000005</c:v>
                </c:pt>
                <c:pt idx="11">
                  <c:v>92.770799999999994</c:v>
                </c:pt>
                <c:pt idx="12">
                  <c:v>96.264899999999997</c:v>
                </c:pt>
                <c:pt idx="13">
                  <c:v>99.758899999999997</c:v>
                </c:pt>
                <c:pt idx="14">
                  <c:v>103.253</c:v>
                </c:pt>
                <c:pt idx="15">
                  <c:v>106.747</c:v>
                </c:pt>
                <c:pt idx="16">
                  <c:v>110.2411</c:v>
                </c:pt>
                <c:pt idx="17">
                  <c:v>113.7351</c:v>
                </c:pt>
                <c:pt idx="18">
                  <c:v>117.22920000000001</c:v>
                </c:pt>
                <c:pt idx="19">
                  <c:v>120.72329999999999</c:v>
                </c:pt>
                <c:pt idx="20">
                  <c:v>124.21729999999999</c:v>
                </c:pt>
                <c:pt idx="21">
                  <c:v>127.7114</c:v>
                </c:pt>
                <c:pt idx="22">
                  <c:v>131.2054</c:v>
                </c:pt>
                <c:pt idx="23">
                  <c:v>134.6995</c:v>
                </c:pt>
                <c:pt idx="24">
                  <c:v>138.1935</c:v>
                </c:pt>
                <c:pt idx="25">
                  <c:v>141.6876</c:v>
                </c:pt>
                <c:pt idx="26">
                  <c:v>145.1816</c:v>
                </c:pt>
                <c:pt idx="27">
                  <c:v>148.67570000000001</c:v>
                </c:pt>
                <c:pt idx="28">
                  <c:v>152.16980000000001</c:v>
                </c:pt>
                <c:pt idx="29">
                  <c:v>155.66380000000001</c:v>
                </c:pt>
              </c:numCache>
            </c:numRef>
          </c:cat>
          <c:val>
            <c:numRef>
              <c:f>MT_BellCurves!$C$35:$C$64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MT_BellCurves!$A$35:$A$64</c:f>
              <c:numCache>
                <c:formatCode>General</c:formatCode>
                <c:ptCount val="30"/>
                <c:pt idx="0">
                  <c:v>54.336199999999998</c:v>
                </c:pt>
                <c:pt idx="1">
                  <c:v>57.830199999999998</c:v>
                </c:pt>
                <c:pt idx="2">
                  <c:v>61.324300000000001</c:v>
                </c:pt>
                <c:pt idx="3">
                  <c:v>64.818399999999997</c:v>
                </c:pt>
                <c:pt idx="4">
                  <c:v>68.312399999999997</c:v>
                </c:pt>
                <c:pt idx="5">
                  <c:v>71.8065</c:v>
                </c:pt>
                <c:pt idx="6">
                  <c:v>75.3005</c:v>
                </c:pt>
                <c:pt idx="7">
                  <c:v>78.794600000000003</c:v>
                </c:pt>
                <c:pt idx="8">
                  <c:v>82.288600000000002</c:v>
                </c:pt>
                <c:pt idx="9">
                  <c:v>85.782700000000006</c:v>
                </c:pt>
                <c:pt idx="10">
                  <c:v>89.276700000000005</c:v>
                </c:pt>
                <c:pt idx="11">
                  <c:v>92.770799999999994</c:v>
                </c:pt>
                <c:pt idx="12">
                  <c:v>96.264899999999997</c:v>
                </c:pt>
                <c:pt idx="13">
                  <c:v>99.758899999999997</c:v>
                </c:pt>
                <c:pt idx="14">
                  <c:v>103.253</c:v>
                </c:pt>
                <c:pt idx="15">
                  <c:v>106.747</c:v>
                </c:pt>
                <c:pt idx="16">
                  <c:v>110.2411</c:v>
                </c:pt>
                <c:pt idx="17">
                  <c:v>113.7351</c:v>
                </c:pt>
                <c:pt idx="18">
                  <c:v>117.22920000000001</c:v>
                </c:pt>
                <c:pt idx="19">
                  <c:v>120.72329999999999</c:v>
                </c:pt>
                <c:pt idx="20">
                  <c:v>124.21729999999999</c:v>
                </c:pt>
                <c:pt idx="21">
                  <c:v>127.7114</c:v>
                </c:pt>
                <c:pt idx="22">
                  <c:v>131.2054</c:v>
                </c:pt>
                <c:pt idx="23">
                  <c:v>134.6995</c:v>
                </c:pt>
                <c:pt idx="24">
                  <c:v>138.1935</c:v>
                </c:pt>
                <c:pt idx="25">
                  <c:v>141.6876</c:v>
                </c:pt>
                <c:pt idx="26">
                  <c:v>145.1816</c:v>
                </c:pt>
                <c:pt idx="27">
                  <c:v>148.67570000000001</c:v>
                </c:pt>
                <c:pt idx="28">
                  <c:v>152.16980000000001</c:v>
                </c:pt>
                <c:pt idx="29">
                  <c:v>155.66380000000001</c:v>
                </c:pt>
              </c:numCache>
            </c:numRef>
          </c:cat>
          <c:val>
            <c:numRef>
              <c:f>MT_BellCurves!$D$35:$D$64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379968"/>
        <c:axId val="131381888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MT_BellCurves!$F$35:$F$64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2.9999999999999997E-4</c:v>
                </c:pt>
                <c:pt idx="6">
                  <c:v>0.21709999999999999</c:v>
                </c:pt>
                <c:pt idx="7">
                  <c:v>17.561399999999999</c:v>
                </c:pt>
                <c:pt idx="8">
                  <c:v>171.81780000000001</c:v>
                </c:pt>
                <c:pt idx="9">
                  <c:v>203.32159999999999</c:v>
                </c:pt>
                <c:pt idx="10">
                  <c:v>29.1008</c:v>
                </c:pt>
                <c:pt idx="11">
                  <c:v>0.50380000000000003</c:v>
                </c:pt>
                <c:pt idx="12">
                  <c:v>1.1000000000000001E-3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79968"/>
        <c:axId val="131381888"/>
      </c:lineChart>
      <c:catAx>
        <c:axId val="13137996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381888"/>
        <c:crosses val="autoZero"/>
        <c:auto val="1"/>
        <c:lblAlgn val="ctr"/>
        <c:lblOffset val="100"/>
        <c:tickLblSkip val="5"/>
        <c:noMultiLvlLbl val="1"/>
      </c:catAx>
      <c:valAx>
        <c:axId val="13138188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37996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Evap Outlet Air Temp [MT]  </a:t>
            </a:r>
            <a:r>
              <a:rPr lang="el-GR"/>
              <a:t>μ=69.35  σ=1.91  </a:t>
            </a:r>
            <a:r>
              <a:rPr lang="en-US"/>
              <a:t>n=496  out(3</a:t>
            </a:r>
            <a:r>
              <a:rPr lang="el-GR"/>
              <a:t>σ)=11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MT_BellCurves!$A$101:$A$130</c:f>
              <c:numCache>
                <c:formatCode>General</c:formatCode>
                <c:ptCount val="30"/>
                <c:pt idx="0">
                  <c:v>60.350499999999997</c:v>
                </c:pt>
                <c:pt idx="1">
                  <c:v>60.964300000000001</c:v>
                </c:pt>
                <c:pt idx="2">
                  <c:v>61.578099999999999</c:v>
                </c:pt>
                <c:pt idx="3">
                  <c:v>62.191800000000001</c:v>
                </c:pt>
                <c:pt idx="4">
                  <c:v>62.805599999999998</c:v>
                </c:pt>
                <c:pt idx="5">
                  <c:v>63.4193</c:v>
                </c:pt>
                <c:pt idx="6">
                  <c:v>64.033100000000005</c:v>
                </c:pt>
                <c:pt idx="7">
                  <c:v>64.646799999999999</c:v>
                </c:pt>
                <c:pt idx="8">
                  <c:v>65.260599999999997</c:v>
                </c:pt>
                <c:pt idx="9">
                  <c:v>65.874300000000005</c:v>
                </c:pt>
                <c:pt idx="10">
                  <c:v>66.488100000000003</c:v>
                </c:pt>
                <c:pt idx="11">
                  <c:v>67.101900000000001</c:v>
                </c:pt>
                <c:pt idx="12">
                  <c:v>67.715599999999995</c:v>
                </c:pt>
                <c:pt idx="13">
                  <c:v>68.329400000000007</c:v>
                </c:pt>
                <c:pt idx="14">
                  <c:v>68.943100000000001</c:v>
                </c:pt>
                <c:pt idx="15">
                  <c:v>69.556899999999999</c:v>
                </c:pt>
                <c:pt idx="16">
                  <c:v>70.170599999999993</c:v>
                </c:pt>
                <c:pt idx="17">
                  <c:v>70.784400000000005</c:v>
                </c:pt>
                <c:pt idx="18">
                  <c:v>71.398099999999999</c:v>
                </c:pt>
                <c:pt idx="19">
                  <c:v>72.011899999999997</c:v>
                </c:pt>
                <c:pt idx="20">
                  <c:v>72.625699999999995</c:v>
                </c:pt>
                <c:pt idx="21">
                  <c:v>73.239400000000003</c:v>
                </c:pt>
                <c:pt idx="22">
                  <c:v>73.853200000000001</c:v>
                </c:pt>
                <c:pt idx="23">
                  <c:v>74.466899999999995</c:v>
                </c:pt>
                <c:pt idx="24">
                  <c:v>75.080699999999993</c:v>
                </c:pt>
                <c:pt idx="25">
                  <c:v>75.694400000000002</c:v>
                </c:pt>
                <c:pt idx="26">
                  <c:v>76.308199999999999</c:v>
                </c:pt>
                <c:pt idx="27">
                  <c:v>76.921899999999994</c:v>
                </c:pt>
                <c:pt idx="28">
                  <c:v>77.535700000000006</c:v>
                </c:pt>
                <c:pt idx="29">
                  <c:v>78.149500000000003</c:v>
                </c:pt>
              </c:numCache>
            </c:numRef>
          </c:cat>
          <c:val>
            <c:numRef>
              <c:f>MT_BellCurves!$B$101:$B$130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</c:v>
                </c:pt>
                <c:pt idx="10">
                  <c:v>7</c:v>
                </c:pt>
                <c:pt idx="11">
                  <c:v>47</c:v>
                </c:pt>
                <c:pt idx="12">
                  <c:v>36</c:v>
                </c:pt>
                <c:pt idx="13">
                  <c:v>80</c:v>
                </c:pt>
                <c:pt idx="14">
                  <c:v>44</c:v>
                </c:pt>
                <c:pt idx="15">
                  <c:v>44</c:v>
                </c:pt>
                <c:pt idx="16">
                  <c:v>81</c:v>
                </c:pt>
                <c:pt idx="17">
                  <c:v>25</c:v>
                </c:pt>
                <c:pt idx="18">
                  <c:v>63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MT_BellCurves!$A$101:$A$130</c:f>
              <c:numCache>
                <c:formatCode>General</c:formatCode>
                <c:ptCount val="30"/>
                <c:pt idx="0">
                  <c:v>60.350499999999997</c:v>
                </c:pt>
                <c:pt idx="1">
                  <c:v>60.964300000000001</c:v>
                </c:pt>
                <c:pt idx="2">
                  <c:v>61.578099999999999</c:v>
                </c:pt>
                <c:pt idx="3">
                  <c:v>62.191800000000001</c:v>
                </c:pt>
                <c:pt idx="4">
                  <c:v>62.805599999999998</c:v>
                </c:pt>
                <c:pt idx="5">
                  <c:v>63.4193</c:v>
                </c:pt>
                <c:pt idx="6">
                  <c:v>64.033100000000005</c:v>
                </c:pt>
                <c:pt idx="7">
                  <c:v>64.646799999999999</c:v>
                </c:pt>
                <c:pt idx="8">
                  <c:v>65.260599999999997</c:v>
                </c:pt>
                <c:pt idx="9">
                  <c:v>65.874300000000005</c:v>
                </c:pt>
                <c:pt idx="10">
                  <c:v>66.488100000000003</c:v>
                </c:pt>
                <c:pt idx="11">
                  <c:v>67.101900000000001</c:v>
                </c:pt>
                <c:pt idx="12">
                  <c:v>67.715599999999995</c:v>
                </c:pt>
                <c:pt idx="13">
                  <c:v>68.329400000000007</c:v>
                </c:pt>
                <c:pt idx="14">
                  <c:v>68.943100000000001</c:v>
                </c:pt>
                <c:pt idx="15">
                  <c:v>69.556899999999999</c:v>
                </c:pt>
                <c:pt idx="16">
                  <c:v>70.170599999999993</c:v>
                </c:pt>
                <c:pt idx="17">
                  <c:v>70.784400000000005</c:v>
                </c:pt>
                <c:pt idx="18">
                  <c:v>71.398099999999999</c:v>
                </c:pt>
                <c:pt idx="19">
                  <c:v>72.011899999999997</c:v>
                </c:pt>
                <c:pt idx="20">
                  <c:v>72.625699999999995</c:v>
                </c:pt>
                <c:pt idx="21">
                  <c:v>73.239400000000003</c:v>
                </c:pt>
                <c:pt idx="22">
                  <c:v>73.853200000000001</c:v>
                </c:pt>
                <c:pt idx="23">
                  <c:v>74.466899999999995</c:v>
                </c:pt>
                <c:pt idx="24">
                  <c:v>75.080699999999993</c:v>
                </c:pt>
                <c:pt idx="25">
                  <c:v>75.694400000000002</c:v>
                </c:pt>
                <c:pt idx="26">
                  <c:v>76.308199999999999</c:v>
                </c:pt>
                <c:pt idx="27">
                  <c:v>76.921899999999994</c:v>
                </c:pt>
                <c:pt idx="28">
                  <c:v>77.535700000000006</c:v>
                </c:pt>
                <c:pt idx="29">
                  <c:v>78.149500000000003</c:v>
                </c:pt>
              </c:numCache>
            </c:numRef>
          </c:cat>
          <c:val>
            <c:numRef>
              <c:f>MT_BellCurves!$C$101:$C$130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MT_BellCurves!$A$101:$A$130</c:f>
              <c:numCache>
                <c:formatCode>General</c:formatCode>
                <c:ptCount val="30"/>
                <c:pt idx="0">
                  <c:v>60.350499999999997</c:v>
                </c:pt>
                <c:pt idx="1">
                  <c:v>60.964300000000001</c:v>
                </c:pt>
                <c:pt idx="2">
                  <c:v>61.578099999999999</c:v>
                </c:pt>
                <c:pt idx="3">
                  <c:v>62.191800000000001</c:v>
                </c:pt>
                <c:pt idx="4">
                  <c:v>62.805599999999998</c:v>
                </c:pt>
                <c:pt idx="5">
                  <c:v>63.4193</c:v>
                </c:pt>
                <c:pt idx="6">
                  <c:v>64.033100000000005</c:v>
                </c:pt>
                <c:pt idx="7">
                  <c:v>64.646799999999999</c:v>
                </c:pt>
                <c:pt idx="8">
                  <c:v>65.260599999999997</c:v>
                </c:pt>
                <c:pt idx="9">
                  <c:v>65.874300000000005</c:v>
                </c:pt>
                <c:pt idx="10">
                  <c:v>66.488100000000003</c:v>
                </c:pt>
                <c:pt idx="11">
                  <c:v>67.101900000000001</c:v>
                </c:pt>
                <c:pt idx="12">
                  <c:v>67.715599999999995</c:v>
                </c:pt>
                <c:pt idx="13">
                  <c:v>68.329400000000007</c:v>
                </c:pt>
                <c:pt idx="14">
                  <c:v>68.943100000000001</c:v>
                </c:pt>
                <c:pt idx="15">
                  <c:v>69.556899999999999</c:v>
                </c:pt>
                <c:pt idx="16">
                  <c:v>70.170599999999993</c:v>
                </c:pt>
                <c:pt idx="17">
                  <c:v>70.784400000000005</c:v>
                </c:pt>
                <c:pt idx="18">
                  <c:v>71.398099999999999</c:v>
                </c:pt>
                <c:pt idx="19">
                  <c:v>72.011899999999997</c:v>
                </c:pt>
                <c:pt idx="20">
                  <c:v>72.625699999999995</c:v>
                </c:pt>
                <c:pt idx="21">
                  <c:v>73.239400000000003</c:v>
                </c:pt>
                <c:pt idx="22">
                  <c:v>73.853200000000001</c:v>
                </c:pt>
                <c:pt idx="23">
                  <c:v>74.466899999999995</c:v>
                </c:pt>
                <c:pt idx="24">
                  <c:v>75.080699999999993</c:v>
                </c:pt>
                <c:pt idx="25">
                  <c:v>75.694400000000002</c:v>
                </c:pt>
                <c:pt idx="26">
                  <c:v>76.308199999999999</c:v>
                </c:pt>
                <c:pt idx="27">
                  <c:v>76.921899999999994</c:v>
                </c:pt>
                <c:pt idx="28">
                  <c:v>77.535700000000006</c:v>
                </c:pt>
                <c:pt idx="29">
                  <c:v>78.149500000000003</c:v>
                </c:pt>
              </c:numCache>
            </c:numRef>
          </c:cat>
          <c:val>
            <c:numRef>
              <c:f>MT_BellCurves!$D$101:$D$130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618304"/>
        <c:axId val="131620224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MT_BellCurves!$F$101:$F$130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5.0000000000000001E-4</c:v>
                </c:pt>
                <c:pt idx="6">
                  <c:v>5.1999999999999998E-3</c:v>
                </c:pt>
                <c:pt idx="7">
                  <c:v>4.0800000000000003E-2</c:v>
                </c:pt>
                <c:pt idx="8">
                  <c:v>0.2482</c:v>
                </c:pt>
                <c:pt idx="9">
                  <c:v>1.1721999999999999</c:v>
                </c:pt>
                <c:pt idx="10">
                  <c:v>4.2925000000000004</c:v>
                </c:pt>
                <c:pt idx="11">
                  <c:v>12.188000000000001</c:v>
                </c:pt>
                <c:pt idx="12">
                  <c:v>26.832999999999998</c:v>
                </c:pt>
                <c:pt idx="13">
                  <c:v>45.806600000000003</c:v>
                </c:pt>
                <c:pt idx="14">
                  <c:v>60.632800000000003</c:v>
                </c:pt>
                <c:pt idx="15">
                  <c:v>62.231299999999997</c:v>
                </c:pt>
                <c:pt idx="16">
                  <c:v>49.525799999999997</c:v>
                </c:pt>
                <c:pt idx="17">
                  <c:v>30.561499999999999</c:v>
                </c:pt>
                <c:pt idx="18">
                  <c:v>14.623100000000001</c:v>
                </c:pt>
                <c:pt idx="19">
                  <c:v>5.4253</c:v>
                </c:pt>
                <c:pt idx="20">
                  <c:v>1.5607</c:v>
                </c:pt>
                <c:pt idx="21">
                  <c:v>0.34810000000000002</c:v>
                </c:pt>
                <c:pt idx="22">
                  <c:v>6.0199999999999997E-2</c:v>
                </c:pt>
                <c:pt idx="23">
                  <c:v>8.0999999999999996E-3</c:v>
                </c:pt>
                <c:pt idx="24">
                  <c:v>8.0000000000000004E-4</c:v>
                </c:pt>
                <c:pt idx="25">
                  <c:v>1E-4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18304"/>
        <c:axId val="131620224"/>
      </c:lineChart>
      <c:catAx>
        <c:axId val="131618304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620224"/>
        <c:crosses val="autoZero"/>
        <c:auto val="1"/>
        <c:lblAlgn val="ctr"/>
        <c:lblOffset val="100"/>
        <c:tickLblSkip val="5"/>
        <c:noMultiLvlLbl val="1"/>
      </c:catAx>
      <c:valAx>
        <c:axId val="13162022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61830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Inlet/Outlet Delta [MT]  </a:t>
            </a:r>
            <a:r>
              <a:rPr lang="el-GR"/>
              <a:t>μ=1.46  σ=1.40  </a:t>
            </a:r>
            <a:r>
              <a:rPr lang="en-US"/>
              <a:t>n=486  out(3</a:t>
            </a:r>
            <a:r>
              <a:rPr lang="el-GR"/>
              <a:t>σ)=19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MT_BellCurves!$A$167:$A$196</c:f>
              <c:numCache>
                <c:formatCode>General</c:formatCode>
                <c:ptCount val="30"/>
                <c:pt idx="0">
                  <c:v>-0.44669999999999999</c:v>
                </c:pt>
                <c:pt idx="1">
                  <c:v>-0.14000000000000001</c:v>
                </c:pt>
                <c:pt idx="2">
                  <c:v>0.1666</c:v>
                </c:pt>
                <c:pt idx="3">
                  <c:v>0.4733</c:v>
                </c:pt>
                <c:pt idx="4">
                  <c:v>0.78</c:v>
                </c:pt>
                <c:pt idx="5">
                  <c:v>1.0866</c:v>
                </c:pt>
                <c:pt idx="6">
                  <c:v>1.3933</c:v>
                </c:pt>
                <c:pt idx="7">
                  <c:v>1.7</c:v>
                </c:pt>
                <c:pt idx="8">
                  <c:v>2.0066000000000002</c:v>
                </c:pt>
                <c:pt idx="9">
                  <c:v>2.3132999999999999</c:v>
                </c:pt>
                <c:pt idx="10">
                  <c:v>2.62</c:v>
                </c:pt>
                <c:pt idx="11">
                  <c:v>2.9266999999999999</c:v>
                </c:pt>
                <c:pt idx="12">
                  <c:v>3.2332999999999998</c:v>
                </c:pt>
                <c:pt idx="13">
                  <c:v>3.54</c:v>
                </c:pt>
                <c:pt idx="14">
                  <c:v>3.8466999999999998</c:v>
                </c:pt>
                <c:pt idx="15">
                  <c:v>4.1532999999999998</c:v>
                </c:pt>
                <c:pt idx="16">
                  <c:v>4.46</c:v>
                </c:pt>
                <c:pt idx="17">
                  <c:v>4.7667000000000002</c:v>
                </c:pt>
                <c:pt idx="18">
                  <c:v>5.0732999999999997</c:v>
                </c:pt>
                <c:pt idx="19">
                  <c:v>5.38</c:v>
                </c:pt>
                <c:pt idx="20">
                  <c:v>5.6867000000000001</c:v>
                </c:pt>
                <c:pt idx="21">
                  <c:v>5.9934000000000003</c:v>
                </c:pt>
                <c:pt idx="22">
                  <c:v>6.3</c:v>
                </c:pt>
                <c:pt idx="23">
                  <c:v>6.6067</c:v>
                </c:pt>
                <c:pt idx="24">
                  <c:v>6.9134000000000002</c:v>
                </c:pt>
                <c:pt idx="25">
                  <c:v>7.22</c:v>
                </c:pt>
                <c:pt idx="26">
                  <c:v>7.5266999999999999</c:v>
                </c:pt>
                <c:pt idx="27">
                  <c:v>7.8334000000000001</c:v>
                </c:pt>
                <c:pt idx="28">
                  <c:v>8.14</c:v>
                </c:pt>
                <c:pt idx="29">
                  <c:v>8.4466999999999999</c:v>
                </c:pt>
              </c:numCache>
            </c:numRef>
          </c:cat>
          <c:val>
            <c:numRef>
              <c:f>MT_BellCurves!$B$167:$B$196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86</c:v>
                </c:pt>
                <c:pt idx="3">
                  <c:v>68</c:v>
                </c:pt>
                <c:pt idx="4">
                  <c:v>76</c:v>
                </c:pt>
                <c:pt idx="5">
                  <c:v>53</c:v>
                </c:pt>
                <c:pt idx="6">
                  <c:v>40</c:v>
                </c:pt>
                <c:pt idx="7">
                  <c:v>26</c:v>
                </c:pt>
                <c:pt idx="8">
                  <c:v>28</c:v>
                </c:pt>
                <c:pt idx="9">
                  <c:v>23</c:v>
                </c:pt>
                <c:pt idx="10">
                  <c:v>12</c:v>
                </c:pt>
                <c:pt idx="11">
                  <c:v>18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MT_BellCurves!$A$167:$A$196</c:f>
              <c:numCache>
                <c:formatCode>General</c:formatCode>
                <c:ptCount val="30"/>
                <c:pt idx="0">
                  <c:v>-0.44669999999999999</c:v>
                </c:pt>
                <c:pt idx="1">
                  <c:v>-0.14000000000000001</c:v>
                </c:pt>
                <c:pt idx="2">
                  <c:v>0.1666</c:v>
                </c:pt>
                <c:pt idx="3">
                  <c:v>0.4733</c:v>
                </c:pt>
                <c:pt idx="4">
                  <c:v>0.78</c:v>
                </c:pt>
                <c:pt idx="5">
                  <c:v>1.0866</c:v>
                </c:pt>
                <c:pt idx="6">
                  <c:v>1.3933</c:v>
                </c:pt>
                <c:pt idx="7">
                  <c:v>1.7</c:v>
                </c:pt>
                <c:pt idx="8">
                  <c:v>2.0066000000000002</c:v>
                </c:pt>
                <c:pt idx="9">
                  <c:v>2.3132999999999999</c:v>
                </c:pt>
                <c:pt idx="10">
                  <c:v>2.62</c:v>
                </c:pt>
                <c:pt idx="11">
                  <c:v>2.9266999999999999</c:v>
                </c:pt>
                <c:pt idx="12">
                  <c:v>3.2332999999999998</c:v>
                </c:pt>
                <c:pt idx="13">
                  <c:v>3.54</c:v>
                </c:pt>
                <c:pt idx="14">
                  <c:v>3.8466999999999998</c:v>
                </c:pt>
                <c:pt idx="15">
                  <c:v>4.1532999999999998</c:v>
                </c:pt>
                <c:pt idx="16">
                  <c:v>4.46</c:v>
                </c:pt>
                <c:pt idx="17">
                  <c:v>4.7667000000000002</c:v>
                </c:pt>
                <c:pt idx="18">
                  <c:v>5.0732999999999997</c:v>
                </c:pt>
                <c:pt idx="19">
                  <c:v>5.38</c:v>
                </c:pt>
                <c:pt idx="20">
                  <c:v>5.6867000000000001</c:v>
                </c:pt>
                <c:pt idx="21">
                  <c:v>5.9934000000000003</c:v>
                </c:pt>
                <c:pt idx="22">
                  <c:v>6.3</c:v>
                </c:pt>
                <c:pt idx="23">
                  <c:v>6.6067</c:v>
                </c:pt>
                <c:pt idx="24">
                  <c:v>6.9134000000000002</c:v>
                </c:pt>
                <c:pt idx="25">
                  <c:v>7.22</c:v>
                </c:pt>
                <c:pt idx="26">
                  <c:v>7.5266999999999999</c:v>
                </c:pt>
                <c:pt idx="27">
                  <c:v>7.8334000000000001</c:v>
                </c:pt>
                <c:pt idx="28">
                  <c:v>8.14</c:v>
                </c:pt>
                <c:pt idx="29">
                  <c:v>8.4466999999999999</c:v>
                </c:pt>
              </c:numCache>
            </c:numRef>
          </c:cat>
          <c:val>
            <c:numRef>
              <c:f>MT_BellCurves!$C$167:$C$196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MT_BellCurves!$A$167:$A$196</c:f>
              <c:numCache>
                <c:formatCode>General</c:formatCode>
                <c:ptCount val="30"/>
                <c:pt idx="0">
                  <c:v>-0.44669999999999999</c:v>
                </c:pt>
                <c:pt idx="1">
                  <c:v>-0.14000000000000001</c:v>
                </c:pt>
                <c:pt idx="2">
                  <c:v>0.1666</c:v>
                </c:pt>
                <c:pt idx="3">
                  <c:v>0.4733</c:v>
                </c:pt>
                <c:pt idx="4">
                  <c:v>0.78</c:v>
                </c:pt>
                <c:pt idx="5">
                  <c:v>1.0866</c:v>
                </c:pt>
                <c:pt idx="6">
                  <c:v>1.3933</c:v>
                </c:pt>
                <c:pt idx="7">
                  <c:v>1.7</c:v>
                </c:pt>
                <c:pt idx="8">
                  <c:v>2.0066000000000002</c:v>
                </c:pt>
                <c:pt idx="9">
                  <c:v>2.3132999999999999</c:v>
                </c:pt>
                <c:pt idx="10">
                  <c:v>2.62</c:v>
                </c:pt>
                <c:pt idx="11">
                  <c:v>2.9266999999999999</c:v>
                </c:pt>
                <c:pt idx="12">
                  <c:v>3.2332999999999998</c:v>
                </c:pt>
                <c:pt idx="13">
                  <c:v>3.54</c:v>
                </c:pt>
                <c:pt idx="14">
                  <c:v>3.8466999999999998</c:v>
                </c:pt>
                <c:pt idx="15">
                  <c:v>4.1532999999999998</c:v>
                </c:pt>
                <c:pt idx="16">
                  <c:v>4.46</c:v>
                </c:pt>
                <c:pt idx="17">
                  <c:v>4.7667000000000002</c:v>
                </c:pt>
                <c:pt idx="18">
                  <c:v>5.0732999999999997</c:v>
                </c:pt>
                <c:pt idx="19">
                  <c:v>5.38</c:v>
                </c:pt>
                <c:pt idx="20">
                  <c:v>5.6867000000000001</c:v>
                </c:pt>
                <c:pt idx="21">
                  <c:v>5.9934000000000003</c:v>
                </c:pt>
                <c:pt idx="22">
                  <c:v>6.3</c:v>
                </c:pt>
                <c:pt idx="23">
                  <c:v>6.6067</c:v>
                </c:pt>
                <c:pt idx="24">
                  <c:v>6.9134000000000002</c:v>
                </c:pt>
                <c:pt idx="25">
                  <c:v>7.22</c:v>
                </c:pt>
                <c:pt idx="26">
                  <c:v>7.5266999999999999</c:v>
                </c:pt>
                <c:pt idx="27">
                  <c:v>7.8334000000000001</c:v>
                </c:pt>
                <c:pt idx="28">
                  <c:v>8.14</c:v>
                </c:pt>
                <c:pt idx="29">
                  <c:v>8.4466999999999999</c:v>
                </c:pt>
              </c:numCache>
            </c:numRef>
          </c:cat>
          <c:val>
            <c:numRef>
              <c:f>MT_BellCurves!$D$167:$D$196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6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938560"/>
        <c:axId val="131944832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MT_BellCurves!$F$167:$F$196</c:f>
              <c:numCache>
                <c:formatCode>General</c:formatCode>
                <c:ptCount val="30"/>
                <c:pt idx="0">
                  <c:v>1.6199999999999999E-2</c:v>
                </c:pt>
                <c:pt idx="1">
                  <c:v>7.2800000000000004E-2</c:v>
                </c:pt>
                <c:pt idx="2">
                  <c:v>0.2792</c:v>
                </c:pt>
                <c:pt idx="3">
                  <c:v>0.91349999999999998</c:v>
                </c:pt>
                <c:pt idx="4">
                  <c:v>2.5487000000000002</c:v>
                </c:pt>
                <c:pt idx="5">
                  <c:v>6.0643000000000002</c:v>
                </c:pt>
                <c:pt idx="6">
                  <c:v>12.305400000000001</c:v>
                </c:pt>
                <c:pt idx="7">
                  <c:v>21.294699999999999</c:v>
                </c:pt>
                <c:pt idx="8">
                  <c:v>31.427299999999999</c:v>
                </c:pt>
                <c:pt idx="9">
                  <c:v>39.555</c:v>
                </c:pt>
                <c:pt idx="10">
                  <c:v>42.457599999999999</c:v>
                </c:pt>
                <c:pt idx="11">
                  <c:v>38.8658</c:v>
                </c:pt>
                <c:pt idx="12">
                  <c:v>30.341699999999999</c:v>
                </c:pt>
                <c:pt idx="13">
                  <c:v>20.200900000000001</c:v>
                </c:pt>
                <c:pt idx="14">
                  <c:v>11.47</c:v>
                </c:pt>
                <c:pt idx="15">
                  <c:v>5.5541</c:v>
                </c:pt>
                <c:pt idx="16">
                  <c:v>2.2936000000000001</c:v>
                </c:pt>
                <c:pt idx="17">
                  <c:v>0.80779999999999996</c:v>
                </c:pt>
                <c:pt idx="18">
                  <c:v>0.24260000000000001</c:v>
                </c:pt>
                <c:pt idx="19">
                  <c:v>6.2100000000000002E-2</c:v>
                </c:pt>
                <c:pt idx="20">
                  <c:v>1.3599999999999999E-2</c:v>
                </c:pt>
                <c:pt idx="21">
                  <c:v>2.5000000000000001E-3</c:v>
                </c:pt>
                <c:pt idx="22">
                  <c:v>4.0000000000000002E-4</c:v>
                </c:pt>
                <c:pt idx="23">
                  <c:v>1E-4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38560"/>
        <c:axId val="131944832"/>
      </c:lineChart>
      <c:catAx>
        <c:axId val="131938560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944832"/>
        <c:crosses val="autoZero"/>
        <c:auto val="1"/>
        <c:lblAlgn val="ctr"/>
        <c:lblOffset val="100"/>
        <c:tickLblSkip val="5"/>
        <c:noMultiLvlLbl val="1"/>
      </c:catAx>
      <c:valAx>
        <c:axId val="13194483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93856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Ambient Temp [MT]  </a:t>
            </a:r>
            <a:r>
              <a:rPr lang="el-GR"/>
              <a:t>μ=69.70  σ=2.20  </a:t>
            </a:r>
            <a:r>
              <a:rPr lang="en-US"/>
              <a:t>n=496  out(3</a:t>
            </a:r>
            <a:r>
              <a:rPr lang="el-GR"/>
              <a:t>σ)=3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MT_BellCurves!$A$233:$A$262</c:f>
              <c:numCache>
                <c:formatCode>General</c:formatCode>
                <c:ptCount val="30"/>
                <c:pt idx="0">
                  <c:v>62.678800000000003</c:v>
                </c:pt>
                <c:pt idx="1">
                  <c:v>63.231999999999999</c:v>
                </c:pt>
                <c:pt idx="2">
                  <c:v>63.785200000000003</c:v>
                </c:pt>
                <c:pt idx="3">
                  <c:v>64.338300000000004</c:v>
                </c:pt>
                <c:pt idx="4">
                  <c:v>64.891499999999994</c:v>
                </c:pt>
                <c:pt idx="5">
                  <c:v>65.444699999999997</c:v>
                </c:pt>
                <c:pt idx="6">
                  <c:v>65.997900000000001</c:v>
                </c:pt>
                <c:pt idx="7">
                  <c:v>66.551100000000005</c:v>
                </c:pt>
                <c:pt idx="8">
                  <c:v>67.104299999999995</c:v>
                </c:pt>
                <c:pt idx="9">
                  <c:v>67.657499999999999</c:v>
                </c:pt>
                <c:pt idx="10">
                  <c:v>68.210700000000003</c:v>
                </c:pt>
                <c:pt idx="11">
                  <c:v>68.763800000000003</c:v>
                </c:pt>
                <c:pt idx="12">
                  <c:v>69.316999999999993</c:v>
                </c:pt>
                <c:pt idx="13">
                  <c:v>69.870199999999997</c:v>
                </c:pt>
                <c:pt idx="14">
                  <c:v>70.423400000000001</c:v>
                </c:pt>
                <c:pt idx="15">
                  <c:v>70.976600000000005</c:v>
                </c:pt>
                <c:pt idx="16">
                  <c:v>71.529799999999994</c:v>
                </c:pt>
                <c:pt idx="17">
                  <c:v>72.082999999999998</c:v>
                </c:pt>
                <c:pt idx="18">
                  <c:v>72.636200000000002</c:v>
                </c:pt>
                <c:pt idx="19">
                  <c:v>73.189300000000003</c:v>
                </c:pt>
                <c:pt idx="20">
                  <c:v>73.742500000000007</c:v>
                </c:pt>
                <c:pt idx="21">
                  <c:v>74.295699999999997</c:v>
                </c:pt>
                <c:pt idx="22">
                  <c:v>74.8489</c:v>
                </c:pt>
                <c:pt idx="23">
                  <c:v>75.402100000000004</c:v>
                </c:pt>
                <c:pt idx="24">
                  <c:v>75.955299999999994</c:v>
                </c:pt>
                <c:pt idx="25">
                  <c:v>76.508499999999998</c:v>
                </c:pt>
                <c:pt idx="26">
                  <c:v>77.061700000000002</c:v>
                </c:pt>
                <c:pt idx="27">
                  <c:v>77.614800000000002</c:v>
                </c:pt>
                <c:pt idx="28">
                  <c:v>78.168000000000006</c:v>
                </c:pt>
                <c:pt idx="29">
                  <c:v>78.721199999999996</c:v>
                </c:pt>
              </c:numCache>
            </c:numRef>
          </c:cat>
          <c:val>
            <c:numRef>
              <c:f>MT_BellCurves!$B$233:$B$262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17</c:v>
                </c:pt>
                <c:pt idx="7">
                  <c:v>28</c:v>
                </c:pt>
                <c:pt idx="8">
                  <c:v>23</c:v>
                </c:pt>
                <c:pt idx="9">
                  <c:v>42</c:v>
                </c:pt>
                <c:pt idx="10">
                  <c:v>36</c:v>
                </c:pt>
                <c:pt idx="11">
                  <c:v>45</c:v>
                </c:pt>
                <c:pt idx="12">
                  <c:v>29</c:v>
                </c:pt>
                <c:pt idx="13">
                  <c:v>43</c:v>
                </c:pt>
                <c:pt idx="14">
                  <c:v>28</c:v>
                </c:pt>
                <c:pt idx="15">
                  <c:v>45</c:v>
                </c:pt>
                <c:pt idx="16">
                  <c:v>51</c:v>
                </c:pt>
                <c:pt idx="17">
                  <c:v>23</c:v>
                </c:pt>
                <c:pt idx="18">
                  <c:v>23</c:v>
                </c:pt>
                <c:pt idx="19">
                  <c:v>15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MT_BellCurves!$A$233:$A$262</c:f>
              <c:numCache>
                <c:formatCode>General</c:formatCode>
                <c:ptCount val="30"/>
                <c:pt idx="0">
                  <c:v>62.678800000000003</c:v>
                </c:pt>
                <c:pt idx="1">
                  <c:v>63.231999999999999</c:v>
                </c:pt>
                <c:pt idx="2">
                  <c:v>63.785200000000003</c:v>
                </c:pt>
                <c:pt idx="3">
                  <c:v>64.338300000000004</c:v>
                </c:pt>
                <c:pt idx="4">
                  <c:v>64.891499999999994</c:v>
                </c:pt>
                <c:pt idx="5">
                  <c:v>65.444699999999997</c:v>
                </c:pt>
                <c:pt idx="6">
                  <c:v>65.997900000000001</c:v>
                </c:pt>
                <c:pt idx="7">
                  <c:v>66.551100000000005</c:v>
                </c:pt>
                <c:pt idx="8">
                  <c:v>67.104299999999995</c:v>
                </c:pt>
                <c:pt idx="9">
                  <c:v>67.657499999999999</c:v>
                </c:pt>
                <c:pt idx="10">
                  <c:v>68.210700000000003</c:v>
                </c:pt>
                <c:pt idx="11">
                  <c:v>68.763800000000003</c:v>
                </c:pt>
                <c:pt idx="12">
                  <c:v>69.316999999999993</c:v>
                </c:pt>
                <c:pt idx="13">
                  <c:v>69.870199999999997</c:v>
                </c:pt>
                <c:pt idx="14">
                  <c:v>70.423400000000001</c:v>
                </c:pt>
                <c:pt idx="15">
                  <c:v>70.976600000000005</c:v>
                </c:pt>
                <c:pt idx="16">
                  <c:v>71.529799999999994</c:v>
                </c:pt>
                <c:pt idx="17">
                  <c:v>72.082999999999998</c:v>
                </c:pt>
                <c:pt idx="18">
                  <c:v>72.636200000000002</c:v>
                </c:pt>
                <c:pt idx="19">
                  <c:v>73.189300000000003</c:v>
                </c:pt>
                <c:pt idx="20">
                  <c:v>73.742500000000007</c:v>
                </c:pt>
                <c:pt idx="21">
                  <c:v>74.295699999999997</c:v>
                </c:pt>
                <c:pt idx="22">
                  <c:v>74.8489</c:v>
                </c:pt>
                <c:pt idx="23">
                  <c:v>75.402100000000004</c:v>
                </c:pt>
                <c:pt idx="24">
                  <c:v>75.955299999999994</c:v>
                </c:pt>
                <c:pt idx="25">
                  <c:v>76.508499999999998</c:v>
                </c:pt>
                <c:pt idx="26">
                  <c:v>77.061700000000002</c:v>
                </c:pt>
                <c:pt idx="27">
                  <c:v>77.614800000000002</c:v>
                </c:pt>
                <c:pt idx="28">
                  <c:v>78.168000000000006</c:v>
                </c:pt>
                <c:pt idx="29">
                  <c:v>78.721199999999996</c:v>
                </c:pt>
              </c:numCache>
            </c:numRef>
          </c:cat>
          <c:val>
            <c:numRef>
              <c:f>MT_BellCurves!$C$233:$C$262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MT_BellCurves!$A$233:$A$262</c:f>
              <c:numCache>
                <c:formatCode>General</c:formatCode>
                <c:ptCount val="30"/>
                <c:pt idx="0">
                  <c:v>62.678800000000003</c:v>
                </c:pt>
                <c:pt idx="1">
                  <c:v>63.231999999999999</c:v>
                </c:pt>
                <c:pt idx="2">
                  <c:v>63.785200000000003</c:v>
                </c:pt>
                <c:pt idx="3">
                  <c:v>64.338300000000004</c:v>
                </c:pt>
                <c:pt idx="4">
                  <c:v>64.891499999999994</c:v>
                </c:pt>
                <c:pt idx="5">
                  <c:v>65.444699999999997</c:v>
                </c:pt>
                <c:pt idx="6">
                  <c:v>65.997900000000001</c:v>
                </c:pt>
                <c:pt idx="7">
                  <c:v>66.551100000000005</c:v>
                </c:pt>
                <c:pt idx="8">
                  <c:v>67.104299999999995</c:v>
                </c:pt>
                <c:pt idx="9">
                  <c:v>67.657499999999999</c:v>
                </c:pt>
                <c:pt idx="10">
                  <c:v>68.210700000000003</c:v>
                </c:pt>
                <c:pt idx="11">
                  <c:v>68.763800000000003</c:v>
                </c:pt>
                <c:pt idx="12">
                  <c:v>69.316999999999993</c:v>
                </c:pt>
                <c:pt idx="13">
                  <c:v>69.870199999999997</c:v>
                </c:pt>
                <c:pt idx="14">
                  <c:v>70.423400000000001</c:v>
                </c:pt>
                <c:pt idx="15">
                  <c:v>70.976600000000005</c:v>
                </c:pt>
                <c:pt idx="16">
                  <c:v>71.529799999999994</c:v>
                </c:pt>
                <c:pt idx="17">
                  <c:v>72.082999999999998</c:v>
                </c:pt>
                <c:pt idx="18">
                  <c:v>72.636200000000002</c:v>
                </c:pt>
                <c:pt idx="19">
                  <c:v>73.189300000000003</c:v>
                </c:pt>
                <c:pt idx="20">
                  <c:v>73.742500000000007</c:v>
                </c:pt>
                <c:pt idx="21">
                  <c:v>74.295699999999997</c:v>
                </c:pt>
                <c:pt idx="22">
                  <c:v>74.8489</c:v>
                </c:pt>
                <c:pt idx="23">
                  <c:v>75.402100000000004</c:v>
                </c:pt>
                <c:pt idx="24">
                  <c:v>75.955299999999994</c:v>
                </c:pt>
                <c:pt idx="25">
                  <c:v>76.508499999999998</c:v>
                </c:pt>
                <c:pt idx="26">
                  <c:v>77.061700000000002</c:v>
                </c:pt>
                <c:pt idx="27">
                  <c:v>77.614800000000002</c:v>
                </c:pt>
                <c:pt idx="28">
                  <c:v>78.168000000000006</c:v>
                </c:pt>
                <c:pt idx="29">
                  <c:v>78.721199999999996</c:v>
                </c:pt>
              </c:numCache>
            </c:numRef>
          </c:cat>
          <c:val>
            <c:numRef>
              <c:f>MT_BellCurves!$D$233:$D$262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968000"/>
        <c:axId val="131974272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MT_BellCurves!$F$233:$F$262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2.0000000000000001E-4</c:v>
                </c:pt>
                <c:pt idx="3">
                  <c:v>1.8E-3</c:v>
                </c:pt>
                <c:pt idx="4">
                  <c:v>1.1599999999999999E-2</c:v>
                </c:pt>
                <c:pt idx="5">
                  <c:v>6.1899999999999997E-2</c:v>
                </c:pt>
                <c:pt idx="6">
                  <c:v>0.27489999999999998</c:v>
                </c:pt>
                <c:pt idx="7">
                  <c:v>1.0115000000000001</c:v>
                </c:pt>
                <c:pt idx="8">
                  <c:v>3.0857000000000001</c:v>
                </c:pt>
                <c:pt idx="9">
                  <c:v>7.8034999999999997</c:v>
                </c:pt>
                <c:pt idx="10">
                  <c:v>16.3597</c:v>
                </c:pt>
                <c:pt idx="11">
                  <c:v>28.432600000000001</c:v>
                </c:pt>
                <c:pt idx="12">
                  <c:v>40.964799999999997</c:v>
                </c:pt>
                <c:pt idx="13">
                  <c:v>48.9285</c:v>
                </c:pt>
                <c:pt idx="14">
                  <c:v>48.446899999999999</c:v>
                </c:pt>
                <c:pt idx="15">
                  <c:v>39.767299999999999</c:v>
                </c:pt>
                <c:pt idx="16">
                  <c:v>27.0608</c:v>
                </c:pt>
                <c:pt idx="17">
                  <c:v>15.2654</c:v>
                </c:pt>
                <c:pt idx="18">
                  <c:v>7.1388999999999996</c:v>
                </c:pt>
                <c:pt idx="19">
                  <c:v>2.7677</c:v>
                </c:pt>
                <c:pt idx="20">
                  <c:v>0.88949999999999996</c:v>
                </c:pt>
                <c:pt idx="21">
                  <c:v>0.23699999999999999</c:v>
                </c:pt>
                <c:pt idx="22">
                  <c:v>5.2299999999999999E-2</c:v>
                </c:pt>
                <c:pt idx="23">
                  <c:v>9.5999999999999992E-3</c:v>
                </c:pt>
                <c:pt idx="24">
                  <c:v>1.5E-3</c:v>
                </c:pt>
                <c:pt idx="25">
                  <c:v>2.0000000000000001E-4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68000"/>
        <c:axId val="131974272"/>
      </c:lineChart>
      <c:catAx>
        <c:axId val="131968000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974272"/>
        <c:crosses val="autoZero"/>
        <c:auto val="1"/>
        <c:lblAlgn val="ctr"/>
        <c:lblOffset val="100"/>
        <c:tickLblSkip val="5"/>
        <c:noMultiLvlLbl val="1"/>
      </c:catAx>
      <c:valAx>
        <c:axId val="13197427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96800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Startup Voltage [MT]  </a:t>
            </a:r>
            <a:r>
              <a:rPr lang="el-GR"/>
              <a:t>μ=113.51  σ=1.68  </a:t>
            </a:r>
            <a:r>
              <a:rPr lang="en-US"/>
              <a:t>n=496  out(3</a:t>
            </a:r>
            <a:r>
              <a:rPr lang="el-GR"/>
              <a:t>σ)=0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MT_BellCurves!$A$266:$A$295</c:f>
              <c:numCache>
                <c:formatCode>General</c:formatCode>
                <c:ptCount val="30"/>
                <c:pt idx="0">
                  <c:v>109.7617</c:v>
                </c:pt>
                <c:pt idx="1">
                  <c:v>110.0282</c:v>
                </c:pt>
                <c:pt idx="2">
                  <c:v>110.2946</c:v>
                </c:pt>
                <c:pt idx="3">
                  <c:v>110.56100000000001</c:v>
                </c:pt>
                <c:pt idx="4">
                  <c:v>110.8275</c:v>
                </c:pt>
                <c:pt idx="5">
                  <c:v>111.0939</c:v>
                </c:pt>
                <c:pt idx="6">
                  <c:v>111.3603</c:v>
                </c:pt>
                <c:pt idx="7">
                  <c:v>111.6268</c:v>
                </c:pt>
                <c:pt idx="8">
                  <c:v>111.89319999999999</c:v>
                </c:pt>
                <c:pt idx="9">
                  <c:v>112.1596</c:v>
                </c:pt>
                <c:pt idx="10">
                  <c:v>112.42610000000001</c:v>
                </c:pt>
                <c:pt idx="11">
                  <c:v>112.6925</c:v>
                </c:pt>
                <c:pt idx="12">
                  <c:v>112.9589</c:v>
                </c:pt>
                <c:pt idx="13">
                  <c:v>113.22539999999999</c:v>
                </c:pt>
                <c:pt idx="14">
                  <c:v>113.4918</c:v>
                </c:pt>
                <c:pt idx="15">
                  <c:v>113.7582</c:v>
                </c:pt>
                <c:pt idx="16">
                  <c:v>114.02460000000001</c:v>
                </c:pt>
                <c:pt idx="17">
                  <c:v>114.2911</c:v>
                </c:pt>
                <c:pt idx="18">
                  <c:v>114.5575</c:v>
                </c:pt>
                <c:pt idx="19">
                  <c:v>114.82389999999999</c:v>
                </c:pt>
                <c:pt idx="20">
                  <c:v>115.0904</c:v>
                </c:pt>
                <c:pt idx="21">
                  <c:v>115.35680000000001</c:v>
                </c:pt>
                <c:pt idx="22">
                  <c:v>115.6232</c:v>
                </c:pt>
                <c:pt idx="23">
                  <c:v>115.8897</c:v>
                </c:pt>
                <c:pt idx="24">
                  <c:v>116.1561</c:v>
                </c:pt>
                <c:pt idx="25">
                  <c:v>116.4225</c:v>
                </c:pt>
                <c:pt idx="26">
                  <c:v>116.68899999999999</c:v>
                </c:pt>
                <c:pt idx="27">
                  <c:v>116.9554</c:v>
                </c:pt>
                <c:pt idx="28">
                  <c:v>117.2218</c:v>
                </c:pt>
                <c:pt idx="29">
                  <c:v>117.4883</c:v>
                </c:pt>
              </c:numCache>
            </c:numRef>
          </c:cat>
          <c:val>
            <c:numRef>
              <c:f>MT_BellCurves!$B$266:$B$295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5</c:v>
                </c:pt>
                <c:pt idx="7">
                  <c:v>27</c:v>
                </c:pt>
                <c:pt idx="8">
                  <c:v>85</c:v>
                </c:pt>
                <c:pt idx="9">
                  <c:v>86</c:v>
                </c:pt>
                <c:pt idx="10">
                  <c:v>56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16</c:v>
                </c:pt>
                <c:pt idx="20">
                  <c:v>50</c:v>
                </c:pt>
                <c:pt idx="21">
                  <c:v>96</c:v>
                </c:pt>
                <c:pt idx="22">
                  <c:v>47</c:v>
                </c:pt>
                <c:pt idx="23">
                  <c:v>5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MT_BellCurves!$A$266:$A$295</c:f>
              <c:numCache>
                <c:formatCode>General</c:formatCode>
                <c:ptCount val="30"/>
                <c:pt idx="0">
                  <c:v>109.7617</c:v>
                </c:pt>
                <c:pt idx="1">
                  <c:v>110.0282</c:v>
                </c:pt>
                <c:pt idx="2">
                  <c:v>110.2946</c:v>
                </c:pt>
                <c:pt idx="3">
                  <c:v>110.56100000000001</c:v>
                </c:pt>
                <c:pt idx="4">
                  <c:v>110.8275</c:v>
                </c:pt>
                <c:pt idx="5">
                  <c:v>111.0939</c:v>
                </c:pt>
                <c:pt idx="6">
                  <c:v>111.3603</c:v>
                </c:pt>
                <c:pt idx="7">
                  <c:v>111.6268</c:v>
                </c:pt>
                <c:pt idx="8">
                  <c:v>111.89319999999999</c:v>
                </c:pt>
                <c:pt idx="9">
                  <c:v>112.1596</c:v>
                </c:pt>
                <c:pt idx="10">
                  <c:v>112.42610000000001</c:v>
                </c:pt>
                <c:pt idx="11">
                  <c:v>112.6925</c:v>
                </c:pt>
                <c:pt idx="12">
                  <c:v>112.9589</c:v>
                </c:pt>
                <c:pt idx="13">
                  <c:v>113.22539999999999</c:v>
                </c:pt>
                <c:pt idx="14">
                  <c:v>113.4918</c:v>
                </c:pt>
                <c:pt idx="15">
                  <c:v>113.7582</c:v>
                </c:pt>
                <c:pt idx="16">
                  <c:v>114.02460000000001</c:v>
                </c:pt>
                <c:pt idx="17">
                  <c:v>114.2911</c:v>
                </c:pt>
                <c:pt idx="18">
                  <c:v>114.5575</c:v>
                </c:pt>
                <c:pt idx="19">
                  <c:v>114.82389999999999</c:v>
                </c:pt>
                <c:pt idx="20">
                  <c:v>115.0904</c:v>
                </c:pt>
                <c:pt idx="21">
                  <c:v>115.35680000000001</c:v>
                </c:pt>
                <c:pt idx="22">
                  <c:v>115.6232</c:v>
                </c:pt>
                <c:pt idx="23">
                  <c:v>115.8897</c:v>
                </c:pt>
                <c:pt idx="24">
                  <c:v>116.1561</c:v>
                </c:pt>
                <c:pt idx="25">
                  <c:v>116.4225</c:v>
                </c:pt>
                <c:pt idx="26">
                  <c:v>116.68899999999999</c:v>
                </c:pt>
                <c:pt idx="27">
                  <c:v>116.9554</c:v>
                </c:pt>
                <c:pt idx="28">
                  <c:v>117.2218</c:v>
                </c:pt>
                <c:pt idx="29">
                  <c:v>117.4883</c:v>
                </c:pt>
              </c:numCache>
            </c:numRef>
          </c:cat>
          <c:val>
            <c:numRef>
              <c:f>MT_BellCurves!$C$266:$C$295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MT_BellCurves!$A$266:$A$295</c:f>
              <c:numCache>
                <c:formatCode>General</c:formatCode>
                <c:ptCount val="30"/>
                <c:pt idx="0">
                  <c:v>109.7617</c:v>
                </c:pt>
                <c:pt idx="1">
                  <c:v>110.0282</c:v>
                </c:pt>
                <c:pt idx="2">
                  <c:v>110.2946</c:v>
                </c:pt>
                <c:pt idx="3">
                  <c:v>110.56100000000001</c:v>
                </c:pt>
                <c:pt idx="4">
                  <c:v>110.8275</c:v>
                </c:pt>
                <c:pt idx="5">
                  <c:v>111.0939</c:v>
                </c:pt>
                <c:pt idx="6">
                  <c:v>111.3603</c:v>
                </c:pt>
                <c:pt idx="7">
                  <c:v>111.6268</c:v>
                </c:pt>
                <c:pt idx="8">
                  <c:v>111.89319999999999</c:v>
                </c:pt>
                <c:pt idx="9">
                  <c:v>112.1596</c:v>
                </c:pt>
                <c:pt idx="10">
                  <c:v>112.42610000000001</c:v>
                </c:pt>
                <c:pt idx="11">
                  <c:v>112.6925</c:v>
                </c:pt>
                <c:pt idx="12">
                  <c:v>112.9589</c:v>
                </c:pt>
                <c:pt idx="13">
                  <c:v>113.22539999999999</c:v>
                </c:pt>
                <c:pt idx="14">
                  <c:v>113.4918</c:v>
                </c:pt>
                <c:pt idx="15">
                  <c:v>113.7582</c:v>
                </c:pt>
                <c:pt idx="16">
                  <c:v>114.02460000000001</c:v>
                </c:pt>
                <c:pt idx="17">
                  <c:v>114.2911</c:v>
                </c:pt>
                <c:pt idx="18">
                  <c:v>114.5575</c:v>
                </c:pt>
                <c:pt idx="19">
                  <c:v>114.82389999999999</c:v>
                </c:pt>
                <c:pt idx="20">
                  <c:v>115.0904</c:v>
                </c:pt>
                <c:pt idx="21">
                  <c:v>115.35680000000001</c:v>
                </c:pt>
                <c:pt idx="22">
                  <c:v>115.6232</c:v>
                </c:pt>
                <c:pt idx="23">
                  <c:v>115.8897</c:v>
                </c:pt>
                <c:pt idx="24">
                  <c:v>116.1561</c:v>
                </c:pt>
                <c:pt idx="25">
                  <c:v>116.4225</c:v>
                </c:pt>
                <c:pt idx="26">
                  <c:v>116.68899999999999</c:v>
                </c:pt>
                <c:pt idx="27">
                  <c:v>116.9554</c:v>
                </c:pt>
                <c:pt idx="28">
                  <c:v>117.2218</c:v>
                </c:pt>
                <c:pt idx="29">
                  <c:v>117.4883</c:v>
                </c:pt>
              </c:numCache>
            </c:numRef>
          </c:cat>
          <c:val>
            <c:numRef>
              <c:f>MT_BellCurves!$D$266:$D$295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698688"/>
        <c:axId val="131700608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MT_BellCurves!$F$266:$F$295</c:f>
              <c:numCache>
                <c:formatCode>General</c:formatCode>
                <c:ptCount val="30"/>
                <c:pt idx="0">
                  <c:v>2.9999999999999997E-4</c:v>
                </c:pt>
                <c:pt idx="1">
                  <c:v>1.4E-3</c:v>
                </c:pt>
                <c:pt idx="2">
                  <c:v>6.0000000000000001E-3</c:v>
                </c:pt>
                <c:pt idx="3">
                  <c:v>2.3E-2</c:v>
                </c:pt>
                <c:pt idx="4">
                  <c:v>7.7799999999999994E-2</c:v>
                </c:pt>
                <c:pt idx="5">
                  <c:v>0.23569999999999999</c:v>
                </c:pt>
                <c:pt idx="6">
                  <c:v>0.63729999999999998</c:v>
                </c:pt>
                <c:pt idx="7">
                  <c:v>1.5391999999999999</c:v>
                </c:pt>
                <c:pt idx="8">
                  <c:v>3.3201999999999998</c:v>
                </c:pt>
                <c:pt idx="9">
                  <c:v>6.3966000000000003</c:v>
                </c:pt>
                <c:pt idx="10">
                  <c:v>11.0067</c:v>
                </c:pt>
                <c:pt idx="11">
                  <c:v>16.915299999999998</c:v>
                </c:pt>
                <c:pt idx="12">
                  <c:v>23.2179</c:v>
                </c:pt>
                <c:pt idx="13">
                  <c:v>28.463000000000001</c:v>
                </c:pt>
                <c:pt idx="14">
                  <c:v>31.164200000000001</c:v>
                </c:pt>
                <c:pt idx="15">
                  <c:v>30.475300000000001</c:v>
                </c:pt>
                <c:pt idx="16">
                  <c:v>26.616800000000001</c:v>
                </c:pt>
                <c:pt idx="17">
                  <c:v>20.762599999999999</c:v>
                </c:pt>
                <c:pt idx="18">
                  <c:v>14.465199999999999</c:v>
                </c:pt>
                <c:pt idx="19">
                  <c:v>9.0008999999999997</c:v>
                </c:pt>
                <c:pt idx="20">
                  <c:v>5.0022000000000002</c:v>
                </c:pt>
                <c:pt idx="21">
                  <c:v>2.4828999999999999</c:v>
                </c:pt>
                <c:pt idx="22">
                  <c:v>1.1007</c:v>
                </c:pt>
                <c:pt idx="23">
                  <c:v>0.43580000000000002</c:v>
                </c:pt>
                <c:pt idx="24">
                  <c:v>0.15409999999999999</c:v>
                </c:pt>
                <c:pt idx="25">
                  <c:v>4.87E-2</c:v>
                </c:pt>
                <c:pt idx="26">
                  <c:v>1.37E-2</c:v>
                </c:pt>
                <c:pt idx="27">
                  <c:v>3.5000000000000001E-3</c:v>
                </c:pt>
                <c:pt idx="28">
                  <c:v>8.0000000000000004E-4</c:v>
                </c:pt>
                <c:pt idx="29">
                  <c:v>2.0000000000000001E-4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98688"/>
        <c:axId val="131700608"/>
      </c:lineChart>
      <c:catAx>
        <c:axId val="13169868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700608"/>
        <c:crosses val="autoZero"/>
        <c:auto val="1"/>
        <c:lblAlgn val="ctr"/>
        <c:lblOffset val="100"/>
        <c:tickLblSkip val="5"/>
        <c:noMultiLvlLbl val="1"/>
      </c:catAx>
      <c:valAx>
        <c:axId val="13170060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69868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Final Voltage [MT]  </a:t>
            </a:r>
            <a:r>
              <a:rPr lang="el-GR"/>
              <a:t>μ=115.32  σ=1.39  </a:t>
            </a:r>
            <a:r>
              <a:rPr lang="en-US"/>
              <a:t>n=496  out(3</a:t>
            </a:r>
            <a:r>
              <a:rPr lang="el-GR"/>
              <a:t>σ)=0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MT_BellCurves!$A$299:$A$328</c:f>
              <c:numCache>
                <c:formatCode>General</c:formatCode>
                <c:ptCount val="30"/>
                <c:pt idx="0">
                  <c:v>111.9452</c:v>
                </c:pt>
                <c:pt idx="1">
                  <c:v>112.1897</c:v>
                </c:pt>
                <c:pt idx="2">
                  <c:v>112.4341</c:v>
                </c:pt>
                <c:pt idx="3">
                  <c:v>112.6786</c:v>
                </c:pt>
                <c:pt idx="4">
                  <c:v>112.92310000000001</c:v>
                </c:pt>
                <c:pt idx="5">
                  <c:v>113.1675</c:v>
                </c:pt>
                <c:pt idx="6">
                  <c:v>113.41200000000001</c:v>
                </c:pt>
                <c:pt idx="7">
                  <c:v>113.65649999999999</c:v>
                </c:pt>
                <c:pt idx="8">
                  <c:v>113.90089999999999</c:v>
                </c:pt>
                <c:pt idx="9">
                  <c:v>114.1454</c:v>
                </c:pt>
                <c:pt idx="10">
                  <c:v>114.3899</c:v>
                </c:pt>
                <c:pt idx="11">
                  <c:v>114.6344</c:v>
                </c:pt>
                <c:pt idx="12">
                  <c:v>114.8788</c:v>
                </c:pt>
                <c:pt idx="13">
                  <c:v>115.1233</c:v>
                </c:pt>
                <c:pt idx="14">
                  <c:v>115.3678</c:v>
                </c:pt>
                <c:pt idx="15">
                  <c:v>115.6122</c:v>
                </c:pt>
                <c:pt idx="16">
                  <c:v>115.8567</c:v>
                </c:pt>
                <c:pt idx="17">
                  <c:v>116.10120000000001</c:v>
                </c:pt>
                <c:pt idx="18">
                  <c:v>116.3456</c:v>
                </c:pt>
                <c:pt idx="19">
                  <c:v>116.59010000000001</c:v>
                </c:pt>
                <c:pt idx="20">
                  <c:v>116.83459999999999</c:v>
                </c:pt>
                <c:pt idx="21">
                  <c:v>117.0791</c:v>
                </c:pt>
                <c:pt idx="22">
                  <c:v>117.3235</c:v>
                </c:pt>
                <c:pt idx="23">
                  <c:v>117.568</c:v>
                </c:pt>
                <c:pt idx="24">
                  <c:v>117.8125</c:v>
                </c:pt>
                <c:pt idx="25">
                  <c:v>118.0569</c:v>
                </c:pt>
                <c:pt idx="26">
                  <c:v>118.3014</c:v>
                </c:pt>
                <c:pt idx="27">
                  <c:v>118.5459</c:v>
                </c:pt>
                <c:pt idx="28">
                  <c:v>118.7903</c:v>
                </c:pt>
                <c:pt idx="29">
                  <c:v>119.0348</c:v>
                </c:pt>
              </c:numCache>
            </c:numRef>
          </c:cat>
          <c:val>
            <c:numRef>
              <c:f>MT_BellCurves!$B$299:$B$328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19</c:v>
                </c:pt>
                <c:pt idx="5">
                  <c:v>25</c:v>
                </c:pt>
                <c:pt idx="6">
                  <c:v>39</c:v>
                </c:pt>
                <c:pt idx="7">
                  <c:v>40</c:v>
                </c:pt>
                <c:pt idx="8">
                  <c:v>10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17</c:v>
                </c:pt>
                <c:pt idx="13">
                  <c:v>77</c:v>
                </c:pt>
                <c:pt idx="14">
                  <c:v>54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22</c:v>
                </c:pt>
                <c:pt idx="19">
                  <c:v>72</c:v>
                </c:pt>
                <c:pt idx="20">
                  <c:v>40</c:v>
                </c:pt>
                <c:pt idx="21">
                  <c:v>30</c:v>
                </c:pt>
                <c:pt idx="22">
                  <c:v>25</c:v>
                </c:pt>
                <c:pt idx="23">
                  <c:v>4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MT_BellCurves!$A$299:$A$328</c:f>
              <c:numCache>
                <c:formatCode>General</c:formatCode>
                <c:ptCount val="30"/>
                <c:pt idx="0">
                  <c:v>111.9452</c:v>
                </c:pt>
                <c:pt idx="1">
                  <c:v>112.1897</c:v>
                </c:pt>
                <c:pt idx="2">
                  <c:v>112.4341</c:v>
                </c:pt>
                <c:pt idx="3">
                  <c:v>112.6786</c:v>
                </c:pt>
                <c:pt idx="4">
                  <c:v>112.92310000000001</c:v>
                </c:pt>
                <c:pt idx="5">
                  <c:v>113.1675</c:v>
                </c:pt>
                <c:pt idx="6">
                  <c:v>113.41200000000001</c:v>
                </c:pt>
                <c:pt idx="7">
                  <c:v>113.65649999999999</c:v>
                </c:pt>
                <c:pt idx="8">
                  <c:v>113.90089999999999</c:v>
                </c:pt>
                <c:pt idx="9">
                  <c:v>114.1454</c:v>
                </c:pt>
                <c:pt idx="10">
                  <c:v>114.3899</c:v>
                </c:pt>
                <c:pt idx="11">
                  <c:v>114.6344</c:v>
                </c:pt>
                <c:pt idx="12">
                  <c:v>114.8788</c:v>
                </c:pt>
                <c:pt idx="13">
                  <c:v>115.1233</c:v>
                </c:pt>
                <c:pt idx="14">
                  <c:v>115.3678</c:v>
                </c:pt>
                <c:pt idx="15">
                  <c:v>115.6122</c:v>
                </c:pt>
                <c:pt idx="16">
                  <c:v>115.8567</c:v>
                </c:pt>
                <c:pt idx="17">
                  <c:v>116.10120000000001</c:v>
                </c:pt>
                <c:pt idx="18">
                  <c:v>116.3456</c:v>
                </c:pt>
                <c:pt idx="19">
                  <c:v>116.59010000000001</c:v>
                </c:pt>
                <c:pt idx="20">
                  <c:v>116.83459999999999</c:v>
                </c:pt>
                <c:pt idx="21">
                  <c:v>117.0791</c:v>
                </c:pt>
                <c:pt idx="22">
                  <c:v>117.3235</c:v>
                </c:pt>
                <c:pt idx="23">
                  <c:v>117.568</c:v>
                </c:pt>
                <c:pt idx="24">
                  <c:v>117.8125</c:v>
                </c:pt>
                <c:pt idx="25">
                  <c:v>118.0569</c:v>
                </c:pt>
                <c:pt idx="26">
                  <c:v>118.3014</c:v>
                </c:pt>
                <c:pt idx="27">
                  <c:v>118.5459</c:v>
                </c:pt>
                <c:pt idx="28">
                  <c:v>118.7903</c:v>
                </c:pt>
                <c:pt idx="29">
                  <c:v>119.0348</c:v>
                </c:pt>
              </c:numCache>
            </c:numRef>
          </c:cat>
          <c:val>
            <c:numRef>
              <c:f>MT_BellCurves!$C$299:$C$328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MT_BellCurves!$A$299:$A$328</c:f>
              <c:numCache>
                <c:formatCode>General</c:formatCode>
                <c:ptCount val="30"/>
                <c:pt idx="0">
                  <c:v>111.9452</c:v>
                </c:pt>
                <c:pt idx="1">
                  <c:v>112.1897</c:v>
                </c:pt>
                <c:pt idx="2">
                  <c:v>112.4341</c:v>
                </c:pt>
                <c:pt idx="3">
                  <c:v>112.6786</c:v>
                </c:pt>
                <c:pt idx="4">
                  <c:v>112.92310000000001</c:v>
                </c:pt>
                <c:pt idx="5">
                  <c:v>113.1675</c:v>
                </c:pt>
                <c:pt idx="6">
                  <c:v>113.41200000000001</c:v>
                </c:pt>
                <c:pt idx="7">
                  <c:v>113.65649999999999</c:v>
                </c:pt>
                <c:pt idx="8">
                  <c:v>113.90089999999999</c:v>
                </c:pt>
                <c:pt idx="9">
                  <c:v>114.1454</c:v>
                </c:pt>
                <c:pt idx="10">
                  <c:v>114.3899</c:v>
                </c:pt>
                <c:pt idx="11">
                  <c:v>114.6344</c:v>
                </c:pt>
                <c:pt idx="12">
                  <c:v>114.8788</c:v>
                </c:pt>
                <c:pt idx="13">
                  <c:v>115.1233</c:v>
                </c:pt>
                <c:pt idx="14">
                  <c:v>115.3678</c:v>
                </c:pt>
                <c:pt idx="15">
                  <c:v>115.6122</c:v>
                </c:pt>
                <c:pt idx="16">
                  <c:v>115.8567</c:v>
                </c:pt>
                <c:pt idx="17">
                  <c:v>116.10120000000001</c:v>
                </c:pt>
                <c:pt idx="18">
                  <c:v>116.3456</c:v>
                </c:pt>
                <c:pt idx="19">
                  <c:v>116.59010000000001</c:v>
                </c:pt>
                <c:pt idx="20">
                  <c:v>116.83459999999999</c:v>
                </c:pt>
                <c:pt idx="21">
                  <c:v>117.0791</c:v>
                </c:pt>
                <c:pt idx="22">
                  <c:v>117.3235</c:v>
                </c:pt>
                <c:pt idx="23">
                  <c:v>117.568</c:v>
                </c:pt>
                <c:pt idx="24">
                  <c:v>117.8125</c:v>
                </c:pt>
                <c:pt idx="25">
                  <c:v>118.0569</c:v>
                </c:pt>
                <c:pt idx="26">
                  <c:v>118.3014</c:v>
                </c:pt>
                <c:pt idx="27">
                  <c:v>118.5459</c:v>
                </c:pt>
                <c:pt idx="28">
                  <c:v>118.7903</c:v>
                </c:pt>
                <c:pt idx="29">
                  <c:v>119.0348</c:v>
                </c:pt>
              </c:numCache>
            </c:numRef>
          </c:cat>
          <c:val>
            <c:numRef>
              <c:f>MT_BellCurves!$D$299:$D$328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797760"/>
        <c:axId val="131799680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MT_BellCurves!$F$299:$F$328</c:f>
              <c:numCache>
                <c:formatCode>General</c:formatCode>
                <c:ptCount val="30"/>
                <c:pt idx="0">
                  <c:v>1E-4</c:v>
                </c:pt>
                <c:pt idx="1">
                  <c:v>6.9999999999999999E-4</c:v>
                </c:pt>
                <c:pt idx="2">
                  <c:v>3.3999999999999998E-3</c:v>
                </c:pt>
                <c:pt idx="3">
                  <c:v>1.46E-2</c:v>
                </c:pt>
                <c:pt idx="4">
                  <c:v>5.5199999999999999E-2</c:v>
                </c:pt>
                <c:pt idx="5">
                  <c:v>0.18459999999999999</c:v>
                </c:pt>
                <c:pt idx="6">
                  <c:v>0.54490000000000005</c:v>
                </c:pt>
                <c:pt idx="7">
                  <c:v>1.4192</c:v>
                </c:pt>
                <c:pt idx="8">
                  <c:v>3.2614000000000001</c:v>
                </c:pt>
                <c:pt idx="9">
                  <c:v>6.6127000000000002</c:v>
                </c:pt>
                <c:pt idx="10">
                  <c:v>11.8302</c:v>
                </c:pt>
                <c:pt idx="11">
                  <c:v>18.6737</c:v>
                </c:pt>
                <c:pt idx="12">
                  <c:v>26.0078</c:v>
                </c:pt>
                <c:pt idx="13">
                  <c:v>31.96</c:v>
                </c:pt>
                <c:pt idx="14">
                  <c:v>34.652900000000002</c:v>
                </c:pt>
                <c:pt idx="15">
                  <c:v>33.151699999999998</c:v>
                </c:pt>
                <c:pt idx="16">
                  <c:v>27.983499999999999</c:v>
                </c:pt>
                <c:pt idx="17">
                  <c:v>20.8415</c:v>
                </c:pt>
                <c:pt idx="18">
                  <c:v>13.6958</c:v>
                </c:pt>
                <c:pt idx="19">
                  <c:v>7.9410999999999996</c:v>
                </c:pt>
                <c:pt idx="20">
                  <c:v>4.0625999999999998</c:v>
                </c:pt>
                <c:pt idx="21">
                  <c:v>1.8338000000000001</c:v>
                </c:pt>
                <c:pt idx="22">
                  <c:v>0.73040000000000005</c:v>
                </c:pt>
                <c:pt idx="23">
                  <c:v>0.25669999999999998</c:v>
                </c:pt>
                <c:pt idx="24">
                  <c:v>7.9600000000000004E-2</c:v>
                </c:pt>
                <c:pt idx="25">
                  <c:v>2.18E-2</c:v>
                </c:pt>
                <c:pt idx="26">
                  <c:v>5.3E-3</c:v>
                </c:pt>
                <c:pt idx="27">
                  <c:v>1.1000000000000001E-3</c:v>
                </c:pt>
                <c:pt idx="28">
                  <c:v>2.0000000000000001E-4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97760"/>
        <c:axId val="131799680"/>
      </c:lineChart>
      <c:catAx>
        <c:axId val="131797760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799680"/>
        <c:crosses val="autoZero"/>
        <c:auto val="1"/>
        <c:lblAlgn val="ctr"/>
        <c:lblOffset val="100"/>
        <c:tickLblSkip val="5"/>
        <c:noMultiLvlLbl val="1"/>
      </c:catAx>
      <c:valAx>
        <c:axId val="13179968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79776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Startup Current [MT]  </a:t>
            </a:r>
            <a:r>
              <a:rPr lang="el-GR"/>
              <a:t>μ=3.82  σ=0.15  </a:t>
            </a:r>
            <a:r>
              <a:rPr lang="en-US"/>
              <a:t>n=496  out(3</a:t>
            </a:r>
            <a:r>
              <a:rPr lang="el-GR"/>
              <a:t>σ)=16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MT_BellCurves!$A$332:$A$361</c:f>
              <c:numCache>
                <c:formatCode>General</c:formatCode>
                <c:ptCount val="30"/>
                <c:pt idx="0">
                  <c:v>1.9871000000000001</c:v>
                </c:pt>
                <c:pt idx="1">
                  <c:v>2.1118000000000001</c:v>
                </c:pt>
                <c:pt idx="2">
                  <c:v>2.2364999999999999</c:v>
                </c:pt>
                <c:pt idx="3">
                  <c:v>2.3611</c:v>
                </c:pt>
                <c:pt idx="4">
                  <c:v>2.4857999999999998</c:v>
                </c:pt>
                <c:pt idx="5">
                  <c:v>2.6105</c:v>
                </c:pt>
                <c:pt idx="6">
                  <c:v>2.7351999999999999</c:v>
                </c:pt>
                <c:pt idx="7">
                  <c:v>2.8599000000000001</c:v>
                </c:pt>
                <c:pt idx="8">
                  <c:v>2.9845999999999999</c:v>
                </c:pt>
                <c:pt idx="9">
                  <c:v>3.1092</c:v>
                </c:pt>
                <c:pt idx="10">
                  <c:v>3.2339000000000002</c:v>
                </c:pt>
                <c:pt idx="11">
                  <c:v>3.3586</c:v>
                </c:pt>
                <c:pt idx="12">
                  <c:v>3.4832999999999998</c:v>
                </c:pt>
                <c:pt idx="13">
                  <c:v>3.6080000000000001</c:v>
                </c:pt>
                <c:pt idx="14">
                  <c:v>3.7326999999999999</c:v>
                </c:pt>
                <c:pt idx="15">
                  <c:v>3.8573</c:v>
                </c:pt>
                <c:pt idx="16">
                  <c:v>3.9820000000000002</c:v>
                </c:pt>
                <c:pt idx="17">
                  <c:v>4.1067</c:v>
                </c:pt>
                <c:pt idx="18">
                  <c:v>4.2313999999999998</c:v>
                </c:pt>
                <c:pt idx="19">
                  <c:v>4.3560999999999996</c:v>
                </c:pt>
                <c:pt idx="20">
                  <c:v>4.4808000000000003</c:v>
                </c:pt>
                <c:pt idx="21">
                  <c:v>4.6054000000000004</c:v>
                </c:pt>
                <c:pt idx="22">
                  <c:v>4.7301000000000002</c:v>
                </c:pt>
                <c:pt idx="23">
                  <c:v>4.8548</c:v>
                </c:pt>
                <c:pt idx="24">
                  <c:v>4.9794999999999998</c:v>
                </c:pt>
                <c:pt idx="25">
                  <c:v>5.1041999999999996</c:v>
                </c:pt>
                <c:pt idx="26">
                  <c:v>5.2289000000000003</c:v>
                </c:pt>
                <c:pt idx="27">
                  <c:v>5.3535000000000004</c:v>
                </c:pt>
                <c:pt idx="28">
                  <c:v>5.4782000000000002</c:v>
                </c:pt>
                <c:pt idx="29">
                  <c:v>5.6029</c:v>
                </c:pt>
              </c:numCache>
            </c:numRef>
          </c:cat>
          <c:val>
            <c:numRef>
              <c:f>MT_BellCurves!$B$332:$B$361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76</c:v>
                </c:pt>
                <c:pt idx="14">
                  <c:v>140</c:v>
                </c:pt>
                <c:pt idx="15">
                  <c:v>124</c:v>
                </c:pt>
                <c:pt idx="16">
                  <c:v>85</c:v>
                </c:pt>
                <c:pt idx="17">
                  <c:v>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MT_BellCurves!$A$332:$A$361</c:f>
              <c:numCache>
                <c:formatCode>General</c:formatCode>
                <c:ptCount val="30"/>
                <c:pt idx="0">
                  <c:v>1.9871000000000001</c:v>
                </c:pt>
                <c:pt idx="1">
                  <c:v>2.1118000000000001</c:v>
                </c:pt>
                <c:pt idx="2">
                  <c:v>2.2364999999999999</c:v>
                </c:pt>
                <c:pt idx="3">
                  <c:v>2.3611</c:v>
                </c:pt>
                <c:pt idx="4">
                  <c:v>2.4857999999999998</c:v>
                </c:pt>
                <c:pt idx="5">
                  <c:v>2.6105</c:v>
                </c:pt>
                <c:pt idx="6">
                  <c:v>2.7351999999999999</c:v>
                </c:pt>
                <c:pt idx="7">
                  <c:v>2.8599000000000001</c:v>
                </c:pt>
                <c:pt idx="8">
                  <c:v>2.9845999999999999</c:v>
                </c:pt>
                <c:pt idx="9">
                  <c:v>3.1092</c:v>
                </c:pt>
                <c:pt idx="10">
                  <c:v>3.2339000000000002</c:v>
                </c:pt>
                <c:pt idx="11">
                  <c:v>3.3586</c:v>
                </c:pt>
                <c:pt idx="12">
                  <c:v>3.4832999999999998</c:v>
                </c:pt>
                <c:pt idx="13">
                  <c:v>3.6080000000000001</c:v>
                </c:pt>
                <c:pt idx="14">
                  <c:v>3.7326999999999999</c:v>
                </c:pt>
                <c:pt idx="15">
                  <c:v>3.8573</c:v>
                </c:pt>
                <c:pt idx="16">
                  <c:v>3.9820000000000002</c:v>
                </c:pt>
                <c:pt idx="17">
                  <c:v>4.1067</c:v>
                </c:pt>
                <c:pt idx="18">
                  <c:v>4.2313999999999998</c:v>
                </c:pt>
                <c:pt idx="19">
                  <c:v>4.3560999999999996</c:v>
                </c:pt>
                <c:pt idx="20">
                  <c:v>4.4808000000000003</c:v>
                </c:pt>
                <c:pt idx="21">
                  <c:v>4.6054000000000004</c:v>
                </c:pt>
                <c:pt idx="22">
                  <c:v>4.7301000000000002</c:v>
                </c:pt>
                <c:pt idx="23">
                  <c:v>4.8548</c:v>
                </c:pt>
                <c:pt idx="24">
                  <c:v>4.9794999999999998</c:v>
                </c:pt>
                <c:pt idx="25">
                  <c:v>5.1041999999999996</c:v>
                </c:pt>
                <c:pt idx="26">
                  <c:v>5.2289000000000003</c:v>
                </c:pt>
                <c:pt idx="27">
                  <c:v>5.3535000000000004</c:v>
                </c:pt>
                <c:pt idx="28">
                  <c:v>5.4782000000000002</c:v>
                </c:pt>
                <c:pt idx="29">
                  <c:v>5.6029</c:v>
                </c:pt>
              </c:numCache>
            </c:numRef>
          </c:cat>
          <c:val>
            <c:numRef>
              <c:f>MT_BellCurves!$C$332:$C$361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MT_BellCurves!$A$332:$A$361</c:f>
              <c:numCache>
                <c:formatCode>General</c:formatCode>
                <c:ptCount val="30"/>
                <c:pt idx="0">
                  <c:v>1.9871000000000001</c:v>
                </c:pt>
                <c:pt idx="1">
                  <c:v>2.1118000000000001</c:v>
                </c:pt>
                <c:pt idx="2">
                  <c:v>2.2364999999999999</c:v>
                </c:pt>
                <c:pt idx="3">
                  <c:v>2.3611</c:v>
                </c:pt>
                <c:pt idx="4">
                  <c:v>2.4857999999999998</c:v>
                </c:pt>
                <c:pt idx="5">
                  <c:v>2.6105</c:v>
                </c:pt>
                <c:pt idx="6">
                  <c:v>2.7351999999999999</c:v>
                </c:pt>
                <c:pt idx="7">
                  <c:v>2.8599000000000001</c:v>
                </c:pt>
                <c:pt idx="8">
                  <c:v>2.9845999999999999</c:v>
                </c:pt>
                <c:pt idx="9">
                  <c:v>3.1092</c:v>
                </c:pt>
                <c:pt idx="10">
                  <c:v>3.2339000000000002</c:v>
                </c:pt>
                <c:pt idx="11">
                  <c:v>3.3586</c:v>
                </c:pt>
                <c:pt idx="12">
                  <c:v>3.4832999999999998</c:v>
                </c:pt>
                <c:pt idx="13">
                  <c:v>3.6080000000000001</c:v>
                </c:pt>
                <c:pt idx="14">
                  <c:v>3.7326999999999999</c:v>
                </c:pt>
                <c:pt idx="15">
                  <c:v>3.8573</c:v>
                </c:pt>
                <c:pt idx="16">
                  <c:v>3.9820000000000002</c:v>
                </c:pt>
                <c:pt idx="17">
                  <c:v>4.1067</c:v>
                </c:pt>
                <c:pt idx="18">
                  <c:v>4.2313999999999998</c:v>
                </c:pt>
                <c:pt idx="19">
                  <c:v>4.3560999999999996</c:v>
                </c:pt>
                <c:pt idx="20">
                  <c:v>4.4808000000000003</c:v>
                </c:pt>
                <c:pt idx="21">
                  <c:v>4.6054000000000004</c:v>
                </c:pt>
                <c:pt idx="22">
                  <c:v>4.7301000000000002</c:v>
                </c:pt>
                <c:pt idx="23">
                  <c:v>4.8548</c:v>
                </c:pt>
                <c:pt idx="24">
                  <c:v>4.9794999999999998</c:v>
                </c:pt>
                <c:pt idx="25">
                  <c:v>5.1041999999999996</c:v>
                </c:pt>
                <c:pt idx="26">
                  <c:v>5.2289000000000003</c:v>
                </c:pt>
                <c:pt idx="27">
                  <c:v>5.3535000000000004</c:v>
                </c:pt>
                <c:pt idx="28">
                  <c:v>5.4782000000000002</c:v>
                </c:pt>
                <c:pt idx="29">
                  <c:v>5.6029</c:v>
                </c:pt>
              </c:numCache>
            </c:numRef>
          </c:cat>
          <c:val>
            <c:numRef>
              <c:f>MT_BellCurves!$D$332:$D$361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851776"/>
        <c:axId val="131853696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MT_BellCurves!$F$332:$F$361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1.6000000000000001E-3</c:v>
                </c:pt>
                <c:pt idx="11">
                  <c:v>0.13089999999999999</c:v>
                </c:pt>
                <c:pt idx="12">
                  <c:v>3.7635999999999998</c:v>
                </c:pt>
                <c:pt idx="13">
                  <c:v>37.485300000000002</c:v>
                </c:pt>
                <c:pt idx="14">
                  <c:v>129.36179999999999</c:v>
                </c:pt>
                <c:pt idx="15">
                  <c:v>154.6799</c:v>
                </c:pt>
                <c:pt idx="16">
                  <c:v>64.083200000000005</c:v>
                </c:pt>
                <c:pt idx="17">
                  <c:v>9.1989000000000001</c:v>
                </c:pt>
                <c:pt idx="18">
                  <c:v>0.45750000000000002</c:v>
                </c:pt>
                <c:pt idx="19">
                  <c:v>7.9000000000000008E-3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51776"/>
        <c:axId val="131853696"/>
      </c:lineChart>
      <c:catAx>
        <c:axId val="131851776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853696"/>
        <c:crosses val="autoZero"/>
        <c:auto val="1"/>
        <c:lblAlgn val="ctr"/>
        <c:lblOffset val="100"/>
        <c:tickLblSkip val="5"/>
        <c:noMultiLvlLbl val="1"/>
      </c:catAx>
      <c:valAx>
        <c:axId val="13185369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851776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Final Current [MT]  </a:t>
            </a:r>
            <a:r>
              <a:rPr lang="el-GR"/>
              <a:t>μ=3.85  σ=0.16  </a:t>
            </a:r>
            <a:r>
              <a:rPr lang="en-US"/>
              <a:t>n=494  out(3</a:t>
            </a:r>
            <a:r>
              <a:rPr lang="el-GR"/>
              <a:t>σ)=18</a:t>
            </a:r>
          </a:p>
        </c:rich>
      </c:tx>
      <c:layout/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numRef>
              <c:f>MT_BellCurves!$A$365:$A$394</c:f>
              <c:numCache>
                <c:formatCode>General</c:formatCode>
                <c:ptCount val="30"/>
                <c:pt idx="0">
                  <c:v>2.0491000000000001</c:v>
                </c:pt>
                <c:pt idx="1">
                  <c:v>2.2040000000000002</c:v>
                </c:pt>
                <c:pt idx="2">
                  <c:v>2.3588</c:v>
                </c:pt>
                <c:pt idx="3">
                  <c:v>2.5137</c:v>
                </c:pt>
                <c:pt idx="4">
                  <c:v>2.6686000000000001</c:v>
                </c:pt>
                <c:pt idx="5">
                  <c:v>2.8235000000000001</c:v>
                </c:pt>
                <c:pt idx="6">
                  <c:v>2.9784000000000002</c:v>
                </c:pt>
                <c:pt idx="7">
                  <c:v>3.1333000000000002</c:v>
                </c:pt>
                <c:pt idx="8">
                  <c:v>3.2881999999999998</c:v>
                </c:pt>
                <c:pt idx="9">
                  <c:v>3.4430999999999998</c:v>
                </c:pt>
                <c:pt idx="10">
                  <c:v>3.5979999999999999</c:v>
                </c:pt>
                <c:pt idx="11">
                  <c:v>3.7528999999999999</c:v>
                </c:pt>
                <c:pt idx="12">
                  <c:v>3.9077999999999999</c:v>
                </c:pt>
                <c:pt idx="13">
                  <c:v>4.0627000000000004</c:v>
                </c:pt>
                <c:pt idx="14">
                  <c:v>4.2176</c:v>
                </c:pt>
                <c:pt idx="15">
                  <c:v>4.3723999999999998</c:v>
                </c:pt>
                <c:pt idx="16">
                  <c:v>4.5273000000000003</c:v>
                </c:pt>
                <c:pt idx="17">
                  <c:v>4.6821999999999999</c:v>
                </c:pt>
                <c:pt idx="18">
                  <c:v>4.8371000000000004</c:v>
                </c:pt>
                <c:pt idx="19">
                  <c:v>4.992</c:v>
                </c:pt>
                <c:pt idx="20">
                  <c:v>5.1468999999999996</c:v>
                </c:pt>
                <c:pt idx="21">
                  <c:v>5.3018000000000001</c:v>
                </c:pt>
                <c:pt idx="22">
                  <c:v>5.4566999999999997</c:v>
                </c:pt>
                <c:pt idx="23">
                  <c:v>5.6116000000000001</c:v>
                </c:pt>
                <c:pt idx="24">
                  <c:v>5.7664999999999997</c:v>
                </c:pt>
                <c:pt idx="25">
                  <c:v>5.9214000000000002</c:v>
                </c:pt>
                <c:pt idx="26">
                  <c:v>6.0762999999999998</c:v>
                </c:pt>
                <c:pt idx="27">
                  <c:v>6.2312000000000003</c:v>
                </c:pt>
                <c:pt idx="28">
                  <c:v>6.3860000000000001</c:v>
                </c:pt>
                <c:pt idx="29">
                  <c:v>6.5408999999999997</c:v>
                </c:pt>
              </c:numCache>
            </c:numRef>
          </c:cat>
          <c:val>
            <c:numRef>
              <c:f>MT_BellCurves!$B$365:$B$394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72</c:v>
                </c:pt>
                <c:pt idx="11">
                  <c:v>161</c:v>
                </c:pt>
                <c:pt idx="12">
                  <c:v>143</c:v>
                </c:pt>
                <c:pt idx="13">
                  <c:v>83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solidFill>
                <a:srgbClr val="ED7D31"/>
              </a:solidFill>
              <a:prstDash val="solid"/>
            </a:ln>
          </c:spPr>
          <c:invertIfNegative val="1"/>
          <c:cat>
            <c:numRef>
              <c:f>MT_BellCurves!$A$365:$A$394</c:f>
              <c:numCache>
                <c:formatCode>General</c:formatCode>
                <c:ptCount val="30"/>
                <c:pt idx="0">
                  <c:v>2.0491000000000001</c:v>
                </c:pt>
                <c:pt idx="1">
                  <c:v>2.2040000000000002</c:v>
                </c:pt>
                <c:pt idx="2">
                  <c:v>2.3588</c:v>
                </c:pt>
                <c:pt idx="3">
                  <c:v>2.5137</c:v>
                </c:pt>
                <c:pt idx="4">
                  <c:v>2.6686000000000001</c:v>
                </c:pt>
                <c:pt idx="5">
                  <c:v>2.8235000000000001</c:v>
                </c:pt>
                <c:pt idx="6">
                  <c:v>2.9784000000000002</c:v>
                </c:pt>
                <c:pt idx="7">
                  <c:v>3.1333000000000002</c:v>
                </c:pt>
                <c:pt idx="8">
                  <c:v>3.2881999999999998</c:v>
                </c:pt>
                <c:pt idx="9">
                  <c:v>3.4430999999999998</c:v>
                </c:pt>
                <c:pt idx="10">
                  <c:v>3.5979999999999999</c:v>
                </c:pt>
                <c:pt idx="11">
                  <c:v>3.7528999999999999</c:v>
                </c:pt>
                <c:pt idx="12">
                  <c:v>3.9077999999999999</c:v>
                </c:pt>
                <c:pt idx="13">
                  <c:v>4.0627000000000004</c:v>
                </c:pt>
                <c:pt idx="14">
                  <c:v>4.2176</c:v>
                </c:pt>
                <c:pt idx="15">
                  <c:v>4.3723999999999998</c:v>
                </c:pt>
                <c:pt idx="16">
                  <c:v>4.5273000000000003</c:v>
                </c:pt>
                <c:pt idx="17">
                  <c:v>4.6821999999999999</c:v>
                </c:pt>
                <c:pt idx="18">
                  <c:v>4.8371000000000004</c:v>
                </c:pt>
                <c:pt idx="19">
                  <c:v>4.992</c:v>
                </c:pt>
                <c:pt idx="20">
                  <c:v>5.1468999999999996</c:v>
                </c:pt>
                <c:pt idx="21">
                  <c:v>5.3018000000000001</c:v>
                </c:pt>
                <c:pt idx="22">
                  <c:v>5.4566999999999997</c:v>
                </c:pt>
                <c:pt idx="23">
                  <c:v>5.6116000000000001</c:v>
                </c:pt>
                <c:pt idx="24">
                  <c:v>5.7664999999999997</c:v>
                </c:pt>
                <c:pt idx="25">
                  <c:v>5.9214000000000002</c:v>
                </c:pt>
                <c:pt idx="26">
                  <c:v>6.0762999999999998</c:v>
                </c:pt>
                <c:pt idx="27">
                  <c:v>6.2312000000000003</c:v>
                </c:pt>
                <c:pt idx="28">
                  <c:v>6.3860000000000001</c:v>
                </c:pt>
                <c:pt idx="29">
                  <c:v>6.5408999999999997</c:v>
                </c:pt>
              </c:numCache>
            </c:numRef>
          </c:cat>
          <c:val>
            <c:numRef>
              <c:f>MT_BellCurves!$C$365:$C$394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D7D31"/>
                    </a:solidFill>
                    <a:prstDash val="solid"/>
                  </a:ln>
                </c14:spPr>
              </c14:invertSolidFillFmt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1"/>
          <c:cat>
            <c:numRef>
              <c:f>MT_BellCurves!$A$365:$A$394</c:f>
              <c:numCache>
                <c:formatCode>General</c:formatCode>
                <c:ptCount val="30"/>
                <c:pt idx="0">
                  <c:v>2.0491000000000001</c:v>
                </c:pt>
                <c:pt idx="1">
                  <c:v>2.2040000000000002</c:v>
                </c:pt>
                <c:pt idx="2">
                  <c:v>2.3588</c:v>
                </c:pt>
                <c:pt idx="3">
                  <c:v>2.5137</c:v>
                </c:pt>
                <c:pt idx="4">
                  <c:v>2.6686000000000001</c:v>
                </c:pt>
                <c:pt idx="5">
                  <c:v>2.8235000000000001</c:v>
                </c:pt>
                <c:pt idx="6">
                  <c:v>2.9784000000000002</c:v>
                </c:pt>
                <c:pt idx="7">
                  <c:v>3.1333000000000002</c:v>
                </c:pt>
                <c:pt idx="8">
                  <c:v>3.2881999999999998</c:v>
                </c:pt>
                <c:pt idx="9">
                  <c:v>3.4430999999999998</c:v>
                </c:pt>
                <c:pt idx="10">
                  <c:v>3.5979999999999999</c:v>
                </c:pt>
                <c:pt idx="11">
                  <c:v>3.7528999999999999</c:v>
                </c:pt>
                <c:pt idx="12">
                  <c:v>3.9077999999999999</c:v>
                </c:pt>
                <c:pt idx="13">
                  <c:v>4.0627000000000004</c:v>
                </c:pt>
                <c:pt idx="14">
                  <c:v>4.2176</c:v>
                </c:pt>
                <c:pt idx="15">
                  <c:v>4.3723999999999998</c:v>
                </c:pt>
                <c:pt idx="16">
                  <c:v>4.5273000000000003</c:v>
                </c:pt>
                <c:pt idx="17">
                  <c:v>4.6821999999999999</c:v>
                </c:pt>
                <c:pt idx="18">
                  <c:v>4.8371000000000004</c:v>
                </c:pt>
                <c:pt idx="19">
                  <c:v>4.992</c:v>
                </c:pt>
                <c:pt idx="20">
                  <c:v>5.1468999999999996</c:v>
                </c:pt>
                <c:pt idx="21">
                  <c:v>5.3018000000000001</c:v>
                </c:pt>
                <c:pt idx="22">
                  <c:v>5.4566999999999997</c:v>
                </c:pt>
                <c:pt idx="23">
                  <c:v>5.6116000000000001</c:v>
                </c:pt>
                <c:pt idx="24">
                  <c:v>5.7664999999999997</c:v>
                </c:pt>
                <c:pt idx="25">
                  <c:v>5.9214000000000002</c:v>
                </c:pt>
                <c:pt idx="26">
                  <c:v>6.0762999999999998</c:v>
                </c:pt>
                <c:pt idx="27">
                  <c:v>6.2312000000000003</c:v>
                </c:pt>
                <c:pt idx="28">
                  <c:v>6.3860000000000001</c:v>
                </c:pt>
                <c:pt idx="29">
                  <c:v>6.5408999999999997</c:v>
                </c:pt>
              </c:numCache>
            </c:numRef>
          </c:cat>
          <c:val>
            <c:numRef>
              <c:f>MT_BellCurves!$D$365:$D$394</c:f>
              <c:numCache>
                <c:formatCode>General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31868928"/>
        <c:axId val="131883392"/>
      </c:barChart>
      <c:lineChart>
        <c:grouping val="standard"/>
        <c:varyColors val="1"/>
        <c:ser>
          <c:idx val="3"/>
          <c:order val="3"/>
          <c:spPr>
            <a:ln w="25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MT_BellCurves!$F$365:$F$394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1.1000000000000001E-3</c:v>
                </c:pt>
                <c:pt idx="9">
                  <c:v>0.19189999999999999</c:v>
                </c:pt>
                <c:pt idx="10">
                  <c:v>8.0092999999999996</c:v>
                </c:pt>
                <c:pt idx="11">
                  <c:v>80.229799999999997</c:v>
                </c:pt>
                <c:pt idx="12">
                  <c:v>192.90539999999999</c:v>
                </c:pt>
                <c:pt idx="13">
                  <c:v>111.3329</c:v>
                </c:pt>
                <c:pt idx="14">
                  <c:v>15.4231</c:v>
                </c:pt>
                <c:pt idx="15">
                  <c:v>0.51290000000000002</c:v>
                </c:pt>
                <c:pt idx="16">
                  <c:v>4.1000000000000003E-3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68928"/>
        <c:axId val="131883392"/>
      </c:lineChart>
      <c:catAx>
        <c:axId val="131868928"/>
        <c:scaling>
          <c:orientation val="minMax"/>
        </c:scaling>
        <c:delete val="1"/>
        <c:axPos val="b"/>
        <c:numFmt formatCode="0.0" sourceLinked="0"/>
        <c:majorTickMark val="none"/>
        <c:minorTickMark val="none"/>
        <c:tickLblPos val="nextTo"/>
        <c:crossAx val="131883392"/>
        <c:crosses val="autoZero"/>
        <c:auto val="1"/>
        <c:lblAlgn val="ctr"/>
        <c:lblOffset val="100"/>
        <c:tickLblSkip val="5"/>
        <c:noMultiLvlLbl val="1"/>
      </c:catAx>
      <c:valAx>
        <c:axId val="13188339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186892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114800" cy="30528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0</xdr:colOff>
      <xdr:row>0</xdr:row>
      <xdr:rowOff>0</xdr:rowOff>
    </xdr:from>
    <xdr:ext cx="4114800" cy="30528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4114800" cy="30528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18</xdr:row>
      <xdr:rowOff>0</xdr:rowOff>
    </xdr:from>
    <xdr:ext cx="4114800" cy="30528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17</xdr:col>
      <xdr:colOff>0</xdr:colOff>
      <xdr:row>36</xdr:row>
      <xdr:rowOff>0</xdr:rowOff>
    </xdr:from>
    <xdr:ext cx="4114800" cy="30528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27</xdr:col>
      <xdr:colOff>0</xdr:colOff>
      <xdr:row>36</xdr:row>
      <xdr:rowOff>0</xdr:rowOff>
    </xdr:from>
    <xdr:ext cx="4114800" cy="30528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0</xdr:colOff>
      <xdr:row>54</xdr:row>
      <xdr:rowOff>0</xdr:rowOff>
    </xdr:from>
    <xdr:ext cx="4114800" cy="30528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17</xdr:col>
      <xdr:colOff>0</xdr:colOff>
      <xdr:row>54</xdr:row>
      <xdr:rowOff>0</xdr:rowOff>
    </xdr:from>
    <xdr:ext cx="4114800" cy="30528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27</xdr:col>
      <xdr:colOff>0</xdr:colOff>
      <xdr:row>54</xdr:row>
      <xdr:rowOff>0</xdr:rowOff>
    </xdr:from>
    <xdr:ext cx="4114800" cy="30528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114800" cy="30528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0</xdr:colOff>
      <xdr:row>0</xdr:row>
      <xdr:rowOff>0</xdr:rowOff>
    </xdr:from>
    <xdr:ext cx="4114800" cy="30528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4114800" cy="30528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18</xdr:row>
      <xdr:rowOff>0</xdr:rowOff>
    </xdr:from>
    <xdr:ext cx="4114800" cy="30528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17</xdr:col>
      <xdr:colOff>0</xdr:colOff>
      <xdr:row>36</xdr:row>
      <xdr:rowOff>0</xdr:rowOff>
    </xdr:from>
    <xdr:ext cx="4114800" cy="30528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27</xdr:col>
      <xdr:colOff>0</xdr:colOff>
      <xdr:row>36</xdr:row>
      <xdr:rowOff>0</xdr:rowOff>
    </xdr:from>
    <xdr:ext cx="4114800" cy="30528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0</xdr:colOff>
      <xdr:row>54</xdr:row>
      <xdr:rowOff>0</xdr:rowOff>
    </xdr:from>
    <xdr:ext cx="4114800" cy="30528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17</xdr:col>
      <xdr:colOff>0</xdr:colOff>
      <xdr:row>54</xdr:row>
      <xdr:rowOff>0</xdr:rowOff>
    </xdr:from>
    <xdr:ext cx="4114800" cy="30528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27</xdr:col>
      <xdr:colOff>0</xdr:colOff>
      <xdr:row>54</xdr:row>
      <xdr:rowOff>0</xdr:rowOff>
    </xdr:from>
    <xdr:ext cx="4114800" cy="30528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41"/>
  <sheetViews>
    <sheetView workbookViewId="0">
      <pane ySplit="1" topLeftCell="A968" activePane="bottomLeft" state="frozen"/>
      <selection pane="bottomLeft"/>
    </sheetView>
  </sheetViews>
  <sheetFormatPr defaultRowHeight="14.4"/>
  <cols>
    <col min="1" max="6" width="14" customWidth="1"/>
    <col min="7" max="7" width="18.6640625" customWidth="1"/>
    <col min="8" max="9" width="23.77734375" customWidth="1"/>
    <col min="10" max="10" width="20.44140625" customWidth="1"/>
    <col min="11" max="11" width="23" customWidth="1"/>
    <col min="12" max="12" width="25.44140625" customWidth="1"/>
    <col min="13" max="13" width="28" customWidth="1"/>
    <col min="14" max="14" width="21.21875" customWidth="1"/>
    <col min="15" max="15" width="17.88671875" customWidth="1"/>
    <col min="16" max="16" width="16.109375" customWidth="1"/>
    <col min="17" max="17" width="17.88671875" customWidth="1"/>
    <col min="18" max="18" width="16.109375" customWidth="1"/>
    <col min="19" max="19" width="20.44140625" customWidth="1"/>
    <col min="20" max="21" width="25.44140625" customWidth="1"/>
    <col min="22" max="22" width="22.109375" customWidth="1"/>
    <col min="23" max="23" width="24.6640625" customWidth="1"/>
    <col min="24" max="24" width="27.21875" customWidth="1"/>
    <col min="25" max="25" width="29.77734375" customWidth="1"/>
    <col min="26" max="26" width="23" customWidth="1"/>
    <col min="27" max="27" width="19.5546875" customWidth="1"/>
    <col min="28" max="28" width="17.88671875" customWidth="1"/>
    <col min="29" max="29" width="19.5546875" customWidth="1"/>
    <col min="30" max="30" width="17.88671875" customWidth="1"/>
  </cols>
  <sheetData>
    <row r="1" spans="1:3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s="2">
        <v>46010</v>
      </c>
      <c r="F2" t="s">
        <v>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110.54</v>
      </c>
      <c r="P2">
        <v>0</v>
      </c>
      <c r="Q2">
        <v>9.01</v>
      </c>
      <c r="R2">
        <v>0</v>
      </c>
      <c r="S2" t="str">
        <f t="shared" ref="S2:S14" si="0">IF(OR(G2=0,G2=""),"",ABS((G2-152.740594)/5.729485))</f>
        <v/>
      </c>
      <c r="T2" t="str">
        <f t="shared" ref="T2:T14" si="1">IF(OR(H2=0,H2=""),"",ABS((H2-96.426733)/5.037499))</f>
        <v/>
      </c>
      <c r="U2" t="str">
        <f t="shared" ref="U2:U65" si="2">IF(OR(I2=0,I2=""),"",ABS((I2--1957.8)/1))</f>
        <v/>
      </c>
      <c r="V2" t="str">
        <f t="shared" ref="V2:V14" si="3">IF(OR(J2=0,J2=""),"",ABS((J2-69.40099)/2.222902))</f>
        <v/>
      </c>
      <c r="W2" t="str">
        <f t="shared" ref="W2:W65" si="4">IF(OR(K2=0,K2=""),"",ABS((K2-0)/1))</f>
        <v/>
      </c>
      <c r="X2" t="str">
        <f t="shared" ref="X2:X14" si="5">IF(OR(L2=0,L2=""),"",ABS((L2-1.849749)/1.393269))</f>
        <v/>
      </c>
      <c r="Y2" t="str">
        <f t="shared" ref="Y2:Y65" si="6">IF(OR(M2=0,M2=""),"",ABS((M2-0)/1))</f>
        <v/>
      </c>
      <c r="Z2" t="str">
        <f t="shared" ref="Z2:Z14" si="7">IF(OR(N2=0,N2=""),"",ABS((N2-69.231188)/2.519549))</f>
        <v/>
      </c>
      <c r="AA2">
        <f t="shared" ref="AA2:AA14" si="8">IF(OR(O2=0,O2=""),"",ABS((O2-113.18)/1.73698))</f>
        <v>1.5198793307925254</v>
      </c>
      <c r="AB2" t="str">
        <f t="shared" ref="AB2:AB14" si="9">IF(OR(P2=0,P2=""),"",ABS((P2-114.765594)/1.645198))</f>
        <v/>
      </c>
      <c r="AC2">
        <f t="shared" ref="AC2:AC14" si="10">IF(OR(Q2=0,Q2=""),"",ABS((Q2-8.040149)/0.55663))</f>
        <v>1.7423620717532298</v>
      </c>
      <c r="AD2" t="str">
        <f t="shared" ref="AD2:AD14" si="11">IF(OR(R2=0,R2=""),"",ABS((R2-7.915297)/0.399795))</f>
        <v/>
      </c>
    </row>
    <row r="3" spans="1:30">
      <c r="A3" t="s">
        <v>30</v>
      </c>
      <c r="B3" t="s">
        <v>31</v>
      </c>
      <c r="C3" t="s">
        <v>32</v>
      </c>
      <c r="D3" t="s">
        <v>33</v>
      </c>
      <c r="E3" s="2">
        <v>46010</v>
      </c>
      <c r="F3" t="s">
        <v>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tr">
        <f t="shared" si="0"/>
        <v/>
      </c>
      <c r="T3" t="str">
        <f t="shared" si="1"/>
        <v/>
      </c>
      <c r="U3" t="str">
        <f t="shared" si="2"/>
        <v/>
      </c>
      <c r="V3" t="str">
        <f t="shared" si="3"/>
        <v/>
      </c>
      <c r="W3" t="str">
        <f t="shared" si="4"/>
        <v/>
      </c>
      <c r="X3" t="str">
        <f t="shared" si="5"/>
        <v/>
      </c>
      <c r="Y3" t="str">
        <f t="shared" si="6"/>
        <v/>
      </c>
      <c r="Z3" t="str">
        <f t="shared" si="7"/>
        <v/>
      </c>
      <c r="AA3" t="str">
        <f t="shared" si="8"/>
        <v/>
      </c>
      <c r="AB3" t="str">
        <f t="shared" si="9"/>
        <v/>
      </c>
      <c r="AC3" t="str">
        <f t="shared" si="10"/>
        <v/>
      </c>
      <c r="AD3" t="str">
        <f t="shared" si="11"/>
        <v/>
      </c>
    </row>
    <row r="4" spans="1:30">
      <c r="A4" t="s">
        <v>30</v>
      </c>
      <c r="B4" t="s">
        <v>31</v>
      </c>
      <c r="C4" t="s">
        <v>32</v>
      </c>
      <c r="D4" t="s">
        <v>33</v>
      </c>
      <c r="E4" s="2">
        <v>46010</v>
      </c>
      <c r="F4" t="s">
        <v>34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110.76</v>
      </c>
      <c r="P4">
        <v>0</v>
      </c>
      <c r="Q4">
        <v>8.69</v>
      </c>
      <c r="R4">
        <v>0</v>
      </c>
      <c r="S4" t="str">
        <f t="shared" si="0"/>
        <v/>
      </c>
      <c r="T4" t="str">
        <f t="shared" si="1"/>
        <v/>
      </c>
      <c r="U4" t="str">
        <f t="shared" si="2"/>
        <v/>
      </c>
      <c r="V4" t="str">
        <f t="shared" si="3"/>
        <v/>
      </c>
      <c r="W4" t="str">
        <f t="shared" si="4"/>
        <v/>
      </c>
      <c r="X4" t="str">
        <f t="shared" si="5"/>
        <v/>
      </c>
      <c r="Y4" t="str">
        <f t="shared" si="6"/>
        <v/>
      </c>
      <c r="Z4" t="str">
        <f t="shared" si="7"/>
        <v/>
      </c>
      <c r="AA4">
        <f t="shared" si="8"/>
        <v>1.3932227198931488</v>
      </c>
      <c r="AB4" t="str">
        <f t="shared" si="9"/>
        <v/>
      </c>
      <c r="AC4">
        <f t="shared" si="10"/>
        <v>1.1674739054668271</v>
      </c>
      <c r="AD4" t="str">
        <f t="shared" si="11"/>
        <v/>
      </c>
    </row>
    <row r="5" spans="1:30">
      <c r="A5" t="s">
        <v>35</v>
      </c>
      <c r="B5" t="s">
        <v>31</v>
      </c>
      <c r="C5" t="s">
        <v>32</v>
      </c>
      <c r="D5" t="s">
        <v>33</v>
      </c>
      <c r="E5" s="2">
        <v>46036</v>
      </c>
      <c r="F5" t="s">
        <v>34</v>
      </c>
      <c r="G5">
        <v>152.6</v>
      </c>
      <c r="H5">
        <v>79.8</v>
      </c>
      <c r="I5">
        <v>-1957.8</v>
      </c>
      <c r="J5">
        <v>65.5</v>
      </c>
      <c r="K5">
        <v>0</v>
      </c>
      <c r="L5">
        <v>2.6</v>
      </c>
      <c r="M5">
        <v>0</v>
      </c>
      <c r="N5">
        <v>68.099999999999994</v>
      </c>
      <c r="O5">
        <v>114.94</v>
      </c>
      <c r="P5">
        <v>114.72</v>
      </c>
      <c r="Q5">
        <v>7.5</v>
      </c>
      <c r="R5">
        <v>8.08</v>
      </c>
      <c r="S5">
        <f t="shared" si="0"/>
        <v>2.4538680178060157E-2</v>
      </c>
      <c r="T5">
        <f t="shared" si="1"/>
        <v>3.3005928140134619</v>
      </c>
      <c r="U5">
        <f t="shared" si="2"/>
        <v>0</v>
      </c>
      <c r="V5">
        <f t="shared" si="3"/>
        <v>1.7549086734367927</v>
      </c>
      <c r="W5" t="str">
        <f t="shared" si="4"/>
        <v/>
      </c>
      <c r="X5">
        <f t="shared" si="5"/>
        <v>0.53848251845121076</v>
      </c>
      <c r="Y5" t="str">
        <f t="shared" si="6"/>
        <v/>
      </c>
      <c r="Z5">
        <f t="shared" si="7"/>
        <v>0.44896447737273959</v>
      </c>
      <c r="AA5">
        <f t="shared" si="8"/>
        <v>1.0132528871950115</v>
      </c>
      <c r="AB5">
        <f t="shared" si="9"/>
        <v>2.7713381611206761E-2</v>
      </c>
      <c r="AC5">
        <f t="shared" si="10"/>
        <v>0.97039146291072986</v>
      </c>
      <c r="AD5">
        <f t="shared" si="11"/>
        <v>0.41196863392488714</v>
      </c>
    </row>
    <row r="6" spans="1:30">
      <c r="A6" t="s">
        <v>35</v>
      </c>
      <c r="B6" t="s">
        <v>31</v>
      </c>
      <c r="C6" t="s">
        <v>32</v>
      </c>
      <c r="D6" t="s">
        <v>33</v>
      </c>
      <c r="E6" s="2">
        <v>46036</v>
      </c>
      <c r="F6" t="s">
        <v>34</v>
      </c>
      <c r="G6">
        <v>154.80000000000001</v>
      </c>
      <c r="H6">
        <v>91</v>
      </c>
      <c r="I6">
        <v>-1957.8</v>
      </c>
      <c r="J6">
        <v>65.900000000000006</v>
      </c>
      <c r="K6">
        <v>0</v>
      </c>
      <c r="L6">
        <v>5.5</v>
      </c>
      <c r="M6">
        <v>0</v>
      </c>
      <c r="N6">
        <v>71.400000000000006</v>
      </c>
      <c r="O6">
        <v>111.35</v>
      </c>
      <c r="P6">
        <v>113.11</v>
      </c>
      <c r="Q6">
        <v>8.1300000000000008</v>
      </c>
      <c r="R6">
        <v>8.18</v>
      </c>
      <c r="S6">
        <f t="shared" si="0"/>
        <v>0.35943998457104326</v>
      </c>
      <c r="T6">
        <f t="shared" si="1"/>
        <v>1.0772673106237833</v>
      </c>
      <c r="U6">
        <f t="shared" si="2"/>
        <v>0</v>
      </c>
      <c r="V6">
        <f t="shared" si="3"/>
        <v>1.5749637185984751</v>
      </c>
      <c r="W6" t="str">
        <f t="shared" si="4"/>
        <v/>
      </c>
      <c r="X6">
        <f t="shared" si="5"/>
        <v>2.6199183359423053</v>
      </c>
      <c r="Y6" t="str">
        <f t="shared" si="6"/>
        <v/>
      </c>
      <c r="Z6">
        <f t="shared" si="7"/>
        <v>0.86079373729187347</v>
      </c>
      <c r="AA6">
        <f t="shared" si="8"/>
        <v>1.0535527179357347</v>
      </c>
      <c r="AB6">
        <f t="shared" si="9"/>
        <v>1.0063189962545502</v>
      </c>
      <c r="AC6">
        <f t="shared" si="10"/>
        <v>0.16141961446562572</v>
      </c>
      <c r="AD6">
        <f t="shared" si="11"/>
        <v>0.66209682462261887</v>
      </c>
    </row>
    <row r="7" spans="1:30">
      <c r="A7" t="s">
        <v>35</v>
      </c>
      <c r="B7" t="s">
        <v>31</v>
      </c>
      <c r="C7" t="s">
        <v>32</v>
      </c>
      <c r="D7" t="s">
        <v>33</v>
      </c>
      <c r="E7" s="2">
        <v>46036</v>
      </c>
      <c r="F7" t="s">
        <v>34</v>
      </c>
      <c r="G7">
        <v>143.19999999999999</v>
      </c>
      <c r="H7">
        <v>91.5</v>
      </c>
      <c r="I7">
        <v>-1957.8</v>
      </c>
      <c r="J7">
        <v>66.400000000000006</v>
      </c>
      <c r="K7">
        <v>0</v>
      </c>
      <c r="L7">
        <v>3.5</v>
      </c>
      <c r="M7">
        <v>0</v>
      </c>
      <c r="N7">
        <v>69.900000000000006</v>
      </c>
      <c r="O7">
        <v>111.79</v>
      </c>
      <c r="P7">
        <v>113.18</v>
      </c>
      <c r="Q7">
        <v>8.1300000000000008</v>
      </c>
      <c r="R7">
        <v>8.3699999999999992</v>
      </c>
      <c r="S7">
        <f t="shared" si="0"/>
        <v>1.6651747931969449</v>
      </c>
      <c r="T7">
        <f t="shared" si="1"/>
        <v>0.97801170779388702</v>
      </c>
      <c r="U7">
        <f t="shared" si="2"/>
        <v>0</v>
      </c>
      <c r="V7">
        <f t="shared" si="3"/>
        <v>1.3500325250505814</v>
      </c>
      <c r="W7" t="str">
        <f t="shared" si="4"/>
        <v/>
      </c>
      <c r="X7">
        <f t="shared" si="5"/>
        <v>1.1844453583622401</v>
      </c>
      <c r="Y7" t="str">
        <f t="shared" si="6"/>
        <v/>
      </c>
      <c r="Z7">
        <f t="shared" si="7"/>
        <v>0.26544909426250596</v>
      </c>
      <c r="AA7">
        <f t="shared" si="8"/>
        <v>0.80023949613697376</v>
      </c>
      <c r="AB7">
        <f t="shared" si="9"/>
        <v>0.96377092605266124</v>
      </c>
      <c r="AC7">
        <f t="shared" si="10"/>
        <v>0.16141961446562572</v>
      </c>
      <c r="AD7">
        <f t="shared" si="11"/>
        <v>1.1373403869483094</v>
      </c>
    </row>
    <row r="8" spans="1:30">
      <c r="A8" t="s">
        <v>35</v>
      </c>
      <c r="B8" t="s">
        <v>31</v>
      </c>
      <c r="C8" t="s">
        <v>32</v>
      </c>
      <c r="D8" t="s">
        <v>33</v>
      </c>
      <c r="E8" s="2">
        <v>46036</v>
      </c>
      <c r="F8" t="s">
        <v>34</v>
      </c>
      <c r="G8">
        <v>149.9</v>
      </c>
      <c r="H8">
        <v>90.6</v>
      </c>
      <c r="I8">
        <v>-1957.8</v>
      </c>
      <c r="J8">
        <v>66.400000000000006</v>
      </c>
      <c r="K8">
        <v>0</v>
      </c>
      <c r="L8">
        <v>2.8</v>
      </c>
      <c r="M8">
        <v>0</v>
      </c>
      <c r="N8">
        <v>69.2</v>
      </c>
      <c r="O8">
        <v>114.94</v>
      </c>
      <c r="P8">
        <v>114.87</v>
      </c>
      <c r="Q8">
        <v>7.79</v>
      </c>
      <c r="R8">
        <v>8.25</v>
      </c>
      <c r="S8">
        <f t="shared" si="0"/>
        <v>0.49578522327922692</v>
      </c>
      <c r="T8">
        <f t="shared" si="1"/>
        <v>1.1566717928877015</v>
      </c>
      <c r="U8">
        <f t="shared" si="2"/>
        <v>0</v>
      </c>
      <c r="V8">
        <f t="shared" si="3"/>
        <v>1.3500325250505814</v>
      </c>
      <c r="W8" t="str">
        <f t="shared" si="4"/>
        <v/>
      </c>
      <c r="X8">
        <f t="shared" si="5"/>
        <v>0.6820298162092171</v>
      </c>
      <c r="Y8" t="str">
        <f t="shared" si="6"/>
        <v/>
      </c>
      <c r="Z8">
        <f t="shared" si="7"/>
        <v>1.2378405817866695E-2</v>
      </c>
      <c r="AA8">
        <f t="shared" si="8"/>
        <v>1.0132528871950115</v>
      </c>
      <c r="AB8">
        <f t="shared" si="9"/>
        <v>6.3461054535692091E-2</v>
      </c>
      <c r="AC8">
        <f t="shared" si="10"/>
        <v>0.44939906221367792</v>
      </c>
      <c r="AD8">
        <f t="shared" si="11"/>
        <v>0.83718655811103238</v>
      </c>
    </row>
    <row r="9" spans="1:30">
      <c r="A9" t="s">
        <v>35</v>
      </c>
      <c r="B9" t="s">
        <v>31</v>
      </c>
      <c r="C9" t="s">
        <v>32</v>
      </c>
      <c r="D9" t="s">
        <v>33</v>
      </c>
      <c r="E9" s="2">
        <v>46038</v>
      </c>
      <c r="F9" t="s">
        <v>34</v>
      </c>
      <c r="G9">
        <v>145</v>
      </c>
      <c r="H9">
        <v>84.3</v>
      </c>
      <c r="I9">
        <v>-1957.8</v>
      </c>
      <c r="J9">
        <v>63.7</v>
      </c>
      <c r="K9">
        <v>0</v>
      </c>
      <c r="L9">
        <v>8</v>
      </c>
      <c r="M9">
        <v>0</v>
      </c>
      <c r="N9">
        <v>71.7</v>
      </c>
      <c r="O9">
        <v>114.94</v>
      </c>
      <c r="P9">
        <v>114.72</v>
      </c>
      <c r="Q9">
        <v>7.01</v>
      </c>
      <c r="R9">
        <v>7.25</v>
      </c>
      <c r="S9">
        <f t="shared" si="0"/>
        <v>1.351010431129497</v>
      </c>
      <c r="T9">
        <f t="shared" si="1"/>
        <v>2.4072923885443949</v>
      </c>
      <c r="U9">
        <f t="shared" si="2"/>
        <v>0</v>
      </c>
      <c r="V9">
        <f t="shared" si="3"/>
        <v>2.5646609702092085</v>
      </c>
      <c r="W9" t="str">
        <f t="shared" si="4"/>
        <v/>
      </c>
      <c r="X9">
        <f t="shared" si="5"/>
        <v>4.4142595579173864</v>
      </c>
      <c r="Y9" t="str">
        <f t="shared" si="6"/>
        <v/>
      </c>
      <c r="Z9">
        <f t="shared" si="7"/>
        <v>0.97986266589774584</v>
      </c>
      <c r="AA9">
        <f t="shared" si="8"/>
        <v>1.0132528871950115</v>
      </c>
      <c r="AB9">
        <f t="shared" si="9"/>
        <v>2.7713381611206761E-2</v>
      </c>
      <c r="AC9">
        <f t="shared" si="10"/>
        <v>1.8506889675367835</v>
      </c>
      <c r="AD9">
        <f t="shared" si="11"/>
        <v>1.6640953488662935</v>
      </c>
    </row>
    <row r="10" spans="1:30">
      <c r="A10" t="s">
        <v>35</v>
      </c>
      <c r="B10" t="s">
        <v>31</v>
      </c>
      <c r="C10" t="s">
        <v>32</v>
      </c>
      <c r="D10" t="s">
        <v>33</v>
      </c>
      <c r="E10" s="2">
        <v>46038</v>
      </c>
      <c r="F10" t="s">
        <v>34</v>
      </c>
      <c r="G10">
        <v>148.1</v>
      </c>
      <c r="H10">
        <v>86.1</v>
      </c>
      <c r="I10">
        <v>-1957.8</v>
      </c>
      <c r="J10">
        <v>63.7</v>
      </c>
      <c r="K10">
        <v>0</v>
      </c>
      <c r="L10">
        <v>8.1</v>
      </c>
      <c r="M10">
        <v>0</v>
      </c>
      <c r="N10">
        <v>71.8</v>
      </c>
      <c r="O10">
        <v>114.87</v>
      </c>
      <c r="P10">
        <v>114.8</v>
      </c>
      <c r="Q10">
        <v>7.23</v>
      </c>
      <c r="R10">
        <v>7.45</v>
      </c>
      <c r="S10">
        <f t="shared" si="0"/>
        <v>0.80994958534667472</v>
      </c>
      <c r="T10">
        <f t="shared" si="1"/>
        <v>2.0499722183567686</v>
      </c>
      <c r="U10">
        <f t="shared" si="2"/>
        <v>0</v>
      </c>
      <c r="V10">
        <f t="shared" si="3"/>
        <v>2.5646609702092085</v>
      </c>
      <c r="W10" t="str">
        <f t="shared" si="4"/>
        <v/>
      </c>
      <c r="X10">
        <f t="shared" si="5"/>
        <v>4.4860332067963897</v>
      </c>
      <c r="Y10" t="str">
        <f t="shared" si="6"/>
        <v/>
      </c>
      <c r="Z10">
        <f t="shared" si="7"/>
        <v>1.019552308766368</v>
      </c>
      <c r="AA10">
        <f t="shared" si="8"/>
        <v>0.97295305645430441</v>
      </c>
      <c r="AB10">
        <f t="shared" si="9"/>
        <v>2.0912984333803078E-2</v>
      </c>
      <c r="AC10">
        <f t="shared" si="10"/>
        <v>1.455453353214881</v>
      </c>
      <c r="AD10">
        <f t="shared" si="11"/>
        <v>1.1638389674708278</v>
      </c>
    </row>
    <row r="11" spans="1:30">
      <c r="A11" t="s">
        <v>35</v>
      </c>
      <c r="B11" t="s">
        <v>31</v>
      </c>
      <c r="C11" t="s">
        <v>32</v>
      </c>
      <c r="D11" t="s">
        <v>33</v>
      </c>
      <c r="E11" s="2">
        <v>46038</v>
      </c>
      <c r="F11" t="s">
        <v>34</v>
      </c>
      <c r="G11">
        <v>140.5</v>
      </c>
      <c r="H11">
        <v>93.3</v>
      </c>
      <c r="I11">
        <v>-1957.8</v>
      </c>
      <c r="J11">
        <v>-1952</v>
      </c>
      <c r="K11">
        <v>0</v>
      </c>
      <c r="L11">
        <v>2024</v>
      </c>
      <c r="M11">
        <v>0</v>
      </c>
      <c r="N11">
        <v>72</v>
      </c>
      <c r="O11">
        <v>111.79</v>
      </c>
      <c r="P11">
        <v>113.62</v>
      </c>
      <c r="Q11">
        <v>7.96</v>
      </c>
      <c r="R11">
        <v>7.93</v>
      </c>
      <c r="S11">
        <f t="shared" si="0"/>
        <v>2.1364213362981115</v>
      </c>
      <c r="T11">
        <f t="shared" si="1"/>
        <v>0.62069153760626083</v>
      </c>
      <c r="U11">
        <f t="shared" si="2"/>
        <v>0</v>
      </c>
      <c r="V11">
        <f t="shared" si="3"/>
        <v>909.35227463918795</v>
      </c>
      <c r="W11" t="str">
        <f t="shared" si="4"/>
        <v/>
      </c>
      <c r="X11">
        <f t="shared" si="5"/>
        <v>1451.3710209586231</v>
      </c>
      <c r="Y11" t="str">
        <f t="shared" si="6"/>
        <v/>
      </c>
      <c r="Z11">
        <f t="shared" si="7"/>
        <v>1.0989315945036182</v>
      </c>
      <c r="AA11">
        <f t="shared" si="8"/>
        <v>0.80023949613697376</v>
      </c>
      <c r="AB11">
        <f t="shared" si="9"/>
        <v>0.69632591335510285</v>
      </c>
      <c r="AC11">
        <f t="shared" si="10"/>
        <v>0.14398972387402689</v>
      </c>
      <c r="AD11">
        <f t="shared" si="11"/>
        <v>3.6776347878287395E-2</v>
      </c>
    </row>
    <row r="12" spans="1:30">
      <c r="A12" t="s">
        <v>35</v>
      </c>
      <c r="B12" t="s">
        <v>31</v>
      </c>
      <c r="C12" t="s">
        <v>32</v>
      </c>
      <c r="D12" t="s">
        <v>33</v>
      </c>
      <c r="E12" s="2">
        <v>46038</v>
      </c>
      <c r="F12" t="s">
        <v>34</v>
      </c>
      <c r="G12">
        <v>138.80000000000001</v>
      </c>
      <c r="H12">
        <v>91.5</v>
      </c>
      <c r="I12">
        <v>-1957.8</v>
      </c>
      <c r="J12">
        <v>-1952</v>
      </c>
      <c r="K12">
        <v>0</v>
      </c>
      <c r="L12">
        <v>2022.7</v>
      </c>
      <c r="M12">
        <v>0</v>
      </c>
      <c r="N12">
        <v>70.7</v>
      </c>
      <c r="O12">
        <v>115.16</v>
      </c>
      <c r="P12">
        <v>115.16</v>
      </c>
      <c r="Q12">
        <v>7.64</v>
      </c>
      <c r="R12">
        <v>7.76</v>
      </c>
      <c r="S12">
        <f t="shared" si="0"/>
        <v>2.4331321226951417</v>
      </c>
      <c r="T12">
        <f t="shared" si="1"/>
        <v>0.97801170779388702</v>
      </c>
      <c r="U12">
        <f t="shared" si="2"/>
        <v>0</v>
      </c>
      <c r="V12">
        <f t="shared" si="3"/>
        <v>909.35227463918795</v>
      </c>
      <c r="W12" t="str">
        <f t="shared" si="4"/>
        <v/>
      </c>
      <c r="X12">
        <f t="shared" si="5"/>
        <v>1450.4379635231962</v>
      </c>
      <c r="Y12" t="str">
        <f t="shared" si="6"/>
        <v/>
      </c>
      <c r="Z12">
        <f t="shared" si="7"/>
        <v>0.58296623721150087</v>
      </c>
      <c r="AA12">
        <f t="shared" si="8"/>
        <v>1.1399094980943878</v>
      </c>
      <c r="AB12">
        <f t="shared" si="9"/>
        <v>0.23973163108635168</v>
      </c>
      <c r="AC12">
        <f t="shared" si="10"/>
        <v>0.71887789016042958</v>
      </c>
      <c r="AD12">
        <f t="shared" si="11"/>
        <v>0.38844157630785781</v>
      </c>
    </row>
    <row r="13" spans="1:30">
      <c r="A13" t="s">
        <v>35</v>
      </c>
      <c r="B13" t="s">
        <v>31</v>
      </c>
      <c r="C13" t="s">
        <v>32</v>
      </c>
      <c r="D13" t="s">
        <v>33</v>
      </c>
      <c r="E13" s="2">
        <v>46041</v>
      </c>
      <c r="F13" t="s">
        <v>34</v>
      </c>
      <c r="G13">
        <v>154.4</v>
      </c>
      <c r="H13">
        <v>89.7</v>
      </c>
      <c r="I13">
        <v>-1957.8</v>
      </c>
      <c r="J13">
        <v>63.3</v>
      </c>
      <c r="K13">
        <v>0</v>
      </c>
      <c r="L13">
        <v>3</v>
      </c>
      <c r="M13">
        <v>0</v>
      </c>
      <c r="N13">
        <v>66.3</v>
      </c>
      <c r="O13">
        <v>111.5</v>
      </c>
      <c r="P13">
        <v>112.74</v>
      </c>
      <c r="Q13">
        <v>8.33</v>
      </c>
      <c r="R13">
        <v>8.6199999999999992</v>
      </c>
      <c r="S13">
        <f t="shared" si="0"/>
        <v>0.28962568188938764</v>
      </c>
      <c r="T13">
        <f t="shared" si="1"/>
        <v>1.3353318779815133</v>
      </c>
      <c r="U13">
        <f t="shared" si="2"/>
        <v>0</v>
      </c>
      <c r="V13">
        <f t="shared" si="3"/>
        <v>2.7446059250475261</v>
      </c>
      <c r="W13" t="str">
        <f t="shared" si="4"/>
        <v/>
      </c>
      <c r="X13">
        <f t="shared" si="5"/>
        <v>0.82557711396722377</v>
      </c>
      <c r="Y13" t="str">
        <f t="shared" si="6"/>
        <v/>
      </c>
      <c r="Z13">
        <f t="shared" si="7"/>
        <v>1.1633780490079795</v>
      </c>
      <c r="AA13">
        <f t="shared" si="8"/>
        <v>0.96719593777706525</v>
      </c>
      <c r="AB13">
        <f t="shared" si="9"/>
        <v>1.2312159387502284</v>
      </c>
      <c r="AC13">
        <f t="shared" si="10"/>
        <v>0.52072471839462575</v>
      </c>
      <c r="AD13">
        <f t="shared" si="11"/>
        <v>1.7626608636926409</v>
      </c>
    </row>
    <row r="14" spans="1:30">
      <c r="A14" t="s">
        <v>35</v>
      </c>
      <c r="B14" t="s">
        <v>31</v>
      </c>
      <c r="C14" t="s">
        <v>32</v>
      </c>
      <c r="D14" t="s">
        <v>33</v>
      </c>
      <c r="E14" s="2">
        <v>46041</v>
      </c>
      <c r="F14" t="s">
        <v>34</v>
      </c>
      <c r="G14">
        <v>154.80000000000001</v>
      </c>
      <c r="H14">
        <v>87</v>
      </c>
      <c r="I14">
        <v>-1957.8</v>
      </c>
      <c r="J14">
        <v>63.3</v>
      </c>
      <c r="K14">
        <v>0</v>
      </c>
      <c r="L14">
        <v>8.9</v>
      </c>
      <c r="M14">
        <v>0</v>
      </c>
      <c r="N14">
        <v>72.2</v>
      </c>
      <c r="O14">
        <v>111.79</v>
      </c>
      <c r="P14">
        <v>113.26</v>
      </c>
      <c r="Q14">
        <v>8.5</v>
      </c>
      <c r="R14">
        <v>8.86</v>
      </c>
      <c r="S14">
        <f t="shared" si="0"/>
        <v>0.35943998457104326</v>
      </c>
      <c r="T14">
        <f t="shared" si="1"/>
        <v>1.8713121332629541</v>
      </c>
      <c r="U14">
        <f t="shared" si="2"/>
        <v>0</v>
      </c>
      <c r="V14">
        <f t="shared" si="3"/>
        <v>2.7446059250475261</v>
      </c>
      <c r="W14" t="str">
        <f t="shared" si="4"/>
        <v/>
      </c>
      <c r="X14">
        <f t="shared" si="5"/>
        <v>5.060222397828416</v>
      </c>
      <c r="Y14" t="str">
        <f t="shared" si="6"/>
        <v/>
      </c>
      <c r="Z14">
        <f t="shared" si="7"/>
        <v>1.1783108802408684</v>
      </c>
      <c r="AA14">
        <f t="shared" si="8"/>
        <v>0.80023949613697376</v>
      </c>
      <c r="AB14">
        <f t="shared" si="9"/>
        <v>0.91514456010765144</v>
      </c>
      <c r="AC14">
        <f t="shared" si="10"/>
        <v>0.82613405673427676</v>
      </c>
      <c r="AD14">
        <f t="shared" si="11"/>
        <v>2.3629685213671996</v>
      </c>
    </row>
    <row r="15" spans="1:30">
      <c r="A15" t="s">
        <v>36</v>
      </c>
      <c r="B15" t="s">
        <v>37</v>
      </c>
      <c r="C15" t="s">
        <v>38</v>
      </c>
      <c r="D15" t="s">
        <v>39</v>
      </c>
      <c r="E15" s="2">
        <v>46042</v>
      </c>
      <c r="F15" t="s">
        <v>34</v>
      </c>
      <c r="G15">
        <v>98.1</v>
      </c>
      <c r="H15">
        <v>72.5</v>
      </c>
      <c r="I15">
        <v>-1957.8</v>
      </c>
      <c r="J15">
        <v>62.4</v>
      </c>
      <c r="K15">
        <v>0</v>
      </c>
      <c r="L15">
        <v>7.7</v>
      </c>
      <c r="M15">
        <v>0</v>
      </c>
      <c r="N15">
        <v>70.099999999999994</v>
      </c>
      <c r="O15">
        <v>112.16</v>
      </c>
      <c r="P15">
        <v>116.34</v>
      </c>
      <c r="Q15">
        <v>3.56</v>
      </c>
      <c r="R15">
        <v>3.56</v>
      </c>
      <c r="S15">
        <f t="shared" ref="S15:S23" si="12">IF(OR(G15=0,G15=""),"",ABS((G15-112.561871)/4.985957))</f>
        <v>2.9005206021632359</v>
      </c>
      <c r="T15">
        <f t="shared" ref="T15:T23" si="13">IF(OR(H15=0,H15=""),"",ABS((H15-80.720624)/2.821681))</f>
        <v>2.913378230919796</v>
      </c>
      <c r="U15">
        <f t="shared" si="2"/>
        <v>0</v>
      </c>
      <c r="V15">
        <f t="shared" ref="V15:V23" si="14">IF(OR(J15=0,J15=""),"",ABS((J15-69.348681)/1.912674))</f>
        <v>3.632966726164522</v>
      </c>
      <c r="W15" t="str">
        <f t="shared" si="4"/>
        <v/>
      </c>
      <c r="X15">
        <f t="shared" ref="X15:X23" si="15">IF(OR(L15=0,L15=""),"",ABS((L15-1.455283)/1.400093))</f>
        <v>4.4602158570894925</v>
      </c>
      <c r="Y15" t="str">
        <f t="shared" si="6"/>
        <v/>
      </c>
      <c r="Z15">
        <f t="shared" ref="Z15:Z23" si="16">IF(OR(N15=0,N15=""),"",ABS((N15-69.699041)/2.195614))</f>
        <v>0.18261816512374229</v>
      </c>
      <c r="AA15">
        <f t="shared" ref="AA15:AA23" si="17">IF(OR(O15=0,O15=""),"",ABS((O15-113.513094)/1.682996))</f>
        <v>0.80397933209585692</v>
      </c>
      <c r="AB15">
        <f t="shared" ref="AB15:AB23" si="18">IF(OR(P15=0,P15=""),"",ABS((P15-115.315492)/1.394108))</f>
        <v>0.73488424139306097</v>
      </c>
      <c r="AC15">
        <f t="shared" ref="AC15:AC23" si="19">IF(OR(Q15=0,Q15=""),"",ABS((Q15-3.821127)/0.150485))</f>
        <v>1.7352360700402041</v>
      </c>
      <c r="AD15">
        <f t="shared" ref="AD15:AD23" si="20">IF(OR(R15=0,R15=""),"",ABS((R15-3.848345)/0.156761))</f>
        <v>1.8393924509284838</v>
      </c>
    </row>
    <row r="16" spans="1:30">
      <c r="A16" t="s">
        <v>36</v>
      </c>
      <c r="B16" t="s">
        <v>37</v>
      </c>
      <c r="C16" t="s">
        <v>38</v>
      </c>
      <c r="D16" t="s">
        <v>39</v>
      </c>
      <c r="E16" s="2">
        <v>46042</v>
      </c>
      <c r="F16" t="s">
        <v>40</v>
      </c>
      <c r="G16">
        <v>102.1</v>
      </c>
      <c r="H16">
        <v>74.3</v>
      </c>
      <c r="I16">
        <v>-1957.8</v>
      </c>
      <c r="J16">
        <v>62.4</v>
      </c>
      <c r="K16">
        <v>0</v>
      </c>
      <c r="L16">
        <v>7.6</v>
      </c>
      <c r="M16">
        <v>0</v>
      </c>
      <c r="N16">
        <v>70</v>
      </c>
      <c r="O16">
        <v>115.24</v>
      </c>
      <c r="P16">
        <v>115.24</v>
      </c>
      <c r="Q16">
        <v>3.59</v>
      </c>
      <c r="R16">
        <v>3.69</v>
      </c>
      <c r="S16">
        <f t="shared" si="12"/>
        <v>2.0982673938022334</v>
      </c>
      <c r="T16">
        <f t="shared" si="13"/>
        <v>2.2754606208143318</v>
      </c>
      <c r="U16">
        <f t="shared" si="2"/>
        <v>0</v>
      </c>
      <c r="V16">
        <f t="shared" si="14"/>
        <v>3.632966726164522</v>
      </c>
      <c r="W16" t="str">
        <f t="shared" si="4"/>
        <v/>
      </c>
      <c r="X16">
        <f t="shared" si="15"/>
        <v>4.3887920302437049</v>
      </c>
      <c r="Y16" t="str">
        <f t="shared" si="6"/>
        <v/>
      </c>
      <c r="Z16">
        <f t="shared" si="16"/>
        <v>0.1370728188105951</v>
      </c>
      <c r="AA16">
        <f t="shared" si="17"/>
        <v>1.0260903769230585</v>
      </c>
      <c r="AB16">
        <f t="shared" si="18"/>
        <v>5.4150754460924995E-2</v>
      </c>
      <c r="AC16">
        <f t="shared" si="19"/>
        <v>1.5358806525567352</v>
      </c>
      <c r="AD16">
        <f t="shared" si="20"/>
        <v>1.0101045540663824</v>
      </c>
    </row>
    <row r="17" spans="1:30">
      <c r="A17" t="s">
        <v>36</v>
      </c>
      <c r="B17" t="s">
        <v>37</v>
      </c>
      <c r="C17" t="s">
        <v>38</v>
      </c>
      <c r="D17" t="s">
        <v>39</v>
      </c>
      <c r="E17" s="2">
        <v>46043</v>
      </c>
      <c r="F17" t="s">
        <v>40</v>
      </c>
      <c r="G17">
        <v>101.7</v>
      </c>
      <c r="H17">
        <v>74.8</v>
      </c>
      <c r="I17">
        <v>-1957.8</v>
      </c>
      <c r="J17">
        <v>65.5</v>
      </c>
      <c r="K17">
        <v>0</v>
      </c>
      <c r="L17">
        <v>2.7</v>
      </c>
      <c r="M17">
        <v>0</v>
      </c>
      <c r="N17">
        <v>68.2</v>
      </c>
      <c r="O17">
        <v>112.23</v>
      </c>
      <c r="P17">
        <v>116.63</v>
      </c>
      <c r="Q17">
        <v>3.42</v>
      </c>
      <c r="R17">
        <v>3.52</v>
      </c>
      <c r="S17">
        <f t="shared" si="12"/>
        <v>2.1784927146383319</v>
      </c>
      <c r="T17">
        <f t="shared" si="13"/>
        <v>2.0982612846739244</v>
      </c>
      <c r="U17">
        <f t="shared" si="2"/>
        <v>0</v>
      </c>
      <c r="V17">
        <f t="shared" si="14"/>
        <v>2.0121991515543156</v>
      </c>
      <c r="W17" t="str">
        <f t="shared" si="4"/>
        <v/>
      </c>
      <c r="X17">
        <f t="shared" si="15"/>
        <v>0.88902451480008826</v>
      </c>
      <c r="Y17" t="str">
        <f t="shared" si="6"/>
        <v/>
      </c>
      <c r="Z17">
        <f t="shared" si="16"/>
        <v>0.68274341482609935</v>
      </c>
      <c r="AA17">
        <f t="shared" si="17"/>
        <v>0.76238683870905888</v>
      </c>
      <c r="AB17">
        <f t="shared" si="18"/>
        <v>0.94290255848183169</v>
      </c>
      <c r="AC17">
        <f t="shared" si="19"/>
        <v>2.6655613516297318</v>
      </c>
      <c r="AD17">
        <f t="shared" si="20"/>
        <v>2.0945579576552849</v>
      </c>
    </row>
    <row r="18" spans="1:30">
      <c r="A18" t="s">
        <v>36</v>
      </c>
      <c r="B18" t="s">
        <v>37</v>
      </c>
      <c r="C18" t="s">
        <v>38</v>
      </c>
      <c r="D18" t="s">
        <v>39</v>
      </c>
      <c r="E18" s="2">
        <v>46043</v>
      </c>
      <c r="F18" t="s">
        <v>40</v>
      </c>
      <c r="G18">
        <v>96.3</v>
      </c>
      <c r="H18">
        <v>76.599999999999994</v>
      </c>
      <c r="I18">
        <v>-1957.8</v>
      </c>
      <c r="J18">
        <v>65.5</v>
      </c>
      <c r="K18">
        <v>0</v>
      </c>
      <c r="L18">
        <v>4.2</v>
      </c>
      <c r="M18">
        <v>0</v>
      </c>
      <c r="N18">
        <v>69.7</v>
      </c>
      <c r="O18">
        <v>114.94</v>
      </c>
      <c r="P18">
        <v>114.58</v>
      </c>
      <c r="Q18">
        <v>3.52</v>
      </c>
      <c r="R18">
        <v>3.64</v>
      </c>
      <c r="S18">
        <f t="shared" si="12"/>
        <v>3.2615345459256866</v>
      </c>
      <c r="T18">
        <f t="shared" si="13"/>
        <v>1.4603436745684599</v>
      </c>
      <c r="U18">
        <f t="shared" si="2"/>
        <v>0</v>
      </c>
      <c r="V18">
        <f t="shared" si="14"/>
        <v>2.0121991515543156</v>
      </c>
      <c r="W18" t="str">
        <f t="shared" si="4"/>
        <v/>
      </c>
      <c r="X18">
        <f t="shared" si="15"/>
        <v>1.9603819174869097</v>
      </c>
      <c r="Y18" t="str">
        <f t="shared" si="6"/>
        <v/>
      </c>
      <c r="Z18">
        <f t="shared" si="16"/>
        <v>4.3677987114712057E-4</v>
      </c>
      <c r="AA18">
        <f t="shared" si="17"/>
        <v>0.84783683383680208</v>
      </c>
      <c r="AB18">
        <f t="shared" si="18"/>
        <v>0.52757175197331041</v>
      </c>
      <c r="AC18">
        <f t="shared" si="19"/>
        <v>2.0010432933514979</v>
      </c>
      <c r="AD18">
        <f t="shared" si="20"/>
        <v>1.3290614374748821</v>
      </c>
    </row>
    <row r="19" spans="1:30">
      <c r="A19" t="s">
        <v>36</v>
      </c>
      <c r="B19" t="s">
        <v>37</v>
      </c>
      <c r="C19" t="s">
        <v>38</v>
      </c>
      <c r="D19" t="s">
        <v>39</v>
      </c>
      <c r="E19" s="2">
        <v>46044</v>
      </c>
      <c r="F19" t="s">
        <v>40</v>
      </c>
      <c r="G19">
        <v>105.7</v>
      </c>
      <c r="H19">
        <v>79.3</v>
      </c>
      <c r="I19">
        <v>-1957.8</v>
      </c>
      <c r="J19">
        <v>65</v>
      </c>
      <c r="K19">
        <v>0</v>
      </c>
      <c r="L19">
        <v>6.6</v>
      </c>
      <c r="M19">
        <v>0</v>
      </c>
      <c r="N19">
        <v>71.599999999999994</v>
      </c>
      <c r="O19">
        <v>111.94</v>
      </c>
      <c r="P19">
        <v>113.55</v>
      </c>
      <c r="Q19">
        <v>3.83</v>
      </c>
      <c r="R19">
        <v>3.86</v>
      </c>
      <c r="S19">
        <f t="shared" si="12"/>
        <v>1.3762395062773292</v>
      </c>
      <c r="T19">
        <f t="shared" si="13"/>
        <v>0.50346725941026071</v>
      </c>
      <c r="U19">
        <f t="shared" si="2"/>
        <v>0</v>
      </c>
      <c r="V19">
        <f t="shared" si="14"/>
        <v>2.2736132764914454</v>
      </c>
      <c r="W19" t="str">
        <f t="shared" si="4"/>
        <v/>
      </c>
      <c r="X19">
        <f t="shared" si="15"/>
        <v>3.6745537617858242</v>
      </c>
      <c r="Y19" t="str">
        <f t="shared" si="6"/>
        <v/>
      </c>
      <c r="Z19">
        <f t="shared" si="16"/>
        <v>0.86579835982098874</v>
      </c>
      <c r="AA19">
        <f t="shared" si="17"/>
        <v>0.93469859702577884</v>
      </c>
      <c r="AB19">
        <f t="shared" si="18"/>
        <v>1.2663954299093105</v>
      </c>
      <c r="AC19">
        <f t="shared" si="19"/>
        <v>5.8962687311027065E-2</v>
      </c>
      <c r="AD19">
        <f t="shared" si="20"/>
        <v>7.4348849522519939E-2</v>
      </c>
    </row>
    <row r="20" spans="1:30">
      <c r="A20" t="s">
        <v>36</v>
      </c>
      <c r="B20" t="s">
        <v>37</v>
      </c>
      <c r="C20" t="s">
        <v>38</v>
      </c>
      <c r="D20" t="s">
        <v>39</v>
      </c>
      <c r="E20" s="2">
        <v>46044</v>
      </c>
      <c r="F20" t="s">
        <v>34</v>
      </c>
      <c r="G20">
        <v>104.4</v>
      </c>
      <c r="H20">
        <v>80.2</v>
      </c>
      <c r="I20">
        <v>-1957.8</v>
      </c>
      <c r="J20">
        <v>65</v>
      </c>
      <c r="K20">
        <v>0</v>
      </c>
      <c r="L20">
        <v>6.9</v>
      </c>
      <c r="M20">
        <v>0</v>
      </c>
      <c r="N20">
        <v>71.900000000000006</v>
      </c>
      <c r="O20">
        <v>111.86</v>
      </c>
      <c r="P20">
        <v>113.48</v>
      </c>
      <c r="Q20">
        <v>3.86</v>
      </c>
      <c r="R20">
        <v>3.96</v>
      </c>
      <c r="S20">
        <f t="shared" si="12"/>
        <v>1.6369717989946546</v>
      </c>
      <c r="T20">
        <f t="shared" si="13"/>
        <v>0.18450845435752589</v>
      </c>
      <c r="U20">
        <f t="shared" si="2"/>
        <v>0</v>
      </c>
      <c r="V20">
        <f t="shared" si="14"/>
        <v>2.2736132764914454</v>
      </c>
      <c r="W20" t="str">
        <f t="shared" si="4"/>
        <v/>
      </c>
      <c r="X20">
        <f t="shared" si="15"/>
        <v>3.8888252423231888</v>
      </c>
      <c r="Y20" t="str">
        <f t="shared" si="6"/>
        <v/>
      </c>
      <c r="Z20">
        <f t="shared" si="16"/>
        <v>1.0024343987604432</v>
      </c>
      <c r="AA20">
        <f t="shared" si="17"/>
        <v>0.98223287518211322</v>
      </c>
      <c r="AB20">
        <f t="shared" si="18"/>
        <v>1.3166067478272863</v>
      </c>
      <c r="AC20">
        <f t="shared" si="19"/>
        <v>0.25831810479449585</v>
      </c>
      <c r="AD20">
        <f t="shared" si="20"/>
        <v>0.71226261633952215</v>
      </c>
    </row>
    <row r="21" spans="1:30">
      <c r="A21" t="s">
        <v>36</v>
      </c>
      <c r="B21" t="s">
        <v>37</v>
      </c>
      <c r="C21" t="s">
        <v>38</v>
      </c>
      <c r="D21" t="s">
        <v>39</v>
      </c>
      <c r="E21" s="2">
        <v>46044</v>
      </c>
      <c r="F21" t="s">
        <v>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tr">
        <f t="shared" si="12"/>
        <v/>
      </c>
      <c r="T21" t="str">
        <f t="shared" si="13"/>
        <v/>
      </c>
      <c r="U21" t="str">
        <f t="shared" si="2"/>
        <v/>
      </c>
      <c r="V21" t="str">
        <f t="shared" si="14"/>
        <v/>
      </c>
      <c r="W21" t="str">
        <f t="shared" si="4"/>
        <v/>
      </c>
      <c r="X21" t="str">
        <f t="shared" si="15"/>
        <v/>
      </c>
      <c r="Y21" t="str">
        <f t="shared" si="6"/>
        <v/>
      </c>
      <c r="Z21" t="str">
        <f t="shared" si="16"/>
        <v/>
      </c>
      <c r="AA21" t="str">
        <f t="shared" si="17"/>
        <v/>
      </c>
      <c r="AB21" t="str">
        <f t="shared" si="18"/>
        <v/>
      </c>
      <c r="AC21" t="str">
        <f t="shared" si="19"/>
        <v/>
      </c>
      <c r="AD21" t="str">
        <f t="shared" si="20"/>
        <v/>
      </c>
    </row>
    <row r="22" spans="1:30">
      <c r="A22" t="s">
        <v>36</v>
      </c>
      <c r="B22" t="s">
        <v>37</v>
      </c>
      <c r="C22" t="s">
        <v>38</v>
      </c>
      <c r="D22" t="s">
        <v>39</v>
      </c>
      <c r="E22" s="2">
        <v>46044</v>
      </c>
      <c r="F22" t="s">
        <v>34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f t="shared" si="12"/>
        <v/>
      </c>
      <c r="T22" t="str">
        <f t="shared" si="13"/>
        <v/>
      </c>
      <c r="U22" t="str">
        <f t="shared" si="2"/>
        <v/>
      </c>
      <c r="V22" t="str">
        <f t="shared" si="14"/>
        <v/>
      </c>
      <c r="W22" t="str">
        <f t="shared" si="4"/>
        <v/>
      </c>
      <c r="X22" t="str">
        <f t="shared" si="15"/>
        <v/>
      </c>
      <c r="Y22" t="str">
        <f t="shared" si="6"/>
        <v/>
      </c>
      <c r="Z22" t="str">
        <f t="shared" si="16"/>
        <v/>
      </c>
      <c r="AA22" t="str">
        <f t="shared" si="17"/>
        <v/>
      </c>
      <c r="AB22" t="str">
        <f t="shared" si="18"/>
        <v/>
      </c>
      <c r="AC22" t="str">
        <f t="shared" si="19"/>
        <v/>
      </c>
      <c r="AD22" t="str">
        <f t="shared" si="20"/>
        <v/>
      </c>
    </row>
    <row r="23" spans="1:30">
      <c r="A23" t="s">
        <v>36</v>
      </c>
      <c r="B23" t="s">
        <v>37</v>
      </c>
      <c r="C23" t="s">
        <v>38</v>
      </c>
      <c r="D23" t="s">
        <v>39</v>
      </c>
      <c r="E23" s="2">
        <v>46049</v>
      </c>
      <c r="F23" t="s">
        <v>34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tr">
        <f t="shared" si="12"/>
        <v/>
      </c>
      <c r="T23" t="str">
        <f t="shared" si="13"/>
        <v/>
      </c>
      <c r="U23" t="str">
        <f t="shared" si="2"/>
        <v/>
      </c>
      <c r="V23" t="str">
        <f t="shared" si="14"/>
        <v/>
      </c>
      <c r="W23" t="str">
        <f t="shared" si="4"/>
        <v/>
      </c>
      <c r="X23" t="str">
        <f t="shared" si="15"/>
        <v/>
      </c>
      <c r="Y23" t="str">
        <f t="shared" si="6"/>
        <v/>
      </c>
      <c r="Z23" t="str">
        <f t="shared" si="16"/>
        <v/>
      </c>
      <c r="AA23" t="str">
        <f t="shared" si="17"/>
        <v/>
      </c>
      <c r="AB23" t="str">
        <f t="shared" si="18"/>
        <v/>
      </c>
      <c r="AC23" t="str">
        <f t="shared" si="19"/>
        <v/>
      </c>
      <c r="AD23" t="str">
        <f t="shared" si="20"/>
        <v/>
      </c>
    </row>
    <row r="24" spans="1:30">
      <c r="A24" t="s">
        <v>41</v>
      </c>
      <c r="B24" t="s">
        <v>31</v>
      </c>
      <c r="C24" t="s">
        <v>32</v>
      </c>
      <c r="D24" t="s">
        <v>33</v>
      </c>
      <c r="E24" s="2">
        <v>46053</v>
      </c>
      <c r="F24" t="s">
        <v>34</v>
      </c>
      <c r="G24">
        <v>136.1</v>
      </c>
      <c r="H24">
        <v>87</v>
      </c>
      <c r="I24">
        <v>-1957.8</v>
      </c>
      <c r="J24">
        <v>53.9</v>
      </c>
      <c r="K24">
        <v>0</v>
      </c>
      <c r="L24">
        <v>9.8000000000000007</v>
      </c>
      <c r="M24">
        <v>0</v>
      </c>
      <c r="N24">
        <v>63.7</v>
      </c>
      <c r="O24">
        <v>111.57</v>
      </c>
      <c r="P24">
        <v>113.18</v>
      </c>
      <c r="Q24">
        <v>8.4</v>
      </c>
      <c r="R24">
        <v>8.1300000000000008</v>
      </c>
      <c r="S24">
        <f t="shared" ref="S24:S31" si="21">IF(OR(G24=0,G24=""),"",ABS((G24-152.740594)/5.729485))</f>
        <v>2.9043786657963135</v>
      </c>
      <c r="T24">
        <f t="shared" ref="T24:T31" si="22">IF(OR(H24=0,H24=""),"",ABS((H24-96.426733)/5.037499))</f>
        <v>1.8713121332629541</v>
      </c>
      <c r="U24">
        <f t="shared" si="2"/>
        <v>0</v>
      </c>
      <c r="V24">
        <f t="shared" ref="V24:V31" si="23">IF(OR(J24=0,J24=""),"",ABS((J24-69.40099)/2.222902))</f>
        <v>6.9733123637479268</v>
      </c>
      <c r="W24" t="str">
        <f t="shared" si="4"/>
        <v/>
      </c>
      <c r="X24">
        <f t="shared" ref="X24:X31" si="24">IF(OR(L24=0,L24=""),"",ABS((L24-1.849749)/1.393269))</f>
        <v>5.7061852377394455</v>
      </c>
      <c r="Y24" t="str">
        <f t="shared" si="6"/>
        <v/>
      </c>
      <c r="Z24">
        <f t="shared" ref="Z24:Z31" si="25">IF(OR(N24=0,N24=""),"",ABS((N24-69.231188)/2.519549))</f>
        <v>2.1953087635922142</v>
      </c>
      <c r="AA24">
        <f t="shared" ref="AA24:AA31" si="26">IF(OR(O24=0,O24=""),"",ABS((O24-113.18)/1.73698))</f>
        <v>0.92689610703635827</v>
      </c>
      <c r="AB24">
        <f t="shared" ref="AB24:AB31" si="27">IF(OR(P24=0,P24=""),"",ABS((P24-114.765594)/1.645198))</f>
        <v>0.96377092605266124</v>
      </c>
      <c r="AC24">
        <f t="shared" ref="AC24:AC31" si="28">IF(OR(Q24=0,Q24=""),"",ABS((Q24-8.040149)/0.55663))</f>
        <v>0.64648150476977673</v>
      </c>
      <c r="AD24">
        <f t="shared" ref="AD24:AD31" si="29">IF(OR(R24=0,R24=""),"",ABS((R24-7.915297)/0.399795))</f>
        <v>0.53703272927375523</v>
      </c>
    </row>
    <row r="25" spans="1:30">
      <c r="A25" t="s">
        <v>41</v>
      </c>
      <c r="B25" t="s">
        <v>31</v>
      </c>
      <c r="C25" t="s">
        <v>32</v>
      </c>
      <c r="D25" t="s">
        <v>33</v>
      </c>
      <c r="E25" s="2">
        <v>46053</v>
      </c>
      <c r="F25" t="s">
        <v>34</v>
      </c>
      <c r="G25">
        <v>145.9</v>
      </c>
      <c r="H25">
        <v>87.4</v>
      </c>
      <c r="I25">
        <v>-1957.8</v>
      </c>
      <c r="J25">
        <v>53.9</v>
      </c>
      <c r="K25">
        <v>0</v>
      </c>
      <c r="L25">
        <v>9.6</v>
      </c>
      <c r="M25">
        <v>0</v>
      </c>
      <c r="N25">
        <v>63.5</v>
      </c>
      <c r="O25">
        <v>113.4</v>
      </c>
      <c r="P25">
        <v>113.4</v>
      </c>
      <c r="Q25">
        <v>7.57</v>
      </c>
      <c r="R25">
        <v>7.67</v>
      </c>
      <c r="S25">
        <f t="shared" si="21"/>
        <v>1.1939282500957733</v>
      </c>
      <c r="T25">
        <f t="shared" si="22"/>
        <v>1.7919076509990359</v>
      </c>
      <c r="U25">
        <f t="shared" si="2"/>
        <v>0</v>
      </c>
      <c r="V25">
        <f t="shared" si="23"/>
        <v>6.9733123637479268</v>
      </c>
      <c r="W25" t="str">
        <f t="shared" si="4"/>
        <v/>
      </c>
      <c r="X25">
        <f t="shared" si="24"/>
        <v>5.562637939981439</v>
      </c>
      <c r="Y25" t="str">
        <f t="shared" si="6"/>
        <v/>
      </c>
      <c r="Z25">
        <f t="shared" si="25"/>
        <v>2.2746880493294643</v>
      </c>
      <c r="AA25">
        <f t="shared" si="26"/>
        <v>0.12665661089937644</v>
      </c>
      <c r="AB25">
        <f t="shared" si="27"/>
        <v>0.8300484197038821</v>
      </c>
      <c r="AC25">
        <f t="shared" si="28"/>
        <v>0.84463467653557889</v>
      </c>
      <c r="AD25">
        <f t="shared" si="29"/>
        <v>0.61355694793581683</v>
      </c>
    </row>
    <row r="26" spans="1:30">
      <c r="A26" t="s">
        <v>42</v>
      </c>
      <c r="B26" t="s">
        <v>31</v>
      </c>
      <c r="C26" t="s">
        <v>32</v>
      </c>
      <c r="D26" t="s">
        <v>33</v>
      </c>
      <c r="E26" s="2">
        <v>46056</v>
      </c>
      <c r="F26" t="s">
        <v>34</v>
      </c>
      <c r="G26">
        <v>103.5</v>
      </c>
      <c r="H26">
        <v>74.3</v>
      </c>
      <c r="I26">
        <v>-1957.8</v>
      </c>
      <c r="J26">
        <v>61</v>
      </c>
      <c r="K26">
        <v>0</v>
      </c>
      <c r="L26">
        <v>8.1</v>
      </c>
      <c r="M26">
        <v>0</v>
      </c>
      <c r="N26">
        <v>69.099999999999994</v>
      </c>
      <c r="O26">
        <v>111.86</v>
      </c>
      <c r="P26">
        <v>113.18</v>
      </c>
      <c r="Q26">
        <v>6.37</v>
      </c>
      <c r="R26">
        <v>6.81</v>
      </c>
      <c r="S26">
        <f t="shared" si="21"/>
        <v>8.5942443343511652</v>
      </c>
      <c r="T26">
        <f t="shared" si="22"/>
        <v>4.3924044451423212</v>
      </c>
      <c r="U26">
        <f t="shared" si="2"/>
        <v>0</v>
      </c>
      <c r="V26">
        <f t="shared" si="23"/>
        <v>3.779289415367836</v>
      </c>
      <c r="W26" t="str">
        <f t="shared" si="4"/>
        <v/>
      </c>
      <c r="X26">
        <f t="shared" si="24"/>
        <v>4.4860332067963897</v>
      </c>
      <c r="Y26" t="str">
        <f t="shared" si="6"/>
        <v/>
      </c>
      <c r="Z26">
        <f t="shared" si="25"/>
        <v>5.2068048686494582E-2</v>
      </c>
      <c r="AA26">
        <f t="shared" si="26"/>
        <v>0.75993966539626678</v>
      </c>
      <c r="AB26">
        <f t="shared" si="27"/>
        <v>0.96377092605266124</v>
      </c>
      <c r="AC26">
        <f t="shared" si="28"/>
        <v>3.0004653001095871</v>
      </c>
      <c r="AD26">
        <f t="shared" si="29"/>
        <v>2.7646593879363177</v>
      </c>
    </row>
    <row r="27" spans="1:30">
      <c r="A27" t="s">
        <v>43</v>
      </c>
      <c r="B27" t="s">
        <v>31</v>
      </c>
      <c r="C27" t="s">
        <v>32</v>
      </c>
      <c r="D27" t="s">
        <v>33</v>
      </c>
      <c r="E27" s="2">
        <v>46056</v>
      </c>
      <c r="F27" t="s">
        <v>34</v>
      </c>
      <c r="G27">
        <v>110.6</v>
      </c>
      <c r="H27">
        <v>77.5</v>
      </c>
      <c r="I27">
        <v>-1957.8</v>
      </c>
      <c r="J27">
        <v>61</v>
      </c>
      <c r="K27">
        <v>0</v>
      </c>
      <c r="L27">
        <v>8.3000000000000007</v>
      </c>
      <c r="M27">
        <v>0</v>
      </c>
      <c r="N27">
        <v>69.3</v>
      </c>
      <c r="O27">
        <v>115.31</v>
      </c>
      <c r="P27">
        <v>115.24</v>
      </c>
      <c r="Q27">
        <v>6.74</v>
      </c>
      <c r="R27">
        <v>7.06</v>
      </c>
      <c r="S27">
        <f t="shared" si="21"/>
        <v>7.3550404617517966</v>
      </c>
      <c r="T27">
        <f t="shared" si="22"/>
        <v>3.7571685870309843</v>
      </c>
      <c r="U27">
        <f t="shared" si="2"/>
        <v>0</v>
      </c>
      <c r="V27">
        <f t="shared" si="23"/>
        <v>3.779289415367836</v>
      </c>
      <c r="W27" t="str">
        <f t="shared" si="4"/>
        <v/>
      </c>
      <c r="X27">
        <f t="shared" si="24"/>
        <v>4.6295805045543972</v>
      </c>
      <c r="Y27" t="str">
        <f t="shared" si="6"/>
        <v/>
      </c>
      <c r="Z27">
        <f t="shared" si="25"/>
        <v>2.7311237050755551E-2</v>
      </c>
      <c r="AA27">
        <f t="shared" si="26"/>
        <v>1.2262662782530573</v>
      </c>
      <c r="AB27">
        <f t="shared" si="27"/>
        <v>0.2883579970313615</v>
      </c>
      <c r="AC27">
        <f t="shared" si="28"/>
        <v>2.3357508578409347</v>
      </c>
      <c r="AD27">
        <f t="shared" si="29"/>
        <v>2.1393389111919863</v>
      </c>
    </row>
    <row r="28" spans="1:30">
      <c r="A28" t="s">
        <v>43</v>
      </c>
      <c r="B28" t="s">
        <v>31</v>
      </c>
      <c r="C28" t="s">
        <v>32</v>
      </c>
      <c r="D28" t="s">
        <v>33</v>
      </c>
      <c r="E28" s="2">
        <v>46059</v>
      </c>
      <c r="F28" t="s">
        <v>34</v>
      </c>
      <c r="G28">
        <v>121.3</v>
      </c>
      <c r="H28">
        <v>91.5</v>
      </c>
      <c r="I28">
        <v>-1957.8</v>
      </c>
      <c r="J28">
        <v>59.2</v>
      </c>
      <c r="K28">
        <v>0</v>
      </c>
      <c r="L28">
        <v>8.8000000000000007</v>
      </c>
      <c r="M28">
        <v>0</v>
      </c>
      <c r="N28">
        <v>68</v>
      </c>
      <c r="O28">
        <v>111.86</v>
      </c>
      <c r="P28">
        <v>113.48</v>
      </c>
      <c r="Q28">
        <v>8.3699999999999992</v>
      </c>
      <c r="R28">
        <v>8.08</v>
      </c>
      <c r="S28">
        <f t="shared" si="21"/>
        <v>5.487507865017534</v>
      </c>
      <c r="T28">
        <f t="shared" si="22"/>
        <v>0.97801170779388702</v>
      </c>
      <c r="U28">
        <f t="shared" si="2"/>
        <v>0</v>
      </c>
      <c r="V28">
        <f t="shared" si="23"/>
        <v>4.5890417121402525</v>
      </c>
      <c r="W28" t="str">
        <f t="shared" si="4"/>
        <v/>
      </c>
      <c r="X28">
        <f t="shared" si="24"/>
        <v>4.9884487489494136</v>
      </c>
      <c r="Y28" t="str">
        <f t="shared" si="6"/>
        <v/>
      </c>
      <c r="Z28">
        <f t="shared" si="25"/>
        <v>0.48865412024136184</v>
      </c>
      <c r="AA28">
        <f t="shared" si="26"/>
        <v>0.75993966539626678</v>
      </c>
      <c r="AB28">
        <f t="shared" si="27"/>
        <v>0.78142205375887219</v>
      </c>
      <c r="AC28">
        <f t="shared" si="28"/>
        <v>0.59258573918042456</v>
      </c>
      <c r="AD28">
        <f t="shared" si="29"/>
        <v>0.41196863392488714</v>
      </c>
    </row>
    <row r="29" spans="1:30">
      <c r="A29" t="s">
        <v>43</v>
      </c>
      <c r="B29" t="s">
        <v>31</v>
      </c>
      <c r="C29" t="s">
        <v>32</v>
      </c>
      <c r="D29" t="s">
        <v>33</v>
      </c>
      <c r="E29" s="2">
        <v>46059</v>
      </c>
      <c r="F29" t="s">
        <v>34</v>
      </c>
      <c r="G29">
        <v>124.9</v>
      </c>
      <c r="H29">
        <v>91</v>
      </c>
      <c r="I29">
        <v>-1957.8</v>
      </c>
      <c r="J29">
        <v>59.2</v>
      </c>
      <c r="K29">
        <v>0</v>
      </c>
      <c r="L29">
        <v>9.1</v>
      </c>
      <c r="M29">
        <v>0</v>
      </c>
      <c r="N29">
        <v>68.3</v>
      </c>
      <c r="O29">
        <v>115.02</v>
      </c>
      <c r="P29">
        <v>114.87</v>
      </c>
      <c r="Q29">
        <v>7.62</v>
      </c>
      <c r="R29">
        <v>7.71</v>
      </c>
      <c r="S29">
        <f t="shared" si="21"/>
        <v>4.8591791408826408</v>
      </c>
      <c r="T29">
        <f t="shared" si="22"/>
        <v>1.0772673106237833</v>
      </c>
      <c r="U29">
        <f t="shared" si="2"/>
        <v>0</v>
      </c>
      <c r="V29">
        <f t="shared" si="23"/>
        <v>4.5890417121402525</v>
      </c>
      <c r="W29" t="str">
        <f t="shared" si="4"/>
        <v/>
      </c>
      <c r="X29">
        <f t="shared" si="24"/>
        <v>5.2037696955864226</v>
      </c>
      <c r="Y29" t="str">
        <f t="shared" si="6"/>
        <v/>
      </c>
      <c r="Z29">
        <f t="shared" si="25"/>
        <v>0.36958519163548947</v>
      </c>
      <c r="AA29">
        <f t="shared" si="26"/>
        <v>1.0593098366129658</v>
      </c>
      <c r="AB29">
        <f t="shared" si="27"/>
        <v>6.3461054535692091E-2</v>
      </c>
      <c r="AC29">
        <f t="shared" si="28"/>
        <v>0.75480840055332887</v>
      </c>
      <c r="AD29">
        <f t="shared" si="29"/>
        <v>0.51350567165672367</v>
      </c>
    </row>
    <row r="30" spans="1:30">
      <c r="A30" t="s">
        <v>43</v>
      </c>
      <c r="B30" t="s">
        <v>31</v>
      </c>
      <c r="C30" t="s">
        <v>32</v>
      </c>
      <c r="D30" t="s">
        <v>33</v>
      </c>
      <c r="E30" s="2">
        <v>46060</v>
      </c>
      <c r="F30" t="s">
        <v>34</v>
      </c>
      <c r="G30">
        <v>107.9</v>
      </c>
      <c r="H30">
        <v>86.5</v>
      </c>
      <c r="I30">
        <v>-1957.8</v>
      </c>
      <c r="J30">
        <v>61</v>
      </c>
      <c r="K30">
        <v>0</v>
      </c>
      <c r="L30">
        <v>7.5</v>
      </c>
      <c r="M30">
        <v>0</v>
      </c>
      <c r="N30">
        <v>68.5</v>
      </c>
      <c r="O30">
        <v>115.82</v>
      </c>
      <c r="P30">
        <v>117</v>
      </c>
      <c r="Q30">
        <v>6.64</v>
      </c>
      <c r="R30">
        <v>7.25</v>
      </c>
      <c r="S30">
        <f t="shared" si="21"/>
        <v>7.8262870048529631</v>
      </c>
      <c r="T30">
        <f t="shared" si="22"/>
        <v>1.9705677360928504</v>
      </c>
      <c r="U30">
        <f t="shared" si="2"/>
        <v>0</v>
      </c>
      <c r="V30">
        <f t="shared" si="23"/>
        <v>3.779289415367836</v>
      </c>
      <c r="W30" t="str">
        <f t="shared" si="4"/>
        <v/>
      </c>
      <c r="X30">
        <f t="shared" si="24"/>
        <v>4.05539131352237</v>
      </c>
      <c r="Y30" t="str">
        <f t="shared" si="6"/>
        <v/>
      </c>
      <c r="Z30">
        <f t="shared" si="25"/>
        <v>0.29020590589823936</v>
      </c>
      <c r="AA30">
        <f t="shared" si="26"/>
        <v>1.5198793307925171</v>
      </c>
      <c r="AB30">
        <f t="shared" si="27"/>
        <v>1.3581380478216039</v>
      </c>
      <c r="AC30">
        <f t="shared" si="28"/>
        <v>2.5154034098054363</v>
      </c>
      <c r="AD30">
        <f t="shared" si="29"/>
        <v>1.6640953488662935</v>
      </c>
    </row>
    <row r="31" spans="1:30">
      <c r="A31" t="s">
        <v>43</v>
      </c>
      <c r="B31" t="s">
        <v>31</v>
      </c>
      <c r="C31" t="s">
        <v>32</v>
      </c>
      <c r="D31" t="s">
        <v>33</v>
      </c>
      <c r="E31" s="2">
        <v>46060</v>
      </c>
      <c r="F31" t="s">
        <v>34</v>
      </c>
      <c r="G31">
        <v>126.7</v>
      </c>
      <c r="H31">
        <v>90.1</v>
      </c>
      <c r="I31">
        <v>-1957.8</v>
      </c>
      <c r="J31">
        <v>61</v>
      </c>
      <c r="K31">
        <v>0</v>
      </c>
      <c r="L31">
        <v>7.5</v>
      </c>
      <c r="M31">
        <v>0</v>
      </c>
      <c r="N31">
        <v>68.5</v>
      </c>
      <c r="O31">
        <v>110.84</v>
      </c>
      <c r="P31">
        <v>116.56</v>
      </c>
      <c r="Q31">
        <v>7.57</v>
      </c>
      <c r="R31">
        <v>7.67</v>
      </c>
      <c r="S31">
        <f t="shared" si="21"/>
        <v>4.5450147788151956</v>
      </c>
      <c r="T31">
        <f t="shared" si="22"/>
        <v>1.255927395717598</v>
      </c>
      <c r="U31">
        <f t="shared" si="2"/>
        <v>0</v>
      </c>
      <c r="V31">
        <f t="shared" si="23"/>
        <v>3.779289415367836</v>
      </c>
      <c r="W31" t="str">
        <f t="shared" si="4"/>
        <v/>
      </c>
      <c r="X31">
        <f t="shared" si="24"/>
        <v>4.05539131352237</v>
      </c>
      <c r="Y31" t="str">
        <f t="shared" si="6"/>
        <v/>
      </c>
      <c r="Z31">
        <f t="shared" si="25"/>
        <v>0.29020590589823936</v>
      </c>
      <c r="AA31">
        <f t="shared" si="26"/>
        <v>1.3471657704751945</v>
      </c>
      <c r="AB31">
        <f t="shared" si="27"/>
        <v>1.0906930351240454</v>
      </c>
      <c r="AC31">
        <f t="shared" si="28"/>
        <v>0.84463467653557889</v>
      </c>
      <c r="AD31">
        <f t="shared" si="29"/>
        <v>0.61355694793581683</v>
      </c>
    </row>
    <row r="32" spans="1:30">
      <c r="A32" t="s">
        <v>36</v>
      </c>
      <c r="B32" t="s">
        <v>37</v>
      </c>
      <c r="C32" t="s">
        <v>38</v>
      </c>
      <c r="D32" t="s">
        <v>39</v>
      </c>
      <c r="E32" s="2">
        <v>46060</v>
      </c>
      <c r="F32" t="s">
        <v>34</v>
      </c>
      <c r="G32">
        <v>101.2</v>
      </c>
      <c r="H32">
        <v>71.2</v>
      </c>
      <c r="I32">
        <v>-1957.8</v>
      </c>
      <c r="J32">
        <v>61</v>
      </c>
      <c r="K32">
        <v>0</v>
      </c>
      <c r="L32">
        <v>7.5</v>
      </c>
      <c r="M32">
        <v>0</v>
      </c>
      <c r="N32">
        <v>68.5</v>
      </c>
      <c r="O32">
        <v>111.79</v>
      </c>
      <c r="P32">
        <v>116.56</v>
      </c>
      <c r="Q32">
        <v>3.64</v>
      </c>
      <c r="R32">
        <v>3.66</v>
      </c>
      <c r="S32">
        <f>IF(OR(G32=0,G32=""),"",ABS((G32-112.561871)/4.985957))</f>
        <v>2.2787743656834571</v>
      </c>
      <c r="T32">
        <f>IF(OR(H32=0,H32=""),"",ABS((H32-80.720624)/2.821681))</f>
        <v>3.3740965048848537</v>
      </c>
      <c r="U32">
        <f t="shared" si="2"/>
        <v>0</v>
      </c>
      <c r="V32">
        <f>IF(OR(J32=0,J32=""),"",ABS((J32-69.348681)/1.912674))</f>
        <v>4.364926275988485</v>
      </c>
      <c r="W32" t="str">
        <f t="shared" si="4"/>
        <v/>
      </c>
      <c r="X32">
        <f>IF(OR(L32=0,L32=""),"",ABS((L32-1.455283)/1.400093))</f>
        <v>4.3173682033979173</v>
      </c>
      <c r="Y32" t="str">
        <f t="shared" si="6"/>
        <v/>
      </c>
      <c r="Z32">
        <f>IF(OR(N32=0,N32=""),"",ABS((N32-69.699041)/2.195614))</f>
        <v>0.54610737588665137</v>
      </c>
      <c r="AA32">
        <f>IF(OR(O32=0,O32=""),"",ABS((O32-113.513094)/1.682996))</f>
        <v>1.0238253685689027</v>
      </c>
      <c r="AB32">
        <f>IF(OR(P32=0,P32=""),"",ABS((P32-115.315492)/1.394108))</f>
        <v>0.89269124056385607</v>
      </c>
      <c r="AC32">
        <f>IF(OR(Q32=0,Q32=""),"",ABS((Q32-3.821127)/0.150485))</f>
        <v>1.2036216234176165</v>
      </c>
      <c r="AD32">
        <f>IF(OR(R32=0,R32=""),"",ABS((R32-3.848345)/0.156761))</f>
        <v>1.2014786841114817</v>
      </c>
    </row>
    <row r="33" spans="1:30">
      <c r="A33" t="s">
        <v>36</v>
      </c>
      <c r="B33" t="s">
        <v>37</v>
      </c>
      <c r="C33" t="s">
        <v>38</v>
      </c>
      <c r="D33" t="s">
        <v>39</v>
      </c>
      <c r="E33" s="2">
        <v>46060</v>
      </c>
      <c r="F33" t="s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tr">
        <f>IF(OR(G33=0,G33=""),"",ABS((G33-112.561871)/4.985957))</f>
        <v/>
      </c>
      <c r="T33" t="str">
        <f>IF(OR(H33=0,H33=""),"",ABS((H33-80.720624)/2.821681))</f>
        <v/>
      </c>
      <c r="U33" t="str">
        <f t="shared" si="2"/>
        <v/>
      </c>
      <c r="V33" t="str">
        <f>IF(OR(J33=0,J33=""),"",ABS((J33-69.348681)/1.912674))</f>
        <v/>
      </c>
      <c r="W33" t="str">
        <f t="shared" si="4"/>
        <v/>
      </c>
      <c r="X33" t="str">
        <f>IF(OR(L33=0,L33=""),"",ABS((L33-1.455283)/1.400093))</f>
        <v/>
      </c>
      <c r="Y33" t="str">
        <f t="shared" si="6"/>
        <v/>
      </c>
      <c r="Z33" t="str">
        <f>IF(OR(N33=0,N33=""),"",ABS((N33-69.699041)/2.195614))</f>
        <v/>
      </c>
      <c r="AA33" t="str">
        <f>IF(OR(O33=0,O33=""),"",ABS((O33-113.513094)/1.682996))</f>
        <v/>
      </c>
      <c r="AB33" t="str">
        <f>IF(OR(P33=0,P33=""),"",ABS((P33-115.315492)/1.394108))</f>
        <v/>
      </c>
      <c r="AC33" t="str">
        <f>IF(OR(Q33=0,Q33=""),"",ABS((Q33-3.821127)/0.150485))</f>
        <v/>
      </c>
      <c r="AD33" t="str">
        <f>IF(OR(R33=0,R33=""),"",ABS((R33-3.848345)/0.156761))</f>
        <v/>
      </c>
    </row>
    <row r="34" spans="1:30">
      <c r="A34" t="s">
        <v>36</v>
      </c>
      <c r="B34" t="s">
        <v>37</v>
      </c>
      <c r="C34" t="s">
        <v>38</v>
      </c>
      <c r="D34" t="s">
        <v>39</v>
      </c>
      <c r="E34" s="2">
        <v>46060</v>
      </c>
      <c r="F34" t="s">
        <v>34</v>
      </c>
      <c r="G34">
        <v>103.9</v>
      </c>
      <c r="H34">
        <v>72.5</v>
      </c>
      <c r="I34">
        <v>-1957.8</v>
      </c>
      <c r="J34">
        <v>61.5</v>
      </c>
      <c r="K34">
        <v>0</v>
      </c>
      <c r="L34">
        <v>7.3</v>
      </c>
      <c r="M34">
        <v>0</v>
      </c>
      <c r="N34">
        <v>68.8</v>
      </c>
      <c r="O34">
        <v>111.94</v>
      </c>
      <c r="P34">
        <v>116.7</v>
      </c>
      <c r="Q34">
        <v>3.74</v>
      </c>
      <c r="R34">
        <v>3.71</v>
      </c>
      <c r="S34">
        <f>IF(OR(G34=0,G34=""),"",ABS((G34-112.561871)/4.985957))</f>
        <v>1.7372534500397798</v>
      </c>
      <c r="T34">
        <f>IF(OR(H34=0,H34=""),"",ABS((H34-80.720624)/2.821681))</f>
        <v>2.913378230919796</v>
      </c>
      <c r="U34">
        <f t="shared" si="2"/>
        <v>0</v>
      </c>
      <c r="V34">
        <f>IF(OR(J34=0,J34=""),"",ABS((J34-69.348681)/1.912674))</f>
        <v>4.1035121510513548</v>
      </c>
      <c r="W34" t="str">
        <f t="shared" si="4"/>
        <v/>
      </c>
      <c r="X34">
        <f>IF(OR(L34=0,L34=""),"",ABS((L34-1.455283)/1.400093))</f>
        <v>4.1745205497063402</v>
      </c>
      <c r="Y34" t="str">
        <f t="shared" si="6"/>
        <v/>
      </c>
      <c r="Z34">
        <f>IF(OR(N34=0,N34=""),"",ABS((N34-69.699041)/2.195614))</f>
        <v>0.40947133694720333</v>
      </c>
      <c r="AA34">
        <f>IF(OR(O34=0,O34=""),"",ABS((O34-113.513094)/1.682996))</f>
        <v>0.93469859702577884</v>
      </c>
      <c r="AB34">
        <f>IF(OR(P34=0,P34=""),"",ABS((P34-115.315492)/1.394108))</f>
        <v>0.99311387639981752</v>
      </c>
      <c r="AC34">
        <f>IF(OR(Q34=0,Q34=""),"",ABS((Q34-3.821127)/0.150485))</f>
        <v>0.53910356513938229</v>
      </c>
      <c r="AD34">
        <f>IF(OR(R34=0,R34=""),"",ABS((R34-3.848345)/0.156761))</f>
        <v>0.88252180070298192</v>
      </c>
    </row>
    <row r="35" spans="1:30">
      <c r="A35" t="s">
        <v>36</v>
      </c>
      <c r="B35" t="s">
        <v>37</v>
      </c>
      <c r="C35" t="s">
        <v>38</v>
      </c>
      <c r="D35" t="s">
        <v>39</v>
      </c>
      <c r="E35" s="2">
        <v>46062</v>
      </c>
      <c r="F35" t="s">
        <v>34</v>
      </c>
      <c r="G35">
        <v>105.7</v>
      </c>
      <c r="H35">
        <v>74.3</v>
      </c>
      <c r="I35">
        <v>-1957.8</v>
      </c>
      <c r="J35">
        <v>63.3</v>
      </c>
      <c r="K35">
        <v>0</v>
      </c>
      <c r="L35">
        <v>7.9</v>
      </c>
      <c r="M35">
        <v>0</v>
      </c>
      <c r="N35">
        <v>71.2</v>
      </c>
      <c r="O35">
        <v>115.53</v>
      </c>
      <c r="P35">
        <v>113.84</v>
      </c>
      <c r="Q35">
        <v>3.54</v>
      </c>
      <c r="R35">
        <v>3.59</v>
      </c>
      <c r="S35">
        <f>IF(OR(G35=0,G35=""),"",ABS((G35-112.561871)/4.985957))</f>
        <v>1.3762395062773292</v>
      </c>
      <c r="T35">
        <f>IF(OR(H35=0,H35=""),"",ABS((H35-80.720624)/2.821681))</f>
        <v>2.2754606208143318</v>
      </c>
      <c r="U35">
        <f t="shared" si="2"/>
        <v>0</v>
      </c>
      <c r="V35">
        <f>IF(OR(J35=0,J35=""),"",ABS((J35-69.348681)/1.912674))</f>
        <v>3.1624213012776887</v>
      </c>
      <c r="W35" t="str">
        <f t="shared" si="4"/>
        <v/>
      </c>
      <c r="X35">
        <f>IF(OR(L35=0,L35=""),"",ABS((L35-1.455283)/1.400093))</f>
        <v>4.6030635107810696</v>
      </c>
      <c r="Y35" t="str">
        <f t="shared" si="6"/>
        <v/>
      </c>
      <c r="Z35">
        <f>IF(OR(N35=0,N35=""),"",ABS((N35-69.699041)/2.195614))</f>
        <v>0.68361697456839354</v>
      </c>
      <c r="AA35">
        <f>IF(OR(O35=0,O35=""),"",ABS((O35-113.513094)/1.682996))</f>
        <v>1.1984021352397782</v>
      </c>
      <c r="AB35">
        <f>IF(OR(P35=0,P35=""),"",ABS((P35-115.315492)/1.394108))</f>
        <v>1.0583771128205295</v>
      </c>
      <c r="AC35">
        <f>IF(OR(Q35=0,Q35=""),"",ABS((Q35-3.821127)/0.150485))</f>
        <v>1.8681396816958509</v>
      </c>
      <c r="AD35">
        <f>IF(OR(R35=0,R35=""),"",ABS((R35-3.848345)/0.156761))</f>
        <v>1.6480183208833845</v>
      </c>
    </row>
    <row r="36" spans="1:30">
      <c r="A36" t="s">
        <v>36</v>
      </c>
      <c r="B36" t="s">
        <v>37</v>
      </c>
      <c r="C36" t="s">
        <v>38</v>
      </c>
      <c r="D36" t="s">
        <v>39</v>
      </c>
      <c r="E36" s="2">
        <v>46062</v>
      </c>
      <c r="F36" t="s">
        <v>34</v>
      </c>
      <c r="G36">
        <v>112.9</v>
      </c>
      <c r="H36">
        <v>75.7</v>
      </c>
      <c r="I36">
        <v>-1957.8</v>
      </c>
      <c r="J36">
        <v>63.3</v>
      </c>
      <c r="K36">
        <v>0</v>
      </c>
      <c r="L36">
        <v>7.5</v>
      </c>
      <c r="M36">
        <v>0</v>
      </c>
      <c r="N36">
        <v>70.8</v>
      </c>
      <c r="O36">
        <v>115.02</v>
      </c>
      <c r="P36">
        <v>115.02</v>
      </c>
      <c r="Q36">
        <v>3.56</v>
      </c>
      <c r="R36">
        <v>3.64</v>
      </c>
      <c r="S36">
        <f>IF(OR(G36=0,G36=""),"",ABS((G36-112.561871)/4.985957))</f>
        <v>6.7816268772476221E-2</v>
      </c>
      <c r="T36">
        <f>IF(OR(H36=0,H36=""),"",ABS((H36-80.720624)/2.821681))</f>
        <v>1.7793024796211898</v>
      </c>
      <c r="U36">
        <f t="shared" si="2"/>
        <v>0</v>
      </c>
      <c r="V36">
        <f>IF(OR(J36=0,J36=""),"",ABS((J36-69.348681)/1.912674))</f>
        <v>3.1624213012776887</v>
      </c>
      <c r="W36" t="str">
        <f t="shared" si="4"/>
        <v/>
      </c>
      <c r="X36">
        <f>IF(OR(L36=0,L36=""),"",ABS((L36-1.455283)/1.400093))</f>
        <v>4.3173682033979173</v>
      </c>
      <c r="Y36" t="str">
        <f t="shared" si="6"/>
        <v/>
      </c>
      <c r="Z36">
        <f>IF(OR(N36=0,N36=""),"",ABS((N36-69.699041)/2.195614))</f>
        <v>0.50143558931579191</v>
      </c>
      <c r="AA36">
        <f>IF(OR(O36=0,O36=""),"",ABS((O36-113.513094)/1.682996))</f>
        <v>0.89537111199313657</v>
      </c>
      <c r="AB36">
        <f>IF(OR(P36=0,P36=""),"",ABS((P36-115.315492)/1.394108))</f>
        <v>0.21195775363172015</v>
      </c>
      <c r="AC36">
        <f>IF(OR(Q36=0,Q36=""),"",ABS((Q36-3.821127)/0.150485))</f>
        <v>1.7352360700402041</v>
      </c>
      <c r="AD36">
        <f>IF(OR(R36=0,R36=""),"",ABS((R36-3.848345)/0.156761))</f>
        <v>1.3290614374748821</v>
      </c>
    </row>
    <row r="37" spans="1:30">
      <c r="A37" t="s">
        <v>41</v>
      </c>
      <c r="B37" t="s">
        <v>31</v>
      </c>
      <c r="C37" t="s">
        <v>32</v>
      </c>
      <c r="D37" t="s">
        <v>33</v>
      </c>
      <c r="E37" s="2">
        <v>46064</v>
      </c>
      <c r="F37" t="s">
        <v>34</v>
      </c>
      <c r="G37">
        <v>131.6</v>
      </c>
      <c r="H37">
        <v>115.4</v>
      </c>
      <c r="I37">
        <v>-1957.8</v>
      </c>
      <c r="J37">
        <v>67.3</v>
      </c>
      <c r="K37">
        <v>0</v>
      </c>
      <c r="L37">
        <v>7.4</v>
      </c>
      <c r="M37">
        <v>0</v>
      </c>
      <c r="N37">
        <v>74.7</v>
      </c>
      <c r="O37">
        <v>112.16</v>
      </c>
      <c r="P37">
        <v>113.33</v>
      </c>
      <c r="Q37">
        <v>6.81</v>
      </c>
      <c r="R37">
        <v>8.5</v>
      </c>
      <c r="S37">
        <f t="shared" ref="S37:S47" si="30">IF(OR(G37=0,G37=""),"",ABS((G37-152.740594)/5.729485))</f>
        <v>3.689789570964928</v>
      </c>
      <c r="T37">
        <f t="shared" ref="T37:T47" si="31">IF(OR(H37=0,H37=""),"",ABS((H37-96.426733)/5.037499))</f>
        <v>3.7664061074751589</v>
      </c>
      <c r="U37">
        <f t="shared" si="2"/>
        <v>0</v>
      </c>
      <c r="V37">
        <f t="shared" ref="V37:V47" si="32">IF(OR(J37=0,J37=""),"",ABS((J37-69.40099)/2.222902))</f>
        <v>0.94515637666437657</v>
      </c>
      <c r="W37" t="str">
        <f t="shared" si="4"/>
        <v/>
      </c>
      <c r="X37">
        <f t="shared" ref="X37:X47" si="33">IF(OR(L37=0,L37=""),"",ABS((L37-1.849749)/1.393269))</f>
        <v>3.9836176646433676</v>
      </c>
      <c r="Y37" t="str">
        <f t="shared" si="6"/>
        <v/>
      </c>
      <c r="Z37">
        <f t="shared" ref="Z37:Z47" si="34">IF(OR(N37=0,N37=""),"",ABS((N37-69.231188)/2.519549))</f>
        <v>2.1705519519564809</v>
      </c>
      <c r="AA37">
        <f t="shared" ref="AA37:AA47" si="35">IF(OR(O37=0,O37=""),"",ABS((O37-113.18)/1.73698))</f>
        <v>0.58722610507893602</v>
      </c>
      <c r="AB37">
        <f t="shared" ref="AB37:AB47" si="36">IF(OR(P37=0,P37=""),"",ABS((P37-114.765594)/1.645198))</f>
        <v>0.8725964899057711</v>
      </c>
      <c r="AC37">
        <f t="shared" ref="AC37:AC47" si="37">IF(OR(Q37=0,Q37=""),"",ABS((Q37-8.040149)/0.55663))</f>
        <v>2.2099940714657853</v>
      </c>
      <c r="AD37">
        <f t="shared" ref="AD37:AD47" si="38">IF(OR(R37=0,R37=""),"",ABS((R37-7.915297)/0.399795))</f>
        <v>1.4625070348553639</v>
      </c>
    </row>
    <row r="38" spans="1:30">
      <c r="A38" t="s">
        <v>41</v>
      </c>
      <c r="B38" t="s">
        <v>31</v>
      </c>
      <c r="C38" t="s">
        <v>32</v>
      </c>
      <c r="D38" t="s">
        <v>33</v>
      </c>
      <c r="E38" s="2">
        <v>46064</v>
      </c>
      <c r="F38" t="s">
        <v>34</v>
      </c>
      <c r="G38">
        <v>149.5</v>
      </c>
      <c r="H38">
        <v>121.3</v>
      </c>
      <c r="I38">
        <v>-1957.8</v>
      </c>
      <c r="J38">
        <v>67.3</v>
      </c>
      <c r="K38">
        <v>0</v>
      </c>
      <c r="L38">
        <v>7.7</v>
      </c>
      <c r="M38">
        <v>0</v>
      </c>
      <c r="N38">
        <v>75</v>
      </c>
      <c r="O38">
        <v>111.5</v>
      </c>
      <c r="P38">
        <v>112.67</v>
      </c>
      <c r="Q38">
        <v>8.5399999999999991</v>
      </c>
      <c r="R38">
        <v>9.18</v>
      </c>
      <c r="S38">
        <f t="shared" si="30"/>
        <v>0.56559952596088259</v>
      </c>
      <c r="T38">
        <f t="shared" si="31"/>
        <v>4.9376222208679339</v>
      </c>
      <c r="U38">
        <f t="shared" si="2"/>
        <v>0</v>
      </c>
      <c r="V38">
        <f t="shared" si="32"/>
        <v>0.94515637666437657</v>
      </c>
      <c r="W38" t="str">
        <f t="shared" si="4"/>
        <v/>
      </c>
      <c r="X38">
        <f t="shared" si="33"/>
        <v>4.1989386112803775</v>
      </c>
      <c r="Y38" t="str">
        <f t="shared" si="6"/>
        <v/>
      </c>
      <c r="Z38">
        <f t="shared" si="34"/>
        <v>2.2896208805623535</v>
      </c>
      <c r="AA38">
        <f t="shared" si="35"/>
        <v>0.96719593777706525</v>
      </c>
      <c r="AB38">
        <f t="shared" si="36"/>
        <v>1.2737640089521087</v>
      </c>
      <c r="AC38">
        <f t="shared" si="37"/>
        <v>0.89799507752007557</v>
      </c>
      <c r="AD38">
        <f t="shared" si="38"/>
        <v>3.1633787315999449</v>
      </c>
    </row>
    <row r="39" spans="1:30">
      <c r="A39" t="s">
        <v>41</v>
      </c>
      <c r="B39" t="s">
        <v>31</v>
      </c>
      <c r="C39" t="s">
        <v>32</v>
      </c>
      <c r="D39" t="s">
        <v>33</v>
      </c>
      <c r="E39" s="2">
        <v>46066</v>
      </c>
      <c r="F39" t="s">
        <v>34</v>
      </c>
      <c r="G39">
        <v>122.7</v>
      </c>
      <c r="H39">
        <v>106.8</v>
      </c>
      <c r="I39">
        <v>-1957.8</v>
      </c>
      <c r="J39">
        <v>65.5</v>
      </c>
      <c r="K39">
        <v>0</v>
      </c>
      <c r="L39">
        <v>5.0999999999999996</v>
      </c>
      <c r="M39">
        <v>0</v>
      </c>
      <c r="N39">
        <v>70.599999999999994</v>
      </c>
      <c r="O39">
        <v>114.65</v>
      </c>
      <c r="P39">
        <v>114.72</v>
      </c>
      <c r="Q39">
        <v>9.3800000000000008</v>
      </c>
      <c r="R39">
        <v>9.33</v>
      </c>
      <c r="S39">
        <f t="shared" si="30"/>
        <v>5.2431578056317418</v>
      </c>
      <c r="T39">
        <f t="shared" si="31"/>
        <v>2.05920973880094</v>
      </c>
      <c r="U39">
        <f t="shared" si="2"/>
        <v>0</v>
      </c>
      <c r="V39">
        <f t="shared" si="32"/>
        <v>1.7549086734367927</v>
      </c>
      <c r="W39" t="str">
        <f t="shared" si="4"/>
        <v/>
      </c>
      <c r="X39">
        <f t="shared" si="33"/>
        <v>2.3328237404262921</v>
      </c>
      <c r="Y39" t="str">
        <f t="shared" si="6"/>
        <v/>
      </c>
      <c r="Z39">
        <f t="shared" si="34"/>
        <v>0.54327659434287301</v>
      </c>
      <c r="AA39">
        <f t="shared" si="35"/>
        <v>0.846296445554928</v>
      </c>
      <c r="AB39">
        <f t="shared" si="36"/>
        <v>2.7713381611206761E-2</v>
      </c>
      <c r="AC39">
        <f t="shared" si="37"/>
        <v>2.4070765140218842</v>
      </c>
      <c r="AD39">
        <f t="shared" si="38"/>
        <v>3.5385710176465444</v>
      </c>
    </row>
    <row r="40" spans="1:30">
      <c r="A40" t="s">
        <v>41</v>
      </c>
      <c r="B40" t="s">
        <v>31</v>
      </c>
      <c r="C40" t="s">
        <v>32</v>
      </c>
      <c r="D40" t="s">
        <v>33</v>
      </c>
      <c r="E40" s="2">
        <v>46066</v>
      </c>
      <c r="F40" t="s">
        <v>40</v>
      </c>
      <c r="G40">
        <v>126.3</v>
      </c>
      <c r="H40">
        <v>105.5</v>
      </c>
      <c r="I40">
        <v>-1957.8</v>
      </c>
      <c r="J40">
        <v>65.900000000000006</v>
      </c>
      <c r="K40">
        <v>0</v>
      </c>
      <c r="L40">
        <v>5.0999999999999996</v>
      </c>
      <c r="M40">
        <v>0</v>
      </c>
      <c r="N40">
        <v>71</v>
      </c>
      <c r="O40">
        <v>110.25</v>
      </c>
      <c r="P40">
        <v>117.14</v>
      </c>
      <c r="Q40">
        <v>9.35</v>
      </c>
      <c r="R40">
        <v>8.52</v>
      </c>
      <c r="S40">
        <f t="shared" si="30"/>
        <v>4.6148290814968513</v>
      </c>
      <c r="T40">
        <f t="shared" si="31"/>
        <v>1.8011451714432103</v>
      </c>
      <c r="U40">
        <f t="shared" si="2"/>
        <v>0</v>
      </c>
      <c r="V40">
        <f t="shared" si="32"/>
        <v>1.5749637185984751</v>
      </c>
      <c r="W40" t="str">
        <f t="shared" si="4"/>
        <v/>
      </c>
      <c r="X40">
        <f t="shared" si="33"/>
        <v>2.3328237404262921</v>
      </c>
      <c r="Y40" t="str">
        <f t="shared" si="6"/>
        <v/>
      </c>
      <c r="Z40">
        <f t="shared" si="34"/>
        <v>0.70203516581737324</v>
      </c>
      <c r="AA40">
        <f t="shared" si="35"/>
        <v>1.6868357724326168</v>
      </c>
      <c r="AB40">
        <f t="shared" si="36"/>
        <v>1.4432341882253732</v>
      </c>
      <c r="AC40">
        <f t="shared" si="37"/>
        <v>2.353180748432532</v>
      </c>
      <c r="AD40">
        <f t="shared" si="38"/>
        <v>1.5125326729949093</v>
      </c>
    </row>
    <row r="41" spans="1:30">
      <c r="A41" t="s">
        <v>44</v>
      </c>
      <c r="B41" t="s">
        <v>31</v>
      </c>
      <c r="C41" t="s">
        <v>32</v>
      </c>
      <c r="D41" t="s">
        <v>33</v>
      </c>
      <c r="E41" s="2">
        <v>46066</v>
      </c>
      <c r="F41" t="s">
        <v>34</v>
      </c>
      <c r="G41">
        <v>108.8</v>
      </c>
      <c r="H41">
        <v>82</v>
      </c>
      <c r="I41">
        <v>-1957.8</v>
      </c>
      <c r="J41">
        <v>65.900000000000006</v>
      </c>
      <c r="K41">
        <v>0</v>
      </c>
      <c r="L41">
        <v>5.0999999999999996</v>
      </c>
      <c r="M41">
        <v>0</v>
      </c>
      <c r="N41">
        <v>71</v>
      </c>
      <c r="O41">
        <v>114.58</v>
      </c>
      <c r="P41">
        <v>114.87</v>
      </c>
      <c r="Q41">
        <v>9.16</v>
      </c>
      <c r="R41">
        <v>8.89</v>
      </c>
      <c r="S41">
        <f t="shared" si="30"/>
        <v>7.6692048238192418</v>
      </c>
      <c r="T41">
        <f t="shared" si="31"/>
        <v>2.8638681615619173</v>
      </c>
      <c r="U41">
        <f t="shared" si="2"/>
        <v>0</v>
      </c>
      <c r="V41">
        <f t="shared" si="32"/>
        <v>1.5749637185984751</v>
      </c>
      <c r="W41" t="str">
        <f t="shared" si="4"/>
        <v/>
      </c>
      <c r="X41">
        <f t="shared" si="33"/>
        <v>2.3328237404262921</v>
      </c>
      <c r="Y41" t="str">
        <f t="shared" si="6"/>
        <v/>
      </c>
      <c r="Z41">
        <f t="shared" si="34"/>
        <v>0.70203516581737324</v>
      </c>
      <c r="AA41">
        <f t="shared" si="35"/>
        <v>0.80599661481421292</v>
      </c>
      <c r="AB41">
        <f t="shared" si="36"/>
        <v>6.3461054535692091E-2</v>
      </c>
      <c r="AC41">
        <f t="shared" si="37"/>
        <v>2.0118408996999815</v>
      </c>
      <c r="AD41">
        <f t="shared" si="38"/>
        <v>2.4380069785765222</v>
      </c>
    </row>
    <row r="42" spans="1:30">
      <c r="A42" t="s">
        <v>44</v>
      </c>
      <c r="B42" t="s">
        <v>31</v>
      </c>
      <c r="C42" t="s">
        <v>32</v>
      </c>
      <c r="D42" t="s">
        <v>33</v>
      </c>
      <c r="E42" s="2">
        <v>46066</v>
      </c>
      <c r="F42" t="s">
        <v>34</v>
      </c>
      <c r="G42">
        <v>109.3</v>
      </c>
      <c r="H42">
        <v>93.3</v>
      </c>
      <c r="I42">
        <v>-1957.8</v>
      </c>
      <c r="J42">
        <v>65.900000000000006</v>
      </c>
      <c r="K42">
        <v>0</v>
      </c>
      <c r="L42">
        <v>5.5</v>
      </c>
      <c r="M42">
        <v>0</v>
      </c>
      <c r="N42">
        <v>71.400000000000006</v>
      </c>
      <c r="O42">
        <v>115.09</v>
      </c>
      <c r="P42">
        <v>115.09</v>
      </c>
      <c r="Q42">
        <v>8.4700000000000006</v>
      </c>
      <c r="R42">
        <v>8.4499999999999993</v>
      </c>
      <c r="S42">
        <f t="shared" si="30"/>
        <v>7.5819369454671737</v>
      </c>
      <c r="T42">
        <f t="shared" si="31"/>
        <v>0.62069153760626083</v>
      </c>
      <c r="U42">
        <f t="shared" si="2"/>
        <v>0</v>
      </c>
      <c r="V42">
        <f t="shared" si="32"/>
        <v>1.5749637185984751</v>
      </c>
      <c r="W42" t="str">
        <f t="shared" si="4"/>
        <v/>
      </c>
      <c r="X42">
        <f t="shared" si="33"/>
        <v>2.6199183359423053</v>
      </c>
      <c r="Y42" t="str">
        <f t="shared" si="6"/>
        <v/>
      </c>
      <c r="Z42">
        <f t="shared" si="34"/>
        <v>0.86079373729187347</v>
      </c>
      <c r="AA42">
        <f t="shared" si="35"/>
        <v>1.0996096673536808</v>
      </c>
      <c r="AB42">
        <f t="shared" si="36"/>
        <v>0.19718356088447131</v>
      </c>
      <c r="AC42">
        <f t="shared" si="37"/>
        <v>0.7722382911449277</v>
      </c>
      <c r="AD42">
        <f t="shared" si="38"/>
        <v>1.3374429395064957</v>
      </c>
    </row>
    <row r="43" spans="1:30">
      <c r="A43" t="s">
        <v>44</v>
      </c>
      <c r="B43" t="s">
        <v>31</v>
      </c>
      <c r="C43" t="s">
        <v>32</v>
      </c>
      <c r="D43" t="s">
        <v>33</v>
      </c>
      <c r="E43" s="2">
        <v>46066</v>
      </c>
      <c r="F43" t="s">
        <v>34</v>
      </c>
      <c r="G43">
        <v>111.1</v>
      </c>
      <c r="H43">
        <v>95.1</v>
      </c>
      <c r="I43">
        <v>-1957.8</v>
      </c>
      <c r="J43">
        <v>66.400000000000006</v>
      </c>
      <c r="K43">
        <v>0</v>
      </c>
      <c r="L43">
        <v>5.3</v>
      </c>
      <c r="M43">
        <v>0</v>
      </c>
      <c r="N43">
        <v>71.7</v>
      </c>
      <c r="O43">
        <v>114.65</v>
      </c>
      <c r="P43">
        <v>114.65</v>
      </c>
      <c r="Q43">
        <v>8.3699999999999992</v>
      </c>
      <c r="R43">
        <v>8.57</v>
      </c>
      <c r="S43">
        <f t="shared" si="30"/>
        <v>7.2677725833997275</v>
      </c>
      <c r="T43">
        <f t="shared" si="31"/>
        <v>0.26337136741863459</v>
      </c>
      <c r="U43">
        <f t="shared" si="2"/>
        <v>0</v>
      </c>
      <c r="V43">
        <f t="shared" si="32"/>
        <v>1.3500325250505814</v>
      </c>
      <c r="W43" t="str">
        <f t="shared" si="4"/>
        <v/>
      </c>
      <c r="X43">
        <f t="shared" si="33"/>
        <v>2.4763710381842987</v>
      </c>
      <c r="Y43" t="str">
        <f t="shared" si="6"/>
        <v/>
      </c>
      <c r="Z43">
        <f t="shared" si="34"/>
        <v>0.97986266589774584</v>
      </c>
      <c r="AA43">
        <f t="shared" si="35"/>
        <v>0.846296445554928</v>
      </c>
      <c r="AB43">
        <f t="shared" si="36"/>
        <v>7.0261451813087128E-2</v>
      </c>
      <c r="AC43">
        <f t="shared" si="37"/>
        <v>0.59258573918042456</v>
      </c>
      <c r="AD43">
        <f t="shared" si="38"/>
        <v>1.6375967683437773</v>
      </c>
    </row>
    <row r="44" spans="1:30">
      <c r="A44" t="s">
        <v>44</v>
      </c>
      <c r="B44" t="s">
        <v>31</v>
      </c>
      <c r="C44" t="s">
        <v>32</v>
      </c>
      <c r="D44" t="s">
        <v>33</v>
      </c>
      <c r="E44" s="2">
        <v>46066</v>
      </c>
      <c r="F44" t="s">
        <v>34</v>
      </c>
      <c r="G44">
        <v>175.4</v>
      </c>
      <c r="H44">
        <v>97.3</v>
      </c>
      <c r="I44">
        <v>-1957.8</v>
      </c>
      <c r="J44">
        <v>66.400000000000006</v>
      </c>
      <c r="K44">
        <v>0</v>
      </c>
      <c r="L44">
        <v>5.5</v>
      </c>
      <c r="M44">
        <v>0</v>
      </c>
      <c r="N44">
        <v>71.900000000000006</v>
      </c>
      <c r="O44">
        <v>111.5</v>
      </c>
      <c r="P44">
        <v>112.96</v>
      </c>
      <c r="Q44">
        <v>8.69</v>
      </c>
      <c r="R44">
        <v>8.7899999999999991</v>
      </c>
      <c r="S44">
        <f t="shared" si="30"/>
        <v>3.9548765726762558</v>
      </c>
      <c r="T44">
        <f t="shared" si="31"/>
        <v>0.17335328503290987</v>
      </c>
      <c r="U44">
        <f t="shared" si="2"/>
        <v>0</v>
      </c>
      <c r="V44">
        <f t="shared" si="32"/>
        <v>1.3500325250505814</v>
      </c>
      <c r="W44" t="str">
        <f t="shared" si="4"/>
        <v/>
      </c>
      <c r="X44">
        <f t="shared" si="33"/>
        <v>2.6199183359423053</v>
      </c>
      <c r="Y44" t="str">
        <f t="shared" si="6"/>
        <v/>
      </c>
      <c r="Z44">
        <f t="shared" si="34"/>
        <v>1.059241951634996</v>
      </c>
      <c r="AA44">
        <f t="shared" si="35"/>
        <v>0.96719593777706525</v>
      </c>
      <c r="AB44">
        <f t="shared" si="36"/>
        <v>1.0974934324014491</v>
      </c>
      <c r="AC44">
        <f t="shared" si="37"/>
        <v>1.1674739054668271</v>
      </c>
      <c r="AD44">
        <f t="shared" si="38"/>
        <v>2.1878787878787862</v>
      </c>
    </row>
    <row r="45" spans="1:30">
      <c r="A45" t="s">
        <v>45</v>
      </c>
      <c r="B45" t="s">
        <v>31</v>
      </c>
      <c r="C45" t="s">
        <v>32</v>
      </c>
      <c r="D45" t="s">
        <v>33</v>
      </c>
      <c r="E45" s="2">
        <v>46066</v>
      </c>
      <c r="F45" t="s">
        <v>34</v>
      </c>
      <c r="G45">
        <v>155.30000000000001</v>
      </c>
      <c r="H45">
        <v>66.7</v>
      </c>
      <c r="I45">
        <v>-1957.8</v>
      </c>
      <c r="J45">
        <v>66.8</v>
      </c>
      <c r="K45">
        <v>0</v>
      </c>
      <c r="L45">
        <v>5.2</v>
      </c>
      <c r="M45">
        <v>0</v>
      </c>
      <c r="N45">
        <v>72</v>
      </c>
      <c r="O45">
        <v>115.68</v>
      </c>
      <c r="P45">
        <v>117.22</v>
      </c>
      <c r="Q45">
        <v>4.76</v>
      </c>
      <c r="R45">
        <v>4.6100000000000003</v>
      </c>
      <c r="S45">
        <f t="shared" si="30"/>
        <v>0.44670786292311154</v>
      </c>
      <c r="T45">
        <f t="shared" si="31"/>
        <v>5.9010896081567443</v>
      </c>
      <c r="U45">
        <f t="shared" si="2"/>
        <v>0</v>
      </c>
      <c r="V45">
        <f t="shared" si="32"/>
        <v>1.1700875702122702</v>
      </c>
      <c r="W45" t="str">
        <f t="shared" si="4"/>
        <v/>
      </c>
      <c r="X45">
        <f t="shared" si="33"/>
        <v>2.4045973893052954</v>
      </c>
      <c r="Y45" t="str">
        <f t="shared" si="6"/>
        <v/>
      </c>
      <c r="Z45">
        <f t="shared" si="34"/>
        <v>1.0989315945036182</v>
      </c>
      <c r="AA45">
        <f t="shared" si="35"/>
        <v>1.4392796693111032</v>
      </c>
      <c r="AB45">
        <f t="shared" si="36"/>
        <v>1.4918605541703831</v>
      </c>
      <c r="AC45">
        <f t="shared" si="37"/>
        <v>5.8928713867380482</v>
      </c>
      <c r="AD45">
        <f t="shared" si="38"/>
        <v>8.2674795832864323</v>
      </c>
    </row>
    <row r="46" spans="1:30">
      <c r="A46" t="s">
        <v>44</v>
      </c>
      <c r="B46" t="s">
        <v>31</v>
      </c>
      <c r="C46" t="s">
        <v>32</v>
      </c>
      <c r="D46" t="s">
        <v>33</v>
      </c>
      <c r="E46" s="2">
        <v>46066</v>
      </c>
      <c r="F46" t="s">
        <v>40</v>
      </c>
      <c r="G46">
        <v>133.80000000000001</v>
      </c>
      <c r="H46">
        <v>94.6</v>
      </c>
      <c r="I46">
        <v>-1957.8</v>
      </c>
      <c r="J46">
        <v>68.599999999999994</v>
      </c>
      <c r="K46">
        <v>0</v>
      </c>
      <c r="L46">
        <v>2.8</v>
      </c>
      <c r="M46">
        <v>0</v>
      </c>
      <c r="N46">
        <v>71.400000000000006</v>
      </c>
      <c r="O46">
        <v>115.46</v>
      </c>
      <c r="P46">
        <v>115.31</v>
      </c>
      <c r="Q46">
        <v>7.62</v>
      </c>
      <c r="R46">
        <v>8.0299999999999994</v>
      </c>
      <c r="S46">
        <f t="shared" si="30"/>
        <v>3.3058109062158247</v>
      </c>
      <c r="T46">
        <f t="shared" si="31"/>
        <v>0.36262697024853091</v>
      </c>
      <c r="U46">
        <f t="shared" si="2"/>
        <v>0</v>
      </c>
      <c r="V46">
        <f t="shared" si="32"/>
        <v>0.36033527343985422</v>
      </c>
      <c r="W46" t="str">
        <f t="shared" si="4"/>
        <v/>
      </c>
      <c r="X46">
        <f t="shared" si="33"/>
        <v>0.6820298162092171</v>
      </c>
      <c r="Y46" t="str">
        <f t="shared" si="6"/>
        <v/>
      </c>
      <c r="Z46">
        <f t="shared" si="34"/>
        <v>0.86079373729187347</v>
      </c>
      <c r="AA46">
        <f t="shared" si="35"/>
        <v>1.3126230584117187</v>
      </c>
      <c r="AB46">
        <f t="shared" si="36"/>
        <v>0.3309060672332505</v>
      </c>
      <c r="AC46">
        <f t="shared" si="37"/>
        <v>0.75480840055332887</v>
      </c>
      <c r="AD46">
        <f t="shared" si="38"/>
        <v>0.28690453857601911</v>
      </c>
    </row>
    <row r="47" spans="1:30">
      <c r="A47" t="s">
        <v>45</v>
      </c>
      <c r="B47" t="s">
        <v>31</v>
      </c>
      <c r="C47" t="s">
        <v>32</v>
      </c>
      <c r="D47" t="s">
        <v>33</v>
      </c>
      <c r="E47" s="2">
        <v>46070</v>
      </c>
      <c r="F47" t="s">
        <v>40</v>
      </c>
      <c r="G47">
        <v>143.69999999999999</v>
      </c>
      <c r="H47">
        <v>99.2</v>
      </c>
      <c r="I47">
        <v>-1957.8</v>
      </c>
      <c r="J47">
        <v>67.3</v>
      </c>
      <c r="K47">
        <v>0</v>
      </c>
      <c r="L47">
        <v>3.1</v>
      </c>
      <c r="M47">
        <v>0</v>
      </c>
      <c r="N47">
        <v>70.400000000000006</v>
      </c>
      <c r="O47">
        <v>114.5</v>
      </c>
      <c r="P47">
        <v>114.65</v>
      </c>
      <c r="Q47">
        <v>8.64</v>
      </c>
      <c r="R47">
        <v>8.3699999999999992</v>
      </c>
      <c r="S47">
        <f t="shared" si="30"/>
        <v>1.5779069148448766</v>
      </c>
      <c r="T47">
        <f t="shared" si="31"/>
        <v>0.55052457578651703</v>
      </c>
      <c r="U47">
        <f t="shared" si="2"/>
        <v>0</v>
      </c>
      <c r="V47">
        <f t="shared" si="32"/>
        <v>0.94515637666437657</v>
      </c>
      <c r="W47" t="str">
        <f t="shared" si="4"/>
        <v/>
      </c>
      <c r="X47">
        <f t="shared" si="33"/>
        <v>0.89735076284622706</v>
      </c>
      <c r="Y47" t="str">
        <f t="shared" si="6"/>
        <v/>
      </c>
      <c r="Z47">
        <f t="shared" si="34"/>
        <v>0.46389730860562844</v>
      </c>
      <c r="AA47">
        <f t="shared" si="35"/>
        <v>0.75993966539625857</v>
      </c>
      <c r="AB47">
        <f t="shared" si="36"/>
        <v>7.0261451813087128E-2</v>
      </c>
      <c r="AC47">
        <f t="shared" si="37"/>
        <v>1.0776476294845787</v>
      </c>
      <c r="AD47">
        <f t="shared" si="38"/>
        <v>1.1373403869483094</v>
      </c>
    </row>
    <row r="48" spans="1:30">
      <c r="A48" t="s">
        <v>46</v>
      </c>
      <c r="B48" t="s">
        <v>37</v>
      </c>
      <c r="C48" t="s">
        <v>38</v>
      </c>
      <c r="D48" t="s">
        <v>39</v>
      </c>
      <c r="E48" s="2">
        <v>46073</v>
      </c>
      <c r="F48" t="s">
        <v>34</v>
      </c>
      <c r="G48">
        <v>114.2</v>
      </c>
      <c r="H48">
        <v>73.400000000000006</v>
      </c>
      <c r="I48">
        <v>-1957.8</v>
      </c>
      <c r="J48">
        <v>66.400000000000006</v>
      </c>
      <c r="K48">
        <v>0</v>
      </c>
      <c r="L48">
        <v>1.8</v>
      </c>
      <c r="M48">
        <v>0</v>
      </c>
      <c r="N48">
        <v>68.2</v>
      </c>
      <c r="O48">
        <v>111.42</v>
      </c>
      <c r="P48">
        <v>112.82</v>
      </c>
      <c r="Q48">
        <v>3.78</v>
      </c>
      <c r="R48">
        <v>3.86</v>
      </c>
      <c r="S48">
        <f t="shared" ref="S48:S61" si="39">IF(OR(G48=0,G48=""),"",ABS((G48-112.561871)/4.985957))</f>
        <v>0.32854856148980155</v>
      </c>
      <c r="T48">
        <f t="shared" ref="T48:T61" si="40">IF(OR(H48=0,H48=""),"",ABS((H48-80.720624)/2.821681))</f>
        <v>2.5944194258670614</v>
      </c>
      <c r="U48">
        <f t="shared" si="2"/>
        <v>0</v>
      </c>
      <c r="V48">
        <f t="shared" ref="V48:V61" si="41">IF(OR(J48=0,J48=""),"",ABS((J48-69.348681)/1.912674))</f>
        <v>1.5416537266674788</v>
      </c>
      <c r="W48" t="str">
        <f t="shared" si="4"/>
        <v/>
      </c>
      <c r="X48">
        <f t="shared" ref="X48:X61" si="42">IF(OR(L48=0,L48=""),"",ABS((L48-1.455283)/1.400093))</f>
        <v>0.24621007318799532</v>
      </c>
      <c r="Y48" t="str">
        <f t="shared" si="6"/>
        <v/>
      </c>
      <c r="Z48">
        <f t="shared" ref="Z48:Z61" si="43">IF(OR(N48=0,N48=""),"",ABS((N48-69.699041)/2.195614))</f>
        <v>0.68274341482609935</v>
      </c>
      <c r="AA48">
        <f t="shared" ref="AA48:AA61" si="44">IF(OR(O48=0,O48=""),"",ABS((O48-113.513094)/1.682996))</f>
        <v>1.2436714050419571</v>
      </c>
      <c r="AB48">
        <f t="shared" ref="AB48:AB61" si="45">IF(OR(P48=0,P48=""),"",ABS((P48-115.315492)/1.394108))</f>
        <v>1.7900277453396818</v>
      </c>
      <c r="AC48">
        <f t="shared" ref="AC48:AC61" si="46">IF(OR(Q48=0,Q48=""),"",ABS((Q48-3.821127)/0.150485))</f>
        <v>0.27329634182809154</v>
      </c>
      <c r="AD48">
        <f t="shared" ref="AD48:AD61" si="47">IF(OR(R48=0,R48=""),"",ABS((R48-3.848345)/0.156761))</f>
        <v>7.4348849522519939E-2</v>
      </c>
    </row>
    <row r="49" spans="1:30">
      <c r="A49" t="s">
        <v>46</v>
      </c>
      <c r="B49" t="s">
        <v>37</v>
      </c>
      <c r="C49" t="s">
        <v>38</v>
      </c>
      <c r="D49" t="s">
        <v>39</v>
      </c>
      <c r="E49" s="2">
        <v>46073</v>
      </c>
      <c r="F49" t="s">
        <v>40</v>
      </c>
      <c r="G49">
        <v>113.3</v>
      </c>
      <c r="H49">
        <v>70.7</v>
      </c>
      <c r="I49">
        <v>-1957.8</v>
      </c>
      <c r="J49">
        <v>67.3</v>
      </c>
      <c r="K49">
        <v>0</v>
      </c>
      <c r="L49">
        <v>1.5</v>
      </c>
      <c r="M49">
        <v>0</v>
      </c>
      <c r="N49">
        <v>68.8</v>
      </c>
      <c r="O49">
        <v>111.86</v>
      </c>
      <c r="P49">
        <v>113.55</v>
      </c>
      <c r="Q49">
        <v>3.74</v>
      </c>
      <c r="R49">
        <v>3.71</v>
      </c>
      <c r="S49">
        <f t="shared" si="39"/>
        <v>0.14804158960857478</v>
      </c>
      <c r="T49">
        <f t="shared" si="40"/>
        <v>3.5512958410252606</v>
      </c>
      <c r="U49">
        <f t="shared" si="2"/>
        <v>0</v>
      </c>
      <c r="V49">
        <f t="shared" si="41"/>
        <v>1.0711083017806495</v>
      </c>
      <c r="W49" t="str">
        <f t="shared" si="4"/>
        <v/>
      </c>
      <c r="X49">
        <f t="shared" si="42"/>
        <v>3.1938592650630988E-2</v>
      </c>
      <c r="Y49" t="str">
        <f t="shared" si="6"/>
        <v/>
      </c>
      <c r="Z49">
        <f t="shared" si="43"/>
        <v>0.40947133694720333</v>
      </c>
      <c r="AA49">
        <f t="shared" si="44"/>
        <v>0.98223287518211322</v>
      </c>
      <c r="AB49">
        <f t="shared" si="45"/>
        <v>1.2663954299093105</v>
      </c>
      <c r="AC49">
        <f t="shared" si="46"/>
        <v>0.53910356513938229</v>
      </c>
      <c r="AD49">
        <f t="shared" si="47"/>
        <v>0.88252180070298192</v>
      </c>
    </row>
    <row r="50" spans="1:30">
      <c r="A50" t="s">
        <v>47</v>
      </c>
      <c r="B50" t="s">
        <v>37</v>
      </c>
      <c r="C50" t="s">
        <v>38</v>
      </c>
      <c r="D50" t="s">
        <v>39</v>
      </c>
      <c r="E50" s="2">
        <v>46073</v>
      </c>
      <c r="F50" t="s">
        <v>40</v>
      </c>
      <c r="G50">
        <v>112.4</v>
      </c>
      <c r="H50">
        <v>75.7</v>
      </c>
      <c r="I50">
        <v>-1957.8</v>
      </c>
      <c r="J50">
        <v>67.3</v>
      </c>
      <c r="K50">
        <v>0</v>
      </c>
      <c r="L50">
        <v>2.2999999999999998</v>
      </c>
      <c r="M50">
        <v>0</v>
      </c>
      <c r="N50">
        <v>69.599999999999994</v>
      </c>
      <c r="O50">
        <v>112.01</v>
      </c>
      <c r="P50">
        <v>113.48</v>
      </c>
      <c r="Q50">
        <v>3.86</v>
      </c>
      <c r="R50">
        <v>3.91</v>
      </c>
      <c r="S50">
        <f t="shared" si="39"/>
        <v>3.246538227264912E-2</v>
      </c>
      <c r="T50">
        <f t="shared" si="40"/>
        <v>1.7793024796211898</v>
      </c>
      <c r="U50">
        <f t="shared" si="2"/>
        <v>0</v>
      </c>
      <c r="V50">
        <f t="shared" si="41"/>
        <v>1.0711083017806495</v>
      </c>
      <c r="W50" t="str">
        <f t="shared" si="4"/>
        <v/>
      </c>
      <c r="X50">
        <f t="shared" si="42"/>
        <v>0.60332920741693563</v>
      </c>
      <c r="Y50" t="str">
        <f t="shared" si="6"/>
        <v/>
      </c>
      <c r="Z50">
        <f t="shared" si="43"/>
        <v>4.5108566442006524E-2</v>
      </c>
      <c r="AA50">
        <f t="shared" si="44"/>
        <v>0.8931061036389808</v>
      </c>
      <c r="AB50">
        <f t="shared" si="45"/>
        <v>1.3166067478272863</v>
      </c>
      <c r="AC50">
        <f t="shared" si="46"/>
        <v>0.25831810479449585</v>
      </c>
      <c r="AD50">
        <f t="shared" si="47"/>
        <v>0.39330573293102244</v>
      </c>
    </row>
    <row r="51" spans="1:30">
      <c r="A51" t="s">
        <v>48</v>
      </c>
      <c r="B51" t="s">
        <v>37</v>
      </c>
      <c r="C51" t="s">
        <v>38</v>
      </c>
      <c r="D51" t="s">
        <v>39</v>
      </c>
      <c r="E51" s="2">
        <v>46079</v>
      </c>
      <c r="F51" t="s">
        <v>34</v>
      </c>
      <c r="G51">
        <v>122.7</v>
      </c>
      <c r="H51">
        <v>83.8</v>
      </c>
      <c r="I51">
        <v>-1957.8</v>
      </c>
      <c r="J51">
        <v>66.400000000000006</v>
      </c>
      <c r="K51">
        <v>0</v>
      </c>
      <c r="L51">
        <v>6.5</v>
      </c>
      <c r="M51">
        <v>0</v>
      </c>
      <c r="N51">
        <v>72.900000000000006</v>
      </c>
      <c r="O51">
        <v>115.53</v>
      </c>
      <c r="P51">
        <v>113.55</v>
      </c>
      <c r="Q51">
        <v>3.83</v>
      </c>
      <c r="R51">
        <v>3.98</v>
      </c>
      <c r="S51">
        <f t="shared" si="39"/>
        <v>2.0333366292569321</v>
      </c>
      <c r="T51">
        <f t="shared" si="40"/>
        <v>1.0913267658534032</v>
      </c>
      <c r="U51">
        <f t="shared" si="2"/>
        <v>0</v>
      </c>
      <c r="V51">
        <f t="shared" si="41"/>
        <v>1.5416537266674788</v>
      </c>
      <c r="W51" t="str">
        <f t="shared" si="4"/>
        <v/>
      </c>
      <c r="X51">
        <f t="shared" si="42"/>
        <v>3.6031299349400361</v>
      </c>
      <c r="Y51" t="str">
        <f t="shared" si="6"/>
        <v/>
      </c>
      <c r="Z51">
        <f t="shared" si="43"/>
        <v>1.4578878618919409</v>
      </c>
      <c r="AA51">
        <f t="shared" si="44"/>
        <v>1.1984021352397782</v>
      </c>
      <c r="AB51">
        <f t="shared" si="45"/>
        <v>1.2663954299093105</v>
      </c>
      <c r="AC51">
        <f t="shared" si="46"/>
        <v>5.8962687311027065E-2</v>
      </c>
      <c r="AD51">
        <f t="shared" si="47"/>
        <v>0.83984536970292256</v>
      </c>
    </row>
    <row r="52" spans="1:30">
      <c r="A52" t="s">
        <v>49</v>
      </c>
      <c r="B52" t="s">
        <v>37</v>
      </c>
      <c r="C52" t="s">
        <v>38</v>
      </c>
      <c r="D52" t="s">
        <v>39</v>
      </c>
      <c r="E52" s="2">
        <v>46079</v>
      </c>
      <c r="F52" t="s">
        <v>40</v>
      </c>
      <c r="G52">
        <v>118.2</v>
      </c>
      <c r="H52">
        <v>84.7</v>
      </c>
      <c r="I52">
        <v>-1957.8</v>
      </c>
      <c r="J52">
        <v>66.8</v>
      </c>
      <c r="K52">
        <v>0</v>
      </c>
      <c r="L52">
        <v>7.4</v>
      </c>
      <c r="M52">
        <v>0</v>
      </c>
      <c r="N52">
        <v>74.2</v>
      </c>
      <c r="O52">
        <v>115.6</v>
      </c>
      <c r="P52">
        <v>116.7</v>
      </c>
      <c r="Q52">
        <v>3.83</v>
      </c>
      <c r="R52">
        <v>3.93</v>
      </c>
      <c r="S52">
        <f t="shared" si="39"/>
        <v>1.1308017698508042</v>
      </c>
      <c r="T52">
        <f t="shared" si="40"/>
        <v>1.4102855709061379</v>
      </c>
      <c r="U52">
        <f t="shared" si="2"/>
        <v>0</v>
      </c>
      <c r="V52">
        <f t="shared" si="41"/>
        <v>1.3325224267177793</v>
      </c>
      <c r="W52" t="str">
        <f t="shared" si="4"/>
        <v/>
      </c>
      <c r="X52">
        <f t="shared" si="42"/>
        <v>4.2459443765521296</v>
      </c>
      <c r="Y52" t="str">
        <f t="shared" si="6"/>
        <v/>
      </c>
      <c r="Z52">
        <f t="shared" si="43"/>
        <v>2.0499773639628862</v>
      </c>
      <c r="AA52">
        <f t="shared" si="44"/>
        <v>1.2399946286265677</v>
      </c>
      <c r="AB52">
        <f t="shared" si="45"/>
        <v>0.99311387639981752</v>
      </c>
      <c r="AC52">
        <f t="shared" si="46"/>
        <v>5.8962687311027065E-2</v>
      </c>
      <c r="AD52">
        <f t="shared" si="47"/>
        <v>0.52088848629442286</v>
      </c>
    </row>
    <row r="53" spans="1:30">
      <c r="A53" t="s">
        <v>48</v>
      </c>
      <c r="B53" t="s">
        <v>37</v>
      </c>
      <c r="C53" t="s">
        <v>38</v>
      </c>
      <c r="D53" t="s">
        <v>39</v>
      </c>
      <c r="E53" s="2">
        <v>46079</v>
      </c>
      <c r="F53" t="s">
        <v>40</v>
      </c>
      <c r="G53">
        <v>116.9</v>
      </c>
      <c r="H53">
        <v>82.9</v>
      </c>
      <c r="I53">
        <v>-1957.8</v>
      </c>
      <c r="J53">
        <v>65.900000000000006</v>
      </c>
      <c r="K53">
        <v>0</v>
      </c>
      <c r="L53">
        <v>2.9</v>
      </c>
      <c r="M53">
        <v>0</v>
      </c>
      <c r="N53">
        <v>68.8</v>
      </c>
      <c r="O53">
        <v>115.38</v>
      </c>
      <c r="P53">
        <v>115.31</v>
      </c>
      <c r="Q53">
        <v>3.76</v>
      </c>
      <c r="R53">
        <v>3.86</v>
      </c>
      <c r="S53">
        <f t="shared" si="39"/>
        <v>0.87006947713347893</v>
      </c>
      <c r="T53">
        <f t="shared" si="40"/>
        <v>0.77236796080067338</v>
      </c>
      <c r="U53">
        <f t="shared" si="2"/>
        <v>0</v>
      </c>
      <c r="V53">
        <f t="shared" si="41"/>
        <v>1.8030678516046088</v>
      </c>
      <c r="W53" t="str">
        <f t="shared" si="4"/>
        <v/>
      </c>
      <c r="X53">
        <f t="shared" si="42"/>
        <v>1.0318721684916643</v>
      </c>
      <c r="Y53" t="str">
        <f t="shared" si="6"/>
        <v/>
      </c>
      <c r="Z53">
        <f t="shared" si="43"/>
        <v>0.40947133694720333</v>
      </c>
      <c r="AA53">
        <f t="shared" si="44"/>
        <v>1.1092753636966459</v>
      </c>
      <c r="AB53">
        <f t="shared" si="45"/>
        <v>3.9394365429391608E-3</v>
      </c>
      <c r="AC53">
        <f t="shared" si="46"/>
        <v>0.40619995348373839</v>
      </c>
      <c r="AD53">
        <f t="shared" si="47"/>
        <v>7.4348849522519939E-2</v>
      </c>
    </row>
    <row r="54" spans="1:30">
      <c r="A54" t="s">
        <v>50</v>
      </c>
      <c r="B54" t="s">
        <v>37</v>
      </c>
      <c r="C54" t="s">
        <v>38</v>
      </c>
      <c r="D54" t="s">
        <v>39</v>
      </c>
      <c r="E54" s="2">
        <v>46079</v>
      </c>
      <c r="F54" t="s">
        <v>40</v>
      </c>
      <c r="G54">
        <v>117.8</v>
      </c>
      <c r="H54">
        <v>82.9</v>
      </c>
      <c r="I54">
        <v>-1957.8</v>
      </c>
      <c r="J54">
        <v>66.400000000000006</v>
      </c>
      <c r="K54">
        <v>0</v>
      </c>
      <c r="L54">
        <v>4.8</v>
      </c>
      <c r="M54">
        <v>0</v>
      </c>
      <c r="N54">
        <v>71.2</v>
      </c>
      <c r="O54">
        <v>115.31</v>
      </c>
      <c r="P54">
        <v>115.38</v>
      </c>
      <c r="Q54">
        <v>3.86</v>
      </c>
      <c r="R54">
        <v>3.91</v>
      </c>
      <c r="S54">
        <f t="shared" si="39"/>
        <v>1.0505764490147029</v>
      </c>
      <c r="T54">
        <f t="shared" si="40"/>
        <v>0.77236796080067338</v>
      </c>
      <c r="U54">
        <f t="shared" si="2"/>
        <v>0</v>
      </c>
      <c r="V54">
        <f t="shared" si="41"/>
        <v>1.5416537266674788</v>
      </c>
      <c r="W54" t="str">
        <f t="shared" si="4"/>
        <v/>
      </c>
      <c r="X54">
        <f t="shared" si="42"/>
        <v>2.3889248785616379</v>
      </c>
      <c r="Y54" t="str">
        <f t="shared" si="6"/>
        <v/>
      </c>
      <c r="Z54">
        <f t="shared" si="43"/>
        <v>0.68361697456839354</v>
      </c>
      <c r="AA54">
        <f t="shared" si="44"/>
        <v>1.0676828703098564</v>
      </c>
      <c r="AB54">
        <f t="shared" si="45"/>
        <v>4.6271881375036482E-2</v>
      </c>
      <c r="AC54">
        <f t="shared" si="46"/>
        <v>0.25831810479449585</v>
      </c>
      <c r="AD54">
        <f t="shared" si="47"/>
        <v>0.39330573293102244</v>
      </c>
    </row>
    <row r="55" spans="1:30">
      <c r="A55" t="s">
        <v>51</v>
      </c>
      <c r="B55" t="s">
        <v>37</v>
      </c>
      <c r="C55" t="s">
        <v>38</v>
      </c>
      <c r="D55" t="s">
        <v>39</v>
      </c>
      <c r="E55" s="2">
        <v>46079</v>
      </c>
      <c r="F55" t="s">
        <v>40</v>
      </c>
      <c r="G55">
        <v>112.9</v>
      </c>
      <c r="H55">
        <v>80.2</v>
      </c>
      <c r="I55">
        <v>-1957.8</v>
      </c>
      <c r="J55">
        <v>65</v>
      </c>
      <c r="K55">
        <v>0</v>
      </c>
      <c r="L55">
        <v>2.6</v>
      </c>
      <c r="M55">
        <v>0</v>
      </c>
      <c r="N55">
        <v>67.599999999999994</v>
      </c>
      <c r="O55">
        <v>112.3</v>
      </c>
      <c r="P55">
        <v>116.48</v>
      </c>
      <c r="Q55">
        <v>3.76</v>
      </c>
      <c r="R55">
        <v>3.78</v>
      </c>
      <c r="S55">
        <f t="shared" si="39"/>
        <v>6.7816268772476221E-2</v>
      </c>
      <c r="T55">
        <f t="shared" si="40"/>
        <v>0.18450845435752589</v>
      </c>
      <c r="U55">
        <f t="shared" si="2"/>
        <v>0</v>
      </c>
      <c r="V55">
        <f t="shared" si="41"/>
        <v>2.2736132764914454</v>
      </c>
      <c r="W55" t="str">
        <f t="shared" si="4"/>
        <v/>
      </c>
      <c r="X55">
        <f t="shared" si="42"/>
        <v>0.81760068795430019</v>
      </c>
      <c r="Y55" t="str">
        <f t="shared" si="6"/>
        <v/>
      </c>
      <c r="Z55">
        <f t="shared" si="43"/>
        <v>0.95601549270500175</v>
      </c>
      <c r="AA55">
        <f t="shared" si="44"/>
        <v>0.72079434532226938</v>
      </c>
      <c r="AB55">
        <f t="shared" si="45"/>
        <v>0.83530687722902242</v>
      </c>
      <c r="AC55">
        <f t="shared" si="46"/>
        <v>0.40619995348373839</v>
      </c>
      <c r="AD55">
        <f t="shared" si="47"/>
        <v>0.4359821639310818</v>
      </c>
    </row>
    <row r="56" spans="1:30">
      <c r="A56" t="s">
        <v>52</v>
      </c>
      <c r="B56" t="s">
        <v>37</v>
      </c>
      <c r="C56" t="s">
        <v>38</v>
      </c>
      <c r="D56" t="s">
        <v>39</v>
      </c>
      <c r="E56" s="2">
        <v>46079</v>
      </c>
      <c r="F56" t="s">
        <v>40</v>
      </c>
      <c r="G56">
        <v>109.3</v>
      </c>
      <c r="H56">
        <v>76.099999999999994</v>
      </c>
      <c r="I56">
        <v>-1957.8</v>
      </c>
      <c r="J56">
        <v>65</v>
      </c>
      <c r="K56">
        <v>0</v>
      </c>
      <c r="L56">
        <v>2.9</v>
      </c>
      <c r="M56">
        <v>0</v>
      </c>
      <c r="N56">
        <v>67.900000000000006</v>
      </c>
      <c r="O56">
        <v>112.38</v>
      </c>
      <c r="P56">
        <v>116.63</v>
      </c>
      <c r="Q56">
        <v>3.78</v>
      </c>
      <c r="R56">
        <v>3.74</v>
      </c>
      <c r="S56">
        <f t="shared" si="39"/>
        <v>0.65421161875242795</v>
      </c>
      <c r="T56">
        <f t="shared" si="40"/>
        <v>1.6375430107088671</v>
      </c>
      <c r="U56">
        <f t="shared" si="2"/>
        <v>0</v>
      </c>
      <c r="V56">
        <f t="shared" si="41"/>
        <v>2.2736132764914454</v>
      </c>
      <c r="W56" t="str">
        <f t="shared" si="4"/>
        <v/>
      </c>
      <c r="X56">
        <f t="shared" si="42"/>
        <v>1.0318721684916643</v>
      </c>
      <c r="Y56" t="str">
        <f t="shared" si="6"/>
        <v/>
      </c>
      <c r="Z56">
        <f t="shared" si="43"/>
        <v>0.81937945376554733</v>
      </c>
      <c r="AA56">
        <f t="shared" si="44"/>
        <v>0.67326006716593501</v>
      </c>
      <c r="AB56">
        <f t="shared" si="45"/>
        <v>0.94290255848183169</v>
      </c>
      <c r="AC56">
        <f t="shared" si="46"/>
        <v>0.27329634182809154</v>
      </c>
      <c r="AD56">
        <f t="shared" si="47"/>
        <v>0.69114767065787985</v>
      </c>
    </row>
    <row r="57" spans="1:30">
      <c r="A57" t="s">
        <v>53</v>
      </c>
      <c r="B57" t="s">
        <v>37</v>
      </c>
      <c r="C57" t="s">
        <v>38</v>
      </c>
      <c r="D57" t="s">
        <v>39</v>
      </c>
      <c r="E57" s="2">
        <v>46079</v>
      </c>
      <c r="F57" t="s">
        <v>40</v>
      </c>
      <c r="G57">
        <v>115.5</v>
      </c>
      <c r="H57">
        <v>78.900000000000006</v>
      </c>
      <c r="I57">
        <v>-1957.8</v>
      </c>
      <c r="J57">
        <v>65.900000000000006</v>
      </c>
      <c r="K57">
        <v>0</v>
      </c>
      <c r="L57">
        <v>5.0999999999999996</v>
      </c>
      <c r="M57">
        <v>0</v>
      </c>
      <c r="N57">
        <v>71</v>
      </c>
      <c r="O57">
        <v>112.01</v>
      </c>
      <c r="P57">
        <v>116.7</v>
      </c>
      <c r="Q57">
        <v>3.83</v>
      </c>
      <c r="R57">
        <v>3.78</v>
      </c>
      <c r="S57">
        <f t="shared" si="39"/>
        <v>0.58928085420712684</v>
      </c>
      <c r="T57">
        <f t="shared" si="40"/>
        <v>0.64522672832258332</v>
      </c>
      <c r="U57">
        <f t="shared" si="2"/>
        <v>0</v>
      </c>
      <c r="V57">
        <f t="shared" si="41"/>
        <v>1.8030678516046088</v>
      </c>
      <c r="W57" t="str">
        <f t="shared" si="4"/>
        <v/>
      </c>
      <c r="X57">
        <f t="shared" si="42"/>
        <v>2.6031963590990022</v>
      </c>
      <c r="Y57" t="str">
        <f t="shared" si="6"/>
        <v/>
      </c>
      <c r="Z57">
        <f t="shared" si="43"/>
        <v>0.59252628194209278</v>
      </c>
      <c r="AA57">
        <f t="shared" si="44"/>
        <v>0.8931061036389808</v>
      </c>
      <c r="AB57">
        <f t="shared" si="45"/>
        <v>0.99311387639981752</v>
      </c>
      <c r="AC57">
        <f t="shared" si="46"/>
        <v>5.8962687311027065E-2</v>
      </c>
      <c r="AD57">
        <f t="shared" si="47"/>
        <v>0.4359821639310818</v>
      </c>
    </row>
    <row r="58" spans="1:30">
      <c r="A58" t="s">
        <v>54</v>
      </c>
      <c r="B58" t="s">
        <v>37</v>
      </c>
      <c r="C58" t="s">
        <v>38</v>
      </c>
      <c r="D58" t="s">
        <v>39</v>
      </c>
      <c r="E58" s="2">
        <v>46080</v>
      </c>
      <c r="F58" t="s">
        <v>40</v>
      </c>
      <c r="G58">
        <v>108.8</v>
      </c>
      <c r="H58">
        <v>76.099999999999994</v>
      </c>
      <c r="I58">
        <v>-1957.8</v>
      </c>
      <c r="J58">
        <v>65</v>
      </c>
      <c r="K58">
        <v>0</v>
      </c>
      <c r="L58">
        <v>3</v>
      </c>
      <c r="M58">
        <v>0</v>
      </c>
      <c r="N58">
        <v>68</v>
      </c>
      <c r="O58">
        <v>111.72</v>
      </c>
      <c r="P58">
        <v>113.18</v>
      </c>
      <c r="Q58">
        <v>3.78</v>
      </c>
      <c r="R58">
        <v>3.76</v>
      </c>
      <c r="S58">
        <f t="shared" si="39"/>
        <v>0.75449326979755327</v>
      </c>
      <c r="T58">
        <f t="shared" si="40"/>
        <v>1.6375430107088671</v>
      </c>
      <c r="U58">
        <f t="shared" si="2"/>
        <v>0</v>
      </c>
      <c r="V58">
        <f t="shared" si="41"/>
        <v>2.2736132764914454</v>
      </c>
      <c r="W58" t="str">
        <f t="shared" si="4"/>
        <v/>
      </c>
      <c r="X58">
        <f t="shared" si="42"/>
        <v>1.1032959953374524</v>
      </c>
      <c r="Y58" t="str">
        <f t="shared" si="6"/>
        <v/>
      </c>
      <c r="Z58">
        <f t="shared" si="43"/>
        <v>0.77383410745240011</v>
      </c>
      <c r="AA58">
        <f t="shared" si="44"/>
        <v>1.0654178619557007</v>
      </c>
      <c r="AB58">
        <f t="shared" si="45"/>
        <v>1.531798110332915</v>
      </c>
      <c r="AC58">
        <f t="shared" si="46"/>
        <v>0.27329634182809154</v>
      </c>
      <c r="AD58">
        <f t="shared" si="47"/>
        <v>0.56356491729448221</v>
      </c>
    </row>
    <row r="59" spans="1:30">
      <c r="A59" t="s">
        <v>55</v>
      </c>
      <c r="B59" t="s">
        <v>37</v>
      </c>
      <c r="C59" t="s">
        <v>38</v>
      </c>
      <c r="D59" t="s">
        <v>39</v>
      </c>
      <c r="E59" s="2">
        <v>46080</v>
      </c>
      <c r="F59" t="s">
        <v>40</v>
      </c>
      <c r="G59">
        <v>111.1</v>
      </c>
      <c r="H59">
        <v>78.900000000000006</v>
      </c>
      <c r="I59">
        <v>-1957.8</v>
      </c>
      <c r="J59">
        <v>65</v>
      </c>
      <c r="K59">
        <v>0</v>
      </c>
      <c r="L59">
        <v>2.2000000000000002</v>
      </c>
      <c r="M59">
        <v>0</v>
      </c>
      <c r="N59">
        <v>67.2</v>
      </c>
      <c r="O59">
        <v>111.94</v>
      </c>
      <c r="P59">
        <v>116.63</v>
      </c>
      <c r="Q59">
        <v>3.78</v>
      </c>
      <c r="R59">
        <v>3.78</v>
      </c>
      <c r="S59">
        <f t="shared" si="39"/>
        <v>0.29319767498997729</v>
      </c>
      <c r="T59">
        <f t="shared" si="40"/>
        <v>0.64522672832258332</v>
      </c>
      <c r="U59">
        <f t="shared" si="2"/>
        <v>0</v>
      </c>
      <c r="V59">
        <f t="shared" si="41"/>
        <v>2.2736132764914454</v>
      </c>
      <c r="W59" t="str">
        <f t="shared" si="4"/>
        <v/>
      </c>
      <c r="X59">
        <f t="shared" si="42"/>
        <v>0.53190538057114778</v>
      </c>
      <c r="Y59" t="str">
        <f t="shared" si="6"/>
        <v/>
      </c>
      <c r="Z59">
        <f t="shared" si="43"/>
        <v>1.1381968779575968</v>
      </c>
      <c r="AA59">
        <f t="shared" si="44"/>
        <v>0.93469859702577884</v>
      </c>
      <c r="AB59">
        <f t="shared" si="45"/>
        <v>0.94290255848183169</v>
      </c>
      <c r="AC59">
        <f t="shared" si="46"/>
        <v>0.27329634182809154</v>
      </c>
      <c r="AD59">
        <f t="shared" si="47"/>
        <v>0.4359821639310818</v>
      </c>
    </row>
    <row r="60" spans="1:30">
      <c r="A60" t="s">
        <v>56</v>
      </c>
      <c r="B60" t="s">
        <v>37</v>
      </c>
      <c r="C60" t="s">
        <v>38</v>
      </c>
      <c r="D60" t="s">
        <v>39</v>
      </c>
      <c r="E60" s="2">
        <v>46080</v>
      </c>
      <c r="F60" t="s">
        <v>40</v>
      </c>
      <c r="G60">
        <v>117.8</v>
      </c>
      <c r="H60">
        <v>83.8</v>
      </c>
      <c r="I60">
        <v>-1957.8</v>
      </c>
      <c r="J60">
        <v>67.3</v>
      </c>
      <c r="K60">
        <v>0</v>
      </c>
      <c r="L60">
        <v>5.8</v>
      </c>
      <c r="M60">
        <v>0</v>
      </c>
      <c r="N60">
        <v>73.099999999999994</v>
      </c>
      <c r="O60">
        <v>115.16</v>
      </c>
      <c r="P60">
        <v>115.16</v>
      </c>
      <c r="Q60">
        <v>3.91</v>
      </c>
      <c r="R60">
        <v>3.83</v>
      </c>
      <c r="S60">
        <f t="shared" si="39"/>
        <v>1.0505764490147029</v>
      </c>
      <c r="T60">
        <f t="shared" si="40"/>
        <v>1.0913267658534032</v>
      </c>
      <c r="U60">
        <f t="shared" si="2"/>
        <v>0</v>
      </c>
      <c r="V60">
        <f t="shared" si="41"/>
        <v>1.0711083017806495</v>
      </c>
      <c r="W60" t="str">
        <f t="shared" si="4"/>
        <v/>
      </c>
      <c r="X60">
        <f t="shared" si="42"/>
        <v>3.1031631470195187</v>
      </c>
      <c r="Y60" t="str">
        <f t="shared" si="6"/>
        <v/>
      </c>
      <c r="Z60">
        <f t="shared" si="43"/>
        <v>1.5489785545182351</v>
      </c>
      <c r="AA60">
        <f t="shared" si="44"/>
        <v>0.978556098766724</v>
      </c>
      <c r="AB60">
        <f t="shared" si="45"/>
        <v>0.11153511779575867</v>
      </c>
      <c r="AC60">
        <f t="shared" si="46"/>
        <v>0.59057713393361444</v>
      </c>
      <c r="AD60">
        <f t="shared" si="47"/>
        <v>0.11702528052257931</v>
      </c>
    </row>
    <row r="61" spans="1:30">
      <c r="A61" t="s">
        <v>57</v>
      </c>
      <c r="B61" t="s">
        <v>37</v>
      </c>
      <c r="C61" t="s">
        <v>38</v>
      </c>
      <c r="D61" t="s">
        <v>39</v>
      </c>
      <c r="E61" s="2">
        <v>46080</v>
      </c>
      <c r="F61" t="s">
        <v>40</v>
      </c>
      <c r="G61">
        <v>110.2</v>
      </c>
      <c r="H61">
        <v>77</v>
      </c>
      <c r="I61">
        <v>-1957.8</v>
      </c>
      <c r="J61">
        <v>67.7</v>
      </c>
      <c r="K61">
        <v>0</v>
      </c>
      <c r="L61">
        <v>5.2</v>
      </c>
      <c r="M61">
        <v>0</v>
      </c>
      <c r="N61">
        <v>72.900000000000006</v>
      </c>
      <c r="O61">
        <v>110.98</v>
      </c>
      <c r="P61">
        <v>117.22</v>
      </c>
      <c r="Q61">
        <v>3.78</v>
      </c>
      <c r="R61">
        <v>3.69</v>
      </c>
      <c r="S61">
        <f t="shared" si="39"/>
        <v>0.47370464687120117</v>
      </c>
      <c r="T61">
        <f t="shared" si="40"/>
        <v>1.3185842056561323</v>
      </c>
      <c r="U61">
        <f t="shared" si="2"/>
        <v>0</v>
      </c>
      <c r="V61">
        <f t="shared" si="41"/>
        <v>0.86197700183094261</v>
      </c>
      <c r="W61" t="str">
        <f t="shared" si="4"/>
        <v/>
      </c>
      <c r="X61">
        <f t="shared" si="42"/>
        <v>2.6746201859447907</v>
      </c>
      <c r="Y61" t="str">
        <f t="shared" si="6"/>
        <v/>
      </c>
      <c r="Z61">
        <f t="shared" si="43"/>
        <v>1.4578878618919409</v>
      </c>
      <c r="AA61">
        <f t="shared" si="44"/>
        <v>1.5051099349018009</v>
      </c>
      <c r="AB61">
        <f t="shared" si="45"/>
        <v>1.3661122380762416</v>
      </c>
      <c r="AC61">
        <f t="shared" si="46"/>
        <v>0.27329634182809154</v>
      </c>
      <c r="AD61">
        <f t="shared" si="47"/>
        <v>1.0101045540663824</v>
      </c>
    </row>
    <row r="62" spans="1:30">
      <c r="A62" t="s">
        <v>58</v>
      </c>
      <c r="B62" t="s">
        <v>31</v>
      </c>
      <c r="C62" t="s">
        <v>32</v>
      </c>
      <c r="D62" t="s">
        <v>33</v>
      </c>
      <c r="E62" s="2">
        <v>46080</v>
      </c>
      <c r="F62" t="s">
        <v>34</v>
      </c>
      <c r="G62">
        <v>154.4</v>
      </c>
      <c r="H62">
        <v>102.3</v>
      </c>
      <c r="I62">
        <v>-1957.8</v>
      </c>
      <c r="J62">
        <v>67.3</v>
      </c>
      <c r="K62">
        <v>0</v>
      </c>
      <c r="L62">
        <v>4.5</v>
      </c>
      <c r="M62">
        <v>0</v>
      </c>
      <c r="N62">
        <v>71.8</v>
      </c>
      <c r="O62">
        <v>114.87</v>
      </c>
      <c r="P62">
        <v>114.94</v>
      </c>
      <c r="Q62">
        <v>8.5</v>
      </c>
      <c r="R62">
        <v>8.4</v>
      </c>
      <c r="S62">
        <f t="shared" ref="S62:S68" si="48">IF(OR(G62=0,G62=""),"",ABS((G62-152.740594)/5.729485))</f>
        <v>0.28962568188938764</v>
      </c>
      <c r="T62">
        <f t="shared" ref="T62:T68" si="49">IF(OR(H62=0,H62=""),"",ABS((H62-96.426733)/5.037499))</f>
        <v>1.1659093133318732</v>
      </c>
      <c r="U62">
        <f t="shared" si="2"/>
        <v>0</v>
      </c>
      <c r="V62">
        <f t="shared" ref="V62:V68" si="50">IF(OR(J62=0,J62=""),"",ABS((J62-69.40099)/2.222902))</f>
        <v>0.94515637666437657</v>
      </c>
      <c r="W62" t="str">
        <f t="shared" si="4"/>
        <v/>
      </c>
      <c r="X62">
        <f t="shared" ref="X62:X68" si="51">IF(OR(L62=0,L62=""),"",ABS((L62-1.849749)/1.393269))</f>
        <v>1.9021818471522727</v>
      </c>
      <c r="Y62" t="str">
        <f t="shared" si="6"/>
        <v/>
      </c>
      <c r="Z62">
        <f t="shared" ref="Z62:Z68" si="52">IF(OR(N62=0,N62=""),"",ABS((N62-69.231188)/2.519549))</f>
        <v>1.019552308766368</v>
      </c>
      <c r="AA62">
        <f t="shared" ref="AA62:AA68" si="53">IF(OR(O62=0,O62=""),"",ABS((O62-113.18)/1.73698))</f>
        <v>0.97295305645430441</v>
      </c>
      <c r="AB62">
        <f t="shared" ref="AB62:AB68" si="54">IF(OR(P62=0,P62=""),"",ABS((P62-114.765594)/1.645198))</f>
        <v>0.10600912473757246</v>
      </c>
      <c r="AC62">
        <f t="shared" ref="AC62:AC68" si="55">IF(OR(Q62=0,Q62=""),"",ABS((Q62-8.040149)/0.55663))</f>
        <v>0.82613405673427676</v>
      </c>
      <c r="AD62">
        <f t="shared" ref="AD62:AD68" si="56">IF(OR(R62=0,R62=""),"",ABS((R62-7.915297)/0.399795))</f>
        <v>1.2123788441576322</v>
      </c>
    </row>
    <row r="63" spans="1:30">
      <c r="A63" t="s">
        <v>58</v>
      </c>
      <c r="B63" t="s">
        <v>31</v>
      </c>
      <c r="C63" t="s">
        <v>32</v>
      </c>
      <c r="D63" t="s">
        <v>33</v>
      </c>
      <c r="E63" s="2">
        <v>46080</v>
      </c>
      <c r="F63" t="s">
        <v>40</v>
      </c>
      <c r="G63">
        <v>152.6</v>
      </c>
      <c r="H63">
        <v>101.9</v>
      </c>
      <c r="I63">
        <v>-1957.8</v>
      </c>
      <c r="J63">
        <v>68.2</v>
      </c>
      <c r="K63">
        <v>0</v>
      </c>
      <c r="L63">
        <v>5.8</v>
      </c>
      <c r="M63">
        <v>0</v>
      </c>
      <c r="N63">
        <v>74</v>
      </c>
      <c r="O63">
        <v>111.72</v>
      </c>
      <c r="P63">
        <v>113.26</v>
      </c>
      <c r="Q63">
        <v>8.23</v>
      </c>
      <c r="R63">
        <v>8.3000000000000007</v>
      </c>
      <c r="S63">
        <f t="shared" si="48"/>
        <v>2.4538680178060157E-2</v>
      </c>
      <c r="T63">
        <f t="shared" si="49"/>
        <v>1.0865048310679579</v>
      </c>
      <c r="U63">
        <f t="shared" si="2"/>
        <v>0</v>
      </c>
      <c r="V63">
        <f t="shared" si="50"/>
        <v>0.54028022827816535</v>
      </c>
      <c r="W63" t="str">
        <f t="shared" si="4"/>
        <v/>
      </c>
      <c r="X63">
        <f t="shared" si="51"/>
        <v>2.8352392825793147</v>
      </c>
      <c r="Y63" t="str">
        <f t="shared" si="6"/>
        <v/>
      </c>
      <c r="Z63">
        <f t="shared" si="52"/>
        <v>1.8927244518761084</v>
      </c>
      <c r="AA63">
        <f t="shared" si="53"/>
        <v>0.84053932687768884</v>
      </c>
      <c r="AB63">
        <f t="shared" si="54"/>
        <v>0.91514456010765144</v>
      </c>
      <c r="AC63">
        <f t="shared" si="55"/>
        <v>0.34107216643012572</v>
      </c>
      <c r="AD63">
        <f t="shared" si="56"/>
        <v>0.96225065345990046</v>
      </c>
    </row>
    <row r="64" spans="1:30">
      <c r="A64" t="s">
        <v>59</v>
      </c>
      <c r="B64" t="s">
        <v>31</v>
      </c>
      <c r="C64" t="s">
        <v>32</v>
      </c>
      <c r="D64" t="s">
        <v>33</v>
      </c>
      <c r="E64" s="2">
        <v>46080</v>
      </c>
      <c r="F64" t="s">
        <v>40</v>
      </c>
      <c r="G64">
        <v>146.4</v>
      </c>
      <c r="H64">
        <v>89.2</v>
      </c>
      <c r="I64">
        <v>-1957.8</v>
      </c>
      <c r="J64">
        <v>68.2</v>
      </c>
      <c r="K64">
        <v>0</v>
      </c>
      <c r="L64">
        <v>2.2999999999999998</v>
      </c>
      <c r="M64">
        <v>0</v>
      </c>
      <c r="N64">
        <v>70.5</v>
      </c>
      <c r="O64">
        <v>111.64</v>
      </c>
      <c r="P64">
        <v>113.33</v>
      </c>
      <c r="Q64">
        <v>8.23</v>
      </c>
      <c r="R64">
        <v>8.25</v>
      </c>
      <c r="S64">
        <f t="shared" si="48"/>
        <v>1.1066603717437049</v>
      </c>
      <c r="T64">
        <f t="shared" si="49"/>
        <v>1.4345874808114096</v>
      </c>
      <c r="U64">
        <f t="shared" si="2"/>
        <v>0</v>
      </c>
      <c r="V64">
        <f t="shared" si="50"/>
        <v>0.54028022827816535</v>
      </c>
      <c r="W64" t="str">
        <f t="shared" si="4"/>
        <v/>
      </c>
      <c r="X64">
        <f t="shared" si="51"/>
        <v>0.3231615718142008</v>
      </c>
      <c r="Y64" t="str">
        <f t="shared" si="6"/>
        <v/>
      </c>
      <c r="Z64">
        <f t="shared" si="52"/>
        <v>0.5035869514742507</v>
      </c>
      <c r="AA64">
        <f t="shared" si="53"/>
        <v>0.88659627629564319</v>
      </c>
      <c r="AB64">
        <f t="shared" si="54"/>
        <v>0.8725964899057711</v>
      </c>
      <c r="AC64">
        <f t="shared" si="55"/>
        <v>0.34107216643012572</v>
      </c>
      <c r="AD64">
        <f t="shared" si="56"/>
        <v>0.83718655811103238</v>
      </c>
    </row>
    <row r="65" spans="1:30">
      <c r="A65" t="s">
        <v>60</v>
      </c>
      <c r="B65" t="s">
        <v>31</v>
      </c>
      <c r="C65" t="s">
        <v>32</v>
      </c>
      <c r="D65" t="s">
        <v>33</v>
      </c>
      <c r="E65" s="2">
        <v>46080</v>
      </c>
      <c r="F65" t="s">
        <v>34</v>
      </c>
      <c r="G65">
        <v>163.80000000000001</v>
      </c>
      <c r="H65">
        <v>88.3</v>
      </c>
      <c r="I65">
        <v>-1957.8</v>
      </c>
      <c r="J65">
        <v>68.2</v>
      </c>
      <c r="K65">
        <v>0</v>
      </c>
      <c r="L65">
        <v>4</v>
      </c>
      <c r="M65">
        <v>0</v>
      </c>
      <c r="N65">
        <v>72.2</v>
      </c>
      <c r="O65">
        <v>112.16</v>
      </c>
      <c r="P65">
        <v>113.48</v>
      </c>
      <c r="Q65">
        <v>7.76</v>
      </c>
      <c r="R65">
        <v>8.06</v>
      </c>
      <c r="S65">
        <f t="shared" si="48"/>
        <v>1.9302617949082725</v>
      </c>
      <c r="T65">
        <f t="shared" si="49"/>
        <v>1.6132475659052241</v>
      </c>
      <c r="U65">
        <f t="shared" si="2"/>
        <v>0</v>
      </c>
      <c r="V65">
        <f t="shared" si="50"/>
        <v>0.54028022827816535</v>
      </c>
      <c r="W65" t="str">
        <f t="shared" si="4"/>
        <v/>
      </c>
      <c r="X65">
        <f t="shared" si="51"/>
        <v>1.5433136027572563</v>
      </c>
      <c r="Y65" t="str">
        <f t="shared" si="6"/>
        <v/>
      </c>
      <c r="Z65">
        <f t="shared" si="52"/>
        <v>1.1783108802408684</v>
      </c>
      <c r="AA65">
        <f t="shared" si="53"/>
        <v>0.58722610507893602</v>
      </c>
      <c r="AB65">
        <f t="shared" si="54"/>
        <v>0.78142205375887219</v>
      </c>
      <c r="AC65">
        <f t="shared" si="55"/>
        <v>0.50329482780302859</v>
      </c>
      <c r="AD65">
        <f t="shared" si="56"/>
        <v>0.36194299578534173</v>
      </c>
    </row>
    <row r="66" spans="1:30">
      <c r="A66" t="s">
        <v>61</v>
      </c>
      <c r="B66" t="s">
        <v>31</v>
      </c>
      <c r="C66" t="s">
        <v>32</v>
      </c>
      <c r="D66" t="s">
        <v>33</v>
      </c>
      <c r="E66" s="2">
        <v>46080</v>
      </c>
      <c r="F66" t="s">
        <v>40</v>
      </c>
      <c r="G66">
        <v>158</v>
      </c>
      <c r="H66">
        <v>92.4</v>
      </c>
      <c r="I66">
        <v>-1957.8</v>
      </c>
      <c r="J66">
        <v>68.2</v>
      </c>
      <c r="K66">
        <v>0</v>
      </c>
      <c r="L66">
        <v>1.4</v>
      </c>
      <c r="M66">
        <v>0</v>
      </c>
      <c r="N66">
        <v>69.599999999999994</v>
      </c>
      <c r="O66">
        <v>115.6</v>
      </c>
      <c r="P66">
        <v>113.7</v>
      </c>
      <c r="Q66">
        <v>7.1</v>
      </c>
      <c r="R66">
        <v>7.35</v>
      </c>
      <c r="S66">
        <f t="shared" si="48"/>
        <v>0.91795440602427836</v>
      </c>
      <c r="T66">
        <f t="shared" si="49"/>
        <v>0.79935162270007254</v>
      </c>
      <c r="U66">
        <f t="shared" ref="U66:U129" si="57">IF(OR(I66=0,I66=""),"",ABS((I66--1957.8)/1))</f>
        <v>0</v>
      </c>
      <c r="V66">
        <f t="shared" si="50"/>
        <v>0.54028022827816535</v>
      </c>
      <c r="W66" t="str">
        <f t="shared" ref="W66:W129" si="58">IF(OR(K66=0,K66=""),"",ABS((K66-0)/1))</f>
        <v/>
      </c>
      <c r="X66">
        <f t="shared" si="51"/>
        <v>0.32280126809682852</v>
      </c>
      <c r="Y66" t="str">
        <f t="shared" ref="Y66:Y129" si="59">IF(OR(M66=0,M66=""),"",ABS((M66-0)/1))</f>
        <v/>
      </c>
      <c r="Z66">
        <f t="shared" si="52"/>
        <v>0.14638016565662793</v>
      </c>
      <c r="AA66">
        <f t="shared" si="53"/>
        <v>1.3932227198931406</v>
      </c>
      <c r="AB66">
        <f t="shared" si="54"/>
        <v>0.64769954741009306</v>
      </c>
      <c r="AC66">
        <f t="shared" si="55"/>
        <v>1.6890016707687332</v>
      </c>
      <c r="AD66">
        <f t="shared" si="56"/>
        <v>1.4139671581685618</v>
      </c>
    </row>
    <row r="67" spans="1:30">
      <c r="A67" t="s">
        <v>60</v>
      </c>
      <c r="B67" t="s">
        <v>31</v>
      </c>
      <c r="C67" t="s">
        <v>32</v>
      </c>
      <c r="D67" t="s">
        <v>33</v>
      </c>
      <c r="E67" s="2">
        <v>46080</v>
      </c>
      <c r="F67" t="s">
        <v>40</v>
      </c>
      <c r="G67">
        <v>159.30000000000001</v>
      </c>
      <c r="H67">
        <v>92.8</v>
      </c>
      <c r="I67">
        <v>-1957.8</v>
      </c>
      <c r="J67">
        <v>67.3</v>
      </c>
      <c r="K67">
        <v>0</v>
      </c>
      <c r="L67">
        <v>0.6</v>
      </c>
      <c r="M67">
        <v>0</v>
      </c>
      <c r="N67">
        <v>67.900000000000006</v>
      </c>
      <c r="O67">
        <v>115.53</v>
      </c>
      <c r="P67">
        <v>113.77</v>
      </c>
      <c r="Q67">
        <v>7.13</v>
      </c>
      <c r="R67">
        <v>7.69</v>
      </c>
      <c r="S67">
        <f t="shared" si="48"/>
        <v>1.1448508897396579</v>
      </c>
      <c r="T67">
        <f t="shared" si="49"/>
        <v>0.71994714043615715</v>
      </c>
      <c r="U67">
        <f t="shared" si="57"/>
        <v>0</v>
      </c>
      <c r="V67">
        <f t="shared" si="50"/>
        <v>0.94515637666437657</v>
      </c>
      <c r="W67" t="str">
        <f t="shared" si="58"/>
        <v/>
      </c>
      <c r="X67">
        <f t="shared" si="51"/>
        <v>0.89699045912885444</v>
      </c>
      <c r="Y67" t="str">
        <f t="shared" si="59"/>
        <v/>
      </c>
      <c r="Z67">
        <f t="shared" si="52"/>
        <v>0.5283437631099841</v>
      </c>
      <c r="AA67">
        <f t="shared" si="53"/>
        <v>1.3529228891524336</v>
      </c>
      <c r="AB67">
        <f t="shared" si="54"/>
        <v>0.60515147720821261</v>
      </c>
      <c r="AC67">
        <f t="shared" si="55"/>
        <v>1.6351059051793826</v>
      </c>
      <c r="AD67">
        <f t="shared" si="56"/>
        <v>0.56353130979626909</v>
      </c>
    </row>
    <row r="68" spans="1:30">
      <c r="A68" t="s">
        <v>62</v>
      </c>
      <c r="B68" t="s">
        <v>31</v>
      </c>
      <c r="C68" t="s">
        <v>32</v>
      </c>
      <c r="D68" t="s">
        <v>33</v>
      </c>
      <c r="E68" s="2">
        <v>46081</v>
      </c>
      <c r="F68" t="s">
        <v>40</v>
      </c>
      <c r="G68">
        <v>148.6</v>
      </c>
      <c r="H68">
        <v>88.8</v>
      </c>
      <c r="I68">
        <v>-1957.8</v>
      </c>
      <c r="J68">
        <v>64.599999999999994</v>
      </c>
      <c r="K68">
        <v>0</v>
      </c>
      <c r="L68">
        <v>2.7</v>
      </c>
      <c r="M68">
        <v>0</v>
      </c>
      <c r="N68">
        <v>67.3</v>
      </c>
      <c r="O68">
        <v>112.16</v>
      </c>
      <c r="P68">
        <v>113.33</v>
      </c>
      <c r="Q68">
        <v>7.13</v>
      </c>
      <c r="R68">
        <v>7.54</v>
      </c>
      <c r="S68">
        <f t="shared" si="48"/>
        <v>0.72268170699460643</v>
      </c>
      <c r="T68">
        <f t="shared" si="49"/>
        <v>1.5139919630753278</v>
      </c>
      <c r="U68">
        <f t="shared" si="57"/>
        <v>0</v>
      </c>
      <c r="V68">
        <f t="shared" si="50"/>
        <v>2.159784821823004</v>
      </c>
      <c r="W68" t="str">
        <f t="shared" si="58"/>
        <v/>
      </c>
      <c r="X68">
        <f t="shared" si="51"/>
        <v>0.61025616733021404</v>
      </c>
      <c r="Y68" t="str">
        <f t="shared" si="59"/>
        <v/>
      </c>
      <c r="Z68">
        <f t="shared" si="52"/>
        <v>0.7664816203217345</v>
      </c>
      <c r="AA68">
        <f t="shared" si="53"/>
        <v>0.58722610507893602</v>
      </c>
      <c r="AB68">
        <f t="shared" si="54"/>
        <v>0.8725964899057711</v>
      </c>
      <c r="AC68">
        <f t="shared" si="55"/>
        <v>1.6351059051793826</v>
      </c>
      <c r="AD68">
        <f t="shared" si="56"/>
        <v>0.93872359584286891</v>
      </c>
    </row>
    <row r="69" spans="1:30">
      <c r="A69" t="s">
        <v>63</v>
      </c>
      <c r="B69" t="s">
        <v>37</v>
      </c>
      <c r="C69" t="s">
        <v>38</v>
      </c>
      <c r="D69" t="s">
        <v>39</v>
      </c>
      <c r="E69" s="2">
        <v>46081</v>
      </c>
      <c r="F69" t="s">
        <v>34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tr">
        <f t="shared" ref="S69:S80" si="60">IF(OR(G69=0,G69=""),"",ABS((G69-112.561871)/4.985957))</f>
        <v/>
      </c>
      <c r="T69" t="str">
        <f t="shared" ref="T69:T80" si="61">IF(OR(H69=0,H69=""),"",ABS((H69-80.720624)/2.821681))</f>
        <v/>
      </c>
      <c r="U69" t="str">
        <f t="shared" si="57"/>
        <v/>
      </c>
      <c r="V69" t="str">
        <f t="shared" ref="V69:V80" si="62">IF(OR(J69=0,J69=""),"",ABS((J69-69.348681)/1.912674))</f>
        <v/>
      </c>
      <c r="W69" t="str">
        <f t="shared" si="58"/>
        <v/>
      </c>
      <c r="X69" t="str">
        <f t="shared" ref="X69:X80" si="63">IF(OR(L69=0,L69=""),"",ABS((L69-1.455283)/1.400093))</f>
        <v/>
      </c>
      <c r="Y69" t="str">
        <f t="shared" si="59"/>
        <v/>
      </c>
      <c r="Z69" t="str">
        <f t="shared" ref="Z69:Z80" si="64">IF(OR(N69=0,N69=""),"",ABS((N69-69.699041)/2.195614))</f>
        <v/>
      </c>
      <c r="AA69" t="str">
        <f t="shared" ref="AA69:AA80" si="65">IF(OR(O69=0,O69=""),"",ABS((O69-113.513094)/1.682996))</f>
        <v/>
      </c>
      <c r="AB69" t="str">
        <f t="shared" ref="AB69:AB80" si="66">IF(OR(P69=0,P69=""),"",ABS((P69-115.315492)/1.394108))</f>
        <v/>
      </c>
      <c r="AC69" t="str">
        <f t="shared" ref="AC69:AC80" si="67">IF(OR(Q69=0,Q69=""),"",ABS((Q69-3.821127)/0.150485))</f>
        <v/>
      </c>
      <c r="AD69" t="str">
        <f t="shared" ref="AD69:AD80" si="68">IF(OR(R69=0,R69=""),"",ABS((R69-3.848345)/0.156761))</f>
        <v/>
      </c>
    </row>
    <row r="70" spans="1:30">
      <c r="A70" t="s">
        <v>63</v>
      </c>
      <c r="B70" t="s">
        <v>37</v>
      </c>
      <c r="C70" t="s">
        <v>38</v>
      </c>
      <c r="D70" t="s">
        <v>39</v>
      </c>
      <c r="E70" s="2">
        <v>46081</v>
      </c>
      <c r="F70" t="s">
        <v>34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tr">
        <f t="shared" si="60"/>
        <v/>
      </c>
      <c r="T70" t="str">
        <f t="shared" si="61"/>
        <v/>
      </c>
      <c r="U70" t="str">
        <f t="shared" si="57"/>
        <v/>
      </c>
      <c r="V70" t="str">
        <f t="shared" si="62"/>
        <v/>
      </c>
      <c r="W70" t="str">
        <f t="shared" si="58"/>
        <v/>
      </c>
      <c r="X70" t="str">
        <f t="shared" si="63"/>
        <v/>
      </c>
      <c r="Y70" t="str">
        <f t="shared" si="59"/>
        <v/>
      </c>
      <c r="Z70" t="str">
        <f t="shared" si="64"/>
        <v/>
      </c>
      <c r="AA70" t="str">
        <f t="shared" si="65"/>
        <v/>
      </c>
      <c r="AB70" t="str">
        <f t="shared" si="66"/>
        <v/>
      </c>
      <c r="AC70" t="str">
        <f t="shared" si="67"/>
        <v/>
      </c>
      <c r="AD70" t="str">
        <f t="shared" si="68"/>
        <v/>
      </c>
    </row>
    <row r="71" spans="1:30">
      <c r="A71" t="s">
        <v>63</v>
      </c>
      <c r="B71" t="s">
        <v>37</v>
      </c>
      <c r="C71" t="s">
        <v>38</v>
      </c>
      <c r="D71" t="s">
        <v>39</v>
      </c>
      <c r="E71" s="2">
        <v>46081</v>
      </c>
      <c r="F71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tr">
        <f t="shared" si="60"/>
        <v/>
      </c>
      <c r="T71" t="str">
        <f t="shared" si="61"/>
        <v/>
      </c>
      <c r="U71" t="str">
        <f t="shared" si="57"/>
        <v/>
      </c>
      <c r="V71" t="str">
        <f t="shared" si="62"/>
        <v/>
      </c>
      <c r="W71" t="str">
        <f t="shared" si="58"/>
        <v/>
      </c>
      <c r="X71" t="str">
        <f t="shared" si="63"/>
        <v/>
      </c>
      <c r="Y71" t="str">
        <f t="shared" si="59"/>
        <v/>
      </c>
      <c r="Z71" t="str">
        <f t="shared" si="64"/>
        <v/>
      </c>
      <c r="AA71" t="str">
        <f t="shared" si="65"/>
        <v/>
      </c>
      <c r="AB71" t="str">
        <f t="shared" si="66"/>
        <v/>
      </c>
      <c r="AC71" t="str">
        <f t="shared" si="67"/>
        <v/>
      </c>
      <c r="AD71" t="str">
        <f t="shared" si="68"/>
        <v/>
      </c>
    </row>
    <row r="72" spans="1:30">
      <c r="A72" t="s">
        <v>63</v>
      </c>
      <c r="B72" t="s">
        <v>37</v>
      </c>
      <c r="C72" t="s">
        <v>38</v>
      </c>
      <c r="D72" t="s">
        <v>39</v>
      </c>
      <c r="E72" s="2">
        <v>46081</v>
      </c>
      <c r="F72" t="s">
        <v>40</v>
      </c>
      <c r="G72">
        <v>106.6</v>
      </c>
      <c r="H72">
        <v>80.7</v>
      </c>
      <c r="I72">
        <v>-1957.8</v>
      </c>
      <c r="J72">
        <v>65.900000000000006</v>
      </c>
      <c r="K72">
        <v>0</v>
      </c>
      <c r="L72">
        <v>6</v>
      </c>
      <c r="M72">
        <v>0</v>
      </c>
      <c r="N72">
        <v>71.900000000000006</v>
      </c>
      <c r="O72">
        <v>115.31</v>
      </c>
      <c r="P72">
        <v>115.24</v>
      </c>
      <c r="Q72">
        <v>3.78</v>
      </c>
      <c r="R72">
        <v>3.88</v>
      </c>
      <c r="S72">
        <f t="shared" si="60"/>
        <v>1.1957325343961054</v>
      </c>
      <c r="T72">
        <f t="shared" si="61"/>
        <v>7.309118217118795E-3</v>
      </c>
      <c r="U72">
        <f t="shared" si="57"/>
        <v>0</v>
      </c>
      <c r="V72">
        <f t="shared" si="62"/>
        <v>1.8030678516046088</v>
      </c>
      <c r="W72" t="str">
        <f t="shared" si="58"/>
        <v/>
      </c>
      <c r="X72">
        <f t="shared" si="63"/>
        <v>3.2460108007110957</v>
      </c>
      <c r="Y72" t="str">
        <f t="shared" si="59"/>
        <v/>
      </c>
      <c r="Z72">
        <f t="shared" si="64"/>
        <v>1.0024343987604432</v>
      </c>
      <c r="AA72">
        <f t="shared" si="65"/>
        <v>1.0676828703098564</v>
      </c>
      <c r="AB72">
        <f t="shared" si="66"/>
        <v>5.4150754460924995E-2</v>
      </c>
      <c r="AC72">
        <f t="shared" si="67"/>
        <v>0.27329634182809154</v>
      </c>
      <c r="AD72">
        <f t="shared" si="68"/>
        <v>0.20193160288592038</v>
      </c>
    </row>
    <row r="73" spans="1:30">
      <c r="A73" t="s">
        <v>64</v>
      </c>
      <c r="B73" t="s">
        <v>37</v>
      </c>
      <c r="C73" t="s">
        <v>38</v>
      </c>
      <c r="D73" t="s">
        <v>39</v>
      </c>
      <c r="E73" s="2">
        <v>46081</v>
      </c>
      <c r="F73" t="s">
        <v>40</v>
      </c>
      <c r="G73">
        <v>116.4</v>
      </c>
      <c r="H73">
        <v>81.599999999999994</v>
      </c>
      <c r="I73">
        <v>-1957.8</v>
      </c>
      <c r="J73">
        <v>66.400000000000006</v>
      </c>
      <c r="K73">
        <v>0</v>
      </c>
      <c r="L73">
        <v>6.6</v>
      </c>
      <c r="M73">
        <v>0</v>
      </c>
      <c r="N73">
        <v>73</v>
      </c>
      <c r="O73">
        <v>112.38</v>
      </c>
      <c r="P73">
        <v>116.7</v>
      </c>
      <c r="Q73">
        <v>3.74</v>
      </c>
      <c r="R73">
        <v>3.76</v>
      </c>
      <c r="S73">
        <f t="shared" si="60"/>
        <v>0.76978782608835361</v>
      </c>
      <c r="T73">
        <f t="shared" si="61"/>
        <v>0.31164968683561095</v>
      </c>
      <c r="U73">
        <f t="shared" si="57"/>
        <v>0</v>
      </c>
      <c r="V73">
        <f t="shared" si="62"/>
        <v>1.5416537266674788</v>
      </c>
      <c r="W73" t="str">
        <f t="shared" si="58"/>
        <v/>
      </c>
      <c r="X73">
        <f t="shared" si="63"/>
        <v>3.6745537617858242</v>
      </c>
      <c r="Y73" t="str">
        <f t="shared" si="59"/>
        <v/>
      </c>
      <c r="Z73">
        <f t="shared" si="64"/>
        <v>1.5034332082050881</v>
      </c>
      <c r="AA73">
        <f t="shared" si="65"/>
        <v>0.67326006716593501</v>
      </c>
      <c r="AB73">
        <f t="shared" si="66"/>
        <v>0.99311387639981752</v>
      </c>
      <c r="AC73">
        <f t="shared" si="67"/>
        <v>0.53910356513938229</v>
      </c>
      <c r="AD73">
        <f t="shared" si="68"/>
        <v>0.56356491729448221</v>
      </c>
    </row>
    <row r="74" spans="1:30">
      <c r="A74" t="s">
        <v>65</v>
      </c>
      <c r="B74" t="s">
        <v>37</v>
      </c>
      <c r="C74" t="s">
        <v>38</v>
      </c>
      <c r="D74" t="s">
        <v>39</v>
      </c>
      <c r="E74" s="2">
        <v>46081</v>
      </c>
      <c r="F74" t="s">
        <v>34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tr">
        <f t="shared" si="60"/>
        <v/>
      </c>
      <c r="T74" t="str">
        <f t="shared" si="61"/>
        <v/>
      </c>
      <c r="U74" t="str">
        <f t="shared" si="57"/>
        <v/>
      </c>
      <c r="V74" t="str">
        <f t="shared" si="62"/>
        <v/>
      </c>
      <c r="W74" t="str">
        <f t="shared" si="58"/>
        <v/>
      </c>
      <c r="X74" t="str">
        <f t="shared" si="63"/>
        <v/>
      </c>
      <c r="Y74" t="str">
        <f t="shared" si="59"/>
        <v/>
      </c>
      <c r="Z74" t="str">
        <f t="shared" si="64"/>
        <v/>
      </c>
      <c r="AA74" t="str">
        <f t="shared" si="65"/>
        <v/>
      </c>
      <c r="AB74" t="str">
        <f t="shared" si="66"/>
        <v/>
      </c>
      <c r="AC74" t="str">
        <f t="shared" si="67"/>
        <v/>
      </c>
      <c r="AD74" t="str">
        <f t="shared" si="68"/>
        <v/>
      </c>
    </row>
    <row r="75" spans="1:30">
      <c r="A75" t="s">
        <v>65</v>
      </c>
      <c r="B75" t="s">
        <v>37</v>
      </c>
      <c r="C75" t="s">
        <v>38</v>
      </c>
      <c r="D75" t="s">
        <v>39</v>
      </c>
      <c r="E75" s="2">
        <v>46081</v>
      </c>
      <c r="F75" t="s">
        <v>40</v>
      </c>
      <c r="G75">
        <v>119.1</v>
      </c>
      <c r="H75">
        <v>81.599999999999994</v>
      </c>
      <c r="I75">
        <v>-1957.8</v>
      </c>
      <c r="J75">
        <v>66.400000000000006</v>
      </c>
      <c r="K75">
        <v>0</v>
      </c>
      <c r="L75">
        <v>6.5</v>
      </c>
      <c r="M75">
        <v>0</v>
      </c>
      <c r="N75">
        <v>72.900000000000006</v>
      </c>
      <c r="O75">
        <v>115.6</v>
      </c>
      <c r="P75">
        <v>117</v>
      </c>
      <c r="Q75">
        <v>3.81</v>
      </c>
      <c r="R75">
        <v>3.88</v>
      </c>
      <c r="S75">
        <f t="shared" si="60"/>
        <v>1.3113087417320282</v>
      </c>
      <c r="T75">
        <f t="shared" si="61"/>
        <v>0.31164968683561095</v>
      </c>
      <c r="U75">
        <f t="shared" si="57"/>
        <v>0</v>
      </c>
      <c r="V75">
        <f t="shared" si="62"/>
        <v>1.5416537266674788</v>
      </c>
      <c r="W75" t="str">
        <f t="shared" si="58"/>
        <v/>
      </c>
      <c r="X75">
        <f t="shared" si="63"/>
        <v>3.6031299349400361</v>
      </c>
      <c r="Y75" t="str">
        <f t="shared" si="59"/>
        <v/>
      </c>
      <c r="Z75">
        <f t="shared" si="64"/>
        <v>1.4578878618919409</v>
      </c>
      <c r="AA75">
        <f t="shared" si="65"/>
        <v>1.2399946286265677</v>
      </c>
      <c r="AB75">
        <f t="shared" si="66"/>
        <v>1.2083052389054463</v>
      </c>
      <c r="AC75">
        <f t="shared" si="67"/>
        <v>7.3940924344619782E-2</v>
      </c>
      <c r="AD75">
        <f t="shared" si="68"/>
        <v>0.20193160288592038</v>
      </c>
    </row>
    <row r="76" spans="1:30">
      <c r="A76" t="s">
        <v>66</v>
      </c>
      <c r="B76" t="s">
        <v>37</v>
      </c>
      <c r="C76" t="s">
        <v>38</v>
      </c>
      <c r="D76" t="s">
        <v>39</v>
      </c>
      <c r="E76" s="2">
        <v>46081</v>
      </c>
      <c r="F76" t="s">
        <v>40</v>
      </c>
      <c r="G76">
        <v>118.7</v>
      </c>
      <c r="H76">
        <v>81.599999999999994</v>
      </c>
      <c r="I76">
        <v>-1957.8</v>
      </c>
      <c r="J76">
        <v>66.8</v>
      </c>
      <c r="K76">
        <v>0</v>
      </c>
      <c r="L76">
        <v>6.6</v>
      </c>
      <c r="M76">
        <v>0</v>
      </c>
      <c r="N76">
        <v>73.400000000000006</v>
      </c>
      <c r="O76">
        <v>112.16</v>
      </c>
      <c r="P76">
        <v>113.7</v>
      </c>
      <c r="Q76">
        <v>3.69</v>
      </c>
      <c r="R76">
        <v>3.71</v>
      </c>
      <c r="S76">
        <f t="shared" si="60"/>
        <v>1.2310834208959296</v>
      </c>
      <c r="T76">
        <f t="shared" si="61"/>
        <v>0.31164968683561095</v>
      </c>
      <c r="U76">
        <f t="shared" si="57"/>
        <v>0</v>
      </c>
      <c r="V76">
        <f t="shared" si="62"/>
        <v>1.3325224267177793</v>
      </c>
      <c r="W76" t="str">
        <f t="shared" si="58"/>
        <v/>
      </c>
      <c r="X76">
        <f t="shared" si="63"/>
        <v>3.6745537617858242</v>
      </c>
      <c r="Y76" t="str">
        <f t="shared" si="59"/>
        <v/>
      </c>
      <c r="Z76">
        <f t="shared" si="64"/>
        <v>1.6856145934576896</v>
      </c>
      <c r="AA76">
        <f t="shared" si="65"/>
        <v>0.80397933209585692</v>
      </c>
      <c r="AB76">
        <f t="shared" si="66"/>
        <v>1.1587997486564909</v>
      </c>
      <c r="AC76">
        <f t="shared" si="67"/>
        <v>0.87136259427850093</v>
      </c>
      <c r="AD76">
        <f t="shared" si="68"/>
        <v>0.88252180070298192</v>
      </c>
    </row>
    <row r="77" spans="1:30">
      <c r="A77" t="s">
        <v>67</v>
      </c>
      <c r="B77" t="s">
        <v>37</v>
      </c>
      <c r="C77" t="s">
        <v>38</v>
      </c>
      <c r="D77" t="s">
        <v>39</v>
      </c>
      <c r="E77" s="2">
        <v>46081</v>
      </c>
      <c r="F77" t="s">
        <v>34</v>
      </c>
      <c r="G77">
        <v>70.400000000000006</v>
      </c>
      <c r="H77">
        <v>67.099999999999994</v>
      </c>
      <c r="I77">
        <v>-1957.8</v>
      </c>
      <c r="J77">
        <v>66.8</v>
      </c>
      <c r="K77">
        <v>0</v>
      </c>
      <c r="L77">
        <v>7.5</v>
      </c>
      <c r="M77">
        <v>0</v>
      </c>
      <c r="N77">
        <v>74.3</v>
      </c>
      <c r="O77">
        <v>112.6</v>
      </c>
      <c r="P77">
        <v>117.36</v>
      </c>
      <c r="Q77">
        <v>2</v>
      </c>
      <c r="R77">
        <v>2.08</v>
      </c>
      <c r="S77">
        <f t="shared" si="60"/>
        <v>8.4561240700631775</v>
      </c>
      <c r="T77">
        <f t="shared" si="61"/>
        <v>4.8271310612361944</v>
      </c>
      <c r="U77">
        <f t="shared" si="57"/>
        <v>0</v>
      </c>
      <c r="V77">
        <f t="shared" si="62"/>
        <v>1.3325224267177793</v>
      </c>
      <c r="W77" t="str">
        <f t="shared" si="58"/>
        <v/>
      </c>
      <c r="X77">
        <f t="shared" si="63"/>
        <v>4.3173682033979173</v>
      </c>
      <c r="Y77" t="str">
        <f t="shared" si="59"/>
        <v/>
      </c>
      <c r="Z77">
        <f t="shared" si="64"/>
        <v>2.0955227102760334</v>
      </c>
      <c r="AA77">
        <f t="shared" si="65"/>
        <v>0.54254080223601309</v>
      </c>
      <c r="AB77">
        <f t="shared" si="66"/>
        <v>1.4665348739122031</v>
      </c>
      <c r="AC77">
        <f t="shared" si="67"/>
        <v>12.10171777918065</v>
      </c>
      <c r="AD77">
        <f t="shared" si="68"/>
        <v>11.280516199820108</v>
      </c>
    </row>
    <row r="78" spans="1:30">
      <c r="A78" t="s">
        <v>68</v>
      </c>
      <c r="B78" t="s">
        <v>37</v>
      </c>
      <c r="C78" t="s">
        <v>38</v>
      </c>
      <c r="D78" t="s">
        <v>39</v>
      </c>
      <c r="E78" s="2">
        <v>46081</v>
      </c>
      <c r="F78" t="s">
        <v>40</v>
      </c>
      <c r="G78">
        <v>121.8</v>
      </c>
      <c r="H78">
        <v>83.8</v>
      </c>
      <c r="I78">
        <v>-1957.8</v>
      </c>
      <c r="J78">
        <v>66.8</v>
      </c>
      <c r="K78">
        <v>0</v>
      </c>
      <c r="L78">
        <v>7.8</v>
      </c>
      <c r="M78">
        <v>0</v>
      </c>
      <c r="N78">
        <v>74.599999999999994</v>
      </c>
      <c r="O78">
        <v>111.72</v>
      </c>
      <c r="P78">
        <v>113.55</v>
      </c>
      <c r="Q78">
        <v>3.91</v>
      </c>
      <c r="R78">
        <v>3.96</v>
      </c>
      <c r="S78">
        <f t="shared" si="60"/>
        <v>1.8528296573757055</v>
      </c>
      <c r="T78">
        <f t="shared" si="61"/>
        <v>1.0913267658534032</v>
      </c>
      <c r="U78">
        <f t="shared" si="57"/>
        <v>0</v>
      </c>
      <c r="V78">
        <f t="shared" si="62"/>
        <v>1.3325224267177793</v>
      </c>
      <c r="W78" t="str">
        <f t="shared" si="58"/>
        <v/>
      </c>
      <c r="X78">
        <f t="shared" si="63"/>
        <v>4.531639683935281</v>
      </c>
      <c r="Y78" t="str">
        <f t="shared" si="59"/>
        <v/>
      </c>
      <c r="Z78">
        <f t="shared" si="64"/>
        <v>2.2321587492154817</v>
      </c>
      <c r="AA78">
        <f t="shared" si="65"/>
        <v>1.0654178619557007</v>
      </c>
      <c r="AB78">
        <f t="shared" si="66"/>
        <v>1.2663954299093105</v>
      </c>
      <c r="AC78">
        <f t="shared" si="67"/>
        <v>0.59057713393361444</v>
      </c>
      <c r="AD78">
        <f t="shared" si="68"/>
        <v>0.71226261633952215</v>
      </c>
    </row>
    <row r="79" spans="1:30">
      <c r="A79" t="s">
        <v>69</v>
      </c>
      <c r="B79" t="s">
        <v>37</v>
      </c>
      <c r="C79" t="s">
        <v>38</v>
      </c>
      <c r="D79" t="s">
        <v>39</v>
      </c>
      <c r="E79" s="2">
        <v>46081</v>
      </c>
      <c r="F79" t="s">
        <v>40</v>
      </c>
      <c r="G79">
        <v>123.1</v>
      </c>
      <c r="H79">
        <v>84.3</v>
      </c>
      <c r="I79">
        <v>-1957.8</v>
      </c>
      <c r="J79">
        <v>67.3</v>
      </c>
      <c r="K79">
        <v>0</v>
      </c>
      <c r="L79">
        <v>7.3</v>
      </c>
      <c r="M79">
        <v>0</v>
      </c>
      <c r="N79">
        <v>74.599999999999994</v>
      </c>
      <c r="O79">
        <v>115.38</v>
      </c>
      <c r="P79">
        <v>115.46</v>
      </c>
      <c r="Q79">
        <v>3.86</v>
      </c>
      <c r="R79">
        <v>3.96</v>
      </c>
      <c r="S79">
        <f t="shared" si="60"/>
        <v>2.1135619500930307</v>
      </c>
      <c r="T79">
        <f t="shared" si="61"/>
        <v>1.2685261019938103</v>
      </c>
      <c r="U79">
        <f t="shared" si="57"/>
        <v>0</v>
      </c>
      <c r="V79">
        <f t="shared" si="62"/>
        <v>1.0711083017806495</v>
      </c>
      <c r="W79" t="str">
        <f t="shared" si="58"/>
        <v/>
      </c>
      <c r="X79">
        <f t="shared" si="63"/>
        <v>4.1745205497063402</v>
      </c>
      <c r="Y79" t="str">
        <f t="shared" si="59"/>
        <v/>
      </c>
      <c r="Z79">
        <f t="shared" si="64"/>
        <v>2.2321587492154817</v>
      </c>
      <c r="AA79">
        <f t="shared" si="65"/>
        <v>1.1092753636966459</v>
      </c>
      <c r="AB79">
        <f t="shared" si="66"/>
        <v>0.10365624470987016</v>
      </c>
      <c r="AC79">
        <f t="shared" si="67"/>
        <v>0.25831810479449585</v>
      </c>
      <c r="AD79">
        <f t="shared" si="68"/>
        <v>0.71226261633952215</v>
      </c>
    </row>
    <row r="80" spans="1:30">
      <c r="A80" t="s">
        <v>70</v>
      </c>
      <c r="B80" t="s">
        <v>37</v>
      </c>
      <c r="C80" t="s">
        <v>38</v>
      </c>
      <c r="D80" t="s">
        <v>39</v>
      </c>
      <c r="E80" s="2">
        <v>46081</v>
      </c>
      <c r="F80" t="s">
        <v>40</v>
      </c>
      <c r="G80">
        <v>123.1</v>
      </c>
      <c r="H80">
        <v>78.900000000000006</v>
      </c>
      <c r="I80">
        <v>-1957.8</v>
      </c>
      <c r="J80">
        <v>67.3</v>
      </c>
      <c r="K80">
        <v>0</v>
      </c>
      <c r="L80">
        <v>7.5</v>
      </c>
      <c r="M80">
        <v>0</v>
      </c>
      <c r="N80">
        <v>74.8</v>
      </c>
      <c r="O80">
        <v>112.16</v>
      </c>
      <c r="P80">
        <v>117</v>
      </c>
      <c r="Q80">
        <v>3.98</v>
      </c>
      <c r="R80">
        <v>3.98</v>
      </c>
      <c r="S80">
        <f t="shared" si="60"/>
        <v>2.1135619500930307</v>
      </c>
      <c r="T80">
        <f t="shared" si="61"/>
        <v>0.64522672832258332</v>
      </c>
      <c r="U80">
        <f t="shared" si="57"/>
        <v>0</v>
      </c>
      <c r="V80">
        <f t="shared" si="62"/>
        <v>1.0711083017806495</v>
      </c>
      <c r="W80" t="str">
        <f t="shared" si="58"/>
        <v/>
      </c>
      <c r="X80">
        <f t="shared" si="63"/>
        <v>4.3173682033979173</v>
      </c>
      <c r="Y80" t="str">
        <f t="shared" si="59"/>
        <v/>
      </c>
      <c r="Z80">
        <f t="shared" si="64"/>
        <v>2.3232494418417824</v>
      </c>
      <c r="AA80">
        <f t="shared" si="65"/>
        <v>0.80397933209585692</v>
      </c>
      <c r="AB80">
        <f t="shared" si="66"/>
        <v>1.2083052389054463</v>
      </c>
      <c r="AC80">
        <f t="shared" si="67"/>
        <v>1.055739774728377</v>
      </c>
      <c r="AD80">
        <f t="shared" si="68"/>
        <v>0.83984536970292256</v>
      </c>
    </row>
    <row r="81" spans="1:30">
      <c r="A81" t="s">
        <v>71</v>
      </c>
      <c r="B81" t="s">
        <v>31</v>
      </c>
      <c r="C81" t="s">
        <v>32</v>
      </c>
      <c r="D81" t="s">
        <v>33</v>
      </c>
      <c r="E81" s="2">
        <v>46081</v>
      </c>
      <c r="F81" t="s">
        <v>40</v>
      </c>
      <c r="G81">
        <v>151.30000000000001</v>
      </c>
      <c r="H81">
        <v>97.3</v>
      </c>
      <c r="I81">
        <v>-1957.8</v>
      </c>
      <c r="J81">
        <v>67.7</v>
      </c>
      <c r="K81">
        <v>0</v>
      </c>
      <c r="L81">
        <v>6.4</v>
      </c>
      <c r="M81">
        <v>0</v>
      </c>
      <c r="N81">
        <v>74.099999999999994</v>
      </c>
      <c r="O81">
        <v>115.09</v>
      </c>
      <c r="P81">
        <v>115.02</v>
      </c>
      <c r="Q81">
        <v>7.89</v>
      </c>
      <c r="R81">
        <v>7.96</v>
      </c>
      <c r="S81">
        <f t="shared" ref="S81:S90" si="69">IF(OR(G81=0,G81=""),"",ABS((G81-152.740594)/5.729485))</f>
        <v>0.25143516389343473</v>
      </c>
      <c r="T81">
        <f t="shared" ref="T81:T90" si="70">IF(OR(H81=0,H81=""),"",ABS((H81-96.426733)/5.037499))</f>
        <v>0.17335328503290987</v>
      </c>
      <c r="U81">
        <f t="shared" si="57"/>
        <v>0</v>
      </c>
      <c r="V81">
        <f t="shared" ref="V81:V90" si="71">IF(OR(J81=0,J81=""),"",ABS((J81-69.40099)/2.222902))</f>
        <v>0.76521142182605906</v>
      </c>
      <c r="W81" t="str">
        <f t="shared" si="58"/>
        <v/>
      </c>
      <c r="X81">
        <f t="shared" ref="X81:X90" si="72">IF(OR(L81=0,L81=""),"",ABS((L81-1.849749)/1.393269))</f>
        <v>3.2658811758533348</v>
      </c>
      <c r="Y81" t="str">
        <f t="shared" si="59"/>
        <v/>
      </c>
      <c r="Z81">
        <f t="shared" ref="Z81:Z90" si="73">IF(OR(N81=0,N81=""),"",ABS((N81-69.231188)/2.519549))</f>
        <v>1.9324140947447306</v>
      </c>
      <c r="AA81">
        <f t="shared" ref="AA81:AA90" si="74">IF(OR(O81=0,O81=""),"",ABS((O81-113.18)/1.73698))</f>
        <v>1.0996096673536808</v>
      </c>
      <c r="AB81">
        <f t="shared" ref="AB81:AB90" si="75">IF(OR(P81=0,P81=""),"",ABS((P81-114.765594)/1.645198))</f>
        <v>0.15463549068258228</v>
      </c>
      <c r="AC81">
        <f t="shared" ref="AC81:AC90" si="76">IF(OR(Q81=0,Q81=""),"",ABS((Q81-8.040149)/0.55663))</f>
        <v>0.2697465102491779</v>
      </c>
      <c r="AD81">
        <f t="shared" ref="AD81:AD90" si="77">IF(OR(R81=0,R81=""),"",ABS((R81-7.915297)/0.399795))</f>
        <v>0.1118148050876078</v>
      </c>
    </row>
    <row r="82" spans="1:30">
      <c r="A82" t="s">
        <v>72</v>
      </c>
      <c r="B82" t="s">
        <v>31</v>
      </c>
      <c r="C82" t="s">
        <v>32</v>
      </c>
      <c r="D82" t="s">
        <v>33</v>
      </c>
      <c r="E82" s="2">
        <v>46081</v>
      </c>
      <c r="F82" t="s">
        <v>34</v>
      </c>
      <c r="G82">
        <v>108.4</v>
      </c>
      <c r="H82">
        <v>95.1</v>
      </c>
      <c r="I82">
        <v>-1957.8</v>
      </c>
      <c r="J82">
        <v>67.7</v>
      </c>
      <c r="K82">
        <v>0</v>
      </c>
      <c r="L82">
        <v>2.5</v>
      </c>
      <c r="M82">
        <v>0</v>
      </c>
      <c r="N82">
        <v>70.2</v>
      </c>
      <c r="O82">
        <v>115.16</v>
      </c>
      <c r="P82">
        <v>115.24</v>
      </c>
      <c r="Q82">
        <v>7.91</v>
      </c>
      <c r="R82">
        <v>7.69</v>
      </c>
      <c r="S82">
        <f t="shared" si="69"/>
        <v>7.739019126500895</v>
      </c>
      <c r="T82">
        <f t="shared" si="70"/>
        <v>0.26337136741863459</v>
      </c>
      <c r="U82">
        <f t="shared" si="57"/>
        <v>0</v>
      </c>
      <c r="V82">
        <f t="shared" si="71"/>
        <v>0.76521142182605906</v>
      </c>
      <c r="W82" t="str">
        <f t="shared" si="58"/>
        <v/>
      </c>
      <c r="X82">
        <f t="shared" si="72"/>
        <v>0.46670886957220742</v>
      </c>
      <c r="Y82" t="str">
        <f t="shared" si="59"/>
        <v/>
      </c>
      <c r="Z82">
        <f t="shared" si="73"/>
        <v>0.38451802286837833</v>
      </c>
      <c r="AA82">
        <f t="shared" si="74"/>
        <v>1.1399094980943878</v>
      </c>
      <c r="AB82">
        <f t="shared" si="75"/>
        <v>0.2883579970313615</v>
      </c>
      <c r="AC82">
        <f t="shared" si="76"/>
        <v>0.23381599985627691</v>
      </c>
      <c r="AD82">
        <f t="shared" si="77"/>
        <v>0.56353130979626909</v>
      </c>
    </row>
    <row r="83" spans="1:30">
      <c r="A83" t="s">
        <v>72</v>
      </c>
      <c r="B83" t="s">
        <v>31</v>
      </c>
      <c r="C83" t="s">
        <v>32</v>
      </c>
      <c r="D83" t="s">
        <v>33</v>
      </c>
      <c r="E83" s="2">
        <v>46081</v>
      </c>
      <c r="F83" t="s">
        <v>40</v>
      </c>
      <c r="G83">
        <v>151.69999999999999</v>
      </c>
      <c r="H83">
        <v>100.1</v>
      </c>
      <c r="I83">
        <v>-1957.8</v>
      </c>
      <c r="J83">
        <v>67.3</v>
      </c>
      <c r="K83">
        <v>0</v>
      </c>
      <c r="L83">
        <v>1.2</v>
      </c>
      <c r="M83">
        <v>0</v>
      </c>
      <c r="N83">
        <v>68.5</v>
      </c>
      <c r="O83">
        <v>115.02</v>
      </c>
      <c r="P83">
        <v>115.02</v>
      </c>
      <c r="Q83">
        <v>7.74</v>
      </c>
      <c r="R83">
        <v>7.89</v>
      </c>
      <c r="S83">
        <f t="shared" si="69"/>
        <v>0.18162086121178406</v>
      </c>
      <c r="T83">
        <f t="shared" si="70"/>
        <v>0.72918466088032874</v>
      </c>
      <c r="U83">
        <f t="shared" si="57"/>
        <v>0</v>
      </c>
      <c r="V83">
        <f t="shared" si="71"/>
        <v>0.94515637666437657</v>
      </c>
      <c r="W83" t="str">
        <f t="shared" si="58"/>
        <v/>
      </c>
      <c r="X83">
        <f t="shared" si="72"/>
        <v>0.46634856585483497</v>
      </c>
      <c r="Y83" t="str">
        <f t="shared" si="59"/>
        <v/>
      </c>
      <c r="Z83">
        <f t="shared" si="73"/>
        <v>0.29020590589823936</v>
      </c>
      <c r="AA83">
        <f t="shared" si="74"/>
        <v>1.0593098366129658</v>
      </c>
      <c r="AB83">
        <f t="shared" si="75"/>
        <v>0.15463549068258228</v>
      </c>
      <c r="AC83">
        <f t="shared" si="76"/>
        <v>0.53922533819592788</v>
      </c>
      <c r="AD83">
        <f t="shared" si="77"/>
        <v>6.327492840080573E-2</v>
      </c>
    </row>
    <row r="84" spans="1:30">
      <c r="A84" t="s">
        <v>73</v>
      </c>
      <c r="B84" t="s">
        <v>31</v>
      </c>
      <c r="C84" t="s">
        <v>32</v>
      </c>
      <c r="D84" t="s">
        <v>33</v>
      </c>
      <c r="E84" s="2">
        <v>46081</v>
      </c>
      <c r="F84" t="s">
        <v>34</v>
      </c>
      <c r="G84">
        <v>127.6</v>
      </c>
      <c r="H84">
        <v>102.8</v>
      </c>
      <c r="I84">
        <v>-1957.8</v>
      </c>
      <c r="J84">
        <v>67.7</v>
      </c>
      <c r="K84">
        <v>0</v>
      </c>
      <c r="L84">
        <v>6.9</v>
      </c>
      <c r="M84">
        <v>0</v>
      </c>
      <c r="N84">
        <v>74.599999999999994</v>
      </c>
      <c r="O84">
        <v>114.58</v>
      </c>
      <c r="P84">
        <v>114.65</v>
      </c>
      <c r="Q84">
        <v>8.35</v>
      </c>
      <c r="R84">
        <v>8.18</v>
      </c>
      <c r="S84">
        <f t="shared" si="69"/>
        <v>4.3879325977814743</v>
      </c>
      <c r="T84">
        <f t="shared" si="70"/>
        <v>1.2651649161617695</v>
      </c>
      <c r="U84">
        <f t="shared" si="57"/>
        <v>0</v>
      </c>
      <c r="V84">
        <f t="shared" si="71"/>
        <v>0.76521142182605906</v>
      </c>
      <c r="W84" t="str">
        <f t="shared" si="58"/>
        <v/>
      </c>
      <c r="X84">
        <f t="shared" si="72"/>
        <v>3.6247494202483512</v>
      </c>
      <c r="Y84" t="str">
        <f t="shared" si="59"/>
        <v/>
      </c>
      <c r="Z84">
        <f t="shared" si="73"/>
        <v>2.1308623090878531</v>
      </c>
      <c r="AA84">
        <f t="shared" si="74"/>
        <v>0.80599661481421292</v>
      </c>
      <c r="AB84">
        <f t="shared" si="75"/>
        <v>7.0261451813087128E-2</v>
      </c>
      <c r="AC84">
        <f t="shared" si="76"/>
        <v>0.55665522878752516</v>
      </c>
      <c r="AD84">
        <f t="shared" si="77"/>
        <v>0.66209682462261887</v>
      </c>
    </row>
    <row r="85" spans="1:30">
      <c r="A85" t="s">
        <v>73</v>
      </c>
      <c r="B85" t="s">
        <v>31</v>
      </c>
      <c r="C85" t="s">
        <v>32</v>
      </c>
      <c r="D85" t="s">
        <v>33</v>
      </c>
      <c r="E85" s="2">
        <v>46081</v>
      </c>
      <c r="F85" t="s">
        <v>40</v>
      </c>
      <c r="G85">
        <v>151.30000000000001</v>
      </c>
      <c r="H85">
        <v>102.8</v>
      </c>
      <c r="I85">
        <v>-1957.8</v>
      </c>
      <c r="J85">
        <v>67.7</v>
      </c>
      <c r="K85">
        <v>0</v>
      </c>
      <c r="L85">
        <v>2.8</v>
      </c>
      <c r="M85">
        <v>0</v>
      </c>
      <c r="N85">
        <v>70.5</v>
      </c>
      <c r="O85">
        <v>114.94</v>
      </c>
      <c r="P85">
        <v>114.58</v>
      </c>
      <c r="Q85">
        <v>7.86</v>
      </c>
      <c r="R85">
        <v>8.35</v>
      </c>
      <c r="S85">
        <f t="shared" si="69"/>
        <v>0.25143516389343473</v>
      </c>
      <c r="T85">
        <f t="shared" si="70"/>
        <v>1.2651649161617695</v>
      </c>
      <c r="U85">
        <f t="shared" si="57"/>
        <v>0</v>
      </c>
      <c r="V85">
        <f t="shared" si="71"/>
        <v>0.76521142182605906</v>
      </c>
      <c r="W85" t="str">
        <f t="shared" si="58"/>
        <v/>
      </c>
      <c r="X85">
        <f t="shared" si="72"/>
        <v>0.6820298162092171</v>
      </c>
      <c r="Y85" t="str">
        <f t="shared" si="59"/>
        <v/>
      </c>
      <c r="Z85">
        <f t="shared" si="73"/>
        <v>0.5035869514742507</v>
      </c>
      <c r="AA85">
        <f t="shared" si="74"/>
        <v>1.0132528871950115</v>
      </c>
      <c r="AB85">
        <f t="shared" si="75"/>
        <v>0.11280952201497614</v>
      </c>
      <c r="AC85">
        <f t="shared" si="76"/>
        <v>0.32364227583852689</v>
      </c>
      <c r="AD85">
        <f t="shared" si="77"/>
        <v>1.087314748808764</v>
      </c>
    </row>
    <row r="86" spans="1:30">
      <c r="A86" t="s">
        <v>74</v>
      </c>
      <c r="B86" t="s">
        <v>31</v>
      </c>
      <c r="C86" t="s">
        <v>32</v>
      </c>
      <c r="D86" t="s">
        <v>33</v>
      </c>
      <c r="E86" s="2">
        <v>46081</v>
      </c>
      <c r="F86" t="s">
        <v>40</v>
      </c>
      <c r="G86">
        <v>148.6</v>
      </c>
      <c r="H86">
        <v>104.1</v>
      </c>
      <c r="I86">
        <v>-1957.8</v>
      </c>
      <c r="J86">
        <v>67.3</v>
      </c>
      <c r="K86">
        <v>0</v>
      </c>
      <c r="L86">
        <v>3.2</v>
      </c>
      <c r="M86">
        <v>0</v>
      </c>
      <c r="N86">
        <v>70.5</v>
      </c>
      <c r="O86">
        <v>111.42</v>
      </c>
      <c r="P86">
        <v>112.3</v>
      </c>
      <c r="Q86">
        <v>8.4700000000000006</v>
      </c>
      <c r="R86">
        <v>8.3699999999999992</v>
      </c>
      <c r="S86">
        <f t="shared" si="69"/>
        <v>0.72268170699460643</v>
      </c>
      <c r="T86">
        <f t="shared" si="70"/>
        <v>1.5232294835194995</v>
      </c>
      <c r="U86">
        <f t="shared" si="57"/>
        <v>0</v>
      </c>
      <c r="V86">
        <f t="shared" si="71"/>
        <v>0.94515637666437657</v>
      </c>
      <c r="W86" t="str">
        <f t="shared" si="58"/>
        <v/>
      </c>
      <c r="X86">
        <f t="shared" si="72"/>
        <v>0.96912441172523034</v>
      </c>
      <c r="Y86" t="str">
        <f t="shared" si="59"/>
        <v/>
      </c>
      <c r="Z86">
        <f t="shared" si="73"/>
        <v>0.5035869514742507</v>
      </c>
      <c r="AA86">
        <f t="shared" si="74"/>
        <v>1.0132528871950195</v>
      </c>
      <c r="AB86">
        <f t="shared" si="75"/>
        <v>1.4986609514477869</v>
      </c>
      <c r="AC86">
        <f t="shared" si="76"/>
        <v>0.7722382911449277</v>
      </c>
      <c r="AD86">
        <f t="shared" si="77"/>
        <v>1.1373403869483094</v>
      </c>
    </row>
    <row r="87" spans="1:30">
      <c r="A87" t="s">
        <v>75</v>
      </c>
      <c r="B87" t="s">
        <v>31</v>
      </c>
      <c r="C87" t="s">
        <v>32</v>
      </c>
      <c r="D87" t="s">
        <v>33</v>
      </c>
      <c r="E87" s="2">
        <v>46081</v>
      </c>
      <c r="F87" t="s">
        <v>34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tr">
        <f t="shared" si="69"/>
        <v/>
      </c>
      <c r="T87" t="str">
        <f t="shared" si="70"/>
        <v/>
      </c>
      <c r="U87" t="str">
        <f t="shared" si="57"/>
        <v/>
      </c>
      <c r="V87" t="str">
        <f t="shared" si="71"/>
        <v/>
      </c>
      <c r="W87" t="str">
        <f t="shared" si="58"/>
        <v/>
      </c>
      <c r="X87" t="str">
        <f t="shared" si="72"/>
        <v/>
      </c>
      <c r="Y87" t="str">
        <f t="shared" si="59"/>
        <v/>
      </c>
      <c r="Z87" t="str">
        <f t="shared" si="73"/>
        <v/>
      </c>
      <c r="AA87" t="str">
        <f t="shared" si="74"/>
        <v/>
      </c>
      <c r="AB87" t="str">
        <f t="shared" si="75"/>
        <v/>
      </c>
      <c r="AC87" t="str">
        <f t="shared" si="76"/>
        <v/>
      </c>
      <c r="AD87" t="str">
        <f t="shared" si="77"/>
        <v/>
      </c>
    </row>
    <row r="88" spans="1:30">
      <c r="A88" t="s">
        <v>75</v>
      </c>
      <c r="B88" t="s">
        <v>31</v>
      </c>
      <c r="C88" t="s">
        <v>32</v>
      </c>
      <c r="D88" t="s">
        <v>33</v>
      </c>
      <c r="E88" s="2">
        <v>46081</v>
      </c>
      <c r="F88" t="s">
        <v>40</v>
      </c>
      <c r="G88">
        <v>145.5</v>
      </c>
      <c r="H88">
        <v>99.2</v>
      </c>
      <c r="I88">
        <v>-1957.8</v>
      </c>
      <c r="J88">
        <v>67.3</v>
      </c>
      <c r="K88">
        <v>0</v>
      </c>
      <c r="L88">
        <v>0.6</v>
      </c>
      <c r="M88">
        <v>0</v>
      </c>
      <c r="N88">
        <v>67.900000000000006</v>
      </c>
      <c r="O88">
        <v>111.2</v>
      </c>
      <c r="P88">
        <v>117.95</v>
      </c>
      <c r="Q88">
        <v>8.1999999999999993</v>
      </c>
      <c r="R88">
        <v>7.71</v>
      </c>
      <c r="S88">
        <f t="shared" si="69"/>
        <v>1.2637425527774289</v>
      </c>
      <c r="T88">
        <f t="shared" si="70"/>
        <v>0.55052457578651703</v>
      </c>
      <c r="U88">
        <f t="shared" si="57"/>
        <v>0</v>
      </c>
      <c r="V88">
        <f t="shared" si="71"/>
        <v>0.94515637666437657</v>
      </c>
      <c r="W88" t="str">
        <f t="shared" si="58"/>
        <v/>
      </c>
      <c r="X88">
        <f t="shared" si="72"/>
        <v>0.89699045912885444</v>
      </c>
      <c r="Y88" t="str">
        <f t="shared" si="59"/>
        <v/>
      </c>
      <c r="Z88">
        <f t="shared" si="73"/>
        <v>0.5283437631099841</v>
      </c>
      <c r="AA88">
        <f t="shared" si="74"/>
        <v>1.139909498094396</v>
      </c>
      <c r="AB88">
        <f t="shared" si="75"/>
        <v>1.9355761434186098</v>
      </c>
      <c r="AC88">
        <f t="shared" si="76"/>
        <v>0.2871764008407735</v>
      </c>
      <c r="AD88">
        <f t="shared" si="77"/>
        <v>0.51350567165672367</v>
      </c>
    </row>
    <row r="89" spans="1:30">
      <c r="A89" t="s">
        <v>76</v>
      </c>
      <c r="B89" t="s">
        <v>31</v>
      </c>
      <c r="C89" t="s">
        <v>32</v>
      </c>
      <c r="D89" t="s">
        <v>33</v>
      </c>
      <c r="E89" s="2">
        <v>46081</v>
      </c>
      <c r="F89" t="s">
        <v>40</v>
      </c>
      <c r="G89">
        <v>158</v>
      </c>
      <c r="H89">
        <v>101</v>
      </c>
      <c r="I89">
        <v>-1957.8</v>
      </c>
      <c r="J89">
        <v>67.3</v>
      </c>
      <c r="K89">
        <v>0</v>
      </c>
      <c r="L89">
        <v>3.4</v>
      </c>
      <c r="M89">
        <v>0</v>
      </c>
      <c r="N89">
        <v>70.7</v>
      </c>
      <c r="O89">
        <v>114.72</v>
      </c>
      <c r="P89">
        <v>114.72</v>
      </c>
      <c r="Q89">
        <v>7.79</v>
      </c>
      <c r="R89">
        <v>7.74</v>
      </c>
      <c r="S89">
        <f t="shared" si="69"/>
        <v>0.91795440602427836</v>
      </c>
      <c r="T89">
        <f t="shared" si="70"/>
        <v>0.90784474597414333</v>
      </c>
      <c r="U89">
        <f t="shared" si="57"/>
        <v>0</v>
      </c>
      <c r="V89">
        <f t="shared" si="71"/>
        <v>0.94515637666437657</v>
      </c>
      <c r="W89" t="str">
        <f t="shared" si="58"/>
        <v/>
      </c>
      <c r="X89">
        <f t="shared" si="72"/>
        <v>1.1126717094832368</v>
      </c>
      <c r="Y89" t="str">
        <f t="shared" si="59"/>
        <v/>
      </c>
      <c r="Z89">
        <f t="shared" si="73"/>
        <v>0.58296623721150087</v>
      </c>
      <c r="AA89">
        <f t="shared" si="74"/>
        <v>0.88659627629563498</v>
      </c>
      <c r="AB89">
        <f t="shared" si="75"/>
        <v>2.7713381611206761E-2</v>
      </c>
      <c r="AC89">
        <f t="shared" si="76"/>
        <v>0.44939906221367792</v>
      </c>
      <c r="AD89">
        <f t="shared" si="77"/>
        <v>0.43846721444740328</v>
      </c>
    </row>
    <row r="90" spans="1:30">
      <c r="A90" t="s">
        <v>77</v>
      </c>
      <c r="B90" t="s">
        <v>31</v>
      </c>
      <c r="C90" t="s">
        <v>32</v>
      </c>
      <c r="D90" t="s">
        <v>33</v>
      </c>
      <c r="E90" s="2">
        <v>46081</v>
      </c>
      <c r="F90" t="s">
        <v>40</v>
      </c>
      <c r="G90">
        <v>149.9</v>
      </c>
      <c r="H90">
        <v>93.3</v>
      </c>
      <c r="I90">
        <v>-1957.8</v>
      </c>
      <c r="J90">
        <v>67.3</v>
      </c>
      <c r="K90">
        <v>0</v>
      </c>
      <c r="L90">
        <v>2</v>
      </c>
      <c r="M90">
        <v>0</v>
      </c>
      <c r="N90">
        <v>69.3</v>
      </c>
      <c r="O90">
        <v>111.57</v>
      </c>
      <c r="P90">
        <v>113.26</v>
      </c>
      <c r="Q90">
        <v>8.4499999999999993</v>
      </c>
      <c r="R90">
        <v>8.01</v>
      </c>
      <c r="S90">
        <f t="shared" si="69"/>
        <v>0.49578522327922692</v>
      </c>
      <c r="T90">
        <f t="shared" si="70"/>
        <v>0.62069153760626083</v>
      </c>
      <c r="U90">
        <f t="shared" si="57"/>
        <v>0</v>
      </c>
      <c r="V90">
        <f t="shared" si="71"/>
        <v>0.94515637666437657</v>
      </c>
      <c r="W90" t="str">
        <f t="shared" si="58"/>
        <v/>
      </c>
      <c r="X90">
        <f t="shared" si="72"/>
        <v>0.10784062517719113</v>
      </c>
      <c r="Y90" t="str">
        <f t="shared" si="59"/>
        <v/>
      </c>
      <c r="Z90">
        <f t="shared" si="73"/>
        <v>2.7311237050755551E-2</v>
      </c>
      <c r="AA90">
        <f t="shared" si="74"/>
        <v>0.92689610703635827</v>
      </c>
      <c r="AB90">
        <f t="shared" si="75"/>
        <v>0.91514456010765144</v>
      </c>
      <c r="AC90">
        <f t="shared" si="76"/>
        <v>0.73630778075202519</v>
      </c>
      <c r="AD90">
        <f t="shared" si="77"/>
        <v>0.23687890043647364</v>
      </c>
    </row>
    <row r="91" spans="1:30">
      <c r="A91" t="s">
        <v>67</v>
      </c>
      <c r="B91" t="s">
        <v>37</v>
      </c>
      <c r="C91" t="s">
        <v>38</v>
      </c>
      <c r="D91" t="s">
        <v>39</v>
      </c>
      <c r="E91" s="2">
        <v>46081</v>
      </c>
      <c r="F91" t="s">
        <v>40</v>
      </c>
      <c r="G91">
        <v>125.8</v>
      </c>
      <c r="H91">
        <v>82.9</v>
      </c>
      <c r="I91">
        <v>-1957.8</v>
      </c>
      <c r="J91">
        <v>67.3</v>
      </c>
      <c r="K91">
        <v>0</v>
      </c>
      <c r="L91">
        <v>1.2</v>
      </c>
      <c r="M91">
        <v>0</v>
      </c>
      <c r="N91">
        <v>68.5</v>
      </c>
      <c r="O91">
        <v>115.16</v>
      </c>
      <c r="P91">
        <v>115.16</v>
      </c>
      <c r="Q91">
        <v>3.64</v>
      </c>
      <c r="R91">
        <v>3.76</v>
      </c>
      <c r="S91">
        <f>IF(OR(G91=0,G91=""),"",ABS((G91-112.561871)/4.985957))</f>
        <v>2.6550828657367083</v>
      </c>
      <c r="T91">
        <f>IF(OR(H91=0,H91=""),"",ABS((H91-80.720624)/2.821681))</f>
        <v>0.77236796080067338</v>
      </c>
      <c r="U91">
        <f t="shared" si="57"/>
        <v>0</v>
      </c>
      <c r="V91">
        <f>IF(OR(J91=0,J91=""),"",ABS((J91-69.348681)/1.912674))</f>
        <v>1.0711083017806495</v>
      </c>
      <c r="W91" t="str">
        <f t="shared" si="58"/>
        <v/>
      </c>
      <c r="X91">
        <f>IF(OR(L91=0,L91=""),"",ABS((L91-1.455283)/1.400093))</f>
        <v>0.18233288788673335</v>
      </c>
      <c r="Y91" t="str">
        <f t="shared" si="59"/>
        <v/>
      </c>
      <c r="Z91">
        <f>IF(OR(N91=0,N91=""),"",ABS((N91-69.699041)/2.195614))</f>
        <v>0.54610737588665137</v>
      </c>
      <c r="AA91">
        <f>IF(OR(O91=0,O91=""),"",ABS((O91-113.513094)/1.682996))</f>
        <v>0.978556098766724</v>
      </c>
      <c r="AB91">
        <f>IF(OR(P91=0,P91=""),"",ABS((P91-115.315492)/1.394108))</f>
        <v>0.11153511779575867</v>
      </c>
      <c r="AC91">
        <f>IF(OR(Q91=0,Q91=""),"",ABS((Q91-3.821127)/0.150485))</f>
        <v>1.2036216234176165</v>
      </c>
      <c r="AD91">
        <f>IF(OR(R91=0,R91=""),"",ABS((R91-3.848345)/0.156761))</f>
        <v>0.56356491729448221</v>
      </c>
    </row>
    <row r="92" spans="1:30">
      <c r="A92" t="s">
        <v>78</v>
      </c>
      <c r="B92" t="s">
        <v>31</v>
      </c>
      <c r="C92" t="s">
        <v>32</v>
      </c>
      <c r="D92" t="s">
        <v>33</v>
      </c>
      <c r="E92" s="2">
        <v>46082</v>
      </c>
      <c r="F92" t="s">
        <v>40</v>
      </c>
      <c r="G92">
        <v>147.19999999999999</v>
      </c>
      <c r="H92">
        <v>104.1</v>
      </c>
      <c r="I92">
        <v>-1957.8</v>
      </c>
      <c r="J92">
        <v>67.7</v>
      </c>
      <c r="K92">
        <v>0</v>
      </c>
      <c r="L92">
        <v>6.3</v>
      </c>
      <c r="M92">
        <v>0</v>
      </c>
      <c r="N92">
        <v>74</v>
      </c>
      <c r="O92">
        <v>111.57</v>
      </c>
      <c r="P92">
        <v>113.18</v>
      </c>
      <c r="Q92">
        <v>8.64</v>
      </c>
      <c r="R92">
        <v>8.42</v>
      </c>
      <c r="S92">
        <f t="shared" ref="S92:S104" si="78">IF(OR(G92=0,G92=""),"",ABS((G92-152.740594)/5.729485))</f>
        <v>0.96703176638039867</v>
      </c>
      <c r="T92">
        <f t="shared" ref="T92:T104" si="79">IF(OR(H92=0,H92=""),"",ABS((H92-96.426733)/5.037499))</f>
        <v>1.5232294835194995</v>
      </c>
      <c r="U92">
        <f t="shared" si="57"/>
        <v>0</v>
      </c>
      <c r="V92">
        <f t="shared" ref="V92:V104" si="80">IF(OR(J92=0,J92=""),"",ABS((J92-69.40099)/2.222902))</f>
        <v>0.76521142182605906</v>
      </c>
      <c r="W92" t="str">
        <f t="shared" si="58"/>
        <v/>
      </c>
      <c r="X92">
        <f t="shared" ref="X92:X104" si="81">IF(OR(L92=0,L92=""),"",ABS((L92-1.849749)/1.393269))</f>
        <v>3.1941075269743311</v>
      </c>
      <c r="Y92" t="str">
        <f t="shared" si="59"/>
        <v/>
      </c>
      <c r="Z92">
        <f t="shared" ref="Z92:Z104" si="82">IF(OR(N92=0,N92=""),"",ABS((N92-69.231188)/2.519549))</f>
        <v>1.8927244518761084</v>
      </c>
      <c r="AA92">
        <f t="shared" ref="AA92:AA104" si="83">IF(OR(O92=0,O92=""),"",ABS((O92-113.18)/1.73698))</f>
        <v>0.92689610703635827</v>
      </c>
      <c r="AB92">
        <f t="shared" ref="AB92:AB104" si="84">IF(OR(P92=0,P92=""),"",ABS((P92-114.765594)/1.645198))</f>
        <v>0.96377092605266124</v>
      </c>
      <c r="AC92">
        <f t="shared" ref="AC92:AC104" si="85">IF(OR(Q92=0,Q92=""),"",ABS((Q92-8.040149)/0.55663))</f>
        <v>1.0776476294845787</v>
      </c>
      <c r="AD92">
        <f t="shared" ref="AD92:AD104" si="86">IF(OR(R92=0,R92=""),"",ABS((R92-7.915297)/0.399795))</f>
        <v>1.2624044822971776</v>
      </c>
    </row>
    <row r="93" spans="1:30">
      <c r="A93" t="s">
        <v>79</v>
      </c>
      <c r="B93" t="s">
        <v>31</v>
      </c>
      <c r="C93" t="s">
        <v>32</v>
      </c>
      <c r="D93" t="s">
        <v>33</v>
      </c>
      <c r="E93" s="2">
        <v>46082</v>
      </c>
      <c r="F93" t="s">
        <v>40</v>
      </c>
      <c r="G93">
        <v>151.30000000000001</v>
      </c>
      <c r="H93">
        <v>97.3</v>
      </c>
      <c r="I93">
        <v>-1957.8</v>
      </c>
      <c r="J93">
        <v>67.3</v>
      </c>
      <c r="K93">
        <v>0</v>
      </c>
      <c r="L93">
        <v>3.1</v>
      </c>
      <c r="M93">
        <v>0</v>
      </c>
      <c r="N93">
        <v>70.400000000000006</v>
      </c>
      <c r="O93">
        <v>111.57</v>
      </c>
      <c r="P93">
        <v>113.33</v>
      </c>
      <c r="Q93">
        <v>8.7899999999999991</v>
      </c>
      <c r="R93">
        <v>8.35</v>
      </c>
      <c r="S93">
        <f t="shared" si="78"/>
        <v>0.25143516389343473</v>
      </c>
      <c r="T93">
        <f t="shared" si="79"/>
        <v>0.17335328503290987</v>
      </c>
      <c r="U93">
        <f t="shared" si="57"/>
        <v>0</v>
      </c>
      <c r="V93">
        <f t="shared" si="80"/>
        <v>0.94515637666437657</v>
      </c>
      <c r="W93" t="str">
        <f t="shared" si="58"/>
        <v/>
      </c>
      <c r="X93">
        <f t="shared" si="81"/>
        <v>0.89735076284622706</v>
      </c>
      <c r="Y93" t="str">
        <f t="shared" si="59"/>
        <v/>
      </c>
      <c r="Z93">
        <f t="shared" si="82"/>
        <v>0.46389730860562844</v>
      </c>
      <c r="AA93">
        <f t="shared" si="83"/>
        <v>0.92689610703635827</v>
      </c>
      <c r="AB93">
        <f t="shared" si="84"/>
        <v>0.8725964899057711</v>
      </c>
      <c r="AC93">
        <f t="shared" si="85"/>
        <v>1.3471264574313273</v>
      </c>
      <c r="AD93">
        <f t="shared" si="86"/>
        <v>1.087314748808764</v>
      </c>
    </row>
    <row r="94" spans="1:30">
      <c r="A94" t="s">
        <v>80</v>
      </c>
      <c r="B94" t="s">
        <v>31</v>
      </c>
      <c r="C94" t="s">
        <v>32</v>
      </c>
      <c r="D94" t="s">
        <v>33</v>
      </c>
      <c r="E94" s="2">
        <v>46082</v>
      </c>
      <c r="F94" t="s">
        <v>34</v>
      </c>
      <c r="G94">
        <v>127.1</v>
      </c>
      <c r="H94">
        <v>103.2</v>
      </c>
      <c r="I94">
        <v>-1957.8</v>
      </c>
      <c r="J94">
        <v>67.7</v>
      </c>
      <c r="K94">
        <v>0</v>
      </c>
      <c r="L94">
        <v>6</v>
      </c>
      <c r="M94">
        <v>0</v>
      </c>
      <c r="N94">
        <v>73.7</v>
      </c>
      <c r="O94">
        <v>114.36</v>
      </c>
      <c r="P94">
        <v>117.58</v>
      </c>
      <c r="Q94">
        <v>8.4</v>
      </c>
      <c r="R94">
        <v>8.01</v>
      </c>
      <c r="S94">
        <f t="shared" si="78"/>
        <v>4.4752004761335424</v>
      </c>
      <c r="T94">
        <f t="shared" si="79"/>
        <v>1.3445693984256877</v>
      </c>
      <c r="U94">
        <f t="shared" si="57"/>
        <v>0</v>
      </c>
      <c r="V94">
        <f t="shared" si="80"/>
        <v>0.76521142182605906</v>
      </c>
      <c r="W94" t="str">
        <f t="shared" si="58"/>
        <v/>
      </c>
      <c r="X94">
        <f t="shared" si="81"/>
        <v>2.9787865803373217</v>
      </c>
      <c r="Y94" t="str">
        <f t="shared" si="59"/>
        <v/>
      </c>
      <c r="Z94">
        <f t="shared" si="82"/>
        <v>1.773655523270236</v>
      </c>
      <c r="AA94">
        <f t="shared" si="83"/>
        <v>0.67934000391483651</v>
      </c>
      <c r="AB94">
        <f t="shared" si="84"/>
        <v>1.7106792009229317</v>
      </c>
      <c r="AC94">
        <f t="shared" si="85"/>
        <v>0.64648150476977673</v>
      </c>
      <c r="AD94">
        <f t="shared" si="86"/>
        <v>0.23687890043647364</v>
      </c>
    </row>
    <row r="95" spans="1:30">
      <c r="A95" t="s">
        <v>80</v>
      </c>
      <c r="B95" t="s">
        <v>31</v>
      </c>
      <c r="C95" t="s">
        <v>32</v>
      </c>
      <c r="D95" t="s">
        <v>33</v>
      </c>
      <c r="E95" s="2">
        <v>46082</v>
      </c>
      <c r="F95" t="s">
        <v>40</v>
      </c>
      <c r="G95">
        <v>145.5</v>
      </c>
      <c r="H95">
        <v>98.3</v>
      </c>
      <c r="I95">
        <v>-1957.8</v>
      </c>
      <c r="J95">
        <v>67.7</v>
      </c>
      <c r="K95">
        <v>0</v>
      </c>
      <c r="L95">
        <v>4.5999999999999996</v>
      </c>
      <c r="M95">
        <v>0</v>
      </c>
      <c r="N95">
        <v>72.3</v>
      </c>
      <c r="O95">
        <v>114.72</v>
      </c>
      <c r="P95">
        <v>114.65</v>
      </c>
      <c r="Q95">
        <v>7.76</v>
      </c>
      <c r="R95">
        <v>7.91</v>
      </c>
      <c r="S95">
        <f t="shared" si="78"/>
        <v>1.2637425527774289</v>
      </c>
      <c r="T95">
        <f t="shared" si="79"/>
        <v>0.37186449069270255</v>
      </c>
      <c r="U95">
        <f t="shared" si="57"/>
        <v>0</v>
      </c>
      <c r="V95">
        <f t="shared" si="80"/>
        <v>0.76521142182605906</v>
      </c>
      <c r="W95" t="str">
        <f t="shared" si="58"/>
        <v/>
      </c>
      <c r="X95">
        <f t="shared" si="81"/>
        <v>1.9739554960312757</v>
      </c>
      <c r="Y95" t="str">
        <f t="shared" si="59"/>
        <v/>
      </c>
      <c r="Z95">
        <f t="shared" si="82"/>
        <v>1.2180005231094906</v>
      </c>
      <c r="AA95">
        <f t="shared" si="83"/>
        <v>0.88659627629563498</v>
      </c>
      <c r="AB95">
        <f t="shared" si="84"/>
        <v>7.0261451813087128E-2</v>
      </c>
      <c r="AC95">
        <f t="shared" si="85"/>
        <v>0.50329482780302859</v>
      </c>
      <c r="AD95">
        <f t="shared" si="86"/>
        <v>1.3249290261258052E-2</v>
      </c>
    </row>
    <row r="96" spans="1:30">
      <c r="A96" t="s">
        <v>81</v>
      </c>
      <c r="B96" t="s">
        <v>31</v>
      </c>
      <c r="C96" t="s">
        <v>32</v>
      </c>
      <c r="D96" t="s">
        <v>33</v>
      </c>
      <c r="E96" s="2">
        <v>46082</v>
      </c>
      <c r="F96" t="s">
        <v>34</v>
      </c>
      <c r="G96">
        <v>106.2</v>
      </c>
      <c r="H96">
        <v>101</v>
      </c>
      <c r="I96">
        <v>-1957.8</v>
      </c>
      <c r="J96">
        <v>67.3</v>
      </c>
      <c r="K96">
        <v>0</v>
      </c>
      <c r="L96">
        <v>1.3</v>
      </c>
      <c r="M96">
        <v>0</v>
      </c>
      <c r="N96">
        <v>68.599999999999994</v>
      </c>
      <c r="O96">
        <v>111.42</v>
      </c>
      <c r="P96">
        <v>112.89</v>
      </c>
      <c r="Q96">
        <v>8.3000000000000007</v>
      </c>
      <c r="R96">
        <v>8.08</v>
      </c>
      <c r="S96">
        <f t="shared" si="78"/>
        <v>8.1229977912499951</v>
      </c>
      <c r="T96">
        <f t="shared" si="79"/>
        <v>0.90784474597414333</v>
      </c>
      <c r="U96">
        <f t="shared" si="57"/>
        <v>0</v>
      </c>
      <c r="V96">
        <f t="shared" si="80"/>
        <v>0.94515637666437657</v>
      </c>
      <c r="W96" t="str">
        <f t="shared" si="58"/>
        <v/>
      </c>
      <c r="X96">
        <f t="shared" si="81"/>
        <v>0.39457491697583169</v>
      </c>
      <c r="Y96" t="str">
        <f t="shared" si="59"/>
        <v/>
      </c>
      <c r="Z96">
        <f t="shared" si="82"/>
        <v>0.2505162630296171</v>
      </c>
      <c r="AA96">
        <f t="shared" si="83"/>
        <v>1.0132528871950195</v>
      </c>
      <c r="AB96">
        <f t="shared" si="84"/>
        <v>1.1400415026033295</v>
      </c>
      <c r="AC96">
        <f t="shared" si="85"/>
        <v>0.46682895280527675</v>
      </c>
      <c r="AD96">
        <f t="shared" si="86"/>
        <v>0.41196863392488714</v>
      </c>
    </row>
    <row r="97" spans="1:30">
      <c r="A97" t="s">
        <v>81</v>
      </c>
      <c r="B97" t="s">
        <v>31</v>
      </c>
      <c r="C97" t="s">
        <v>32</v>
      </c>
      <c r="D97" t="s">
        <v>33</v>
      </c>
      <c r="E97" s="2">
        <v>46082</v>
      </c>
      <c r="F97" t="s">
        <v>40</v>
      </c>
      <c r="G97">
        <v>162.4</v>
      </c>
      <c r="H97">
        <v>103.2</v>
      </c>
      <c r="I97">
        <v>-1957.8</v>
      </c>
      <c r="J97">
        <v>67.3</v>
      </c>
      <c r="K97">
        <v>0</v>
      </c>
      <c r="L97">
        <v>2.7</v>
      </c>
      <c r="M97">
        <v>0</v>
      </c>
      <c r="N97">
        <v>70</v>
      </c>
      <c r="O97">
        <v>114.87</v>
      </c>
      <c r="P97">
        <v>114.72</v>
      </c>
      <c r="Q97">
        <v>7.84</v>
      </c>
      <c r="R97">
        <v>7.98</v>
      </c>
      <c r="S97">
        <f t="shared" si="78"/>
        <v>1.6859117355224802</v>
      </c>
      <c r="T97">
        <f t="shared" si="79"/>
        <v>1.3445693984256877</v>
      </c>
      <c r="U97">
        <f t="shared" si="57"/>
        <v>0</v>
      </c>
      <c r="V97">
        <f t="shared" si="80"/>
        <v>0.94515637666437657</v>
      </c>
      <c r="W97" t="str">
        <f t="shared" si="58"/>
        <v/>
      </c>
      <c r="X97">
        <f t="shared" si="81"/>
        <v>0.61025616733021404</v>
      </c>
      <c r="Y97" t="str">
        <f t="shared" si="59"/>
        <v/>
      </c>
      <c r="Z97">
        <f t="shared" si="82"/>
        <v>0.30513873713112821</v>
      </c>
      <c r="AA97">
        <f t="shared" si="83"/>
        <v>0.97295305645430441</v>
      </c>
      <c r="AB97">
        <f t="shared" si="84"/>
        <v>2.7713381611206761E-2</v>
      </c>
      <c r="AC97">
        <f t="shared" si="85"/>
        <v>0.35957278623142791</v>
      </c>
      <c r="AD97">
        <f t="shared" si="86"/>
        <v>0.16184044322715546</v>
      </c>
    </row>
    <row r="98" spans="1:30">
      <c r="A98" t="s">
        <v>82</v>
      </c>
      <c r="B98" t="s">
        <v>31</v>
      </c>
      <c r="C98" t="s">
        <v>32</v>
      </c>
      <c r="D98" t="s">
        <v>33</v>
      </c>
      <c r="E98" s="2">
        <v>46082</v>
      </c>
      <c r="F98" t="s">
        <v>34</v>
      </c>
      <c r="G98">
        <v>86.1</v>
      </c>
      <c r="H98">
        <v>102.3</v>
      </c>
      <c r="I98">
        <v>-1957.8</v>
      </c>
      <c r="J98">
        <v>67.3</v>
      </c>
      <c r="K98">
        <v>0</v>
      </c>
      <c r="L98">
        <v>6</v>
      </c>
      <c r="M98">
        <v>0</v>
      </c>
      <c r="N98">
        <v>73.3</v>
      </c>
      <c r="O98">
        <v>111.28</v>
      </c>
      <c r="P98">
        <v>117.66</v>
      </c>
      <c r="Q98">
        <v>8.69</v>
      </c>
      <c r="R98">
        <v>8.01</v>
      </c>
      <c r="S98">
        <f t="shared" si="78"/>
        <v>11.631166501003142</v>
      </c>
      <c r="T98">
        <f t="shared" si="79"/>
        <v>1.1659093133318732</v>
      </c>
      <c r="U98">
        <f t="shared" si="57"/>
        <v>0</v>
      </c>
      <c r="V98">
        <f t="shared" si="80"/>
        <v>0.94515637666437657</v>
      </c>
      <c r="W98" t="str">
        <f t="shared" si="58"/>
        <v/>
      </c>
      <c r="X98">
        <f t="shared" si="81"/>
        <v>2.9787865803373217</v>
      </c>
      <c r="Y98" t="str">
        <f t="shared" si="59"/>
        <v/>
      </c>
      <c r="Z98">
        <f t="shared" si="82"/>
        <v>1.6148969517957357</v>
      </c>
      <c r="AA98">
        <f t="shared" si="83"/>
        <v>1.0938525486764417</v>
      </c>
      <c r="AB98">
        <f t="shared" si="84"/>
        <v>1.7593055668679416</v>
      </c>
      <c r="AC98">
        <f t="shared" si="85"/>
        <v>1.1674739054668271</v>
      </c>
      <c r="AD98">
        <f t="shared" si="86"/>
        <v>0.23687890043647364</v>
      </c>
    </row>
    <row r="99" spans="1:30">
      <c r="A99" t="s">
        <v>82</v>
      </c>
      <c r="B99" t="s">
        <v>31</v>
      </c>
      <c r="C99" t="s">
        <v>32</v>
      </c>
      <c r="D99" t="s">
        <v>33</v>
      </c>
      <c r="E99" s="2">
        <v>46082</v>
      </c>
      <c r="F99" t="s">
        <v>40</v>
      </c>
      <c r="G99">
        <v>164.7</v>
      </c>
      <c r="H99">
        <v>101.4</v>
      </c>
      <c r="I99">
        <v>-1957.8</v>
      </c>
      <c r="J99">
        <v>67.3</v>
      </c>
      <c r="K99">
        <v>0</v>
      </c>
      <c r="L99">
        <v>6.2</v>
      </c>
      <c r="M99">
        <v>0</v>
      </c>
      <c r="N99">
        <v>73.5</v>
      </c>
      <c r="O99">
        <v>115.02</v>
      </c>
      <c r="P99">
        <v>114.87</v>
      </c>
      <c r="Q99">
        <v>8.01</v>
      </c>
      <c r="R99">
        <v>8.2799999999999994</v>
      </c>
      <c r="S99">
        <f t="shared" si="78"/>
        <v>2.0873439759419914</v>
      </c>
      <c r="T99">
        <f t="shared" si="79"/>
        <v>0.98724922823806149</v>
      </c>
      <c r="U99">
        <f t="shared" si="57"/>
        <v>0</v>
      </c>
      <c r="V99">
        <f t="shared" si="80"/>
        <v>0.94515637666437657</v>
      </c>
      <c r="W99" t="str">
        <f t="shared" si="58"/>
        <v/>
      </c>
      <c r="X99">
        <f t="shared" si="81"/>
        <v>3.1223338780953283</v>
      </c>
      <c r="Y99" t="str">
        <f t="shared" si="59"/>
        <v/>
      </c>
      <c r="Z99">
        <f t="shared" si="82"/>
        <v>1.6942762375329858</v>
      </c>
      <c r="AA99">
        <f t="shared" si="83"/>
        <v>1.0593098366129658</v>
      </c>
      <c r="AB99">
        <f t="shared" si="84"/>
        <v>6.3461054535692091E-2</v>
      </c>
      <c r="AC99">
        <f t="shared" si="85"/>
        <v>5.4163447891776871E-2</v>
      </c>
      <c r="AD99">
        <f t="shared" si="86"/>
        <v>0.9122250153203505</v>
      </c>
    </row>
    <row r="100" spans="1:30">
      <c r="A100" t="s">
        <v>83</v>
      </c>
      <c r="B100" t="s">
        <v>31</v>
      </c>
      <c r="C100" t="s">
        <v>32</v>
      </c>
      <c r="D100" t="s">
        <v>33</v>
      </c>
      <c r="E100" s="2">
        <v>46082</v>
      </c>
      <c r="F100" t="s">
        <v>40</v>
      </c>
      <c r="G100">
        <v>151.30000000000001</v>
      </c>
      <c r="H100">
        <v>99.2</v>
      </c>
      <c r="I100">
        <v>-1957.8</v>
      </c>
      <c r="J100">
        <v>67.3</v>
      </c>
      <c r="K100">
        <v>0</v>
      </c>
      <c r="L100">
        <v>1.2</v>
      </c>
      <c r="M100">
        <v>0</v>
      </c>
      <c r="N100">
        <v>68.5</v>
      </c>
      <c r="O100">
        <v>111.72</v>
      </c>
      <c r="P100">
        <v>113.26</v>
      </c>
      <c r="Q100">
        <v>8.15</v>
      </c>
      <c r="R100">
        <v>8.01</v>
      </c>
      <c r="S100">
        <f t="shared" si="78"/>
        <v>0.25143516389343473</v>
      </c>
      <c r="T100">
        <f t="shared" si="79"/>
        <v>0.55052457578651703</v>
      </c>
      <c r="U100">
        <f t="shared" si="57"/>
        <v>0</v>
      </c>
      <c r="V100">
        <f t="shared" si="80"/>
        <v>0.94515637666437657</v>
      </c>
      <c r="W100" t="str">
        <f t="shared" si="58"/>
        <v/>
      </c>
      <c r="X100">
        <f t="shared" si="81"/>
        <v>0.46634856585483497</v>
      </c>
      <c r="Y100" t="str">
        <f t="shared" si="59"/>
        <v/>
      </c>
      <c r="Z100">
        <f t="shared" si="82"/>
        <v>0.29020590589823936</v>
      </c>
      <c r="AA100">
        <f t="shared" si="83"/>
        <v>0.84053932687768884</v>
      </c>
      <c r="AB100">
        <f t="shared" si="84"/>
        <v>0.91514456010765144</v>
      </c>
      <c r="AC100">
        <f t="shared" si="85"/>
        <v>0.19735012485852507</v>
      </c>
      <c r="AD100">
        <f t="shared" si="86"/>
        <v>0.23687890043647364</v>
      </c>
    </row>
    <row r="101" spans="1:30">
      <c r="A101" t="s">
        <v>58</v>
      </c>
      <c r="B101" t="s">
        <v>31</v>
      </c>
      <c r="C101" t="s">
        <v>32</v>
      </c>
      <c r="D101" t="s">
        <v>33</v>
      </c>
      <c r="E101" s="2">
        <v>46083</v>
      </c>
      <c r="F101" t="s">
        <v>34</v>
      </c>
      <c r="G101">
        <v>110.2</v>
      </c>
      <c r="H101">
        <v>97.3</v>
      </c>
      <c r="I101">
        <v>-1957.8</v>
      </c>
      <c r="J101">
        <v>67.3</v>
      </c>
      <c r="K101">
        <v>0</v>
      </c>
      <c r="L101">
        <v>2.6</v>
      </c>
      <c r="M101">
        <v>0</v>
      </c>
      <c r="N101">
        <v>69.900000000000006</v>
      </c>
      <c r="O101">
        <v>112.23</v>
      </c>
      <c r="P101">
        <v>116.85</v>
      </c>
      <c r="Q101">
        <v>7.47</v>
      </c>
      <c r="R101">
        <v>7.47</v>
      </c>
      <c r="S101">
        <f t="shared" si="78"/>
        <v>7.4248547644334497</v>
      </c>
      <c r="T101">
        <f t="shared" si="79"/>
        <v>0.17335328503290987</v>
      </c>
      <c r="U101">
        <f t="shared" si="57"/>
        <v>0</v>
      </c>
      <c r="V101">
        <f t="shared" si="80"/>
        <v>0.94515637666437657</v>
      </c>
      <c r="W101" t="str">
        <f t="shared" si="58"/>
        <v/>
      </c>
      <c r="X101">
        <f t="shared" si="81"/>
        <v>0.53848251845121076</v>
      </c>
      <c r="Y101" t="str">
        <f t="shared" si="59"/>
        <v/>
      </c>
      <c r="Z101">
        <f t="shared" si="82"/>
        <v>0.26544909426250596</v>
      </c>
      <c r="AA101">
        <f t="shared" si="83"/>
        <v>0.54692627433822083</v>
      </c>
      <c r="AB101">
        <f t="shared" si="84"/>
        <v>1.2669636116747049</v>
      </c>
      <c r="AC101">
        <f t="shared" si="85"/>
        <v>1.0242872285000806</v>
      </c>
      <c r="AD101">
        <f t="shared" si="86"/>
        <v>1.1138133293312824</v>
      </c>
    </row>
    <row r="102" spans="1:30">
      <c r="A102" t="s">
        <v>58</v>
      </c>
      <c r="B102" t="s">
        <v>31</v>
      </c>
      <c r="C102" t="s">
        <v>32</v>
      </c>
      <c r="D102" t="s">
        <v>33</v>
      </c>
      <c r="E102" s="2">
        <v>46083</v>
      </c>
      <c r="F102" t="s">
        <v>40</v>
      </c>
      <c r="G102">
        <v>153.9</v>
      </c>
      <c r="H102">
        <v>101</v>
      </c>
      <c r="I102">
        <v>-1957.8</v>
      </c>
      <c r="J102">
        <v>67.7</v>
      </c>
      <c r="K102">
        <v>0</v>
      </c>
      <c r="L102">
        <v>4.2</v>
      </c>
      <c r="M102">
        <v>0</v>
      </c>
      <c r="N102">
        <v>71.900000000000006</v>
      </c>
      <c r="O102">
        <v>115.02</v>
      </c>
      <c r="P102">
        <v>114.87</v>
      </c>
      <c r="Q102">
        <v>7.54</v>
      </c>
      <c r="R102">
        <v>7.89</v>
      </c>
      <c r="S102">
        <f t="shared" si="78"/>
        <v>0.20235780353731939</v>
      </c>
      <c r="T102">
        <f t="shared" si="79"/>
        <v>0.90784474597414333</v>
      </c>
      <c r="U102">
        <f t="shared" si="57"/>
        <v>0</v>
      </c>
      <c r="V102">
        <f t="shared" si="80"/>
        <v>0.76521142182605906</v>
      </c>
      <c r="W102" t="str">
        <f t="shared" si="58"/>
        <v/>
      </c>
      <c r="X102">
        <f t="shared" si="81"/>
        <v>1.6868609005152631</v>
      </c>
      <c r="Y102" t="str">
        <f t="shared" si="59"/>
        <v/>
      </c>
      <c r="Z102">
        <f t="shared" si="82"/>
        <v>1.059241951634996</v>
      </c>
      <c r="AA102">
        <f t="shared" si="83"/>
        <v>1.0593098366129658</v>
      </c>
      <c r="AB102">
        <f t="shared" si="84"/>
        <v>6.3461054535692091E-2</v>
      </c>
      <c r="AC102">
        <f t="shared" si="85"/>
        <v>0.89853044212492961</v>
      </c>
      <c r="AD102">
        <f t="shared" si="86"/>
        <v>6.327492840080573E-2</v>
      </c>
    </row>
    <row r="103" spans="1:30">
      <c r="A103" t="s">
        <v>61</v>
      </c>
      <c r="B103" t="s">
        <v>31</v>
      </c>
      <c r="C103" t="s">
        <v>32</v>
      </c>
      <c r="D103" t="s">
        <v>33</v>
      </c>
      <c r="E103" s="2">
        <v>46083</v>
      </c>
      <c r="F103" t="s">
        <v>34</v>
      </c>
      <c r="G103">
        <v>141</v>
      </c>
      <c r="H103">
        <v>88.3</v>
      </c>
      <c r="I103">
        <v>-1957.8</v>
      </c>
      <c r="J103">
        <v>67.3</v>
      </c>
      <c r="K103">
        <v>0</v>
      </c>
      <c r="L103">
        <v>1.7</v>
      </c>
      <c r="M103">
        <v>0</v>
      </c>
      <c r="N103">
        <v>69</v>
      </c>
      <c r="O103">
        <v>111.79</v>
      </c>
      <c r="P103">
        <v>113.48</v>
      </c>
      <c r="Q103">
        <v>6.98</v>
      </c>
      <c r="R103">
        <v>7.3</v>
      </c>
      <c r="S103">
        <f t="shared" si="78"/>
        <v>2.0491534579460433</v>
      </c>
      <c r="T103">
        <f t="shared" si="79"/>
        <v>1.6132475659052241</v>
      </c>
      <c r="U103">
        <f t="shared" si="57"/>
        <v>0</v>
      </c>
      <c r="V103">
        <f t="shared" si="80"/>
        <v>0.94515637666437657</v>
      </c>
      <c r="W103" t="str">
        <f t="shared" si="58"/>
        <v/>
      </c>
      <c r="X103">
        <f t="shared" si="81"/>
        <v>0.10748032145981869</v>
      </c>
      <c r="Y103" t="str">
        <f t="shared" si="59"/>
        <v/>
      </c>
      <c r="Z103">
        <f t="shared" si="82"/>
        <v>9.175769155511683E-2</v>
      </c>
      <c r="AA103">
        <f t="shared" si="83"/>
        <v>0.80023949613697376</v>
      </c>
      <c r="AB103">
        <f t="shared" si="84"/>
        <v>0.78142205375887219</v>
      </c>
      <c r="AC103">
        <f t="shared" si="85"/>
        <v>1.9045847331261325</v>
      </c>
      <c r="AD103">
        <f t="shared" si="86"/>
        <v>1.5390312535174275</v>
      </c>
    </row>
    <row r="104" spans="1:30">
      <c r="A104" t="s">
        <v>61</v>
      </c>
      <c r="B104" t="s">
        <v>31</v>
      </c>
      <c r="C104" t="s">
        <v>32</v>
      </c>
      <c r="D104" t="s">
        <v>33</v>
      </c>
      <c r="E104" s="2">
        <v>46083</v>
      </c>
      <c r="F104" t="s">
        <v>40</v>
      </c>
      <c r="G104">
        <v>153.5</v>
      </c>
      <c r="H104">
        <v>103.7</v>
      </c>
      <c r="I104">
        <v>-1957.8</v>
      </c>
      <c r="J104">
        <v>67.3</v>
      </c>
      <c r="K104">
        <v>0</v>
      </c>
      <c r="L104">
        <v>2.1</v>
      </c>
      <c r="M104">
        <v>0</v>
      </c>
      <c r="N104">
        <v>69.400000000000006</v>
      </c>
      <c r="O104">
        <v>111.94</v>
      </c>
      <c r="P104">
        <v>113.26</v>
      </c>
      <c r="Q104">
        <v>7.74</v>
      </c>
      <c r="R104">
        <v>8.06</v>
      </c>
      <c r="S104">
        <f t="shared" si="78"/>
        <v>0.13254350085566374</v>
      </c>
      <c r="T104">
        <f t="shared" si="79"/>
        <v>1.443825001255584</v>
      </c>
      <c r="U104">
        <f t="shared" si="57"/>
        <v>0</v>
      </c>
      <c r="V104">
        <f t="shared" si="80"/>
        <v>0.94515637666437657</v>
      </c>
      <c r="W104" t="str">
        <f t="shared" si="58"/>
        <v/>
      </c>
      <c r="X104">
        <f t="shared" si="81"/>
        <v>0.17961427405619446</v>
      </c>
      <c r="Y104" t="str">
        <f t="shared" si="59"/>
        <v/>
      </c>
      <c r="Z104">
        <f t="shared" si="82"/>
        <v>6.7000879919383444E-2</v>
      </c>
      <c r="AA104">
        <f t="shared" si="83"/>
        <v>0.71388271597831243</v>
      </c>
      <c r="AB104">
        <f t="shared" si="84"/>
        <v>0.91514456010765144</v>
      </c>
      <c r="AC104">
        <f t="shared" si="85"/>
        <v>0.53922533819592788</v>
      </c>
      <c r="AD104">
        <f t="shared" si="86"/>
        <v>0.36194299578534173</v>
      </c>
    </row>
    <row r="105" spans="1:30">
      <c r="A105" t="s">
        <v>84</v>
      </c>
      <c r="B105" t="s">
        <v>37</v>
      </c>
      <c r="C105" t="s">
        <v>38</v>
      </c>
      <c r="D105" t="s">
        <v>39</v>
      </c>
      <c r="E105" s="2">
        <v>46083</v>
      </c>
      <c r="F105" t="s">
        <v>40</v>
      </c>
      <c r="G105">
        <v>113.3</v>
      </c>
      <c r="H105">
        <v>83.8</v>
      </c>
      <c r="I105">
        <v>-1957.8</v>
      </c>
      <c r="J105">
        <v>67.3</v>
      </c>
      <c r="K105">
        <v>0</v>
      </c>
      <c r="L105">
        <v>1.6</v>
      </c>
      <c r="M105">
        <v>0</v>
      </c>
      <c r="N105">
        <v>68.900000000000006</v>
      </c>
      <c r="O105">
        <v>111.35</v>
      </c>
      <c r="P105">
        <v>112.82</v>
      </c>
      <c r="Q105">
        <v>3.78</v>
      </c>
      <c r="R105">
        <v>3.86</v>
      </c>
      <c r="S105">
        <f>IF(OR(G105=0,G105=""),"",ABS((G105-112.561871)/4.985957))</f>
        <v>0.14804158960857478</v>
      </c>
      <c r="T105">
        <f>IF(OR(H105=0,H105=""),"",ABS((H105-80.720624)/2.821681))</f>
        <v>1.0913267658534032</v>
      </c>
      <c r="U105">
        <f t="shared" si="57"/>
        <v>0</v>
      </c>
      <c r="V105">
        <f>IF(OR(J105=0,J105=""),"",ABS((J105-69.348681)/1.912674))</f>
        <v>1.0711083017806495</v>
      </c>
      <c r="W105" t="str">
        <f t="shared" si="58"/>
        <v/>
      </c>
      <c r="X105">
        <f>IF(OR(L105=0,L105=""),"",ABS((L105-1.455283)/1.400093))</f>
        <v>0.10336241949641915</v>
      </c>
      <c r="Y105" t="str">
        <f t="shared" si="59"/>
        <v/>
      </c>
      <c r="Z105">
        <f>IF(OR(N105=0,N105=""),"",ABS((N105-69.699041)/2.195614))</f>
        <v>0.36392599063404968</v>
      </c>
      <c r="AA105">
        <f>IF(OR(O105=0,O105=""),"",ABS((O105-113.513094)/1.682996))</f>
        <v>1.285263898428755</v>
      </c>
      <c r="AB105">
        <f>IF(OR(P105=0,P105=""),"",ABS((P105-115.315492)/1.394108))</f>
        <v>1.7900277453396818</v>
      </c>
      <c r="AC105">
        <f>IF(OR(Q105=0,Q105=""),"",ABS((Q105-3.821127)/0.150485))</f>
        <v>0.27329634182809154</v>
      </c>
      <c r="AD105">
        <f>IF(OR(R105=0,R105=""),"",ABS((R105-3.848345)/0.156761))</f>
        <v>7.4348849522519939E-2</v>
      </c>
    </row>
    <row r="106" spans="1:30">
      <c r="A106" t="s">
        <v>85</v>
      </c>
      <c r="B106" t="s">
        <v>37</v>
      </c>
      <c r="C106" t="s">
        <v>38</v>
      </c>
      <c r="D106" t="s">
        <v>39</v>
      </c>
      <c r="E106" s="2">
        <v>46083</v>
      </c>
      <c r="F106" t="s">
        <v>40</v>
      </c>
      <c r="G106">
        <v>107</v>
      </c>
      <c r="H106">
        <v>77.900000000000006</v>
      </c>
      <c r="I106">
        <v>-1957.8</v>
      </c>
      <c r="J106">
        <v>67.7</v>
      </c>
      <c r="K106">
        <v>0</v>
      </c>
      <c r="L106">
        <v>4.0999999999999996</v>
      </c>
      <c r="M106">
        <v>0</v>
      </c>
      <c r="N106">
        <v>71.8</v>
      </c>
      <c r="O106">
        <v>116.41</v>
      </c>
      <c r="P106">
        <v>112.82</v>
      </c>
      <c r="Q106">
        <v>3.81</v>
      </c>
      <c r="R106">
        <v>3.96</v>
      </c>
      <c r="S106">
        <f>IF(OR(G106=0,G106=""),"",ABS((G106-112.561871)/4.985957))</f>
        <v>1.1155072135600039</v>
      </c>
      <c r="T106">
        <f>IF(OR(H106=0,H106=""),"",ABS((H106-80.720624)/2.821681))</f>
        <v>0.99962540060339755</v>
      </c>
      <c r="U106">
        <f t="shared" si="57"/>
        <v>0</v>
      </c>
      <c r="V106">
        <f>IF(OR(J106=0,J106=""),"",ABS((J106-69.348681)/1.912674))</f>
        <v>0.86197700183094261</v>
      </c>
      <c r="W106" t="str">
        <f t="shared" si="58"/>
        <v/>
      </c>
      <c r="X106">
        <f>IF(OR(L106=0,L106=""),"",ABS((L106-1.455283)/1.400093))</f>
        <v>1.8889580906411214</v>
      </c>
      <c r="Y106" t="str">
        <f t="shared" si="59"/>
        <v/>
      </c>
      <c r="Z106">
        <f>IF(OR(N106=0,N106=""),"",ABS((N106-69.699041)/2.195614))</f>
        <v>0.9568890524472895</v>
      </c>
      <c r="AA106">
        <f>IF(OR(O106=0,O106=""),"",ABS((O106-113.513094)/1.682996))</f>
        <v>1.7212791949594659</v>
      </c>
      <c r="AB106">
        <f>IF(OR(P106=0,P106=""),"",ABS((P106-115.315492)/1.394108))</f>
        <v>1.7900277453396818</v>
      </c>
      <c r="AC106">
        <f>IF(OR(Q106=0,Q106=""),"",ABS((Q106-3.821127)/0.150485))</f>
        <v>7.3940924344619782E-2</v>
      </c>
      <c r="AD106">
        <f>IF(OR(R106=0,R106=""),"",ABS((R106-3.848345)/0.156761))</f>
        <v>0.71226261633952215</v>
      </c>
    </row>
    <row r="107" spans="1:30">
      <c r="A107" t="s">
        <v>86</v>
      </c>
      <c r="B107" t="s">
        <v>37</v>
      </c>
      <c r="C107" t="s">
        <v>38</v>
      </c>
      <c r="D107" t="s">
        <v>39</v>
      </c>
      <c r="E107" s="2">
        <v>46083</v>
      </c>
      <c r="F107" t="s">
        <v>40</v>
      </c>
      <c r="G107">
        <v>111.1</v>
      </c>
      <c r="H107">
        <v>82.5</v>
      </c>
      <c r="I107">
        <v>-1957.8</v>
      </c>
      <c r="J107">
        <v>67.7</v>
      </c>
      <c r="K107">
        <v>0</v>
      </c>
      <c r="L107">
        <v>3.7</v>
      </c>
      <c r="M107">
        <v>0</v>
      </c>
      <c r="N107">
        <v>71.400000000000006</v>
      </c>
      <c r="O107">
        <v>111.79</v>
      </c>
      <c r="P107">
        <v>113.33</v>
      </c>
      <c r="Q107">
        <v>3.93</v>
      </c>
      <c r="R107">
        <v>3.93</v>
      </c>
      <c r="S107">
        <f>IF(OR(G107=0,G107=""),"",ABS((G107-112.561871)/4.985957))</f>
        <v>0.29319767498997729</v>
      </c>
      <c r="T107">
        <f>IF(OR(H107=0,H107=""),"",ABS((H107-80.720624)/2.821681))</f>
        <v>0.63060849188834578</v>
      </c>
      <c r="U107">
        <f t="shared" si="57"/>
        <v>0</v>
      </c>
      <c r="V107">
        <f>IF(OR(J107=0,J107=""),"",ABS((J107-69.348681)/1.912674))</f>
        <v>0.86197700183094261</v>
      </c>
      <c r="W107" t="str">
        <f t="shared" si="58"/>
        <v/>
      </c>
      <c r="X107">
        <f>IF(OR(L107=0,L107=""),"",ABS((L107-1.455283)/1.400093))</f>
        <v>1.6032627832579693</v>
      </c>
      <c r="Y107" t="str">
        <f t="shared" si="59"/>
        <v/>
      </c>
      <c r="Z107">
        <f>IF(OR(N107=0,N107=""),"",ABS((N107-69.699041)/2.195614))</f>
        <v>0.77470766719469442</v>
      </c>
      <c r="AA107">
        <f>IF(OR(O107=0,O107=""),"",ABS((O107-113.513094)/1.682996))</f>
        <v>1.0238253685689027</v>
      </c>
      <c r="AB107">
        <f>IF(OR(P107=0,P107=""),"",ABS((P107-115.315492)/1.394108))</f>
        <v>1.4242024290801056</v>
      </c>
      <c r="AC107">
        <f>IF(OR(Q107=0,Q107=""),"",ABS((Q107-3.821127)/0.150485))</f>
        <v>0.72348074558926134</v>
      </c>
      <c r="AD107">
        <f>IF(OR(R107=0,R107=""),"",ABS((R107-3.848345)/0.156761))</f>
        <v>0.52088848629442286</v>
      </c>
    </row>
    <row r="108" spans="1:30">
      <c r="A108" t="s">
        <v>87</v>
      </c>
      <c r="B108" t="s">
        <v>37</v>
      </c>
      <c r="C108" t="s">
        <v>38</v>
      </c>
      <c r="D108" t="s">
        <v>39</v>
      </c>
      <c r="E108" s="2">
        <v>46083</v>
      </c>
      <c r="F108" t="s">
        <v>40</v>
      </c>
      <c r="G108">
        <v>113.3</v>
      </c>
      <c r="H108">
        <v>83.4</v>
      </c>
      <c r="I108">
        <v>-1957.8</v>
      </c>
      <c r="J108">
        <v>67.7</v>
      </c>
      <c r="K108">
        <v>0</v>
      </c>
      <c r="L108">
        <v>3.5</v>
      </c>
      <c r="M108">
        <v>0</v>
      </c>
      <c r="N108">
        <v>71.2</v>
      </c>
      <c r="O108">
        <v>111.79</v>
      </c>
      <c r="P108">
        <v>113.18</v>
      </c>
      <c r="Q108">
        <v>3.83</v>
      </c>
      <c r="R108">
        <v>3.83</v>
      </c>
      <c r="S108">
        <f>IF(OR(G108=0,G108=""),"",ABS((G108-112.561871)/4.985957))</f>
        <v>0.14804158960857478</v>
      </c>
      <c r="T108">
        <f>IF(OR(H108=0,H108=""),"",ABS((H108-80.720624)/2.821681))</f>
        <v>0.94956729694108055</v>
      </c>
      <c r="U108">
        <f t="shared" si="57"/>
        <v>0</v>
      </c>
      <c r="V108">
        <f>IF(OR(J108=0,J108=""),"",ABS((J108-69.348681)/1.912674))</f>
        <v>0.86197700183094261</v>
      </c>
      <c r="W108" t="str">
        <f t="shared" si="58"/>
        <v/>
      </c>
      <c r="X108">
        <f>IF(OR(L108=0,L108=""),"",ABS((L108-1.455283)/1.400093))</f>
        <v>1.460415129566393</v>
      </c>
      <c r="Y108" t="str">
        <f t="shared" si="59"/>
        <v/>
      </c>
      <c r="Z108">
        <f>IF(OR(N108=0,N108=""),"",ABS((N108-69.699041)/2.195614))</f>
        <v>0.68361697456839354</v>
      </c>
      <c r="AA108">
        <f>IF(OR(O108=0,O108=""),"",ABS((O108-113.513094)/1.682996))</f>
        <v>1.0238253685689027</v>
      </c>
      <c r="AB108">
        <f>IF(OR(P108=0,P108=""),"",ABS((P108-115.315492)/1.394108))</f>
        <v>1.531798110332915</v>
      </c>
      <c r="AC108">
        <f>IF(OR(Q108=0,Q108=""),"",ABS((Q108-3.821127)/0.150485))</f>
        <v>5.8962687311027065E-2</v>
      </c>
      <c r="AD108">
        <f>IF(OR(R108=0,R108=""),"",ABS((R108-3.848345)/0.156761))</f>
        <v>0.11702528052257931</v>
      </c>
    </row>
    <row r="109" spans="1:30">
      <c r="A109" t="s">
        <v>88</v>
      </c>
      <c r="B109" t="s">
        <v>37</v>
      </c>
      <c r="C109" t="s">
        <v>38</v>
      </c>
      <c r="D109" t="s">
        <v>39</v>
      </c>
      <c r="E109" s="2">
        <v>46083</v>
      </c>
      <c r="F109" t="s">
        <v>40</v>
      </c>
      <c r="G109">
        <v>111.5</v>
      </c>
      <c r="H109">
        <v>82.9</v>
      </c>
      <c r="I109">
        <v>-1957.8</v>
      </c>
      <c r="J109">
        <v>67.7</v>
      </c>
      <c r="K109">
        <v>0</v>
      </c>
      <c r="L109">
        <v>4</v>
      </c>
      <c r="M109">
        <v>0</v>
      </c>
      <c r="N109">
        <v>71.7</v>
      </c>
      <c r="O109">
        <v>111.64</v>
      </c>
      <c r="P109">
        <v>116.78</v>
      </c>
      <c r="Q109">
        <v>3.98</v>
      </c>
      <c r="R109">
        <v>3.98</v>
      </c>
      <c r="S109">
        <f>IF(OR(G109=0,G109=""),"",ABS((G109-112.561871)/4.985957))</f>
        <v>0.21297235415387586</v>
      </c>
      <c r="T109">
        <f>IF(OR(H109=0,H109=""),"",ABS((H109-80.720624)/2.821681))</f>
        <v>0.77236796080067338</v>
      </c>
      <c r="U109">
        <f t="shared" si="57"/>
        <v>0</v>
      </c>
      <c r="V109">
        <f>IF(OR(J109=0,J109=""),"",ABS((J109-69.348681)/1.912674))</f>
        <v>0.86197700183094261</v>
      </c>
      <c r="W109" t="str">
        <f t="shared" si="58"/>
        <v/>
      </c>
      <c r="X109">
        <f>IF(OR(L109=0,L109=""),"",ABS((L109-1.455283)/1.400093))</f>
        <v>1.8175342637953336</v>
      </c>
      <c r="Y109" t="str">
        <f t="shared" si="59"/>
        <v/>
      </c>
      <c r="Z109">
        <f>IF(OR(N109=0,N109=""),"",ABS((N109-69.699041)/2.195614))</f>
        <v>0.9113437061341424</v>
      </c>
      <c r="AA109">
        <f>IF(OR(O109=0,O109=""),"",ABS((O109-113.513094)/1.682996))</f>
        <v>1.1129521401120352</v>
      </c>
      <c r="AB109">
        <f>IF(OR(P109=0,P109=""),"",ABS((P109-115.315492)/1.394108))</f>
        <v>1.0504982397346512</v>
      </c>
      <c r="AC109">
        <f>IF(OR(Q109=0,Q109=""),"",ABS((Q109-3.821127)/0.150485))</f>
        <v>1.055739774728377</v>
      </c>
      <c r="AD109">
        <f>IF(OR(R109=0,R109=""),"",ABS((R109-3.848345)/0.156761))</f>
        <v>0.83984536970292256</v>
      </c>
    </row>
    <row r="110" spans="1:30">
      <c r="A110" t="s">
        <v>80</v>
      </c>
      <c r="B110" t="s">
        <v>31</v>
      </c>
      <c r="C110" t="s">
        <v>32</v>
      </c>
      <c r="D110" t="s">
        <v>33</v>
      </c>
      <c r="E110" s="2">
        <v>46083</v>
      </c>
      <c r="F110" t="s">
        <v>40</v>
      </c>
      <c r="G110">
        <v>145.5</v>
      </c>
      <c r="H110">
        <v>98.3</v>
      </c>
      <c r="I110">
        <v>-1957.8</v>
      </c>
      <c r="J110">
        <v>68.2</v>
      </c>
      <c r="K110">
        <v>0</v>
      </c>
      <c r="L110">
        <v>3.4</v>
      </c>
      <c r="M110">
        <v>0</v>
      </c>
      <c r="N110">
        <v>71.599999999999994</v>
      </c>
      <c r="O110">
        <v>111.5</v>
      </c>
      <c r="P110">
        <v>113.11</v>
      </c>
      <c r="Q110">
        <v>8.4499999999999993</v>
      </c>
      <c r="R110">
        <v>8.08</v>
      </c>
      <c r="S110">
        <f>IF(OR(G110=0,G110=""),"",ABS((G110-152.740594)/5.729485))</f>
        <v>1.2637425527774289</v>
      </c>
      <c r="T110">
        <f>IF(OR(H110=0,H110=""),"",ABS((H110-96.426733)/5.037499))</f>
        <v>0.37186449069270255</v>
      </c>
      <c r="U110">
        <f t="shared" si="57"/>
        <v>0</v>
      </c>
      <c r="V110">
        <f>IF(OR(J110=0,J110=""),"",ABS((J110-69.40099)/2.222902))</f>
        <v>0.54028022827816535</v>
      </c>
      <c r="W110" t="str">
        <f t="shared" si="58"/>
        <v/>
      </c>
      <c r="X110">
        <f>IF(OR(L110=0,L110=""),"",ABS((L110-1.849749)/1.393269))</f>
        <v>1.1126717094832368</v>
      </c>
      <c r="Y110" t="str">
        <f t="shared" si="59"/>
        <v/>
      </c>
      <c r="Z110">
        <f>IF(OR(N110=0,N110=""),"",ABS((N110-69.231188)/2.519549))</f>
        <v>0.94017302302911798</v>
      </c>
      <c r="AA110">
        <f>IF(OR(O110=0,O110=""),"",ABS((O110-113.18)/1.73698))</f>
        <v>0.96719593777706525</v>
      </c>
      <c r="AB110">
        <f>IF(OR(P110=0,P110=""),"",ABS((P110-114.765594)/1.645198))</f>
        <v>1.0063189962545502</v>
      </c>
      <c r="AC110">
        <f>IF(OR(Q110=0,Q110=""),"",ABS((Q110-8.040149)/0.55663))</f>
        <v>0.73630778075202519</v>
      </c>
      <c r="AD110">
        <f>IF(OR(R110=0,R110=""),"",ABS((R110-7.915297)/0.399795))</f>
        <v>0.41196863392488714</v>
      </c>
    </row>
    <row r="111" spans="1:30">
      <c r="A111" t="s">
        <v>89</v>
      </c>
      <c r="B111" t="s">
        <v>37</v>
      </c>
      <c r="C111" t="s">
        <v>38</v>
      </c>
      <c r="D111" t="s">
        <v>39</v>
      </c>
      <c r="E111" s="2">
        <v>46083</v>
      </c>
      <c r="F111" t="s">
        <v>40</v>
      </c>
      <c r="G111">
        <v>110.2</v>
      </c>
      <c r="H111">
        <v>78.400000000000006</v>
      </c>
      <c r="I111">
        <v>-1957.8</v>
      </c>
      <c r="J111">
        <v>68.2</v>
      </c>
      <c r="K111">
        <v>0</v>
      </c>
      <c r="L111">
        <v>3.4</v>
      </c>
      <c r="M111">
        <v>0</v>
      </c>
      <c r="N111">
        <v>71.599999999999994</v>
      </c>
      <c r="O111">
        <v>111.94</v>
      </c>
      <c r="P111">
        <v>113.4</v>
      </c>
      <c r="Q111">
        <v>3.74</v>
      </c>
      <c r="R111">
        <v>3.74</v>
      </c>
      <c r="S111">
        <f>IF(OR(G111=0,G111=""),"",ABS((G111-112.561871)/4.985957))</f>
        <v>0.47370464687120117</v>
      </c>
      <c r="T111">
        <f>IF(OR(H111=0,H111=""),"",ABS((H111-80.720624)/2.821681))</f>
        <v>0.82242606446299038</v>
      </c>
      <c r="U111">
        <f t="shared" si="57"/>
        <v>0</v>
      </c>
      <c r="V111">
        <f>IF(OR(J111=0,J111=""),"",ABS((J111-69.348681)/1.912674))</f>
        <v>0.60056287689381271</v>
      </c>
      <c r="W111" t="str">
        <f t="shared" si="58"/>
        <v/>
      </c>
      <c r="X111">
        <f>IF(OR(L111=0,L111=""),"",ABS((L111-1.455283)/1.400093))</f>
        <v>1.3889913027206049</v>
      </c>
      <c r="Y111" t="str">
        <f t="shared" si="59"/>
        <v/>
      </c>
      <c r="Z111">
        <f>IF(OR(N111=0,N111=""),"",ABS((N111-69.699041)/2.195614))</f>
        <v>0.86579835982098874</v>
      </c>
      <c r="AA111">
        <f>IF(OR(O111=0,O111=""),"",ABS((O111-113.513094)/1.682996))</f>
        <v>0.93469859702577884</v>
      </c>
      <c r="AB111">
        <f>IF(OR(P111=0,P111=""),"",ABS((P111-115.315492)/1.394108))</f>
        <v>1.3739911111621199</v>
      </c>
      <c r="AC111">
        <f>IF(OR(Q111=0,Q111=""),"",ABS((Q111-3.821127)/0.150485))</f>
        <v>0.53910356513938229</v>
      </c>
      <c r="AD111">
        <f>IF(OR(R111=0,R111=""),"",ABS((R111-3.848345)/0.156761))</f>
        <v>0.69114767065787985</v>
      </c>
    </row>
    <row r="112" spans="1:30">
      <c r="A112" t="s">
        <v>90</v>
      </c>
      <c r="B112" t="s">
        <v>37</v>
      </c>
      <c r="C112" t="s">
        <v>38</v>
      </c>
      <c r="D112" t="s">
        <v>39</v>
      </c>
      <c r="E112" s="2">
        <v>46083</v>
      </c>
      <c r="F112" t="s">
        <v>40</v>
      </c>
      <c r="G112">
        <v>113.7</v>
      </c>
      <c r="H112">
        <v>83.8</v>
      </c>
      <c r="I112">
        <v>-1957.8</v>
      </c>
      <c r="J112">
        <v>67.7</v>
      </c>
      <c r="K112">
        <v>0</v>
      </c>
      <c r="L112">
        <v>2.4</v>
      </c>
      <c r="M112">
        <v>0</v>
      </c>
      <c r="N112">
        <v>70.099999999999994</v>
      </c>
      <c r="O112">
        <v>112.16</v>
      </c>
      <c r="P112">
        <v>116.48</v>
      </c>
      <c r="Q112">
        <v>3.83</v>
      </c>
      <c r="R112">
        <v>3.83</v>
      </c>
      <c r="S112">
        <f>IF(OR(G112=0,G112=""),"",ABS((G112-112.561871)/4.985957))</f>
        <v>0.2282669104446762</v>
      </c>
      <c r="T112">
        <f>IF(OR(H112=0,H112=""),"",ABS((H112-80.720624)/2.821681))</f>
        <v>1.0913267658534032</v>
      </c>
      <c r="U112">
        <f t="shared" si="57"/>
        <v>0</v>
      </c>
      <c r="V112">
        <f>IF(OR(J112=0,J112=""),"",ABS((J112-69.348681)/1.912674))</f>
        <v>0.86197700183094261</v>
      </c>
      <c r="W112" t="str">
        <f t="shared" si="58"/>
        <v/>
      </c>
      <c r="X112">
        <f>IF(OR(L112=0,L112=""),"",ABS((L112-1.455283)/1.400093))</f>
        <v>0.67475303426272382</v>
      </c>
      <c r="Y112" t="str">
        <f t="shared" si="59"/>
        <v/>
      </c>
      <c r="Z112">
        <f>IF(OR(N112=0,N112=""),"",ABS((N112-69.699041)/2.195614))</f>
        <v>0.18261816512374229</v>
      </c>
      <c r="AA112">
        <f>IF(OR(O112=0,O112=""),"",ABS((O112-113.513094)/1.682996))</f>
        <v>0.80397933209585692</v>
      </c>
      <c r="AB112">
        <f>IF(OR(P112=0,P112=""),"",ABS((P112-115.315492)/1.394108))</f>
        <v>0.83530687722902242</v>
      </c>
      <c r="AC112">
        <f>IF(OR(Q112=0,Q112=""),"",ABS((Q112-3.821127)/0.150485))</f>
        <v>5.8962687311027065E-2</v>
      </c>
      <c r="AD112">
        <f>IF(OR(R112=0,R112=""),"",ABS((R112-3.848345)/0.156761))</f>
        <v>0.11702528052257931</v>
      </c>
    </row>
    <row r="113" spans="1:30">
      <c r="A113" t="s">
        <v>91</v>
      </c>
      <c r="B113" t="s">
        <v>37</v>
      </c>
      <c r="C113" t="s">
        <v>38</v>
      </c>
      <c r="D113" t="s">
        <v>39</v>
      </c>
      <c r="E113" s="2">
        <v>46083</v>
      </c>
      <c r="F113" t="s">
        <v>40</v>
      </c>
      <c r="G113">
        <v>116.9</v>
      </c>
      <c r="H113">
        <v>85.2</v>
      </c>
      <c r="I113">
        <v>-1957.8</v>
      </c>
      <c r="J113">
        <v>68.2</v>
      </c>
      <c r="K113">
        <v>0</v>
      </c>
      <c r="L113">
        <v>3.7</v>
      </c>
      <c r="M113">
        <v>0</v>
      </c>
      <c r="N113">
        <v>71.900000000000006</v>
      </c>
      <c r="O113">
        <v>115.02</v>
      </c>
      <c r="P113">
        <v>114.94</v>
      </c>
      <c r="Q113">
        <v>3.83</v>
      </c>
      <c r="R113">
        <v>3.98</v>
      </c>
      <c r="S113">
        <f>IF(OR(G113=0,G113=""),"",ABS((G113-112.561871)/4.985957))</f>
        <v>0.87006947713347893</v>
      </c>
      <c r="T113">
        <f>IF(OR(H113=0,H113=""),"",ABS((H113-80.720624)/2.821681))</f>
        <v>1.5874849070465451</v>
      </c>
      <c r="U113">
        <f t="shared" si="57"/>
        <v>0</v>
      </c>
      <c r="V113">
        <f>IF(OR(J113=0,J113=""),"",ABS((J113-69.348681)/1.912674))</f>
        <v>0.60056287689381271</v>
      </c>
      <c r="W113" t="str">
        <f t="shared" si="58"/>
        <v/>
      </c>
      <c r="X113">
        <f>IF(OR(L113=0,L113=""),"",ABS((L113-1.455283)/1.400093))</f>
        <v>1.6032627832579693</v>
      </c>
      <c r="Y113" t="str">
        <f t="shared" si="59"/>
        <v/>
      </c>
      <c r="Z113">
        <f>IF(OR(N113=0,N113=""),"",ABS((N113-69.699041)/2.195614))</f>
        <v>1.0024343987604432</v>
      </c>
      <c r="AA113">
        <f>IF(OR(O113=0,O113=""),"",ABS((O113-113.513094)/1.682996))</f>
        <v>0.89537111199313657</v>
      </c>
      <c r="AB113">
        <f>IF(OR(P113=0,P113=""),"",ABS((P113-115.315492)/1.394108))</f>
        <v>0.2693421169665538</v>
      </c>
      <c r="AC113">
        <f>IF(OR(Q113=0,Q113=""),"",ABS((Q113-3.821127)/0.150485))</f>
        <v>5.8962687311027065E-2</v>
      </c>
      <c r="AD113">
        <f>IF(OR(R113=0,R113=""),"",ABS((R113-3.848345)/0.156761))</f>
        <v>0.83984536970292256</v>
      </c>
    </row>
    <row r="114" spans="1:30">
      <c r="A114" t="s">
        <v>92</v>
      </c>
      <c r="B114" t="s">
        <v>37</v>
      </c>
      <c r="C114" t="s">
        <v>38</v>
      </c>
      <c r="D114" t="s">
        <v>39</v>
      </c>
      <c r="E114" s="2">
        <v>46083</v>
      </c>
      <c r="F114" t="s">
        <v>40</v>
      </c>
      <c r="G114">
        <v>114.6</v>
      </c>
      <c r="H114">
        <v>83.4</v>
      </c>
      <c r="I114">
        <v>-1957.8</v>
      </c>
      <c r="J114">
        <v>68.599999999999994</v>
      </c>
      <c r="K114">
        <v>0</v>
      </c>
      <c r="L114">
        <v>3.4</v>
      </c>
      <c r="M114">
        <v>0</v>
      </c>
      <c r="N114">
        <v>72</v>
      </c>
      <c r="O114">
        <v>112.23</v>
      </c>
      <c r="P114">
        <v>116.41</v>
      </c>
      <c r="Q114">
        <v>3.91</v>
      </c>
      <c r="R114">
        <v>3.86</v>
      </c>
      <c r="S114">
        <f>IF(OR(G114=0,G114=""),"",ABS((G114-112.561871)/4.985957))</f>
        <v>0.40877388232590012</v>
      </c>
      <c r="T114">
        <f>IF(OR(H114=0,H114=""),"",ABS((H114-80.720624)/2.821681))</f>
        <v>0.94956729694108055</v>
      </c>
      <c r="U114">
        <f t="shared" si="57"/>
        <v>0</v>
      </c>
      <c r="V114">
        <f>IF(OR(J114=0,J114=""),"",ABS((J114-69.348681)/1.912674))</f>
        <v>0.39143157694411324</v>
      </c>
      <c r="W114" t="str">
        <f t="shared" si="58"/>
        <v/>
      </c>
      <c r="X114">
        <f>IF(OR(L114=0,L114=""),"",ABS((L114-1.455283)/1.400093))</f>
        <v>1.3889913027206049</v>
      </c>
      <c r="Y114" t="str">
        <f t="shared" si="59"/>
        <v/>
      </c>
      <c r="Z114">
        <f>IF(OR(N114=0,N114=""),"",ABS((N114-69.699041)/2.195614))</f>
        <v>1.0479797450735904</v>
      </c>
      <c r="AA114">
        <f>IF(OR(O114=0,O114=""),"",ABS((O114-113.513094)/1.682996))</f>
        <v>0.76238683870905888</v>
      </c>
      <c r="AB114">
        <f>IF(OR(P114=0,P114=""),"",ABS((P114-115.315492)/1.394108))</f>
        <v>0.78509555931103658</v>
      </c>
      <c r="AC114">
        <f>IF(OR(Q114=0,Q114=""),"",ABS((Q114-3.821127)/0.150485))</f>
        <v>0.59057713393361444</v>
      </c>
      <c r="AD114">
        <f>IF(OR(R114=0,R114=""),"",ABS((R114-3.848345)/0.156761))</f>
        <v>7.4348849522519939E-2</v>
      </c>
    </row>
    <row r="115" spans="1:30">
      <c r="A115" t="s">
        <v>93</v>
      </c>
      <c r="B115" t="s">
        <v>31</v>
      </c>
      <c r="C115" t="s">
        <v>32</v>
      </c>
      <c r="D115" t="s">
        <v>33</v>
      </c>
      <c r="E115" s="2">
        <v>46083</v>
      </c>
      <c r="F115" t="s">
        <v>34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f>IF(OR(G115=0,G115=""),"",ABS((G115-152.740594)/5.729485))</f>
        <v/>
      </c>
      <c r="T115" t="str">
        <f>IF(OR(H115=0,H115=""),"",ABS((H115-96.426733)/5.037499))</f>
        <v/>
      </c>
      <c r="U115" t="str">
        <f t="shared" si="57"/>
        <v/>
      </c>
      <c r="V115" t="str">
        <f>IF(OR(J115=0,J115=""),"",ABS((J115-69.40099)/2.222902))</f>
        <v/>
      </c>
      <c r="W115" t="str">
        <f t="shared" si="58"/>
        <v/>
      </c>
      <c r="X115" t="str">
        <f>IF(OR(L115=0,L115=""),"",ABS((L115-1.849749)/1.393269))</f>
        <v/>
      </c>
      <c r="Y115" t="str">
        <f t="shared" si="59"/>
        <v/>
      </c>
      <c r="Z115" t="str">
        <f>IF(OR(N115=0,N115=""),"",ABS((N115-69.231188)/2.519549))</f>
        <v/>
      </c>
      <c r="AA115" t="str">
        <f>IF(OR(O115=0,O115=""),"",ABS((O115-113.18)/1.73698))</f>
        <v/>
      </c>
      <c r="AB115" t="str">
        <f>IF(OR(P115=0,P115=""),"",ABS((P115-114.765594)/1.645198))</f>
        <v/>
      </c>
      <c r="AC115" t="str">
        <f>IF(OR(Q115=0,Q115=""),"",ABS((Q115-8.040149)/0.55663))</f>
        <v/>
      </c>
      <c r="AD115" t="str">
        <f>IF(OR(R115=0,R115=""),"",ABS((R115-7.915297)/0.399795))</f>
        <v/>
      </c>
    </row>
    <row r="116" spans="1:30">
      <c r="A116" t="s">
        <v>93</v>
      </c>
      <c r="B116" t="s">
        <v>31</v>
      </c>
      <c r="C116" t="s">
        <v>32</v>
      </c>
      <c r="D116" t="s">
        <v>33</v>
      </c>
      <c r="E116" s="2">
        <v>46083</v>
      </c>
      <c r="F116" t="s">
        <v>40</v>
      </c>
      <c r="G116">
        <v>145</v>
      </c>
      <c r="H116">
        <v>94.2</v>
      </c>
      <c r="I116">
        <v>-1957.8</v>
      </c>
      <c r="J116">
        <v>68.599999999999994</v>
      </c>
      <c r="K116">
        <v>0</v>
      </c>
      <c r="L116">
        <v>0.7</v>
      </c>
      <c r="M116">
        <v>0</v>
      </c>
      <c r="N116">
        <v>69.3</v>
      </c>
      <c r="O116">
        <v>112.01</v>
      </c>
      <c r="P116">
        <v>113.26</v>
      </c>
      <c r="Q116">
        <v>7.1</v>
      </c>
      <c r="R116">
        <v>7.67</v>
      </c>
      <c r="S116">
        <f>IF(OR(G116=0,G116=""),"",ABS((G116-152.740594)/5.729485))</f>
        <v>1.351010431129497</v>
      </c>
      <c r="T116">
        <f>IF(OR(H116=0,H116=""),"",ABS((H116-96.426733)/5.037499))</f>
        <v>0.4420314525124463</v>
      </c>
      <c r="U116">
        <f t="shared" si="57"/>
        <v>0</v>
      </c>
      <c r="V116">
        <f>IF(OR(J116=0,J116=""),"",ABS((J116-69.40099)/2.222902))</f>
        <v>0.36033527343985422</v>
      </c>
      <c r="W116" t="str">
        <f t="shared" si="58"/>
        <v/>
      </c>
      <c r="X116">
        <f>IF(OR(L116=0,L116=""),"",ABS((L116-1.849749)/1.393269))</f>
        <v>0.82521681024985127</v>
      </c>
      <c r="Y116" t="str">
        <f t="shared" si="59"/>
        <v/>
      </c>
      <c r="Z116">
        <f>IF(OR(N116=0,N116=""),"",ABS((N116-69.231188)/2.519549))</f>
        <v>2.7311237050755551E-2</v>
      </c>
      <c r="AA116">
        <f>IF(OR(O116=0,O116=""),"",ABS((O116-113.18)/1.73698))</f>
        <v>0.67358288523759724</v>
      </c>
      <c r="AB116">
        <f>IF(OR(P116=0,P116=""),"",ABS((P116-114.765594)/1.645198))</f>
        <v>0.91514456010765144</v>
      </c>
      <c r="AC116">
        <f>IF(OR(Q116=0,Q116=""),"",ABS((Q116-8.040149)/0.55663))</f>
        <v>1.6890016707687332</v>
      </c>
      <c r="AD116">
        <f>IF(OR(R116=0,R116=""),"",ABS((R116-7.915297)/0.399795))</f>
        <v>0.61355694793581683</v>
      </c>
    </row>
    <row r="117" spans="1:30">
      <c r="A117" t="s">
        <v>94</v>
      </c>
      <c r="B117" t="s">
        <v>37</v>
      </c>
      <c r="C117" t="s">
        <v>38</v>
      </c>
      <c r="D117" t="s">
        <v>39</v>
      </c>
      <c r="E117" s="2">
        <v>46083</v>
      </c>
      <c r="F117" t="s">
        <v>40</v>
      </c>
      <c r="G117">
        <v>110.6</v>
      </c>
      <c r="H117">
        <v>79.3</v>
      </c>
      <c r="I117">
        <v>-1957.8</v>
      </c>
      <c r="J117">
        <v>68.599999999999994</v>
      </c>
      <c r="K117">
        <v>0</v>
      </c>
      <c r="L117">
        <v>2.6</v>
      </c>
      <c r="M117">
        <v>0</v>
      </c>
      <c r="N117">
        <v>71.2</v>
      </c>
      <c r="O117">
        <v>114.94</v>
      </c>
      <c r="P117">
        <v>115.02</v>
      </c>
      <c r="Q117">
        <v>3.76</v>
      </c>
      <c r="R117">
        <v>3.81</v>
      </c>
      <c r="S117">
        <f t="shared" ref="S117:S123" si="87">IF(OR(G117=0,G117=""),"",ABS((G117-112.561871)/4.985957))</f>
        <v>0.39347932603510261</v>
      </c>
      <c r="T117">
        <f t="shared" ref="T117:T123" si="88">IF(OR(H117=0,H117=""),"",ABS((H117-80.720624)/2.821681))</f>
        <v>0.50346725941026071</v>
      </c>
      <c r="U117">
        <f t="shared" si="57"/>
        <v>0</v>
      </c>
      <c r="V117">
        <f t="shared" ref="V117:V123" si="89">IF(OR(J117=0,J117=""),"",ABS((J117-69.348681)/1.912674))</f>
        <v>0.39143157694411324</v>
      </c>
      <c r="W117" t="str">
        <f t="shared" si="58"/>
        <v/>
      </c>
      <c r="X117">
        <f t="shared" ref="X117:X123" si="90">IF(OR(L117=0,L117=""),"",ABS((L117-1.455283)/1.400093))</f>
        <v>0.81760068795430019</v>
      </c>
      <c r="Y117" t="str">
        <f t="shared" si="59"/>
        <v/>
      </c>
      <c r="Z117">
        <f t="shared" ref="Z117:Z123" si="91">IF(OR(N117=0,N117=""),"",ABS((N117-69.699041)/2.195614))</f>
        <v>0.68361697456839354</v>
      </c>
      <c r="AA117">
        <f t="shared" ref="AA117:AA123" si="92">IF(OR(O117=0,O117=""),"",ABS((O117-113.513094)/1.682996))</f>
        <v>0.84783683383680208</v>
      </c>
      <c r="AB117">
        <f t="shared" ref="AB117:AB123" si="93">IF(OR(P117=0,P117=""),"",ABS((P117-115.315492)/1.394108))</f>
        <v>0.21195775363172015</v>
      </c>
      <c r="AC117">
        <f t="shared" ref="AC117:AC123" si="94">IF(OR(Q117=0,Q117=""),"",ABS((Q117-3.821127)/0.150485))</f>
        <v>0.40619995348373839</v>
      </c>
      <c r="AD117">
        <f t="shared" ref="AD117:AD123" si="95">IF(OR(R117=0,R117=""),"",ABS((R117-3.848345)/0.156761))</f>
        <v>0.24460803388597974</v>
      </c>
    </row>
    <row r="118" spans="1:30">
      <c r="A118" t="s">
        <v>95</v>
      </c>
      <c r="B118" t="s">
        <v>37</v>
      </c>
      <c r="C118" t="s">
        <v>38</v>
      </c>
      <c r="D118" t="s">
        <v>39</v>
      </c>
      <c r="E118" s="2">
        <v>46083</v>
      </c>
      <c r="F118" t="s">
        <v>34</v>
      </c>
      <c r="G118">
        <v>109.3</v>
      </c>
      <c r="H118">
        <v>78.400000000000006</v>
      </c>
      <c r="I118">
        <v>-1957.8</v>
      </c>
      <c r="J118">
        <v>68.599999999999994</v>
      </c>
      <c r="K118">
        <v>0</v>
      </c>
      <c r="L118">
        <v>2.2000000000000002</v>
      </c>
      <c r="M118">
        <v>0</v>
      </c>
      <c r="N118">
        <v>70.8</v>
      </c>
      <c r="O118">
        <v>112.38</v>
      </c>
      <c r="P118">
        <v>116.63</v>
      </c>
      <c r="Q118">
        <v>3.69</v>
      </c>
      <c r="R118">
        <v>3.71</v>
      </c>
      <c r="S118">
        <f t="shared" si="87"/>
        <v>0.65421161875242795</v>
      </c>
      <c r="T118">
        <f t="shared" si="88"/>
        <v>0.82242606446299038</v>
      </c>
      <c r="U118">
        <f t="shared" si="57"/>
        <v>0</v>
      </c>
      <c r="V118">
        <f t="shared" si="89"/>
        <v>0.39143157694411324</v>
      </c>
      <c r="W118" t="str">
        <f t="shared" si="58"/>
        <v/>
      </c>
      <c r="X118">
        <f t="shared" si="90"/>
        <v>0.53190538057114778</v>
      </c>
      <c r="Y118" t="str">
        <f t="shared" si="59"/>
        <v/>
      </c>
      <c r="Z118">
        <f t="shared" si="91"/>
        <v>0.50143558931579191</v>
      </c>
      <c r="AA118">
        <f t="shared" si="92"/>
        <v>0.67326006716593501</v>
      </c>
      <c r="AB118">
        <f t="shared" si="93"/>
        <v>0.94290255848183169</v>
      </c>
      <c r="AC118">
        <f t="shared" si="94"/>
        <v>0.87136259427850093</v>
      </c>
      <c r="AD118">
        <f t="shared" si="95"/>
        <v>0.88252180070298192</v>
      </c>
    </row>
    <row r="119" spans="1:30">
      <c r="A119" t="s">
        <v>95</v>
      </c>
      <c r="B119" t="s">
        <v>37</v>
      </c>
      <c r="C119" t="s">
        <v>38</v>
      </c>
      <c r="D119" t="s">
        <v>39</v>
      </c>
      <c r="E119" s="2">
        <v>46083</v>
      </c>
      <c r="F119" t="s">
        <v>40</v>
      </c>
      <c r="G119">
        <v>118.7</v>
      </c>
      <c r="H119">
        <v>85.2</v>
      </c>
      <c r="I119">
        <v>-1957.8</v>
      </c>
      <c r="J119">
        <v>68.599999999999994</v>
      </c>
      <c r="K119">
        <v>0</v>
      </c>
      <c r="L119">
        <v>2.8</v>
      </c>
      <c r="M119">
        <v>0</v>
      </c>
      <c r="N119">
        <v>71.400000000000006</v>
      </c>
      <c r="O119">
        <v>115.09</v>
      </c>
      <c r="P119">
        <v>114.8</v>
      </c>
      <c r="Q119">
        <v>3.86</v>
      </c>
      <c r="R119">
        <v>3.96</v>
      </c>
      <c r="S119">
        <f t="shared" si="87"/>
        <v>1.2310834208959296</v>
      </c>
      <c r="T119">
        <f t="shared" si="88"/>
        <v>1.5874849070465451</v>
      </c>
      <c r="U119">
        <f t="shared" si="57"/>
        <v>0</v>
      </c>
      <c r="V119">
        <f t="shared" si="89"/>
        <v>0.39143157694411324</v>
      </c>
      <c r="W119" t="str">
        <f t="shared" si="58"/>
        <v/>
      </c>
      <c r="X119">
        <f t="shared" si="90"/>
        <v>0.96044834164587611</v>
      </c>
      <c r="Y119" t="str">
        <f t="shared" si="59"/>
        <v/>
      </c>
      <c r="Z119">
        <f t="shared" si="91"/>
        <v>0.77470766719469442</v>
      </c>
      <c r="AA119">
        <f t="shared" si="92"/>
        <v>0.93696360537993451</v>
      </c>
      <c r="AB119">
        <f t="shared" si="93"/>
        <v>0.36976475280251531</v>
      </c>
      <c r="AC119">
        <f t="shared" si="94"/>
        <v>0.25831810479449585</v>
      </c>
      <c r="AD119">
        <f t="shared" si="95"/>
        <v>0.71226261633952215</v>
      </c>
    </row>
    <row r="120" spans="1:30">
      <c r="A120" t="s">
        <v>96</v>
      </c>
      <c r="B120" t="s">
        <v>37</v>
      </c>
      <c r="C120" t="s">
        <v>38</v>
      </c>
      <c r="D120" t="s">
        <v>39</v>
      </c>
      <c r="E120" s="2">
        <v>46083</v>
      </c>
      <c r="F120" t="s">
        <v>40</v>
      </c>
      <c r="G120">
        <v>116.9</v>
      </c>
      <c r="H120">
        <v>84.7</v>
      </c>
      <c r="I120">
        <v>-1957.8</v>
      </c>
      <c r="J120">
        <v>69.099999999999994</v>
      </c>
      <c r="K120">
        <v>0</v>
      </c>
      <c r="L120">
        <v>1.2</v>
      </c>
      <c r="M120">
        <v>0</v>
      </c>
      <c r="N120">
        <v>70.3</v>
      </c>
      <c r="O120">
        <v>111.79</v>
      </c>
      <c r="P120">
        <v>113.33</v>
      </c>
      <c r="Q120">
        <v>3.86</v>
      </c>
      <c r="R120">
        <v>3.96</v>
      </c>
      <c r="S120">
        <f t="shared" si="87"/>
        <v>0.87006947713347893</v>
      </c>
      <c r="T120">
        <f t="shared" si="88"/>
        <v>1.4102855709061379</v>
      </c>
      <c r="U120">
        <f t="shared" si="57"/>
        <v>0</v>
      </c>
      <c r="V120">
        <f t="shared" si="89"/>
        <v>0.13001745200698331</v>
      </c>
      <c r="W120" t="str">
        <f t="shared" si="58"/>
        <v/>
      </c>
      <c r="X120">
        <f t="shared" si="90"/>
        <v>0.18233288788673335</v>
      </c>
      <c r="Y120" t="str">
        <f t="shared" si="59"/>
        <v/>
      </c>
      <c r="Z120">
        <f t="shared" si="91"/>
        <v>0.27370885775004311</v>
      </c>
      <c r="AA120">
        <f t="shared" si="92"/>
        <v>1.0238253685689027</v>
      </c>
      <c r="AB120">
        <f t="shared" si="93"/>
        <v>1.4242024290801056</v>
      </c>
      <c r="AC120">
        <f t="shared" si="94"/>
        <v>0.25831810479449585</v>
      </c>
      <c r="AD120">
        <f t="shared" si="95"/>
        <v>0.71226261633952215</v>
      </c>
    </row>
    <row r="121" spans="1:30">
      <c r="A121" t="s">
        <v>97</v>
      </c>
      <c r="B121" t="s">
        <v>37</v>
      </c>
      <c r="C121" t="s">
        <v>38</v>
      </c>
      <c r="D121" t="s">
        <v>39</v>
      </c>
      <c r="E121" s="2">
        <v>46083</v>
      </c>
      <c r="F121" t="s">
        <v>40</v>
      </c>
      <c r="G121">
        <v>111.1</v>
      </c>
      <c r="H121">
        <v>84.3</v>
      </c>
      <c r="I121">
        <v>-1957.8</v>
      </c>
      <c r="J121">
        <v>69.099999999999994</v>
      </c>
      <c r="K121">
        <v>0</v>
      </c>
      <c r="L121">
        <v>1.2</v>
      </c>
      <c r="M121">
        <v>0</v>
      </c>
      <c r="N121">
        <v>70.3</v>
      </c>
      <c r="O121">
        <v>115.24</v>
      </c>
      <c r="P121">
        <v>115.24</v>
      </c>
      <c r="Q121">
        <v>3.69</v>
      </c>
      <c r="R121">
        <v>3.81</v>
      </c>
      <c r="S121">
        <f t="shared" si="87"/>
        <v>0.29319767498997729</v>
      </c>
      <c r="T121">
        <f t="shared" si="88"/>
        <v>1.2685261019938103</v>
      </c>
      <c r="U121">
        <f t="shared" si="57"/>
        <v>0</v>
      </c>
      <c r="V121">
        <f t="shared" si="89"/>
        <v>0.13001745200698331</v>
      </c>
      <c r="W121" t="str">
        <f t="shared" si="58"/>
        <v/>
      </c>
      <c r="X121">
        <f t="shared" si="90"/>
        <v>0.18233288788673335</v>
      </c>
      <c r="Y121" t="str">
        <f t="shared" si="59"/>
        <v/>
      </c>
      <c r="Z121">
        <f t="shared" si="91"/>
        <v>0.27370885775004311</v>
      </c>
      <c r="AA121">
        <f t="shared" si="92"/>
        <v>1.0260903769230585</v>
      </c>
      <c r="AB121">
        <f t="shared" si="93"/>
        <v>5.4150754460924995E-2</v>
      </c>
      <c r="AC121">
        <f t="shared" si="94"/>
        <v>0.87136259427850093</v>
      </c>
      <c r="AD121">
        <f t="shared" si="95"/>
        <v>0.24460803388597974</v>
      </c>
    </row>
    <row r="122" spans="1:30">
      <c r="A122" t="s">
        <v>98</v>
      </c>
      <c r="B122" t="s">
        <v>37</v>
      </c>
      <c r="C122" t="s">
        <v>38</v>
      </c>
      <c r="D122" t="s">
        <v>39</v>
      </c>
      <c r="E122" s="2">
        <v>46083</v>
      </c>
      <c r="F122" t="s">
        <v>40</v>
      </c>
      <c r="G122">
        <v>107.9</v>
      </c>
      <c r="H122">
        <v>81.599999999999994</v>
      </c>
      <c r="I122">
        <v>-1957.8</v>
      </c>
      <c r="J122">
        <v>69.099999999999994</v>
      </c>
      <c r="K122">
        <v>0</v>
      </c>
      <c r="L122">
        <v>1.4</v>
      </c>
      <c r="M122">
        <v>0</v>
      </c>
      <c r="N122">
        <v>70.5</v>
      </c>
      <c r="O122">
        <v>112.16</v>
      </c>
      <c r="P122">
        <v>113.62</v>
      </c>
      <c r="Q122">
        <v>3.78</v>
      </c>
      <c r="R122">
        <v>3.86</v>
      </c>
      <c r="S122">
        <f t="shared" si="87"/>
        <v>0.93500024167877716</v>
      </c>
      <c r="T122">
        <f t="shared" si="88"/>
        <v>0.31164968683561095</v>
      </c>
      <c r="U122">
        <f t="shared" si="57"/>
        <v>0</v>
      </c>
      <c r="V122">
        <f t="shared" si="89"/>
        <v>0.13001745200698331</v>
      </c>
      <c r="W122" t="str">
        <f t="shared" si="58"/>
        <v/>
      </c>
      <c r="X122">
        <f t="shared" si="90"/>
        <v>3.9485234195157176E-2</v>
      </c>
      <c r="Y122" t="str">
        <f t="shared" si="59"/>
        <v/>
      </c>
      <c r="Z122">
        <f t="shared" si="91"/>
        <v>0.36479955037634393</v>
      </c>
      <c r="AA122">
        <f t="shared" si="92"/>
        <v>0.80397933209585692</v>
      </c>
      <c r="AB122">
        <f t="shared" si="93"/>
        <v>1.2161841119913246</v>
      </c>
      <c r="AC122">
        <f t="shared" si="94"/>
        <v>0.27329634182809154</v>
      </c>
      <c r="AD122">
        <f t="shared" si="95"/>
        <v>7.4348849522519939E-2</v>
      </c>
    </row>
    <row r="123" spans="1:30">
      <c r="A123" t="s">
        <v>99</v>
      </c>
      <c r="B123" t="s">
        <v>37</v>
      </c>
      <c r="C123" t="s">
        <v>38</v>
      </c>
      <c r="D123" t="s">
        <v>39</v>
      </c>
      <c r="E123" s="2">
        <v>46083</v>
      </c>
      <c r="F123" t="s">
        <v>40</v>
      </c>
      <c r="G123">
        <v>112.4</v>
      </c>
      <c r="H123">
        <v>82.5</v>
      </c>
      <c r="I123">
        <v>-1957.8</v>
      </c>
      <c r="J123">
        <v>69.5</v>
      </c>
      <c r="K123">
        <v>0</v>
      </c>
      <c r="L123">
        <v>1</v>
      </c>
      <c r="M123">
        <v>0</v>
      </c>
      <c r="N123">
        <v>70.5</v>
      </c>
      <c r="O123">
        <v>111.72</v>
      </c>
      <c r="P123">
        <v>113.26</v>
      </c>
      <c r="Q123">
        <v>3.88</v>
      </c>
      <c r="R123">
        <v>3.96</v>
      </c>
      <c r="S123">
        <f t="shared" si="87"/>
        <v>3.246538227264912E-2</v>
      </c>
      <c r="T123">
        <f t="shared" si="88"/>
        <v>0.63060849188834578</v>
      </c>
      <c r="U123">
        <f t="shared" si="57"/>
        <v>0</v>
      </c>
      <c r="V123">
        <f t="shared" si="89"/>
        <v>7.9113847942723581E-2</v>
      </c>
      <c r="W123" t="str">
        <f t="shared" si="58"/>
        <v/>
      </c>
      <c r="X123">
        <f t="shared" si="90"/>
        <v>0.3251805415783095</v>
      </c>
      <c r="Y123" t="str">
        <f t="shared" si="59"/>
        <v/>
      </c>
      <c r="Z123">
        <f t="shared" si="91"/>
        <v>0.36479955037634393</v>
      </c>
      <c r="AA123">
        <f t="shared" si="92"/>
        <v>1.0654178619557007</v>
      </c>
      <c r="AB123">
        <f t="shared" si="93"/>
        <v>1.4744137469980814</v>
      </c>
      <c r="AC123">
        <f t="shared" si="94"/>
        <v>0.39122171645014275</v>
      </c>
      <c r="AD123">
        <f t="shared" si="95"/>
        <v>0.71226261633952215</v>
      </c>
    </row>
    <row r="124" spans="1:30">
      <c r="A124" t="s">
        <v>100</v>
      </c>
      <c r="B124" t="s">
        <v>31</v>
      </c>
      <c r="C124" t="s">
        <v>32</v>
      </c>
      <c r="D124" t="s">
        <v>33</v>
      </c>
      <c r="E124" s="2">
        <v>46083</v>
      </c>
      <c r="F124" t="s">
        <v>40</v>
      </c>
      <c r="G124">
        <v>147.19999999999999</v>
      </c>
      <c r="H124">
        <v>105</v>
      </c>
      <c r="I124">
        <v>-1957.8</v>
      </c>
      <c r="J124">
        <v>69.5</v>
      </c>
      <c r="K124">
        <v>0</v>
      </c>
      <c r="L124">
        <v>1.2</v>
      </c>
      <c r="M124">
        <v>0</v>
      </c>
      <c r="N124">
        <v>70.7</v>
      </c>
      <c r="O124">
        <v>114.5</v>
      </c>
      <c r="P124">
        <v>117.88</v>
      </c>
      <c r="Q124">
        <v>8.52</v>
      </c>
      <c r="R124">
        <v>8.15</v>
      </c>
      <c r="S124">
        <f t="shared" ref="S124:S131" si="96">IF(OR(G124=0,G124=""),"",ABS((G124-152.740594)/5.729485))</f>
        <v>0.96703176638039867</v>
      </c>
      <c r="T124">
        <f t="shared" ref="T124:T131" si="97">IF(OR(H124=0,H124=""),"",ABS((H124-96.426733)/5.037499))</f>
        <v>1.701889568613314</v>
      </c>
      <c r="U124">
        <f t="shared" si="57"/>
        <v>0</v>
      </c>
      <c r="V124">
        <f t="shared" ref="V124:V131" si="98">IF(OR(J124=0,J124=""),"",ABS((J124-69.40099)/2.222902))</f>
        <v>4.4540874946357029E-2</v>
      </c>
      <c r="W124" t="str">
        <f t="shared" si="58"/>
        <v/>
      </c>
      <c r="X124">
        <f t="shared" ref="X124:X131" si="99">IF(OR(L124=0,L124=""),"",ABS((L124-1.849749)/1.393269))</f>
        <v>0.46634856585483497</v>
      </c>
      <c r="Y124" t="str">
        <f t="shared" si="59"/>
        <v/>
      </c>
      <c r="Z124">
        <f t="shared" ref="Z124:Z131" si="100">IF(OR(N124=0,N124=""),"",ABS((N124-69.231188)/2.519549))</f>
        <v>0.58296623721150087</v>
      </c>
      <c r="AA124">
        <f t="shared" ref="AA124:AA131" si="101">IF(OR(O124=0,O124=""),"",ABS((O124-113.18)/1.73698))</f>
        <v>0.75993966539625857</v>
      </c>
      <c r="AB124">
        <f t="shared" ref="AB124:AB131" si="102">IF(OR(P124=0,P124=""),"",ABS((P124-114.765594)/1.645198))</f>
        <v>1.8930280732167208</v>
      </c>
      <c r="AC124">
        <f t="shared" ref="AC124:AC131" si="103">IF(OR(Q124=0,Q124=""),"",ABS((Q124-8.040149)/0.55663))</f>
        <v>0.86206456712717616</v>
      </c>
      <c r="AD124">
        <f t="shared" ref="AD124:AD131" si="104">IF(OR(R124=0,R124=""),"",ABS((R124-7.915297)/0.399795))</f>
        <v>0.58705836741330064</v>
      </c>
    </row>
    <row r="125" spans="1:30">
      <c r="A125" t="s">
        <v>101</v>
      </c>
      <c r="B125" t="s">
        <v>31</v>
      </c>
      <c r="C125" t="s">
        <v>32</v>
      </c>
      <c r="D125" t="s">
        <v>33</v>
      </c>
      <c r="E125" s="2">
        <v>46083</v>
      </c>
      <c r="F125" t="s">
        <v>34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f t="shared" si="96"/>
        <v/>
      </c>
      <c r="T125" t="str">
        <f t="shared" si="97"/>
        <v/>
      </c>
      <c r="U125" t="str">
        <f t="shared" si="57"/>
        <v/>
      </c>
      <c r="V125" t="str">
        <f t="shared" si="98"/>
        <v/>
      </c>
      <c r="W125" t="str">
        <f t="shared" si="58"/>
        <v/>
      </c>
      <c r="X125" t="str">
        <f t="shared" si="99"/>
        <v/>
      </c>
      <c r="Y125" t="str">
        <f t="shared" si="59"/>
        <v/>
      </c>
      <c r="Z125" t="str">
        <f t="shared" si="100"/>
        <v/>
      </c>
      <c r="AA125" t="str">
        <f t="shared" si="101"/>
        <v/>
      </c>
      <c r="AB125" t="str">
        <f t="shared" si="102"/>
        <v/>
      </c>
      <c r="AC125" t="str">
        <f t="shared" si="103"/>
        <v/>
      </c>
      <c r="AD125" t="str">
        <f t="shared" si="104"/>
        <v/>
      </c>
    </row>
    <row r="126" spans="1:30">
      <c r="A126" t="s">
        <v>102</v>
      </c>
      <c r="B126" t="s">
        <v>31</v>
      </c>
      <c r="C126" t="s">
        <v>32</v>
      </c>
      <c r="D126" t="s">
        <v>33</v>
      </c>
      <c r="E126" s="2">
        <v>46083</v>
      </c>
      <c r="F126" t="s">
        <v>40</v>
      </c>
      <c r="G126">
        <v>155.69999999999999</v>
      </c>
      <c r="H126">
        <v>105.5</v>
      </c>
      <c r="I126">
        <v>-1957.8</v>
      </c>
      <c r="J126">
        <v>69.5</v>
      </c>
      <c r="K126">
        <v>0</v>
      </c>
      <c r="L126">
        <v>1.1000000000000001</v>
      </c>
      <c r="M126">
        <v>0</v>
      </c>
      <c r="N126">
        <v>70.599999999999994</v>
      </c>
      <c r="O126">
        <v>115.09</v>
      </c>
      <c r="P126">
        <v>115.09</v>
      </c>
      <c r="Q126">
        <v>8.42</v>
      </c>
      <c r="R126">
        <v>8.2799999999999994</v>
      </c>
      <c r="S126">
        <f t="shared" si="96"/>
        <v>0.51652216560476227</v>
      </c>
      <c r="T126">
        <f t="shared" si="97"/>
        <v>1.8011451714432103</v>
      </c>
      <c r="U126">
        <f t="shared" si="57"/>
        <v>0</v>
      </c>
      <c r="V126">
        <f t="shared" si="98"/>
        <v>4.4540874946357029E-2</v>
      </c>
      <c r="W126" t="str">
        <f t="shared" si="58"/>
        <v/>
      </c>
      <c r="X126">
        <f t="shared" si="99"/>
        <v>0.53812221473383814</v>
      </c>
      <c r="Y126" t="str">
        <f t="shared" si="59"/>
        <v/>
      </c>
      <c r="Z126">
        <f t="shared" si="100"/>
        <v>0.54327659434287301</v>
      </c>
      <c r="AA126">
        <f t="shared" si="101"/>
        <v>1.0996096673536808</v>
      </c>
      <c r="AB126">
        <f t="shared" si="102"/>
        <v>0.19718356088447131</v>
      </c>
      <c r="AC126">
        <f t="shared" si="103"/>
        <v>0.68241201516267613</v>
      </c>
      <c r="AD126">
        <f t="shared" si="104"/>
        <v>0.9122250153203505</v>
      </c>
    </row>
    <row r="127" spans="1:30">
      <c r="A127" t="s">
        <v>103</v>
      </c>
      <c r="B127" t="s">
        <v>31</v>
      </c>
      <c r="C127" t="s">
        <v>32</v>
      </c>
      <c r="D127" t="s">
        <v>33</v>
      </c>
      <c r="E127" s="2">
        <v>46084</v>
      </c>
      <c r="F127" t="s">
        <v>34</v>
      </c>
      <c r="G127">
        <v>144.1</v>
      </c>
      <c r="H127">
        <v>93.7</v>
      </c>
      <c r="I127">
        <v>-1957.8</v>
      </c>
      <c r="J127">
        <v>67.7</v>
      </c>
      <c r="K127">
        <v>0</v>
      </c>
      <c r="L127">
        <v>2.2000000000000002</v>
      </c>
      <c r="M127">
        <v>0</v>
      </c>
      <c r="N127">
        <v>69.900000000000006</v>
      </c>
      <c r="O127">
        <v>114.8</v>
      </c>
      <c r="P127">
        <v>114.8</v>
      </c>
      <c r="Q127">
        <v>7.25</v>
      </c>
      <c r="R127">
        <v>7.47</v>
      </c>
      <c r="S127">
        <f t="shared" si="96"/>
        <v>1.508092612163221</v>
      </c>
      <c r="T127">
        <f t="shared" si="97"/>
        <v>0.54128705534234267</v>
      </c>
      <c r="U127">
        <f t="shared" si="57"/>
        <v>0</v>
      </c>
      <c r="V127">
        <f t="shared" si="98"/>
        <v>0.76521142182605906</v>
      </c>
      <c r="W127" t="str">
        <f t="shared" si="58"/>
        <v/>
      </c>
      <c r="X127">
        <f t="shared" si="99"/>
        <v>0.25138792293519779</v>
      </c>
      <c r="Y127" t="str">
        <f t="shared" si="59"/>
        <v/>
      </c>
      <c r="Z127">
        <f t="shared" si="100"/>
        <v>0.26544909426250596</v>
      </c>
      <c r="AA127">
        <f t="shared" si="101"/>
        <v>0.93265322571358933</v>
      </c>
      <c r="AB127">
        <f t="shared" si="102"/>
        <v>2.0912984333803078E-2</v>
      </c>
      <c r="AC127">
        <f t="shared" si="103"/>
        <v>1.4195228428219815</v>
      </c>
      <c r="AD127">
        <f t="shared" si="104"/>
        <v>1.1138133293312824</v>
      </c>
    </row>
    <row r="128" spans="1:30">
      <c r="A128" t="s">
        <v>103</v>
      </c>
      <c r="B128" t="s">
        <v>31</v>
      </c>
      <c r="C128" t="s">
        <v>32</v>
      </c>
      <c r="D128" t="s">
        <v>33</v>
      </c>
      <c r="E128" s="2">
        <v>46084</v>
      </c>
      <c r="F128" t="s">
        <v>40</v>
      </c>
      <c r="G128">
        <v>152.19999999999999</v>
      </c>
      <c r="H128">
        <v>96</v>
      </c>
      <c r="I128">
        <v>-1957.8</v>
      </c>
      <c r="J128">
        <v>67.7</v>
      </c>
      <c r="K128">
        <v>0</v>
      </c>
      <c r="L128">
        <v>2.2999999999999998</v>
      </c>
      <c r="M128">
        <v>0</v>
      </c>
      <c r="N128">
        <v>70</v>
      </c>
      <c r="O128">
        <v>112.23</v>
      </c>
      <c r="P128">
        <v>113.48</v>
      </c>
      <c r="Q128">
        <v>7.47</v>
      </c>
      <c r="R128">
        <v>7.79</v>
      </c>
      <c r="S128">
        <f t="shared" si="96"/>
        <v>9.4352982859715773E-2</v>
      </c>
      <c r="T128">
        <f t="shared" si="97"/>
        <v>8.4711282324820045E-2</v>
      </c>
      <c r="U128">
        <f t="shared" si="57"/>
        <v>0</v>
      </c>
      <c r="V128">
        <f t="shared" si="98"/>
        <v>0.76521142182605906</v>
      </c>
      <c r="W128" t="str">
        <f t="shared" si="58"/>
        <v/>
      </c>
      <c r="X128">
        <f t="shared" si="99"/>
        <v>0.3231615718142008</v>
      </c>
      <c r="Y128" t="str">
        <f t="shared" si="59"/>
        <v/>
      </c>
      <c r="Z128">
        <f t="shared" si="100"/>
        <v>0.30513873713112821</v>
      </c>
      <c r="AA128">
        <f t="shared" si="101"/>
        <v>0.54692627433822083</v>
      </c>
      <c r="AB128">
        <f t="shared" si="102"/>
        <v>0.78142205375887219</v>
      </c>
      <c r="AC128">
        <f t="shared" si="103"/>
        <v>1.0242872285000806</v>
      </c>
      <c r="AD128">
        <f t="shared" si="104"/>
        <v>0.31340311909853741</v>
      </c>
    </row>
    <row r="129" spans="1:30">
      <c r="A129" t="s">
        <v>104</v>
      </c>
      <c r="B129" t="s">
        <v>31</v>
      </c>
      <c r="C129" t="s">
        <v>32</v>
      </c>
      <c r="D129" t="s">
        <v>33</v>
      </c>
      <c r="E129" s="2">
        <v>46084</v>
      </c>
      <c r="F129" t="s">
        <v>40</v>
      </c>
      <c r="G129">
        <v>153</v>
      </c>
      <c r="H129">
        <v>101.4</v>
      </c>
      <c r="I129">
        <v>-1957.8</v>
      </c>
      <c r="J129">
        <v>68.2</v>
      </c>
      <c r="K129">
        <v>0</v>
      </c>
      <c r="L129">
        <v>3.4</v>
      </c>
      <c r="M129">
        <v>0</v>
      </c>
      <c r="N129">
        <v>71.599999999999994</v>
      </c>
      <c r="O129">
        <v>111.42</v>
      </c>
      <c r="P129">
        <v>117.66</v>
      </c>
      <c r="Q129">
        <v>9.01</v>
      </c>
      <c r="R129">
        <v>8.25</v>
      </c>
      <c r="S129">
        <f t="shared" si="96"/>
        <v>4.5275622503595465E-2</v>
      </c>
      <c r="T129">
        <f t="shared" si="97"/>
        <v>0.98724922823806149</v>
      </c>
      <c r="U129">
        <f t="shared" si="57"/>
        <v>0</v>
      </c>
      <c r="V129">
        <f t="shared" si="98"/>
        <v>0.54028022827816535</v>
      </c>
      <c r="W129" t="str">
        <f t="shared" si="58"/>
        <v/>
      </c>
      <c r="X129">
        <f t="shared" si="99"/>
        <v>1.1126717094832368</v>
      </c>
      <c r="Y129" t="str">
        <f t="shared" si="59"/>
        <v/>
      </c>
      <c r="Z129">
        <f t="shared" si="100"/>
        <v>0.94017302302911798</v>
      </c>
      <c r="AA129">
        <f t="shared" si="101"/>
        <v>1.0132528871950195</v>
      </c>
      <c r="AB129">
        <f t="shared" si="102"/>
        <v>1.7593055668679416</v>
      </c>
      <c r="AC129">
        <f t="shared" si="103"/>
        <v>1.7423620717532298</v>
      </c>
      <c r="AD129">
        <f t="shared" si="104"/>
        <v>0.83718655811103238</v>
      </c>
    </row>
    <row r="130" spans="1:30">
      <c r="A130" t="s">
        <v>105</v>
      </c>
      <c r="B130" t="s">
        <v>31</v>
      </c>
      <c r="C130" t="s">
        <v>32</v>
      </c>
      <c r="D130" t="s">
        <v>33</v>
      </c>
      <c r="E130" s="2">
        <v>46084</v>
      </c>
      <c r="F130" t="s">
        <v>40</v>
      </c>
      <c r="G130">
        <v>145.9</v>
      </c>
      <c r="H130">
        <v>97.3</v>
      </c>
      <c r="I130">
        <v>-1957.8</v>
      </c>
      <c r="J130">
        <v>68.2</v>
      </c>
      <c r="K130">
        <v>0</v>
      </c>
      <c r="L130">
        <v>3.7</v>
      </c>
      <c r="M130">
        <v>0</v>
      </c>
      <c r="N130">
        <v>71.900000000000006</v>
      </c>
      <c r="O130">
        <v>114.14</v>
      </c>
      <c r="P130">
        <v>117.58</v>
      </c>
      <c r="Q130">
        <v>8.57</v>
      </c>
      <c r="R130">
        <v>8.08</v>
      </c>
      <c r="S130">
        <f t="shared" si="96"/>
        <v>1.1939282500957733</v>
      </c>
      <c r="T130">
        <f t="shared" si="97"/>
        <v>0.17335328503290987</v>
      </c>
      <c r="U130">
        <f t="shared" ref="U130:U193" si="105">IF(OR(I130=0,I130=""),"",ABS((I130--1957.8)/1))</f>
        <v>0</v>
      </c>
      <c r="V130">
        <f t="shared" si="98"/>
        <v>0.54028022827816535</v>
      </c>
      <c r="W130" t="str">
        <f t="shared" ref="W130:W193" si="106">IF(OR(K130=0,K130=""),"",ABS((K130-0)/1))</f>
        <v/>
      </c>
      <c r="X130">
        <f t="shared" si="99"/>
        <v>1.3279926561202466</v>
      </c>
      <c r="Y130" t="str">
        <f t="shared" ref="Y130:Y193" si="107">IF(OR(M130=0,M130=""),"",ABS((M130-0)/1))</f>
        <v/>
      </c>
      <c r="Z130">
        <f t="shared" si="100"/>
        <v>1.059241951634996</v>
      </c>
      <c r="AA130">
        <f t="shared" si="101"/>
        <v>0.55268339301545999</v>
      </c>
      <c r="AB130">
        <f t="shared" si="102"/>
        <v>1.7106792009229317</v>
      </c>
      <c r="AC130">
        <f t="shared" si="103"/>
        <v>0.95189084310942773</v>
      </c>
      <c r="AD130">
        <f t="shared" si="104"/>
        <v>0.41196863392488714</v>
      </c>
    </row>
    <row r="131" spans="1:30">
      <c r="A131" t="s">
        <v>106</v>
      </c>
      <c r="B131" t="s">
        <v>31</v>
      </c>
      <c r="C131" t="s">
        <v>32</v>
      </c>
      <c r="D131" t="s">
        <v>33</v>
      </c>
      <c r="E131" s="2">
        <v>46084</v>
      </c>
      <c r="F131" t="s">
        <v>40</v>
      </c>
      <c r="G131">
        <v>153</v>
      </c>
      <c r="H131">
        <v>100.5</v>
      </c>
      <c r="I131">
        <v>-1957.8</v>
      </c>
      <c r="J131">
        <v>68.599999999999994</v>
      </c>
      <c r="K131">
        <v>0</v>
      </c>
      <c r="L131">
        <v>4.5</v>
      </c>
      <c r="M131">
        <v>0</v>
      </c>
      <c r="N131">
        <v>73.099999999999994</v>
      </c>
      <c r="O131">
        <v>114.43</v>
      </c>
      <c r="P131">
        <v>117.73</v>
      </c>
      <c r="Q131">
        <v>8.86</v>
      </c>
      <c r="R131">
        <v>8.33</v>
      </c>
      <c r="S131">
        <f t="shared" si="96"/>
        <v>4.5275622503595465E-2</v>
      </c>
      <c r="T131">
        <f t="shared" si="97"/>
        <v>0.80858914314424701</v>
      </c>
      <c r="U131">
        <f t="shared" si="105"/>
        <v>0</v>
      </c>
      <c r="V131">
        <f t="shared" si="98"/>
        <v>0.36033527343985422</v>
      </c>
      <c r="W131" t="str">
        <f t="shared" si="106"/>
        <v/>
      </c>
      <c r="X131">
        <f t="shared" si="99"/>
        <v>1.9021818471522727</v>
      </c>
      <c r="Y131" t="str">
        <f t="shared" si="107"/>
        <v/>
      </c>
      <c r="Z131">
        <f t="shared" si="100"/>
        <v>1.5355176660584855</v>
      </c>
      <c r="AA131">
        <f t="shared" si="101"/>
        <v>0.71963983465555159</v>
      </c>
      <c r="AB131">
        <f t="shared" si="102"/>
        <v>1.8018536370698306</v>
      </c>
      <c r="AC131">
        <f t="shared" si="103"/>
        <v>1.4728832438064783</v>
      </c>
      <c r="AD131">
        <f t="shared" si="104"/>
        <v>1.0372891106692186</v>
      </c>
    </row>
    <row r="132" spans="1:30">
      <c r="A132" t="s">
        <v>107</v>
      </c>
      <c r="B132" t="s">
        <v>37</v>
      </c>
      <c r="C132" t="s">
        <v>38</v>
      </c>
      <c r="D132" t="s">
        <v>39</v>
      </c>
      <c r="E132" s="2">
        <v>46084</v>
      </c>
      <c r="F132" t="s">
        <v>40</v>
      </c>
      <c r="G132">
        <v>114.6</v>
      </c>
      <c r="H132">
        <v>81.099999999999994</v>
      </c>
      <c r="I132">
        <v>-1957.8</v>
      </c>
      <c r="J132">
        <v>68.599999999999994</v>
      </c>
      <c r="K132">
        <v>0</v>
      </c>
      <c r="L132">
        <v>1.4</v>
      </c>
      <c r="M132">
        <v>0</v>
      </c>
      <c r="N132">
        <v>70</v>
      </c>
      <c r="O132">
        <v>114.43</v>
      </c>
      <c r="P132">
        <v>116.19</v>
      </c>
      <c r="Q132">
        <v>3.83</v>
      </c>
      <c r="R132">
        <v>3.98</v>
      </c>
      <c r="S132">
        <f t="shared" ref="S132:S141" si="108">IF(OR(G132=0,G132=""),"",ABS((G132-112.561871)/4.985957))</f>
        <v>0.40877388232590012</v>
      </c>
      <c r="T132">
        <f t="shared" ref="T132:T141" si="109">IF(OR(H132=0,H132=""),"",ABS((H132-80.720624)/2.821681))</f>
        <v>0.13445035069520386</v>
      </c>
      <c r="U132">
        <f t="shared" si="105"/>
        <v>0</v>
      </c>
      <c r="V132">
        <f t="shared" ref="V132:V141" si="110">IF(OR(J132=0,J132=""),"",ABS((J132-69.348681)/1.912674))</f>
        <v>0.39143157694411324</v>
      </c>
      <c r="W132" t="str">
        <f t="shared" si="106"/>
        <v/>
      </c>
      <c r="X132">
        <f t="shared" ref="X132:X141" si="111">IF(OR(L132=0,L132=""),"",ABS((L132-1.455283)/1.400093))</f>
        <v>3.9485234195157176E-2</v>
      </c>
      <c r="Y132" t="str">
        <f t="shared" si="107"/>
        <v/>
      </c>
      <c r="Z132">
        <f t="shared" ref="Z132:Z141" si="112">IF(OR(N132=0,N132=""),"",ABS((N132-69.699041)/2.195614))</f>
        <v>0.1370728188105951</v>
      </c>
      <c r="AA132">
        <f t="shared" ref="AA132:AA141" si="113">IF(OR(O132=0,O132=""),"",ABS((O132-113.513094)/1.682996))</f>
        <v>0.54480581059016875</v>
      </c>
      <c r="AB132">
        <f t="shared" ref="AB132:AB141" si="114">IF(OR(P132=0,P132=""),"",ABS((P132-115.315492)/1.394108))</f>
        <v>0.62728856014024137</v>
      </c>
      <c r="AC132">
        <f t="shared" ref="AC132:AC141" si="115">IF(OR(Q132=0,Q132=""),"",ABS((Q132-3.821127)/0.150485))</f>
        <v>5.8962687311027065E-2</v>
      </c>
      <c r="AD132">
        <f t="shared" ref="AD132:AD141" si="116">IF(OR(R132=0,R132=""),"",ABS((R132-3.848345)/0.156761))</f>
        <v>0.83984536970292256</v>
      </c>
    </row>
    <row r="133" spans="1:30">
      <c r="A133" t="s">
        <v>108</v>
      </c>
      <c r="B133" t="s">
        <v>37</v>
      </c>
      <c r="C133" t="s">
        <v>38</v>
      </c>
      <c r="D133" t="s">
        <v>39</v>
      </c>
      <c r="E133" s="2">
        <v>46084</v>
      </c>
      <c r="F133" t="s">
        <v>40</v>
      </c>
      <c r="G133">
        <v>116.4</v>
      </c>
      <c r="H133">
        <v>84.3</v>
      </c>
      <c r="I133">
        <v>-1957.8</v>
      </c>
      <c r="J133">
        <v>69.5</v>
      </c>
      <c r="K133">
        <v>0</v>
      </c>
      <c r="L133">
        <v>4.9000000000000004</v>
      </c>
      <c r="M133">
        <v>0</v>
      </c>
      <c r="N133">
        <v>74.400000000000006</v>
      </c>
      <c r="O133">
        <v>115.24</v>
      </c>
      <c r="P133">
        <v>115.24</v>
      </c>
      <c r="Q133">
        <v>3.98</v>
      </c>
      <c r="R133">
        <v>4.08</v>
      </c>
      <c r="S133">
        <f t="shared" si="108"/>
        <v>0.76978782608835361</v>
      </c>
      <c r="T133">
        <f t="shared" si="109"/>
        <v>1.2685261019938103</v>
      </c>
      <c r="U133">
        <f t="shared" si="105"/>
        <v>0</v>
      </c>
      <c r="V133">
        <f t="shared" si="110"/>
        <v>7.9113847942723581E-2</v>
      </c>
      <c r="W133" t="str">
        <f t="shared" si="106"/>
        <v/>
      </c>
      <c r="X133">
        <f t="shared" si="111"/>
        <v>2.4603487054074265</v>
      </c>
      <c r="Y133" t="str">
        <f t="shared" si="107"/>
        <v/>
      </c>
      <c r="Z133">
        <f t="shared" si="112"/>
        <v>2.1410680565891873</v>
      </c>
      <c r="AA133">
        <f t="shared" si="113"/>
        <v>1.0260903769230585</v>
      </c>
      <c r="AB133">
        <f t="shared" si="114"/>
        <v>5.4150754460924995E-2</v>
      </c>
      <c r="AC133">
        <f t="shared" si="115"/>
        <v>1.055739774728377</v>
      </c>
      <c r="AD133">
        <f t="shared" si="116"/>
        <v>1.4777591365199247</v>
      </c>
    </row>
    <row r="134" spans="1:30">
      <c r="A134" t="s">
        <v>109</v>
      </c>
      <c r="B134" t="s">
        <v>37</v>
      </c>
      <c r="C134" t="s">
        <v>38</v>
      </c>
      <c r="D134" t="s">
        <v>39</v>
      </c>
      <c r="E134" s="2">
        <v>46084</v>
      </c>
      <c r="F134" t="s">
        <v>40</v>
      </c>
      <c r="G134">
        <v>117.3</v>
      </c>
      <c r="H134">
        <v>84.7</v>
      </c>
      <c r="I134">
        <v>-1957.8</v>
      </c>
      <c r="J134">
        <v>70</v>
      </c>
      <c r="K134">
        <v>0</v>
      </c>
      <c r="L134">
        <v>1.3</v>
      </c>
      <c r="M134">
        <v>0</v>
      </c>
      <c r="N134">
        <v>71.3</v>
      </c>
      <c r="O134">
        <v>115.09</v>
      </c>
      <c r="P134">
        <v>115.09</v>
      </c>
      <c r="Q134">
        <v>3.81</v>
      </c>
      <c r="R134">
        <v>3.93</v>
      </c>
      <c r="S134">
        <f t="shared" si="108"/>
        <v>0.9502947979695775</v>
      </c>
      <c r="T134">
        <f t="shared" si="109"/>
        <v>1.4102855709061379</v>
      </c>
      <c r="U134">
        <f t="shared" si="105"/>
        <v>0</v>
      </c>
      <c r="V134">
        <f t="shared" si="110"/>
        <v>0.34052797287985348</v>
      </c>
      <c r="W134" t="str">
        <f t="shared" si="106"/>
        <v/>
      </c>
      <c r="X134">
        <f t="shared" si="111"/>
        <v>0.11090906104094518</v>
      </c>
      <c r="Y134" t="str">
        <f t="shared" si="107"/>
        <v/>
      </c>
      <c r="Z134">
        <f t="shared" si="112"/>
        <v>0.72916232088154076</v>
      </c>
      <c r="AA134">
        <f t="shared" si="113"/>
        <v>0.93696360537993451</v>
      </c>
      <c r="AB134">
        <f t="shared" si="114"/>
        <v>0.16174643571373432</v>
      </c>
      <c r="AC134">
        <f t="shared" si="115"/>
        <v>7.3940924344619782E-2</v>
      </c>
      <c r="AD134">
        <f t="shared" si="116"/>
        <v>0.52088848629442286</v>
      </c>
    </row>
    <row r="135" spans="1:30">
      <c r="A135" t="s">
        <v>110</v>
      </c>
      <c r="B135" t="s">
        <v>37</v>
      </c>
      <c r="C135" t="s">
        <v>38</v>
      </c>
      <c r="D135" t="s">
        <v>39</v>
      </c>
      <c r="E135" s="2">
        <v>46084</v>
      </c>
      <c r="F135" t="s">
        <v>40</v>
      </c>
      <c r="G135">
        <v>116.9</v>
      </c>
      <c r="H135">
        <v>84.3</v>
      </c>
      <c r="I135">
        <v>-1957.8</v>
      </c>
      <c r="J135">
        <v>69.5</v>
      </c>
      <c r="K135">
        <v>0</v>
      </c>
      <c r="L135">
        <v>1</v>
      </c>
      <c r="M135">
        <v>0</v>
      </c>
      <c r="N135">
        <v>70.5</v>
      </c>
      <c r="O135">
        <v>111.79</v>
      </c>
      <c r="P135">
        <v>113.48</v>
      </c>
      <c r="Q135">
        <v>3.96</v>
      </c>
      <c r="R135">
        <v>3.98</v>
      </c>
      <c r="S135">
        <f t="shared" si="108"/>
        <v>0.87006947713347893</v>
      </c>
      <c r="T135">
        <f t="shared" si="109"/>
        <v>1.2685261019938103</v>
      </c>
      <c r="U135">
        <f t="shared" si="105"/>
        <v>0</v>
      </c>
      <c r="V135">
        <f t="shared" si="110"/>
        <v>7.9113847942723581E-2</v>
      </c>
      <c r="W135" t="str">
        <f t="shared" si="106"/>
        <v/>
      </c>
      <c r="X135">
        <f t="shared" si="111"/>
        <v>0.3251805415783095</v>
      </c>
      <c r="Y135" t="str">
        <f t="shared" si="107"/>
        <v/>
      </c>
      <c r="Z135">
        <f t="shared" si="112"/>
        <v>0.36479955037634393</v>
      </c>
      <c r="AA135">
        <f t="shared" si="113"/>
        <v>1.0238253685689027</v>
      </c>
      <c r="AB135">
        <f t="shared" si="114"/>
        <v>1.3166067478272863</v>
      </c>
      <c r="AC135">
        <f t="shared" si="115"/>
        <v>0.92283616307273009</v>
      </c>
      <c r="AD135">
        <f t="shared" si="116"/>
        <v>0.83984536970292256</v>
      </c>
    </row>
    <row r="136" spans="1:30">
      <c r="A136" t="s">
        <v>111</v>
      </c>
      <c r="B136" t="s">
        <v>37</v>
      </c>
      <c r="C136" t="s">
        <v>38</v>
      </c>
      <c r="D136" t="s">
        <v>39</v>
      </c>
      <c r="E136" s="2">
        <v>46084</v>
      </c>
      <c r="F136" t="s">
        <v>40</v>
      </c>
      <c r="G136">
        <v>117.3</v>
      </c>
      <c r="H136">
        <v>85.2</v>
      </c>
      <c r="I136">
        <v>-1957.8</v>
      </c>
      <c r="J136">
        <v>69.099999999999994</v>
      </c>
      <c r="K136">
        <v>0</v>
      </c>
      <c r="L136">
        <v>1.8</v>
      </c>
      <c r="M136">
        <v>0</v>
      </c>
      <c r="N136">
        <v>70.900000000000006</v>
      </c>
      <c r="O136">
        <v>111.5</v>
      </c>
      <c r="P136">
        <v>113.18</v>
      </c>
      <c r="Q136">
        <v>3.93</v>
      </c>
      <c r="R136">
        <v>4.03</v>
      </c>
      <c r="S136">
        <f t="shared" si="108"/>
        <v>0.9502947979695775</v>
      </c>
      <c r="T136">
        <f t="shared" si="109"/>
        <v>1.5874849070465451</v>
      </c>
      <c r="U136">
        <f t="shared" si="105"/>
        <v>0</v>
      </c>
      <c r="V136">
        <f t="shared" si="110"/>
        <v>0.13001745200698331</v>
      </c>
      <c r="W136" t="str">
        <f t="shared" si="106"/>
        <v/>
      </c>
      <c r="X136">
        <f t="shared" si="111"/>
        <v>0.24621007318799532</v>
      </c>
      <c r="Y136" t="str">
        <f t="shared" si="107"/>
        <v/>
      </c>
      <c r="Z136">
        <f t="shared" si="112"/>
        <v>0.54698093562894556</v>
      </c>
      <c r="AA136">
        <f t="shared" si="113"/>
        <v>1.1961371268856227</v>
      </c>
      <c r="AB136">
        <f t="shared" si="114"/>
        <v>1.531798110332915</v>
      </c>
      <c r="AC136">
        <f t="shared" si="115"/>
        <v>0.72348074558926134</v>
      </c>
      <c r="AD136">
        <f t="shared" si="116"/>
        <v>1.158802253111425</v>
      </c>
    </row>
    <row r="137" spans="1:30">
      <c r="A137" t="s">
        <v>112</v>
      </c>
      <c r="B137" t="s">
        <v>37</v>
      </c>
      <c r="C137" t="s">
        <v>38</v>
      </c>
      <c r="D137" t="s">
        <v>39</v>
      </c>
      <c r="E137" s="2">
        <v>46084</v>
      </c>
      <c r="F137" t="s">
        <v>40</v>
      </c>
      <c r="G137">
        <v>107</v>
      </c>
      <c r="H137">
        <v>78.400000000000006</v>
      </c>
      <c r="I137">
        <v>-1957.8</v>
      </c>
      <c r="J137">
        <v>69.099999999999994</v>
      </c>
      <c r="K137">
        <v>0</v>
      </c>
      <c r="L137">
        <v>2.6</v>
      </c>
      <c r="M137">
        <v>0</v>
      </c>
      <c r="N137">
        <v>71.7</v>
      </c>
      <c r="O137">
        <v>111.86</v>
      </c>
      <c r="P137">
        <v>113.7</v>
      </c>
      <c r="Q137">
        <v>3.83</v>
      </c>
      <c r="R137">
        <v>3.83</v>
      </c>
      <c r="S137">
        <f t="shared" si="108"/>
        <v>1.1155072135600039</v>
      </c>
      <c r="T137">
        <f t="shared" si="109"/>
        <v>0.82242606446299038</v>
      </c>
      <c r="U137">
        <f t="shared" si="105"/>
        <v>0</v>
      </c>
      <c r="V137">
        <f t="shared" si="110"/>
        <v>0.13001745200698331</v>
      </c>
      <c r="W137" t="str">
        <f t="shared" si="106"/>
        <v/>
      </c>
      <c r="X137">
        <f t="shared" si="111"/>
        <v>0.81760068795430019</v>
      </c>
      <c r="Y137" t="str">
        <f t="shared" si="107"/>
        <v/>
      </c>
      <c r="Z137">
        <f t="shared" si="112"/>
        <v>0.9113437061341424</v>
      </c>
      <c r="AA137">
        <f t="shared" si="113"/>
        <v>0.98223287518211322</v>
      </c>
      <c r="AB137">
        <f t="shared" si="114"/>
        <v>1.1587997486564909</v>
      </c>
      <c r="AC137">
        <f t="shared" si="115"/>
        <v>5.8962687311027065E-2</v>
      </c>
      <c r="AD137">
        <f t="shared" si="116"/>
        <v>0.11702528052257931</v>
      </c>
    </row>
    <row r="138" spans="1:30">
      <c r="A138" t="s">
        <v>113</v>
      </c>
      <c r="B138" t="s">
        <v>37</v>
      </c>
      <c r="C138" t="s">
        <v>38</v>
      </c>
      <c r="D138" t="s">
        <v>39</v>
      </c>
      <c r="E138" s="2">
        <v>46084</v>
      </c>
      <c r="F138" t="s">
        <v>34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f t="shared" si="108"/>
        <v/>
      </c>
      <c r="T138" t="str">
        <f t="shared" si="109"/>
        <v/>
      </c>
      <c r="U138" t="str">
        <f t="shared" si="105"/>
        <v/>
      </c>
      <c r="V138" t="str">
        <f t="shared" si="110"/>
        <v/>
      </c>
      <c r="W138" t="str">
        <f t="shared" si="106"/>
        <v/>
      </c>
      <c r="X138" t="str">
        <f t="shared" si="111"/>
        <v/>
      </c>
      <c r="Y138" t="str">
        <f t="shared" si="107"/>
        <v/>
      </c>
      <c r="Z138" t="str">
        <f t="shared" si="112"/>
        <v/>
      </c>
      <c r="AA138" t="str">
        <f t="shared" si="113"/>
        <v/>
      </c>
      <c r="AB138" t="str">
        <f t="shared" si="114"/>
        <v/>
      </c>
      <c r="AC138" t="str">
        <f t="shared" si="115"/>
        <v/>
      </c>
      <c r="AD138" t="str">
        <f t="shared" si="116"/>
        <v/>
      </c>
    </row>
    <row r="139" spans="1:30">
      <c r="A139" t="s">
        <v>113</v>
      </c>
      <c r="B139" t="s">
        <v>37</v>
      </c>
      <c r="C139" t="s">
        <v>38</v>
      </c>
      <c r="D139" t="s">
        <v>39</v>
      </c>
      <c r="E139" s="2">
        <v>46084</v>
      </c>
      <c r="F139" t="s">
        <v>40</v>
      </c>
      <c r="G139">
        <v>114.6</v>
      </c>
      <c r="H139">
        <v>85.2</v>
      </c>
      <c r="I139">
        <v>-1957.8</v>
      </c>
      <c r="J139">
        <v>69.5</v>
      </c>
      <c r="K139">
        <v>0</v>
      </c>
      <c r="L139">
        <v>3</v>
      </c>
      <c r="M139">
        <v>0</v>
      </c>
      <c r="N139">
        <v>72.5</v>
      </c>
      <c r="O139">
        <v>112.16</v>
      </c>
      <c r="P139">
        <v>116.26</v>
      </c>
      <c r="Q139">
        <v>3.98</v>
      </c>
      <c r="R139">
        <v>3.93</v>
      </c>
      <c r="S139">
        <f t="shared" si="108"/>
        <v>0.40877388232590012</v>
      </c>
      <c r="T139">
        <f t="shared" si="109"/>
        <v>1.5874849070465451</v>
      </c>
      <c r="U139">
        <f t="shared" si="105"/>
        <v>0</v>
      </c>
      <c r="V139">
        <f t="shared" si="110"/>
        <v>7.9113847942723581E-2</v>
      </c>
      <c r="W139" t="str">
        <f t="shared" si="106"/>
        <v/>
      </c>
      <c r="X139">
        <f t="shared" si="111"/>
        <v>1.1032959953374524</v>
      </c>
      <c r="Y139" t="str">
        <f t="shared" si="107"/>
        <v/>
      </c>
      <c r="Z139">
        <f t="shared" si="112"/>
        <v>1.2757064766393391</v>
      </c>
      <c r="AA139">
        <f t="shared" si="113"/>
        <v>0.80397933209585692</v>
      </c>
      <c r="AB139">
        <f t="shared" si="114"/>
        <v>0.6774998780582272</v>
      </c>
      <c r="AC139">
        <f t="shared" si="115"/>
        <v>1.055739774728377</v>
      </c>
      <c r="AD139">
        <f t="shared" si="116"/>
        <v>0.52088848629442286</v>
      </c>
    </row>
    <row r="140" spans="1:30">
      <c r="A140" t="s">
        <v>114</v>
      </c>
      <c r="B140" t="s">
        <v>37</v>
      </c>
      <c r="C140" t="s">
        <v>38</v>
      </c>
      <c r="D140" t="s">
        <v>39</v>
      </c>
      <c r="E140" s="2">
        <v>46084</v>
      </c>
      <c r="F140" t="s">
        <v>40</v>
      </c>
      <c r="G140">
        <v>117.3</v>
      </c>
      <c r="H140">
        <v>85.2</v>
      </c>
      <c r="I140">
        <v>-1957.8</v>
      </c>
      <c r="J140">
        <v>69.5</v>
      </c>
      <c r="K140">
        <v>0</v>
      </c>
      <c r="L140">
        <v>1.8</v>
      </c>
      <c r="M140">
        <v>0</v>
      </c>
      <c r="N140">
        <v>71.3</v>
      </c>
      <c r="O140">
        <v>112.16</v>
      </c>
      <c r="P140">
        <v>116.26</v>
      </c>
      <c r="Q140">
        <v>3.91</v>
      </c>
      <c r="R140">
        <v>3.96</v>
      </c>
      <c r="S140">
        <f t="shared" si="108"/>
        <v>0.9502947979695775</v>
      </c>
      <c r="T140">
        <f t="shared" si="109"/>
        <v>1.5874849070465451</v>
      </c>
      <c r="U140">
        <f t="shared" si="105"/>
        <v>0</v>
      </c>
      <c r="V140">
        <f t="shared" si="110"/>
        <v>7.9113847942723581E-2</v>
      </c>
      <c r="W140" t="str">
        <f t="shared" si="106"/>
        <v/>
      </c>
      <c r="X140">
        <f t="shared" si="111"/>
        <v>0.24621007318799532</v>
      </c>
      <c r="Y140" t="str">
        <f t="shared" si="107"/>
        <v/>
      </c>
      <c r="Z140">
        <f t="shared" si="112"/>
        <v>0.72916232088154076</v>
      </c>
      <c r="AA140">
        <f t="shared" si="113"/>
        <v>0.80397933209585692</v>
      </c>
      <c r="AB140">
        <f t="shared" si="114"/>
        <v>0.6774998780582272</v>
      </c>
      <c r="AC140">
        <f t="shared" si="115"/>
        <v>0.59057713393361444</v>
      </c>
      <c r="AD140">
        <f t="shared" si="116"/>
        <v>0.71226261633952215</v>
      </c>
    </row>
    <row r="141" spans="1:30">
      <c r="A141" t="s">
        <v>115</v>
      </c>
      <c r="B141" t="s">
        <v>37</v>
      </c>
      <c r="C141" t="s">
        <v>38</v>
      </c>
      <c r="D141" t="s">
        <v>39</v>
      </c>
      <c r="E141" s="2">
        <v>46084</v>
      </c>
      <c r="F141" t="s">
        <v>40</v>
      </c>
      <c r="G141">
        <v>110.6</v>
      </c>
      <c r="H141">
        <v>80.7</v>
      </c>
      <c r="I141">
        <v>-1957.8</v>
      </c>
      <c r="J141">
        <v>70.400000000000006</v>
      </c>
      <c r="K141">
        <v>0</v>
      </c>
      <c r="L141">
        <v>2.7</v>
      </c>
      <c r="M141">
        <v>0</v>
      </c>
      <c r="N141">
        <v>73.099999999999994</v>
      </c>
      <c r="O141">
        <v>115.31</v>
      </c>
      <c r="P141">
        <v>115.24</v>
      </c>
      <c r="Q141">
        <v>3.76</v>
      </c>
      <c r="R141">
        <v>3.83</v>
      </c>
      <c r="S141">
        <f t="shared" si="108"/>
        <v>0.39347932603510261</v>
      </c>
      <c r="T141">
        <f t="shared" si="109"/>
        <v>7.309118217118795E-3</v>
      </c>
      <c r="U141">
        <f t="shared" si="105"/>
        <v>0</v>
      </c>
      <c r="V141">
        <f t="shared" si="110"/>
        <v>0.5496592728295604</v>
      </c>
      <c r="W141" t="str">
        <f t="shared" si="106"/>
        <v/>
      </c>
      <c r="X141">
        <f t="shared" si="111"/>
        <v>0.88902451480008826</v>
      </c>
      <c r="Y141" t="str">
        <f t="shared" si="107"/>
        <v/>
      </c>
      <c r="Z141">
        <f t="shared" si="112"/>
        <v>1.5489785545182351</v>
      </c>
      <c r="AA141">
        <f t="shared" si="113"/>
        <v>1.0676828703098564</v>
      </c>
      <c r="AB141">
        <f t="shared" si="114"/>
        <v>5.4150754460924995E-2</v>
      </c>
      <c r="AC141">
        <f t="shared" si="115"/>
        <v>0.40619995348373839</v>
      </c>
      <c r="AD141">
        <f t="shared" si="116"/>
        <v>0.11702528052257931</v>
      </c>
    </row>
    <row r="142" spans="1:30">
      <c r="A142" t="s">
        <v>116</v>
      </c>
      <c r="B142" t="s">
        <v>31</v>
      </c>
      <c r="C142" t="s">
        <v>32</v>
      </c>
      <c r="D142" t="s">
        <v>33</v>
      </c>
      <c r="E142" s="2">
        <v>46084</v>
      </c>
      <c r="F142" t="s">
        <v>40</v>
      </c>
      <c r="G142">
        <v>163.30000000000001</v>
      </c>
      <c r="H142">
        <v>110.9</v>
      </c>
      <c r="I142">
        <v>-1957.8</v>
      </c>
      <c r="J142">
        <v>70</v>
      </c>
      <c r="K142">
        <v>0</v>
      </c>
      <c r="L142">
        <v>3.2</v>
      </c>
      <c r="M142">
        <v>0</v>
      </c>
      <c r="N142">
        <v>73.2</v>
      </c>
      <c r="O142">
        <v>111.35</v>
      </c>
      <c r="P142">
        <v>117.58</v>
      </c>
      <c r="Q142">
        <v>9.16</v>
      </c>
      <c r="R142">
        <v>8.57</v>
      </c>
      <c r="S142">
        <f>IF(OR(G142=0,G142=""),"",ABS((G142-152.740594)/5.729485))</f>
        <v>1.8429939165562041</v>
      </c>
      <c r="T142">
        <f>IF(OR(H142=0,H142=""),"",ABS((H142-96.426733)/5.037499))</f>
        <v>2.8731056820060918</v>
      </c>
      <c r="U142">
        <f t="shared" si="105"/>
        <v>0</v>
      </c>
      <c r="V142">
        <f>IF(OR(J142=0,J142=""),"",ABS((J142-69.40099)/2.222902))</f>
        <v>0.26947206849425076</v>
      </c>
      <c r="W142" t="str">
        <f t="shared" si="106"/>
        <v/>
      </c>
      <c r="X142">
        <f>IF(OR(L142=0,L142=""),"",ABS((L142-1.849749)/1.393269))</f>
        <v>0.96912441172523034</v>
      </c>
      <c r="Y142" t="str">
        <f t="shared" si="107"/>
        <v/>
      </c>
      <c r="Z142">
        <f>IF(OR(N142=0,N142=""),"",ABS((N142-69.231188)/2.519549))</f>
        <v>1.5752073089271135</v>
      </c>
      <c r="AA142">
        <f>IF(OR(O142=0,O142=""),"",ABS((O142-113.18)/1.73698))</f>
        <v>1.0535527179357347</v>
      </c>
      <c r="AB142">
        <f>IF(OR(P142=0,P142=""),"",ABS((P142-114.765594)/1.645198))</f>
        <v>1.7106792009229317</v>
      </c>
      <c r="AC142">
        <f>IF(OR(Q142=0,Q142=""),"",ABS((Q142-8.040149)/0.55663))</f>
        <v>2.0118408996999815</v>
      </c>
      <c r="AD142">
        <f>IF(OR(R142=0,R142=""),"",ABS((R142-7.915297)/0.399795))</f>
        <v>1.6375967683437773</v>
      </c>
    </row>
    <row r="143" spans="1:30">
      <c r="A143" t="s">
        <v>117</v>
      </c>
      <c r="B143" t="s">
        <v>37</v>
      </c>
      <c r="C143" t="s">
        <v>38</v>
      </c>
      <c r="D143" t="s">
        <v>39</v>
      </c>
      <c r="E143" s="2">
        <v>46084</v>
      </c>
      <c r="F143" t="s">
        <v>40</v>
      </c>
      <c r="G143">
        <v>110.6</v>
      </c>
      <c r="H143">
        <v>82.9</v>
      </c>
      <c r="I143">
        <v>-1957.8</v>
      </c>
      <c r="J143">
        <v>69.5</v>
      </c>
      <c r="K143">
        <v>0</v>
      </c>
      <c r="L143">
        <v>0.2</v>
      </c>
      <c r="M143">
        <v>0</v>
      </c>
      <c r="N143">
        <v>69.7</v>
      </c>
      <c r="O143">
        <v>115.6</v>
      </c>
      <c r="P143">
        <v>113.77</v>
      </c>
      <c r="Q143">
        <v>3.76</v>
      </c>
      <c r="R143">
        <v>3.86</v>
      </c>
      <c r="S143">
        <f t="shared" ref="S143:S158" si="117">IF(OR(G143=0,G143=""),"",ABS((G143-112.561871)/4.985957))</f>
        <v>0.39347932603510261</v>
      </c>
      <c r="T143">
        <f t="shared" ref="T143:T158" si="118">IF(OR(H143=0,H143=""),"",ABS((H143-80.720624)/2.821681))</f>
        <v>0.77236796080067338</v>
      </c>
      <c r="U143">
        <f t="shared" si="105"/>
        <v>0</v>
      </c>
      <c r="V143">
        <f t="shared" ref="V143:V158" si="119">IF(OR(J143=0,J143=""),"",ABS((J143-69.348681)/1.912674))</f>
        <v>7.9113847942723581E-2</v>
      </c>
      <c r="W143" t="str">
        <f t="shared" si="106"/>
        <v/>
      </c>
      <c r="X143">
        <f t="shared" ref="X143:X158" si="120">IF(OR(L143=0,L143=""),"",ABS((L143-1.455283)/1.400093))</f>
        <v>0.89657115634461437</v>
      </c>
      <c r="Y143" t="str">
        <f t="shared" si="107"/>
        <v/>
      </c>
      <c r="Z143">
        <f t="shared" ref="Z143:Z158" si="121">IF(OR(N143=0,N143=""),"",ABS((N143-69.699041)/2.195614))</f>
        <v>4.3677987114712057E-4</v>
      </c>
      <c r="AA143">
        <f t="shared" ref="AA143:AA158" si="122">IF(OR(O143=0,O143=""),"",ABS((O143-113.513094)/1.682996))</f>
        <v>1.2399946286265677</v>
      </c>
      <c r="AB143">
        <f t="shared" ref="AB143:AB158" si="123">IF(OR(P143=0,P143=""),"",ABS((P143-115.315492)/1.394108))</f>
        <v>1.1085884307385154</v>
      </c>
      <c r="AC143">
        <f t="shared" ref="AC143:AC158" si="124">IF(OR(Q143=0,Q143=""),"",ABS((Q143-3.821127)/0.150485))</f>
        <v>0.40619995348373839</v>
      </c>
      <c r="AD143">
        <f t="shared" ref="AD143:AD158" si="125">IF(OR(R143=0,R143=""),"",ABS((R143-3.848345)/0.156761))</f>
        <v>7.4348849522519939E-2</v>
      </c>
    </row>
    <row r="144" spans="1:30">
      <c r="A144" t="s">
        <v>118</v>
      </c>
      <c r="B144" t="s">
        <v>37</v>
      </c>
      <c r="C144" t="s">
        <v>38</v>
      </c>
      <c r="D144" t="s">
        <v>39</v>
      </c>
      <c r="E144" s="2">
        <v>46084</v>
      </c>
      <c r="F144" t="s">
        <v>40</v>
      </c>
      <c r="G144">
        <v>113.7</v>
      </c>
      <c r="H144">
        <v>83.8</v>
      </c>
      <c r="I144">
        <v>-1957.8</v>
      </c>
      <c r="J144">
        <v>69.099999999999994</v>
      </c>
      <c r="K144">
        <v>0</v>
      </c>
      <c r="L144">
        <v>0.6</v>
      </c>
      <c r="M144">
        <v>0</v>
      </c>
      <c r="N144">
        <v>69.7</v>
      </c>
      <c r="O144">
        <v>115.46</v>
      </c>
      <c r="P144">
        <v>115.38</v>
      </c>
      <c r="Q144">
        <v>3.76</v>
      </c>
      <c r="R144">
        <v>3.86</v>
      </c>
      <c r="S144">
        <f t="shared" si="117"/>
        <v>0.2282669104446762</v>
      </c>
      <c r="T144">
        <f t="shared" si="118"/>
        <v>1.0913267658534032</v>
      </c>
      <c r="U144">
        <f t="shared" si="105"/>
        <v>0</v>
      </c>
      <c r="V144">
        <f t="shared" si="119"/>
        <v>0.13001745200698331</v>
      </c>
      <c r="W144" t="str">
        <f t="shared" si="106"/>
        <v/>
      </c>
      <c r="X144">
        <f t="shared" si="120"/>
        <v>0.61087584896146196</v>
      </c>
      <c r="Y144" t="str">
        <f t="shared" si="107"/>
        <v/>
      </c>
      <c r="Z144">
        <f t="shared" si="121"/>
        <v>4.3677987114712057E-4</v>
      </c>
      <c r="AA144">
        <f t="shared" si="122"/>
        <v>1.1568096418529803</v>
      </c>
      <c r="AB144">
        <f t="shared" si="123"/>
        <v>4.6271881375036482E-2</v>
      </c>
      <c r="AC144">
        <f t="shared" si="124"/>
        <v>0.40619995348373839</v>
      </c>
      <c r="AD144">
        <f t="shared" si="125"/>
        <v>7.4348849522519939E-2</v>
      </c>
    </row>
    <row r="145" spans="1:30">
      <c r="A145" t="s">
        <v>119</v>
      </c>
      <c r="B145" t="s">
        <v>37</v>
      </c>
      <c r="C145" t="s">
        <v>38</v>
      </c>
      <c r="D145" t="s">
        <v>39</v>
      </c>
      <c r="E145" s="2">
        <v>46084</v>
      </c>
      <c r="F145" t="s">
        <v>40</v>
      </c>
      <c r="G145">
        <v>114.6</v>
      </c>
      <c r="H145">
        <v>82.5</v>
      </c>
      <c r="I145">
        <v>-1957.8</v>
      </c>
      <c r="J145">
        <v>69.5</v>
      </c>
      <c r="K145">
        <v>0</v>
      </c>
      <c r="L145">
        <v>4</v>
      </c>
      <c r="M145">
        <v>0</v>
      </c>
      <c r="N145">
        <v>73.5</v>
      </c>
      <c r="O145">
        <v>112.08</v>
      </c>
      <c r="P145">
        <v>116.85</v>
      </c>
      <c r="Q145">
        <v>3.96</v>
      </c>
      <c r="R145">
        <v>3.88</v>
      </c>
      <c r="S145">
        <f t="shared" si="117"/>
        <v>0.40877388232590012</v>
      </c>
      <c r="T145">
        <f t="shared" si="118"/>
        <v>0.63060849188834578</v>
      </c>
      <c r="U145">
        <f t="shared" si="105"/>
        <v>0</v>
      </c>
      <c r="V145">
        <f t="shared" si="119"/>
        <v>7.9113847942723581E-2</v>
      </c>
      <c r="W145" t="str">
        <f t="shared" si="106"/>
        <v/>
      </c>
      <c r="X145">
        <f t="shared" si="120"/>
        <v>1.8175342637953336</v>
      </c>
      <c r="Y145" t="str">
        <f t="shared" si="107"/>
        <v/>
      </c>
      <c r="Z145">
        <f t="shared" si="121"/>
        <v>1.7311599397708368</v>
      </c>
      <c r="AA145">
        <f t="shared" si="122"/>
        <v>0.8515136102521913</v>
      </c>
      <c r="AB145">
        <f t="shared" si="123"/>
        <v>1.1007095576526269</v>
      </c>
      <c r="AC145">
        <f t="shared" si="124"/>
        <v>0.92283616307273009</v>
      </c>
      <c r="AD145">
        <f t="shared" si="125"/>
        <v>0.20193160288592038</v>
      </c>
    </row>
    <row r="146" spans="1:30">
      <c r="A146" t="s">
        <v>120</v>
      </c>
      <c r="B146" t="s">
        <v>37</v>
      </c>
      <c r="C146" t="s">
        <v>38</v>
      </c>
      <c r="D146" t="s">
        <v>39</v>
      </c>
      <c r="E146" s="2">
        <v>46084</v>
      </c>
      <c r="F146" t="s">
        <v>40</v>
      </c>
      <c r="G146">
        <v>118.7</v>
      </c>
      <c r="H146">
        <v>85.2</v>
      </c>
      <c r="I146">
        <v>-1957.8</v>
      </c>
      <c r="J146">
        <v>70</v>
      </c>
      <c r="K146">
        <v>0</v>
      </c>
      <c r="L146">
        <v>3.8</v>
      </c>
      <c r="M146">
        <v>0</v>
      </c>
      <c r="N146">
        <v>73.8</v>
      </c>
      <c r="O146">
        <v>115.38</v>
      </c>
      <c r="P146">
        <v>115.24</v>
      </c>
      <c r="Q146">
        <v>3.98</v>
      </c>
      <c r="R146">
        <v>4.03</v>
      </c>
      <c r="S146">
        <f t="shared" si="117"/>
        <v>1.2310834208959296</v>
      </c>
      <c r="T146">
        <f t="shared" si="118"/>
        <v>1.5874849070465451</v>
      </c>
      <c r="U146">
        <f t="shared" si="105"/>
        <v>0</v>
      </c>
      <c r="V146">
        <f t="shared" si="119"/>
        <v>0.34052797287985348</v>
      </c>
      <c r="W146" t="str">
        <f t="shared" si="106"/>
        <v/>
      </c>
      <c r="X146">
        <f t="shared" si="120"/>
        <v>1.6746866101037572</v>
      </c>
      <c r="Y146" t="str">
        <f t="shared" si="107"/>
        <v/>
      </c>
      <c r="Z146">
        <f t="shared" si="121"/>
        <v>1.8677959787102847</v>
      </c>
      <c r="AA146">
        <f t="shared" si="122"/>
        <v>1.1092753636966459</v>
      </c>
      <c r="AB146">
        <f t="shared" si="123"/>
        <v>5.4150754460924995E-2</v>
      </c>
      <c r="AC146">
        <f t="shared" si="124"/>
        <v>1.055739774728377</v>
      </c>
      <c r="AD146">
        <f t="shared" si="125"/>
        <v>1.158802253111425</v>
      </c>
    </row>
    <row r="147" spans="1:30">
      <c r="A147" t="s">
        <v>121</v>
      </c>
      <c r="B147" t="s">
        <v>37</v>
      </c>
      <c r="C147" t="s">
        <v>38</v>
      </c>
      <c r="D147" t="s">
        <v>39</v>
      </c>
      <c r="E147" s="2">
        <v>46084</v>
      </c>
      <c r="F147" t="s">
        <v>40</v>
      </c>
      <c r="G147">
        <v>102.6</v>
      </c>
      <c r="H147">
        <v>78.400000000000006</v>
      </c>
      <c r="I147">
        <v>-1957.8</v>
      </c>
      <c r="J147">
        <v>69.5</v>
      </c>
      <c r="K147">
        <v>0</v>
      </c>
      <c r="L147">
        <v>1.1000000000000001</v>
      </c>
      <c r="M147">
        <v>0</v>
      </c>
      <c r="N147">
        <v>70.599999999999994</v>
      </c>
      <c r="O147">
        <v>112.3</v>
      </c>
      <c r="P147">
        <v>113.84</v>
      </c>
      <c r="Q147">
        <v>3.74</v>
      </c>
      <c r="R147">
        <v>3.76</v>
      </c>
      <c r="S147">
        <f t="shared" si="117"/>
        <v>1.9979857427571082</v>
      </c>
      <c r="T147">
        <f t="shared" si="118"/>
        <v>0.82242606446299038</v>
      </c>
      <c r="U147">
        <f t="shared" si="105"/>
        <v>0</v>
      </c>
      <c r="V147">
        <f t="shared" si="119"/>
        <v>7.9113847942723581E-2</v>
      </c>
      <c r="W147" t="str">
        <f t="shared" si="106"/>
        <v/>
      </c>
      <c r="X147">
        <f t="shared" si="120"/>
        <v>0.25375671473252137</v>
      </c>
      <c r="Y147" t="str">
        <f t="shared" si="107"/>
        <v/>
      </c>
      <c r="Z147">
        <f t="shared" si="121"/>
        <v>0.41034489668949109</v>
      </c>
      <c r="AA147">
        <f t="shared" si="122"/>
        <v>0.72079434532226938</v>
      </c>
      <c r="AB147">
        <f t="shared" si="123"/>
        <v>1.0583771128205295</v>
      </c>
      <c r="AC147">
        <f t="shared" si="124"/>
        <v>0.53910356513938229</v>
      </c>
      <c r="AD147">
        <f t="shared" si="125"/>
        <v>0.56356491729448221</v>
      </c>
    </row>
    <row r="148" spans="1:30">
      <c r="A148" t="s">
        <v>122</v>
      </c>
      <c r="B148" t="s">
        <v>37</v>
      </c>
      <c r="C148" t="s">
        <v>38</v>
      </c>
      <c r="D148" t="s">
        <v>39</v>
      </c>
      <c r="E148" s="2">
        <v>46084</v>
      </c>
      <c r="F148" t="s">
        <v>40</v>
      </c>
      <c r="G148">
        <v>107.5</v>
      </c>
      <c r="H148">
        <v>81.599999999999994</v>
      </c>
      <c r="I148">
        <v>-1957.8</v>
      </c>
      <c r="J148">
        <v>70</v>
      </c>
      <c r="K148">
        <v>0</v>
      </c>
      <c r="L148">
        <v>2.9</v>
      </c>
      <c r="M148">
        <v>0</v>
      </c>
      <c r="N148">
        <v>72.900000000000006</v>
      </c>
      <c r="O148">
        <v>115.02</v>
      </c>
      <c r="P148">
        <v>115.09</v>
      </c>
      <c r="Q148">
        <v>3.71</v>
      </c>
      <c r="R148">
        <v>3.81</v>
      </c>
      <c r="S148">
        <f t="shared" si="117"/>
        <v>1.0152255625148785</v>
      </c>
      <c r="T148">
        <f t="shared" si="118"/>
        <v>0.31164968683561095</v>
      </c>
      <c r="U148">
        <f t="shared" si="105"/>
        <v>0</v>
      </c>
      <c r="V148">
        <f t="shared" si="119"/>
        <v>0.34052797287985348</v>
      </c>
      <c r="W148" t="str">
        <f t="shared" si="106"/>
        <v/>
      </c>
      <c r="X148">
        <f t="shared" si="120"/>
        <v>1.0318721684916643</v>
      </c>
      <c r="Y148" t="str">
        <f t="shared" si="107"/>
        <v/>
      </c>
      <c r="Z148">
        <f t="shared" si="121"/>
        <v>1.4578878618919409</v>
      </c>
      <c r="AA148">
        <f t="shared" si="122"/>
        <v>0.89537111199313657</v>
      </c>
      <c r="AB148">
        <f t="shared" si="123"/>
        <v>0.16174643571373432</v>
      </c>
      <c r="AC148">
        <f t="shared" si="124"/>
        <v>0.73845898262285403</v>
      </c>
      <c r="AD148">
        <f t="shared" si="125"/>
        <v>0.24460803388597974</v>
      </c>
    </row>
    <row r="149" spans="1:30">
      <c r="A149" t="s">
        <v>123</v>
      </c>
      <c r="B149" t="s">
        <v>37</v>
      </c>
      <c r="C149" t="s">
        <v>38</v>
      </c>
      <c r="D149" t="s">
        <v>39</v>
      </c>
      <c r="E149" s="2">
        <v>46085</v>
      </c>
      <c r="F149" t="s">
        <v>40</v>
      </c>
      <c r="G149">
        <v>105.3</v>
      </c>
      <c r="H149">
        <v>78.400000000000006</v>
      </c>
      <c r="I149">
        <v>-1957.8</v>
      </c>
      <c r="J149">
        <v>68.599999999999994</v>
      </c>
      <c r="K149">
        <v>0</v>
      </c>
      <c r="L149">
        <v>2.1</v>
      </c>
      <c r="M149">
        <v>0</v>
      </c>
      <c r="N149">
        <v>70.7</v>
      </c>
      <c r="O149">
        <v>112.23</v>
      </c>
      <c r="P149">
        <v>116.92</v>
      </c>
      <c r="Q149">
        <v>3.69</v>
      </c>
      <c r="R149">
        <v>3.74</v>
      </c>
      <c r="S149">
        <f t="shared" si="117"/>
        <v>1.4564648271134306</v>
      </c>
      <c r="T149">
        <f t="shared" si="118"/>
        <v>0.82242606446299038</v>
      </c>
      <c r="U149">
        <f t="shared" si="105"/>
        <v>0</v>
      </c>
      <c r="V149">
        <f t="shared" si="119"/>
        <v>0.39143157694411324</v>
      </c>
      <c r="W149" t="str">
        <f t="shared" si="106"/>
        <v/>
      </c>
      <c r="X149">
        <f t="shared" si="120"/>
        <v>0.46048155372535965</v>
      </c>
      <c r="Y149" t="str">
        <f t="shared" si="107"/>
        <v/>
      </c>
      <c r="Z149">
        <f t="shared" si="121"/>
        <v>0.45589024300264475</v>
      </c>
      <c r="AA149">
        <f t="shared" si="122"/>
        <v>0.76238683870905888</v>
      </c>
      <c r="AB149">
        <f t="shared" si="123"/>
        <v>1.1509208755706126</v>
      </c>
      <c r="AC149">
        <f t="shared" si="124"/>
        <v>0.87136259427850093</v>
      </c>
      <c r="AD149">
        <f t="shared" si="125"/>
        <v>0.69114767065787985</v>
      </c>
    </row>
    <row r="150" spans="1:30">
      <c r="A150" t="s">
        <v>124</v>
      </c>
      <c r="B150" t="s">
        <v>37</v>
      </c>
      <c r="C150" t="s">
        <v>38</v>
      </c>
      <c r="D150" t="s">
        <v>39</v>
      </c>
      <c r="E150" s="2">
        <v>46085</v>
      </c>
      <c r="F150" t="s">
        <v>40</v>
      </c>
      <c r="G150">
        <v>112</v>
      </c>
      <c r="H150">
        <v>82.9</v>
      </c>
      <c r="I150">
        <v>-1957.8</v>
      </c>
      <c r="J150">
        <v>69.099999999999994</v>
      </c>
      <c r="K150">
        <v>0</v>
      </c>
      <c r="L150">
        <v>3.9</v>
      </c>
      <c r="M150">
        <v>0</v>
      </c>
      <c r="N150">
        <v>73</v>
      </c>
      <c r="O150">
        <v>112.08</v>
      </c>
      <c r="P150">
        <v>113.4</v>
      </c>
      <c r="Q150">
        <v>3.64</v>
      </c>
      <c r="R150">
        <v>3.81</v>
      </c>
      <c r="S150">
        <f t="shared" si="117"/>
        <v>0.11269070310875053</v>
      </c>
      <c r="T150">
        <f t="shared" si="118"/>
        <v>0.77236796080067338</v>
      </c>
      <c r="U150">
        <f t="shared" si="105"/>
        <v>0</v>
      </c>
      <c r="V150">
        <f t="shared" si="119"/>
        <v>0.13001745200698331</v>
      </c>
      <c r="W150" t="str">
        <f t="shared" si="106"/>
        <v/>
      </c>
      <c r="X150">
        <f t="shared" si="120"/>
        <v>1.7461104369495453</v>
      </c>
      <c r="Y150" t="str">
        <f t="shared" si="107"/>
        <v/>
      </c>
      <c r="Z150">
        <f t="shared" si="121"/>
        <v>1.5034332082050881</v>
      </c>
      <c r="AA150">
        <f t="shared" si="122"/>
        <v>0.8515136102521913</v>
      </c>
      <c r="AB150">
        <f t="shared" si="123"/>
        <v>1.3739911111621199</v>
      </c>
      <c r="AC150">
        <f t="shared" si="124"/>
        <v>1.2036216234176165</v>
      </c>
      <c r="AD150">
        <f t="shared" si="125"/>
        <v>0.24460803388597974</v>
      </c>
    </row>
    <row r="151" spans="1:30">
      <c r="A151" t="s">
        <v>125</v>
      </c>
      <c r="B151" t="s">
        <v>37</v>
      </c>
      <c r="C151" t="s">
        <v>38</v>
      </c>
      <c r="D151" t="s">
        <v>39</v>
      </c>
      <c r="E151" s="2">
        <v>46085</v>
      </c>
      <c r="F151" t="s">
        <v>40</v>
      </c>
      <c r="G151">
        <v>110.6</v>
      </c>
      <c r="H151">
        <v>82</v>
      </c>
      <c r="I151">
        <v>-1957.8</v>
      </c>
      <c r="J151">
        <v>69.5</v>
      </c>
      <c r="K151">
        <v>0</v>
      </c>
      <c r="L151">
        <v>3.6</v>
      </c>
      <c r="M151">
        <v>0</v>
      </c>
      <c r="N151">
        <v>73.099999999999994</v>
      </c>
      <c r="O151">
        <v>115.02</v>
      </c>
      <c r="P151">
        <v>114.87</v>
      </c>
      <c r="Q151">
        <v>3.66</v>
      </c>
      <c r="R151">
        <v>3.78</v>
      </c>
      <c r="S151">
        <f t="shared" si="117"/>
        <v>0.39347932603510261</v>
      </c>
      <c r="T151">
        <f t="shared" si="118"/>
        <v>0.45340915574793861</v>
      </c>
      <c r="U151">
        <f t="shared" si="105"/>
        <v>0</v>
      </c>
      <c r="V151">
        <f t="shared" si="119"/>
        <v>7.9113847942723581E-2</v>
      </c>
      <c r="W151" t="str">
        <f t="shared" si="106"/>
        <v/>
      </c>
      <c r="X151">
        <f t="shared" si="120"/>
        <v>1.531838956412181</v>
      </c>
      <c r="Y151" t="str">
        <f t="shared" si="107"/>
        <v/>
      </c>
      <c r="Z151">
        <f t="shared" si="121"/>
        <v>1.5489785545182351</v>
      </c>
      <c r="AA151">
        <f t="shared" si="122"/>
        <v>0.89537111199313657</v>
      </c>
      <c r="AB151">
        <f t="shared" si="123"/>
        <v>0.31955343488452947</v>
      </c>
      <c r="AC151">
        <f t="shared" si="124"/>
        <v>1.0707180117619697</v>
      </c>
      <c r="AD151">
        <f t="shared" si="125"/>
        <v>0.4359821639310818</v>
      </c>
    </row>
    <row r="152" spans="1:30">
      <c r="A152" t="s">
        <v>126</v>
      </c>
      <c r="B152" t="s">
        <v>37</v>
      </c>
      <c r="C152" t="s">
        <v>38</v>
      </c>
      <c r="D152" t="s">
        <v>39</v>
      </c>
      <c r="E152" s="2">
        <v>46085</v>
      </c>
      <c r="F152" t="s">
        <v>40</v>
      </c>
      <c r="G152">
        <v>108.8</v>
      </c>
      <c r="H152">
        <v>81.099999999999994</v>
      </c>
      <c r="I152">
        <v>-1957.8</v>
      </c>
      <c r="J152">
        <v>69.5</v>
      </c>
      <c r="K152">
        <v>0</v>
      </c>
      <c r="L152">
        <v>2</v>
      </c>
      <c r="M152">
        <v>0</v>
      </c>
      <c r="N152">
        <v>71.5</v>
      </c>
      <c r="O152">
        <v>115.16</v>
      </c>
      <c r="P152">
        <v>115.09</v>
      </c>
      <c r="Q152">
        <v>3.59</v>
      </c>
      <c r="R152">
        <v>3.78</v>
      </c>
      <c r="S152">
        <f t="shared" si="117"/>
        <v>0.75449326979755327</v>
      </c>
      <c r="T152">
        <f t="shared" si="118"/>
        <v>0.13445035069520386</v>
      </c>
      <c r="U152">
        <f t="shared" si="105"/>
        <v>0</v>
      </c>
      <c r="V152">
        <f t="shared" si="119"/>
        <v>7.9113847942723581E-2</v>
      </c>
      <c r="W152" t="str">
        <f t="shared" si="106"/>
        <v/>
      </c>
      <c r="X152">
        <f t="shared" si="120"/>
        <v>0.38905772687957146</v>
      </c>
      <c r="Y152" t="str">
        <f t="shared" si="107"/>
        <v/>
      </c>
      <c r="Z152">
        <f t="shared" si="121"/>
        <v>0.82025301350784152</v>
      </c>
      <c r="AA152">
        <f t="shared" si="122"/>
        <v>0.978556098766724</v>
      </c>
      <c r="AB152">
        <f t="shared" si="123"/>
        <v>0.16174643571373432</v>
      </c>
      <c r="AC152">
        <f t="shared" si="124"/>
        <v>1.5358806525567352</v>
      </c>
      <c r="AD152">
        <f t="shared" si="125"/>
        <v>0.4359821639310818</v>
      </c>
    </row>
    <row r="153" spans="1:30">
      <c r="A153" t="s">
        <v>127</v>
      </c>
      <c r="B153" t="s">
        <v>37</v>
      </c>
      <c r="C153" t="s">
        <v>38</v>
      </c>
      <c r="D153" t="s">
        <v>39</v>
      </c>
      <c r="E153" s="2">
        <v>46085</v>
      </c>
      <c r="F153" t="s">
        <v>40</v>
      </c>
      <c r="G153">
        <v>104.8</v>
      </c>
      <c r="H153">
        <v>78.400000000000006</v>
      </c>
      <c r="I153">
        <v>-1957.8</v>
      </c>
      <c r="J153">
        <v>69.5</v>
      </c>
      <c r="K153">
        <v>0</v>
      </c>
      <c r="L153">
        <v>2.5</v>
      </c>
      <c r="M153">
        <v>0</v>
      </c>
      <c r="N153">
        <v>72</v>
      </c>
      <c r="O153">
        <v>112.45</v>
      </c>
      <c r="P153">
        <v>116.56</v>
      </c>
      <c r="Q153">
        <v>3.66</v>
      </c>
      <c r="R153">
        <v>3.71</v>
      </c>
      <c r="S153">
        <f t="shared" si="117"/>
        <v>1.556746478158556</v>
      </c>
      <c r="T153">
        <f t="shared" si="118"/>
        <v>0.82242606446299038</v>
      </c>
      <c r="U153">
        <f t="shared" si="105"/>
        <v>0</v>
      </c>
      <c r="V153">
        <f t="shared" si="119"/>
        <v>7.9113847942723581E-2</v>
      </c>
      <c r="W153" t="str">
        <f t="shared" si="106"/>
        <v/>
      </c>
      <c r="X153">
        <f t="shared" si="120"/>
        <v>0.746176861108512</v>
      </c>
      <c r="Y153" t="str">
        <f t="shared" si="107"/>
        <v/>
      </c>
      <c r="Z153">
        <f t="shared" si="121"/>
        <v>1.0479797450735904</v>
      </c>
      <c r="AA153">
        <f t="shared" si="122"/>
        <v>0.63166757377913696</v>
      </c>
      <c r="AB153">
        <f t="shared" si="123"/>
        <v>0.89269124056385607</v>
      </c>
      <c r="AC153">
        <f t="shared" si="124"/>
        <v>1.0707180117619697</v>
      </c>
      <c r="AD153">
        <f t="shared" si="125"/>
        <v>0.88252180070298192</v>
      </c>
    </row>
    <row r="154" spans="1:30">
      <c r="A154" t="s">
        <v>128</v>
      </c>
      <c r="B154" t="s">
        <v>37</v>
      </c>
      <c r="C154" t="s">
        <v>38</v>
      </c>
      <c r="D154" t="s">
        <v>39</v>
      </c>
      <c r="E154" s="2">
        <v>46085</v>
      </c>
      <c r="F154" t="s">
        <v>40</v>
      </c>
      <c r="G154">
        <v>109.7</v>
      </c>
      <c r="H154">
        <v>78.900000000000006</v>
      </c>
      <c r="I154">
        <v>-1957.8</v>
      </c>
      <c r="J154">
        <v>69.5</v>
      </c>
      <c r="K154">
        <v>0</v>
      </c>
      <c r="L154">
        <v>3.9</v>
      </c>
      <c r="M154">
        <v>0</v>
      </c>
      <c r="N154">
        <v>73.400000000000006</v>
      </c>
      <c r="O154">
        <v>115.09</v>
      </c>
      <c r="P154">
        <v>115.09</v>
      </c>
      <c r="Q154">
        <v>3.81</v>
      </c>
      <c r="R154">
        <v>3.93</v>
      </c>
      <c r="S154">
        <f t="shared" si="117"/>
        <v>0.57398629791632649</v>
      </c>
      <c r="T154">
        <f t="shared" si="118"/>
        <v>0.64522672832258332</v>
      </c>
      <c r="U154">
        <f t="shared" si="105"/>
        <v>0</v>
      </c>
      <c r="V154">
        <f t="shared" si="119"/>
        <v>7.9113847942723581E-2</v>
      </c>
      <c r="W154" t="str">
        <f t="shared" si="106"/>
        <v/>
      </c>
      <c r="X154">
        <f t="shared" si="120"/>
        <v>1.7461104369495453</v>
      </c>
      <c r="Y154" t="str">
        <f t="shared" si="107"/>
        <v/>
      </c>
      <c r="Z154">
        <f t="shared" si="121"/>
        <v>1.6856145934576896</v>
      </c>
      <c r="AA154">
        <f t="shared" si="122"/>
        <v>0.93696360537993451</v>
      </c>
      <c r="AB154">
        <f t="shared" si="123"/>
        <v>0.16174643571373432</v>
      </c>
      <c r="AC154">
        <f t="shared" si="124"/>
        <v>7.3940924344619782E-2</v>
      </c>
      <c r="AD154">
        <f t="shared" si="125"/>
        <v>0.52088848629442286</v>
      </c>
    </row>
    <row r="155" spans="1:30">
      <c r="A155" t="s">
        <v>129</v>
      </c>
      <c r="B155" t="s">
        <v>37</v>
      </c>
      <c r="C155" t="s">
        <v>38</v>
      </c>
      <c r="D155" t="s">
        <v>39</v>
      </c>
      <c r="E155" s="2">
        <v>46085</v>
      </c>
      <c r="F155" t="s">
        <v>40</v>
      </c>
      <c r="G155">
        <v>107.5</v>
      </c>
      <c r="H155">
        <v>85.6</v>
      </c>
      <c r="I155">
        <v>-1957.8</v>
      </c>
      <c r="J155">
        <v>70</v>
      </c>
      <c r="K155">
        <v>0</v>
      </c>
      <c r="L155">
        <v>3.2</v>
      </c>
      <c r="M155">
        <v>0</v>
      </c>
      <c r="N155">
        <v>73.2</v>
      </c>
      <c r="O155">
        <v>112.16</v>
      </c>
      <c r="P155">
        <v>116.78</v>
      </c>
      <c r="Q155">
        <v>3.91</v>
      </c>
      <c r="R155">
        <v>3.91</v>
      </c>
      <c r="S155">
        <f t="shared" si="117"/>
        <v>1.0152255625148785</v>
      </c>
      <c r="T155">
        <f t="shared" si="118"/>
        <v>1.7292443759588676</v>
      </c>
      <c r="U155">
        <f t="shared" si="105"/>
        <v>0</v>
      </c>
      <c r="V155">
        <f t="shared" si="119"/>
        <v>0.34052797287985348</v>
      </c>
      <c r="W155" t="str">
        <f t="shared" si="106"/>
        <v/>
      </c>
      <c r="X155">
        <f t="shared" si="120"/>
        <v>1.2461436490290287</v>
      </c>
      <c r="Y155" t="str">
        <f t="shared" si="107"/>
        <v/>
      </c>
      <c r="Z155">
        <f t="shared" si="121"/>
        <v>1.5945239008313887</v>
      </c>
      <c r="AA155">
        <f t="shared" si="122"/>
        <v>0.80397933209585692</v>
      </c>
      <c r="AB155">
        <f t="shared" si="123"/>
        <v>1.0504982397346512</v>
      </c>
      <c r="AC155">
        <f t="shared" si="124"/>
        <v>0.59057713393361444</v>
      </c>
      <c r="AD155">
        <f t="shared" si="125"/>
        <v>0.39330573293102244</v>
      </c>
    </row>
    <row r="156" spans="1:30">
      <c r="A156" t="s">
        <v>130</v>
      </c>
      <c r="B156" t="s">
        <v>37</v>
      </c>
      <c r="C156" t="s">
        <v>38</v>
      </c>
      <c r="D156" t="s">
        <v>39</v>
      </c>
      <c r="E156" s="2">
        <v>46085</v>
      </c>
      <c r="F156" t="s">
        <v>40</v>
      </c>
      <c r="G156">
        <v>109.3</v>
      </c>
      <c r="H156">
        <v>79.8</v>
      </c>
      <c r="I156">
        <v>-1957.8</v>
      </c>
      <c r="J156">
        <v>69.5</v>
      </c>
      <c r="K156">
        <v>0</v>
      </c>
      <c r="L156">
        <v>2.9</v>
      </c>
      <c r="M156">
        <v>0</v>
      </c>
      <c r="N156">
        <v>72.400000000000006</v>
      </c>
      <c r="O156">
        <v>115.38</v>
      </c>
      <c r="P156">
        <v>115.46</v>
      </c>
      <c r="Q156">
        <v>3.69</v>
      </c>
      <c r="R156">
        <v>3.76</v>
      </c>
      <c r="S156">
        <f t="shared" si="117"/>
        <v>0.65421161875242795</v>
      </c>
      <c r="T156">
        <f t="shared" si="118"/>
        <v>0.3262679232698536</v>
      </c>
      <c r="U156">
        <f t="shared" si="105"/>
        <v>0</v>
      </c>
      <c r="V156">
        <f t="shared" si="119"/>
        <v>7.9113847942723581E-2</v>
      </c>
      <c r="W156" t="str">
        <f t="shared" si="106"/>
        <v/>
      </c>
      <c r="X156">
        <f t="shared" si="120"/>
        <v>1.0318721684916643</v>
      </c>
      <c r="Y156" t="str">
        <f t="shared" si="107"/>
        <v/>
      </c>
      <c r="Z156">
        <f t="shared" si="121"/>
        <v>1.2301611303261919</v>
      </c>
      <c r="AA156">
        <f t="shared" si="122"/>
        <v>1.1092753636966459</v>
      </c>
      <c r="AB156">
        <f t="shared" si="123"/>
        <v>0.10365624470987016</v>
      </c>
      <c r="AC156">
        <f t="shared" si="124"/>
        <v>0.87136259427850093</v>
      </c>
      <c r="AD156">
        <f t="shared" si="125"/>
        <v>0.56356491729448221</v>
      </c>
    </row>
    <row r="157" spans="1:30">
      <c r="A157" t="s">
        <v>131</v>
      </c>
      <c r="B157" t="s">
        <v>37</v>
      </c>
      <c r="C157" t="s">
        <v>38</v>
      </c>
      <c r="D157" t="s">
        <v>39</v>
      </c>
      <c r="E157" s="2">
        <v>46085</v>
      </c>
      <c r="F157" t="s">
        <v>40</v>
      </c>
      <c r="G157">
        <v>111.1</v>
      </c>
      <c r="H157">
        <v>80.2</v>
      </c>
      <c r="I157">
        <v>-1957.8</v>
      </c>
      <c r="J157">
        <v>69.5</v>
      </c>
      <c r="K157">
        <v>0</v>
      </c>
      <c r="L157">
        <v>2.9</v>
      </c>
      <c r="M157">
        <v>0</v>
      </c>
      <c r="N157">
        <v>72.400000000000006</v>
      </c>
      <c r="O157">
        <v>115.53</v>
      </c>
      <c r="P157">
        <v>113.62</v>
      </c>
      <c r="Q157">
        <v>3.74</v>
      </c>
      <c r="R157">
        <v>3.83</v>
      </c>
      <c r="S157">
        <f t="shared" si="117"/>
        <v>0.29319767498997729</v>
      </c>
      <c r="T157">
        <f t="shared" si="118"/>
        <v>0.18450845435752589</v>
      </c>
      <c r="U157">
        <f t="shared" si="105"/>
        <v>0</v>
      </c>
      <c r="V157">
        <f t="shared" si="119"/>
        <v>7.9113847942723581E-2</v>
      </c>
      <c r="W157" t="str">
        <f t="shared" si="106"/>
        <v/>
      </c>
      <c r="X157">
        <f t="shared" si="120"/>
        <v>1.0318721684916643</v>
      </c>
      <c r="Y157" t="str">
        <f t="shared" si="107"/>
        <v/>
      </c>
      <c r="Z157">
        <f t="shared" si="121"/>
        <v>1.2301611303261919</v>
      </c>
      <c r="AA157">
        <f t="shared" si="122"/>
        <v>1.1984021352397782</v>
      </c>
      <c r="AB157">
        <f t="shared" si="123"/>
        <v>1.2161841119913246</v>
      </c>
      <c r="AC157">
        <f t="shared" si="124"/>
        <v>0.53910356513938229</v>
      </c>
      <c r="AD157">
        <f t="shared" si="125"/>
        <v>0.11702528052257931</v>
      </c>
    </row>
    <row r="158" spans="1:30">
      <c r="A158" t="s">
        <v>132</v>
      </c>
      <c r="B158" t="s">
        <v>37</v>
      </c>
      <c r="C158" t="s">
        <v>38</v>
      </c>
      <c r="D158" t="s">
        <v>39</v>
      </c>
      <c r="E158" s="2">
        <v>46085</v>
      </c>
      <c r="F158" t="s">
        <v>40</v>
      </c>
      <c r="G158">
        <v>116</v>
      </c>
      <c r="H158">
        <v>86.1</v>
      </c>
      <c r="I158">
        <v>-1957.8</v>
      </c>
      <c r="J158">
        <v>70</v>
      </c>
      <c r="K158">
        <v>0</v>
      </c>
      <c r="L158">
        <v>3.2</v>
      </c>
      <c r="M158">
        <v>0</v>
      </c>
      <c r="N158">
        <v>73.2</v>
      </c>
      <c r="O158">
        <v>115.38</v>
      </c>
      <c r="P158">
        <v>115.38</v>
      </c>
      <c r="Q158">
        <v>3.78</v>
      </c>
      <c r="R158">
        <v>3.93</v>
      </c>
      <c r="S158">
        <f t="shared" si="117"/>
        <v>0.68956250525225216</v>
      </c>
      <c r="T158">
        <f t="shared" si="118"/>
        <v>1.9064437120992748</v>
      </c>
      <c r="U158">
        <f t="shared" si="105"/>
        <v>0</v>
      </c>
      <c r="V158">
        <f t="shared" si="119"/>
        <v>0.34052797287985348</v>
      </c>
      <c r="W158" t="str">
        <f t="shared" si="106"/>
        <v/>
      </c>
      <c r="X158">
        <f t="shared" si="120"/>
        <v>1.2461436490290287</v>
      </c>
      <c r="Y158" t="str">
        <f t="shared" si="107"/>
        <v/>
      </c>
      <c r="Z158">
        <f t="shared" si="121"/>
        <v>1.5945239008313887</v>
      </c>
      <c r="AA158">
        <f t="shared" si="122"/>
        <v>1.1092753636966459</v>
      </c>
      <c r="AB158">
        <f t="shared" si="123"/>
        <v>4.6271881375036482E-2</v>
      </c>
      <c r="AC158">
        <f t="shared" si="124"/>
        <v>0.27329634182809154</v>
      </c>
      <c r="AD158">
        <f t="shared" si="125"/>
        <v>0.52088848629442286</v>
      </c>
    </row>
    <row r="159" spans="1:30">
      <c r="A159" t="s">
        <v>133</v>
      </c>
      <c r="B159" t="s">
        <v>31</v>
      </c>
      <c r="C159" t="s">
        <v>32</v>
      </c>
      <c r="D159" t="s">
        <v>33</v>
      </c>
      <c r="E159" s="2">
        <v>46085</v>
      </c>
      <c r="F159" t="s">
        <v>34</v>
      </c>
      <c r="G159">
        <v>154.80000000000001</v>
      </c>
      <c r="H159">
        <v>101.4</v>
      </c>
      <c r="I159">
        <v>-1957.8</v>
      </c>
      <c r="J159">
        <v>69.5</v>
      </c>
      <c r="K159">
        <v>0</v>
      </c>
      <c r="L159">
        <v>1.1000000000000001</v>
      </c>
      <c r="M159">
        <v>0</v>
      </c>
      <c r="N159">
        <v>70.599999999999994</v>
      </c>
      <c r="O159">
        <v>114.8</v>
      </c>
      <c r="P159">
        <v>114.72</v>
      </c>
      <c r="Q159">
        <v>8.3000000000000007</v>
      </c>
      <c r="R159">
        <v>8.2799999999999994</v>
      </c>
      <c r="S159">
        <f t="shared" ref="S159:S179" si="126">IF(OR(G159=0,G159=""),"",ABS((G159-152.740594)/5.729485))</f>
        <v>0.35943998457104326</v>
      </c>
      <c r="T159">
        <f t="shared" ref="T159:T179" si="127">IF(OR(H159=0,H159=""),"",ABS((H159-96.426733)/5.037499))</f>
        <v>0.98724922823806149</v>
      </c>
      <c r="U159">
        <f t="shared" si="105"/>
        <v>0</v>
      </c>
      <c r="V159">
        <f t="shared" ref="V159:V179" si="128">IF(OR(J159=0,J159=""),"",ABS((J159-69.40099)/2.222902))</f>
        <v>4.4540874946357029E-2</v>
      </c>
      <c r="W159" t="str">
        <f t="shared" si="106"/>
        <v/>
      </c>
      <c r="X159">
        <f t="shared" ref="X159:X179" si="129">IF(OR(L159=0,L159=""),"",ABS((L159-1.849749)/1.393269))</f>
        <v>0.53812221473383814</v>
      </c>
      <c r="Y159" t="str">
        <f t="shared" si="107"/>
        <v/>
      </c>
      <c r="Z159">
        <f t="shared" ref="Z159:Z179" si="130">IF(OR(N159=0,N159=""),"",ABS((N159-69.231188)/2.519549))</f>
        <v>0.54327659434287301</v>
      </c>
      <c r="AA159">
        <f t="shared" ref="AA159:AA179" si="131">IF(OR(O159=0,O159=""),"",ABS((O159-113.18)/1.73698))</f>
        <v>0.93265322571358933</v>
      </c>
      <c r="AB159">
        <f t="shared" ref="AB159:AB179" si="132">IF(OR(P159=0,P159=""),"",ABS((P159-114.765594)/1.645198))</f>
        <v>2.7713381611206761E-2</v>
      </c>
      <c r="AC159">
        <f t="shared" ref="AC159:AC179" si="133">IF(OR(Q159=0,Q159=""),"",ABS((Q159-8.040149)/0.55663))</f>
        <v>0.46682895280527675</v>
      </c>
      <c r="AD159">
        <f t="shared" ref="AD159:AD179" si="134">IF(OR(R159=0,R159=""),"",ABS((R159-7.915297)/0.399795))</f>
        <v>0.9122250153203505</v>
      </c>
    </row>
    <row r="160" spans="1:30">
      <c r="A160" t="s">
        <v>133</v>
      </c>
      <c r="B160" t="s">
        <v>31</v>
      </c>
      <c r="C160" t="s">
        <v>32</v>
      </c>
      <c r="D160" t="s">
        <v>33</v>
      </c>
      <c r="E160" s="2">
        <v>46085</v>
      </c>
      <c r="F160" t="s">
        <v>40</v>
      </c>
      <c r="G160">
        <v>152.19999999999999</v>
      </c>
      <c r="H160">
        <v>99.6</v>
      </c>
      <c r="I160">
        <v>-1957.8</v>
      </c>
      <c r="J160">
        <v>68.2</v>
      </c>
      <c r="K160">
        <v>0</v>
      </c>
      <c r="L160">
        <v>1</v>
      </c>
      <c r="M160">
        <v>0</v>
      </c>
      <c r="N160">
        <v>69.2</v>
      </c>
      <c r="O160">
        <v>115.09</v>
      </c>
      <c r="P160">
        <v>114.87</v>
      </c>
      <c r="Q160">
        <v>7.62</v>
      </c>
      <c r="R160">
        <v>8.06</v>
      </c>
      <c r="S160">
        <f t="shared" si="126"/>
        <v>9.4352982859715773E-2</v>
      </c>
      <c r="T160">
        <f t="shared" si="127"/>
        <v>0.62992905805043242</v>
      </c>
      <c r="U160">
        <f t="shared" si="105"/>
        <v>0</v>
      </c>
      <c r="V160">
        <f t="shared" si="128"/>
        <v>0.54028022827816535</v>
      </c>
      <c r="W160" t="str">
        <f t="shared" si="106"/>
        <v/>
      </c>
      <c r="X160">
        <f t="shared" si="129"/>
        <v>0.60989586361284143</v>
      </c>
      <c r="Y160" t="str">
        <f t="shared" si="107"/>
        <v/>
      </c>
      <c r="Z160">
        <f t="shared" si="130"/>
        <v>1.2378405817866695E-2</v>
      </c>
      <c r="AA160">
        <f t="shared" si="131"/>
        <v>1.0996096673536808</v>
      </c>
      <c r="AB160">
        <f t="shared" si="132"/>
        <v>6.3461054535692091E-2</v>
      </c>
      <c r="AC160">
        <f t="shared" si="133"/>
        <v>0.75480840055332887</v>
      </c>
      <c r="AD160">
        <f t="shared" si="134"/>
        <v>0.36194299578534173</v>
      </c>
    </row>
    <row r="161" spans="1:30">
      <c r="A161" t="s">
        <v>134</v>
      </c>
      <c r="B161" t="s">
        <v>31</v>
      </c>
      <c r="C161" t="s">
        <v>32</v>
      </c>
      <c r="D161" t="s">
        <v>33</v>
      </c>
      <c r="E161" s="2">
        <v>46085</v>
      </c>
      <c r="F161" t="s">
        <v>40</v>
      </c>
      <c r="G161">
        <v>149.5</v>
      </c>
      <c r="H161">
        <v>97.3</v>
      </c>
      <c r="I161">
        <v>-1957.8</v>
      </c>
      <c r="J161">
        <v>68.2</v>
      </c>
      <c r="K161">
        <v>0</v>
      </c>
      <c r="L161">
        <v>1</v>
      </c>
      <c r="M161">
        <v>0</v>
      </c>
      <c r="N161">
        <v>69.2</v>
      </c>
      <c r="O161">
        <v>111.72</v>
      </c>
      <c r="P161">
        <v>113.11</v>
      </c>
      <c r="Q161">
        <v>8.1999999999999993</v>
      </c>
      <c r="R161">
        <v>7.86</v>
      </c>
      <c r="S161">
        <f t="shared" si="126"/>
        <v>0.56559952596088259</v>
      </c>
      <c r="T161">
        <f t="shared" si="127"/>
        <v>0.17335328503290987</v>
      </c>
      <c r="U161">
        <f t="shared" si="105"/>
        <v>0</v>
      </c>
      <c r="V161">
        <f t="shared" si="128"/>
        <v>0.54028022827816535</v>
      </c>
      <c r="W161" t="str">
        <f t="shared" si="106"/>
        <v/>
      </c>
      <c r="X161">
        <f t="shared" si="129"/>
        <v>0.60989586361284143</v>
      </c>
      <c r="Y161" t="str">
        <f t="shared" si="107"/>
        <v/>
      </c>
      <c r="Z161">
        <f t="shared" si="130"/>
        <v>1.2378405817866695E-2</v>
      </c>
      <c r="AA161">
        <f t="shared" si="131"/>
        <v>0.84053932687768884</v>
      </c>
      <c r="AB161">
        <f t="shared" si="132"/>
        <v>1.0063189962545502</v>
      </c>
      <c r="AC161">
        <f t="shared" si="133"/>
        <v>0.2871764008407735</v>
      </c>
      <c r="AD161">
        <f t="shared" si="134"/>
        <v>0.13831338561012391</v>
      </c>
    </row>
    <row r="162" spans="1:30">
      <c r="A162" t="s">
        <v>135</v>
      </c>
      <c r="B162" t="s">
        <v>31</v>
      </c>
      <c r="C162" t="s">
        <v>32</v>
      </c>
      <c r="D162" t="s">
        <v>33</v>
      </c>
      <c r="E162" s="2">
        <v>46085</v>
      </c>
      <c r="F162" t="s">
        <v>40</v>
      </c>
      <c r="G162">
        <v>148.6</v>
      </c>
      <c r="H162">
        <v>97.8</v>
      </c>
      <c r="I162">
        <v>-1957.8</v>
      </c>
      <c r="J162">
        <v>67.7</v>
      </c>
      <c r="K162">
        <v>0</v>
      </c>
      <c r="L162">
        <v>1.6</v>
      </c>
      <c r="M162">
        <v>0</v>
      </c>
      <c r="N162">
        <v>69.3</v>
      </c>
      <c r="O162">
        <v>111.72</v>
      </c>
      <c r="P162">
        <v>113.11</v>
      </c>
      <c r="Q162">
        <v>8.35</v>
      </c>
      <c r="R162">
        <v>8.06</v>
      </c>
      <c r="S162">
        <f t="shared" si="126"/>
        <v>0.72268170699460643</v>
      </c>
      <c r="T162">
        <f t="shared" si="127"/>
        <v>0.27260888786280618</v>
      </c>
      <c r="U162">
        <f t="shared" si="105"/>
        <v>0</v>
      </c>
      <c r="V162">
        <f t="shared" si="128"/>
        <v>0.76521142182605906</v>
      </c>
      <c r="W162" t="str">
        <f t="shared" si="106"/>
        <v/>
      </c>
      <c r="X162">
        <f t="shared" si="129"/>
        <v>0.17925397033882184</v>
      </c>
      <c r="Y162" t="str">
        <f t="shared" si="107"/>
        <v/>
      </c>
      <c r="Z162">
        <f t="shared" si="130"/>
        <v>2.7311237050755551E-2</v>
      </c>
      <c r="AA162">
        <f t="shared" si="131"/>
        <v>0.84053932687768884</v>
      </c>
      <c r="AB162">
        <f t="shared" si="132"/>
        <v>1.0063189962545502</v>
      </c>
      <c r="AC162">
        <f t="shared" si="133"/>
        <v>0.55665522878752516</v>
      </c>
      <c r="AD162">
        <f t="shared" si="134"/>
        <v>0.36194299578534173</v>
      </c>
    </row>
    <row r="163" spans="1:30">
      <c r="A163" t="s">
        <v>136</v>
      </c>
      <c r="B163" t="s">
        <v>31</v>
      </c>
      <c r="C163" t="s">
        <v>32</v>
      </c>
      <c r="D163" t="s">
        <v>33</v>
      </c>
      <c r="E163" s="2">
        <v>46085</v>
      </c>
      <c r="F163" t="s">
        <v>40</v>
      </c>
      <c r="G163">
        <v>149</v>
      </c>
      <c r="H163">
        <v>97.3</v>
      </c>
      <c r="I163">
        <v>-1957.8</v>
      </c>
      <c r="J163">
        <v>68.599999999999994</v>
      </c>
      <c r="K163">
        <v>0</v>
      </c>
      <c r="L163">
        <v>2.1</v>
      </c>
      <c r="M163">
        <v>0</v>
      </c>
      <c r="N163">
        <v>70.7</v>
      </c>
      <c r="O163">
        <v>111.57</v>
      </c>
      <c r="P163">
        <v>113.11</v>
      </c>
      <c r="Q163">
        <v>8.2799999999999994</v>
      </c>
      <c r="R163">
        <v>8.0299999999999994</v>
      </c>
      <c r="S163">
        <f t="shared" si="126"/>
        <v>0.65286740431295087</v>
      </c>
      <c r="T163">
        <f t="shared" si="127"/>
        <v>0.17335328503290987</v>
      </c>
      <c r="U163">
        <f t="shared" si="105"/>
        <v>0</v>
      </c>
      <c r="V163">
        <f t="shared" si="128"/>
        <v>0.36033527343985422</v>
      </c>
      <c r="W163" t="str">
        <f t="shared" si="106"/>
        <v/>
      </c>
      <c r="X163">
        <f t="shared" si="129"/>
        <v>0.17961427405619446</v>
      </c>
      <c r="Y163" t="str">
        <f t="shared" si="107"/>
        <v/>
      </c>
      <c r="Z163">
        <f t="shared" si="130"/>
        <v>0.58296623721150087</v>
      </c>
      <c r="AA163">
        <f t="shared" si="131"/>
        <v>0.92689610703635827</v>
      </c>
      <c r="AB163">
        <f t="shared" si="132"/>
        <v>1.0063189962545502</v>
      </c>
      <c r="AC163">
        <f t="shared" si="133"/>
        <v>0.43089844241237418</v>
      </c>
      <c r="AD163">
        <f t="shared" si="134"/>
        <v>0.28690453857601911</v>
      </c>
    </row>
    <row r="164" spans="1:30">
      <c r="A164" t="s">
        <v>137</v>
      </c>
      <c r="B164" t="s">
        <v>31</v>
      </c>
      <c r="C164" t="s">
        <v>32</v>
      </c>
      <c r="D164" t="s">
        <v>33</v>
      </c>
      <c r="E164" s="2">
        <v>46085</v>
      </c>
      <c r="F164" t="s">
        <v>40</v>
      </c>
      <c r="G164">
        <v>145.5</v>
      </c>
      <c r="H164">
        <v>95.1</v>
      </c>
      <c r="I164">
        <v>-1957.8</v>
      </c>
      <c r="J164">
        <v>67.3</v>
      </c>
      <c r="K164">
        <v>0</v>
      </c>
      <c r="L164">
        <v>1.9</v>
      </c>
      <c r="M164">
        <v>0</v>
      </c>
      <c r="N164">
        <v>69.2</v>
      </c>
      <c r="O164">
        <v>111.64</v>
      </c>
      <c r="P164">
        <v>113.11</v>
      </c>
      <c r="Q164">
        <v>8.15</v>
      </c>
      <c r="R164">
        <v>7.86</v>
      </c>
      <c r="S164">
        <f t="shared" si="126"/>
        <v>1.2637425527774289</v>
      </c>
      <c r="T164">
        <f t="shared" si="127"/>
        <v>0.26337136741863459</v>
      </c>
      <c r="U164">
        <f t="shared" si="105"/>
        <v>0</v>
      </c>
      <c r="V164">
        <f t="shared" si="128"/>
        <v>0.94515637666437657</v>
      </c>
      <c r="W164" t="str">
        <f t="shared" si="106"/>
        <v/>
      </c>
      <c r="X164">
        <f t="shared" si="129"/>
        <v>3.6066976298187801E-2</v>
      </c>
      <c r="Y164" t="str">
        <f t="shared" si="107"/>
        <v/>
      </c>
      <c r="Z164">
        <f t="shared" si="130"/>
        <v>1.2378405817866695E-2</v>
      </c>
      <c r="AA164">
        <f t="shared" si="131"/>
        <v>0.88659627629564319</v>
      </c>
      <c r="AB164">
        <f t="shared" si="132"/>
        <v>1.0063189962545502</v>
      </c>
      <c r="AC164">
        <f t="shared" si="133"/>
        <v>0.19735012485852507</v>
      </c>
      <c r="AD164">
        <f t="shared" si="134"/>
        <v>0.13831338561012391</v>
      </c>
    </row>
    <row r="165" spans="1:30">
      <c r="A165" t="s">
        <v>138</v>
      </c>
      <c r="B165" t="s">
        <v>31</v>
      </c>
      <c r="C165" t="s">
        <v>32</v>
      </c>
      <c r="D165" t="s">
        <v>33</v>
      </c>
      <c r="E165" s="2">
        <v>46085</v>
      </c>
      <c r="F165" t="s">
        <v>40</v>
      </c>
      <c r="G165">
        <v>153.9</v>
      </c>
      <c r="H165">
        <v>90.6</v>
      </c>
      <c r="I165">
        <v>-1957.8</v>
      </c>
      <c r="J165">
        <v>66.400000000000006</v>
      </c>
      <c r="K165">
        <v>0</v>
      </c>
      <c r="L165">
        <v>2.4</v>
      </c>
      <c r="M165">
        <v>0</v>
      </c>
      <c r="N165">
        <v>68.8</v>
      </c>
      <c r="O165">
        <v>112.08</v>
      </c>
      <c r="P165">
        <v>113.48</v>
      </c>
      <c r="Q165">
        <v>7.84</v>
      </c>
      <c r="R165">
        <v>7.64</v>
      </c>
      <c r="S165">
        <f t="shared" si="126"/>
        <v>0.20235780353731939</v>
      </c>
      <c r="T165">
        <f t="shared" si="127"/>
        <v>1.1566717928877015</v>
      </c>
      <c r="U165">
        <f t="shared" si="105"/>
        <v>0</v>
      </c>
      <c r="V165">
        <f t="shared" si="128"/>
        <v>1.3500325250505814</v>
      </c>
      <c r="W165" t="str">
        <f t="shared" si="106"/>
        <v/>
      </c>
      <c r="X165">
        <f t="shared" si="129"/>
        <v>0.39493522069320408</v>
      </c>
      <c r="Y165" t="str">
        <f t="shared" si="107"/>
        <v/>
      </c>
      <c r="Z165">
        <f t="shared" si="130"/>
        <v>0.17113697729236696</v>
      </c>
      <c r="AA165">
        <f t="shared" si="131"/>
        <v>0.63328305449689037</v>
      </c>
      <c r="AB165">
        <f t="shared" si="132"/>
        <v>0.78142205375887219</v>
      </c>
      <c r="AC165">
        <f t="shared" si="133"/>
        <v>0.35957278623142791</v>
      </c>
      <c r="AD165">
        <f t="shared" si="134"/>
        <v>0.68859540514513717</v>
      </c>
    </row>
    <row r="166" spans="1:30">
      <c r="A166" t="s">
        <v>139</v>
      </c>
      <c r="B166" t="s">
        <v>31</v>
      </c>
      <c r="C166" t="s">
        <v>32</v>
      </c>
      <c r="D166" t="s">
        <v>33</v>
      </c>
      <c r="E166" s="2">
        <v>46085</v>
      </c>
      <c r="F166" t="s">
        <v>40</v>
      </c>
      <c r="G166">
        <v>148.1</v>
      </c>
      <c r="H166">
        <v>96.9</v>
      </c>
      <c r="I166">
        <v>-1957.8</v>
      </c>
      <c r="J166">
        <v>66.400000000000006</v>
      </c>
      <c r="K166">
        <v>0</v>
      </c>
      <c r="L166">
        <v>2.2000000000000002</v>
      </c>
      <c r="M166">
        <v>0</v>
      </c>
      <c r="N166">
        <v>68.599999999999994</v>
      </c>
      <c r="O166">
        <v>114.43</v>
      </c>
      <c r="P166">
        <v>113.4</v>
      </c>
      <c r="Q166">
        <v>8.11</v>
      </c>
      <c r="R166">
        <v>7.84</v>
      </c>
      <c r="S166">
        <f t="shared" si="126"/>
        <v>0.80994958534667472</v>
      </c>
      <c r="T166">
        <f t="shared" si="127"/>
        <v>9.3948802768994491E-2</v>
      </c>
      <c r="U166">
        <f t="shared" si="105"/>
        <v>0</v>
      </c>
      <c r="V166">
        <f t="shared" si="128"/>
        <v>1.3500325250505814</v>
      </c>
      <c r="W166" t="str">
        <f t="shared" si="106"/>
        <v/>
      </c>
      <c r="X166">
        <f t="shared" si="129"/>
        <v>0.25138792293519779</v>
      </c>
      <c r="Y166" t="str">
        <f t="shared" si="107"/>
        <v/>
      </c>
      <c r="Z166">
        <f t="shared" si="130"/>
        <v>0.2505162630296171</v>
      </c>
      <c r="AA166">
        <f t="shared" si="131"/>
        <v>0.71963983465555159</v>
      </c>
      <c r="AB166">
        <f t="shared" si="132"/>
        <v>0.8300484197038821</v>
      </c>
      <c r="AC166">
        <f t="shared" si="133"/>
        <v>0.12548910407272315</v>
      </c>
      <c r="AD166">
        <f t="shared" si="134"/>
        <v>0.18833902374967157</v>
      </c>
    </row>
    <row r="167" spans="1:30">
      <c r="A167" t="s">
        <v>140</v>
      </c>
      <c r="B167" t="s">
        <v>31</v>
      </c>
      <c r="C167" t="s">
        <v>32</v>
      </c>
      <c r="D167" t="s">
        <v>33</v>
      </c>
      <c r="E167" s="2">
        <v>46085</v>
      </c>
      <c r="F167" t="s">
        <v>40</v>
      </c>
      <c r="G167">
        <v>145.9</v>
      </c>
      <c r="H167">
        <v>94.6</v>
      </c>
      <c r="I167">
        <v>-1957.8</v>
      </c>
      <c r="J167">
        <v>65.900000000000006</v>
      </c>
      <c r="K167">
        <v>0</v>
      </c>
      <c r="L167">
        <v>2.9</v>
      </c>
      <c r="M167">
        <v>0</v>
      </c>
      <c r="N167">
        <v>68.8</v>
      </c>
      <c r="O167">
        <v>114.94</v>
      </c>
      <c r="P167">
        <v>114.87</v>
      </c>
      <c r="Q167">
        <v>7.86</v>
      </c>
      <c r="R167">
        <v>7.76</v>
      </c>
      <c r="S167">
        <f t="shared" si="126"/>
        <v>1.1939282500957733</v>
      </c>
      <c r="T167">
        <f t="shared" si="127"/>
        <v>0.36262697024853091</v>
      </c>
      <c r="U167">
        <f t="shared" si="105"/>
        <v>0</v>
      </c>
      <c r="V167">
        <f t="shared" si="128"/>
        <v>1.5749637185984751</v>
      </c>
      <c r="W167" t="str">
        <f t="shared" si="106"/>
        <v/>
      </c>
      <c r="X167">
        <f t="shared" si="129"/>
        <v>0.75380346508822038</v>
      </c>
      <c r="Y167" t="str">
        <f t="shared" si="107"/>
        <v/>
      </c>
      <c r="Z167">
        <f t="shared" si="130"/>
        <v>0.17113697729236696</v>
      </c>
      <c r="AA167">
        <f t="shared" si="131"/>
        <v>1.0132528871950115</v>
      </c>
      <c r="AB167">
        <f t="shared" si="132"/>
        <v>6.3461054535692091E-2</v>
      </c>
      <c r="AC167">
        <f t="shared" si="133"/>
        <v>0.32364227583852689</v>
      </c>
      <c r="AD167">
        <f t="shared" si="134"/>
        <v>0.38844157630785781</v>
      </c>
    </row>
    <row r="168" spans="1:30">
      <c r="A168" t="s">
        <v>141</v>
      </c>
      <c r="B168" t="s">
        <v>31</v>
      </c>
      <c r="C168" t="s">
        <v>32</v>
      </c>
      <c r="D168" t="s">
        <v>33</v>
      </c>
      <c r="E168" s="2">
        <v>46085</v>
      </c>
      <c r="F168" t="s">
        <v>34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f t="shared" si="126"/>
        <v/>
      </c>
      <c r="T168" t="str">
        <f t="shared" si="127"/>
        <v/>
      </c>
      <c r="U168" t="str">
        <f t="shared" si="105"/>
        <v/>
      </c>
      <c r="V168" t="str">
        <f t="shared" si="128"/>
        <v/>
      </c>
      <c r="W168" t="str">
        <f t="shared" si="106"/>
        <v/>
      </c>
      <c r="X168" t="str">
        <f t="shared" si="129"/>
        <v/>
      </c>
      <c r="Y168" t="str">
        <f t="shared" si="107"/>
        <v/>
      </c>
      <c r="Z168" t="str">
        <f t="shared" si="130"/>
        <v/>
      </c>
      <c r="AA168" t="str">
        <f t="shared" si="131"/>
        <v/>
      </c>
      <c r="AB168" t="str">
        <f t="shared" si="132"/>
        <v/>
      </c>
      <c r="AC168" t="str">
        <f t="shared" si="133"/>
        <v/>
      </c>
      <c r="AD168" t="str">
        <f t="shared" si="134"/>
        <v/>
      </c>
    </row>
    <row r="169" spans="1:30">
      <c r="A169" t="s">
        <v>141</v>
      </c>
      <c r="B169" t="s">
        <v>31</v>
      </c>
      <c r="C169" t="s">
        <v>32</v>
      </c>
      <c r="D169" t="s">
        <v>33</v>
      </c>
      <c r="E169" s="2">
        <v>46085</v>
      </c>
      <c r="F169" t="s">
        <v>34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tr">
        <f t="shared" si="126"/>
        <v/>
      </c>
      <c r="T169" t="str">
        <f t="shared" si="127"/>
        <v/>
      </c>
      <c r="U169" t="str">
        <f t="shared" si="105"/>
        <v/>
      </c>
      <c r="V169" t="str">
        <f t="shared" si="128"/>
        <v/>
      </c>
      <c r="W169" t="str">
        <f t="shared" si="106"/>
        <v/>
      </c>
      <c r="X169" t="str">
        <f t="shared" si="129"/>
        <v/>
      </c>
      <c r="Y169" t="str">
        <f t="shared" si="107"/>
        <v/>
      </c>
      <c r="Z169" t="str">
        <f t="shared" si="130"/>
        <v/>
      </c>
      <c r="AA169" t="str">
        <f t="shared" si="131"/>
        <v/>
      </c>
      <c r="AB169" t="str">
        <f t="shared" si="132"/>
        <v/>
      </c>
      <c r="AC169" t="str">
        <f t="shared" si="133"/>
        <v/>
      </c>
      <c r="AD169" t="str">
        <f t="shared" si="134"/>
        <v/>
      </c>
    </row>
    <row r="170" spans="1:30">
      <c r="A170" t="s">
        <v>141</v>
      </c>
      <c r="B170" t="s">
        <v>31</v>
      </c>
      <c r="C170" t="s">
        <v>32</v>
      </c>
      <c r="D170" t="s">
        <v>33</v>
      </c>
      <c r="E170" s="2">
        <v>46085</v>
      </c>
      <c r="F170" t="s">
        <v>34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f t="shared" si="126"/>
        <v/>
      </c>
      <c r="T170" t="str">
        <f t="shared" si="127"/>
        <v/>
      </c>
      <c r="U170" t="str">
        <f t="shared" si="105"/>
        <v/>
      </c>
      <c r="V170" t="str">
        <f t="shared" si="128"/>
        <v/>
      </c>
      <c r="W170" t="str">
        <f t="shared" si="106"/>
        <v/>
      </c>
      <c r="X170" t="str">
        <f t="shared" si="129"/>
        <v/>
      </c>
      <c r="Y170" t="str">
        <f t="shared" si="107"/>
        <v/>
      </c>
      <c r="Z170" t="str">
        <f t="shared" si="130"/>
        <v/>
      </c>
      <c r="AA170" t="str">
        <f t="shared" si="131"/>
        <v/>
      </c>
      <c r="AB170" t="str">
        <f t="shared" si="132"/>
        <v/>
      </c>
      <c r="AC170" t="str">
        <f t="shared" si="133"/>
        <v/>
      </c>
      <c r="AD170" t="str">
        <f t="shared" si="134"/>
        <v/>
      </c>
    </row>
    <row r="171" spans="1:30">
      <c r="A171" t="s">
        <v>142</v>
      </c>
      <c r="B171" t="s">
        <v>31</v>
      </c>
      <c r="C171" t="s">
        <v>32</v>
      </c>
      <c r="D171" t="s">
        <v>33</v>
      </c>
      <c r="E171" s="2">
        <v>46085</v>
      </c>
      <c r="F171" t="s">
        <v>40</v>
      </c>
      <c r="G171">
        <v>152.19999999999999</v>
      </c>
      <c r="H171">
        <v>96.9</v>
      </c>
      <c r="I171">
        <v>-1957.8</v>
      </c>
      <c r="J171">
        <v>66.8</v>
      </c>
      <c r="K171">
        <v>0</v>
      </c>
      <c r="L171">
        <v>2.4</v>
      </c>
      <c r="M171">
        <v>0</v>
      </c>
      <c r="N171">
        <v>69.2</v>
      </c>
      <c r="O171">
        <v>114.8</v>
      </c>
      <c r="P171">
        <v>115.02</v>
      </c>
      <c r="Q171">
        <v>8.08</v>
      </c>
      <c r="R171">
        <v>7.84</v>
      </c>
      <c r="S171">
        <f t="shared" si="126"/>
        <v>9.4352982859715773E-2</v>
      </c>
      <c r="T171">
        <f t="shared" si="127"/>
        <v>9.3948802768994491E-2</v>
      </c>
      <c r="U171">
        <f t="shared" si="105"/>
        <v>0</v>
      </c>
      <c r="V171">
        <f t="shared" si="128"/>
        <v>1.1700875702122702</v>
      </c>
      <c r="W171" t="str">
        <f t="shared" si="106"/>
        <v/>
      </c>
      <c r="X171">
        <f t="shared" si="129"/>
        <v>0.39493522069320408</v>
      </c>
      <c r="Y171" t="str">
        <f t="shared" si="107"/>
        <v/>
      </c>
      <c r="Z171">
        <f t="shared" si="130"/>
        <v>1.2378405817866695E-2</v>
      </c>
      <c r="AA171">
        <f t="shared" si="131"/>
        <v>0.93265322571358933</v>
      </c>
      <c r="AB171">
        <f t="shared" si="132"/>
        <v>0.15463549068258228</v>
      </c>
      <c r="AC171">
        <f t="shared" si="133"/>
        <v>7.1593338483374111E-2</v>
      </c>
      <c r="AD171">
        <f t="shared" si="134"/>
        <v>0.18833902374967157</v>
      </c>
    </row>
    <row r="172" spans="1:30">
      <c r="A172" t="s">
        <v>141</v>
      </c>
      <c r="B172" t="s">
        <v>31</v>
      </c>
      <c r="C172" t="s">
        <v>32</v>
      </c>
      <c r="D172" t="s">
        <v>33</v>
      </c>
      <c r="E172" s="2">
        <v>46085</v>
      </c>
      <c r="F172" t="s">
        <v>34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f t="shared" si="126"/>
        <v/>
      </c>
      <c r="T172" t="str">
        <f t="shared" si="127"/>
        <v/>
      </c>
      <c r="U172" t="str">
        <f t="shared" si="105"/>
        <v/>
      </c>
      <c r="V172" t="str">
        <f t="shared" si="128"/>
        <v/>
      </c>
      <c r="W172" t="str">
        <f t="shared" si="106"/>
        <v/>
      </c>
      <c r="X172" t="str">
        <f t="shared" si="129"/>
        <v/>
      </c>
      <c r="Y172" t="str">
        <f t="shared" si="107"/>
        <v/>
      </c>
      <c r="Z172" t="str">
        <f t="shared" si="130"/>
        <v/>
      </c>
      <c r="AA172" t="str">
        <f t="shared" si="131"/>
        <v/>
      </c>
      <c r="AB172" t="str">
        <f t="shared" si="132"/>
        <v/>
      </c>
      <c r="AC172" t="str">
        <f t="shared" si="133"/>
        <v/>
      </c>
      <c r="AD172" t="str">
        <f t="shared" si="134"/>
        <v/>
      </c>
    </row>
    <row r="173" spans="1:30">
      <c r="A173" t="s">
        <v>143</v>
      </c>
      <c r="B173" t="s">
        <v>31</v>
      </c>
      <c r="C173" t="s">
        <v>32</v>
      </c>
      <c r="D173" t="s">
        <v>33</v>
      </c>
      <c r="E173" s="2">
        <v>46085</v>
      </c>
      <c r="F173" t="s">
        <v>40</v>
      </c>
      <c r="G173">
        <v>157.1</v>
      </c>
      <c r="H173">
        <v>101.4</v>
      </c>
      <c r="I173">
        <v>-1957.8</v>
      </c>
      <c r="J173">
        <v>67.3</v>
      </c>
      <c r="K173">
        <v>0</v>
      </c>
      <c r="L173">
        <v>2.2000000000000002</v>
      </c>
      <c r="M173">
        <v>0</v>
      </c>
      <c r="N173">
        <v>69.5</v>
      </c>
      <c r="O173">
        <v>111.06</v>
      </c>
      <c r="P173">
        <v>118.02</v>
      </c>
      <c r="Q173">
        <v>10.210000000000001</v>
      </c>
      <c r="R173">
        <v>8.74</v>
      </c>
      <c r="S173">
        <f t="shared" si="126"/>
        <v>0.7608722249905544</v>
      </c>
      <c r="T173">
        <f t="shared" si="127"/>
        <v>0.98724922823806149</v>
      </c>
      <c r="U173">
        <f t="shared" si="105"/>
        <v>0</v>
      </c>
      <c r="V173">
        <f t="shared" si="128"/>
        <v>0.94515637666437657</v>
      </c>
      <c r="W173" t="str">
        <f t="shared" si="106"/>
        <v/>
      </c>
      <c r="X173">
        <f t="shared" si="129"/>
        <v>0.25138792293519779</v>
      </c>
      <c r="Y173" t="str">
        <f t="shared" si="107"/>
        <v/>
      </c>
      <c r="Z173">
        <f t="shared" si="130"/>
        <v>0.10669052278800568</v>
      </c>
      <c r="AA173">
        <f t="shared" si="131"/>
        <v>1.2205091595758182</v>
      </c>
      <c r="AB173">
        <f t="shared" si="132"/>
        <v>1.9781242136204902</v>
      </c>
      <c r="AC173">
        <f t="shared" si="133"/>
        <v>3.8981926953272397</v>
      </c>
      <c r="AD173">
        <f t="shared" si="134"/>
        <v>2.0628146925299227</v>
      </c>
    </row>
    <row r="174" spans="1:30">
      <c r="A174" t="s">
        <v>141</v>
      </c>
      <c r="B174" t="s">
        <v>31</v>
      </c>
      <c r="C174" t="s">
        <v>32</v>
      </c>
      <c r="D174" t="s">
        <v>33</v>
      </c>
      <c r="E174" s="2">
        <v>46085</v>
      </c>
      <c r="F174" t="s">
        <v>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f t="shared" si="126"/>
        <v/>
      </c>
      <c r="T174" t="str">
        <f t="shared" si="127"/>
        <v/>
      </c>
      <c r="U174" t="str">
        <f t="shared" si="105"/>
        <v/>
      </c>
      <c r="V174" t="str">
        <f t="shared" si="128"/>
        <v/>
      </c>
      <c r="W174" t="str">
        <f t="shared" si="106"/>
        <v/>
      </c>
      <c r="X174" t="str">
        <f t="shared" si="129"/>
        <v/>
      </c>
      <c r="Y174" t="str">
        <f t="shared" si="107"/>
        <v/>
      </c>
      <c r="Z174" t="str">
        <f t="shared" si="130"/>
        <v/>
      </c>
      <c r="AA174" t="str">
        <f t="shared" si="131"/>
        <v/>
      </c>
      <c r="AB174" t="str">
        <f t="shared" si="132"/>
        <v/>
      </c>
      <c r="AC174" t="str">
        <f t="shared" si="133"/>
        <v/>
      </c>
      <c r="AD174" t="str">
        <f t="shared" si="134"/>
        <v/>
      </c>
    </row>
    <row r="175" spans="1:30">
      <c r="A175" t="s">
        <v>141</v>
      </c>
      <c r="B175" t="s">
        <v>31</v>
      </c>
      <c r="C175" t="s">
        <v>32</v>
      </c>
      <c r="D175" t="s">
        <v>33</v>
      </c>
      <c r="E175" s="2">
        <v>46085</v>
      </c>
      <c r="F175" t="s">
        <v>40</v>
      </c>
      <c r="G175">
        <v>164.2</v>
      </c>
      <c r="H175">
        <v>101</v>
      </c>
      <c r="I175">
        <v>-1957.8</v>
      </c>
      <c r="J175">
        <v>70.400000000000006</v>
      </c>
      <c r="K175">
        <v>0</v>
      </c>
      <c r="L175">
        <v>2.9</v>
      </c>
      <c r="M175">
        <v>0</v>
      </c>
      <c r="N175">
        <v>73.3</v>
      </c>
      <c r="O175">
        <v>115.75</v>
      </c>
      <c r="P175">
        <v>117.29</v>
      </c>
      <c r="Q175">
        <v>7.5</v>
      </c>
      <c r="R175">
        <v>7.76</v>
      </c>
      <c r="S175">
        <f t="shared" si="126"/>
        <v>2.0000760975899232</v>
      </c>
      <c r="T175">
        <f t="shared" si="127"/>
        <v>0.90784474597414333</v>
      </c>
      <c r="U175">
        <f t="shared" si="105"/>
        <v>0</v>
      </c>
      <c r="V175">
        <f t="shared" si="128"/>
        <v>0.44941702333256828</v>
      </c>
      <c r="W175" t="str">
        <f t="shared" si="106"/>
        <v/>
      </c>
      <c r="X175">
        <f t="shared" si="129"/>
        <v>0.75380346508822038</v>
      </c>
      <c r="Y175" t="str">
        <f t="shared" si="107"/>
        <v/>
      </c>
      <c r="Z175">
        <f t="shared" si="130"/>
        <v>1.6148969517957357</v>
      </c>
      <c r="AA175">
        <f t="shared" si="131"/>
        <v>1.4795795000518102</v>
      </c>
      <c r="AB175">
        <f t="shared" si="132"/>
        <v>1.5344086243722721</v>
      </c>
      <c r="AC175">
        <f t="shared" si="133"/>
        <v>0.97039146291072986</v>
      </c>
      <c r="AD175">
        <f t="shared" si="134"/>
        <v>0.38844157630785781</v>
      </c>
    </row>
    <row r="176" spans="1:30">
      <c r="A176" t="s">
        <v>144</v>
      </c>
      <c r="B176" t="s">
        <v>31</v>
      </c>
      <c r="C176" t="s">
        <v>32</v>
      </c>
      <c r="D176" t="s">
        <v>33</v>
      </c>
      <c r="E176" s="2">
        <v>46085</v>
      </c>
      <c r="F176" t="s">
        <v>40</v>
      </c>
      <c r="G176">
        <v>152.19999999999999</v>
      </c>
      <c r="H176">
        <v>100.5</v>
      </c>
      <c r="I176">
        <v>-1957.8</v>
      </c>
      <c r="J176">
        <v>70.400000000000006</v>
      </c>
      <c r="K176">
        <v>0</v>
      </c>
      <c r="L176">
        <v>0.1</v>
      </c>
      <c r="M176">
        <v>0</v>
      </c>
      <c r="N176">
        <v>70.3</v>
      </c>
      <c r="O176">
        <v>115.6</v>
      </c>
      <c r="P176">
        <v>117.14</v>
      </c>
      <c r="Q176">
        <v>8.1300000000000008</v>
      </c>
      <c r="R176">
        <v>7.84</v>
      </c>
      <c r="S176">
        <f t="shared" si="126"/>
        <v>9.4352982859715773E-2</v>
      </c>
      <c r="T176">
        <f t="shared" si="127"/>
        <v>0.80858914314424701</v>
      </c>
      <c r="U176">
        <f t="shared" si="105"/>
        <v>0</v>
      </c>
      <c r="V176">
        <f t="shared" si="128"/>
        <v>0.44941702333256828</v>
      </c>
      <c r="W176" t="str">
        <f t="shared" si="106"/>
        <v/>
      </c>
      <c r="X176">
        <f t="shared" si="129"/>
        <v>1.2558587035238709</v>
      </c>
      <c r="Y176" t="str">
        <f t="shared" si="107"/>
        <v/>
      </c>
      <c r="Z176">
        <f t="shared" si="130"/>
        <v>0.42420766573700058</v>
      </c>
      <c r="AA176">
        <f t="shared" si="131"/>
        <v>1.3932227198931406</v>
      </c>
      <c r="AB176">
        <f t="shared" si="132"/>
        <v>1.4432341882253732</v>
      </c>
      <c r="AC176">
        <f t="shared" si="133"/>
        <v>0.16141961446562572</v>
      </c>
      <c r="AD176">
        <f t="shared" si="134"/>
        <v>0.18833902374967157</v>
      </c>
    </row>
    <row r="177" spans="1:30">
      <c r="A177" t="s">
        <v>145</v>
      </c>
      <c r="B177" t="s">
        <v>31</v>
      </c>
      <c r="C177" t="s">
        <v>32</v>
      </c>
      <c r="D177" t="s">
        <v>33</v>
      </c>
      <c r="E177" s="2">
        <v>46085</v>
      </c>
      <c r="F177" t="s">
        <v>40</v>
      </c>
      <c r="G177">
        <v>149.9</v>
      </c>
      <c r="H177">
        <v>94.2</v>
      </c>
      <c r="I177">
        <v>-1957.8</v>
      </c>
      <c r="J177">
        <v>69.5</v>
      </c>
      <c r="K177">
        <v>0</v>
      </c>
      <c r="L177">
        <v>1</v>
      </c>
      <c r="M177">
        <v>0</v>
      </c>
      <c r="N177">
        <v>68.5</v>
      </c>
      <c r="O177">
        <v>115.53</v>
      </c>
      <c r="P177">
        <v>113.62</v>
      </c>
      <c r="Q177">
        <v>8.1300000000000008</v>
      </c>
      <c r="R177">
        <v>8.08</v>
      </c>
      <c r="S177">
        <f t="shared" si="126"/>
        <v>0.49578522327922692</v>
      </c>
      <c r="T177">
        <f t="shared" si="127"/>
        <v>0.4420314525124463</v>
      </c>
      <c r="U177">
        <f t="shared" si="105"/>
        <v>0</v>
      </c>
      <c r="V177">
        <f t="shared" si="128"/>
        <v>4.4540874946357029E-2</v>
      </c>
      <c r="W177" t="str">
        <f t="shared" si="106"/>
        <v/>
      </c>
      <c r="X177">
        <f t="shared" si="129"/>
        <v>0.60989586361284143</v>
      </c>
      <c r="Y177" t="str">
        <f t="shared" si="107"/>
        <v/>
      </c>
      <c r="Z177">
        <f t="shared" si="130"/>
        <v>0.29020590589823936</v>
      </c>
      <c r="AA177">
        <f t="shared" si="131"/>
        <v>1.3529228891524336</v>
      </c>
      <c r="AB177">
        <f t="shared" si="132"/>
        <v>0.69632591335510285</v>
      </c>
      <c r="AC177">
        <f t="shared" si="133"/>
        <v>0.16141961446562572</v>
      </c>
      <c r="AD177">
        <f t="shared" si="134"/>
        <v>0.41196863392488714</v>
      </c>
    </row>
    <row r="178" spans="1:30">
      <c r="A178" t="s">
        <v>146</v>
      </c>
      <c r="B178" t="s">
        <v>31</v>
      </c>
      <c r="C178" t="s">
        <v>32</v>
      </c>
      <c r="D178" t="s">
        <v>33</v>
      </c>
      <c r="E178" s="2">
        <v>46086</v>
      </c>
      <c r="F178" t="s">
        <v>40</v>
      </c>
      <c r="G178">
        <v>153.9</v>
      </c>
      <c r="H178">
        <v>99.2</v>
      </c>
      <c r="I178">
        <v>-1957.8</v>
      </c>
      <c r="J178">
        <v>68.2</v>
      </c>
      <c r="K178">
        <v>0</v>
      </c>
      <c r="L178">
        <v>1</v>
      </c>
      <c r="M178">
        <v>0</v>
      </c>
      <c r="N178">
        <v>67.2</v>
      </c>
      <c r="O178">
        <v>111.94</v>
      </c>
      <c r="P178">
        <v>113.48</v>
      </c>
      <c r="Q178">
        <v>8.4</v>
      </c>
      <c r="R178">
        <v>8.08</v>
      </c>
      <c r="S178">
        <f t="shared" si="126"/>
        <v>0.20235780353731939</v>
      </c>
      <c r="T178">
        <f t="shared" si="127"/>
        <v>0.55052457578651703</v>
      </c>
      <c r="U178">
        <f t="shared" si="105"/>
        <v>0</v>
      </c>
      <c r="V178">
        <f t="shared" si="128"/>
        <v>0.54028022827816535</v>
      </c>
      <c r="W178" t="str">
        <f t="shared" si="106"/>
        <v/>
      </c>
      <c r="X178">
        <f t="shared" si="129"/>
        <v>0.60989586361284143</v>
      </c>
      <c r="Y178" t="str">
        <f t="shared" si="107"/>
        <v/>
      </c>
      <c r="Z178">
        <f t="shared" si="130"/>
        <v>0.80617126319035681</v>
      </c>
      <c r="AA178">
        <f t="shared" si="131"/>
        <v>0.71388271597831243</v>
      </c>
      <c r="AB178">
        <f t="shared" si="132"/>
        <v>0.78142205375887219</v>
      </c>
      <c r="AC178">
        <f t="shared" si="133"/>
        <v>0.64648150476977673</v>
      </c>
      <c r="AD178">
        <f t="shared" si="134"/>
        <v>0.41196863392488714</v>
      </c>
    </row>
    <row r="179" spans="1:30">
      <c r="A179" t="s">
        <v>147</v>
      </c>
      <c r="B179" t="s">
        <v>31</v>
      </c>
      <c r="C179" t="s">
        <v>32</v>
      </c>
      <c r="D179" t="s">
        <v>33</v>
      </c>
      <c r="E179" s="2">
        <v>46086</v>
      </c>
      <c r="F179" t="s">
        <v>40</v>
      </c>
      <c r="G179">
        <v>160.19999999999999</v>
      </c>
      <c r="H179">
        <v>98.7</v>
      </c>
      <c r="I179">
        <v>-1957.8</v>
      </c>
      <c r="J179">
        <v>68.2</v>
      </c>
      <c r="K179">
        <v>0</v>
      </c>
      <c r="L179">
        <v>1.3</v>
      </c>
      <c r="M179">
        <v>0</v>
      </c>
      <c r="N179">
        <v>66.900000000000006</v>
      </c>
      <c r="O179">
        <v>115.46</v>
      </c>
      <c r="P179">
        <v>115.53</v>
      </c>
      <c r="Q179">
        <v>8.42</v>
      </c>
      <c r="R179">
        <v>8.08</v>
      </c>
      <c r="S179">
        <f t="shared" si="126"/>
        <v>1.3019330707733767</v>
      </c>
      <c r="T179">
        <f t="shared" si="127"/>
        <v>0.45126897295662072</v>
      </c>
      <c r="U179">
        <f t="shared" si="105"/>
        <v>0</v>
      </c>
      <c r="V179">
        <f t="shared" si="128"/>
        <v>0.54028022827816535</v>
      </c>
      <c r="W179" t="str">
        <f t="shared" si="106"/>
        <v/>
      </c>
      <c r="X179">
        <f t="shared" si="129"/>
        <v>0.39457491697583169</v>
      </c>
      <c r="Y179" t="str">
        <f t="shared" si="107"/>
        <v/>
      </c>
      <c r="Z179">
        <f t="shared" si="130"/>
        <v>0.92524019179622918</v>
      </c>
      <c r="AA179">
        <f t="shared" si="131"/>
        <v>1.3126230584117187</v>
      </c>
      <c r="AB179">
        <f t="shared" si="132"/>
        <v>0.46462857358202975</v>
      </c>
      <c r="AC179">
        <f t="shared" si="133"/>
        <v>0.68241201516267613</v>
      </c>
      <c r="AD179">
        <f t="shared" si="134"/>
        <v>0.41196863392488714</v>
      </c>
    </row>
    <row r="180" spans="1:30">
      <c r="A180" t="s">
        <v>148</v>
      </c>
      <c r="B180" t="s">
        <v>37</v>
      </c>
      <c r="C180" t="s">
        <v>38</v>
      </c>
      <c r="D180" t="s">
        <v>39</v>
      </c>
      <c r="E180" s="2">
        <v>46086</v>
      </c>
      <c r="F180" t="s">
        <v>40</v>
      </c>
      <c r="G180">
        <v>112</v>
      </c>
      <c r="H180">
        <v>82.5</v>
      </c>
      <c r="I180">
        <v>-1957.8</v>
      </c>
      <c r="J180">
        <v>67.3</v>
      </c>
      <c r="K180">
        <v>0</v>
      </c>
      <c r="L180">
        <v>0.1</v>
      </c>
      <c r="M180">
        <v>0</v>
      </c>
      <c r="N180">
        <v>67.2</v>
      </c>
      <c r="O180">
        <v>111.57</v>
      </c>
      <c r="P180">
        <v>113.04</v>
      </c>
      <c r="Q180">
        <v>3.98</v>
      </c>
      <c r="R180">
        <v>4.05</v>
      </c>
      <c r="S180">
        <f t="shared" ref="S180:S186" si="135">IF(OR(G180=0,G180=""),"",ABS((G180-112.561871)/4.985957))</f>
        <v>0.11269070310875053</v>
      </c>
      <c r="T180">
        <f t="shared" ref="T180:T186" si="136">IF(OR(H180=0,H180=""),"",ABS((H180-80.720624)/2.821681))</f>
        <v>0.63060849188834578</v>
      </c>
      <c r="U180">
        <f t="shared" si="105"/>
        <v>0</v>
      </c>
      <c r="V180">
        <f t="shared" ref="V180:V186" si="137">IF(OR(J180=0,J180=""),"",ABS((J180-69.348681)/1.912674))</f>
        <v>1.0711083017806495</v>
      </c>
      <c r="W180" t="str">
        <f t="shared" si="106"/>
        <v/>
      </c>
      <c r="X180">
        <f t="shared" ref="X180:X186" si="138">IF(OR(L180=0,L180=""),"",ABS((L180-1.455283)/1.400093))</f>
        <v>0.96799498319040234</v>
      </c>
      <c r="Y180" t="str">
        <f t="shared" si="107"/>
        <v/>
      </c>
      <c r="Z180">
        <f t="shared" ref="Z180:Z186" si="139">IF(OR(N180=0,N180=""),"",ABS((N180-69.699041)/2.195614))</f>
        <v>1.1381968779575968</v>
      </c>
      <c r="AA180">
        <f t="shared" ref="AA180:AA186" si="140">IF(OR(O180=0,O180=""),"",ABS((O180-113.513094)/1.682996))</f>
        <v>1.1545446334988332</v>
      </c>
      <c r="AB180">
        <f t="shared" ref="AB180:AB186" si="141">IF(OR(P180=0,P180=""),"",ABS((P180-115.315492)/1.394108))</f>
        <v>1.6322207461688765</v>
      </c>
      <c r="AC180">
        <f t="shared" ref="AC180:AC186" si="142">IF(OR(Q180=0,Q180=""),"",ABS((Q180-3.821127)/0.150485))</f>
        <v>1.055739774728377</v>
      </c>
      <c r="AD180">
        <f t="shared" ref="AD180:AD186" si="143">IF(OR(R180=0,R180=""),"",ABS((R180-3.848345)/0.156761))</f>
        <v>1.2863850064748228</v>
      </c>
    </row>
    <row r="181" spans="1:30">
      <c r="A181" t="s">
        <v>149</v>
      </c>
      <c r="B181" t="s">
        <v>37</v>
      </c>
      <c r="C181" t="s">
        <v>38</v>
      </c>
      <c r="D181" t="s">
        <v>39</v>
      </c>
      <c r="E181" s="2">
        <v>46086</v>
      </c>
      <c r="F181" t="s">
        <v>40</v>
      </c>
      <c r="G181">
        <v>107</v>
      </c>
      <c r="H181">
        <v>82</v>
      </c>
      <c r="I181">
        <v>-1957.8</v>
      </c>
      <c r="J181">
        <v>68.2</v>
      </c>
      <c r="K181">
        <v>0</v>
      </c>
      <c r="L181">
        <v>0.6</v>
      </c>
      <c r="M181">
        <v>0</v>
      </c>
      <c r="N181">
        <v>67.599999999999994</v>
      </c>
      <c r="O181">
        <v>111.2</v>
      </c>
      <c r="P181">
        <v>112.67</v>
      </c>
      <c r="Q181">
        <v>3.81</v>
      </c>
      <c r="R181">
        <v>3.86</v>
      </c>
      <c r="S181">
        <f t="shared" si="135"/>
        <v>1.1155072135600039</v>
      </c>
      <c r="T181">
        <f t="shared" si="136"/>
        <v>0.45340915574793861</v>
      </c>
      <c r="U181">
        <f t="shared" si="105"/>
        <v>0</v>
      </c>
      <c r="V181">
        <f t="shared" si="137"/>
        <v>0.60056287689381271</v>
      </c>
      <c r="W181" t="str">
        <f t="shared" si="106"/>
        <v/>
      </c>
      <c r="X181">
        <f t="shared" si="138"/>
        <v>0.61087584896146196</v>
      </c>
      <c r="Y181" t="str">
        <f t="shared" si="107"/>
        <v/>
      </c>
      <c r="Z181">
        <f t="shared" si="139"/>
        <v>0.95601549270500175</v>
      </c>
      <c r="AA181">
        <f t="shared" si="140"/>
        <v>1.3743906699718791</v>
      </c>
      <c r="AB181">
        <f t="shared" si="141"/>
        <v>1.8976234265924912</v>
      </c>
      <c r="AC181">
        <f t="shared" si="142"/>
        <v>7.3940924344619782E-2</v>
      </c>
      <c r="AD181">
        <f t="shared" si="143"/>
        <v>7.4348849522519939E-2</v>
      </c>
    </row>
    <row r="182" spans="1:30">
      <c r="A182" t="s">
        <v>150</v>
      </c>
      <c r="B182" t="s">
        <v>37</v>
      </c>
      <c r="C182" t="s">
        <v>38</v>
      </c>
      <c r="D182" t="s">
        <v>39</v>
      </c>
      <c r="E182" s="2">
        <v>46086</v>
      </c>
      <c r="F182" t="s">
        <v>40</v>
      </c>
      <c r="G182">
        <v>116.9</v>
      </c>
      <c r="H182">
        <v>83.4</v>
      </c>
      <c r="I182">
        <v>-1957.8</v>
      </c>
      <c r="J182">
        <v>68.2</v>
      </c>
      <c r="K182">
        <v>0</v>
      </c>
      <c r="L182">
        <v>0.4</v>
      </c>
      <c r="M182">
        <v>0</v>
      </c>
      <c r="N182">
        <v>67.8</v>
      </c>
      <c r="O182">
        <v>112.01</v>
      </c>
      <c r="P182">
        <v>116.56</v>
      </c>
      <c r="Q182">
        <v>4.03</v>
      </c>
      <c r="R182">
        <v>3.98</v>
      </c>
      <c r="S182">
        <f t="shared" si="135"/>
        <v>0.87006947713347893</v>
      </c>
      <c r="T182">
        <f t="shared" si="136"/>
        <v>0.94956729694108055</v>
      </c>
      <c r="U182">
        <f t="shared" si="105"/>
        <v>0</v>
      </c>
      <c r="V182">
        <f t="shared" si="137"/>
        <v>0.60056287689381271</v>
      </c>
      <c r="W182" t="str">
        <f t="shared" si="106"/>
        <v/>
      </c>
      <c r="X182">
        <f t="shared" si="138"/>
        <v>0.75372350265303822</v>
      </c>
      <c r="Y182" t="str">
        <f t="shared" si="107"/>
        <v/>
      </c>
      <c r="Z182">
        <f t="shared" si="139"/>
        <v>0.86492480007870098</v>
      </c>
      <c r="AA182">
        <f t="shared" si="140"/>
        <v>0.8931061036389808</v>
      </c>
      <c r="AB182">
        <f t="shared" si="141"/>
        <v>0.89269124056385607</v>
      </c>
      <c r="AC182">
        <f t="shared" si="142"/>
        <v>1.3879988038674955</v>
      </c>
      <c r="AD182">
        <f t="shared" si="143"/>
        <v>0.83984536970292256</v>
      </c>
    </row>
    <row r="183" spans="1:30">
      <c r="A183" t="s">
        <v>151</v>
      </c>
      <c r="B183" t="s">
        <v>37</v>
      </c>
      <c r="C183" t="s">
        <v>38</v>
      </c>
      <c r="D183" t="s">
        <v>39</v>
      </c>
      <c r="E183" s="2">
        <v>46086</v>
      </c>
      <c r="F183" t="s">
        <v>40</v>
      </c>
      <c r="G183">
        <v>115.5</v>
      </c>
      <c r="H183">
        <v>80.7</v>
      </c>
      <c r="I183">
        <v>-1957.8</v>
      </c>
      <c r="J183">
        <v>67.7</v>
      </c>
      <c r="K183">
        <v>0</v>
      </c>
      <c r="L183">
        <v>0.7</v>
      </c>
      <c r="M183">
        <v>0</v>
      </c>
      <c r="N183">
        <v>68.400000000000006</v>
      </c>
      <c r="O183">
        <v>112.45</v>
      </c>
      <c r="P183">
        <v>116.7</v>
      </c>
      <c r="Q183">
        <v>3.83</v>
      </c>
      <c r="R183">
        <v>3.81</v>
      </c>
      <c r="S183">
        <f t="shared" si="135"/>
        <v>0.58928085420712684</v>
      </c>
      <c r="T183">
        <f t="shared" si="136"/>
        <v>7.309118217118795E-3</v>
      </c>
      <c r="U183">
        <f t="shared" si="105"/>
        <v>0</v>
      </c>
      <c r="V183">
        <f t="shared" si="137"/>
        <v>0.86197700183094261</v>
      </c>
      <c r="W183" t="str">
        <f t="shared" si="106"/>
        <v/>
      </c>
      <c r="X183">
        <f t="shared" si="138"/>
        <v>0.53945202211567389</v>
      </c>
      <c r="Y183" t="str">
        <f t="shared" si="107"/>
        <v/>
      </c>
      <c r="Z183">
        <f t="shared" si="139"/>
        <v>0.59165272219979848</v>
      </c>
      <c r="AA183">
        <f t="shared" si="140"/>
        <v>0.63166757377913696</v>
      </c>
      <c r="AB183">
        <f t="shared" si="141"/>
        <v>0.99311387639981752</v>
      </c>
      <c r="AC183">
        <f t="shared" si="142"/>
        <v>5.8962687311027065E-2</v>
      </c>
      <c r="AD183">
        <f t="shared" si="143"/>
        <v>0.24460803388597974</v>
      </c>
    </row>
    <row r="184" spans="1:30">
      <c r="A184" t="s">
        <v>152</v>
      </c>
      <c r="B184" t="s">
        <v>37</v>
      </c>
      <c r="C184" t="s">
        <v>38</v>
      </c>
      <c r="D184" t="s">
        <v>39</v>
      </c>
      <c r="E184" s="2">
        <v>46087</v>
      </c>
      <c r="F184" t="s">
        <v>40</v>
      </c>
      <c r="G184">
        <v>113.7</v>
      </c>
      <c r="H184">
        <v>82.5</v>
      </c>
      <c r="I184">
        <v>-1957.8</v>
      </c>
      <c r="J184">
        <v>70</v>
      </c>
      <c r="K184">
        <v>0</v>
      </c>
      <c r="L184">
        <v>0.8</v>
      </c>
      <c r="M184">
        <v>0</v>
      </c>
      <c r="N184">
        <v>69.2</v>
      </c>
      <c r="O184">
        <v>115.31</v>
      </c>
      <c r="P184">
        <v>115.38</v>
      </c>
      <c r="Q184">
        <v>3.74</v>
      </c>
      <c r="R184">
        <v>3.81</v>
      </c>
      <c r="S184">
        <f t="shared" si="135"/>
        <v>0.2282669104446762</v>
      </c>
      <c r="T184">
        <f t="shared" si="136"/>
        <v>0.63060849188834578</v>
      </c>
      <c r="U184">
        <f t="shared" si="105"/>
        <v>0</v>
      </c>
      <c r="V184">
        <f t="shared" si="137"/>
        <v>0.34052797287985348</v>
      </c>
      <c r="W184" t="str">
        <f t="shared" si="106"/>
        <v/>
      </c>
      <c r="X184">
        <f t="shared" si="138"/>
        <v>0.46802819526988565</v>
      </c>
      <c r="Y184" t="str">
        <f t="shared" si="107"/>
        <v/>
      </c>
      <c r="Z184">
        <f t="shared" si="139"/>
        <v>0.2272899516946017</v>
      </c>
      <c r="AA184">
        <f t="shared" si="140"/>
        <v>1.0676828703098564</v>
      </c>
      <c r="AB184">
        <f t="shared" si="141"/>
        <v>4.6271881375036482E-2</v>
      </c>
      <c r="AC184">
        <f t="shared" si="142"/>
        <v>0.53910356513938229</v>
      </c>
      <c r="AD184">
        <f t="shared" si="143"/>
        <v>0.24460803388597974</v>
      </c>
    </row>
    <row r="185" spans="1:30">
      <c r="A185" t="s">
        <v>153</v>
      </c>
      <c r="B185" t="s">
        <v>37</v>
      </c>
      <c r="C185" t="s">
        <v>38</v>
      </c>
      <c r="D185" t="s">
        <v>39</v>
      </c>
      <c r="E185" s="2">
        <v>46087</v>
      </c>
      <c r="F185" t="s">
        <v>40</v>
      </c>
      <c r="G185">
        <v>115.5</v>
      </c>
      <c r="H185">
        <v>80.7</v>
      </c>
      <c r="I185">
        <v>-1957.8</v>
      </c>
      <c r="J185">
        <v>69.099999999999994</v>
      </c>
      <c r="K185">
        <v>0</v>
      </c>
      <c r="L185">
        <v>0.1</v>
      </c>
      <c r="M185">
        <v>0</v>
      </c>
      <c r="N185">
        <v>69.2</v>
      </c>
      <c r="O185">
        <v>115.46</v>
      </c>
      <c r="P185">
        <v>115.46</v>
      </c>
      <c r="Q185">
        <v>3.76</v>
      </c>
      <c r="R185">
        <v>3.88</v>
      </c>
      <c r="S185">
        <f t="shared" si="135"/>
        <v>0.58928085420712684</v>
      </c>
      <c r="T185">
        <f t="shared" si="136"/>
        <v>7.309118217118795E-3</v>
      </c>
      <c r="U185">
        <f t="shared" si="105"/>
        <v>0</v>
      </c>
      <c r="V185">
        <f t="shared" si="137"/>
        <v>0.13001745200698331</v>
      </c>
      <c r="W185" t="str">
        <f t="shared" si="106"/>
        <v/>
      </c>
      <c r="X185">
        <f t="shared" si="138"/>
        <v>0.96799498319040234</v>
      </c>
      <c r="Y185" t="str">
        <f t="shared" si="107"/>
        <v/>
      </c>
      <c r="Z185">
        <f t="shared" si="139"/>
        <v>0.2272899516946017</v>
      </c>
      <c r="AA185">
        <f t="shared" si="140"/>
        <v>1.1568096418529803</v>
      </c>
      <c r="AB185">
        <f t="shared" si="141"/>
        <v>0.10365624470987016</v>
      </c>
      <c r="AC185">
        <f t="shared" si="142"/>
        <v>0.40619995348373839</v>
      </c>
      <c r="AD185">
        <f t="shared" si="143"/>
        <v>0.20193160288592038</v>
      </c>
    </row>
    <row r="186" spans="1:30">
      <c r="A186" t="s">
        <v>154</v>
      </c>
      <c r="B186" t="s">
        <v>37</v>
      </c>
      <c r="C186" t="s">
        <v>38</v>
      </c>
      <c r="D186" t="s">
        <v>39</v>
      </c>
      <c r="E186" s="2">
        <v>46087</v>
      </c>
      <c r="F186" t="s">
        <v>40</v>
      </c>
      <c r="G186">
        <v>112.4</v>
      </c>
      <c r="H186">
        <v>75.2</v>
      </c>
      <c r="I186">
        <v>-1957.8</v>
      </c>
      <c r="J186">
        <v>69.099999999999994</v>
      </c>
      <c r="K186">
        <v>0</v>
      </c>
      <c r="L186">
        <v>0.2</v>
      </c>
      <c r="M186">
        <v>0</v>
      </c>
      <c r="N186">
        <v>68.900000000000006</v>
      </c>
      <c r="O186">
        <v>112.08</v>
      </c>
      <c r="P186">
        <v>116.7</v>
      </c>
      <c r="Q186">
        <v>3.81</v>
      </c>
      <c r="R186">
        <v>3.81</v>
      </c>
      <c r="S186">
        <f t="shared" si="135"/>
        <v>3.246538227264912E-2</v>
      </c>
      <c r="T186">
        <f t="shared" si="136"/>
        <v>1.9565018157615968</v>
      </c>
      <c r="U186">
        <f t="shared" si="105"/>
        <v>0</v>
      </c>
      <c r="V186">
        <f t="shared" si="137"/>
        <v>0.13001745200698331</v>
      </c>
      <c r="W186" t="str">
        <f t="shared" si="106"/>
        <v/>
      </c>
      <c r="X186">
        <f t="shared" si="138"/>
        <v>0.89657115634461437</v>
      </c>
      <c r="Y186" t="str">
        <f t="shared" si="107"/>
        <v/>
      </c>
      <c r="Z186">
        <f t="shared" si="139"/>
        <v>0.36392599063404968</v>
      </c>
      <c r="AA186">
        <f t="shared" si="140"/>
        <v>0.8515136102521913</v>
      </c>
      <c r="AB186">
        <f t="shared" si="141"/>
        <v>0.99311387639981752</v>
      </c>
      <c r="AC186">
        <f t="shared" si="142"/>
        <v>7.3940924344619782E-2</v>
      </c>
      <c r="AD186">
        <f t="shared" si="143"/>
        <v>0.24460803388597974</v>
      </c>
    </row>
    <row r="187" spans="1:30">
      <c r="A187" t="s">
        <v>101</v>
      </c>
      <c r="B187" t="s">
        <v>31</v>
      </c>
      <c r="C187" t="s">
        <v>32</v>
      </c>
      <c r="D187" t="s">
        <v>33</v>
      </c>
      <c r="E187" s="2">
        <v>46088</v>
      </c>
      <c r="F187" t="s">
        <v>34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f>IF(OR(G187=0,G187=""),"",ABS((G187-152.740594)/5.729485))</f>
        <v/>
      </c>
      <c r="T187" t="str">
        <f>IF(OR(H187=0,H187=""),"",ABS((H187-96.426733)/5.037499))</f>
        <v/>
      </c>
      <c r="U187" t="str">
        <f t="shared" si="105"/>
        <v/>
      </c>
      <c r="V187" t="str">
        <f>IF(OR(J187=0,J187=""),"",ABS((J187-69.40099)/2.222902))</f>
        <v/>
      </c>
      <c r="W187" t="str">
        <f t="shared" si="106"/>
        <v/>
      </c>
      <c r="X187" t="str">
        <f>IF(OR(L187=0,L187=""),"",ABS((L187-1.849749)/1.393269))</f>
        <v/>
      </c>
      <c r="Y187" t="str">
        <f t="shared" si="107"/>
        <v/>
      </c>
      <c r="Z187" t="str">
        <f>IF(OR(N187=0,N187=""),"",ABS((N187-69.231188)/2.519549))</f>
        <v/>
      </c>
      <c r="AA187" t="str">
        <f>IF(OR(O187=0,O187=""),"",ABS((O187-113.18)/1.73698))</f>
        <v/>
      </c>
      <c r="AB187" t="str">
        <f>IF(OR(P187=0,P187=""),"",ABS((P187-114.765594)/1.645198))</f>
        <v/>
      </c>
      <c r="AC187" t="str">
        <f>IF(OR(Q187=0,Q187=""),"",ABS((Q187-8.040149)/0.55663))</f>
        <v/>
      </c>
      <c r="AD187" t="str">
        <f>IF(OR(R187=0,R187=""),"",ABS((R187-7.915297)/0.399795))</f>
        <v/>
      </c>
    </row>
    <row r="188" spans="1:30">
      <c r="A188" t="s">
        <v>96</v>
      </c>
      <c r="B188" t="s">
        <v>37</v>
      </c>
      <c r="C188" t="s">
        <v>38</v>
      </c>
      <c r="D188" t="s">
        <v>39</v>
      </c>
      <c r="E188" s="2">
        <v>46090</v>
      </c>
      <c r="F188" t="s">
        <v>40</v>
      </c>
      <c r="G188">
        <v>110.2</v>
      </c>
      <c r="H188">
        <v>79.3</v>
      </c>
      <c r="I188">
        <v>-1957.8</v>
      </c>
      <c r="J188">
        <v>67.3</v>
      </c>
      <c r="K188">
        <v>0</v>
      </c>
      <c r="L188">
        <v>0.2</v>
      </c>
      <c r="M188">
        <v>0</v>
      </c>
      <c r="N188">
        <v>67.099999999999994</v>
      </c>
      <c r="O188">
        <v>111.57</v>
      </c>
      <c r="P188">
        <v>113.04</v>
      </c>
      <c r="Q188">
        <v>3.49</v>
      </c>
      <c r="R188">
        <v>3.56</v>
      </c>
      <c r="S188">
        <f t="shared" ref="S188:S197" si="144">IF(OR(G188=0,G188=""),"",ABS((G188-112.561871)/4.985957))</f>
        <v>0.47370464687120117</v>
      </c>
      <c r="T188">
        <f t="shared" ref="T188:T197" si="145">IF(OR(H188=0,H188=""),"",ABS((H188-80.720624)/2.821681))</f>
        <v>0.50346725941026071</v>
      </c>
      <c r="U188">
        <f t="shared" si="105"/>
        <v>0</v>
      </c>
      <c r="V188">
        <f t="shared" ref="V188:V197" si="146">IF(OR(J188=0,J188=""),"",ABS((J188-69.348681)/1.912674))</f>
        <v>1.0711083017806495</v>
      </c>
      <c r="W188" t="str">
        <f t="shared" si="106"/>
        <v/>
      </c>
      <c r="X188">
        <f t="shared" ref="X188:X197" si="147">IF(OR(L188=0,L188=""),"",ABS((L188-1.455283)/1.400093))</f>
        <v>0.89657115634461437</v>
      </c>
      <c r="Y188" t="str">
        <f t="shared" si="107"/>
        <v/>
      </c>
      <c r="Z188">
        <f t="shared" ref="Z188:Z197" si="148">IF(OR(N188=0,N188=""),"",ABS((N188-69.699041)/2.195614))</f>
        <v>1.1837422242707505</v>
      </c>
      <c r="AA188">
        <f t="shared" ref="AA188:AA197" si="149">IF(OR(O188=0,O188=""),"",ABS((O188-113.513094)/1.682996))</f>
        <v>1.1545446334988332</v>
      </c>
      <c r="AB188">
        <f t="shared" ref="AB188:AB197" si="150">IF(OR(P188=0,P188=""),"",ABS((P188-115.315492)/1.394108))</f>
        <v>1.6322207461688765</v>
      </c>
      <c r="AC188">
        <f t="shared" ref="AC188:AC197" si="151">IF(OR(Q188=0,Q188=""),"",ABS((Q188-3.821127)/0.150485))</f>
        <v>2.2003987108349663</v>
      </c>
      <c r="AD188">
        <f t="shared" ref="AD188:AD197" si="152">IF(OR(R188=0,R188=""),"",ABS((R188-3.848345)/0.156761))</f>
        <v>1.8393924509284838</v>
      </c>
    </row>
    <row r="189" spans="1:30">
      <c r="A189" t="s">
        <v>155</v>
      </c>
      <c r="B189" t="s">
        <v>37</v>
      </c>
      <c r="C189" t="s">
        <v>38</v>
      </c>
      <c r="D189" t="s">
        <v>39</v>
      </c>
      <c r="E189" s="2">
        <v>46090</v>
      </c>
      <c r="F189" t="s">
        <v>40</v>
      </c>
      <c r="G189">
        <v>112.4</v>
      </c>
      <c r="H189">
        <v>82</v>
      </c>
      <c r="I189">
        <v>-1957.8</v>
      </c>
      <c r="J189">
        <v>69.099999999999994</v>
      </c>
      <c r="K189">
        <v>0</v>
      </c>
      <c r="L189">
        <v>1.3</v>
      </c>
      <c r="M189">
        <v>0</v>
      </c>
      <c r="N189">
        <v>70.400000000000006</v>
      </c>
      <c r="O189">
        <v>111.86</v>
      </c>
      <c r="P189">
        <v>113.04</v>
      </c>
      <c r="Q189">
        <v>3.76</v>
      </c>
      <c r="R189">
        <v>3.86</v>
      </c>
      <c r="S189">
        <f t="shared" si="144"/>
        <v>3.246538227264912E-2</v>
      </c>
      <c r="T189">
        <f t="shared" si="145"/>
        <v>0.45340915574793861</v>
      </c>
      <c r="U189">
        <f t="shared" si="105"/>
        <v>0</v>
      </c>
      <c r="V189">
        <f t="shared" si="146"/>
        <v>0.13001745200698331</v>
      </c>
      <c r="W189" t="str">
        <f t="shared" si="106"/>
        <v/>
      </c>
      <c r="X189">
        <f t="shared" si="147"/>
        <v>0.11090906104094518</v>
      </c>
      <c r="Y189" t="str">
        <f t="shared" si="107"/>
        <v/>
      </c>
      <c r="Z189">
        <f t="shared" si="148"/>
        <v>0.31925420406319677</v>
      </c>
      <c r="AA189">
        <f t="shared" si="149"/>
        <v>0.98223287518211322</v>
      </c>
      <c r="AB189">
        <f t="shared" si="150"/>
        <v>1.6322207461688765</v>
      </c>
      <c r="AC189">
        <f t="shared" si="151"/>
        <v>0.40619995348373839</v>
      </c>
      <c r="AD189">
        <f t="shared" si="152"/>
        <v>7.4348849522519939E-2</v>
      </c>
    </row>
    <row r="190" spans="1:30">
      <c r="A190" t="s">
        <v>156</v>
      </c>
      <c r="B190" t="s">
        <v>37</v>
      </c>
      <c r="C190" t="s">
        <v>38</v>
      </c>
      <c r="D190" t="s">
        <v>39</v>
      </c>
      <c r="E190" s="2">
        <v>46091</v>
      </c>
      <c r="F190" t="s">
        <v>40</v>
      </c>
      <c r="G190">
        <v>107.9</v>
      </c>
      <c r="H190">
        <v>81.599999999999994</v>
      </c>
      <c r="I190">
        <v>-1957.8</v>
      </c>
      <c r="J190">
        <v>69.099999999999994</v>
      </c>
      <c r="K190">
        <v>0</v>
      </c>
      <c r="L190">
        <v>1.3</v>
      </c>
      <c r="M190">
        <v>0</v>
      </c>
      <c r="N190">
        <v>67.8</v>
      </c>
      <c r="O190">
        <v>112.16</v>
      </c>
      <c r="P190">
        <v>116.48</v>
      </c>
      <c r="Q190">
        <v>3.83</v>
      </c>
      <c r="R190">
        <v>3.83</v>
      </c>
      <c r="S190">
        <f t="shared" si="144"/>
        <v>0.93500024167877716</v>
      </c>
      <c r="T190">
        <f t="shared" si="145"/>
        <v>0.31164968683561095</v>
      </c>
      <c r="U190">
        <f t="shared" si="105"/>
        <v>0</v>
      </c>
      <c r="V190">
        <f t="shared" si="146"/>
        <v>0.13001745200698331</v>
      </c>
      <c r="W190" t="str">
        <f t="shared" si="106"/>
        <v/>
      </c>
      <c r="X190">
        <f t="shared" si="147"/>
        <v>0.11090906104094518</v>
      </c>
      <c r="Y190" t="str">
        <f t="shared" si="107"/>
        <v/>
      </c>
      <c r="Z190">
        <f t="shared" si="148"/>
        <v>0.86492480007870098</v>
      </c>
      <c r="AA190">
        <f t="shared" si="149"/>
        <v>0.80397933209585692</v>
      </c>
      <c r="AB190">
        <f t="shared" si="150"/>
        <v>0.83530687722902242</v>
      </c>
      <c r="AC190">
        <f t="shared" si="151"/>
        <v>5.8962687311027065E-2</v>
      </c>
      <c r="AD190">
        <f t="shared" si="152"/>
        <v>0.11702528052257931</v>
      </c>
    </row>
    <row r="191" spans="1:30">
      <c r="A191" t="s">
        <v>157</v>
      </c>
      <c r="B191" t="s">
        <v>37</v>
      </c>
      <c r="C191" t="s">
        <v>38</v>
      </c>
      <c r="D191" t="s">
        <v>39</v>
      </c>
      <c r="E191" s="2">
        <v>46091</v>
      </c>
      <c r="F191" t="s">
        <v>40</v>
      </c>
      <c r="G191">
        <v>110.6</v>
      </c>
      <c r="H191">
        <v>79.8</v>
      </c>
      <c r="I191">
        <v>-1957.8</v>
      </c>
      <c r="J191">
        <v>69.099999999999994</v>
      </c>
      <c r="K191">
        <v>0</v>
      </c>
      <c r="L191">
        <v>1.3</v>
      </c>
      <c r="M191">
        <v>0</v>
      </c>
      <c r="N191">
        <v>67.8</v>
      </c>
      <c r="O191">
        <v>111.72</v>
      </c>
      <c r="P191">
        <v>113.26</v>
      </c>
      <c r="Q191">
        <v>3.98</v>
      </c>
      <c r="R191">
        <v>4</v>
      </c>
      <c r="S191">
        <f t="shared" si="144"/>
        <v>0.39347932603510261</v>
      </c>
      <c r="T191">
        <f t="shared" si="145"/>
        <v>0.3262679232698536</v>
      </c>
      <c r="U191">
        <f t="shared" si="105"/>
        <v>0</v>
      </c>
      <c r="V191">
        <f t="shared" si="146"/>
        <v>0.13001745200698331</v>
      </c>
      <c r="W191" t="str">
        <f t="shared" si="106"/>
        <v/>
      </c>
      <c r="X191">
        <f t="shared" si="147"/>
        <v>0.11090906104094518</v>
      </c>
      <c r="Y191" t="str">
        <f t="shared" si="107"/>
        <v/>
      </c>
      <c r="Z191">
        <f t="shared" si="148"/>
        <v>0.86492480007870098</v>
      </c>
      <c r="AA191">
        <f t="shared" si="149"/>
        <v>1.0654178619557007</v>
      </c>
      <c r="AB191">
        <f t="shared" si="150"/>
        <v>1.4744137469980814</v>
      </c>
      <c r="AC191">
        <f t="shared" si="151"/>
        <v>1.055739774728377</v>
      </c>
      <c r="AD191">
        <f t="shared" si="152"/>
        <v>0.96742812306632298</v>
      </c>
    </row>
    <row r="192" spans="1:30">
      <c r="A192" t="s">
        <v>158</v>
      </c>
      <c r="B192" t="s">
        <v>37</v>
      </c>
      <c r="C192" t="s">
        <v>38</v>
      </c>
      <c r="D192" t="s">
        <v>39</v>
      </c>
      <c r="E192" s="2">
        <v>46091</v>
      </c>
      <c r="F192" t="s">
        <v>34</v>
      </c>
      <c r="G192">
        <v>94.5</v>
      </c>
      <c r="H192">
        <v>79.8</v>
      </c>
      <c r="I192">
        <v>-1957.8</v>
      </c>
      <c r="J192">
        <v>69.099999999999994</v>
      </c>
      <c r="K192">
        <v>0</v>
      </c>
      <c r="L192">
        <v>1.9</v>
      </c>
      <c r="M192">
        <v>0</v>
      </c>
      <c r="N192">
        <v>67.2</v>
      </c>
      <c r="O192">
        <v>112.23</v>
      </c>
      <c r="P192">
        <v>116.48</v>
      </c>
      <c r="Q192">
        <v>3.86</v>
      </c>
      <c r="R192">
        <v>3.78</v>
      </c>
      <c r="S192">
        <f t="shared" si="144"/>
        <v>3.6225484896881373</v>
      </c>
      <c r="T192">
        <f t="shared" si="145"/>
        <v>0.3262679232698536</v>
      </c>
      <c r="U192">
        <f t="shared" si="105"/>
        <v>0</v>
      </c>
      <c r="V192">
        <f t="shared" si="146"/>
        <v>0.13001745200698331</v>
      </c>
      <c r="W192" t="str">
        <f t="shared" si="106"/>
        <v/>
      </c>
      <c r="X192">
        <f t="shared" si="147"/>
        <v>0.31763390003378333</v>
      </c>
      <c r="Y192" t="str">
        <f t="shared" si="107"/>
        <v/>
      </c>
      <c r="Z192">
        <f t="shared" si="148"/>
        <v>1.1381968779575968</v>
      </c>
      <c r="AA192">
        <f t="shared" si="149"/>
        <v>0.76238683870905888</v>
      </c>
      <c r="AB192">
        <f t="shared" si="150"/>
        <v>0.83530687722902242</v>
      </c>
      <c r="AC192">
        <f t="shared" si="151"/>
        <v>0.25831810479449585</v>
      </c>
      <c r="AD192">
        <f t="shared" si="152"/>
        <v>0.4359821639310818</v>
      </c>
    </row>
    <row r="193" spans="1:30">
      <c r="A193" t="s">
        <v>158</v>
      </c>
      <c r="B193" t="s">
        <v>37</v>
      </c>
      <c r="C193" t="s">
        <v>38</v>
      </c>
      <c r="D193" t="s">
        <v>39</v>
      </c>
      <c r="E193" s="2">
        <v>46091</v>
      </c>
      <c r="F193" t="s">
        <v>40</v>
      </c>
      <c r="G193">
        <v>115.1</v>
      </c>
      <c r="H193">
        <v>80.2</v>
      </c>
      <c r="I193">
        <v>-1957.8</v>
      </c>
      <c r="J193">
        <v>69.099999999999994</v>
      </c>
      <c r="K193">
        <v>0</v>
      </c>
      <c r="L193">
        <v>1.2</v>
      </c>
      <c r="M193">
        <v>0</v>
      </c>
      <c r="N193">
        <v>67.900000000000006</v>
      </c>
      <c r="O193">
        <v>115.09</v>
      </c>
      <c r="P193">
        <v>115.02</v>
      </c>
      <c r="Q193">
        <v>3.83</v>
      </c>
      <c r="R193">
        <v>3.86</v>
      </c>
      <c r="S193">
        <f t="shared" si="144"/>
        <v>0.50905553337102538</v>
      </c>
      <c r="T193">
        <f t="shared" si="145"/>
        <v>0.18450845435752589</v>
      </c>
      <c r="U193">
        <f t="shared" si="105"/>
        <v>0</v>
      </c>
      <c r="V193">
        <f t="shared" si="146"/>
        <v>0.13001745200698331</v>
      </c>
      <c r="W193" t="str">
        <f t="shared" si="106"/>
        <v/>
      </c>
      <c r="X193">
        <f t="shared" si="147"/>
        <v>0.18233288788673335</v>
      </c>
      <c r="Y193" t="str">
        <f t="shared" si="107"/>
        <v/>
      </c>
      <c r="Z193">
        <f t="shared" si="148"/>
        <v>0.81937945376554733</v>
      </c>
      <c r="AA193">
        <f t="shared" si="149"/>
        <v>0.93696360537993451</v>
      </c>
      <c r="AB193">
        <f t="shared" si="150"/>
        <v>0.21195775363172015</v>
      </c>
      <c r="AC193">
        <f t="shared" si="151"/>
        <v>5.8962687311027065E-2</v>
      </c>
      <c r="AD193">
        <f t="shared" si="152"/>
        <v>7.4348849522519939E-2</v>
      </c>
    </row>
    <row r="194" spans="1:30">
      <c r="A194" t="s">
        <v>159</v>
      </c>
      <c r="B194" t="s">
        <v>37</v>
      </c>
      <c r="C194" t="s">
        <v>38</v>
      </c>
      <c r="D194" t="s">
        <v>39</v>
      </c>
      <c r="E194" s="2">
        <v>46091</v>
      </c>
      <c r="F194" t="s">
        <v>34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f t="shared" si="144"/>
        <v/>
      </c>
      <c r="T194" t="str">
        <f t="shared" si="145"/>
        <v/>
      </c>
      <c r="U194" t="str">
        <f t="shared" ref="U194:U257" si="153">IF(OR(I194=0,I194=""),"",ABS((I194--1957.8)/1))</f>
        <v/>
      </c>
      <c r="V194" t="str">
        <f t="shared" si="146"/>
        <v/>
      </c>
      <c r="W194" t="str">
        <f t="shared" ref="W194:W257" si="154">IF(OR(K194=0,K194=""),"",ABS((K194-0)/1))</f>
        <v/>
      </c>
      <c r="X194" t="str">
        <f t="shared" si="147"/>
        <v/>
      </c>
      <c r="Y194" t="str">
        <f t="shared" ref="Y194:Y257" si="155">IF(OR(M194=0,M194=""),"",ABS((M194-0)/1))</f>
        <v/>
      </c>
      <c r="Z194" t="str">
        <f t="shared" si="148"/>
        <v/>
      </c>
      <c r="AA194" t="str">
        <f t="shared" si="149"/>
        <v/>
      </c>
      <c r="AB194" t="str">
        <f t="shared" si="150"/>
        <v/>
      </c>
      <c r="AC194" t="str">
        <f t="shared" si="151"/>
        <v/>
      </c>
      <c r="AD194" t="str">
        <f t="shared" si="152"/>
        <v/>
      </c>
    </row>
    <row r="195" spans="1:30">
      <c r="A195" t="s">
        <v>159</v>
      </c>
      <c r="B195" t="s">
        <v>37</v>
      </c>
      <c r="C195" t="s">
        <v>38</v>
      </c>
      <c r="D195" t="s">
        <v>39</v>
      </c>
      <c r="E195" s="2">
        <v>46091</v>
      </c>
      <c r="F195" t="s">
        <v>34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f t="shared" si="144"/>
        <v/>
      </c>
      <c r="T195" t="str">
        <f t="shared" si="145"/>
        <v/>
      </c>
      <c r="U195" t="str">
        <f t="shared" si="153"/>
        <v/>
      </c>
      <c r="V195" t="str">
        <f t="shared" si="146"/>
        <v/>
      </c>
      <c r="W195" t="str">
        <f t="shared" si="154"/>
        <v/>
      </c>
      <c r="X195" t="str">
        <f t="shared" si="147"/>
        <v/>
      </c>
      <c r="Y195" t="str">
        <f t="shared" si="155"/>
        <v/>
      </c>
      <c r="Z195" t="str">
        <f t="shared" si="148"/>
        <v/>
      </c>
      <c r="AA195" t="str">
        <f t="shared" si="149"/>
        <v/>
      </c>
      <c r="AB195" t="str">
        <f t="shared" si="150"/>
        <v/>
      </c>
      <c r="AC195" t="str">
        <f t="shared" si="151"/>
        <v/>
      </c>
      <c r="AD195" t="str">
        <f t="shared" si="152"/>
        <v/>
      </c>
    </row>
    <row r="196" spans="1:30">
      <c r="A196" t="s">
        <v>159</v>
      </c>
      <c r="B196" t="s">
        <v>37</v>
      </c>
      <c r="C196" t="s">
        <v>38</v>
      </c>
      <c r="D196" t="s">
        <v>39</v>
      </c>
      <c r="E196" s="2">
        <v>46091</v>
      </c>
      <c r="F196" t="s">
        <v>40</v>
      </c>
      <c r="G196">
        <v>113.3</v>
      </c>
      <c r="H196">
        <v>82</v>
      </c>
      <c r="I196">
        <v>-1957.8</v>
      </c>
      <c r="J196">
        <v>69.5</v>
      </c>
      <c r="K196">
        <v>0</v>
      </c>
      <c r="L196">
        <v>1.6</v>
      </c>
      <c r="M196">
        <v>0</v>
      </c>
      <c r="N196">
        <v>67.900000000000006</v>
      </c>
      <c r="O196">
        <v>115.38</v>
      </c>
      <c r="P196">
        <v>115.31</v>
      </c>
      <c r="Q196">
        <v>3.88</v>
      </c>
      <c r="R196">
        <v>4</v>
      </c>
      <c r="S196">
        <f t="shared" si="144"/>
        <v>0.14804158960857478</v>
      </c>
      <c r="T196">
        <f t="shared" si="145"/>
        <v>0.45340915574793861</v>
      </c>
      <c r="U196">
        <f t="shared" si="153"/>
        <v>0</v>
      </c>
      <c r="V196">
        <f t="shared" si="146"/>
        <v>7.9113847942723581E-2</v>
      </c>
      <c r="W196" t="str">
        <f t="shared" si="154"/>
        <v/>
      </c>
      <c r="X196">
        <f t="shared" si="147"/>
        <v>0.10336241949641915</v>
      </c>
      <c r="Y196" t="str">
        <f t="shared" si="155"/>
        <v/>
      </c>
      <c r="Z196">
        <f t="shared" si="148"/>
        <v>0.81937945376554733</v>
      </c>
      <c r="AA196">
        <f t="shared" si="149"/>
        <v>1.1092753636966459</v>
      </c>
      <c r="AB196">
        <f t="shared" si="150"/>
        <v>3.9394365429391608E-3</v>
      </c>
      <c r="AC196">
        <f t="shared" si="151"/>
        <v>0.39122171645014275</v>
      </c>
      <c r="AD196">
        <f t="shared" si="152"/>
        <v>0.96742812306632298</v>
      </c>
    </row>
    <row r="197" spans="1:30">
      <c r="A197" t="s">
        <v>101</v>
      </c>
      <c r="B197" t="s">
        <v>37</v>
      </c>
      <c r="C197" t="s">
        <v>38</v>
      </c>
      <c r="D197" t="s">
        <v>39</v>
      </c>
      <c r="E197" s="2">
        <v>46091</v>
      </c>
      <c r="F197" t="s">
        <v>34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tr">
        <f t="shared" si="144"/>
        <v/>
      </c>
      <c r="T197" t="str">
        <f t="shared" si="145"/>
        <v/>
      </c>
      <c r="U197" t="str">
        <f t="shared" si="153"/>
        <v/>
      </c>
      <c r="V197" t="str">
        <f t="shared" si="146"/>
        <v/>
      </c>
      <c r="W197" t="str">
        <f t="shared" si="154"/>
        <v/>
      </c>
      <c r="X197" t="str">
        <f t="shared" si="147"/>
        <v/>
      </c>
      <c r="Y197" t="str">
        <f t="shared" si="155"/>
        <v/>
      </c>
      <c r="Z197" t="str">
        <f t="shared" si="148"/>
        <v/>
      </c>
      <c r="AA197" t="str">
        <f t="shared" si="149"/>
        <v/>
      </c>
      <c r="AB197" t="str">
        <f t="shared" si="150"/>
        <v/>
      </c>
      <c r="AC197" t="str">
        <f t="shared" si="151"/>
        <v/>
      </c>
      <c r="AD197" t="str">
        <f t="shared" si="152"/>
        <v/>
      </c>
    </row>
    <row r="198" spans="1:30">
      <c r="A198" t="s">
        <v>160</v>
      </c>
      <c r="B198" t="s">
        <v>31</v>
      </c>
      <c r="C198" t="s">
        <v>32</v>
      </c>
      <c r="D198" t="s">
        <v>33</v>
      </c>
      <c r="E198" s="2">
        <v>46091</v>
      </c>
      <c r="F198" t="s">
        <v>40</v>
      </c>
      <c r="G198">
        <v>156.6</v>
      </c>
      <c r="H198">
        <v>93.3</v>
      </c>
      <c r="I198">
        <v>-1957.8</v>
      </c>
      <c r="J198">
        <v>69.099999999999994</v>
      </c>
      <c r="K198">
        <v>0</v>
      </c>
      <c r="L198">
        <v>1</v>
      </c>
      <c r="M198">
        <v>0</v>
      </c>
      <c r="N198">
        <v>68.099999999999994</v>
      </c>
      <c r="O198">
        <v>114.72</v>
      </c>
      <c r="P198">
        <v>114.8</v>
      </c>
      <c r="Q198">
        <v>8.4700000000000006</v>
      </c>
      <c r="R198">
        <v>8.2799999999999994</v>
      </c>
      <c r="S198">
        <f t="shared" ref="S198:S226" si="156">IF(OR(G198=0,G198=""),"",ABS((G198-152.740594)/5.729485))</f>
        <v>0.67360434663848612</v>
      </c>
      <c r="T198">
        <f t="shared" ref="T198:T226" si="157">IF(OR(H198=0,H198=""),"",ABS((H198-96.426733)/5.037499))</f>
        <v>0.62069153760626083</v>
      </c>
      <c r="U198">
        <f t="shared" si="153"/>
        <v>0</v>
      </c>
      <c r="V198">
        <f t="shared" ref="V198:V226" si="158">IF(OR(J198=0,J198=""),"",ABS((J198-69.40099)/2.222902))</f>
        <v>0.13540407989196049</v>
      </c>
      <c r="W198" t="str">
        <f t="shared" si="154"/>
        <v/>
      </c>
      <c r="X198">
        <f t="shared" ref="X198:X226" si="159">IF(OR(L198=0,L198=""),"",ABS((L198-1.849749)/1.393269))</f>
        <v>0.60989586361284143</v>
      </c>
      <c r="Y198" t="str">
        <f t="shared" si="155"/>
        <v/>
      </c>
      <c r="Z198">
        <f t="shared" ref="Z198:Z226" si="160">IF(OR(N198=0,N198=""),"",ABS((N198-69.231188)/2.519549))</f>
        <v>0.44896447737273959</v>
      </c>
      <c r="AA198">
        <f t="shared" ref="AA198:AA226" si="161">IF(OR(O198=0,O198=""),"",ABS((O198-113.18)/1.73698))</f>
        <v>0.88659627629563498</v>
      </c>
      <c r="AB198">
        <f t="shared" ref="AB198:AB226" si="162">IF(OR(P198=0,P198=""),"",ABS((P198-114.765594)/1.645198))</f>
        <v>2.0912984333803078E-2</v>
      </c>
      <c r="AC198">
        <f t="shared" ref="AC198:AC226" si="163">IF(OR(Q198=0,Q198=""),"",ABS((Q198-8.040149)/0.55663))</f>
        <v>0.7722382911449277</v>
      </c>
      <c r="AD198">
        <f t="shared" ref="AD198:AD226" si="164">IF(OR(R198=0,R198=""),"",ABS((R198-7.915297)/0.399795))</f>
        <v>0.9122250153203505</v>
      </c>
    </row>
    <row r="199" spans="1:30">
      <c r="A199" t="s">
        <v>161</v>
      </c>
      <c r="B199" t="s">
        <v>31</v>
      </c>
      <c r="C199" t="s">
        <v>32</v>
      </c>
      <c r="D199" t="s">
        <v>33</v>
      </c>
      <c r="E199" s="2">
        <v>46091</v>
      </c>
      <c r="F199" t="s">
        <v>34</v>
      </c>
      <c r="G199">
        <v>143.69999999999999</v>
      </c>
      <c r="H199">
        <v>78.900000000000006</v>
      </c>
      <c r="I199">
        <v>-1957.8</v>
      </c>
      <c r="J199">
        <v>69.099999999999994</v>
      </c>
      <c r="K199">
        <v>0</v>
      </c>
      <c r="L199">
        <v>0.8</v>
      </c>
      <c r="M199">
        <v>0</v>
      </c>
      <c r="N199">
        <v>68.3</v>
      </c>
      <c r="O199">
        <v>111.64</v>
      </c>
      <c r="P199">
        <v>113.11</v>
      </c>
      <c r="Q199">
        <v>8.89</v>
      </c>
      <c r="R199">
        <v>8.59</v>
      </c>
      <c r="S199">
        <f t="shared" si="156"/>
        <v>1.5779069148448766</v>
      </c>
      <c r="T199">
        <f t="shared" si="157"/>
        <v>3.4792528991072738</v>
      </c>
      <c r="U199">
        <f t="shared" si="153"/>
        <v>0</v>
      </c>
      <c r="V199">
        <f t="shared" si="158"/>
        <v>0.13540407989196049</v>
      </c>
      <c r="W199" t="str">
        <f t="shared" si="154"/>
        <v/>
      </c>
      <c r="X199">
        <f t="shared" si="159"/>
        <v>0.75344316137084799</v>
      </c>
      <c r="Y199" t="str">
        <f t="shared" si="155"/>
        <v/>
      </c>
      <c r="Z199">
        <f t="shared" si="160"/>
        <v>0.36958519163548947</v>
      </c>
      <c r="AA199">
        <f t="shared" si="161"/>
        <v>0.88659627629564319</v>
      </c>
      <c r="AB199">
        <f t="shared" si="162"/>
        <v>1.0063189962545502</v>
      </c>
      <c r="AC199">
        <f t="shared" si="163"/>
        <v>1.5267790093958304</v>
      </c>
      <c r="AD199">
        <f t="shared" si="164"/>
        <v>1.6876224064833227</v>
      </c>
    </row>
    <row r="200" spans="1:30">
      <c r="A200" t="s">
        <v>161</v>
      </c>
      <c r="B200" t="s">
        <v>31</v>
      </c>
      <c r="C200" t="s">
        <v>32</v>
      </c>
      <c r="D200" t="s">
        <v>33</v>
      </c>
      <c r="E200" s="2">
        <v>46091</v>
      </c>
      <c r="F200" t="s">
        <v>34</v>
      </c>
      <c r="G200">
        <v>149</v>
      </c>
      <c r="H200">
        <v>82.5</v>
      </c>
      <c r="I200">
        <v>-1957.8</v>
      </c>
      <c r="J200">
        <v>69.099999999999994</v>
      </c>
      <c r="K200">
        <v>0</v>
      </c>
      <c r="L200">
        <v>0.7</v>
      </c>
      <c r="M200">
        <v>0</v>
      </c>
      <c r="N200">
        <v>68.400000000000006</v>
      </c>
      <c r="O200">
        <v>114.5</v>
      </c>
      <c r="P200">
        <v>114.06</v>
      </c>
      <c r="Q200">
        <v>8.33</v>
      </c>
      <c r="R200">
        <v>8.35</v>
      </c>
      <c r="S200">
        <f t="shared" si="156"/>
        <v>0.65286740431295087</v>
      </c>
      <c r="T200">
        <f t="shared" si="157"/>
        <v>2.7646125587320212</v>
      </c>
      <c r="U200">
        <f t="shared" si="153"/>
        <v>0</v>
      </c>
      <c r="V200">
        <f t="shared" si="158"/>
        <v>0.13540407989196049</v>
      </c>
      <c r="W200" t="str">
        <f t="shared" si="154"/>
        <v/>
      </c>
      <c r="X200">
        <f t="shared" si="159"/>
        <v>0.82521681024985127</v>
      </c>
      <c r="Y200" t="str">
        <f t="shared" si="155"/>
        <v/>
      </c>
      <c r="Z200">
        <f t="shared" si="160"/>
        <v>0.32989554876686161</v>
      </c>
      <c r="AA200">
        <f t="shared" si="161"/>
        <v>0.75993966539625857</v>
      </c>
      <c r="AB200">
        <f t="shared" si="162"/>
        <v>0.42888090065754442</v>
      </c>
      <c r="AC200">
        <f t="shared" si="163"/>
        <v>0.52072471839462575</v>
      </c>
      <c r="AD200">
        <f t="shared" si="164"/>
        <v>1.087314748808764</v>
      </c>
    </row>
    <row r="201" spans="1:30">
      <c r="A201" t="s">
        <v>161</v>
      </c>
      <c r="B201" t="s">
        <v>31</v>
      </c>
      <c r="C201" t="s">
        <v>32</v>
      </c>
      <c r="D201" t="s">
        <v>33</v>
      </c>
      <c r="E201" s="2">
        <v>46091</v>
      </c>
      <c r="F201" t="s">
        <v>40</v>
      </c>
      <c r="G201">
        <v>151.69999999999999</v>
      </c>
      <c r="H201">
        <v>101.4</v>
      </c>
      <c r="I201">
        <v>-1957.8</v>
      </c>
      <c r="J201">
        <v>69.099999999999994</v>
      </c>
      <c r="K201">
        <v>0</v>
      </c>
      <c r="L201">
        <v>0.7</v>
      </c>
      <c r="M201">
        <v>0</v>
      </c>
      <c r="N201">
        <v>68.400000000000006</v>
      </c>
      <c r="O201">
        <v>114.5</v>
      </c>
      <c r="P201">
        <v>114.36</v>
      </c>
      <c r="Q201">
        <v>8.25</v>
      </c>
      <c r="R201">
        <v>8.4499999999999993</v>
      </c>
      <c r="S201">
        <f t="shared" si="156"/>
        <v>0.18162086121178406</v>
      </c>
      <c r="T201">
        <f t="shared" si="157"/>
        <v>0.98724922823806149</v>
      </c>
      <c r="U201">
        <f t="shared" si="153"/>
        <v>0</v>
      </c>
      <c r="V201">
        <f t="shared" si="158"/>
        <v>0.13540407989196049</v>
      </c>
      <c r="W201" t="str">
        <f t="shared" si="154"/>
        <v/>
      </c>
      <c r="X201">
        <f t="shared" si="159"/>
        <v>0.82521681024985127</v>
      </c>
      <c r="Y201" t="str">
        <f t="shared" si="155"/>
        <v/>
      </c>
      <c r="Z201">
        <f t="shared" si="160"/>
        <v>0.32989554876686161</v>
      </c>
      <c r="AA201">
        <f t="shared" si="161"/>
        <v>0.75993966539625857</v>
      </c>
      <c r="AB201">
        <f t="shared" si="162"/>
        <v>0.24653202836375535</v>
      </c>
      <c r="AC201">
        <f t="shared" si="163"/>
        <v>0.37700267682302513</v>
      </c>
      <c r="AD201">
        <f t="shared" si="164"/>
        <v>1.3374429395064957</v>
      </c>
    </row>
    <row r="202" spans="1:30">
      <c r="A202" t="s">
        <v>162</v>
      </c>
      <c r="B202" t="s">
        <v>31</v>
      </c>
      <c r="C202" t="s">
        <v>32</v>
      </c>
      <c r="D202" t="s">
        <v>33</v>
      </c>
      <c r="E202" s="2">
        <v>46091</v>
      </c>
      <c r="F202" t="s">
        <v>34</v>
      </c>
      <c r="G202">
        <v>135.6</v>
      </c>
      <c r="H202">
        <v>97.3</v>
      </c>
      <c r="I202">
        <v>-1957.8</v>
      </c>
      <c r="J202">
        <v>69.099999999999994</v>
      </c>
      <c r="K202">
        <v>0</v>
      </c>
      <c r="L202">
        <v>1.2</v>
      </c>
      <c r="M202">
        <v>0</v>
      </c>
      <c r="N202">
        <v>67.900000000000006</v>
      </c>
      <c r="O202">
        <v>111.2</v>
      </c>
      <c r="P202">
        <v>117.44</v>
      </c>
      <c r="Q202">
        <v>8.4</v>
      </c>
      <c r="R202">
        <v>7.79</v>
      </c>
      <c r="S202">
        <f t="shared" si="156"/>
        <v>2.9916465441483817</v>
      </c>
      <c r="T202">
        <f t="shared" si="157"/>
        <v>0.17335328503290987</v>
      </c>
      <c r="U202">
        <f t="shared" si="153"/>
        <v>0</v>
      </c>
      <c r="V202">
        <f t="shared" si="158"/>
        <v>0.13540407989196049</v>
      </c>
      <c r="W202" t="str">
        <f t="shared" si="154"/>
        <v/>
      </c>
      <c r="X202">
        <f t="shared" si="159"/>
        <v>0.46634856585483497</v>
      </c>
      <c r="Y202" t="str">
        <f t="shared" si="155"/>
        <v/>
      </c>
      <c r="Z202">
        <f t="shared" si="160"/>
        <v>0.5283437631099841</v>
      </c>
      <c r="AA202">
        <f t="shared" si="161"/>
        <v>1.139909498094396</v>
      </c>
      <c r="AB202">
        <f t="shared" si="162"/>
        <v>1.6255830605191623</v>
      </c>
      <c r="AC202">
        <f t="shared" si="163"/>
        <v>0.64648150476977673</v>
      </c>
      <c r="AD202">
        <f t="shared" si="164"/>
        <v>0.31340311909853741</v>
      </c>
    </row>
    <row r="203" spans="1:30">
      <c r="A203" t="s">
        <v>162</v>
      </c>
      <c r="B203" t="s">
        <v>31</v>
      </c>
      <c r="C203" t="s">
        <v>32</v>
      </c>
      <c r="D203" t="s">
        <v>33</v>
      </c>
      <c r="E203" s="2">
        <v>46091</v>
      </c>
      <c r="F203" t="s">
        <v>40</v>
      </c>
      <c r="G203">
        <v>158</v>
      </c>
      <c r="H203">
        <v>96.9</v>
      </c>
      <c r="I203">
        <v>-1957.8</v>
      </c>
      <c r="J203">
        <v>69.5</v>
      </c>
      <c r="K203">
        <v>0</v>
      </c>
      <c r="L203">
        <v>0.6</v>
      </c>
      <c r="M203">
        <v>0</v>
      </c>
      <c r="N203">
        <v>68.900000000000006</v>
      </c>
      <c r="O203">
        <v>111.28</v>
      </c>
      <c r="P203">
        <v>117.44</v>
      </c>
      <c r="Q203">
        <v>8.1300000000000008</v>
      </c>
      <c r="R203">
        <v>7.84</v>
      </c>
      <c r="S203">
        <f t="shared" si="156"/>
        <v>0.91795440602427836</v>
      </c>
      <c r="T203">
        <f t="shared" si="157"/>
        <v>9.3948802768994491E-2</v>
      </c>
      <c r="U203">
        <f t="shared" si="153"/>
        <v>0</v>
      </c>
      <c r="V203">
        <f t="shared" si="158"/>
        <v>4.4540874946357029E-2</v>
      </c>
      <c r="W203" t="str">
        <f t="shared" si="154"/>
        <v/>
      </c>
      <c r="X203">
        <f t="shared" si="159"/>
        <v>0.89699045912885444</v>
      </c>
      <c r="Y203" t="str">
        <f t="shared" si="155"/>
        <v/>
      </c>
      <c r="Z203">
        <f t="shared" si="160"/>
        <v>0.13144733442373907</v>
      </c>
      <c r="AA203">
        <f t="shared" si="161"/>
        <v>1.0938525486764417</v>
      </c>
      <c r="AB203">
        <f t="shared" si="162"/>
        <v>1.6255830605191623</v>
      </c>
      <c r="AC203">
        <f t="shared" si="163"/>
        <v>0.16141961446562572</v>
      </c>
      <c r="AD203">
        <f t="shared" si="164"/>
        <v>0.18833902374967157</v>
      </c>
    </row>
    <row r="204" spans="1:30">
      <c r="A204" t="s">
        <v>163</v>
      </c>
      <c r="B204" t="s">
        <v>31</v>
      </c>
      <c r="C204" t="s">
        <v>32</v>
      </c>
      <c r="D204" t="s">
        <v>33</v>
      </c>
      <c r="E204" s="2">
        <v>46091</v>
      </c>
      <c r="F204" t="s">
        <v>40</v>
      </c>
      <c r="G204">
        <v>153</v>
      </c>
      <c r="H204">
        <v>103.7</v>
      </c>
      <c r="I204">
        <v>-1957.8</v>
      </c>
      <c r="J204">
        <v>69.5</v>
      </c>
      <c r="K204">
        <v>0</v>
      </c>
      <c r="L204">
        <v>0.3</v>
      </c>
      <c r="M204">
        <v>0</v>
      </c>
      <c r="N204">
        <v>69.2</v>
      </c>
      <c r="O204">
        <v>110.98</v>
      </c>
      <c r="P204">
        <v>117.29</v>
      </c>
      <c r="Q204">
        <v>8.91</v>
      </c>
      <c r="R204">
        <v>8.25</v>
      </c>
      <c r="S204">
        <f t="shared" si="156"/>
        <v>4.5275622503595465E-2</v>
      </c>
      <c r="T204">
        <f t="shared" si="157"/>
        <v>1.443825001255584</v>
      </c>
      <c r="U204">
        <f t="shared" si="153"/>
        <v>0</v>
      </c>
      <c r="V204">
        <f t="shared" si="158"/>
        <v>4.4540874946357029E-2</v>
      </c>
      <c r="W204" t="str">
        <f t="shared" si="154"/>
        <v/>
      </c>
      <c r="X204">
        <f t="shared" si="159"/>
        <v>1.1123114057658643</v>
      </c>
      <c r="Y204" t="str">
        <f t="shared" si="155"/>
        <v/>
      </c>
      <c r="Z204">
        <f t="shared" si="160"/>
        <v>1.2378405817866695E-2</v>
      </c>
      <c r="AA204">
        <f t="shared" si="161"/>
        <v>1.2665661089937725</v>
      </c>
      <c r="AB204">
        <f t="shared" si="162"/>
        <v>1.5344086243722721</v>
      </c>
      <c r="AC204">
        <f t="shared" si="163"/>
        <v>1.5627095197887297</v>
      </c>
      <c r="AD204">
        <f t="shared" si="164"/>
        <v>0.83718655811103238</v>
      </c>
    </row>
    <row r="205" spans="1:30">
      <c r="A205" t="s">
        <v>164</v>
      </c>
      <c r="B205" t="s">
        <v>31</v>
      </c>
      <c r="C205" t="s">
        <v>32</v>
      </c>
      <c r="D205" t="s">
        <v>33</v>
      </c>
      <c r="E205" s="2">
        <v>46091</v>
      </c>
      <c r="F205" t="s">
        <v>34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f t="shared" si="156"/>
        <v/>
      </c>
      <c r="T205" t="str">
        <f t="shared" si="157"/>
        <v/>
      </c>
      <c r="U205" t="str">
        <f t="shared" si="153"/>
        <v/>
      </c>
      <c r="V205" t="str">
        <f t="shared" si="158"/>
        <v/>
      </c>
      <c r="W205" t="str">
        <f t="shared" si="154"/>
        <v/>
      </c>
      <c r="X205" t="str">
        <f t="shared" si="159"/>
        <v/>
      </c>
      <c r="Y205" t="str">
        <f t="shared" si="155"/>
        <v/>
      </c>
      <c r="Z205" t="str">
        <f t="shared" si="160"/>
        <v/>
      </c>
      <c r="AA205" t="str">
        <f t="shared" si="161"/>
        <v/>
      </c>
      <c r="AB205" t="str">
        <f t="shared" si="162"/>
        <v/>
      </c>
      <c r="AC205" t="str">
        <f t="shared" si="163"/>
        <v/>
      </c>
      <c r="AD205" t="str">
        <f t="shared" si="164"/>
        <v/>
      </c>
    </row>
    <row r="206" spans="1:30">
      <c r="A206" t="s">
        <v>164</v>
      </c>
      <c r="B206" t="s">
        <v>31</v>
      </c>
      <c r="C206" t="s">
        <v>32</v>
      </c>
      <c r="D206" t="s">
        <v>33</v>
      </c>
      <c r="E206" s="2">
        <v>46091</v>
      </c>
      <c r="F206" t="s">
        <v>34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f t="shared" si="156"/>
        <v/>
      </c>
      <c r="T206" t="str">
        <f t="shared" si="157"/>
        <v/>
      </c>
      <c r="U206" t="str">
        <f t="shared" si="153"/>
        <v/>
      </c>
      <c r="V206" t="str">
        <f t="shared" si="158"/>
        <v/>
      </c>
      <c r="W206" t="str">
        <f t="shared" si="154"/>
        <v/>
      </c>
      <c r="X206" t="str">
        <f t="shared" si="159"/>
        <v/>
      </c>
      <c r="Y206" t="str">
        <f t="shared" si="155"/>
        <v/>
      </c>
      <c r="Z206" t="str">
        <f t="shared" si="160"/>
        <v/>
      </c>
      <c r="AA206" t="str">
        <f t="shared" si="161"/>
        <v/>
      </c>
      <c r="AB206" t="str">
        <f t="shared" si="162"/>
        <v/>
      </c>
      <c r="AC206" t="str">
        <f t="shared" si="163"/>
        <v/>
      </c>
      <c r="AD206" t="str">
        <f t="shared" si="164"/>
        <v/>
      </c>
    </row>
    <row r="207" spans="1:30">
      <c r="A207" t="s">
        <v>164</v>
      </c>
      <c r="B207" t="s">
        <v>31</v>
      </c>
      <c r="C207" t="s">
        <v>32</v>
      </c>
      <c r="D207" t="s">
        <v>33</v>
      </c>
      <c r="E207" s="2">
        <v>46091</v>
      </c>
      <c r="F207" t="s">
        <v>40</v>
      </c>
      <c r="G207">
        <v>158.4</v>
      </c>
      <c r="H207">
        <v>103.7</v>
      </c>
      <c r="I207">
        <v>-1957.8</v>
      </c>
      <c r="J207">
        <v>70.8</v>
      </c>
      <c r="K207">
        <v>0</v>
      </c>
      <c r="L207">
        <v>1.1000000000000001</v>
      </c>
      <c r="M207">
        <v>0</v>
      </c>
      <c r="N207">
        <v>69.7</v>
      </c>
      <c r="O207">
        <v>111.79</v>
      </c>
      <c r="P207">
        <v>113.11</v>
      </c>
      <c r="Q207">
        <v>8.59</v>
      </c>
      <c r="R207">
        <v>8.5</v>
      </c>
      <c r="S207">
        <f t="shared" si="156"/>
        <v>0.98776870870593392</v>
      </c>
      <c r="T207">
        <f t="shared" si="157"/>
        <v>1.443825001255584</v>
      </c>
      <c r="U207">
        <f t="shared" si="153"/>
        <v>0</v>
      </c>
      <c r="V207">
        <f t="shared" si="158"/>
        <v>0.62936197817087935</v>
      </c>
      <c r="W207" t="str">
        <f t="shared" si="154"/>
        <v/>
      </c>
      <c r="X207">
        <f t="shared" si="159"/>
        <v>0.53812221473383814</v>
      </c>
      <c r="Y207" t="str">
        <f t="shared" si="155"/>
        <v/>
      </c>
      <c r="Z207">
        <f t="shared" si="160"/>
        <v>0.18606980852525581</v>
      </c>
      <c r="AA207">
        <f t="shared" si="161"/>
        <v>0.80023949613697376</v>
      </c>
      <c r="AB207">
        <f t="shared" si="162"/>
        <v>1.0063189962545502</v>
      </c>
      <c r="AC207">
        <f t="shared" si="163"/>
        <v>0.98782135350232714</v>
      </c>
      <c r="AD207">
        <f t="shared" si="164"/>
        <v>1.4625070348553639</v>
      </c>
    </row>
    <row r="208" spans="1:30">
      <c r="A208" t="s">
        <v>164</v>
      </c>
      <c r="B208" t="s">
        <v>31</v>
      </c>
      <c r="C208" t="s">
        <v>32</v>
      </c>
      <c r="D208" t="s">
        <v>33</v>
      </c>
      <c r="E208" s="2">
        <v>46091</v>
      </c>
      <c r="F208" t="s">
        <v>40</v>
      </c>
      <c r="G208">
        <v>147.69999999999999</v>
      </c>
      <c r="H208">
        <v>100.5</v>
      </c>
      <c r="I208">
        <v>-1957.8</v>
      </c>
      <c r="J208">
        <v>70.8</v>
      </c>
      <c r="K208">
        <v>0</v>
      </c>
      <c r="L208">
        <v>1.6</v>
      </c>
      <c r="M208">
        <v>0</v>
      </c>
      <c r="N208">
        <v>69.2</v>
      </c>
      <c r="O208">
        <v>111.72</v>
      </c>
      <c r="P208">
        <v>113.18</v>
      </c>
      <c r="Q208">
        <v>8.06</v>
      </c>
      <c r="R208">
        <v>8.15</v>
      </c>
      <c r="S208">
        <f t="shared" si="156"/>
        <v>0.87976388802833039</v>
      </c>
      <c r="T208">
        <f t="shared" si="157"/>
        <v>0.80858914314424701</v>
      </c>
      <c r="U208">
        <f t="shared" si="153"/>
        <v>0</v>
      </c>
      <c r="V208">
        <f t="shared" si="158"/>
        <v>0.62936197817087935</v>
      </c>
      <c r="W208" t="str">
        <f t="shared" si="154"/>
        <v/>
      </c>
      <c r="X208">
        <f t="shared" si="159"/>
        <v>0.17925397033882184</v>
      </c>
      <c r="Y208" t="str">
        <f t="shared" si="155"/>
        <v/>
      </c>
      <c r="Z208">
        <f t="shared" si="160"/>
        <v>1.2378405817866695E-2</v>
      </c>
      <c r="AA208">
        <f t="shared" si="161"/>
        <v>0.84053932687768884</v>
      </c>
      <c r="AB208">
        <f t="shared" si="162"/>
        <v>0.96377092605266124</v>
      </c>
      <c r="AC208">
        <f t="shared" si="163"/>
        <v>3.5662828090474739E-2</v>
      </c>
      <c r="AD208">
        <f t="shared" si="164"/>
        <v>0.58705836741330064</v>
      </c>
    </row>
    <row r="209" spans="1:30">
      <c r="A209" t="s">
        <v>165</v>
      </c>
      <c r="B209" t="s">
        <v>31</v>
      </c>
      <c r="C209" t="s">
        <v>32</v>
      </c>
      <c r="D209" t="s">
        <v>33</v>
      </c>
      <c r="E209" s="2">
        <v>46091</v>
      </c>
      <c r="F209" t="s">
        <v>34</v>
      </c>
      <c r="G209">
        <v>141.9</v>
      </c>
      <c r="H209">
        <v>95.5</v>
      </c>
      <c r="I209">
        <v>-1957.8</v>
      </c>
      <c r="J209">
        <v>71.3</v>
      </c>
      <c r="K209">
        <v>0</v>
      </c>
      <c r="L209">
        <v>2</v>
      </c>
      <c r="M209">
        <v>0</v>
      </c>
      <c r="N209">
        <v>69.3</v>
      </c>
      <c r="O209">
        <v>114.43</v>
      </c>
      <c r="P209">
        <v>114.5</v>
      </c>
      <c r="Q209">
        <v>8.5399999999999991</v>
      </c>
      <c r="R209">
        <v>8.3699999999999992</v>
      </c>
      <c r="S209">
        <f t="shared" si="156"/>
        <v>1.8920712769123196</v>
      </c>
      <c r="T209">
        <f t="shared" si="157"/>
        <v>0.18396688515471638</v>
      </c>
      <c r="U209">
        <f t="shared" si="153"/>
        <v>0</v>
      </c>
      <c r="V209">
        <f t="shared" si="158"/>
        <v>0.85429317171877306</v>
      </c>
      <c r="W209" t="str">
        <f t="shared" si="154"/>
        <v/>
      </c>
      <c r="X209">
        <f t="shared" si="159"/>
        <v>0.10784062517719113</v>
      </c>
      <c r="Y209" t="str">
        <f t="shared" si="155"/>
        <v/>
      </c>
      <c r="Z209">
        <f t="shared" si="160"/>
        <v>2.7311237050755551E-2</v>
      </c>
      <c r="AA209">
        <f t="shared" si="161"/>
        <v>0.71963983465555159</v>
      </c>
      <c r="AB209">
        <f t="shared" si="162"/>
        <v>0.16143588795998598</v>
      </c>
      <c r="AC209">
        <f t="shared" si="163"/>
        <v>0.89799507752007557</v>
      </c>
      <c r="AD209">
        <f t="shared" si="164"/>
        <v>1.1373403869483094</v>
      </c>
    </row>
    <row r="210" spans="1:30">
      <c r="A210" t="s">
        <v>165</v>
      </c>
      <c r="B210" t="s">
        <v>31</v>
      </c>
      <c r="C210" t="s">
        <v>32</v>
      </c>
      <c r="D210" t="s">
        <v>33</v>
      </c>
      <c r="E210" s="2">
        <v>46091</v>
      </c>
      <c r="F210" t="s">
        <v>34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111.57</v>
      </c>
      <c r="P210">
        <v>0</v>
      </c>
      <c r="Q210">
        <v>8.4700000000000006</v>
      </c>
      <c r="R210">
        <v>0</v>
      </c>
      <c r="S210" t="str">
        <f t="shared" si="156"/>
        <v/>
      </c>
      <c r="T210" t="str">
        <f t="shared" si="157"/>
        <v/>
      </c>
      <c r="U210" t="str">
        <f t="shared" si="153"/>
        <v/>
      </c>
      <c r="V210" t="str">
        <f t="shared" si="158"/>
        <v/>
      </c>
      <c r="W210" t="str">
        <f t="shared" si="154"/>
        <v/>
      </c>
      <c r="X210" t="str">
        <f t="shared" si="159"/>
        <v/>
      </c>
      <c r="Y210" t="str">
        <f t="shared" si="155"/>
        <v/>
      </c>
      <c r="Z210" t="str">
        <f t="shared" si="160"/>
        <v/>
      </c>
      <c r="AA210">
        <f t="shared" si="161"/>
        <v>0.92689610703635827</v>
      </c>
      <c r="AB210" t="str">
        <f t="shared" si="162"/>
        <v/>
      </c>
      <c r="AC210">
        <f t="shared" si="163"/>
        <v>0.7722382911449277</v>
      </c>
      <c r="AD210" t="str">
        <f t="shared" si="164"/>
        <v/>
      </c>
    </row>
    <row r="211" spans="1:30">
      <c r="A211" t="s">
        <v>165</v>
      </c>
      <c r="B211" t="s">
        <v>31</v>
      </c>
      <c r="C211" t="s">
        <v>32</v>
      </c>
      <c r="D211" t="s">
        <v>33</v>
      </c>
      <c r="E211" s="2">
        <v>46091</v>
      </c>
      <c r="F211" t="s">
        <v>34</v>
      </c>
      <c r="G211">
        <v>149.9</v>
      </c>
      <c r="H211">
        <v>-1973.8</v>
      </c>
      <c r="I211">
        <v>-1957.8</v>
      </c>
      <c r="J211">
        <v>71.3</v>
      </c>
      <c r="K211">
        <v>0</v>
      </c>
      <c r="L211">
        <v>2</v>
      </c>
      <c r="M211">
        <v>0</v>
      </c>
      <c r="N211">
        <v>69.3</v>
      </c>
      <c r="O211">
        <v>111.57</v>
      </c>
      <c r="P211">
        <v>113.26</v>
      </c>
      <c r="Q211">
        <v>8.4</v>
      </c>
      <c r="R211">
        <v>8.52</v>
      </c>
      <c r="S211">
        <f t="shared" si="156"/>
        <v>0.49578522327922692</v>
      </c>
      <c r="T211">
        <f t="shared" si="157"/>
        <v>410.96320475696371</v>
      </c>
      <c r="U211">
        <f t="shared" si="153"/>
        <v>0</v>
      </c>
      <c r="V211">
        <f t="shared" si="158"/>
        <v>0.85429317171877306</v>
      </c>
      <c r="W211" t="str">
        <f t="shared" si="154"/>
        <v/>
      </c>
      <c r="X211">
        <f t="shared" si="159"/>
        <v>0.10784062517719113</v>
      </c>
      <c r="Y211" t="str">
        <f t="shared" si="155"/>
        <v/>
      </c>
      <c r="Z211">
        <f t="shared" si="160"/>
        <v>2.7311237050755551E-2</v>
      </c>
      <c r="AA211">
        <f t="shared" si="161"/>
        <v>0.92689610703635827</v>
      </c>
      <c r="AB211">
        <f t="shared" si="162"/>
        <v>0.91514456010765144</v>
      </c>
      <c r="AC211">
        <f t="shared" si="163"/>
        <v>0.64648150476977673</v>
      </c>
      <c r="AD211">
        <f t="shared" si="164"/>
        <v>1.5125326729949093</v>
      </c>
    </row>
    <row r="212" spans="1:30">
      <c r="A212" t="s">
        <v>165</v>
      </c>
      <c r="B212" t="s">
        <v>31</v>
      </c>
      <c r="C212" t="s">
        <v>32</v>
      </c>
      <c r="D212" t="s">
        <v>33</v>
      </c>
      <c r="E212" s="2">
        <v>46091</v>
      </c>
      <c r="F212" t="s">
        <v>40</v>
      </c>
      <c r="G212">
        <v>161.1</v>
      </c>
      <c r="H212">
        <v>96.9</v>
      </c>
      <c r="I212">
        <v>-1957.8</v>
      </c>
      <c r="J212">
        <v>71.3</v>
      </c>
      <c r="K212">
        <v>0</v>
      </c>
      <c r="L212">
        <v>2.4</v>
      </c>
      <c r="M212">
        <v>0</v>
      </c>
      <c r="N212">
        <v>68.900000000000006</v>
      </c>
      <c r="O212">
        <v>114.58</v>
      </c>
      <c r="P212">
        <v>114.58</v>
      </c>
      <c r="Q212">
        <v>8.15</v>
      </c>
      <c r="R212">
        <v>8.5399999999999991</v>
      </c>
      <c r="S212">
        <f t="shared" si="156"/>
        <v>1.4590152518071007</v>
      </c>
      <c r="T212">
        <f t="shared" si="157"/>
        <v>9.3948802768994491E-2</v>
      </c>
      <c r="U212">
        <f t="shared" si="153"/>
        <v>0</v>
      </c>
      <c r="V212">
        <f t="shared" si="158"/>
        <v>0.85429317171877306</v>
      </c>
      <c r="W212" t="str">
        <f t="shared" si="154"/>
        <v/>
      </c>
      <c r="X212">
        <f t="shared" si="159"/>
        <v>0.39493522069320408</v>
      </c>
      <c r="Y212" t="str">
        <f t="shared" si="155"/>
        <v/>
      </c>
      <c r="Z212">
        <f t="shared" si="160"/>
        <v>0.13144733442373907</v>
      </c>
      <c r="AA212">
        <f t="shared" si="161"/>
        <v>0.80599661481421292</v>
      </c>
      <c r="AB212">
        <f t="shared" si="162"/>
        <v>0.11280952201497614</v>
      </c>
      <c r="AC212">
        <f t="shared" si="163"/>
        <v>0.19735012485852507</v>
      </c>
      <c r="AD212">
        <f t="shared" si="164"/>
        <v>1.5625583111344548</v>
      </c>
    </row>
    <row r="213" spans="1:30">
      <c r="A213" t="s">
        <v>166</v>
      </c>
      <c r="B213" t="s">
        <v>31</v>
      </c>
      <c r="C213" t="s">
        <v>32</v>
      </c>
      <c r="D213" t="s">
        <v>33</v>
      </c>
      <c r="E213" s="2">
        <v>46092</v>
      </c>
      <c r="F213" t="s">
        <v>34</v>
      </c>
      <c r="G213">
        <v>143.19999999999999</v>
      </c>
      <c r="H213">
        <v>47.7</v>
      </c>
      <c r="I213">
        <v>-1957.8</v>
      </c>
      <c r="J213">
        <v>70.400000000000006</v>
      </c>
      <c r="K213">
        <v>0</v>
      </c>
      <c r="L213">
        <v>0.6</v>
      </c>
      <c r="M213">
        <v>0</v>
      </c>
      <c r="N213">
        <v>69.8</v>
      </c>
      <c r="O213">
        <v>115.09</v>
      </c>
      <c r="P213">
        <v>114.94</v>
      </c>
      <c r="Q213">
        <v>7.1</v>
      </c>
      <c r="R213">
        <v>7.81</v>
      </c>
      <c r="S213">
        <f t="shared" si="156"/>
        <v>1.6651747931969449</v>
      </c>
      <c r="T213">
        <f t="shared" si="157"/>
        <v>9.6728025156928048</v>
      </c>
      <c r="U213">
        <f t="shared" si="153"/>
        <v>0</v>
      </c>
      <c r="V213">
        <f t="shared" si="158"/>
        <v>0.44941702333256828</v>
      </c>
      <c r="W213" t="str">
        <f t="shared" si="154"/>
        <v/>
      </c>
      <c r="X213">
        <f t="shared" si="159"/>
        <v>0.89699045912885444</v>
      </c>
      <c r="Y213" t="str">
        <f t="shared" si="155"/>
        <v/>
      </c>
      <c r="Z213">
        <f t="shared" si="160"/>
        <v>0.22575945139387807</v>
      </c>
      <c r="AA213">
        <f t="shared" si="161"/>
        <v>1.0996096673536808</v>
      </c>
      <c r="AB213">
        <f t="shared" si="162"/>
        <v>0.10600912473757246</v>
      </c>
      <c r="AC213">
        <f t="shared" si="163"/>
        <v>1.6890016707687332</v>
      </c>
      <c r="AD213">
        <f t="shared" si="164"/>
        <v>0.26337748095899194</v>
      </c>
    </row>
    <row r="214" spans="1:30">
      <c r="A214" t="s">
        <v>166</v>
      </c>
      <c r="B214" t="s">
        <v>31</v>
      </c>
      <c r="C214" t="s">
        <v>32</v>
      </c>
      <c r="D214" t="s">
        <v>33</v>
      </c>
      <c r="E214" s="2">
        <v>46092</v>
      </c>
      <c r="F214" t="s">
        <v>40</v>
      </c>
      <c r="G214">
        <v>157.1</v>
      </c>
      <c r="H214">
        <v>97.3</v>
      </c>
      <c r="I214">
        <v>-1957.8</v>
      </c>
      <c r="J214">
        <v>74.400000000000006</v>
      </c>
      <c r="K214">
        <v>0</v>
      </c>
      <c r="L214">
        <v>3.2</v>
      </c>
      <c r="M214">
        <v>0</v>
      </c>
      <c r="N214">
        <v>71.2</v>
      </c>
      <c r="O214">
        <v>111.79</v>
      </c>
      <c r="P214">
        <v>113.18</v>
      </c>
      <c r="Q214">
        <v>8.18</v>
      </c>
      <c r="R214">
        <v>8.52</v>
      </c>
      <c r="S214">
        <f t="shared" si="156"/>
        <v>0.7608722249905544</v>
      </c>
      <c r="T214">
        <f t="shared" si="157"/>
        <v>0.17335328503290987</v>
      </c>
      <c r="U214">
        <f t="shared" si="153"/>
        <v>0</v>
      </c>
      <c r="V214">
        <f t="shared" si="158"/>
        <v>2.2488665717157179</v>
      </c>
      <c r="W214" t="str">
        <f t="shared" si="154"/>
        <v/>
      </c>
      <c r="X214">
        <f t="shared" si="159"/>
        <v>0.96912441172523034</v>
      </c>
      <c r="Y214" t="str">
        <f t="shared" si="155"/>
        <v/>
      </c>
      <c r="Z214">
        <f t="shared" si="160"/>
        <v>0.78141445155462341</v>
      </c>
      <c r="AA214">
        <f t="shared" si="161"/>
        <v>0.80023949613697376</v>
      </c>
      <c r="AB214">
        <f t="shared" si="162"/>
        <v>0.96377092605266124</v>
      </c>
      <c r="AC214">
        <f t="shared" si="163"/>
        <v>0.25124589044787415</v>
      </c>
      <c r="AD214">
        <f t="shared" si="164"/>
        <v>1.5125326729949093</v>
      </c>
    </row>
    <row r="215" spans="1:30">
      <c r="A215" t="s">
        <v>167</v>
      </c>
      <c r="B215" t="s">
        <v>31</v>
      </c>
      <c r="C215" t="s">
        <v>32</v>
      </c>
      <c r="D215" t="s">
        <v>33</v>
      </c>
      <c r="E215" s="2">
        <v>46092</v>
      </c>
      <c r="F215" t="s">
        <v>40</v>
      </c>
      <c r="G215">
        <v>153</v>
      </c>
      <c r="H215">
        <v>85.2</v>
      </c>
      <c r="I215">
        <v>-1957.8</v>
      </c>
      <c r="J215">
        <v>73.5</v>
      </c>
      <c r="K215">
        <v>0</v>
      </c>
      <c r="L215">
        <v>1.2</v>
      </c>
      <c r="M215">
        <v>0</v>
      </c>
      <c r="N215">
        <v>72.3</v>
      </c>
      <c r="O215">
        <v>110.98</v>
      </c>
      <c r="P215">
        <v>111.42</v>
      </c>
      <c r="Q215">
        <v>8.5</v>
      </c>
      <c r="R215">
        <v>8.4</v>
      </c>
      <c r="S215">
        <f t="shared" si="156"/>
        <v>4.5275622503595465E-2</v>
      </c>
      <c r="T215">
        <f t="shared" si="157"/>
        <v>2.2286323034505804</v>
      </c>
      <c r="U215">
        <f t="shared" si="153"/>
        <v>0</v>
      </c>
      <c r="V215">
        <f t="shared" si="158"/>
        <v>1.8439904233295066</v>
      </c>
      <c r="W215" t="str">
        <f t="shared" si="154"/>
        <v/>
      </c>
      <c r="X215">
        <f t="shared" si="159"/>
        <v>0.46634856585483497</v>
      </c>
      <c r="Y215" t="str">
        <f t="shared" si="155"/>
        <v/>
      </c>
      <c r="Z215">
        <f t="shared" si="160"/>
        <v>1.2180005231094906</v>
      </c>
      <c r="AA215">
        <f t="shared" si="161"/>
        <v>1.2665661089937725</v>
      </c>
      <c r="AB215">
        <f t="shared" si="162"/>
        <v>2.0335509768429039</v>
      </c>
      <c r="AC215">
        <f t="shared" si="163"/>
        <v>0.82613405673427676</v>
      </c>
      <c r="AD215">
        <f t="shared" si="164"/>
        <v>1.2123788441576322</v>
      </c>
    </row>
    <row r="216" spans="1:30">
      <c r="A216" t="s">
        <v>168</v>
      </c>
      <c r="B216" t="s">
        <v>31</v>
      </c>
      <c r="C216" t="s">
        <v>32</v>
      </c>
      <c r="D216" t="s">
        <v>33</v>
      </c>
      <c r="E216" s="2">
        <v>46092</v>
      </c>
      <c r="F216" t="s">
        <v>34</v>
      </c>
      <c r="G216">
        <v>154.80000000000001</v>
      </c>
      <c r="H216">
        <v>101.9</v>
      </c>
      <c r="I216">
        <v>-1957.8</v>
      </c>
      <c r="J216">
        <v>72.599999999999994</v>
      </c>
      <c r="K216">
        <v>0</v>
      </c>
      <c r="L216">
        <v>1.6</v>
      </c>
      <c r="M216">
        <v>0</v>
      </c>
      <c r="N216">
        <v>71</v>
      </c>
      <c r="O216">
        <v>111.86</v>
      </c>
      <c r="P216">
        <v>111.72</v>
      </c>
      <c r="Q216">
        <v>7.91</v>
      </c>
      <c r="R216">
        <v>8.4499999999999993</v>
      </c>
      <c r="S216">
        <f t="shared" si="156"/>
        <v>0.35943998457104326</v>
      </c>
      <c r="T216">
        <f t="shared" si="157"/>
        <v>1.0865048310679579</v>
      </c>
      <c r="U216">
        <f t="shared" si="153"/>
        <v>0</v>
      </c>
      <c r="V216">
        <f t="shared" si="158"/>
        <v>1.4391142749432955</v>
      </c>
      <c r="W216" t="str">
        <f t="shared" si="154"/>
        <v/>
      </c>
      <c r="X216">
        <f t="shared" si="159"/>
        <v>0.17925397033882184</v>
      </c>
      <c r="Y216" t="str">
        <f t="shared" si="155"/>
        <v/>
      </c>
      <c r="Z216">
        <f t="shared" si="160"/>
        <v>0.70203516581737324</v>
      </c>
      <c r="AA216">
        <f t="shared" si="161"/>
        <v>0.75993966539626678</v>
      </c>
      <c r="AB216">
        <f t="shared" si="162"/>
        <v>1.8512021045491147</v>
      </c>
      <c r="AC216">
        <f t="shared" si="163"/>
        <v>0.23381599985627691</v>
      </c>
      <c r="AD216">
        <f t="shared" si="164"/>
        <v>1.3374429395064957</v>
      </c>
    </row>
    <row r="217" spans="1:30">
      <c r="A217" t="s">
        <v>168</v>
      </c>
      <c r="B217" t="s">
        <v>31</v>
      </c>
      <c r="C217" t="s">
        <v>32</v>
      </c>
      <c r="D217" t="s">
        <v>33</v>
      </c>
      <c r="E217" s="2">
        <v>46092</v>
      </c>
      <c r="F217" t="s">
        <v>40</v>
      </c>
      <c r="G217">
        <v>156.6</v>
      </c>
      <c r="H217">
        <v>100.1</v>
      </c>
      <c r="I217">
        <v>-1957.8</v>
      </c>
      <c r="J217">
        <v>72.599999999999994</v>
      </c>
      <c r="K217">
        <v>0</v>
      </c>
      <c r="L217">
        <v>2.1</v>
      </c>
      <c r="M217">
        <v>0</v>
      </c>
      <c r="N217">
        <v>70.5</v>
      </c>
      <c r="O217">
        <v>111.86</v>
      </c>
      <c r="P217">
        <v>113.04</v>
      </c>
      <c r="Q217">
        <v>8.01</v>
      </c>
      <c r="R217">
        <v>8.2799999999999994</v>
      </c>
      <c r="S217">
        <f t="shared" si="156"/>
        <v>0.67360434663848612</v>
      </c>
      <c r="T217">
        <f t="shared" si="157"/>
        <v>0.72918466088032874</v>
      </c>
      <c r="U217">
        <f t="shared" si="153"/>
        <v>0</v>
      </c>
      <c r="V217">
        <f t="shared" si="158"/>
        <v>1.4391142749432955</v>
      </c>
      <c r="W217" t="str">
        <f t="shared" si="154"/>
        <v/>
      </c>
      <c r="X217">
        <f t="shared" si="159"/>
        <v>0.17961427405619446</v>
      </c>
      <c r="Y217" t="str">
        <f t="shared" si="155"/>
        <v/>
      </c>
      <c r="Z217">
        <f t="shared" si="160"/>
        <v>0.5035869514742507</v>
      </c>
      <c r="AA217">
        <f t="shared" si="161"/>
        <v>0.75993966539626678</v>
      </c>
      <c r="AB217">
        <f t="shared" si="162"/>
        <v>1.0488670664564306</v>
      </c>
      <c r="AC217">
        <f t="shared" si="163"/>
        <v>5.4163447891776871E-2</v>
      </c>
      <c r="AD217">
        <f t="shared" si="164"/>
        <v>0.9122250153203505</v>
      </c>
    </row>
    <row r="218" spans="1:30">
      <c r="A218" t="s">
        <v>169</v>
      </c>
      <c r="B218" t="s">
        <v>31</v>
      </c>
      <c r="C218" t="s">
        <v>32</v>
      </c>
      <c r="D218" t="s">
        <v>33</v>
      </c>
      <c r="E218" s="2">
        <v>46092</v>
      </c>
      <c r="F218" t="s">
        <v>40</v>
      </c>
      <c r="G218">
        <v>147.19999999999999</v>
      </c>
      <c r="H218">
        <v>87.9</v>
      </c>
      <c r="I218">
        <v>-1957.8</v>
      </c>
      <c r="J218">
        <v>71.3</v>
      </c>
      <c r="K218">
        <v>0</v>
      </c>
      <c r="L218">
        <v>1.9</v>
      </c>
      <c r="M218">
        <v>0</v>
      </c>
      <c r="N218">
        <v>69.400000000000006</v>
      </c>
      <c r="O218">
        <v>114.58</v>
      </c>
      <c r="P218">
        <v>114.43</v>
      </c>
      <c r="Q218">
        <v>7.89</v>
      </c>
      <c r="R218">
        <v>7.93</v>
      </c>
      <c r="S218">
        <f t="shared" si="156"/>
        <v>0.96703176638039867</v>
      </c>
      <c r="T218">
        <f t="shared" si="157"/>
        <v>1.6926520481691396</v>
      </c>
      <c r="U218">
        <f t="shared" si="153"/>
        <v>0</v>
      </c>
      <c r="V218">
        <f t="shared" si="158"/>
        <v>0.85429317171877306</v>
      </c>
      <c r="W218" t="str">
        <f t="shared" si="154"/>
        <v/>
      </c>
      <c r="X218">
        <f t="shared" si="159"/>
        <v>3.6066976298187801E-2</v>
      </c>
      <c r="Y218" t="str">
        <f t="shared" si="155"/>
        <v/>
      </c>
      <c r="Z218">
        <f t="shared" si="160"/>
        <v>6.7000879919383444E-2</v>
      </c>
      <c r="AA218">
        <f t="shared" si="161"/>
        <v>0.80599661481421292</v>
      </c>
      <c r="AB218">
        <f t="shared" si="162"/>
        <v>0.20398395816186635</v>
      </c>
      <c r="AC218">
        <f t="shared" si="163"/>
        <v>0.2697465102491779</v>
      </c>
      <c r="AD218">
        <f t="shared" si="164"/>
        <v>3.6776347878287395E-2</v>
      </c>
    </row>
    <row r="219" spans="1:30">
      <c r="A219" t="s">
        <v>170</v>
      </c>
      <c r="B219" t="s">
        <v>31</v>
      </c>
      <c r="C219" t="s">
        <v>32</v>
      </c>
      <c r="D219" t="s">
        <v>33</v>
      </c>
      <c r="E219" s="2">
        <v>46092</v>
      </c>
      <c r="F219" t="s">
        <v>34</v>
      </c>
      <c r="G219">
        <v>129.80000000000001</v>
      </c>
      <c r="H219">
        <v>85.2</v>
      </c>
      <c r="I219">
        <v>-1957.8</v>
      </c>
      <c r="J219">
        <v>71.3</v>
      </c>
      <c r="K219">
        <v>0</v>
      </c>
      <c r="L219">
        <v>2.4</v>
      </c>
      <c r="M219">
        <v>0</v>
      </c>
      <c r="N219">
        <v>68.900000000000006</v>
      </c>
      <c r="O219">
        <v>114.58</v>
      </c>
      <c r="P219">
        <v>114.58</v>
      </c>
      <c r="Q219">
        <v>8.15</v>
      </c>
      <c r="R219">
        <v>8.11</v>
      </c>
      <c r="S219">
        <f t="shared" si="156"/>
        <v>4.0039539330323715</v>
      </c>
      <c r="T219">
        <f t="shared" si="157"/>
        <v>2.2286323034505804</v>
      </c>
      <c r="U219">
        <f t="shared" si="153"/>
        <v>0</v>
      </c>
      <c r="V219">
        <f t="shared" si="158"/>
        <v>0.85429317171877306</v>
      </c>
      <c r="W219" t="str">
        <f t="shared" si="154"/>
        <v/>
      </c>
      <c r="X219">
        <f t="shared" si="159"/>
        <v>0.39493522069320408</v>
      </c>
      <c r="Y219" t="str">
        <f t="shared" si="155"/>
        <v/>
      </c>
      <c r="Z219">
        <f t="shared" si="160"/>
        <v>0.13144733442373907</v>
      </c>
      <c r="AA219">
        <f t="shared" si="161"/>
        <v>0.80599661481421292</v>
      </c>
      <c r="AB219">
        <f t="shared" si="162"/>
        <v>0.11280952201497614</v>
      </c>
      <c r="AC219">
        <f t="shared" si="163"/>
        <v>0.19735012485852507</v>
      </c>
      <c r="AD219">
        <f t="shared" si="164"/>
        <v>0.48700709113420532</v>
      </c>
    </row>
    <row r="220" spans="1:30">
      <c r="A220" t="s">
        <v>170</v>
      </c>
      <c r="B220" t="s">
        <v>31</v>
      </c>
      <c r="C220" t="s">
        <v>32</v>
      </c>
      <c r="D220" t="s">
        <v>33</v>
      </c>
      <c r="E220" s="2">
        <v>46092</v>
      </c>
      <c r="F220" t="s">
        <v>34</v>
      </c>
      <c r="G220">
        <v>137.4</v>
      </c>
      <c r="H220">
        <v>87</v>
      </c>
      <c r="I220">
        <v>-1957.8</v>
      </c>
      <c r="J220">
        <v>71.3</v>
      </c>
      <c r="K220">
        <v>0</v>
      </c>
      <c r="L220">
        <v>1.5</v>
      </c>
      <c r="M220">
        <v>0</v>
      </c>
      <c r="N220">
        <v>69.8</v>
      </c>
      <c r="O220">
        <v>111.72</v>
      </c>
      <c r="P220">
        <v>113.11</v>
      </c>
      <c r="Q220">
        <v>8.25</v>
      </c>
      <c r="R220">
        <v>8.5</v>
      </c>
      <c r="S220">
        <f t="shared" si="156"/>
        <v>2.6774821820809342</v>
      </c>
      <c r="T220">
        <f t="shared" si="157"/>
        <v>1.8713121332629541</v>
      </c>
      <c r="U220">
        <f t="shared" si="153"/>
        <v>0</v>
      </c>
      <c r="V220">
        <f t="shared" si="158"/>
        <v>0.85429317171877306</v>
      </c>
      <c r="W220" t="str">
        <f t="shared" si="154"/>
        <v/>
      </c>
      <c r="X220">
        <f t="shared" si="159"/>
        <v>0.25102761921782518</v>
      </c>
      <c r="Y220" t="str">
        <f t="shared" si="155"/>
        <v/>
      </c>
      <c r="Z220">
        <f t="shared" si="160"/>
        <v>0.22575945139387807</v>
      </c>
      <c r="AA220">
        <f t="shared" si="161"/>
        <v>0.84053932687768884</v>
      </c>
      <c r="AB220">
        <f t="shared" si="162"/>
        <v>1.0063189962545502</v>
      </c>
      <c r="AC220">
        <f t="shared" si="163"/>
        <v>0.37700267682302513</v>
      </c>
      <c r="AD220">
        <f t="shared" si="164"/>
        <v>1.4625070348553639</v>
      </c>
    </row>
    <row r="221" spans="1:30">
      <c r="A221" t="s">
        <v>170</v>
      </c>
      <c r="B221" t="s">
        <v>31</v>
      </c>
      <c r="C221" t="s">
        <v>32</v>
      </c>
      <c r="D221" t="s">
        <v>33</v>
      </c>
      <c r="E221" s="2">
        <v>46092</v>
      </c>
      <c r="F221" t="s">
        <v>40</v>
      </c>
      <c r="G221">
        <v>156.6</v>
      </c>
      <c r="H221">
        <v>86.5</v>
      </c>
      <c r="I221">
        <v>-1957.8</v>
      </c>
      <c r="J221">
        <v>70.8</v>
      </c>
      <c r="K221">
        <v>0</v>
      </c>
      <c r="L221">
        <v>1.7</v>
      </c>
      <c r="M221">
        <v>0</v>
      </c>
      <c r="N221">
        <v>69.099999999999994</v>
      </c>
      <c r="O221">
        <v>111.42</v>
      </c>
      <c r="P221">
        <v>112.67</v>
      </c>
      <c r="Q221">
        <v>8.1300000000000008</v>
      </c>
      <c r="R221">
        <v>8.5</v>
      </c>
      <c r="S221">
        <f t="shared" si="156"/>
        <v>0.67360434663848612</v>
      </c>
      <c r="T221">
        <f t="shared" si="157"/>
        <v>1.9705677360928504</v>
      </c>
      <c r="U221">
        <f t="shared" si="153"/>
        <v>0</v>
      </c>
      <c r="V221">
        <f t="shared" si="158"/>
        <v>0.62936197817087935</v>
      </c>
      <c r="W221" t="str">
        <f t="shared" si="154"/>
        <v/>
      </c>
      <c r="X221">
        <f t="shared" si="159"/>
        <v>0.10748032145981869</v>
      </c>
      <c r="Y221" t="str">
        <f t="shared" si="155"/>
        <v/>
      </c>
      <c r="Z221">
        <f t="shared" si="160"/>
        <v>5.2068048686494582E-2</v>
      </c>
      <c r="AA221">
        <f t="shared" si="161"/>
        <v>1.0132528871950195</v>
      </c>
      <c r="AB221">
        <f t="shared" si="162"/>
        <v>1.2737640089521087</v>
      </c>
      <c r="AC221">
        <f t="shared" si="163"/>
        <v>0.16141961446562572</v>
      </c>
      <c r="AD221">
        <f t="shared" si="164"/>
        <v>1.4625070348553639</v>
      </c>
    </row>
    <row r="222" spans="1:30">
      <c r="A222" t="s">
        <v>171</v>
      </c>
      <c r="B222" t="s">
        <v>31</v>
      </c>
      <c r="C222" t="s">
        <v>32</v>
      </c>
      <c r="D222" t="s">
        <v>33</v>
      </c>
      <c r="E222" s="2">
        <v>46092</v>
      </c>
      <c r="F222" t="s">
        <v>40</v>
      </c>
      <c r="G222">
        <v>155.30000000000001</v>
      </c>
      <c r="H222">
        <v>87</v>
      </c>
      <c r="I222">
        <v>-1957.8</v>
      </c>
      <c r="J222">
        <v>71.3</v>
      </c>
      <c r="K222">
        <v>0</v>
      </c>
      <c r="L222">
        <v>2</v>
      </c>
      <c r="M222">
        <v>0</v>
      </c>
      <c r="N222">
        <v>69.3</v>
      </c>
      <c r="O222">
        <v>114.5</v>
      </c>
      <c r="P222">
        <v>114.58</v>
      </c>
      <c r="Q222">
        <v>8.35</v>
      </c>
      <c r="R222">
        <v>8.15</v>
      </c>
      <c r="S222">
        <f t="shared" si="156"/>
        <v>0.44670786292311154</v>
      </c>
      <c r="T222">
        <f t="shared" si="157"/>
        <v>1.8713121332629541</v>
      </c>
      <c r="U222">
        <f t="shared" si="153"/>
        <v>0</v>
      </c>
      <c r="V222">
        <f t="shared" si="158"/>
        <v>0.85429317171877306</v>
      </c>
      <c r="W222" t="str">
        <f t="shared" si="154"/>
        <v/>
      </c>
      <c r="X222">
        <f t="shared" si="159"/>
        <v>0.10784062517719113</v>
      </c>
      <c r="Y222" t="str">
        <f t="shared" si="155"/>
        <v/>
      </c>
      <c r="Z222">
        <f t="shared" si="160"/>
        <v>2.7311237050755551E-2</v>
      </c>
      <c r="AA222">
        <f t="shared" si="161"/>
        <v>0.75993966539625857</v>
      </c>
      <c r="AB222">
        <f t="shared" si="162"/>
        <v>0.11280952201497614</v>
      </c>
      <c r="AC222">
        <f t="shared" si="163"/>
        <v>0.55665522878752516</v>
      </c>
      <c r="AD222">
        <f t="shared" si="164"/>
        <v>0.58705836741330064</v>
      </c>
    </row>
    <row r="223" spans="1:30">
      <c r="A223" t="s">
        <v>172</v>
      </c>
      <c r="B223" t="s">
        <v>31</v>
      </c>
      <c r="C223" t="s">
        <v>32</v>
      </c>
      <c r="D223" t="s">
        <v>33</v>
      </c>
      <c r="E223" s="2">
        <v>46092</v>
      </c>
      <c r="F223" t="s">
        <v>40</v>
      </c>
      <c r="G223">
        <v>150.80000000000001</v>
      </c>
      <c r="H223">
        <v>85.2</v>
      </c>
      <c r="I223">
        <v>-1957.8</v>
      </c>
      <c r="J223">
        <v>71.3</v>
      </c>
      <c r="K223">
        <v>0</v>
      </c>
      <c r="L223">
        <v>2.2000000000000002</v>
      </c>
      <c r="M223">
        <v>0</v>
      </c>
      <c r="N223">
        <v>69.099999999999994</v>
      </c>
      <c r="O223">
        <v>111.06</v>
      </c>
      <c r="P223">
        <v>117.44</v>
      </c>
      <c r="Q223">
        <v>8.5</v>
      </c>
      <c r="R223">
        <v>7.96</v>
      </c>
      <c r="S223">
        <f t="shared" si="156"/>
        <v>0.33870304224550302</v>
      </c>
      <c r="T223">
        <f t="shared" si="157"/>
        <v>2.2286323034505804</v>
      </c>
      <c r="U223">
        <f t="shared" si="153"/>
        <v>0</v>
      </c>
      <c r="V223">
        <f t="shared" si="158"/>
        <v>0.85429317171877306</v>
      </c>
      <c r="W223" t="str">
        <f t="shared" si="154"/>
        <v/>
      </c>
      <c r="X223">
        <f t="shared" si="159"/>
        <v>0.25138792293519779</v>
      </c>
      <c r="Y223" t="str">
        <f t="shared" si="155"/>
        <v/>
      </c>
      <c r="Z223">
        <f t="shared" si="160"/>
        <v>5.2068048686494582E-2</v>
      </c>
      <c r="AA223">
        <f t="shared" si="161"/>
        <v>1.2205091595758182</v>
      </c>
      <c r="AB223">
        <f t="shared" si="162"/>
        <v>1.6255830605191623</v>
      </c>
      <c r="AC223">
        <f t="shared" si="163"/>
        <v>0.82613405673427676</v>
      </c>
      <c r="AD223">
        <f t="shared" si="164"/>
        <v>0.1118148050876078</v>
      </c>
    </row>
    <row r="224" spans="1:30">
      <c r="A224" t="s">
        <v>173</v>
      </c>
      <c r="B224" t="s">
        <v>31</v>
      </c>
      <c r="C224" t="s">
        <v>32</v>
      </c>
      <c r="D224" t="s">
        <v>33</v>
      </c>
      <c r="E224" s="2">
        <v>46092</v>
      </c>
      <c r="F224" t="s">
        <v>40</v>
      </c>
      <c r="G224">
        <v>149.9</v>
      </c>
      <c r="H224">
        <v>92.4</v>
      </c>
      <c r="I224">
        <v>-1957.8</v>
      </c>
      <c r="J224">
        <v>70.8</v>
      </c>
      <c r="K224">
        <v>0</v>
      </c>
      <c r="L224">
        <v>1.1000000000000001</v>
      </c>
      <c r="M224">
        <v>0</v>
      </c>
      <c r="N224">
        <v>69.7</v>
      </c>
      <c r="O224">
        <v>114.43</v>
      </c>
      <c r="P224">
        <v>112.96</v>
      </c>
      <c r="Q224">
        <v>8.1300000000000008</v>
      </c>
      <c r="R224">
        <v>8.18</v>
      </c>
      <c r="S224">
        <f t="shared" si="156"/>
        <v>0.49578522327922692</v>
      </c>
      <c r="T224">
        <f t="shared" si="157"/>
        <v>0.79935162270007254</v>
      </c>
      <c r="U224">
        <f t="shared" si="153"/>
        <v>0</v>
      </c>
      <c r="V224">
        <f t="shared" si="158"/>
        <v>0.62936197817087935</v>
      </c>
      <c r="W224" t="str">
        <f t="shared" si="154"/>
        <v/>
      </c>
      <c r="X224">
        <f t="shared" si="159"/>
        <v>0.53812221473383814</v>
      </c>
      <c r="Y224" t="str">
        <f t="shared" si="155"/>
        <v/>
      </c>
      <c r="Z224">
        <f t="shared" si="160"/>
        <v>0.18606980852525581</v>
      </c>
      <c r="AA224">
        <f t="shared" si="161"/>
        <v>0.71963983465555159</v>
      </c>
      <c r="AB224">
        <f t="shared" si="162"/>
        <v>1.0974934324014491</v>
      </c>
      <c r="AC224">
        <f t="shared" si="163"/>
        <v>0.16141961446562572</v>
      </c>
      <c r="AD224">
        <f t="shared" si="164"/>
        <v>0.66209682462261887</v>
      </c>
    </row>
    <row r="225" spans="1:30">
      <c r="A225" t="s">
        <v>174</v>
      </c>
      <c r="B225" t="s">
        <v>31</v>
      </c>
      <c r="C225" t="s">
        <v>32</v>
      </c>
      <c r="D225" t="s">
        <v>33</v>
      </c>
      <c r="E225" s="2">
        <v>46092</v>
      </c>
      <c r="F225" t="s">
        <v>40</v>
      </c>
      <c r="G225">
        <v>153.9</v>
      </c>
      <c r="H225">
        <v>96</v>
      </c>
      <c r="I225">
        <v>-1957.8</v>
      </c>
      <c r="J225">
        <v>71.3</v>
      </c>
      <c r="K225">
        <v>0</v>
      </c>
      <c r="L225">
        <v>2.1</v>
      </c>
      <c r="M225">
        <v>0</v>
      </c>
      <c r="N225">
        <v>69.2</v>
      </c>
      <c r="O225">
        <v>113.7</v>
      </c>
      <c r="P225">
        <v>116.56</v>
      </c>
      <c r="Q225">
        <v>7.67</v>
      </c>
      <c r="R225">
        <v>7.37</v>
      </c>
      <c r="S225">
        <f t="shared" si="156"/>
        <v>0.20235780353731939</v>
      </c>
      <c r="T225">
        <f t="shared" si="157"/>
        <v>8.4711282324820045E-2</v>
      </c>
      <c r="U225">
        <f t="shared" si="153"/>
        <v>0</v>
      </c>
      <c r="V225">
        <f t="shared" si="158"/>
        <v>0.85429317171877306</v>
      </c>
      <c r="W225" t="str">
        <f t="shared" si="154"/>
        <v/>
      </c>
      <c r="X225">
        <f t="shared" si="159"/>
        <v>0.17961427405619446</v>
      </c>
      <c r="Y225" t="str">
        <f t="shared" si="155"/>
        <v/>
      </c>
      <c r="Z225">
        <f t="shared" si="160"/>
        <v>1.2378405817866695E-2</v>
      </c>
      <c r="AA225">
        <f t="shared" si="161"/>
        <v>0.29937017121670717</v>
      </c>
      <c r="AB225">
        <f t="shared" si="162"/>
        <v>1.0906930351240454</v>
      </c>
      <c r="AC225">
        <f t="shared" si="163"/>
        <v>0.66498212457107886</v>
      </c>
      <c r="AD225">
        <f t="shared" si="164"/>
        <v>1.3639415200290141</v>
      </c>
    </row>
    <row r="226" spans="1:30">
      <c r="A226" t="s">
        <v>175</v>
      </c>
      <c r="B226" t="s">
        <v>31</v>
      </c>
      <c r="C226" t="s">
        <v>32</v>
      </c>
      <c r="D226" t="s">
        <v>33</v>
      </c>
      <c r="E226" s="2">
        <v>46092</v>
      </c>
      <c r="F226" t="s">
        <v>40</v>
      </c>
      <c r="G226">
        <v>153.9</v>
      </c>
      <c r="H226">
        <v>91.5</v>
      </c>
      <c r="I226">
        <v>-1957.8</v>
      </c>
      <c r="J226">
        <v>71.3</v>
      </c>
      <c r="K226">
        <v>0</v>
      </c>
      <c r="L226">
        <v>1.8</v>
      </c>
      <c r="M226">
        <v>0</v>
      </c>
      <c r="N226">
        <v>69.5</v>
      </c>
      <c r="O226">
        <v>114.72</v>
      </c>
      <c r="P226">
        <v>114.72</v>
      </c>
      <c r="Q226">
        <v>8.01</v>
      </c>
      <c r="R226">
        <v>8.11</v>
      </c>
      <c r="S226">
        <f t="shared" si="156"/>
        <v>0.20235780353731939</v>
      </c>
      <c r="T226">
        <f t="shared" si="157"/>
        <v>0.97801170779388702</v>
      </c>
      <c r="U226">
        <f t="shared" si="153"/>
        <v>0</v>
      </c>
      <c r="V226">
        <f t="shared" si="158"/>
        <v>0.85429317171877306</v>
      </c>
      <c r="W226" t="str">
        <f t="shared" si="154"/>
        <v/>
      </c>
      <c r="X226">
        <f t="shared" si="159"/>
        <v>3.5706672580815363E-2</v>
      </c>
      <c r="Y226" t="str">
        <f t="shared" si="155"/>
        <v/>
      </c>
      <c r="Z226">
        <f t="shared" si="160"/>
        <v>0.10669052278800568</v>
      </c>
      <c r="AA226">
        <f t="shared" si="161"/>
        <v>0.88659627629563498</v>
      </c>
      <c r="AB226">
        <f t="shared" si="162"/>
        <v>2.7713381611206761E-2</v>
      </c>
      <c r="AC226">
        <f t="shared" si="163"/>
        <v>5.4163447891776871E-2</v>
      </c>
      <c r="AD226">
        <f t="shared" si="164"/>
        <v>0.48700709113420532</v>
      </c>
    </row>
    <row r="227" spans="1:30">
      <c r="A227" t="s">
        <v>176</v>
      </c>
      <c r="B227" t="s">
        <v>37</v>
      </c>
      <c r="C227" t="s">
        <v>38</v>
      </c>
      <c r="D227" t="s">
        <v>39</v>
      </c>
      <c r="E227" s="2">
        <v>46092</v>
      </c>
      <c r="F227" t="s">
        <v>40</v>
      </c>
      <c r="G227">
        <v>113.7</v>
      </c>
      <c r="H227">
        <v>81.599999999999994</v>
      </c>
      <c r="I227">
        <v>-1957.8</v>
      </c>
      <c r="J227">
        <v>70.8</v>
      </c>
      <c r="K227">
        <v>0</v>
      </c>
      <c r="L227">
        <v>1.1000000000000001</v>
      </c>
      <c r="M227">
        <v>0</v>
      </c>
      <c r="N227">
        <v>69.7</v>
      </c>
      <c r="O227">
        <v>115.09</v>
      </c>
      <c r="P227">
        <v>115.09</v>
      </c>
      <c r="Q227">
        <v>3.78</v>
      </c>
      <c r="R227">
        <v>3.96</v>
      </c>
      <c r="S227">
        <f t="shared" ref="S227:S235" si="165">IF(OR(G227=0,G227=""),"",ABS((G227-112.561871)/4.985957))</f>
        <v>0.2282669104446762</v>
      </c>
      <c r="T227">
        <f t="shared" ref="T227:T235" si="166">IF(OR(H227=0,H227=""),"",ABS((H227-80.720624)/2.821681))</f>
        <v>0.31164968683561095</v>
      </c>
      <c r="U227">
        <f t="shared" si="153"/>
        <v>0</v>
      </c>
      <c r="V227">
        <f t="shared" ref="V227:V235" si="167">IF(OR(J227=0,J227=""),"",ABS((J227-69.348681)/1.912674))</f>
        <v>0.75879057277925988</v>
      </c>
      <c r="W227" t="str">
        <f t="shared" si="154"/>
        <v/>
      </c>
      <c r="X227">
        <f t="shared" ref="X227:X235" si="168">IF(OR(L227=0,L227=""),"",ABS((L227-1.455283)/1.400093))</f>
        <v>0.25375671473252137</v>
      </c>
      <c r="Y227" t="str">
        <f t="shared" si="155"/>
        <v/>
      </c>
      <c r="Z227">
        <f t="shared" ref="Z227:Z235" si="169">IF(OR(N227=0,N227=""),"",ABS((N227-69.699041)/2.195614))</f>
        <v>4.3677987114712057E-4</v>
      </c>
      <c r="AA227">
        <f t="shared" ref="AA227:AA235" si="170">IF(OR(O227=0,O227=""),"",ABS((O227-113.513094)/1.682996))</f>
        <v>0.93696360537993451</v>
      </c>
      <c r="AB227">
        <f t="shared" ref="AB227:AB235" si="171">IF(OR(P227=0,P227=""),"",ABS((P227-115.315492)/1.394108))</f>
        <v>0.16174643571373432</v>
      </c>
      <c r="AC227">
        <f t="shared" ref="AC227:AC235" si="172">IF(OR(Q227=0,Q227=""),"",ABS((Q227-3.821127)/0.150485))</f>
        <v>0.27329634182809154</v>
      </c>
      <c r="AD227">
        <f t="shared" ref="AD227:AD235" si="173">IF(OR(R227=0,R227=""),"",ABS((R227-3.848345)/0.156761))</f>
        <v>0.71226261633952215</v>
      </c>
    </row>
    <row r="228" spans="1:30">
      <c r="A228" t="s">
        <v>177</v>
      </c>
      <c r="B228" t="s">
        <v>37</v>
      </c>
      <c r="C228" t="s">
        <v>38</v>
      </c>
      <c r="D228" t="s">
        <v>39</v>
      </c>
      <c r="E228" s="2">
        <v>46092</v>
      </c>
      <c r="F228" t="s">
        <v>40</v>
      </c>
      <c r="G228">
        <v>114.2</v>
      </c>
      <c r="H228">
        <v>81.099999999999994</v>
      </c>
      <c r="I228">
        <v>-1957.8</v>
      </c>
      <c r="J228">
        <v>71.3</v>
      </c>
      <c r="K228">
        <v>0</v>
      </c>
      <c r="L228">
        <v>1.9</v>
      </c>
      <c r="M228">
        <v>0</v>
      </c>
      <c r="N228">
        <v>69.400000000000006</v>
      </c>
      <c r="O228">
        <v>115.38</v>
      </c>
      <c r="P228">
        <v>115.46</v>
      </c>
      <c r="Q228">
        <v>3.81</v>
      </c>
      <c r="R228">
        <v>3.93</v>
      </c>
      <c r="S228">
        <f t="shared" si="165"/>
        <v>0.32854856148980155</v>
      </c>
      <c r="T228">
        <f t="shared" si="166"/>
        <v>0.13445035069520386</v>
      </c>
      <c r="U228">
        <f t="shared" si="153"/>
        <v>0</v>
      </c>
      <c r="V228">
        <f t="shared" si="167"/>
        <v>1.0202046977163897</v>
      </c>
      <c r="W228" t="str">
        <f t="shared" si="154"/>
        <v/>
      </c>
      <c r="X228">
        <f t="shared" si="168"/>
        <v>0.31763390003378333</v>
      </c>
      <c r="Y228" t="str">
        <f t="shared" si="155"/>
        <v/>
      </c>
      <c r="Z228">
        <f t="shared" si="169"/>
        <v>0.13619925906830088</v>
      </c>
      <c r="AA228">
        <f t="shared" si="170"/>
        <v>1.1092753636966459</v>
      </c>
      <c r="AB228">
        <f t="shared" si="171"/>
        <v>0.10365624470987016</v>
      </c>
      <c r="AC228">
        <f t="shared" si="172"/>
        <v>7.3940924344619782E-2</v>
      </c>
      <c r="AD228">
        <f t="shared" si="173"/>
        <v>0.52088848629442286</v>
      </c>
    </row>
    <row r="229" spans="1:30">
      <c r="A229" t="s">
        <v>178</v>
      </c>
      <c r="B229" t="s">
        <v>37</v>
      </c>
      <c r="C229" t="s">
        <v>38</v>
      </c>
      <c r="D229" t="s">
        <v>39</v>
      </c>
      <c r="E229" s="2">
        <v>46092</v>
      </c>
      <c r="F229" t="s">
        <v>40</v>
      </c>
      <c r="G229">
        <v>110.2</v>
      </c>
      <c r="H229">
        <v>80.7</v>
      </c>
      <c r="I229">
        <v>-1957.8</v>
      </c>
      <c r="J229">
        <v>71.3</v>
      </c>
      <c r="K229">
        <v>0</v>
      </c>
      <c r="L229">
        <v>2.4</v>
      </c>
      <c r="M229">
        <v>0</v>
      </c>
      <c r="N229">
        <v>68.900000000000006</v>
      </c>
      <c r="O229">
        <v>115.75</v>
      </c>
      <c r="P229">
        <v>117.29</v>
      </c>
      <c r="Q229">
        <v>3.81</v>
      </c>
      <c r="R229">
        <v>3.81</v>
      </c>
      <c r="S229">
        <f t="shared" si="165"/>
        <v>0.47370464687120117</v>
      </c>
      <c r="T229">
        <f t="shared" si="166"/>
        <v>7.309118217118795E-3</v>
      </c>
      <c r="U229">
        <f t="shared" si="153"/>
        <v>0</v>
      </c>
      <c r="V229">
        <f t="shared" si="167"/>
        <v>1.0202046977163897</v>
      </c>
      <c r="W229" t="str">
        <f t="shared" si="154"/>
        <v/>
      </c>
      <c r="X229">
        <f t="shared" si="168"/>
        <v>0.67475303426272382</v>
      </c>
      <c r="Y229" t="str">
        <f t="shared" si="155"/>
        <v/>
      </c>
      <c r="Z229">
        <f t="shared" si="169"/>
        <v>0.36392599063404968</v>
      </c>
      <c r="AA229">
        <f t="shared" si="170"/>
        <v>1.3291214001697003</v>
      </c>
      <c r="AB229">
        <f t="shared" si="171"/>
        <v>1.4163235559942273</v>
      </c>
      <c r="AC229">
        <f t="shared" si="172"/>
        <v>7.3940924344619782E-2</v>
      </c>
      <c r="AD229">
        <f t="shared" si="173"/>
        <v>0.24460803388597974</v>
      </c>
    </row>
    <row r="230" spans="1:30">
      <c r="A230" t="s">
        <v>179</v>
      </c>
      <c r="B230" t="s">
        <v>37</v>
      </c>
      <c r="C230" t="s">
        <v>38</v>
      </c>
      <c r="D230" t="s">
        <v>39</v>
      </c>
      <c r="E230" s="2">
        <v>46092</v>
      </c>
      <c r="F230" t="s">
        <v>40</v>
      </c>
      <c r="G230">
        <v>115.1</v>
      </c>
      <c r="H230">
        <v>77.900000000000006</v>
      </c>
      <c r="I230">
        <v>-1957.8</v>
      </c>
      <c r="J230">
        <v>71.3</v>
      </c>
      <c r="K230">
        <v>0</v>
      </c>
      <c r="L230">
        <v>2.2000000000000002</v>
      </c>
      <c r="M230">
        <v>0</v>
      </c>
      <c r="N230">
        <v>69.099999999999994</v>
      </c>
      <c r="O230">
        <v>115.31</v>
      </c>
      <c r="P230">
        <v>115.24</v>
      </c>
      <c r="Q230">
        <v>3.88</v>
      </c>
      <c r="R230">
        <v>3.98</v>
      </c>
      <c r="S230">
        <f t="shared" si="165"/>
        <v>0.50905553337102538</v>
      </c>
      <c r="T230">
        <f t="shared" si="166"/>
        <v>0.99962540060339755</v>
      </c>
      <c r="U230">
        <f t="shared" si="153"/>
        <v>0</v>
      </c>
      <c r="V230">
        <f t="shared" si="167"/>
        <v>1.0202046977163897</v>
      </c>
      <c r="W230" t="str">
        <f t="shared" si="154"/>
        <v/>
      </c>
      <c r="X230">
        <f t="shared" si="168"/>
        <v>0.53190538057114778</v>
      </c>
      <c r="Y230" t="str">
        <f t="shared" si="155"/>
        <v/>
      </c>
      <c r="Z230">
        <f t="shared" si="169"/>
        <v>0.27283529800775536</v>
      </c>
      <c r="AA230">
        <f t="shared" si="170"/>
        <v>1.0676828703098564</v>
      </c>
      <c r="AB230">
        <f t="shared" si="171"/>
        <v>5.4150754460924995E-2</v>
      </c>
      <c r="AC230">
        <f t="shared" si="172"/>
        <v>0.39122171645014275</v>
      </c>
      <c r="AD230">
        <f t="shared" si="173"/>
        <v>0.83984536970292256</v>
      </c>
    </row>
    <row r="231" spans="1:30">
      <c r="A231" t="s">
        <v>180</v>
      </c>
      <c r="B231" t="s">
        <v>37</v>
      </c>
      <c r="C231" t="s">
        <v>38</v>
      </c>
      <c r="D231" t="s">
        <v>39</v>
      </c>
      <c r="E231" s="2">
        <v>46092</v>
      </c>
      <c r="F231" t="s">
        <v>40</v>
      </c>
      <c r="G231">
        <v>108.8</v>
      </c>
      <c r="H231">
        <v>82.5</v>
      </c>
      <c r="I231">
        <v>-1957.8</v>
      </c>
      <c r="J231">
        <v>71.3</v>
      </c>
      <c r="K231">
        <v>0</v>
      </c>
      <c r="L231">
        <v>2.9</v>
      </c>
      <c r="M231">
        <v>0</v>
      </c>
      <c r="N231">
        <v>68.400000000000006</v>
      </c>
      <c r="O231">
        <v>115.6</v>
      </c>
      <c r="P231">
        <v>117</v>
      </c>
      <c r="Q231">
        <v>3.52</v>
      </c>
      <c r="R231">
        <v>3.56</v>
      </c>
      <c r="S231">
        <f t="shared" si="165"/>
        <v>0.75449326979755327</v>
      </c>
      <c r="T231">
        <f t="shared" si="166"/>
        <v>0.63060849188834578</v>
      </c>
      <c r="U231">
        <f t="shared" si="153"/>
        <v>0</v>
      </c>
      <c r="V231">
        <f t="shared" si="167"/>
        <v>1.0202046977163897</v>
      </c>
      <c r="W231" t="str">
        <f t="shared" si="154"/>
        <v/>
      </c>
      <c r="X231">
        <f t="shared" si="168"/>
        <v>1.0318721684916643</v>
      </c>
      <c r="Y231" t="str">
        <f t="shared" si="155"/>
        <v/>
      </c>
      <c r="Z231">
        <f t="shared" si="169"/>
        <v>0.59165272219979848</v>
      </c>
      <c r="AA231">
        <f t="shared" si="170"/>
        <v>1.2399946286265677</v>
      </c>
      <c r="AB231">
        <f t="shared" si="171"/>
        <v>1.2083052389054463</v>
      </c>
      <c r="AC231">
        <f t="shared" si="172"/>
        <v>2.0010432933514979</v>
      </c>
      <c r="AD231">
        <f t="shared" si="173"/>
        <v>1.8393924509284838</v>
      </c>
    </row>
    <row r="232" spans="1:30">
      <c r="A232" t="s">
        <v>181</v>
      </c>
      <c r="B232" t="s">
        <v>37</v>
      </c>
      <c r="C232" t="s">
        <v>38</v>
      </c>
      <c r="D232" t="s">
        <v>39</v>
      </c>
      <c r="E232" s="2">
        <v>46092</v>
      </c>
      <c r="F232" t="s">
        <v>40</v>
      </c>
      <c r="G232">
        <v>116.4</v>
      </c>
      <c r="H232">
        <v>84.3</v>
      </c>
      <c r="I232">
        <v>-1957.8</v>
      </c>
      <c r="J232">
        <v>70.8</v>
      </c>
      <c r="K232">
        <v>0</v>
      </c>
      <c r="L232">
        <v>2</v>
      </c>
      <c r="M232">
        <v>0</v>
      </c>
      <c r="N232">
        <v>68.8</v>
      </c>
      <c r="O232">
        <v>115.46</v>
      </c>
      <c r="P232">
        <v>115.38</v>
      </c>
      <c r="Q232">
        <v>3.81</v>
      </c>
      <c r="R232">
        <v>3.86</v>
      </c>
      <c r="S232">
        <f t="shared" si="165"/>
        <v>0.76978782608835361</v>
      </c>
      <c r="T232">
        <f t="shared" si="166"/>
        <v>1.2685261019938103</v>
      </c>
      <c r="U232">
        <f t="shared" si="153"/>
        <v>0</v>
      </c>
      <c r="V232">
        <f t="shared" si="167"/>
        <v>0.75879057277925988</v>
      </c>
      <c r="W232" t="str">
        <f t="shared" si="154"/>
        <v/>
      </c>
      <c r="X232">
        <f t="shared" si="168"/>
        <v>0.38905772687957146</v>
      </c>
      <c r="Y232" t="str">
        <f t="shared" si="155"/>
        <v/>
      </c>
      <c r="Z232">
        <f t="shared" si="169"/>
        <v>0.40947133694720333</v>
      </c>
      <c r="AA232">
        <f t="shared" si="170"/>
        <v>1.1568096418529803</v>
      </c>
      <c r="AB232">
        <f t="shared" si="171"/>
        <v>4.6271881375036482E-2</v>
      </c>
      <c r="AC232">
        <f t="shared" si="172"/>
        <v>7.3940924344619782E-2</v>
      </c>
      <c r="AD232">
        <f t="shared" si="173"/>
        <v>7.4348849522519939E-2</v>
      </c>
    </row>
    <row r="233" spans="1:30">
      <c r="A233" t="s">
        <v>182</v>
      </c>
      <c r="B233" t="s">
        <v>37</v>
      </c>
      <c r="C233" t="s">
        <v>38</v>
      </c>
      <c r="D233" t="s">
        <v>39</v>
      </c>
      <c r="E233" s="2">
        <v>46092</v>
      </c>
      <c r="F233" t="s">
        <v>40</v>
      </c>
      <c r="G233">
        <v>113.7</v>
      </c>
      <c r="H233">
        <v>83.4</v>
      </c>
      <c r="I233">
        <v>-1957.8</v>
      </c>
      <c r="J233">
        <v>70.8</v>
      </c>
      <c r="K233">
        <v>0</v>
      </c>
      <c r="L233">
        <v>1.9</v>
      </c>
      <c r="M233">
        <v>0</v>
      </c>
      <c r="N233">
        <v>68.900000000000006</v>
      </c>
      <c r="O233">
        <v>115.46</v>
      </c>
      <c r="P233">
        <v>115.38</v>
      </c>
      <c r="Q233">
        <v>3.81</v>
      </c>
      <c r="R233">
        <v>3.88</v>
      </c>
      <c r="S233">
        <f t="shared" si="165"/>
        <v>0.2282669104446762</v>
      </c>
      <c r="T233">
        <f t="shared" si="166"/>
        <v>0.94956729694108055</v>
      </c>
      <c r="U233">
        <f t="shared" si="153"/>
        <v>0</v>
      </c>
      <c r="V233">
        <f t="shared" si="167"/>
        <v>0.75879057277925988</v>
      </c>
      <c r="W233" t="str">
        <f t="shared" si="154"/>
        <v/>
      </c>
      <c r="X233">
        <f t="shared" si="168"/>
        <v>0.31763390003378333</v>
      </c>
      <c r="Y233" t="str">
        <f t="shared" si="155"/>
        <v/>
      </c>
      <c r="Z233">
        <f t="shared" si="169"/>
        <v>0.36392599063404968</v>
      </c>
      <c r="AA233">
        <f t="shared" si="170"/>
        <v>1.1568096418529803</v>
      </c>
      <c r="AB233">
        <f t="shared" si="171"/>
        <v>4.6271881375036482E-2</v>
      </c>
      <c r="AC233">
        <f t="shared" si="172"/>
        <v>7.3940924344619782E-2</v>
      </c>
      <c r="AD233">
        <f t="shared" si="173"/>
        <v>0.20193160288592038</v>
      </c>
    </row>
    <row r="234" spans="1:30">
      <c r="A234" t="s">
        <v>183</v>
      </c>
      <c r="B234" t="s">
        <v>37</v>
      </c>
      <c r="C234" t="s">
        <v>38</v>
      </c>
      <c r="D234" t="s">
        <v>39</v>
      </c>
      <c r="E234" s="2">
        <v>46092</v>
      </c>
      <c r="F234" t="s">
        <v>34</v>
      </c>
      <c r="G234">
        <v>137.4</v>
      </c>
      <c r="H234">
        <v>143.80000000000001</v>
      </c>
      <c r="I234">
        <v>-1957.8</v>
      </c>
      <c r="J234">
        <v>71.3</v>
      </c>
      <c r="K234">
        <v>0</v>
      </c>
      <c r="L234">
        <v>2.9</v>
      </c>
      <c r="M234">
        <v>0</v>
      </c>
      <c r="N234">
        <v>68.400000000000006</v>
      </c>
      <c r="O234">
        <v>111.86</v>
      </c>
      <c r="P234">
        <v>112.96</v>
      </c>
      <c r="Q234">
        <v>5.05</v>
      </c>
      <c r="R234">
        <v>6.1</v>
      </c>
      <c r="S234">
        <f t="shared" si="165"/>
        <v>4.9816171699836183</v>
      </c>
      <c r="T234">
        <f t="shared" si="166"/>
        <v>22.355247102702258</v>
      </c>
      <c r="U234">
        <f t="shared" si="153"/>
        <v>0</v>
      </c>
      <c r="V234">
        <f t="shared" si="167"/>
        <v>1.0202046977163897</v>
      </c>
      <c r="W234" t="str">
        <f t="shared" si="154"/>
        <v/>
      </c>
      <c r="X234">
        <f t="shared" si="168"/>
        <v>1.0318721684916643</v>
      </c>
      <c r="Y234" t="str">
        <f t="shared" si="155"/>
        <v/>
      </c>
      <c r="Z234">
        <f t="shared" si="169"/>
        <v>0.59165272219979848</v>
      </c>
      <c r="AA234">
        <f t="shared" si="170"/>
        <v>0.98223287518211322</v>
      </c>
      <c r="AB234">
        <f t="shared" si="171"/>
        <v>1.6896051095037203</v>
      </c>
      <c r="AC234">
        <f t="shared" si="172"/>
        <v>8.1660829983054768</v>
      </c>
      <c r="AD234">
        <f t="shared" si="173"/>
        <v>14.363617226223354</v>
      </c>
    </row>
    <row r="235" spans="1:30">
      <c r="A235" t="s">
        <v>183</v>
      </c>
      <c r="B235" t="s">
        <v>37</v>
      </c>
      <c r="C235" t="s">
        <v>38</v>
      </c>
      <c r="D235" t="s">
        <v>39</v>
      </c>
      <c r="E235" s="2">
        <v>46092</v>
      </c>
      <c r="F235" t="s">
        <v>40</v>
      </c>
      <c r="G235">
        <v>110.6</v>
      </c>
      <c r="H235">
        <v>84.3</v>
      </c>
      <c r="I235">
        <v>-1957.8</v>
      </c>
      <c r="J235">
        <v>70.8</v>
      </c>
      <c r="K235">
        <v>0</v>
      </c>
      <c r="L235">
        <v>1.6</v>
      </c>
      <c r="M235">
        <v>0</v>
      </c>
      <c r="N235">
        <v>69.2</v>
      </c>
      <c r="O235">
        <v>112.16</v>
      </c>
      <c r="P235">
        <v>116.7</v>
      </c>
      <c r="Q235">
        <v>4.05</v>
      </c>
      <c r="R235">
        <v>3.98</v>
      </c>
      <c r="S235">
        <f t="shared" si="165"/>
        <v>0.39347932603510261</v>
      </c>
      <c r="T235">
        <f t="shared" si="166"/>
        <v>1.2685261019938103</v>
      </c>
      <c r="U235">
        <f t="shared" si="153"/>
        <v>0</v>
      </c>
      <c r="V235">
        <f t="shared" si="167"/>
        <v>0.75879057277925988</v>
      </c>
      <c r="W235" t="str">
        <f t="shared" si="154"/>
        <v/>
      </c>
      <c r="X235">
        <f t="shared" si="168"/>
        <v>0.10336241949641915</v>
      </c>
      <c r="Y235" t="str">
        <f t="shared" si="155"/>
        <v/>
      </c>
      <c r="Z235">
        <f t="shared" si="169"/>
        <v>0.2272899516946017</v>
      </c>
      <c r="AA235">
        <f t="shared" si="170"/>
        <v>0.80397933209585692</v>
      </c>
      <c r="AB235">
        <f t="shared" si="171"/>
        <v>0.99311387639981752</v>
      </c>
      <c r="AC235">
        <f t="shared" si="172"/>
        <v>1.5209024155231394</v>
      </c>
      <c r="AD235">
        <f t="shared" si="173"/>
        <v>0.83984536970292256</v>
      </c>
    </row>
    <row r="236" spans="1:30">
      <c r="A236" t="s">
        <v>184</v>
      </c>
      <c r="B236" t="s">
        <v>31</v>
      </c>
      <c r="C236" t="s">
        <v>32</v>
      </c>
      <c r="D236" t="s">
        <v>33</v>
      </c>
      <c r="E236" s="2">
        <v>46093</v>
      </c>
      <c r="F236" t="s">
        <v>34</v>
      </c>
      <c r="G236">
        <v>137.4</v>
      </c>
      <c r="H236">
        <v>90.1</v>
      </c>
      <c r="I236">
        <v>-1957.8</v>
      </c>
      <c r="J236">
        <v>65.900000000000006</v>
      </c>
      <c r="K236">
        <v>0</v>
      </c>
      <c r="L236">
        <v>0.9</v>
      </c>
      <c r="M236">
        <v>0</v>
      </c>
      <c r="N236">
        <v>65</v>
      </c>
      <c r="O236">
        <v>111.42</v>
      </c>
      <c r="P236">
        <v>117.73</v>
      </c>
      <c r="Q236">
        <v>8.42</v>
      </c>
      <c r="R236">
        <v>7.71</v>
      </c>
      <c r="S236">
        <f t="shared" ref="S236:S270" si="174">IF(OR(G236=0,G236=""),"",ABS((G236-152.740594)/5.729485))</f>
        <v>2.6774821820809342</v>
      </c>
      <c r="T236">
        <f t="shared" ref="T236:T270" si="175">IF(OR(H236=0,H236=""),"",ABS((H236-96.426733)/5.037499))</f>
        <v>1.255927395717598</v>
      </c>
      <c r="U236">
        <f t="shared" si="153"/>
        <v>0</v>
      </c>
      <c r="V236">
        <f t="shared" ref="V236:V270" si="176">IF(OR(J236=0,J236=""),"",ABS((J236-69.40099)/2.222902))</f>
        <v>1.5749637185984751</v>
      </c>
      <c r="W236" t="str">
        <f t="shared" si="154"/>
        <v/>
      </c>
      <c r="X236">
        <f t="shared" ref="X236:X270" si="177">IF(OR(L236=0,L236=""),"",ABS((L236-1.849749)/1.393269))</f>
        <v>0.68166951249184471</v>
      </c>
      <c r="Y236" t="str">
        <f t="shared" si="155"/>
        <v/>
      </c>
      <c r="Z236">
        <f t="shared" ref="Z236:Z270" si="178">IF(OR(N236=0,N236=""),"",ABS((N236-69.231188)/2.519549))</f>
        <v>1.6793434063000969</v>
      </c>
      <c r="AA236">
        <f t="shared" ref="AA236:AA270" si="179">IF(OR(O236=0,O236=""),"",ABS((O236-113.18)/1.73698))</f>
        <v>1.0132528871950195</v>
      </c>
      <c r="AB236">
        <f t="shared" ref="AB236:AB270" si="180">IF(OR(P236=0,P236=""),"",ABS((P236-114.765594)/1.645198))</f>
        <v>1.8018536370698306</v>
      </c>
      <c r="AC236">
        <f t="shared" ref="AC236:AC270" si="181">IF(OR(Q236=0,Q236=""),"",ABS((Q236-8.040149)/0.55663))</f>
        <v>0.68241201516267613</v>
      </c>
      <c r="AD236">
        <f t="shared" ref="AD236:AD270" si="182">IF(OR(R236=0,R236=""),"",ABS((R236-7.915297)/0.399795))</f>
        <v>0.51350567165672367</v>
      </c>
    </row>
    <row r="237" spans="1:30">
      <c r="A237" t="s">
        <v>184</v>
      </c>
      <c r="B237" t="s">
        <v>31</v>
      </c>
      <c r="C237" t="s">
        <v>32</v>
      </c>
      <c r="D237" t="s">
        <v>33</v>
      </c>
      <c r="E237" s="2">
        <v>46093</v>
      </c>
      <c r="F237" t="s">
        <v>34</v>
      </c>
      <c r="G237">
        <v>144.6</v>
      </c>
      <c r="H237">
        <v>93.7</v>
      </c>
      <c r="I237">
        <v>-1957.8</v>
      </c>
      <c r="J237">
        <v>65.900000000000006</v>
      </c>
      <c r="K237">
        <v>0</v>
      </c>
      <c r="L237">
        <v>1.2</v>
      </c>
      <c r="M237">
        <v>0</v>
      </c>
      <c r="N237">
        <v>64.7</v>
      </c>
      <c r="O237">
        <v>111.79</v>
      </c>
      <c r="P237">
        <v>113.33</v>
      </c>
      <c r="Q237">
        <v>7.79</v>
      </c>
      <c r="R237">
        <v>7.71</v>
      </c>
      <c r="S237">
        <f t="shared" si="174"/>
        <v>1.4208247338111528</v>
      </c>
      <c r="T237">
        <f t="shared" si="175"/>
        <v>0.54128705534234267</v>
      </c>
      <c r="U237">
        <f t="shared" si="153"/>
        <v>0</v>
      </c>
      <c r="V237">
        <f t="shared" si="176"/>
        <v>1.5749637185984751</v>
      </c>
      <c r="W237" t="str">
        <f t="shared" si="154"/>
        <v/>
      </c>
      <c r="X237">
        <f t="shared" si="177"/>
        <v>0.46634856585483497</v>
      </c>
      <c r="Y237" t="str">
        <f t="shared" si="155"/>
        <v/>
      </c>
      <c r="Z237">
        <f t="shared" si="178"/>
        <v>1.7984123349059693</v>
      </c>
      <c r="AA237">
        <f t="shared" si="179"/>
        <v>0.80023949613697376</v>
      </c>
      <c r="AB237">
        <f t="shared" si="180"/>
        <v>0.8725964899057711</v>
      </c>
      <c r="AC237">
        <f t="shared" si="181"/>
        <v>0.44939906221367792</v>
      </c>
      <c r="AD237">
        <f t="shared" si="182"/>
        <v>0.51350567165672367</v>
      </c>
    </row>
    <row r="238" spans="1:30">
      <c r="A238" t="s">
        <v>184</v>
      </c>
      <c r="B238" t="s">
        <v>31</v>
      </c>
      <c r="C238" t="s">
        <v>32</v>
      </c>
      <c r="D238" t="s">
        <v>33</v>
      </c>
      <c r="E238" s="2">
        <v>46093</v>
      </c>
      <c r="F238" t="s">
        <v>40</v>
      </c>
      <c r="G238">
        <v>149</v>
      </c>
      <c r="H238">
        <v>97.3</v>
      </c>
      <c r="I238">
        <v>-1957.8</v>
      </c>
      <c r="J238">
        <v>65.900000000000006</v>
      </c>
      <c r="K238">
        <v>0</v>
      </c>
      <c r="L238">
        <v>0.8</v>
      </c>
      <c r="M238">
        <v>0</v>
      </c>
      <c r="N238">
        <v>65.099999999999994</v>
      </c>
      <c r="O238">
        <v>111.72</v>
      </c>
      <c r="P238">
        <v>112.74</v>
      </c>
      <c r="Q238">
        <v>7.69</v>
      </c>
      <c r="R238">
        <v>7.98</v>
      </c>
      <c r="S238">
        <f t="shared" si="174"/>
        <v>0.65286740431295087</v>
      </c>
      <c r="T238">
        <f t="shared" si="175"/>
        <v>0.17335328503290987</v>
      </c>
      <c r="U238">
        <f t="shared" si="153"/>
        <v>0</v>
      </c>
      <c r="V238">
        <f t="shared" si="176"/>
        <v>1.5749637185984751</v>
      </c>
      <c r="W238" t="str">
        <f t="shared" si="154"/>
        <v/>
      </c>
      <c r="X238">
        <f t="shared" si="177"/>
        <v>0.75344316137084799</v>
      </c>
      <c r="Y238" t="str">
        <f t="shared" si="155"/>
        <v/>
      </c>
      <c r="Z238">
        <f t="shared" si="178"/>
        <v>1.6396537634314747</v>
      </c>
      <c r="AA238">
        <f t="shared" si="179"/>
        <v>0.84053932687768884</v>
      </c>
      <c r="AB238">
        <f t="shared" si="180"/>
        <v>1.2312159387502284</v>
      </c>
      <c r="AC238">
        <f t="shared" si="181"/>
        <v>0.6290516141781779</v>
      </c>
      <c r="AD238">
        <f t="shared" si="182"/>
        <v>0.16184044322715546</v>
      </c>
    </row>
    <row r="239" spans="1:30">
      <c r="A239" t="s">
        <v>185</v>
      </c>
      <c r="B239" t="s">
        <v>31</v>
      </c>
      <c r="C239" t="s">
        <v>32</v>
      </c>
      <c r="D239" t="s">
        <v>33</v>
      </c>
      <c r="E239" s="2">
        <v>46093</v>
      </c>
      <c r="F239" t="s">
        <v>34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tr">
        <f t="shared" si="174"/>
        <v/>
      </c>
      <c r="T239" t="str">
        <f t="shared" si="175"/>
        <v/>
      </c>
      <c r="U239" t="str">
        <f t="shared" si="153"/>
        <v/>
      </c>
      <c r="V239" t="str">
        <f t="shared" si="176"/>
        <v/>
      </c>
      <c r="W239" t="str">
        <f t="shared" si="154"/>
        <v/>
      </c>
      <c r="X239" t="str">
        <f t="shared" si="177"/>
        <v/>
      </c>
      <c r="Y239" t="str">
        <f t="shared" si="155"/>
        <v/>
      </c>
      <c r="Z239" t="str">
        <f t="shared" si="178"/>
        <v/>
      </c>
      <c r="AA239" t="str">
        <f t="shared" si="179"/>
        <v/>
      </c>
      <c r="AB239" t="str">
        <f t="shared" si="180"/>
        <v/>
      </c>
      <c r="AC239" t="str">
        <f t="shared" si="181"/>
        <v/>
      </c>
      <c r="AD239" t="str">
        <f t="shared" si="182"/>
        <v/>
      </c>
    </row>
    <row r="240" spans="1:30">
      <c r="A240" t="s">
        <v>185</v>
      </c>
      <c r="B240" t="s">
        <v>31</v>
      </c>
      <c r="C240" t="s">
        <v>32</v>
      </c>
      <c r="D240" t="s">
        <v>33</v>
      </c>
      <c r="E240" s="2">
        <v>46093</v>
      </c>
      <c r="F240" t="s">
        <v>34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f t="shared" si="174"/>
        <v/>
      </c>
      <c r="T240" t="str">
        <f t="shared" si="175"/>
        <v/>
      </c>
      <c r="U240" t="str">
        <f t="shared" si="153"/>
        <v/>
      </c>
      <c r="V240" t="str">
        <f t="shared" si="176"/>
        <v/>
      </c>
      <c r="W240" t="str">
        <f t="shared" si="154"/>
        <v/>
      </c>
      <c r="X240" t="str">
        <f t="shared" si="177"/>
        <v/>
      </c>
      <c r="Y240" t="str">
        <f t="shared" si="155"/>
        <v/>
      </c>
      <c r="Z240" t="str">
        <f t="shared" si="178"/>
        <v/>
      </c>
      <c r="AA240" t="str">
        <f t="shared" si="179"/>
        <v/>
      </c>
      <c r="AB240" t="str">
        <f t="shared" si="180"/>
        <v/>
      </c>
      <c r="AC240" t="str">
        <f t="shared" si="181"/>
        <v/>
      </c>
      <c r="AD240" t="str">
        <f t="shared" si="182"/>
        <v/>
      </c>
    </row>
    <row r="241" spans="1:30">
      <c r="A241" t="s">
        <v>185</v>
      </c>
      <c r="B241" t="s">
        <v>31</v>
      </c>
      <c r="C241" t="s">
        <v>32</v>
      </c>
      <c r="D241" t="s">
        <v>33</v>
      </c>
      <c r="E241" s="2">
        <v>46093</v>
      </c>
      <c r="F241" t="s">
        <v>34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f t="shared" si="174"/>
        <v/>
      </c>
      <c r="T241" t="str">
        <f t="shared" si="175"/>
        <v/>
      </c>
      <c r="U241" t="str">
        <f t="shared" si="153"/>
        <v/>
      </c>
      <c r="V241" t="str">
        <f t="shared" si="176"/>
        <v/>
      </c>
      <c r="W241" t="str">
        <f t="shared" si="154"/>
        <v/>
      </c>
      <c r="X241" t="str">
        <f t="shared" si="177"/>
        <v/>
      </c>
      <c r="Y241" t="str">
        <f t="shared" si="155"/>
        <v/>
      </c>
      <c r="Z241" t="str">
        <f t="shared" si="178"/>
        <v/>
      </c>
      <c r="AA241" t="str">
        <f t="shared" si="179"/>
        <v/>
      </c>
      <c r="AB241" t="str">
        <f t="shared" si="180"/>
        <v/>
      </c>
      <c r="AC241" t="str">
        <f t="shared" si="181"/>
        <v/>
      </c>
      <c r="AD241" t="str">
        <f t="shared" si="182"/>
        <v/>
      </c>
    </row>
    <row r="242" spans="1:30">
      <c r="A242" t="s">
        <v>185</v>
      </c>
      <c r="B242" t="s">
        <v>31</v>
      </c>
      <c r="C242" t="s">
        <v>32</v>
      </c>
      <c r="D242" t="s">
        <v>33</v>
      </c>
      <c r="E242" s="2">
        <v>46093</v>
      </c>
      <c r="F242" t="s">
        <v>34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f t="shared" si="174"/>
        <v/>
      </c>
      <c r="T242" t="str">
        <f t="shared" si="175"/>
        <v/>
      </c>
      <c r="U242" t="str">
        <f t="shared" si="153"/>
        <v/>
      </c>
      <c r="V242" t="str">
        <f t="shared" si="176"/>
        <v/>
      </c>
      <c r="W242" t="str">
        <f t="shared" si="154"/>
        <v/>
      </c>
      <c r="X242" t="str">
        <f t="shared" si="177"/>
        <v/>
      </c>
      <c r="Y242" t="str">
        <f t="shared" si="155"/>
        <v/>
      </c>
      <c r="Z242" t="str">
        <f t="shared" si="178"/>
        <v/>
      </c>
      <c r="AA242" t="str">
        <f t="shared" si="179"/>
        <v/>
      </c>
      <c r="AB242" t="str">
        <f t="shared" si="180"/>
        <v/>
      </c>
      <c r="AC242" t="str">
        <f t="shared" si="181"/>
        <v/>
      </c>
      <c r="AD242" t="str">
        <f t="shared" si="182"/>
        <v/>
      </c>
    </row>
    <row r="243" spans="1:30">
      <c r="A243" t="s">
        <v>185</v>
      </c>
      <c r="B243" t="s">
        <v>31</v>
      </c>
      <c r="C243" t="s">
        <v>32</v>
      </c>
      <c r="D243" t="s">
        <v>33</v>
      </c>
      <c r="E243" s="2">
        <v>46093</v>
      </c>
      <c r="F243" t="s">
        <v>34</v>
      </c>
      <c r="G243">
        <v>133.80000000000001</v>
      </c>
      <c r="H243">
        <v>90.6</v>
      </c>
      <c r="I243">
        <v>-1957.8</v>
      </c>
      <c r="J243">
        <v>66.400000000000006</v>
      </c>
      <c r="K243">
        <v>0</v>
      </c>
      <c r="L243">
        <v>0.1</v>
      </c>
      <c r="M243">
        <v>0</v>
      </c>
      <c r="N243">
        <v>66.5</v>
      </c>
      <c r="O243">
        <v>111.5</v>
      </c>
      <c r="P243">
        <v>112.82</v>
      </c>
      <c r="Q243">
        <v>8.2799999999999994</v>
      </c>
      <c r="R243">
        <v>7.91</v>
      </c>
      <c r="S243">
        <f t="shared" si="174"/>
        <v>3.3058109062158247</v>
      </c>
      <c r="T243">
        <f t="shared" si="175"/>
        <v>1.1566717928877015</v>
      </c>
      <c r="U243">
        <f t="shared" si="153"/>
        <v>0</v>
      </c>
      <c r="V243">
        <f t="shared" si="176"/>
        <v>1.3500325250505814</v>
      </c>
      <c r="W243" t="str">
        <f t="shared" si="154"/>
        <v/>
      </c>
      <c r="X243">
        <f t="shared" si="177"/>
        <v>1.2558587035238709</v>
      </c>
      <c r="Y243" t="str">
        <f t="shared" si="155"/>
        <v/>
      </c>
      <c r="Z243">
        <f t="shared" si="178"/>
        <v>1.0839987632707293</v>
      </c>
      <c r="AA243">
        <f t="shared" si="179"/>
        <v>0.96719593777706525</v>
      </c>
      <c r="AB243">
        <f t="shared" si="180"/>
        <v>1.1825895728052185</v>
      </c>
      <c r="AC243">
        <f t="shared" si="181"/>
        <v>0.43089844241237418</v>
      </c>
      <c r="AD243">
        <f t="shared" si="182"/>
        <v>1.3249290261258052E-2</v>
      </c>
    </row>
    <row r="244" spans="1:30">
      <c r="A244" t="s">
        <v>185</v>
      </c>
      <c r="B244" t="s">
        <v>31</v>
      </c>
      <c r="C244" t="s">
        <v>32</v>
      </c>
      <c r="D244" t="s">
        <v>33</v>
      </c>
      <c r="E244" s="2">
        <v>46093</v>
      </c>
      <c r="F244" t="s">
        <v>40</v>
      </c>
      <c r="G244">
        <v>154.4</v>
      </c>
      <c r="H244">
        <v>92.4</v>
      </c>
      <c r="I244">
        <v>-1957.8</v>
      </c>
      <c r="J244">
        <v>67.3</v>
      </c>
      <c r="K244">
        <v>0</v>
      </c>
      <c r="L244">
        <v>2.2999999999999998</v>
      </c>
      <c r="M244">
        <v>0</v>
      </c>
      <c r="N244">
        <v>65</v>
      </c>
      <c r="O244">
        <v>114.87</v>
      </c>
      <c r="P244">
        <v>114.87</v>
      </c>
      <c r="Q244">
        <v>7.52</v>
      </c>
      <c r="R244">
        <v>7.84</v>
      </c>
      <c r="S244">
        <f t="shared" si="174"/>
        <v>0.28962568188938764</v>
      </c>
      <c r="T244">
        <f t="shared" si="175"/>
        <v>0.79935162270007254</v>
      </c>
      <c r="U244">
        <f t="shared" si="153"/>
        <v>0</v>
      </c>
      <c r="V244">
        <f t="shared" si="176"/>
        <v>0.94515637666437657</v>
      </c>
      <c r="W244" t="str">
        <f t="shared" si="154"/>
        <v/>
      </c>
      <c r="X244">
        <f t="shared" si="177"/>
        <v>0.3231615718142008</v>
      </c>
      <c r="Y244" t="str">
        <f t="shared" si="155"/>
        <v/>
      </c>
      <c r="Z244">
        <f t="shared" si="178"/>
        <v>1.6793434063000969</v>
      </c>
      <c r="AA244">
        <f t="shared" si="179"/>
        <v>0.97295305645430441</v>
      </c>
      <c r="AB244">
        <f t="shared" si="180"/>
        <v>6.3461054535692091E-2</v>
      </c>
      <c r="AC244">
        <f t="shared" si="181"/>
        <v>0.93446095251783057</v>
      </c>
      <c r="AD244">
        <f t="shared" si="182"/>
        <v>0.18833902374967157</v>
      </c>
    </row>
    <row r="245" spans="1:30">
      <c r="A245" t="s">
        <v>186</v>
      </c>
      <c r="B245" t="s">
        <v>31</v>
      </c>
      <c r="C245" t="s">
        <v>32</v>
      </c>
      <c r="D245" t="s">
        <v>33</v>
      </c>
      <c r="E245" s="2">
        <v>46093</v>
      </c>
      <c r="F245" t="s">
        <v>34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f t="shared" si="174"/>
        <v/>
      </c>
      <c r="T245" t="str">
        <f t="shared" si="175"/>
        <v/>
      </c>
      <c r="U245" t="str">
        <f t="shared" si="153"/>
        <v/>
      </c>
      <c r="V245" t="str">
        <f t="shared" si="176"/>
        <v/>
      </c>
      <c r="W245" t="str">
        <f t="shared" si="154"/>
        <v/>
      </c>
      <c r="X245" t="str">
        <f t="shared" si="177"/>
        <v/>
      </c>
      <c r="Y245" t="str">
        <f t="shared" si="155"/>
        <v/>
      </c>
      <c r="Z245" t="str">
        <f t="shared" si="178"/>
        <v/>
      </c>
      <c r="AA245" t="str">
        <f t="shared" si="179"/>
        <v/>
      </c>
      <c r="AB245" t="str">
        <f t="shared" si="180"/>
        <v/>
      </c>
      <c r="AC245" t="str">
        <f t="shared" si="181"/>
        <v/>
      </c>
      <c r="AD245" t="str">
        <f t="shared" si="182"/>
        <v/>
      </c>
    </row>
    <row r="246" spans="1:30">
      <c r="A246" t="s">
        <v>186</v>
      </c>
      <c r="B246" t="s">
        <v>31</v>
      </c>
      <c r="C246" t="s">
        <v>32</v>
      </c>
      <c r="D246" t="s">
        <v>33</v>
      </c>
      <c r="E246" s="2">
        <v>46093</v>
      </c>
      <c r="F246" t="s">
        <v>34</v>
      </c>
      <c r="G246">
        <v>146.80000000000001</v>
      </c>
      <c r="H246">
        <v>93.7</v>
      </c>
      <c r="I246">
        <v>-1957.8</v>
      </c>
      <c r="J246">
        <v>66.400000000000006</v>
      </c>
      <c r="K246">
        <v>0</v>
      </c>
      <c r="L246">
        <v>1.7</v>
      </c>
      <c r="M246">
        <v>0</v>
      </c>
      <c r="N246">
        <v>64.7</v>
      </c>
      <c r="O246">
        <v>115.09</v>
      </c>
      <c r="P246">
        <v>115.16</v>
      </c>
      <c r="Q246">
        <v>7.57</v>
      </c>
      <c r="R246">
        <v>7.54</v>
      </c>
      <c r="S246">
        <f t="shared" si="174"/>
        <v>1.0368460690620493</v>
      </c>
      <c r="T246">
        <f t="shared" si="175"/>
        <v>0.54128705534234267</v>
      </c>
      <c r="U246">
        <f t="shared" si="153"/>
        <v>0</v>
      </c>
      <c r="V246">
        <f t="shared" si="176"/>
        <v>1.3500325250505814</v>
      </c>
      <c r="W246" t="str">
        <f t="shared" si="154"/>
        <v/>
      </c>
      <c r="X246">
        <f t="shared" si="177"/>
        <v>0.10748032145981869</v>
      </c>
      <c r="Y246" t="str">
        <f t="shared" si="155"/>
        <v/>
      </c>
      <c r="Z246">
        <f t="shared" si="178"/>
        <v>1.7984123349059693</v>
      </c>
      <c r="AA246">
        <f t="shared" si="179"/>
        <v>1.0996096673536808</v>
      </c>
      <c r="AB246">
        <f t="shared" si="180"/>
        <v>0.23973163108635168</v>
      </c>
      <c r="AC246">
        <f t="shared" si="181"/>
        <v>0.84463467653557889</v>
      </c>
      <c r="AD246">
        <f t="shared" si="182"/>
        <v>0.93872359584286891</v>
      </c>
    </row>
    <row r="247" spans="1:30">
      <c r="A247" t="s">
        <v>186</v>
      </c>
      <c r="B247" t="s">
        <v>31</v>
      </c>
      <c r="C247" t="s">
        <v>32</v>
      </c>
      <c r="D247" t="s">
        <v>33</v>
      </c>
      <c r="E247" s="2">
        <v>46093</v>
      </c>
      <c r="F247" t="s">
        <v>40</v>
      </c>
      <c r="G247">
        <v>157.1</v>
      </c>
      <c r="H247">
        <v>91.5</v>
      </c>
      <c r="I247">
        <v>-1957.8</v>
      </c>
      <c r="J247">
        <v>66.8</v>
      </c>
      <c r="K247">
        <v>0</v>
      </c>
      <c r="L247">
        <v>0.5</v>
      </c>
      <c r="M247">
        <v>0</v>
      </c>
      <c r="N247">
        <v>66.3</v>
      </c>
      <c r="O247">
        <v>115.16</v>
      </c>
      <c r="P247">
        <v>114.87</v>
      </c>
      <c r="Q247">
        <v>7.37</v>
      </c>
      <c r="R247">
        <v>7.71</v>
      </c>
      <c r="S247">
        <f t="shared" si="174"/>
        <v>0.7608722249905544</v>
      </c>
      <c r="T247">
        <f t="shared" si="175"/>
        <v>0.97801170779388702</v>
      </c>
      <c r="U247">
        <f t="shared" si="153"/>
        <v>0</v>
      </c>
      <c r="V247">
        <f t="shared" si="176"/>
        <v>1.1700875702122702</v>
      </c>
      <c r="W247" t="str">
        <f t="shared" si="154"/>
        <v/>
      </c>
      <c r="X247">
        <f t="shared" si="177"/>
        <v>0.96876410800785773</v>
      </c>
      <c r="Y247" t="str">
        <f t="shared" si="155"/>
        <v/>
      </c>
      <c r="Z247">
        <f t="shared" si="178"/>
        <v>1.1633780490079795</v>
      </c>
      <c r="AA247">
        <f t="shared" si="179"/>
        <v>1.1399094980943878</v>
      </c>
      <c r="AB247">
        <f t="shared" si="180"/>
        <v>6.3461054535692091E-2</v>
      </c>
      <c r="AC247">
        <f t="shared" si="181"/>
        <v>1.2039397804645806</v>
      </c>
      <c r="AD247">
        <f t="shared" si="182"/>
        <v>0.51350567165672367</v>
      </c>
    </row>
    <row r="248" spans="1:30">
      <c r="A248" t="s">
        <v>187</v>
      </c>
      <c r="B248" t="s">
        <v>31</v>
      </c>
      <c r="C248" t="s">
        <v>32</v>
      </c>
      <c r="D248" t="s">
        <v>33</v>
      </c>
      <c r="E248" s="2">
        <v>46093</v>
      </c>
      <c r="F248" t="s">
        <v>40</v>
      </c>
      <c r="G248">
        <v>153</v>
      </c>
      <c r="H248">
        <v>88.3</v>
      </c>
      <c r="I248">
        <v>-1957.8</v>
      </c>
      <c r="J248">
        <v>66.400000000000006</v>
      </c>
      <c r="K248">
        <v>0</v>
      </c>
      <c r="L248">
        <v>0.1</v>
      </c>
      <c r="M248">
        <v>0</v>
      </c>
      <c r="N248">
        <v>66.5</v>
      </c>
      <c r="O248">
        <v>111.64</v>
      </c>
      <c r="P248">
        <v>112.74</v>
      </c>
      <c r="Q248">
        <v>8.5</v>
      </c>
      <c r="R248">
        <v>8.23</v>
      </c>
      <c r="S248">
        <f t="shared" si="174"/>
        <v>4.5275622503595465E-2</v>
      </c>
      <c r="T248">
        <f t="shared" si="175"/>
        <v>1.6132475659052241</v>
      </c>
      <c r="U248">
        <f t="shared" si="153"/>
        <v>0</v>
      </c>
      <c r="V248">
        <f t="shared" si="176"/>
        <v>1.3500325250505814</v>
      </c>
      <c r="W248" t="str">
        <f t="shared" si="154"/>
        <v/>
      </c>
      <c r="X248">
        <f t="shared" si="177"/>
        <v>1.2558587035238709</v>
      </c>
      <c r="Y248" t="str">
        <f t="shared" si="155"/>
        <v/>
      </c>
      <c r="Z248">
        <f t="shared" si="178"/>
        <v>1.0839987632707293</v>
      </c>
      <c r="AA248">
        <f t="shared" si="179"/>
        <v>0.88659627629564319</v>
      </c>
      <c r="AB248">
        <f t="shared" si="180"/>
        <v>1.2312159387502284</v>
      </c>
      <c r="AC248">
        <f t="shared" si="181"/>
        <v>0.82613405673427676</v>
      </c>
      <c r="AD248">
        <f t="shared" si="182"/>
        <v>0.78716091997148696</v>
      </c>
    </row>
    <row r="249" spans="1:30">
      <c r="A249" t="s">
        <v>188</v>
      </c>
      <c r="B249" t="s">
        <v>31</v>
      </c>
      <c r="C249" t="s">
        <v>32</v>
      </c>
      <c r="D249" t="s">
        <v>33</v>
      </c>
      <c r="E249" s="2">
        <v>46093</v>
      </c>
      <c r="F249" t="s">
        <v>40</v>
      </c>
      <c r="G249">
        <v>145</v>
      </c>
      <c r="H249">
        <v>88.3</v>
      </c>
      <c r="I249">
        <v>-1957.8</v>
      </c>
      <c r="J249">
        <v>66.400000000000006</v>
      </c>
      <c r="K249">
        <v>0</v>
      </c>
      <c r="L249">
        <v>0.7</v>
      </c>
      <c r="M249">
        <v>0</v>
      </c>
      <c r="N249">
        <v>65.7</v>
      </c>
      <c r="O249">
        <v>111.72</v>
      </c>
      <c r="P249">
        <v>113.04</v>
      </c>
      <c r="Q249">
        <v>8.23</v>
      </c>
      <c r="R249">
        <v>7.91</v>
      </c>
      <c r="S249">
        <f t="shared" si="174"/>
        <v>1.351010431129497</v>
      </c>
      <c r="T249">
        <f t="shared" si="175"/>
        <v>1.6132475659052241</v>
      </c>
      <c r="U249">
        <f t="shared" si="153"/>
        <v>0</v>
      </c>
      <c r="V249">
        <f t="shared" si="176"/>
        <v>1.3500325250505814</v>
      </c>
      <c r="W249" t="str">
        <f t="shared" si="154"/>
        <v/>
      </c>
      <c r="X249">
        <f t="shared" si="177"/>
        <v>0.82521681024985127</v>
      </c>
      <c r="Y249" t="str">
        <f t="shared" si="155"/>
        <v/>
      </c>
      <c r="Z249">
        <f t="shared" si="178"/>
        <v>1.4015159062197242</v>
      </c>
      <c r="AA249">
        <f t="shared" si="179"/>
        <v>0.84053932687768884</v>
      </c>
      <c r="AB249">
        <f t="shared" si="180"/>
        <v>1.0488670664564306</v>
      </c>
      <c r="AC249">
        <f t="shared" si="181"/>
        <v>0.34107216643012572</v>
      </c>
      <c r="AD249">
        <f t="shared" si="182"/>
        <v>1.3249290261258052E-2</v>
      </c>
    </row>
    <row r="250" spans="1:30">
      <c r="A250" t="s">
        <v>187</v>
      </c>
      <c r="B250" t="s">
        <v>31</v>
      </c>
      <c r="C250" t="s">
        <v>32</v>
      </c>
      <c r="D250" t="s">
        <v>33</v>
      </c>
      <c r="E250" s="2">
        <v>46093</v>
      </c>
      <c r="F250" t="s">
        <v>40</v>
      </c>
      <c r="G250">
        <v>148.1</v>
      </c>
      <c r="H250">
        <v>87.4</v>
      </c>
      <c r="I250">
        <v>-1957.8</v>
      </c>
      <c r="J250">
        <v>66.8</v>
      </c>
      <c r="K250">
        <v>0</v>
      </c>
      <c r="L250">
        <v>1</v>
      </c>
      <c r="M250">
        <v>0</v>
      </c>
      <c r="N250">
        <v>65.8</v>
      </c>
      <c r="O250">
        <v>114.87</v>
      </c>
      <c r="P250">
        <v>114.8</v>
      </c>
      <c r="Q250">
        <v>7.35</v>
      </c>
      <c r="R250">
        <v>7.84</v>
      </c>
      <c r="S250">
        <f t="shared" si="174"/>
        <v>0.80994958534667472</v>
      </c>
      <c r="T250">
        <f t="shared" si="175"/>
        <v>1.7919076509990359</v>
      </c>
      <c r="U250">
        <f t="shared" si="153"/>
        <v>0</v>
      </c>
      <c r="V250">
        <f t="shared" si="176"/>
        <v>1.1700875702122702</v>
      </c>
      <c r="W250" t="str">
        <f t="shared" si="154"/>
        <v/>
      </c>
      <c r="X250">
        <f t="shared" si="177"/>
        <v>0.60989586361284143</v>
      </c>
      <c r="Y250" t="str">
        <f t="shared" si="155"/>
        <v/>
      </c>
      <c r="Z250">
        <f t="shared" si="178"/>
        <v>1.361826263351102</v>
      </c>
      <c r="AA250">
        <f t="shared" si="179"/>
        <v>0.97295305645430441</v>
      </c>
      <c r="AB250">
        <f t="shared" si="180"/>
        <v>2.0912984333803078E-2</v>
      </c>
      <c r="AC250">
        <f t="shared" si="181"/>
        <v>1.2398702908574815</v>
      </c>
      <c r="AD250">
        <f t="shared" si="182"/>
        <v>0.18833902374967157</v>
      </c>
    </row>
    <row r="251" spans="1:30">
      <c r="A251" t="s">
        <v>189</v>
      </c>
      <c r="B251" t="s">
        <v>31</v>
      </c>
      <c r="C251" t="s">
        <v>32</v>
      </c>
      <c r="D251" t="s">
        <v>33</v>
      </c>
      <c r="E251" s="2">
        <v>46093</v>
      </c>
      <c r="F251" t="s">
        <v>34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f t="shared" si="174"/>
        <v/>
      </c>
      <c r="T251" t="str">
        <f t="shared" si="175"/>
        <v/>
      </c>
      <c r="U251" t="str">
        <f t="shared" si="153"/>
        <v/>
      </c>
      <c r="V251" t="str">
        <f t="shared" si="176"/>
        <v/>
      </c>
      <c r="W251" t="str">
        <f t="shared" si="154"/>
        <v/>
      </c>
      <c r="X251" t="str">
        <f t="shared" si="177"/>
        <v/>
      </c>
      <c r="Y251" t="str">
        <f t="shared" si="155"/>
        <v/>
      </c>
      <c r="Z251" t="str">
        <f t="shared" si="178"/>
        <v/>
      </c>
      <c r="AA251" t="str">
        <f t="shared" si="179"/>
        <v/>
      </c>
      <c r="AB251" t="str">
        <f t="shared" si="180"/>
        <v/>
      </c>
      <c r="AC251" t="str">
        <f t="shared" si="181"/>
        <v/>
      </c>
      <c r="AD251" t="str">
        <f t="shared" si="182"/>
        <v/>
      </c>
    </row>
    <row r="252" spans="1:30">
      <c r="A252" t="s">
        <v>189</v>
      </c>
      <c r="B252" t="s">
        <v>31</v>
      </c>
      <c r="C252" t="s">
        <v>32</v>
      </c>
      <c r="D252" t="s">
        <v>33</v>
      </c>
      <c r="E252" s="2">
        <v>46093</v>
      </c>
      <c r="F252" t="s">
        <v>34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f t="shared" si="174"/>
        <v/>
      </c>
      <c r="T252" t="str">
        <f t="shared" si="175"/>
        <v/>
      </c>
      <c r="U252" t="str">
        <f t="shared" si="153"/>
        <v/>
      </c>
      <c r="V252" t="str">
        <f t="shared" si="176"/>
        <v/>
      </c>
      <c r="W252" t="str">
        <f t="shared" si="154"/>
        <v/>
      </c>
      <c r="X252" t="str">
        <f t="shared" si="177"/>
        <v/>
      </c>
      <c r="Y252" t="str">
        <f t="shared" si="155"/>
        <v/>
      </c>
      <c r="Z252" t="str">
        <f t="shared" si="178"/>
        <v/>
      </c>
      <c r="AA252" t="str">
        <f t="shared" si="179"/>
        <v/>
      </c>
      <c r="AB252" t="str">
        <f t="shared" si="180"/>
        <v/>
      </c>
      <c r="AC252" t="str">
        <f t="shared" si="181"/>
        <v/>
      </c>
      <c r="AD252" t="str">
        <f t="shared" si="182"/>
        <v/>
      </c>
    </row>
    <row r="253" spans="1:30">
      <c r="A253" t="s">
        <v>189</v>
      </c>
      <c r="B253" t="s">
        <v>31</v>
      </c>
      <c r="C253" t="s">
        <v>32</v>
      </c>
      <c r="D253" t="s">
        <v>33</v>
      </c>
      <c r="E253" s="2">
        <v>46093</v>
      </c>
      <c r="F253" t="s">
        <v>34</v>
      </c>
      <c r="G253">
        <v>143.19999999999999</v>
      </c>
      <c r="H253">
        <v>77.5</v>
      </c>
      <c r="I253">
        <v>-1957.8</v>
      </c>
      <c r="J253">
        <v>66.400000000000006</v>
      </c>
      <c r="K253">
        <v>0</v>
      </c>
      <c r="L253">
        <v>0.3</v>
      </c>
      <c r="M253">
        <v>0</v>
      </c>
      <c r="N253">
        <v>66.7</v>
      </c>
      <c r="O253">
        <v>111.86</v>
      </c>
      <c r="P253">
        <v>113.77</v>
      </c>
      <c r="Q253">
        <v>6.79</v>
      </c>
      <c r="R253">
        <v>6.08</v>
      </c>
      <c r="S253">
        <f t="shared" si="174"/>
        <v>1.6651747931969449</v>
      </c>
      <c r="T253">
        <f t="shared" si="175"/>
        <v>3.7571685870309843</v>
      </c>
      <c r="U253">
        <f t="shared" si="153"/>
        <v>0</v>
      </c>
      <c r="V253">
        <f t="shared" si="176"/>
        <v>1.3500325250505814</v>
      </c>
      <c r="W253" t="str">
        <f t="shared" si="154"/>
        <v/>
      </c>
      <c r="X253">
        <f t="shared" si="177"/>
        <v>1.1123114057658643</v>
      </c>
      <c r="Y253" t="str">
        <f t="shared" si="155"/>
        <v/>
      </c>
      <c r="Z253">
        <f t="shared" si="178"/>
        <v>1.0046194775334794</v>
      </c>
      <c r="AA253">
        <f t="shared" si="179"/>
        <v>0.75993966539626678</v>
      </c>
      <c r="AB253">
        <f t="shared" si="180"/>
        <v>0.60515147720821261</v>
      </c>
      <c r="AC253">
        <f t="shared" si="181"/>
        <v>2.2459245818586844</v>
      </c>
      <c r="AD253">
        <f t="shared" si="182"/>
        <v>4.5905951800297649</v>
      </c>
    </row>
    <row r="254" spans="1:30">
      <c r="A254" t="s">
        <v>189</v>
      </c>
      <c r="B254" t="s">
        <v>31</v>
      </c>
      <c r="C254" t="s">
        <v>32</v>
      </c>
      <c r="D254" t="s">
        <v>33</v>
      </c>
      <c r="E254" s="2">
        <v>46093</v>
      </c>
      <c r="F254" t="s">
        <v>34</v>
      </c>
      <c r="G254">
        <v>142.80000000000001</v>
      </c>
      <c r="H254">
        <v>79.8</v>
      </c>
      <c r="I254">
        <v>-1957.8</v>
      </c>
      <c r="J254">
        <v>66.400000000000006</v>
      </c>
      <c r="K254">
        <v>0</v>
      </c>
      <c r="L254">
        <v>1</v>
      </c>
      <c r="M254">
        <v>0</v>
      </c>
      <c r="N254">
        <v>67.400000000000006</v>
      </c>
      <c r="O254">
        <v>115.16</v>
      </c>
      <c r="P254">
        <v>115.31</v>
      </c>
      <c r="Q254">
        <v>6.15</v>
      </c>
      <c r="R254">
        <v>6.05</v>
      </c>
      <c r="S254">
        <f t="shared" si="174"/>
        <v>1.7349890958785956</v>
      </c>
      <c r="T254">
        <f t="shared" si="175"/>
        <v>3.3005928140134619</v>
      </c>
      <c r="U254">
        <f t="shared" si="153"/>
        <v>0</v>
      </c>
      <c r="V254">
        <f t="shared" si="176"/>
        <v>1.3500325250505814</v>
      </c>
      <c r="W254" t="str">
        <f t="shared" si="154"/>
        <v/>
      </c>
      <c r="X254">
        <f t="shared" si="177"/>
        <v>0.60989586361284143</v>
      </c>
      <c r="Y254" t="str">
        <f t="shared" si="155"/>
        <v/>
      </c>
      <c r="Z254">
        <f t="shared" si="178"/>
        <v>0.72679197745310664</v>
      </c>
      <c r="AA254">
        <f t="shared" si="179"/>
        <v>1.1399094980943878</v>
      </c>
      <c r="AB254">
        <f t="shared" si="180"/>
        <v>0.3309060672332505</v>
      </c>
      <c r="AC254">
        <f t="shared" si="181"/>
        <v>3.3957009144314885</v>
      </c>
      <c r="AD254">
        <f t="shared" si="182"/>
        <v>4.6656336372390852</v>
      </c>
    </row>
    <row r="255" spans="1:30">
      <c r="A255" t="s">
        <v>189</v>
      </c>
      <c r="B255" t="s">
        <v>31</v>
      </c>
      <c r="C255" t="s">
        <v>32</v>
      </c>
      <c r="D255" t="s">
        <v>33</v>
      </c>
      <c r="E255" s="2">
        <v>46093</v>
      </c>
      <c r="F255" t="s">
        <v>40</v>
      </c>
      <c r="G255">
        <v>149.5</v>
      </c>
      <c r="H255">
        <v>86.5</v>
      </c>
      <c r="I255">
        <v>-1957.8</v>
      </c>
      <c r="J255">
        <v>67.3</v>
      </c>
      <c r="K255">
        <v>0</v>
      </c>
      <c r="L255">
        <v>1.7</v>
      </c>
      <c r="M255">
        <v>0</v>
      </c>
      <c r="N255">
        <v>65.599999999999994</v>
      </c>
      <c r="O255">
        <v>115.16</v>
      </c>
      <c r="P255">
        <v>115.02</v>
      </c>
      <c r="Q255">
        <v>7.71</v>
      </c>
      <c r="R255">
        <v>7.96</v>
      </c>
      <c r="S255">
        <f t="shared" si="174"/>
        <v>0.56559952596088259</v>
      </c>
      <c r="T255">
        <f t="shared" si="175"/>
        <v>1.9705677360928504</v>
      </c>
      <c r="U255">
        <f t="shared" si="153"/>
        <v>0</v>
      </c>
      <c r="V255">
        <f t="shared" si="176"/>
        <v>0.94515637666437657</v>
      </c>
      <c r="W255" t="str">
        <f t="shared" si="154"/>
        <v/>
      </c>
      <c r="X255">
        <f t="shared" si="177"/>
        <v>0.10748032145981869</v>
      </c>
      <c r="Y255" t="str">
        <f t="shared" si="155"/>
        <v/>
      </c>
      <c r="Z255">
        <f t="shared" si="178"/>
        <v>1.4412055490883522</v>
      </c>
      <c r="AA255">
        <f t="shared" si="179"/>
        <v>1.1399094980943878</v>
      </c>
      <c r="AB255">
        <f t="shared" si="180"/>
        <v>0.15463549068258228</v>
      </c>
      <c r="AC255">
        <f t="shared" si="181"/>
        <v>0.5931211037852786</v>
      </c>
      <c r="AD255">
        <f t="shared" si="182"/>
        <v>0.1118148050876078</v>
      </c>
    </row>
    <row r="256" spans="1:30">
      <c r="A256" t="s">
        <v>190</v>
      </c>
      <c r="B256" t="s">
        <v>31</v>
      </c>
      <c r="C256" t="s">
        <v>32</v>
      </c>
      <c r="D256" t="s">
        <v>33</v>
      </c>
      <c r="E256" s="2">
        <v>46093</v>
      </c>
      <c r="F256" t="s">
        <v>34</v>
      </c>
      <c r="G256">
        <v>149.5</v>
      </c>
      <c r="H256">
        <v>76.599999999999994</v>
      </c>
      <c r="I256">
        <v>-1957.8</v>
      </c>
      <c r="J256">
        <v>68.2</v>
      </c>
      <c r="K256">
        <v>0</v>
      </c>
      <c r="L256">
        <v>0.9</v>
      </c>
      <c r="M256">
        <v>0</v>
      </c>
      <c r="N256">
        <v>67.3</v>
      </c>
      <c r="O256">
        <v>114.8</v>
      </c>
      <c r="P256">
        <v>114.87</v>
      </c>
      <c r="Q256">
        <v>8.2799999999999994</v>
      </c>
      <c r="R256">
        <v>7.96</v>
      </c>
      <c r="S256">
        <f t="shared" si="174"/>
        <v>0.56559952596088259</v>
      </c>
      <c r="T256">
        <f t="shared" si="175"/>
        <v>3.9358286721247988</v>
      </c>
      <c r="U256">
        <f t="shared" si="153"/>
        <v>0</v>
      </c>
      <c r="V256">
        <f t="shared" si="176"/>
        <v>0.54028022827816535</v>
      </c>
      <c r="W256" t="str">
        <f t="shared" si="154"/>
        <v/>
      </c>
      <c r="X256">
        <f t="shared" si="177"/>
        <v>0.68166951249184471</v>
      </c>
      <c r="Y256" t="str">
        <f t="shared" si="155"/>
        <v/>
      </c>
      <c r="Z256">
        <f t="shared" si="178"/>
        <v>0.7664816203217345</v>
      </c>
      <c r="AA256">
        <f t="shared" si="179"/>
        <v>0.93265322571358933</v>
      </c>
      <c r="AB256">
        <f t="shared" si="180"/>
        <v>6.3461054535692091E-2</v>
      </c>
      <c r="AC256">
        <f t="shared" si="181"/>
        <v>0.43089844241237418</v>
      </c>
      <c r="AD256">
        <f t="shared" si="182"/>
        <v>0.1118148050876078</v>
      </c>
    </row>
    <row r="257" spans="1:30">
      <c r="A257" t="s">
        <v>190</v>
      </c>
      <c r="B257" t="s">
        <v>31</v>
      </c>
      <c r="C257" t="s">
        <v>32</v>
      </c>
      <c r="D257" t="s">
        <v>33</v>
      </c>
      <c r="E257" s="2">
        <v>46093</v>
      </c>
      <c r="F257" t="s">
        <v>40</v>
      </c>
      <c r="G257">
        <v>153</v>
      </c>
      <c r="H257">
        <v>93.3</v>
      </c>
      <c r="I257">
        <v>-1957.8</v>
      </c>
      <c r="J257">
        <v>67.7</v>
      </c>
      <c r="K257">
        <v>0</v>
      </c>
      <c r="L257">
        <v>2.4</v>
      </c>
      <c r="M257">
        <v>0</v>
      </c>
      <c r="N257">
        <v>65.3</v>
      </c>
      <c r="O257">
        <v>114.87</v>
      </c>
      <c r="P257">
        <v>114.65</v>
      </c>
      <c r="Q257">
        <v>7.76</v>
      </c>
      <c r="R257">
        <v>7.96</v>
      </c>
      <c r="S257">
        <f t="shared" si="174"/>
        <v>4.5275622503595465E-2</v>
      </c>
      <c r="T257">
        <f t="shared" si="175"/>
        <v>0.62069153760626083</v>
      </c>
      <c r="U257">
        <f t="shared" si="153"/>
        <v>0</v>
      </c>
      <c r="V257">
        <f t="shared" si="176"/>
        <v>0.76521142182605906</v>
      </c>
      <c r="W257" t="str">
        <f t="shared" si="154"/>
        <v/>
      </c>
      <c r="X257">
        <f t="shared" si="177"/>
        <v>0.39493522069320408</v>
      </c>
      <c r="Y257" t="str">
        <f t="shared" si="155"/>
        <v/>
      </c>
      <c r="Z257">
        <f t="shared" si="178"/>
        <v>1.5602744776942246</v>
      </c>
      <c r="AA257">
        <f t="shared" si="179"/>
        <v>0.97295305645430441</v>
      </c>
      <c r="AB257">
        <f t="shared" si="180"/>
        <v>7.0261451813087128E-2</v>
      </c>
      <c r="AC257">
        <f t="shared" si="181"/>
        <v>0.50329482780302859</v>
      </c>
      <c r="AD257">
        <f t="shared" si="182"/>
        <v>0.1118148050876078</v>
      </c>
    </row>
    <row r="258" spans="1:30">
      <c r="A258" t="s">
        <v>191</v>
      </c>
      <c r="B258" t="s">
        <v>31</v>
      </c>
      <c r="C258" t="s">
        <v>32</v>
      </c>
      <c r="D258" t="s">
        <v>33</v>
      </c>
      <c r="E258" s="2">
        <v>46093</v>
      </c>
      <c r="F258" t="s">
        <v>40</v>
      </c>
      <c r="G258">
        <v>148.1</v>
      </c>
      <c r="H258">
        <v>90.6</v>
      </c>
      <c r="I258">
        <v>-1957.8</v>
      </c>
      <c r="J258">
        <v>67.3</v>
      </c>
      <c r="K258">
        <v>0</v>
      </c>
      <c r="L258">
        <v>0.8</v>
      </c>
      <c r="M258">
        <v>0</v>
      </c>
      <c r="N258">
        <v>66.5</v>
      </c>
      <c r="O258">
        <v>111.13</v>
      </c>
      <c r="P258">
        <v>117.8</v>
      </c>
      <c r="Q258">
        <v>8.59</v>
      </c>
      <c r="R258">
        <v>7.93</v>
      </c>
      <c r="S258">
        <f t="shared" si="174"/>
        <v>0.80994958534667472</v>
      </c>
      <c r="T258">
        <f t="shared" si="175"/>
        <v>1.1566717928877015</v>
      </c>
      <c r="U258">
        <f t="shared" ref="U258:U321" si="183">IF(OR(I258=0,I258=""),"",ABS((I258--1957.8)/1))</f>
        <v>0</v>
      </c>
      <c r="V258">
        <f t="shared" si="176"/>
        <v>0.94515637666437657</v>
      </c>
      <c r="W258" t="str">
        <f t="shared" ref="W258:W321" si="184">IF(OR(K258=0,K258=""),"",ABS((K258-0)/1))</f>
        <v/>
      </c>
      <c r="X258">
        <f t="shared" si="177"/>
        <v>0.75344316137084799</v>
      </c>
      <c r="Y258" t="str">
        <f t="shared" ref="Y258:Y321" si="185">IF(OR(M258=0,M258=""),"",ABS((M258-0)/1))</f>
        <v/>
      </c>
      <c r="Z258">
        <f t="shared" si="178"/>
        <v>1.0839987632707293</v>
      </c>
      <c r="AA258">
        <f t="shared" si="179"/>
        <v>1.1802093288351112</v>
      </c>
      <c r="AB258">
        <f t="shared" si="180"/>
        <v>1.8444017072717109</v>
      </c>
      <c r="AC258">
        <f t="shared" si="181"/>
        <v>0.98782135350232714</v>
      </c>
      <c r="AD258">
        <f t="shared" si="182"/>
        <v>3.6776347878287395E-2</v>
      </c>
    </row>
    <row r="259" spans="1:30">
      <c r="A259" t="s">
        <v>192</v>
      </c>
      <c r="B259" t="s">
        <v>31</v>
      </c>
      <c r="C259" t="s">
        <v>32</v>
      </c>
      <c r="D259" t="s">
        <v>33</v>
      </c>
      <c r="E259" s="2">
        <v>46093</v>
      </c>
      <c r="F259" t="s">
        <v>40</v>
      </c>
      <c r="G259">
        <v>146.4</v>
      </c>
      <c r="H259">
        <v>87.4</v>
      </c>
      <c r="I259">
        <v>-1957.8</v>
      </c>
      <c r="J259">
        <v>67.3</v>
      </c>
      <c r="K259">
        <v>0</v>
      </c>
      <c r="L259">
        <v>0.7</v>
      </c>
      <c r="M259">
        <v>0</v>
      </c>
      <c r="N259">
        <v>66.599999999999994</v>
      </c>
      <c r="O259">
        <v>111.79</v>
      </c>
      <c r="P259">
        <v>113.33</v>
      </c>
      <c r="Q259">
        <v>7.91</v>
      </c>
      <c r="R259">
        <v>7.52</v>
      </c>
      <c r="S259">
        <f t="shared" si="174"/>
        <v>1.1066603717437049</v>
      </c>
      <c r="T259">
        <f t="shared" si="175"/>
        <v>1.7919076509990359</v>
      </c>
      <c r="U259">
        <f t="shared" si="183"/>
        <v>0</v>
      </c>
      <c r="V259">
        <f t="shared" si="176"/>
        <v>0.94515637666437657</v>
      </c>
      <c r="W259" t="str">
        <f t="shared" si="184"/>
        <v/>
      </c>
      <c r="X259">
        <f t="shared" si="177"/>
        <v>0.82521681024985127</v>
      </c>
      <c r="Y259" t="str">
        <f t="shared" si="185"/>
        <v/>
      </c>
      <c r="Z259">
        <f t="shared" si="178"/>
        <v>1.0443091204021071</v>
      </c>
      <c r="AA259">
        <f t="shared" si="179"/>
        <v>0.80023949613697376</v>
      </c>
      <c r="AB259">
        <f t="shared" si="180"/>
        <v>0.8725964899057711</v>
      </c>
      <c r="AC259">
        <f t="shared" si="181"/>
        <v>0.23381599985627691</v>
      </c>
      <c r="AD259">
        <f t="shared" si="182"/>
        <v>0.98874923398241654</v>
      </c>
    </row>
    <row r="260" spans="1:30">
      <c r="A260" t="s">
        <v>193</v>
      </c>
      <c r="B260" t="s">
        <v>31</v>
      </c>
      <c r="C260" t="s">
        <v>32</v>
      </c>
      <c r="D260" t="s">
        <v>33</v>
      </c>
      <c r="E260" s="2">
        <v>46093</v>
      </c>
      <c r="F260" t="s">
        <v>34</v>
      </c>
      <c r="G260">
        <v>146.80000000000001</v>
      </c>
      <c r="H260">
        <v>75.7</v>
      </c>
      <c r="I260">
        <v>-1957.8</v>
      </c>
      <c r="J260">
        <v>65.5</v>
      </c>
      <c r="K260">
        <v>0</v>
      </c>
      <c r="L260">
        <v>0</v>
      </c>
      <c r="M260">
        <v>0</v>
      </c>
      <c r="N260">
        <v>65.5</v>
      </c>
      <c r="O260">
        <v>111.94</v>
      </c>
      <c r="P260">
        <v>113.11</v>
      </c>
      <c r="Q260">
        <v>7.67</v>
      </c>
      <c r="R260">
        <v>7.52</v>
      </c>
      <c r="S260">
        <f t="shared" si="174"/>
        <v>1.0368460690620493</v>
      </c>
      <c r="T260">
        <f t="shared" si="175"/>
        <v>4.1144887572186111</v>
      </c>
      <c r="U260">
        <f t="shared" si="183"/>
        <v>0</v>
      </c>
      <c r="V260">
        <f t="shared" si="176"/>
        <v>1.7549086734367927</v>
      </c>
      <c r="W260" t="str">
        <f t="shared" si="184"/>
        <v/>
      </c>
      <c r="X260" t="str">
        <f t="shared" si="177"/>
        <v/>
      </c>
      <c r="Y260" t="str">
        <f t="shared" si="185"/>
        <v/>
      </c>
      <c r="Z260">
        <f t="shared" si="178"/>
        <v>1.4808951919569744</v>
      </c>
      <c r="AA260">
        <f t="shared" si="179"/>
        <v>0.71388271597831243</v>
      </c>
      <c r="AB260">
        <f t="shared" si="180"/>
        <v>1.0063189962545502</v>
      </c>
      <c r="AC260">
        <f t="shared" si="181"/>
        <v>0.66498212457107886</v>
      </c>
      <c r="AD260">
        <f t="shared" si="182"/>
        <v>0.98874923398241654</v>
      </c>
    </row>
    <row r="261" spans="1:30">
      <c r="A261" t="s">
        <v>193</v>
      </c>
      <c r="B261" t="s">
        <v>31</v>
      </c>
      <c r="C261" t="s">
        <v>32</v>
      </c>
      <c r="D261" t="s">
        <v>33</v>
      </c>
      <c r="E261" s="2">
        <v>46093</v>
      </c>
      <c r="F261" t="s">
        <v>40</v>
      </c>
      <c r="G261">
        <v>150.80000000000001</v>
      </c>
      <c r="H261">
        <v>86.1</v>
      </c>
      <c r="I261">
        <v>-1957.8</v>
      </c>
      <c r="J261">
        <v>66.400000000000006</v>
      </c>
      <c r="K261">
        <v>0</v>
      </c>
      <c r="L261">
        <v>0.3</v>
      </c>
      <c r="M261">
        <v>0</v>
      </c>
      <c r="N261">
        <v>66.7</v>
      </c>
      <c r="O261">
        <v>111.94</v>
      </c>
      <c r="P261">
        <v>113.62</v>
      </c>
      <c r="Q261">
        <v>7.62</v>
      </c>
      <c r="R261">
        <v>7.57</v>
      </c>
      <c r="S261">
        <f t="shared" si="174"/>
        <v>0.33870304224550302</v>
      </c>
      <c r="T261">
        <f t="shared" si="175"/>
        <v>2.0499722183567686</v>
      </c>
      <c r="U261">
        <f t="shared" si="183"/>
        <v>0</v>
      </c>
      <c r="V261">
        <f t="shared" si="176"/>
        <v>1.3500325250505814</v>
      </c>
      <c r="W261" t="str">
        <f t="shared" si="184"/>
        <v/>
      </c>
      <c r="X261">
        <f t="shared" si="177"/>
        <v>1.1123114057658643</v>
      </c>
      <c r="Y261" t="str">
        <f t="shared" si="185"/>
        <v/>
      </c>
      <c r="Z261">
        <f t="shared" si="178"/>
        <v>1.0046194775334794</v>
      </c>
      <c r="AA261">
        <f t="shared" si="179"/>
        <v>0.71388271597831243</v>
      </c>
      <c r="AB261">
        <f t="shared" si="180"/>
        <v>0.69632591335510285</v>
      </c>
      <c r="AC261">
        <f t="shared" si="181"/>
        <v>0.75480840055332887</v>
      </c>
      <c r="AD261">
        <f t="shared" si="182"/>
        <v>0.86368513863354845</v>
      </c>
    </row>
    <row r="262" spans="1:30">
      <c r="A262" t="s">
        <v>194</v>
      </c>
      <c r="B262" t="s">
        <v>31</v>
      </c>
      <c r="C262" t="s">
        <v>32</v>
      </c>
      <c r="D262" t="s">
        <v>33</v>
      </c>
      <c r="E262" s="2">
        <v>46093</v>
      </c>
      <c r="F262" t="s">
        <v>40</v>
      </c>
      <c r="G262">
        <v>146.80000000000001</v>
      </c>
      <c r="H262">
        <v>94.2</v>
      </c>
      <c r="I262">
        <v>-1957.8</v>
      </c>
      <c r="J262">
        <v>66.400000000000006</v>
      </c>
      <c r="K262">
        <v>0</v>
      </c>
      <c r="L262">
        <v>0.3</v>
      </c>
      <c r="M262">
        <v>0</v>
      </c>
      <c r="N262">
        <v>66.7</v>
      </c>
      <c r="O262">
        <v>112.01</v>
      </c>
      <c r="P262">
        <v>113.48</v>
      </c>
      <c r="Q262">
        <v>7.79</v>
      </c>
      <c r="R262">
        <v>7.69</v>
      </c>
      <c r="S262">
        <f t="shared" si="174"/>
        <v>1.0368460690620493</v>
      </c>
      <c r="T262">
        <f t="shared" si="175"/>
        <v>0.4420314525124463</v>
      </c>
      <c r="U262">
        <f t="shared" si="183"/>
        <v>0</v>
      </c>
      <c r="V262">
        <f t="shared" si="176"/>
        <v>1.3500325250505814</v>
      </c>
      <c r="W262" t="str">
        <f t="shared" si="184"/>
        <v/>
      </c>
      <c r="X262">
        <f t="shared" si="177"/>
        <v>1.1123114057658643</v>
      </c>
      <c r="Y262" t="str">
        <f t="shared" si="185"/>
        <v/>
      </c>
      <c r="Z262">
        <f t="shared" si="178"/>
        <v>1.0046194775334794</v>
      </c>
      <c r="AA262">
        <f t="shared" si="179"/>
        <v>0.67358288523759724</v>
      </c>
      <c r="AB262">
        <f t="shared" si="180"/>
        <v>0.78142205375887219</v>
      </c>
      <c r="AC262">
        <f t="shared" si="181"/>
        <v>0.44939906221367792</v>
      </c>
      <c r="AD262">
        <f t="shared" si="182"/>
        <v>0.56353130979626909</v>
      </c>
    </row>
    <row r="263" spans="1:30">
      <c r="A263" t="s">
        <v>195</v>
      </c>
      <c r="B263" t="s">
        <v>31</v>
      </c>
      <c r="C263" t="s">
        <v>32</v>
      </c>
      <c r="D263" t="s">
        <v>33</v>
      </c>
      <c r="E263" s="2">
        <v>46093</v>
      </c>
      <c r="F263" t="s">
        <v>40</v>
      </c>
      <c r="G263">
        <v>146.80000000000001</v>
      </c>
      <c r="H263">
        <v>95.5</v>
      </c>
      <c r="I263">
        <v>-1957.8</v>
      </c>
      <c r="J263">
        <v>65.900000000000006</v>
      </c>
      <c r="K263">
        <v>0</v>
      </c>
      <c r="L263">
        <v>1.2</v>
      </c>
      <c r="M263">
        <v>0</v>
      </c>
      <c r="N263">
        <v>67.099999999999994</v>
      </c>
      <c r="O263">
        <v>114.94</v>
      </c>
      <c r="P263">
        <v>114.87</v>
      </c>
      <c r="Q263">
        <v>8.3699999999999992</v>
      </c>
      <c r="R263">
        <v>8.1300000000000008</v>
      </c>
      <c r="S263">
        <f t="shared" si="174"/>
        <v>1.0368460690620493</v>
      </c>
      <c r="T263">
        <f t="shared" si="175"/>
        <v>0.18396688515471638</v>
      </c>
      <c r="U263">
        <f t="shared" si="183"/>
        <v>0</v>
      </c>
      <c r="V263">
        <f t="shared" si="176"/>
        <v>1.5749637185984751</v>
      </c>
      <c r="W263" t="str">
        <f t="shared" si="184"/>
        <v/>
      </c>
      <c r="X263">
        <f t="shared" si="177"/>
        <v>0.46634856585483497</v>
      </c>
      <c r="Y263" t="str">
        <f t="shared" si="185"/>
        <v/>
      </c>
      <c r="Z263">
        <f t="shared" si="178"/>
        <v>0.84586090605898467</v>
      </c>
      <c r="AA263">
        <f t="shared" si="179"/>
        <v>1.0132528871950115</v>
      </c>
      <c r="AB263">
        <f t="shared" si="180"/>
        <v>6.3461054535692091E-2</v>
      </c>
      <c r="AC263">
        <f t="shared" si="181"/>
        <v>0.59258573918042456</v>
      </c>
      <c r="AD263">
        <f t="shared" si="182"/>
        <v>0.53703272927375523</v>
      </c>
    </row>
    <row r="264" spans="1:30">
      <c r="A264" t="s">
        <v>196</v>
      </c>
      <c r="B264" t="s">
        <v>31</v>
      </c>
      <c r="C264" t="s">
        <v>32</v>
      </c>
      <c r="D264" t="s">
        <v>33</v>
      </c>
      <c r="E264" s="2">
        <v>46093</v>
      </c>
      <c r="F264" t="s">
        <v>40</v>
      </c>
      <c r="G264">
        <v>147.69999999999999</v>
      </c>
      <c r="H264">
        <v>91</v>
      </c>
      <c r="I264">
        <v>-1957.8</v>
      </c>
      <c r="J264">
        <v>65.900000000000006</v>
      </c>
      <c r="K264">
        <v>0</v>
      </c>
      <c r="L264">
        <v>0.3</v>
      </c>
      <c r="M264">
        <v>0</v>
      </c>
      <c r="N264">
        <v>66.2</v>
      </c>
      <c r="O264">
        <v>114.87</v>
      </c>
      <c r="P264">
        <v>115.09</v>
      </c>
      <c r="Q264">
        <v>8.1999999999999993</v>
      </c>
      <c r="R264">
        <v>7.98</v>
      </c>
      <c r="S264">
        <f t="shared" si="174"/>
        <v>0.87976388802833039</v>
      </c>
      <c r="T264">
        <f t="shared" si="175"/>
        <v>1.0772673106237833</v>
      </c>
      <c r="U264">
        <f t="shared" si="183"/>
        <v>0</v>
      </c>
      <c r="V264">
        <f t="shared" si="176"/>
        <v>1.5749637185984751</v>
      </c>
      <c r="W264" t="str">
        <f t="shared" si="184"/>
        <v/>
      </c>
      <c r="X264">
        <f t="shared" si="177"/>
        <v>1.1123114057658643</v>
      </c>
      <c r="Y264" t="str">
        <f t="shared" si="185"/>
        <v/>
      </c>
      <c r="Z264">
        <f t="shared" si="178"/>
        <v>1.2030676918766019</v>
      </c>
      <c r="AA264">
        <f t="shared" si="179"/>
        <v>0.97295305645430441</v>
      </c>
      <c r="AB264">
        <f t="shared" si="180"/>
        <v>0.19718356088447131</v>
      </c>
      <c r="AC264">
        <f t="shared" si="181"/>
        <v>0.2871764008407735</v>
      </c>
      <c r="AD264">
        <f t="shared" si="182"/>
        <v>0.16184044322715546</v>
      </c>
    </row>
    <row r="265" spans="1:30">
      <c r="A265" t="s">
        <v>197</v>
      </c>
      <c r="B265" t="s">
        <v>31</v>
      </c>
      <c r="C265" t="s">
        <v>32</v>
      </c>
      <c r="D265" t="s">
        <v>33</v>
      </c>
      <c r="E265" s="2">
        <v>46093</v>
      </c>
      <c r="F265" t="s">
        <v>34</v>
      </c>
      <c r="G265">
        <v>147.69999999999999</v>
      </c>
      <c r="H265">
        <v>84.7</v>
      </c>
      <c r="I265">
        <v>-1957.8</v>
      </c>
      <c r="J265">
        <v>65.5</v>
      </c>
      <c r="K265">
        <v>0</v>
      </c>
      <c r="L265">
        <v>0.6</v>
      </c>
      <c r="M265">
        <v>0</v>
      </c>
      <c r="N265">
        <v>64.900000000000006</v>
      </c>
      <c r="O265">
        <v>111.86</v>
      </c>
      <c r="P265">
        <v>113.4</v>
      </c>
      <c r="Q265">
        <v>7.62</v>
      </c>
      <c r="R265">
        <v>7.37</v>
      </c>
      <c r="S265">
        <f t="shared" si="174"/>
        <v>0.87976388802833039</v>
      </c>
      <c r="T265">
        <f t="shared" si="175"/>
        <v>2.3278879062804765</v>
      </c>
      <c r="U265">
        <f t="shared" si="183"/>
        <v>0</v>
      </c>
      <c r="V265">
        <f t="shared" si="176"/>
        <v>1.7549086734367927</v>
      </c>
      <c r="W265" t="str">
        <f t="shared" si="184"/>
        <v/>
      </c>
      <c r="X265">
        <f t="shared" si="177"/>
        <v>0.89699045912885444</v>
      </c>
      <c r="Y265" t="str">
        <f t="shared" si="185"/>
        <v/>
      </c>
      <c r="Z265">
        <f t="shared" si="178"/>
        <v>1.7190330491687191</v>
      </c>
      <c r="AA265">
        <f t="shared" si="179"/>
        <v>0.75993966539626678</v>
      </c>
      <c r="AB265">
        <f t="shared" si="180"/>
        <v>0.8300484197038821</v>
      </c>
      <c r="AC265">
        <f t="shared" si="181"/>
        <v>0.75480840055332887</v>
      </c>
      <c r="AD265">
        <f t="shared" si="182"/>
        <v>1.3639415200290141</v>
      </c>
    </row>
    <row r="266" spans="1:30">
      <c r="A266" t="s">
        <v>197</v>
      </c>
      <c r="B266" t="s">
        <v>31</v>
      </c>
      <c r="C266" t="s">
        <v>32</v>
      </c>
      <c r="D266" t="s">
        <v>33</v>
      </c>
      <c r="E266" s="2">
        <v>46093</v>
      </c>
      <c r="F266" t="s">
        <v>34</v>
      </c>
      <c r="G266">
        <v>150.80000000000001</v>
      </c>
      <c r="H266">
        <v>84.3</v>
      </c>
      <c r="I266">
        <v>-1957.8</v>
      </c>
      <c r="J266">
        <v>65.5</v>
      </c>
      <c r="K266">
        <v>0</v>
      </c>
      <c r="L266">
        <v>0.7</v>
      </c>
      <c r="M266">
        <v>0</v>
      </c>
      <c r="N266">
        <v>64.8</v>
      </c>
      <c r="O266">
        <v>115.09</v>
      </c>
      <c r="P266">
        <v>115.24</v>
      </c>
      <c r="Q266">
        <v>7.01</v>
      </c>
      <c r="R266">
        <v>6.98</v>
      </c>
      <c r="S266">
        <f t="shared" si="174"/>
        <v>0.33870304224550302</v>
      </c>
      <c r="T266">
        <f t="shared" si="175"/>
        <v>2.4072923885443949</v>
      </c>
      <c r="U266">
        <f t="shared" si="183"/>
        <v>0</v>
      </c>
      <c r="V266">
        <f t="shared" si="176"/>
        <v>1.7549086734367927</v>
      </c>
      <c r="W266" t="str">
        <f t="shared" si="184"/>
        <v/>
      </c>
      <c r="X266">
        <f t="shared" si="177"/>
        <v>0.82521681024985127</v>
      </c>
      <c r="Y266" t="str">
        <f t="shared" si="185"/>
        <v/>
      </c>
      <c r="Z266">
        <f t="shared" si="178"/>
        <v>1.7587226920373471</v>
      </c>
      <c r="AA266">
        <f t="shared" si="179"/>
        <v>1.0996096673536808</v>
      </c>
      <c r="AB266">
        <f t="shared" si="180"/>
        <v>0.2883579970313615</v>
      </c>
      <c r="AC266">
        <f t="shared" si="181"/>
        <v>1.8506889675367835</v>
      </c>
      <c r="AD266">
        <f t="shared" si="182"/>
        <v>2.3394414637501701</v>
      </c>
    </row>
    <row r="267" spans="1:30">
      <c r="A267" t="s">
        <v>197</v>
      </c>
      <c r="B267" t="s">
        <v>31</v>
      </c>
      <c r="C267" t="s">
        <v>32</v>
      </c>
      <c r="D267" t="s">
        <v>33</v>
      </c>
      <c r="E267" s="2">
        <v>46093</v>
      </c>
      <c r="F267" t="s">
        <v>34</v>
      </c>
      <c r="G267">
        <v>149.9</v>
      </c>
      <c r="H267">
        <v>84.3</v>
      </c>
      <c r="I267">
        <v>-1957.8</v>
      </c>
      <c r="J267">
        <v>65.5</v>
      </c>
      <c r="K267">
        <v>0</v>
      </c>
      <c r="L267">
        <v>1</v>
      </c>
      <c r="M267">
        <v>0</v>
      </c>
      <c r="N267">
        <v>64.5</v>
      </c>
      <c r="O267">
        <v>115.46</v>
      </c>
      <c r="P267">
        <v>115.46</v>
      </c>
      <c r="Q267">
        <v>6.88</v>
      </c>
      <c r="R267">
        <v>7.1</v>
      </c>
      <c r="S267">
        <f t="shared" si="174"/>
        <v>0.49578522327922692</v>
      </c>
      <c r="T267">
        <f t="shared" si="175"/>
        <v>2.4072923885443949</v>
      </c>
      <c r="U267">
        <f t="shared" si="183"/>
        <v>0</v>
      </c>
      <c r="V267">
        <f t="shared" si="176"/>
        <v>1.7549086734367927</v>
      </c>
      <c r="W267" t="str">
        <f t="shared" si="184"/>
        <v/>
      </c>
      <c r="X267">
        <f t="shared" si="177"/>
        <v>0.60989586361284143</v>
      </c>
      <c r="Y267" t="str">
        <f t="shared" si="185"/>
        <v/>
      </c>
      <c r="Z267">
        <f t="shared" si="178"/>
        <v>1.8777916206432195</v>
      </c>
      <c r="AA267">
        <f t="shared" si="179"/>
        <v>1.3126230584117187</v>
      </c>
      <c r="AB267">
        <f t="shared" si="180"/>
        <v>0.42208050338014075</v>
      </c>
      <c r="AC267">
        <f t="shared" si="181"/>
        <v>2.0842372850906341</v>
      </c>
      <c r="AD267">
        <f t="shared" si="182"/>
        <v>2.0392876349128932</v>
      </c>
    </row>
    <row r="268" spans="1:30">
      <c r="A268" t="s">
        <v>197</v>
      </c>
      <c r="B268" t="s">
        <v>31</v>
      </c>
      <c r="C268" t="s">
        <v>32</v>
      </c>
      <c r="D268" t="s">
        <v>33</v>
      </c>
      <c r="E268" s="2">
        <v>46093</v>
      </c>
      <c r="F268" t="s">
        <v>40</v>
      </c>
      <c r="G268">
        <v>154.80000000000001</v>
      </c>
      <c r="H268">
        <v>88.3</v>
      </c>
      <c r="I268">
        <v>-1957.8</v>
      </c>
      <c r="J268">
        <v>66.400000000000006</v>
      </c>
      <c r="K268">
        <v>0</v>
      </c>
      <c r="L268">
        <v>1.2</v>
      </c>
      <c r="M268">
        <v>0</v>
      </c>
      <c r="N268">
        <v>65.2</v>
      </c>
      <c r="O268">
        <v>115.31</v>
      </c>
      <c r="P268">
        <v>115.31</v>
      </c>
      <c r="Q268">
        <v>7.1</v>
      </c>
      <c r="R268">
        <v>7.3</v>
      </c>
      <c r="S268">
        <f t="shared" si="174"/>
        <v>0.35943998457104326</v>
      </c>
      <c r="T268">
        <f t="shared" si="175"/>
        <v>1.6132475659052241</v>
      </c>
      <c r="U268">
        <f t="shared" si="183"/>
        <v>0</v>
      </c>
      <c r="V268">
        <f t="shared" si="176"/>
        <v>1.3500325250505814</v>
      </c>
      <c r="W268" t="str">
        <f t="shared" si="184"/>
        <v/>
      </c>
      <c r="X268">
        <f t="shared" si="177"/>
        <v>0.46634856585483497</v>
      </c>
      <c r="Y268" t="str">
        <f t="shared" si="185"/>
        <v/>
      </c>
      <c r="Z268">
        <f t="shared" si="178"/>
        <v>1.5999641205628468</v>
      </c>
      <c r="AA268">
        <f t="shared" si="179"/>
        <v>1.2262662782530573</v>
      </c>
      <c r="AB268">
        <f t="shared" si="180"/>
        <v>0.3309060672332505</v>
      </c>
      <c r="AC268">
        <f t="shared" si="181"/>
        <v>1.6890016707687332</v>
      </c>
      <c r="AD268">
        <f t="shared" si="182"/>
        <v>1.5390312535174275</v>
      </c>
    </row>
    <row r="269" spans="1:30">
      <c r="A269" t="s">
        <v>198</v>
      </c>
      <c r="B269" t="s">
        <v>31</v>
      </c>
      <c r="C269" t="s">
        <v>32</v>
      </c>
      <c r="D269" t="s">
        <v>33</v>
      </c>
      <c r="E269" s="2">
        <v>46093</v>
      </c>
      <c r="F269" t="s">
        <v>34</v>
      </c>
      <c r="G269">
        <v>144.6</v>
      </c>
      <c r="H269">
        <v>84.7</v>
      </c>
      <c r="I269">
        <v>-1957.8</v>
      </c>
      <c r="J269">
        <v>66.400000000000006</v>
      </c>
      <c r="K269">
        <v>0</v>
      </c>
      <c r="L269">
        <v>1.8</v>
      </c>
      <c r="M269">
        <v>0</v>
      </c>
      <c r="N269">
        <v>64.599999999999994</v>
      </c>
      <c r="O269">
        <v>111.94</v>
      </c>
      <c r="P269">
        <v>113.48</v>
      </c>
      <c r="Q269">
        <v>7.62</v>
      </c>
      <c r="R269">
        <v>7.28</v>
      </c>
      <c r="S269">
        <f t="shared" si="174"/>
        <v>1.4208247338111528</v>
      </c>
      <c r="T269">
        <f t="shared" si="175"/>
        <v>2.3278879062804765</v>
      </c>
      <c r="U269">
        <f t="shared" si="183"/>
        <v>0</v>
      </c>
      <c r="V269">
        <f t="shared" si="176"/>
        <v>1.3500325250505814</v>
      </c>
      <c r="W269" t="str">
        <f t="shared" si="184"/>
        <v/>
      </c>
      <c r="X269">
        <f t="shared" si="177"/>
        <v>3.5706672580815363E-2</v>
      </c>
      <c r="Y269" t="str">
        <f t="shared" si="185"/>
        <v/>
      </c>
      <c r="Z269">
        <f t="shared" si="178"/>
        <v>1.8381019777745973</v>
      </c>
      <c r="AA269">
        <f t="shared" si="179"/>
        <v>0.71388271597831243</v>
      </c>
      <c r="AB269">
        <f t="shared" si="180"/>
        <v>0.78142205375887219</v>
      </c>
      <c r="AC269">
        <f t="shared" si="181"/>
        <v>0.75480840055332887</v>
      </c>
      <c r="AD269">
        <f t="shared" si="182"/>
        <v>1.5890568916569729</v>
      </c>
    </row>
    <row r="270" spans="1:30">
      <c r="A270" t="s">
        <v>198</v>
      </c>
      <c r="B270" t="s">
        <v>31</v>
      </c>
      <c r="C270" t="s">
        <v>32</v>
      </c>
      <c r="D270" t="s">
        <v>33</v>
      </c>
      <c r="E270" s="2">
        <v>46093</v>
      </c>
      <c r="F270" t="s">
        <v>40</v>
      </c>
      <c r="G270">
        <v>150.80000000000001</v>
      </c>
      <c r="H270">
        <v>90.1</v>
      </c>
      <c r="I270">
        <v>-1957.8</v>
      </c>
      <c r="J270">
        <v>66.400000000000006</v>
      </c>
      <c r="K270">
        <v>0</v>
      </c>
      <c r="L270">
        <v>0.2</v>
      </c>
      <c r="M270">
        <v>0</v>
      </c>
      <c r="N270">
        <v>66.2</v>
      </c>
      <c r="O270">
        <v>112.08</v>
      </c>
      <c r="P270">
        <v>113.62</v>
      </c>
      <c r="Q270">
        <v>7.28</v>
      </c>
      <c r="R270">
        <v>7.35</v>
      </c>
      <c r="S270">
        <f t="shared" si="174"/>
        <v>0.33870304224550302</v>
      </c>
      <c r="T270">
        <f t="shared" si="175"/>
        <v>1.255927395717598</v>
      </c>
      <c r="U270">
        <f t="shared" si="183"/>
        <v>0</v>
      </c>
      <c r="V270">
        <f t="shared" si="176"/>
        <v>1.3500325250505814</v>
      </c>
      <c r="W270" t="str">
        <f t="shared" si="184"/>
        <v/>
      </c>
      <c r="X270">
        <f t="shared" si="177"/>
        <v>1.1840850546448676</v>
      </c>
      <c r="Y270" t="str">
        <f t="shared" si="185"/>
        <v/>
      </c>
      <c r="Z270">
        <f t="shared" si="178"/>
        <v>1.2030676918766019</v>
      </c>
      <c r="AA270">
        <f t="shared" si="179"/>
        <v>0.63328305449689037</v>
      </c>
      <c r="AB270">
        <f t="shared" si="180"/>
        <v>0.69632591335510285</v>
      </c>
      <c r="AC270">
        <f t="shared" si="181"/>
        <v>1.3656270772326309</v>
      </c>
      <c r="AD270">
        <f t="shared" si="182"/>
        <v>1.4139671581685618</v>
      </c>
    </row>
    <row r="271" spans="1:30">
      <c r="A271" t="s">
        <v>199</v>
      </c>
      <c r="B271" t="s">
        <v>37</v>
      </c>
      <c r="C271" t="s">
        <v>38</v>
      </c>
      <c r="D271" t="s">
        <v>39</v>
      </c>
      <c r="E271" s="2">
        <v>46093</v>
      </c>
      <c r="F271" t="s">
        <v>34</v>
      </c>
      <c r="G271">
        <v>104.8</v>
      </c>
      <c r="H271">
        <v>76.599999999999994</v>
      </c>
      <c r="I271">
        <v>-1957.8</v>
      </c>
      <c r="J271">
        <v>65.900000000000006</v>
      </c>
      <c r="K271">
        <v>0</v>
      </c>
      <c r="L271">
        <v>1.2</v>
      </c>
      <c r="M271">
        <v>0</v>
      </c>
      <c r="N271">
        <v>64.7</v>
      </c>
      <c r="O271">
        <v>115.68</v>
      </c>
      <c r="P271">
        <v>117.22</v>
      </c>
      <c r="Q271">
        <v>3.69</v>
      </c>
      <c r="R271">
        <v>3.74</v>
      </c>
      <c r="S271">
        <f t="shared" ref="S271:S287" si="186">IF(OR(G271=0,G271=""),"",ABS((G271-112.561871)/4.985957))</f>
        <v>1.556746478158556</v>
      </c>
      <c r="T271">
        <f t="shared" ref="T271:T287" si="187">IF(OR(H271=0,H271=""),"",ABS((H271-80.720624)/2.821681))</f>
        <v>1.4603436745684599</v>
      </c>
      <c r="U271">
        <f t="shared" si="183"/>
        <v>0</v>
      </c>
      <c r="V271">
        <f t="shared" ref="V271:V287" si="188">IF(OR(J271=0,J271=""),"",ABS((J271-69.348681)/1.912674))</f>
        <v>1.8030678516046088</v>
      </c>
      <c r="W271" t="str">
        <f t="shared" si="184"/>
        <v/>
      </c>
      <c r="X271">
        <f t="shared" ref="X271:X287" si="189">IF(OR(L271=0,L271=""),"",ABS((L271-1.455283)/1.400093))</f>
        <v>0.18233288788673335</v>
      </c>
      <c r="Y271" t="str">
        <f t="shared" si="185"/>
        <v/>
      </c>
      <c r="Z271">
        <f t="shared" ref="Z271:Z287" si="190">IF(OR(N271=0,N271=""),"",ABS((N271-69.699041)/2.195614))</f>
        <v>2.276830535786341</v>
      </c>
      <c r="AA271">
        <f t="shared" ref="AA271:AA287" si="191">IF(OR(O271=0,O271=""),"",ABS((O271-113.513094)/1.682996))</f>
        <v>1.2875289067829108</v>
      </c>
      <c r="AB271">
        <f t="shared" ref="AB271:AB287" si="192">IF(OR(P271=0,P271=""),"",ABS((P271-115.315492)/1.394108))</f>
        <v>1.3661122380762416</v>
      </c>
      <c r="AC271">
        <f t="shared" ref="AC271:AC287" si="193">IF(OR(Q271=0,Q271=""),"",ABS((Q271-3.821127)/0.150485))</f>
        <v>0.87136259427850093</v>
      </c>
      <c r="AD271">
        <f t="shared" ref="AD271:AD287" si="194">IF(OR(R271=0,R271=""),"",ABS((R271-3.848345)/0.156761))</f>
        <v>0.69114767065787985</v>
      </c>
    </row>
    <row r="272" spans="1:30">
      <c r="A272" t="s">
        <v>199</v>
      </c>
      <c r="B272" t="s">
        <v>37</v>
      </c>
      <c r="C272" t="s">
        <v>38</v>
      </c>
      <c r="D272" t="s">
        <v>39</v>
      </c>
      <c r="E272" s="2">
        <v>46093</v>
      </c>
      <c r="F272" t="s">
        <v>34</v>
      </c>
      <c r="G272">
        <v>112</v>
      </c>
      <c r="H272">
        <v>77</v>
      </c>
      <c r="I272">
        <v>-1957.8</v>
      </c>
      <c r="J272">
        <v>65.900000000000006</v>
      </c>
      <c r="K272">
        <v>0</v>
      </c>
      <c r="L272">
        <v>1.1000000000000001</v>
      </c>
      <c r="M272">
        <v>0</v>
      </c>
      <c r="N272">
        <v>64.8</v>
      </c>
      <c r="O272">
        <v>115.6</v>
      </c>
      <c r="P272">
        <v>113.99</v>
      </c>
      <c r="Q272">
        <v>3.74</v>
      </c>
      <c r="R272">
        <v>3.78</v>
      </c>
      <c r="S272">
        <f t="shared" si="186"/>
        <v>0.11269070310875053</v>
      </c>
      <c r="T272">
        <f t="shared" si="187"/>
        <v>1.3185842056561323</v>
      </c>
      <c r="U272">
        <f t="shared" si="183"/>
        <v>0</v>
      </c>
      <c r="V272">
        <f t="shared" si="188"/>
        <v>1.8030678516046088</v>
      </c>
      <c r="W272" t="str">
        <f t="shared" si="184"/>
        <v/>
      </c>
      <c r="X272">
        <f t="shared" si="189"/>
        <v>0.25375671473252137</v>
      </c>
      <c r="Y272" t="str">
        <f t="shared" si="185"/>
        <v/>
      </c>
      <c r="Z272">
        <f t="shared" si="190"/>
        <v>2.2312851894731938</v>
      </c>
      <c r="AA272">
        <f t="shared" si="191"/>
        <v>1.2399946286265677</v>
      </c>
      <c r="AB272">
        <f t="shared" si="192"/>
        <v>0.95078143156772021</v>
      </c>
      <c r="AC272">
        <f t="shared" si="193"/>
        <v>0.53910356513938229</v>
      </c>
      <c r="AD272">
        <f t="shared" si="194"/>
        <v>0.4359821639310818</v>
      </c>
    </row>
    <row r="273" spans="1:30">
      <c r="A273" t="s">
        <v>199</v>
      </c>
      <c r="B273" t="s">
        <v>37</v>
      </c>
      <c r="C273" t="s">
        <v>38</v>
      </c>
      <c r="D273" t="s">
        <v>39</v>
      </c>
      <c r="E273" s="2">
        <v>46093</v>
      </c>
      <c r="F273" t="s">
        <v>40</v>
      </c>
      <c r="G273">
        <v>113.7</v>
      </c>
      <c r="H273">
        <v>76.099999999999994</v>
      </c>
      <c r="I273">
        <v>-1957.8</v>
      </c>
      <c r="J273">
        <v>65.900000000000006</v>
      </c>
      <c r="K273">
        <v>0</v>
      </c>
      <c r="L273">
        <v>0.4</v>
      </c>
      <c r="M273">
        <v>0</v>
      </c>
      <c r="N273">
        <v>66.3</v>
      </c>
      <c r="O273">
        <v>115.75</v>
      </c>
      <c r="P273">
        <v>117.36</v>
      </c>
      <c r="Q273">
        <v>3.83</v>
      </c>
      <c r="R273">
        <v>3.83</v>
      </c>
      <c r="S273">
        <f t="shared" si="186"/>
        <v>0.2282669104446762</v>
      </c>
      <c r="T273">
        <f t="shared" si="187"/>
        <v>1.6375430107088671</v>
      </c>
      <c r="U273">
        <f t="shared" si="183"/>
        <v>0</v>
      </c>
      <c r="V273">
        <f t="shared" si="188"/>
        <v>1.8030678516046088</v>
      </c>
      <c r="W273" t="str">
        <f t="shared" si="184"/>
        <v/>
      </c>
      <c r="X273">
        <f t="shared" si="189"/>
        <v>0.75372350265303822</v>
      </c>
      <c r="Y273" t="str">
        <f t="shared" si="185"/>
        <v/>
      </c>
      <c r="Z273">
        <f t="shared" si="190"/>
        <v>1.5481049947759473</v>
      </c>
      <c r="AA273">
        <f t="shared" si="191"/>
        <v>1.3291214001697003</v>
      </c>
      <c r="AB273">
        <f t="shared" si="192"/>
        <v>1.4665348739122031</v>
      </c>
      <c r="AC273">
        <f t="shared" si="193"/>
        <v>5.8962687311027065E-2</v>
      </c>
      <c r="AD273">
        <f t="shared" si="194"/>
        <v>0.11702528052257931</v>
      </c>
    </row>
    <row r="274" spans="1:30">
      <c r="A274" t="s">
        <v>200</v>
      </c>
      <c r="B274" t="s">
        <v>37</v>
      </c>
      <c r="C274" t="s">
        <v>38</v>
      </c>
      <c r="D274" t="s">
        <v>39</v>
      </c>
      <c r="E274" s="2">
        <v>46093</v>
      </c>
      <c r="F274" t="s">
        <v>40</v>
      </c>
      <c r="G274">
        <v>111.5</v>
      </c>
      <c r="H274">
        <v>79.3</v>
      </c>
      <c r="I274">
        <v>-1957.8</v>
      </c>
      <c r="J274">
        <v>68.599999999999994</v>
      </c>
      <c r="K274">
        <v>0</v>
      </c>
      <c r="L274">
        <v>1.1000000000000001</v>
      </c>
      <c r="M274">
        <v>0</v>
      </c>
      <c r="N274">
        <v>67.5</v>
      </c>
      <c r="O274">
        <v>114.87</v>
      </c>
      <c r="P274">
        <v>115.02</v>
      </c>
      <c r="Q274">
        <v>3.66</v>
      </c>
      <c r="R274">
        <v>3.76</v>
      </c>
      <c r="S274">
        <f t="shared" si="186"/>
        <v>0.21297235415387586</v>
      </c>
      <c r="T274">
        <f t="shared" si="187"/>
        <v>0.50346725941026071</v>
      </c>
      <c r="U274">
        <f t="shared" si="183"/>
        <v>0</v>
      </c>
      <c r="V274">
        <f t="shared" si="188"/>
        <v>0.39143157694411324</v>
      </c>
      <c r="W274" t="str">
        <f t="shared" si="184"/>
        <v/>
      </c>
      <c r="X274">
        <f t="shared" si="189"/>
        <v>0.25375671473252137</v>
      </c>
      <c r="Y274" t="str">
        <f t="shared" si="185"/>
        <v/>
      </c>
      <c r="Z274">
        <f t="shared" si="190"/>
        <v>1.001560839018149</v>
      </c>
      <c r="AA274">
        <f t="shared" si="191"/>
        <v>0.80624434045001259</v>
      </c>
      <c r="AB274">
        <f t="shared" si="192"/>
        <v>0.21195775363172015</v>
      </c>
      <c r="AC274">
        <f t="shared" si="193"/>
        <v>1.0707180117619697</v>
      </c>
      <c r="AD274">
        <f t="shared" si="194"/>
        <v>0.56356491729448221</v>
      </c>
    </row>
    <row r="275" spans="1:30">
      <c r="A275" t="s">
        <v>201</v>
      </c>
      <c r="B275" t="s">
        <v>37</v>
      </c>
      <c r="C275" t="s">
        <v>38</v>
      </c>
      <c r="D275" t="s">
        <v>39</v>
      </c>
      <c r="E275" s="2">
        <v>46093</v>
      </c>
      <c r="F275" t="s">
        <v>34</v>
      </c>
      <c r="G275">
        <v>110.6</v>
      </c>
      <c r="H275">
        <v>76.099999999999994</v>
      </c>
      <c r="I275">
        <v>-1957.8</v>
      </c>
      <c r="J275">
        <v>66.8</v>
      </c>
      <c r="K275">
        <v>0</v>
      </c>
      <c r="L275">
        <v>2.4</v>
      </c>
      <c r="M275">
        <v>0</v>
      </c>
      <c r="N275">
        <v>64.400000000000006</v>
      </c>
      <c r="O275">
        <v>112.23</v>
      </c>
      <c r="P275">
        <v>116.92</v>
      </c>
      <c r="Q275">
        <v>3.74</v>
      </c>
      <c r="R275">
        <v>3.76</v>
      </c>
      <c r="S275">
        <f t="shared" si="186"/>
        <v>0.39347932603510261</v>
      </c>
      <c r="T275">
        <f t="shared" si="187"/>
        <v>1.6375430107088671</v>
      </c>
      <c r="U275">
        <f t="shared" si="183"/>
        <v>0</v>
      </c>
      <c r="V275">
        <f t="shared" si="188"/>
        <v>1.3325224267177793</v>
      </c>
      <c r="W275" t="str">
        <f t="shared" si="184"/>
        <v/>
      </c>
      <c r="X275">
        <f t="shared" si="189"/>
        <v>0.67475303426272382</v>
      </c>
      <c r="Y275" t="str">
        <f t="shared" si="185"/>
        <v/>
      </c>
      <c r="Z275">
        <f t="shared" si="190"/>
        <v>2.4134665747257888</v>
      </c>
      <c r="AA275">
        <f t="shared" si="191"/>
        <v>0.76238683870905888</v>
      </c>
      <c r="AB275">
        <f t="shared" si="192"/>
        <v>1.1509208755706126</v>
      </c>
      <c r="AC275">
        <f t="shared" si="193"/>
        <v>0.53910356513938229</v>
      </c>
      <c r="AD275">
        <f t="shared" si="194"/>
        <v>0.56356491729448221</v>
      </c>
    </row>
    <row r="276" spans="1:30">
      <c r="A276" t="s">
        <v>201</v>
      </c>
      <c r="B276" t="s">
        <v>37</v>
      </c>
      <c r="C276" t="s">
        <v>38</v>
      </c>
      <c r="D276" t="s">
        <v>39</v>
      </c>
      <c r="E276" s="2">
        <v>46093</v>
      </c>
      <c r="F276" t="s">
        <v>40</v>
      </c>
      <c r="G276">
        <v>112</v>
      </c>
      <c r="H276">
        <v>78.900000000000006</v>
      </c>
      <c r="I276">
        <v>-1957.8</v>
      </c>
      <c r="J276">
        <v>66.8</v>
      </c>
      <c r="K276">
        <v>0</v>
      </c>
      <c r="L276">
        <v>0.2</v>
      </c>
      <c r="M276">
        <v>0</v>
      </c>
      <c r="N276">
        <v>66.599999999999994</v>
      </c>
      <c r="O276">
        <v>112.3</v>
      </c>
      <c r="P276">
        <v>116.92</v>
      </c>
      <c r="Q276">
        <v>3.78</v>
      </c>
      <c r="R276">
        <v>3.74</v>
      </c>
      <c r="S276">
        <f t="shared" si="186"/>
        <v>0.11269070310875053</v>
      </c>
      <c r="T276">
        <f t="shared" si="187"/>
        <v>0.64522672832258332</v>
      </c>
      <c r="U276">
        <f t="shared" si="183"/>
        <v>0</v>
      </c>
      <c r="V276">
        <f t="shared" si="188"/>
        <v>1.3325224267177793</v>
      </c>
      <c r="W276" t="str">
        <f t="shared" si="184"/>
        <v/>
      </c>
      <c r="X276">
        <f t="shared" si="189"/>
        <v>0.89657115634461437</v>
      </c>
      <c r="Y276" t="str">
        <f t="shared" si="185"/>
        <v/>
      </c>
      <c r="Z276">
        <f t="shared" si="190"/>
        <v>1.4114689558364995</v>
      </c>
      <c r="AA276">
        <f t="shared" si="191"/>
        <v>0.72079434532226938</v>
      </c>
      <c r="AB276">
        <f t="shared" si="192"/>
        <v>1.1509208755706126</v>
      </c>
      <c r="AC276">
        <f t="shared" si="193"/>
        <v>0.27329634182809154</v>
      </c>
      <c r="AD276">
        <f t="shared" si="194"/>
        <v>0.69114767065787985</v>
      </c>
    </row>
    <row r="277" spans="1:30">
      <c r="A277" t="s">
        <v>202</v>
      </c>
      <c r="B277" t="s">
        <v>37</v>
      </c>
      <c r="C277" t="s">
        <v>38</v>
      </c>
      <c r="D277" t="s">
        <v>39</v>
      </c>
      <c r="E277" s="2">
        <v>46093</v>
      </c>
      <c r="F277" t="s">
        <v>34</v>
      </c>
      <c r="G277">
        <v>110.2</v>
      </c>
      <c r="H277">
        <v>73</v>
      </c>
      <c r="I277">
        <v>-1957.8</v>
      </c>
      <c r="J277">
        <v>65.5</v>
      </c>
      <c r="K277">
        <v>0</v>
      </c>
      <c r="L277">
        <v>0.5</v>
      </c>
      <c r="M277">
        <v>0</v>
      </c>
      <c r="N277">
        <v>66</v>
      </c>
      <c r="O277">
        <v>115.46</v>
      </c>
      <c r="P277">
        <v>115.38</v>
      </c>
      <c r="Q277">
        <v>3.74</v>
      </c>
      <c r="R277">
        <v>3.81</v>
      </c>
      <c r="S277">
        <f t="shared" si="186"/>
        <v>0.47370464687120117</v>
      </c>
      <c r="T277">
        <f t="shared" si="187"/>
        <v>2.736178894779389</v>
      </c>
      <c r="U277">
        <f t="shared" si="183"/>
        <v>0</v>
      </c>
      <c r="V277">
        <f t="shared" si="188"/>
        <v>2.0121991515543156</v>
      </c>
      <c r="W277" t="str">
        <f t="shared" si="184"/>
        <v/>
      </c>
      <c r="X277">
        <f t="shared" si="189"/>
        <v>0.68229967580725004</v>
      </c>
      <c r="Y277" t="str">
        <f t="shared" si="185"/>
        <v/>
      </c>
      <c r="Z277">
        <f t="shared" si="190"/>
        <v>1.6847410337153954</v>
      </c>
      <c r="AA277">
        <f t="shared" si="191"/>
        <v>1.1568096418529803</v>
      </c>
      <c r="AB277">
        <f t="shared" si="192"/>
        <v>4.6271881375036482E-2</v>
      </c>
      <c r="AC277">
        <f t="shared" si="193"/>
        <v>0.53910356513938229</v>
      </c>
      <c r="AD277">
        <f t="shared" si="194"/>
        <v>0.24460803388597974</v>
      </c>
    </row>
    <row r="278" spans="1:30">
      <c r="A278" t="s">
        <v>202</v>
      </c>
      <c r="B278" t="s">
        <v>37</v>
      </c>
      <c r="C278" t="s">
        <v>38</v>
      </c>
      <c r="D278" t="s">
        <v>39</v>
      </c>
      <c r="E278" s="2">
        <v>46093</v>
      </c>
      <c r="F278" t="s">
        <v>40</v>
      </c>
      <c r="G278">
        <v>113.7</v>
      </c>
      <c r="H278">
        <v>79.3</v>
      </c>
      <c r="I278">
        <v>-1957.8</v>
      </c>
      <c r="J278">
        <v>65.900000000000006</v>
      </c>
      <c r="K278">
        <v>0</v>
      </c>
      <c r="L278">
        <v>0.3</v>
      </c>
      <c r="M278">
        <v>0</v>
      </c>
      <c r="N278">
        <v>65.599999999999994</v>
      </c>
      <c r="O278">
        <v>115.16</v>
      </c>
      <c r="P278">
        <v>115.16</v>
      </c>
      <c r="Q278">
        <v>3.76</v>
      </c>
      <c r="R278">
        <v>3.86</v>
      </c>
      <c r="S278">
        <f t="shared" si="186"/>
        <v>0.2282669104446762</v>
      </c>
      <c r="T278">
        <f t="shared" si="187"/>
        <v>0.50346725941026071</v>
      </c>
      <c r="U278">
        <f t="shared" si="183"/>
        <v>0</v>
      </c>
      <c r="V278">
        <f t="shared" si="188"/>
        <v>1.8030678516046088</v>
      </c>
      <c r="W278" t="str">
        <f t="shared" si="184"/>
        <v/>
      </c>
      <c r="X278">
        <f t="shared" si="189"/>
        <v>0.82514732949882619</v>
      </c>
      <c r="Y278" t="str">
        <f t="shared" si="185"/>
        <v/>
      </c>
      <c r="Z278">
        <f t="shared" si="190"/>
        <v>1.8669224189679969</v>
      </c>
      <c r="AA278">
        <f t="shared" si="191"/>
        <v>0.978556098766724</v>
      </c>
      <c r="AB278">
        <f t="shared" si="192"/>
        <v>0.11153511779575867</v>
      </c>
      <c r="AC278">
        <f t="shared" si="193"/>
        <v>0.40619995348373839</v>
      </c>
      <c r="AD278">
        <f t="shared" si="194"/>
        <v>7.4348849522519939E-2</v>
      </c>
    </row>
    <row r="279" spans="1:30">
      <c r="A279" t="s">
        <v>203</v>
      </c>
      <c r="B279" t="s">
        <v>37</v>
      </c>
      <c r="C279" t="s">
        <v>38</v>
      </c>
      <c r="D279" t="s">
        <v>39</v>
      </c>
      <c r="E279" s="2">
        <v>46093</v>
      </c>
      <c r="F279" t="s">
        <v>40</v>
      </c>
      <c r="G279">
        <v>112</v>
      </c>
      <c r="H279">
        <v>77.5</v>
      </c>
      <c r="I279">
        <v>-1957.8</v>
      </c>
      <c r="J279">
        <v>65.900000000000006</v>
      </c>
      <c r="K279">
        <v>0</v>
      </c>
      <c r="L279">
        <v>0.4</v>
      </c>
      <c r="M279">
        <v>0</v>
      </c>
      <c r="N279">
        <v>66.3</v>
      </c>
      <c r="O279">
        <v>112.23</v>
      </c>
      <c r="P279">
        <v>116.34</v>
      </c>
      <c r="Q279">
        <v>3.69</v>
      </c>
      <c r="R279">
        <v>3.69</v>
      </c>
      <c r="S279">
        <f t="shared" si="186"/>
        <v>0.11269070310875053</v>
      </c>
      <c r="T279">
        <f t="shared" si="187"/>
        <v>1.1413848695157252</v>
      </c>
      <c r="U279">
        <f t="shared" si="183"/>
        <v>0</v>
      </c>
      <c r="V279">
        <f t="shared" si="188"/>
        <v>1.8030678516046088</v>
      </c>
      <c r="W279" t="str">
        <f t="shared" si="184"/>
        <v/>
      </c>
      <c r="X279">
        <f t="shared" si="189"/>
        <v>0.75372350265303822</v>
      </c>
      <c r="Y279" t="str">
        <f t="shared" si="185"/>
        <v/>
      </c>
      <c r="Z279">
        <f t="shared" si="190"/>
        <v>1.5481049947759473</v>
      </c>
      <c r="AA279">
        <f t="shared" si="191"/>
        <v>0.76238683870905888</v>
      </c>
      <c r="AB279">
        <f t="shared" si="192"/>
        <v>0.73488424139306097</v>
      </c>
      <c r="AC279">
        <f t="shared" si="193"/>
        <v>0.87136259427850093</v>
      </c>
      <c r="AD279">
        <f t="shared" si="194"/>
        <v>1.0101045540663824</v>
      </c>
    </row>
    <row r="280" spans="1:30">
      <c r="A280" t="s">
        <v>204</v>
      </c>
      <c r="B280" t="s">
        <v>37</v>
      </c>
      <c r="C280" t="s">
        <v>38</v>
      </c>
      <c r="D280" t="s">
        <v>39</v>
      </c>
      <c r="E280" s="2">
        <v>46093</v>
      </c>
      <c r="F280" t="s">
        <v>40</v>
      </c>
      <c r="G280">
        <v>107.9</v>
      </c>
      <c r="H280">
        <v>76.099999999999994</v>
      </c>
      <c r="I280">
        <v>-1957.8</v>
      </c>
      <c r="J280">
        <v>65.5</v>
      </c>
      <c r="K280">
        <v>0</v>
      </c>
      <c r="L280">
        <v>0.5</v>
      </c>
      <c r="M280">
        <v>0</v>
      </c>
      <c r="N280">
        <v>66</v>
      </c>
      <c r="O280">
        <v>111.79</v>
      </c>
      <c r="P280">
        <v>113.4</v>
      </c>
      <c r="Q280">
        <v>3.83</v>
      </c>
      <c r="R280">
        <v>3.83</v>
      </c>
      <c r="S280">
        <f t="shared" si="186"/>
        <v>0.93500024167877716</v>
      </c>
      <c r="T280">
        <f t="shared" si="187"/>
        <v>1.6375430107088671</v>
      </c>
      <c r="U280">
        <f t="shared" si="183"/>
        <v>0</v>
      </c>
      <c r="V280">
        <f t="shared" si="188"/>
        <v>2.0121991515543156</v>
      </c>
      <c r="W280" t="str">
        <f t="shared" si="184"/>
        <v/>
      </c>
      <c r="X280">
        <f t="shared" si="189"/>
        <v>0.68229967580725004</v>
      </c>
      <c r="Y280" t="str">
        <f t="shared" si="185"/>
        <v/>
      </c>
      <c r="Z280">
        <f t="shared" si="190"/>
        <v>1.6847410337153954</v>
      </c>
      <c r="AA280">
        <f t="shared" si="191"/>
        <v>1.0238253685689027</v>
      </c>
      <c r="AB280">
        <f t="shared" si="192"/>
        <v>1.3739911111621199</v>
      </c>
      <c r="AC280">
        <f t="shared" si="193"/>
        <v>5.8962687311027065E-2</v>
      </c>
      <c r="AD280">
        <f t="shared" si="194"/>
        <v>0.11702528052257931</v>
      </c>
    </row>
    <row r="281" spans="1:30">
      <c r="A281" t="s">
        <v>205</v>
      </c>
      <c r="B281" t="s">
        <v>37</v>
      </c>
      <c r="C281" t="s">
        <v>38</v>
      </c>
      <c r="D281" t="s">
        <v>39</v>
      </c>
      <c r="E281" s="2">
        <v>46093</v>
      </c>
      <c r="F281" t="s">
        <v>40</v>
      </c>
      <c r="G281">
        <v>112.9</v>
      </c>
      <c r="H281">
        <v>78.400000000000006</v>
      </c>
      <c r="I281">
        <v>-1957.8</v>
      </c>
      <c r="J281">
        <v>65.5</v>
      </c>
      <c r="K281">
        <v>0</v>
      </c>
      <c r="L281">
        <v>1.5</v>
      </c>
      <c r="M281">
        <v>0</v>
      </c>
      <c r="N281">
        <v>67</v>
      </c>
      <c r="O281">
        <v>115.24</v>
      </c>
      <c r="P281">
        <v>115.31</v>
      </c>
      <c r="Q281">
        <v>3.66</v>
      </c>
      <c r="R281">
        <v>3.66</v>
      </c>
      <c r="S281">
        <f t="shared" si="186"/>
        <v>6.7816268772476221E-2</v>
      </c>
      <c r="T281">
        <f t="shared" si="187"/>
        <v>0.82242606446299038</v>
      </c>
      <c r="U281">
        <f t="shared" si="183"/>
        <v>0</v>
      </c>
      <c r="V281">
        <f t="shared" si="188"/>
        <v>2.0121991515543156</v>
      </c>
      <c r="W281" t="str">
        <f t="shared" si="184"/>
        <v/>
      </c>
      <c r="X281">
        <f t="shared" si="189"/>
        <v>3.1938592650630988E-2</v>
      </c>
      <c r="Y281" t="str">
        <f t="shared" si="185"/>
        <v/>
      </c>
      <c r="Z281">
        <f t="shared" si="190"/>
        <v>1.2292875705838977</v>
      </c>
      <c r="AA281">
        <f t="shared" si="191"/>
        <v>1.0260903769230585</v>
      </c>
      <c r="AB281">
        <f t="shared" si="192"/>
        <v>3.9394365429391608E-3</v>
      </c>
      <c r="AC281">
        <f t="shared" si="193"/>
        <v>1.0707180117619697</v>
      </c>
      <c r="AD281">
        <f t="shared" si="194"/>
        <v>1.2014786841114817</v>
      </c>
    </row>
    <row r="282" spans="1:30">
      <c r="A282" t="s">
        <v>206</v>
      </c>
      <c r="B282" t="s">
        <v>37</v>
      </c>
      <c r="C282" t="s">
        <v>38</v>
      </c>
      <c r="D282" t="s">
        <v>39</v>
      </c>
      <c r="E282" s="2">
        <v>46093</v>
      </c>
      <c r="F282" t="s">
        <v>40</v>
      </c>
      <c r="G282">
        <v>107.5</v>
      </c>
      <c r="H282">
        <v>76.099999999999994</v>
      </c>
      <c r="I282">
        <v>-1957.8</v>
      </c>
      <c r="J282">
        <v>65.5</v>
      </c>
      <c r="K282">
        <v>0</v>
      </c>
      <c r="L282">
        <v>0.6</v>
      </c>
      <c r="M282">
        <v>0</v>
      </c>
      <c r="N282">
        <v>66.099999999999994</v>
      </c>
      <c r="O282">
        <v>115.46</v>
      </c>
      <c r="P282">
        <v>115.46</v>
      </c>
      <c r="Q282">
        <v>3.54</v>
      </c>
      <c r="R282">
        <v>3.74</v>
      </c>
      <c r="S282">
        <f t="shared" si="186"/>
        <v>1.0152255625148785</v>
      </c>
      <c r="T282">
        <f t="shared" si="187"/>
        <v>1.6375430107088671</v>
      </c>
      <c r="U282">
        <f t="shared" si="183"/>
        <v>0</v>
      </c>
      <c r="V282">
        <f t="shared" si="188"/>
        <v>2.0121991515543156</v>
      </c>
      <c r="W282" t="str">
        <f t="shared" si="184"/>
        <v/>
      </c>
      <c r="X282">
        <f t="shared" si="189"/>
        <v>0.61087584896146196</v>
      </c>
      <c r="Y282" t="str">
        <f t="shared" si="185"/>
        <v/>
      </c>
      <c r="Z282">
        <f t="shared" si="190"/>
        <v>1.6391956874022482</v>
      </c>
      <c r="AA282">
        <f t="shared" si="191"/>
        <v>1.1568096418529803</v>
      </c>
      <c r="AB282">
        <f t="shared" si="192"/>
        <v>0.10365624470987016</v>
      </c>
      <c r="AC282">
        <f t="shared" si="193"/>
        <v>1.8681396816958509</v>
      </c>
      <c r="AD282">
        <f t="shared" si="194"/>
        <v>0.69114767065787985</v>
      </c>
    </row>
    <row r="283" spans="1:30">
      <c r="A283" t="s">
        <v>207</v>
      </c>
      <c r="B283" t="s">
        <v>37</v>
      </c>
      <c r="C283" t="s">
        <v>38</v>
      </c>
      <c r="D283" t="s">
        <v>39</v>
      </c>
      <c r="E283" s="2">
        <v>46094</v>
      </c>
      <c r="F283" t="s">
        <v>34</v>
      </c>
      <c r="G283">
        <v>108.8</v>
      </c>
      <c r="H283">
        <v>75.2</v>
      </c>
      <c r="I283">
        <v>-1957.8</v>
      </c>
      <c r="J283">
        <v>63.3</v>
      </c>
      <c r="K283">
        <v>0</v>
      </c>
      <c r="L283">
        <v>0.5</v>
      </c>
      <c r="M283">
        <v>0</v>
      </c>
      <c r="N283">
        <v>63.8</v>
      </c>
      <c r="O283">
        <v>112.3</v>
      </c>
      <c r="P283">
        <v>116.85</v>
      </c>
      <c r="Q283">
        <v>3.56</v>
      </c>
      <c r="R283">
        <v>3.54</v>
      </c>
      <c r="S283">
        <f t="shared" si="186"/>
        <v>0.75449326979755327</v>
      </c>
      <c r="T283">
        <f t="shared" si="187"/>
        <v>1.9565018157615968</v>
      </c>
      <c r="U283">
        <f t="shared" si="183"/>
        <v>0</v>
      </c>
      <c r="V283">
        <f t="shared" si="188"/>
        <v>3.1624213012776887</v>
      </c>
      <c r="W283" t="str">
        <f t="shared" si="184"/>
        <v/>
      </c>
      <c r="X283">
        <f t="shared" si="189"/>
        <v>0.68229967580725004</v>
      </c>
      <c r="Y283" t="str">
        <f t="shared" si="185"/>
        <v/>
      </c>
      <c r="Z283">
        <f t="shared" si="190"/>
        <v>2.6867386526046912</v>
      </c>
      <c r="AA283">
        <f t="shared" si="191"/>
        <v>0.72079434532226938</v>
      </c>
      <c r="AB283">
        <f t="shared" si="192"/>
        <v>1.1007095576526269</v>
      </c>
      <c r="AC283">
        <f t="shared" si="193"/>
        <v>1.7352360700402041</v>
      </c>
      <c r="AD283">
        <f t="shared" si="194"/>
        <v>1.9669752042918842</v>
      </c>
    </row>
    <row r="284" spans="1:30">
      <c r="A284" t="s">
        <v>207</v>
      </c>
      <c r="B284" t="s">
        <v>37</v>
      </c>
      <c r="C284" t="s">
        <v>38</v>
      </c>
      <c r="D284" t="s">
        <v>39</v>
      </c>
      <c r="E284" s="2">
        <v>46094</v>
      </c>
      <c r="F284" t="s">
        <v>40</v>
      </c>
      <c r="G284">
        <v>113.7</v>
      </c>
      <c r="H284">
        <v>80.7</v>
      </c>
      <c r="I284">
        <v>-1957.8</v>
      </c>
      <c r="J284">
        <v>63.7</v>
      </c>
      <c r="K284">
        <v>0</v>
      </c>
      <c r="L284">
        <v>2</v>
      </c>
      <c r="M284">
        <v>0</v>
      </c>
      <c r="N284">
        <v>65.7</v>
      </c>
      <c r="O284">
        <v>114.87</v>
      </c>
      <c r="P284">
        <v>114.87</v>
      </c>
      <c r="Q284">
        <v>3.69</v>
      </c>
      <c r="R284">
        <v>3.71</v>
      </c>
      <c r="S284">
        <f t="shared" si="186"/>
        <v>0.2282669104446762</v>
      </c>
      <c r="T284">
        <f t="shared" si="187"/>
        <v>7.309118217118795E-3</v>
      </c>
      <c r="U284">
        <f t="shared" si="183"/>
        <v>0</v>
      </c>
      <c r="V284">
        <f t="shared" si="188"/>
        <v>2.9532900013279817</v>
      </c>
      <c r="W284" t="str">
        <f t="shared" si="184"/>
        <v/>
      </c>
      <c r="X284">
        <f t="shared" si="189"/>
        <v>0.38905772687957146</v>
      </c>
      <c r="Y284" t="str">
        <f t="shared" si="185"/>
        <v/>
      </c>
      <c r="Z284">
        <f t="shared" si="190"/>
        <v>1.8213770726548433</v>
      </c>
      <c r="AA284">
        <f t="shared" si="191"/>
        <v>0.80624434045001259</v>
      </c>
      <c r="AB284">
        <f t="shared" si="192"/>
        <v>0.31955343488452947</v>
      </c>
      <c r="AC284">
        <f t="shared" si="193"/>
        <v>0.87136259427850093</v>
      </c>
      <c r="AD284">
        <f t="shared" si="194"/>
        <v>0.88252180070298192</v>
      </c>
    </row>
    <row r="285" spans="1:30">
      <c r="A285" t="s">
        <v>208</v>
      </c>
      <c r="B285" t="s">
        <v>37</v>
      </c>
      <c r="C285" t="s">
        <v>38</v>
      </c>
      <c r="D285" t="s">
        <v>39</v>
      </c>
      <c r="E285" s="2">
        <v>46094</v>
      </c>
      <c r="F285" t="s">
        <v>34</v>
      </c>
      <c r="G285">
        <v>106.6</v>
      </c>
      <c r="H285">
        <v>72.5</v>
      </c>
      <c r="I285">
        <v>-1957.8</v>
      </c>
      <c r="J285">
        <v>63.7</v>
      </c>
      <c r="K285">
        <v>0</v>
      </c>
      <c r="L285">
        <v>0.4</v>
      </c>
      <c r="M285">
        <v>0</v>
      </c>
      <c r="N285">
        <v>64.099999999999994</v>
      </c>
      <c r="O285">
        <v>112.08</v>
      </c>
      <c r="P285">
        <v>113.55</v>
      </c>
      <c r="Q285">
        <v>3.61</v>
      </c>
      <c r="R285">
        <v>3.61</v>
      </c>
      <c r="S285">
        <f t="shared" si="186"/>
        <v>1.1957325343961054</v>
      </c>
      <c r="T285">
        <f t="shared" si="187"/>
        <v>2.913378230919796</v>
      </c>
      <c r="U285">
        <f t="shared" si="183"/>
        <v>0</v>
      </c>
      <c r="V285">
        <f t="shared" si="188"/>
        <v>2.9532900013279817</v>
      </c>
      <c r="W285" t="str">
        <f t="shared" si="184"/>
        <v/>
      </c>
      <c r="X285">
        <f t="shared" si="189"/>
        <v>0.75372350265303822</v>
      </c>
      <c r="Y285" t="str">
        <f t="shared" si="185"/>
        <v/>
      </c>
      <c r="Z285">
        <f t="shared" si="190"/>
        <v>2.5501026136652434</v>
      </c>
      <c r="AA285">
        <f t="shared" si="191"/>
        <v>0.8515136102521913</v>
      </c>
      <c r="AB285">
        <f t="shared" si="192"/>
        <v>1.2663954299093105</v>
      </c>
      <c r="AC285">
        <f t="shared" si="193"/>
        <v>1.4029770409010882</v>
      </c>
      <c r="AD285">
        <f t="shared" si="194"/>
        <v>1.5204355675199841</v>
      </c>
    </row>
    <row r="286" spans="1:30">
      <c r="A286" t="s">
        <v>208</v>
      </c>
      <c r="B286" t="s">
        <v>37</v>
      </c>
      <c r="C286" t="s">
        <v>38</v>
      </c>
      <c r="D286" t="s">
        <v>39</v>
      </c>
      <c r="E286" s="2">
        <v>46094</v>
      </c>
      <c r="F286" t="s">
        <v>34</v>
      </c>
      <c r="G286">
        <v>112</v>
      </c>
      <c r="H286">
        <v>78.400000000000006</v>
      </c>
      <c r="I286">
        <v>-1957.8</v>
      </c>
      <c r="J286">
        <v>63.7</v>
      </c>
      <c r="K286">
        <v>0</v>
      </c>
      <c r="L286">
        <v>0.7</v>
      </c>
      <c r="M286">
        <v>0</v>
      </c>
      <c r="N286">
        <v>64.400000000000006</v>
      </c>
      <c r="O286">
        <v>116.7</v>
      </c>
      <c r="P286">
        <v>116.7</v>
      </c>
      <c r="Q286">
        <v>3.64</v>
      </c>
      <c r="R286">
        <v>3.69</v>
      </c>
      <c r="S286">
        <f t="shared" si="186"/>
        <v>0.11269070310875053</v>
      </c>
      <c r="T286">
        <f t="shared" si="187"/>
        <v>0.82242606446299038</v>
      </c>
      <c r="U286">
        <f t="shared" si="183"/>
        <v>0</v>
      </c>
      <c r="V286">
        <f t="shared" si="188"/>
        <v>2.9532900013279817</v>
      </c>
      <c r="W286" t="str">
        <f t="shared" si="184"/>
        <v/>
      </c>
      <c r="X286">
        <f t="shared" si="189"/>
        <v>0.53945202211567389</v>
      </c>
      <c r="Y286" t="str">
        <f t="shared" si="185"/>
        <v/>
      </c>
      <c r="Z286">
        <f t="shared" si="190"/>
        <v>2.4134665747257888</v>
      </c>
      <c r="AA286">
        <f t="shared" si="191"/>
        <v>1.8935909532761859</v>
      </c>
      <c r="AB286">
        <f t="shared" si="192"/>
        <v>0.99311387639981752</v>
      </c>
      <c r="AC286">
        <f t="shared" si="193"/>
        <v>1.2036216234176165</v>
      </c>
      <c r="AD286">
        <f t="shared" si="194"/>
        <v>1.0101045540663824</v>
      </c>
    </row>
    <row r="287" spans="1:30">
      <c r="A287" t="s">
        <v>208</v>
      </c>
      <c r="B287" t="s">
        <v>37</v>
      </c>
      <c r="C287" t="s">
        <v>38</v>
      </c>
      <c r="D287" t="s">
        <v>39</v>
      </c>
      <c r="E287" s="2">
        <v>46094</v>
      </c>
      <c r="F287" t="s">
        <v>40</v>
      </c>
      <c r="G287">
        <v>115.5</v>
      </c>
      <c r="H287">
        <v>79.8</v>
      </c>
      <c r="I287">
        <v>-1957.8</v>
      </c>
      <c r="J287">
        <v>64.099999999999994</v>
      </c>
      <c r="K287">
        <v>0</v>
      </c>
      <c r="L287">
        <v>2.1</v>
      </c>
      <c r="M287">
        <v>0</v>
      </c>
      <c r="N287">
        <v>66.2</v>
      </c>
      <c r="O287">
        <v>112.01</v>
      </c>
      <c r="P287">
        <v>113.55</v>
      </c>
      <c r="Q287">
        <v>3.81</v>
      </c>
      <c r="R287">
        <v>3.81</v>
      </c>
      <c r="S287">
        <f t="shared" si="186"/>
        <v>0.58928085420712684</v>
      </c>
      <c r="T287">
        <f t="shared" si="187"/>
        <v>0.3262679232698536</v>
      </c>
      <c r="U287">
        <f t="shared" si="183"/>
        <v>0</v>
      </c>
      <c r="V287">
        <f t="shared" si="188"/>
        <v>2.7441587013782822</v>
      </c>
      <c r="W287" t="str">
        <f t="shared" si="184"/>
        <v/>
      </c>
      <c r="X287">
        <f t="shared" si="189"/>
        <v>0.46048155372535965</v>
      </c>
      <c r="Y287" t="str">
        <f t="shared" si="185"/>
        <v/>
      </c>
      <c r="Z287">
        <f t="shared" si="190"/>
        <v>1.5936503410890945</v>
      </c>
      <c r="AA287">
        <f t="shared" si="191"/>
        <v>0.8931061036389808</v>
      </c>
      <c r="AB287">
        <f t="shared" si="192"/>
        <v>1.2663954299093105</v>
      </c>
      <c r="AC287">
        <f t="shared" si="193"/>
        <v>7.3940924344619782E-2</v>
      </c>
      <c r="AD287">
        <f t="shared" si="194"/>
        <v>0.24460803388597974</v>
      </c>
    </row>
    <row r="288" spans="1:30">
      <c r="A288" t="s">
        <v>163</v>
      </c>
      <c r="B288" t="s">
        <v>31</v>
      </c>
      <c r="C288" t="s">
        <v>32</v>
      </c>
      <c r="D288" t="s">
        <v>33</v>
      </c>
      <c r="E288" s="2">
        <v>46094</v>
      </c>
      <c r="F288" t="s">
        <v>34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tr">
        <f>IF(OR(G288=0,G288=""),"",ABS((G288-152.740594)/5.729485))</f>
        <v/>
      </c>
      <c r="T288" t="str">
        <f>IF(OR(H288=0,H288=""),"",ABS((H288-96.426733)/5.037499))</f>
        <v/>
      </c>
      <c r="U288" t="str">
        <f t="shared" si="183"/>
        <v/>
      </c>
      <c r="V288" t="str">
        <f>IF(OR(J288=0,J288=""),"",ABS((J288-69.40099)/2.222902))</f>
        <v/>
      </c>
      <c r="W288" t="str">
        <f t="shared" si="184"/>
        <v/>
      </c>
      <c r="X288" t="str">
        <f>IF(OR(L288=0,L288=""),"",ABS((L288-1.849749)/1.393269))</f>
        <v/>
      </c>
      <c r="Y288" t="str">
        <f t="shared" si="185"/>
        <v/>
      </c>
      <c r="Z288" t="str">
        <f>IF(OR(N288=0,N288=""),"",ABS((N288-69.231188)/2.519549))</f>
        <v/>
      </c>
      <c r="AA288" t="str">
        <f>IF(OR(O288=0,O288=""),"",ABS((O288-113.18)/1.73698))</f>
        <v/>
      </c>
      <c r="AB288" t="str">
        <f>IF(OR(P288=0,P288=""),"",ABS((P288-114.765594)/1.645198))</f>
        <v/>
      </c>
      <c r="AC288" t="str">
        <f>IF(OR(Q288=0,Q288=""),"",ABS((Q288-8.040149)/0.55663))</f>
        <v/>
      </c>
      <c r="AD288" t="str">
        <f>IF(OR(R288=0,R288=""),"",ABS((R288-7.915297)/0.399795))</f>
        <v/>
      </c>
    </row>
    <row r="289" spans="1:30">
      <c r="A289" t="s">
        <v>209</v>
      </c>
      <c r="B289" t="s">
        <v>37</v>
      </c>
      <c r="C289" t="s">
        <v>38</v>
      </c>
      <c r="D289" t="s">
        <v>39</v>
      </c>
      <c r="E289" s="2">
        <v>46094</v>
      </c>
      <c r="F289" t="s">
        <v>34</v>
      </c>
      <c r="G289">
        <v>104.8</v>
      </c>
      <c r="H289">
        <v>78.400000000000006</v>
      </c>
      <c r="I289">
        <v>-1957.8</v>
      </c>
      <c r="J289">
        <v>63.7</v>
      </c>
      <c r="K289">
        <v>0</v>
      </c>
      <c r="L289">
        <v>0.1</v>
      </c>
      <c r="M289">
        <v>0</v>
      </c>
      <c r="N289">
        <v>63.8</v>
      </c>
      <c r="O289">
        <v>115.82</v>
      </c>
      <c r="P289">
        <v>117.29</v>
      </c>
      <c r="Q289">
        <v>3.59</v>
      </c>
      <c r="R289">
        <v>3.71</v>
      </c>
      <c r="S289">
        <f t="shared" ref="S289:S320" si="195">IF(OR(G289=0,G289=""),"",ABS((G289-112.561871)/4.985957))</f>
        <v>1.556746478158556</v>
      </c>
      <c r="T289">
        <f t="shared" ref="T289:T320" si="196">IF(OR(H289=0,H289=""),"",ABS((H289-80.720624)/2.821681))</f>
        <v>0.82242606446299038</v>
      </c>
      <c r="U289">
        <f t="shared" si="183"/>
        <v>0</v>
      </c>
      <c r="V289">
        <f t="shared" ref="V289:V320" si="197">IF(OR(J289=0,J289=""),"",ABS((J289-69.348681)/1.912674))</f>
        <v>2.9532900013279817</v>
      </c>
      <c r="W289" t="str">
        <f t="shared" si="184"/>
        <v/>
      </c>
      <c r="X289">
        <f t="shared" ref="X289:X320" si="198">IF(OR(L289=0,L289=""),"",ABS((L289-1.455283)/1.400093))</f>
        <v>0.96799498319040234</v>
      </c>
      <c r="Y289" t="str">
        <f t="shared" si="185"/>
        <v/>
      </c>
      <c r="Z289">
        <f t="shared" ref="Z289:Z320" si="199">IF(OR(N289=0,N289=""),"",ABS((N289-69.699041)/2.195614))</f>
        <v>2.6867386526046912</v>
      </c>
      <c r="AA289">
        <f t="shared" ref="AA289:AA320" si="200">IF(OR(O289=0,O289=""),"",ABS((O289-113.513094)/1.682996))</f>
        <v>1.3707138935564898</v>
      </c>
      <c r="AB289">
        <f t="shared" ref="AB289:AB320" si="201">IF(OR(P289=0,P289=""),"",ABS((P289-115.315492)/1.394108))</f>
        <v>1.4163235559942273</v>
      </c>
      <c r="AC289">
        <f t="shared" ref="AC289:AC320" si="202">IF(OR(Q289=0,Q289=""),"",ABS((Q289-3.821127)/0.150485))</f>
        <v>1.5358806525567352</v>
      </c>
      <c r="AD289">
        <f t="shared" ref="AD289:AD320" si="203">IF(OR(R289=0,R289=""),"",ABS((R289-3.848345)/0.156761))</f>
        <v>0.88252180070298192</v>
      </c>
    </row>
    <row r="290" spans="1:30">
      <c r="A290" t="s">
        <v>209</v>
      </c>
      <c r="B290" t="s">
        <v>37</v>
      </c>
      <c r="C290" t="s">
        <v>38</v>
      </c>
      <c r="D290" t="s">
        <v>39</v>
      </c>
      <c r="E290" s="2">
        <v>46094</v>
      </c>
      <c r="F290" t="s">
        <v>40</v>
      </c>
      <c r="G290">
        <v>112.4</v>
      </c>
      <c r="H290">
        <v>76.599999999999994</v>
      </c>
      <c r="I290">
        <v>-1957.8</v>
      </c>
      <c r="J290">
        <v>64.599999999999994</v>
      </c>
      <c r="K290">
        <v>0</v>
      </c>
      <c r="L290">
        <v>2.2000000000000002</v>
      </c>
      <c r="M290">
        <v>0</v>
      </c>
      <c r="N290">
        <v>66.8</v>
      </c>
      <c r="O290">
        <v>115.82</v>
      </c>
      <c r="P290">
        <v>117.36</v>
      </c>
      <c r="Q290">
        <v>3.76</v>
      </c>
      <c r="R290">
        <v>3.78</v>
      </c>
      <c r="S290">
        <f t="shared" si="195"/>
        <v>3.246538227264912E-2</v>
      </c>
      <c r="T290">
        <f t="shared" si="196"/>
        <v>1.4603436745684599</v>
      </c>
      <c r="U290">
        <f t="shared" si="183"/>
        <v>0</v>
      </c>
      <c r="V290">
        <f t="shared" si="197"/>
        <v>2.4827445764411524</v>
      </c>
      <c r="W290" t="str">
        <f t="shared" si="184"/>
        <v/>
      </c>
      <c r="X290">
        <f t="shared" si="198"/>
        <v>0.53190538057114778</v>
      </c>
      <c r="Y290" t="str">
        <f t="shared" si="185"/>
        <v/>
      </c>
      <c r="Z290">
        <f t="shared" si="199"/>
        <v>1.3203782632101986</v>
      </c>
      <c r="AA290">
        <f t="shared" si="200"/>
        <v>1.3707138935564898</v>
      </c>
      <c r="AB290">
        <f t="shared" si="201"/>
        <v>1.4665348739122031</v>
      </c>
      <c r="AC290">
        <f t="shared" si="202"/>
        <v>0.40619995348373839</v>
      </c>
      <c r="AD290">
        <f t="shared" si="203"/>
        <v>0.4359821639310818</v>
      </c>
    </row>
    <row r="291" spans="1:30">
      <c r="A291" t="s">
        <v>210</v>
      </c>
      <c r="B291" t="s">
        <v>37</v>
      </c>
      <c r="C291" t="s">
        <v>38</v>
      </c>
      <c r="D291" t="s">
        <v>39</v>
      </c>
      <c r="E291" s="2">
        <v>46094</v>
      </c>
      <c r="F291" t="s">
        <v>34</v>
      </c>
      <c r="G291">
        <v>104.8</v>
      </c>
      <c r="H291">
        <v>74.3</v>
      </c>
      <c r="I291">
        <v>-1957.8</v>
      </c>
      <c r="J291">
        <v>64.099999999999994</v>
      </c>
      <c r="K291">
        <v>0</v>
      </c>
      <c r="L291">
        <v>2.1</v>
      </c>
      <c r="M291">
        <v>0</v>
      </c>
      <c r="N291">
        <v>66.2</v>
      </c>
      <c r="O291">
        <v>115.6</v>
      </c>
      <c r="P291">
        <v>113.99</v>
      </c>
      <c r="Q291">
        <v>3.69</v>
      </c>
      <c r="R291">
        <v>3.76</v>
      </c>
      <c r="S291">
        <f t="shared" si="195"/>
        <v>1.556746478158556</v>
      </c>
      <c r="T291">
        <f t="shared" si="196"/>
        <v>2.2754606208143318</v>
      </c>
      <c r="U291">
        <f t="shared" si="183"/>
        <v>0</v>
      </c>
      <c r="V291">
        <f t="shared" si="197"/>
        <v>2.7441587013782822</v>
      </c>
      <c r="W291" t="str">
        <f t="shared" si="184"/>
        <v/>
      </c>
      <c r="X291">
        <f t="shared" si="198"/>
        <v>0.46048155372535965</v>
      </c>
      <c r="Y291" t="str">
        <f t="shared" si="185"/>
        <v/>
      </c>
      <c r="Z291">
        <f t="shared" si="199"/>
        <v>1.5936503410890945</v>
      </c>
      <c r="AA291">
        <f t="shared" si="200"/>
        <v>1.2399946286265677</v>
      </c>
      <c r="AB291">
        <f t="shared" si="201"/>
        <v>0.95078143156772021</v>
      </c>
      <c r="AC291">
        <f t="shared" si="202"/>
        <v>0.87136259427850093</v>
      </c>
      <c r="AD291">
        <f t="shared" si="203"/>
        <v>0.56356491729448221</v>
      </c>
    </row>
    <row r="292" spans="1:30">
      <c r="A292" t="s">
        <v>210</v>
      </c>
      <c r="B292" t="s">
        <v>37</v>
      </c>
      <c r="C292" t="s">
        <v>38</v>
      </c>
      <c r="D292" t="s">
        <v>39</v>
      </c>
      <c r="E292" s="2">
        <v>46094</v>
      </c>
      <c r="F292" t="s">
        <v>40</v>
      </c>
      <c r="G292">
        <v>109.3</v>
      </c>
      <c r="H292">
        <v>75.7</v>
      </c>
      <c r="I292">
        <v>-1957.8</v>
      </c>
      <c r="J292">
        <v>64.099999999999994</v>
      </c>
      <c r="K292">
        <v>0</v>
      </c>
      <c r="L292">
        <v>1.6</v>
      </c>
      <c r="M292">
        <v>0</v>
      </c>
      <c r="N292">
        <v>65.7</v>
      </c>
      <c r="O292">
        <v>115.75</v>
      </c>
      <c r="P292">
        <v>117.29</v>
      </c>
      <c r="Q292">
        <v>3.71</v>
      </c>
      <c r="R292">
        <v>3.74</v>
      </c>
      <c r="S292">
        <f t="shared" si="195"/>
        <v>0.65421161875242795</v>
      </c>
      <c r="T292">
        <f t="shared" si="196"/>
        <v>1.7793024796211898</v>
      </c>
      <c r="U292">
        <f t="shared" si="183"/>
        <v>0</v>
      </c>
      <c r="V292">
        <f t="shared" si="197"/>
        <v>2.7441587013782822</v>
      </c>
      <c r="W292" t="str">
        <f t="shared" si="184"/>
        <v/>
      </c>
      <c r="X292">
        <f t="shared" si="198"/>
        <v>0.10336241949641915</v>
      </c>
      <c r="Y292" t="str">
        <f t="shared" si="185"/>
        <v/>
      </c>
      <c r="Z292">
        <f t="shared" si="199"/>
        <v>1.8213770726548433</v>
      </c>
      <c r="AA292">
        <f t="shared" si="200"/>
        <v>1.3291214001697003</v>
      </c>
      <c r="AB292">
        <f t="shared" si="201"/>
        <v>1.4163235559942273</v>
      </c>
      <c r="AC292">
        <f t="shared" si="202"/>
        <v>0.73845898262285403</v>
      </c>
      <c r="AD292">
        <f t="shared" si="203"/>
        <v>0.69114767065787985</v>
      </c>
    </row>
    <row r="293" spans="1:30">
      <c r="A293" t="s">
        <v>211</v>
      </c>
      <c r="B293" t="s">
        <v>37</v>
      </c>
      <c r="C293" t="s">
        <v>38</v>
      </c>
      <c r="D293" t="s">
        <v>39</v>
      </c>
      <c r="E293" s="2">
        <v>46094</v>
      </c>
      <c r="F293" t="s">
        <v>34</v>
      </c>
      <c r="G293">
        <v>108.8</v>
      </c>
      <c r="H293">
        <v>75.7</v>
      </c>
      <c r="I293">
        <v>-1957.8</v>
      </c>
      <c r="J293">
        <v>64.599999999999994</v>
      </c>
      <c r="K293">
        <v>0</v>
      </c>
      <c r="L293">
        <v>0.7</v>
      </c>
      <c r="M293">
        <v>0</v>
      </c>
      <c r="N293">
        <v>63.9</v>
      </c>
      <c r="O293">
        <v>115.6</v>
      </c>
      <c r="P293">
        <v>114.06</v>
      </c>
      <c r="Q293">
        <v>3.66</v>
      </c>
      <c r="R293">
        <v>3.74</v>
      </c>
      <c r="S293">
        <f t="shared" si="195"/>
        <v>0.75449326979755327</v>
      </c>
      <c r="T293">
        <f t="shared" si="196"/>
        <v>1.7793024796211898</v>
      </c>
      <c r="U293">
        <f t="shared" si="183"/>
        <v>0</v>
      </c>
      <c r="V293">
        <f t="shared" si="197"/>
        <v>2.4827445764411524</v>
      </c>
      <c r="W293" t="str">
        <f t="shared" si="184"/>
        <v/>
      </c>
      <c r="X293">
        <f t="shared" si="198"/>
        <v>0.53945202211567389</v>
      </c>
      <c r="Y293" t="str">
        <f t="shared" si="185"/>
        <v/>
      </c>
      <c r="Z293">
        <f t="shared" si="199"/>
        <v>2.6411933062915409</v>
      </c>
      <c r="AA293">
        <f t="shared" si="200"/>
        <v>1.2399946286265677</v>
      </c>
      <c r="AB293">
        <f t="shared" si="201"/>
        <v>0.90057011364973438</v>
      </c>
      <c r="AC293">
        <f t="shared" si="202"/>
        <v>1.0707180117619697</v>
      </c>
      <c r="AD293">
        <f t="shared" si="203"/>
        <v>0.69114767065787985</v>
      </c>
    </row>
    <row r="294" spans="1:30">
      <c r="A294" t="s">
        <v>211</v>
      </c>
      <c r="B294" t="s">
        <v>37</v>
      </c>
      <c r="C294" t="s">
        <v>38</v>
      </c>
      <c r="D294" t="s">
        <v>39</v>
      </c>
      <c r="E294" s="2">
        <v>46094</v>
      </c>
      <c r="F294" t="s">
        <v>40</v>
      </c>
      <c r="G294">
        <v>111.1</v>
      </c>
      <c r="H294">
        <v>76.599999999999994</v>
      </c>
      <c r="I294">
        <v>-1957.8</v>
      </c>
      <c r="J294">
        <v>65</v>
      </c>
      <c r="K294">
        <v>0</v>
      </c>
      <c r="L294">
        <v>0.8</v>
      </c>
      <c r="M294">
        <v>0</v>
      </c>
      <c r="N294">
        <v>65.8</v>
      </c>
      <c r="O294">
        <v>115.24</v>
      </c>
      <c r="P294">
        <v>115.31</v>
      </c>
      <c r="Q294">
        <v>3.76</v>
      </c>
      <c r="R294">
        <v>3.78</v>
      </c>
      <c r="S294">
        <f t="shared" si="195"/>
        <v>0.29319767498997729</v>
      </c>
      <c r="T294">
        <f t="shared" si="196"/>
        <v>1.4603436745684599</v>
      </c>
      <c r="U294">
        <f t="shared" si="183"/>
        <v>0</v>
      </c>
      <c r="V294">
        <f t="shared" si="197"/>
        <v>2.2736132764914454</v>
      </c>
      <c r="W294" t="str">
        <f t="shared" si="184"/>
        <v/>
      </c>
      <c r="X294">
        <f t="shared" si="198"/>
        <v>0.46802819526988565</v>
      </c>
      <c r="Y294" t="str">
        <f t="shared" si="185"/>
        <v/>
      </c>
      <c r="Z294">
        <f t="shared" si="199"/>
        <v>1.7758317263416963</v>
      </c>
      <c r="AA294">
        <f t="shared" si="200"/>
        <v>1.0260903769230585</v>
      </c>
      <c r="AB294">
        <f t="shared" si="201"/>
        <v>3.9394365429391608E-3</v>
      </c>
      <c r="AC294">
        <f t="shared" si="202"/>
        <v>0.40619995348373839</v>
      </c>
      <c r="AD294">
        <f t="shared" si="203"/>
        <v>0.4359821639310818</v>
      </c>
    </row>
    <row r="295" spans="1:30">
      <c r="A295" t="s">
        <v>212</v>
      </c>
      <c r="B295" t="s">
        <v>37</v>
      </c>
      <c r="C295" t="s">
        <v>38</v>
      </c>
      <c r="D295" t="s">
        <v>39</v>
      </c>
      <c r="E295" s="2">
        <v>46094</v>
      </c>
      <c r="F295" t="s">
        <v>40</v>
      </c>
      <c r="G295">
        <v>114.6</v>
      </c>
      <c r="H295">
        <v>82.9</v>
      </c>
      <c r="I295">
        <v>-1957.8</v>
      </c>
      <c r="J295">
        <v>67.3</v>
      </c>
      <c r="K295">
        <v>0</v>
      </c>
      <c r="L295">
        <v>0.8</v>
      </c>
      <c r="M295">
        <v>0</v>
      </c>
      <c r="N295">
        <v>66.5</v>
      </c>
      <c r="O295">
        <v>112.08</v>
      </c>
      <c r="P295">
        <v>116.92</v>
      </c>
      <c r="Q295">
        <v>3.96</v>
      </c>
      <c r="R295">
        <v>3.93</v>
      </c>
      <c r="S295">
        <f t="shared" si="195"/>
        <v>0.40877388232590012</v>
      </c>
      <c r="T295">
        <f t="shared" si="196"/>
        <v>0.77236796080067338</v>
      </c>
      <c r="U295">
        <f t="shared" si="183"/>
        <v>0</v>
      </c>
      <c r="V295">
        <f t="shared" si="197"/>
        <v>1.0711083017806495</v>
      </c>
      <c r="W295" t="str">
        <f t="shared" si="184"/>
        <v/>
      </c>
      <c r="X295">
        <f t="shared" si="198"/>
        <v>0.46802819526988565</v>
      </c>
      <c r="Y295" t="str">
        <f t="shared" si="185"/>
        <v/>
      </c>
      <c r="Z295">
        <f t="shared" si="199"/>
        <v>1.4570143021496467</v>
      </c>
      <c r="AA295">
        <f t="shared" si="200"/>
        <v>0.8515136102521913</v>
      </c>
      <c r="AB295">
        <f t="shared" si="201"/>
        <v>1.1509208755706126</v>
      </c>
      <c r="AC295">
        <f t="shared" si="202"/>
        <v>0.92283616307273009</v>
      </c>
      <c r="AD295">
        <f t="shared" si="203"/>
        <v>0.52088848629442286</v>
      </c>
    </row>
    <row r="296" spans="1:30">
      <c r="A296" t="s">
        <v>213</v>
      </c>
      <c r="B296" t="s">
        <v>37</v>
      </c>
      <c r="C296" t="s">
        <v>38</v>
      </c>
      <c r="D296" t="s">
        <v>39</v>
      </c>
      <c r="E296" s="2">
        <v>46094</v>
      </c>
      <c r="F296" t="s">
        <v>40</v>
      </c>
      <c r="G296">
        <v>110.2</v>
      </c>
      <c r="H296">
        <v>78.900000000000006</v>
      </c>
      <c r="I296">
        <v>-1957.8</v>
      </c>
      <c r="J296">
        <v>68.599999999999994</v>
      </c>
      <c r="K296">
        <v>0</v>
      </c>
      <c r="L296">
        <v>2.1</v>
      </c>
      <c r="M296">
        <v>0</v>
      </c>
      <c r="N296">
        <v>70.7</v>
      </c>
      <c r="O296">
        <v>115.38</v>
      </c>
      <c r="P296">
        <v>115.46</v>
      </c>
      <c r="Q296">
        <v>3.69</v>
      </c>
      <c r="R296">
        <v>3.69</v>
      </c>
      <c r="S296">
        <f t="shared" si="195"/>
        <v>0.47370464687120117</v>
      </c>
      <c r="T296">
        <f t="shared" si="196"/>
        <v>0.64522672832258332</v>
      </c>
      <c r="U296">
        <f t="shared" si="183"/>
        <v>0</v>
      </c>
      <c r="V296">
        <f t="shared" si="197"/>
        <v>0.39143157694411324</v>
      </c>
      <c r="W296" t="str">
        <f t="shared" si="184"/>
        <v/>
      </c>
      <c r="X296">
        <f t="shared" si="198"/>
        <v>0.46048155372535965</v>
      </c>
      <c r="Y296" t="str">
        <f t="shared" si="185"/>
        <v/>
      </c>
      <c r="Z296">
        <f t="shared" si="199"/>
        <v>0.45589024300264475</v>
      </c>
      <c r="AA296">
        <f t="shared" si="200"/>
        <v>1.1092753636966459</v>
      </c>
      <c r="AB296">
        <f t="shared" si="201"/>
        <v>0.10365624470987016</v>
      </c>
      <c r="AC296">
        <f t="shared" si="202"/>
        <v>0.87136259427850093</v>
      </c>
      <c r="AD296">
        <f t="shared" si="203"/>
        <v>1.0101045540663824</v>
      </c>
    </row>
    <row r="297" spans="1:30">
      <c r="A297" t="s">
        <v>214</v>
      </c>
      <c r="B297" t="s">
        <v>37</v>
      </c>
      <c r="C297" t="s">
        <v>38</v>
      </c>
      <c r="D297" t="s">
        <v>39</v>
      </c>
      <c r="E297" s="2">
        <v>46094</v>
      </c>
      <c r="F297" t="s">
        <v>40</v>
      </c>
      <c r="G297">
        <v>116.4</v>
      </c>
      <c r="H297">
        <v>80.2</v>
      </c>
      <c r="I297">
        <v>-1957.8</v>
      </c>
      <c r="J297">
        <v>67.7</v>
      </c>
      <c r="K297">
        <v>0</v>
      </c>
      <c r="L297">
        <v>0.1</v>
      </c>
      <c r="M297">
        <v>0</v>
      </c>
      <c r="N297">
        <v>67.599999999999994</v>
      </c>
      <c r="O297">
        <v>115.53</v>
      </c>
      <c r="P297">
        <v>113.77</v>
      </c>
      <c r="Q297">
        <v>3.76</v>
      </c>
      <c r="R297">
        <v>3.86</v>
      </c>
      <c r="S297">
        <f t="shared" si="195"/>
        <v>0.76978782608835361</v>
      </c>
      <c r="T297">
        <f t="shared" si="196"/>
        <v>0.18450845435752589</v>
      </c>
      <c r="U297">
        <f t="shared" si="183"/>
        <v>0</v>
      </c>
      <c r="V297">
        <f t="shared" si="197"/>
        <v>0.86197700183094261</v>
      </c>
      <c r="W297" t="str">
        <f t="shared" si="184"/>
        <v/>
      </c>
      <c r="X297">
        <f t="shared" si="198"/>
        <v>0.96799498319040234</v>
      </c>
      <c r="Y297" t="str">
        <f t="shared" si="185"/>
        <v/>
      </c>
      <c r="Z297">
        <f t="shared" si="199"/>
        <v>0.95601549270500175</v>
      </c>
      <c r="AA297">
        <f t="shared" si="200"/>
        <v>1.1984021352397782</v>
      </c>
      <c r="AB297">
        <f t="shared" si="201"/>
        <v>1.1085884307385154</v>
      </c>
      <c r="AC297">
        <f t="shared" si="202"/>
        <v>0.40619995348373839</v>
      </c>
      <c r="AD297">
        <f t="shared" si="203"/>
        <v>7.4348849522519939E-2</v>
      </c>
    </row>
    <row r="298" spans="1:30">
      <c r="A298" t="s">
        <v>215</v>
      </c>
      <c r="B298" t="s">
        <v>37</v>
      </c>
      <c r="C298" t="s">
        <v>38</v>
      </c>
      <c r="D298" t="s">
        <v>39</v>
      </c>
      <c r="E298" s="2">
        <v>46094</v>
      </c>
      <c r="F298" t="s">
        <v>40</v>
      </c>
      <c r="G298">
        <v>113.7</v>
      </c>
      <c r="H298">
        <v>79.3</v>
      </c>
      <c r="I298">
        <v>-1957.8</v>
      </c>
      <c r="J298">
        <v>69.5</v>
      </c>
      <c r="K298">
        <v>0</v>
      </c>
      <c r="L298">
        <v>2.9</v>
      </c>
      <c r="M298">
        <v>0</v>
      </c>
      <c r="N298">
        <v>72.400000000000006</v>
      </c>
      <c r="O298">
        <v>111.94</v>
      </c>
      <c r="P298">
        <v>116.63</v>
      </c>
      <c r="Q298">
        <v>3.96</v>
      </c>
      <c r="R298">
        <v>3.88</v>
      </c>
      <c r="S298">
        <f t="shared" si="195"/>
        <v>0.2282669104446762</v>
      </c>
      <c r="T298">
        <f t="shared" si="196"/>
        <v>0.50346725941026071</v>
      </c>
      <c r="U298">
        <f t="shared" si="183"/>
        <v>0</v>
      </c>
      <c r="V298">
        <f t="shared" si="197"/>
        <v>7.9113847942723581E-2</v>
      </c>
      <c r="W298" t="str">
        <f t="shared" si="184"/>
        <v/>
      </c>
      <c r="X298">
        <f t="shared" si="198"/>
        <v>1.0318721684916643</v>
      </c>
      <c r="Y298" t="str">
        <f t="shared" si="185"/>
        <v/>
      </c>
      <c r="Z298">
        <f t="shared" si="199"/>
        <v>1.2301611303261919</v>
      </c>
      <c r="AA298">
        <f t="shared" si="200"/>
        <v>0.93469859702577884</v>
      </c>
      <c r="AB298">
        <f t="shared" si="201"/>
        <v>0.94290255848183169</v>
      </c>
      <c r="AC298">
        <f t="shared" si="202"/>
        <v>0.92283616307273009</v>
      </c>
      <c r="AD298">
        <f t="shared" si="203"/>
        <v>0.20193160288592038</v>
      </c>
    </row>
    <row r="299" spans="1:30">
      <c r="A299" t="s">
        <v>216</v>
      </c>
      <c r="B299" t="s">
        <v>37</v>
      </c>
      <c r="C299" t="s">
        <v>38</v>
      </c>
      <c r="D299" t="s">
        <v>39</v>
      </c>
      <c r="E299" s="2">
        <v>46094</v>
      </c>
      <c r="F299" t="s">
        <v>40</v>
      </c>
      <c r="G299">
        <v>113.3</v>
      </c>
      <c r="H299">
        <v>81.099999999999994</v>
      </c>
      <c r="I299">
        <v>-1957.8</v>
      </c>
      <c r="J299">
        <v>69.099999999999994</v>
      </c>
      <c r="K299">
        <v>0</v>
      </c>
      <c r="L299">
        <v>0.6</v>
      </c>
      <c r="M299">
        <v>0</v>
      </c>
      <c r="N299">
        <v>69.7</v>
      </c>
      <c r="O299">
        <v>112.38</v>
      </c>
      <c r="P299">
        <v>117.07</v>
      </c>
      <c r="Q299">
        <v>3.78</v>
      </c>
      <c r="R299">
        <v>3.76</v>
      </c>
      <c r="S299">
        <f t="shared" si="195"/>
        <v>0.14804158960857478</v>
      </c>
      <c r="T299">
        <f t="shared" si="196"/>
        <v>0.13445035069520386</v>
      </c>
      <c r="U299">
        <f t="shared" si="183"/>
        <v>0</v>
      </c>
      <c r="V299">
        <f t="shared" si="197"/>
        <v>0.13001745200698331</v>
      </c>
      <c r="W299" t="str">
        <f t="shared" si="184"/>
        <v/>
      </c>
      <c r="X299">
        <f t="shared" si="198"/>
        <v>0.61087584896146196</v>
      </c>
      <c r="Y299" t="str">
        <f t="shared" si="185"/>
        <v/>
      </c>
      <c r="Z299">
        <f t="shared" si="199"/>
        <v>4.3677987114712057E-4</v>
      </c>
      <c r="AA299">
        <f t="shared" si="200"/>
        <v>0.67326006716593501</v>
      </c>
      <c r="AB299">
        <f t="shared" si="201"/>
        <v>1.258516556823422</v>
      </c>
      <c r="AC299">
        <f t="shared" si="202"/>
        <v>0.27329634182809154</v>
      </c>
      <c r="AD299">
        <f t="shared" si="203"/>
        <v>0.56356491729448221</v>
      </c>
    </row>
    <row r="300" spans="1:30">
      <c r="A300" t="s">
        <v>217</v>
      </c>
      <c r="B300" t="s">
        <v>37</v>
      </c>
      <c r="C300" t="s">
        <v>38</v>
      </c>
      <c r="D300" t="s">
        <v>39</v>
      </c>
      <c r="E300" s="2">
        <v>46094</v>
      </c>
      <c r="F300" t="s">
        <v>34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f t="shared" si="195"/>
        <v/>
      </c>
      <c r="T300" t="str">
        <f t="shared" si="196"/>
        <v/>
      </c>
      <c r="U300" t="str">
        <f t="shared" si="183"/>
        <v/>
      </c>
      <c r="V300" t="str">
        <f t="shared" si="197"/>
        <v/>
      </c>
      <c r="W300" t="str">
        <f t="shared" si="184"/>
        <v/>
      </c>
      <c r="X300" t="str">
        <f t="shared" si="198"/>
        <v/>
      </c>
      <c r="Y300" t="str">
        <f t="shared" si="185"/>
        <v/>
      </c>
      <c r="Z300" t="str">
        <f t="shared" si="199"/>
        <v/>
      </c>
      <c r="AA300" t="str">
        <f t="shared" si="200"/>
        <v/>
      </c>
      <c r="AB300" t="str">
        <f t="shared" si="201"/>
        <v/>
      </c>
      <c r="AC300" t="str">
        <f t="shared" si="202"/>
        <v/>
      </c>
      <c r="AD300" t="str">
        <f t="shared" si="203"/>
        <v/>
      </c>
    </row>
    <row r="301" spans="1:30">
      <c r="A301" t="s">
        <v>217</v>
      </c>
      <c r="B301" t="s">
        <v>37</v>
      </c>
      <c r="C301" t="s">
        <v>38</v>
      </c>
      <c r="D301" t="s">
        <v>39</v>
      </c>
      <c r="E301" s="2">
        <v>46094</v>
      </c>
      <c r="F301" t="s">
        <v>40</v>
      </c>
      <c r="G301">
        <v>116</v>
      </c>
      <c r="H301">
        <v>79.3</v>
      </c>
      <c r="I301">
        <v>-1957.8</v>
      </c>
      <c r="J301">
        <v>67.3</v>
      </c>
      <c r="K301">
        <v>0</v>
      </c>
      <c r="L301">
        <v>3.8</v>
      </c>
      <c r="M301">
        <v>0</v>
      </c>
      <c r="N301">
        <v>71.099999999999994</v>
      </c>
      <c r="O301">
        <v>112.3</v>
      </c>
      <c r="P301">
        <v>116.78</v>
      </c>
      <c r="Q301">
        <v>3.83</v>
      </c>
      <c r="R301">
        <v>3.86</v>
      </c>
      <c r="S301">
        <f t="shared" si="195"/>
        <v>0.68956250525225216</v>
      </c>
      <c r="T301">
        <f t="shared" si="196"/>
        <v>0.50346725941026071</v>
      </c>
      <c r="U301">
        <f t="shared" si="183"/>
        <v>0</v>
      </c>
      <c r="V301">
        <f t="shared" si="197"/>
        <v>1.0711083017806495</v>
      </c>
      <c r="W301" t="str">
        <f t="shared" si="184"/>
        <v/>
      </c>
      <c r="X301">
        <f t="shared" si="198"/>
        <v>1.6746866101037572</v>
      </c>
      <c r="Y301" t="str">
        <f t="shared" si="185"/>
        <v/>
      </c>
      <c r="Z301">
        <f t="shared" si="199"/>
        <v>0.63807162825523989</v>
      </c>
      <c r="AA301">
        <f t="shared" si="200"/>
        <v>0.72079434532226938</v>
      </c>
      <c r="AB301">
        <f t="shared" si="201"/>
        <v>1.0504982397346512</v>
      </c>
      <c r="AC301">
        <f t="shared" si="202"/>
        <v>5.8962687311027065E-2</v>
      </c>
      <c r="AD301">
        <f t="shared" si="203"/>
        <v>7.4348849522519939E-2</v>
      </c>
    </row>
    <row r="302" spans="1:30">
      <c r="A302" t="s">
        <v>218</v>
      </c>
      <c r="B302" t="s">
        <v>37</v>
      </c>
      <c r="C302" t="s">
        <v>38</v>
      </c>
      <c r="D302" t="s">
        <v>39</v>
      </c>
      <c r="E302" s="2">
        <v>46094</v>
      </c>
      <c r="F302" t="s">
        <v>34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f t="shared" si="195"/>
        <v/>
      </c>
      <c r="T302" t="str">
        <f t="shared" si="196"/>
        <v/>
      </c>
      <c r="U302" t="str">
        <f t="shared" si="183"/>
        <v/>
      </c>
      <c r="V302" t="str">
        <f t="shared" si="197"/>
        <v/>
      </c>
      <c r="W302" t="str">
        <f t="shared" si="184"/>
        <v/>
      </c>
      <c r="X302" t="str">
        <f t="shared" si="198"/>
        <v/>
      </c>
      <c r="Y302" t="str">
        <f t="shared" si="185"/>
        <v/>
      </c>
      <c r="Z302" t="str">
        <f t="shared" si="199"/>
        <v/>
      </c>
      <c r="AA302" t="str">
        <f t="shared" si="200"/>
        <v/>
      </c>
      <c r="AB302" t="str">
        <f t="shared" si="201"/>
        <v/>
      </c>
      <c r="AC302" t="str">
        <f t="shared" si="202"/>
        <v/>
      </c>
      <c r="AD302" t="str">
        <f t="shared" si="203"/>
        <v/>
      </c>
    </row>
    <row r="303" spans="1:30">
      <c r="A303" t="s">
        <v>219</v>
      </c>
      <c r="B303" t="s">
        <v>37</v>
      </c>
      <c r="C303" t="s">
        <v>38</v>
      </c>
      <c r="D303" t="s">
        <v>39</v>
      </c>
      <c r="E303" s="2">
        <v>46094</v>
      </c>
      <c r="F303" t="s">
        <v>40</v>
      </c>
      <c r="G303">
        <v>107</v>
      </c>
      <c r="H303">
        <v>77.900000000000006</v>
      </c>
      <c r="I303">
        <v>-1957.8</v>
      </c>
      <c r="J303">
        <v>69.5</v>
      </c>
      <c r="K303">
        <v>0</v>
      </c>
      <c r="L303">
        <v>1.7</v>
      </c>
      <c r="M303">
        <v>0</v>
      </c>
      <c r="N303">
        <v>67.8</v>
      </c>
      <c r="O303">
        <v>112.45</v>
      </c>
      <c r="P303">
        <v>117.07</v>
      </c>
      <c r="Q303">
        <v>3.74</v>
      </c>
      <c r="R303">
        <v>3.78</v>
      </c>
      <c r="S303">
        <f t="shared" si="195"/>
        <v>1.1155072135600039</v>
      </c>
      <c r="T303">
        <f t="shared" si="196"/>
        <v>0.99962540060339755</v>
      </c>
      <c r="U303">
        <f t="shared" si="183"/>
        <v>0</v>
      </c>
      <c r="V303">
        <f t="shared" si="197"/>
        <v>7.9113847942723581E-2</v>
      </c>
      <c r="W303" t="str">
        <f t="shared" si="184"/>
        <v/>
      </c>
      <c r="X303">
        <f t="shared" si="198"/>
        <v>0.17478624634220716</v>
      </c>
      <c r="Y303" t="str">
        <f t="shared" si="185"/>
        <v/>
      </c>
      <c r="Z303">
        <f t="shared" si="199"/>
        <v>0.86492480007870098</v>
      </c>
      <c r="AA303">
        <f t="shared" si="200"/>
        <v>0.63166757377913696</v>
      </c>
      <c r="AB303">
        <f t="shared" si="201"/>
        <v>1.258516556823422</v>
      </c>
      <c r="AC303">
        <f t="shared" si="202"/>
        <v>0.53910356513938229</v>
      </c>
      <c r="AD303">
        <f t="shared" si="203"/>
        <v>0.4359821639310818</v>
      </c>
    </row>
    <row r="304" spans="1:30">
      <c r="A304" t="s">
        <v>220</v>
      </c>
      <c r="B304" t="s">
        <v>37</v>
      </c>
      <c r="C304" t="s">
        <v>38</v>
      </c>
      <c r="D304" t="s">
        <v>39</v>
      </c>
      <c r="E304" s="2">
        <v>46095</v>
      </c>
      <c r="F304" t="s">
        <v>40</v>
      </c>
      <c r="G304">
        <v>109.3</v>
      </c>
      <c r="H304">
        <v>80.2</v>
      </c>
      <c r="I304">
        <v>-1957.8</v>
      </c>
      <c r="J304">
        <v>69.5</v>
      </c>
      <c r="K304">
        <v>0</v>
      </c>
      <c r="L304">
        <v>0.7</v>
      </c>
      <c r="M304">
        <v>0</v>
      </c>
      <c r="N304">
        <v>68.8</v>
      </c>
      <c r="O304">
        <v>111.72</v>
      </c>
      <c r="P304">
        <v>113.33</v>
      </c>
      <c r="Q304">
        <v>3.69</v>
      </c>
      <c r="R304">
        <v>3.74</v>
      </c>
      <c r="S304">
        <f t="shared" si="195"/>
        <v>0.65421161875242795</v>
      </c>
      <c r="T304">
        <f t="shared" si="196"/>
        <v>0.18450845435752589</v>
      </c>
      <c r="U304">
        <f t="shared" si="183"/>
        <v>0</v>
      </c>
      <c r="V304">
        <f t="shared" si="197"/>
        <v>7.9113847942723581E-2</v>
      </c>
      <c r="W304" t="str">
        <f t="shared" si="184"/>
        <v/>
      </c>
      <c r="X304">
        <f t="shared" si="198"/>
        <v>0.53945202211567389</v>
      </c>
      <c r="Y304" t="str">
        <f t="shared" si="185"/>
        <v/>
      </c>
      <c r="Z304">
        <f t="shared" si="199"/>
        <v>0.40947133694720333</v>
      </c>
      <c r="AA304">
        <f t="shared" si="200"/>
        <v>1.0654178619557007</v>
      </c>
      <c r="AB304">
        <f t="shared" si="201"/>
        <v>1.4242024290801056</v>
      </c>
      <c r="AC304">
        <f t="shared" si="202"/>
        <v>0.87136259427850093</v>
      </c>
      <c r="AD304">
        <f t="shared" si="203"/>
        <v>0.69114767065787985</v>
      </c>
    </row>
    <row r="305" spans="1:30">
      <c r="A305" t="s">
        <v>221</v>
      </c>
      <c r="B305" t="s">
        <v>37</v>
      </c>
      <c r="C305" t="s">
        <v>38</v>
      </c>
      <c r="D305" t="s">
        <v>39</v>
      </c>
      <c r="E305" s="2">
        <v>46095</v>
      </c>
      <c r="F305" t="s">
        <v>40</v>
      </c>
      <c r="G305">
        <v>106.6</v>
      </c>
      <c r="H305">
        <v>80.2</v>
      </c>
      <c r="I305">
        <v>-1957.8</v>
      </c>
      <c r="J305">
        <v>68.599999999999994</v>
      </c>
      <c r="K305">
        <v>0</v>
      </c>
      <c r="L305">
        <v>1.6</v>
      </c>
      <c r="M305">
        <v>0</v>
      </c>
      <c r="N305">
        <v>67</v>
      </c>
      <c r="O305">
        <v>112.08</v>
      </c>
      <c r="P305">
        <v>113.4</v>
      </c>
      <c r="Q305">
        <v>3.56</v>
      </c>
      <c r="R305">
        <v>3.66</v>
      </c>
      <c r="S305">
        <f t="shared" si="195"/>
        <v>1.1957325343961054</v>
      </c>
      <c r="T305">
        <f t="shared" si="196"/>
        <v>0.18450845435752589</v>
      </c>
      <c r="U305">
        <f t="shared" si="183"/>
        <v>0</v>
      </c>
      <c r="V305">
        <f t="shared" si="197"/>
        <v>0.39143157694411324</v>
      </c>
      <c r="W305" t="str">
        <f t="shared" si="184"/>
        <v/>
      </c>
      <c r="X305">
        <f t="shared" si="198"/>
        <v>0.10336241949641915</v>
      </c>
      <c r="Y305" t="str">
        <f t="shared" si="185"/>
        <v/>
      </c>
      <c r="Z305">
        <f t="shared" si="199"/>
        <v>1.2292875705838977</v>
      </c>
      <c r="AA305">
        <f t="shared" si="200"/>
        <v>0.8515136102521913</v>
      </c>
      <c r="AB305">
        <f t="shared" si="201"/>
        <v>1.3739911111621199</v>
      </c>
      <c r="AC305">
        <f t="shared" si="202"/>
        <v>1.7352360700402041</v>
      </c>
      <c r="AD305">
        <f t="shared" si="203"/>
        <v>1.2014786841114817</v>
      </c>
    </row>
    <row r="306" spans="1:30">
      <c r="A306" t="s">
        <v>222</v>
      </c>
      <c r="B306" t="s">
        <v>37</v>
      </c>
      <c r="C306" t="s">
        <v>38</v>
      </c>
      <c r="D306" t="s">
        <v>39</v>
      </c>
      <c r="E306" s="2">
        <v>46095</v>
      </c>
      <c r="F306" t="s">
        <v>40</v>
      </c>
      <c r="G306">
        <v>109.3</v>
      </c>
      <c r="H306">
        <v>81.099999999999994</v>
      </c>
      <c r="I306">
        <v>-1957.8</v>
      </c>
      <c r="J306">
        <v>69.5</v>
      </c>
      <c r="K306">
        <v>0</v>
      </c>
      <c r="L306">
        <v>1.6</v>
      </c>
      <c r="M306">
        <v>0</v>
      </c>
      <c r="N306">
        <v>71.099999999999994</v>
      </c>
      <c r="O306">
        <v>115.24</v>
      </c>
      <c r="P306">
        <v>115.24</v>
      </c>
      <c r="Q306">
        <v>3.78</v>
      </c>
      <c r="R306">
        <v>3.76</v>
      </c>
      <c r="S306">
        <f t="shared" si="195"/>
        <v>0.65421161875242795</v>
      </c>
      <c r="T306">
        <f t="shared" si="196"/>
        <v>0.13445035069520386</v>
      </c>
      <c r="U306">
        <f t="shared" si="183"/>
        <v>0</v>
      </c>
      <c r="V306">
        <f t="shared" si="197"/>
        <v>7.9113847942723581E-2</v>
      </c>
      <c r="W306" t="str">
        <f t="shared" si="184"/>
        <v/>
      </c>
      <c r="X306">
        <f t="shared" si="198"/>
        <v>0.10336241949641915</v>
      </c>
      <c r="Y306" t="str">
        <f t="shared" si="185"/>
        <v/>
      </c>
      <c r="Z306">
        <f t="shared" si="199"/>
        <v>0.63807162825523989</v>
      </c>
      <c r="AA306">
        <f t="shared" si="200"/>
        <v>1.0260903769230585</v>
      </c>
      <c r="AB306">
        <f t="shared" si="201"/>
        <v>5.4150754460924995E-2</v>
      </c>
      <c r="AC306">
        <f t="shared" si="202"/>
        <v>0.27329634182809154</v>
      </c>
      <c r="AD306">
        <f t="shared" si="203"/>
        <v>0.56356491729448221</v>
      </c>
    </row>
    <row r="307" spans="1:30">
      <c r="A307" t="s">
        <v>223</v>
      </c>
      <c r="B307" t="s">
        <v>37</v>
      </c>
      <c r="C307" t="s">
        <v>38</v>
      </c>
      <c r="D307" t="s">
        <v>39</v>
      </c>
      <c r="E307" s="2">
        <v>46095</v>
      </c>
      <c r="F307" t="s">
        <v>40</v>
      </c>
      <c r="G307">
        <v>110.6</v>
      </c>
      <c r="H307">
        <v>79.3</v>
      </c>
      <c r="I307">
        <v>-1957.8</v>
      </c>
      <c r="J307">
        <v>69.099999999999994</v>
      </c>
      <c r="K307">
        <v>0</v>
      </c>
      <c r="L307">
        <v>2.2000000000000002</v>
      </c>
      <c r="M307">
        <v>0</v>
      </c>
      <c r="N307">
        <v>66.900000000000006</v>
      </c>
      <c r="O307">
        <v>112.16</v>
      </c>
      <c r="P307">
        <v>116.85</v>
      </c>
      <c r="Q307">
        <v>3.71</v>
      </c>
      <c r="R307">
        <v>3.69</v>
      </c>
      <c r="S307">
        <f t="shared" si="195"/>
        <v>0.39347932603510261</v>
      </c>
      <c r="T307">
        <f t="shared" si="196"/>
        <v>0.50346725941026071</v>
      </c>
      <c r="U307">
        <f t="shared" si="183"/>
        <v>0</v>
      </c>
      <c r="V307">
        <f t="shared" si="197"/>
        <v>0.13001745200698331</v>
      </c>
      <c r="W307" t="str">
        <f t="shared" si="184"/>
        <v/>
      </c>
      <c r="X307">
        <f t="shared" si="198"/>
        <v>0.53190538057114778</v>
      </c>
      <c r="Y307" t="str">
        <f t="shared" si="185"/>
        <v/>
      </c>
      <c r="Z307">
        <f t="shared" si="199"/>
        <v>1.2748329168970449</v>
      </c>
      <c r="AA307">
        <f t="shared" si="200"/>
        <v>0.80397933209585692</v>
      </c>
      <c r="AB307">
        <f t="shared" si="201"/>
        <v>1.1007095576526269</v>
      </c>
      <c r="AC307">
        <f t="shared" si="202"/>
        <v>0.73845898262285403</v>
      </c>
      <c r="AD307">
        <f t="shared" si="203"/>
        <v>1.0101045540663824</v>
      </c>
    </row>
    <row r="308" spans="1:30">
      <c r="A308" t="s">
        <v>224</v>
      </c>
      <c r="B308" t="s">
        <v>37</v>
      </c>
      <c r="C308" t="s">
        <v>38</v>
      </c>
      <c r="D308" t="s">
        <v>39</v>
      </c>
      <c r="E308" s="2">
        <v>46095</v>
      </c>
      <c r="F308" t="s">
        <v>40</v>
      </c>
      <c r="G308">
        <v>107</v>
      </c>
      <c r="H308">
        <v>79.3</v>
      </c>
      <c r="I308">
        <v>-1957.8</v>
      </c>
      <c r="J308">
        <v>69.099999999999994</v>
      </c>
      <c r="K308">
        <v>0</v>
      </c>
      <c r="L308">
        <v>2</v>
      </c>
      <c r="M308">
        <v>0</v>
      </c>
      <c r="N308">
        <v>67.099999999999994</v>
      </c>
      <c r="O308">
        <v>112.16</v>
      </c>
      <c r="P308">
        <v>113.4</v>
      </c>
      <c r="Q308">
        <v>3.78</v>
      </c>
      <c r="R308">
        <v>3.81</v>
      </c>
      <c r="S308">
        <f t="shared" si="195"/>
        <v>1.1155072135600039</v>
      </c>
      <c r="T308">
        <f t="shared" si="196"/>
        <v>0.50346725941026071</v>
      </c>
      <c r="U308">
        <f t="shared" si="183"/>
        <v>0</v>
      </c>
      <c r="V308">
        <f t="shared" si="197"/>
        <v>0.13001745200698331</v>
      </c>
      <c r="W308" t="str">
        <f t="shared" si="184"/>
        <v/>
      </c>
      <c r="X308">
        <f t="shared" si="198"/>
        <v>0.38905772687957146</v>
      </c>
      <c r="Y308" t="str">
        <f t="shared" si="185"/>
        <v/>
      </c>
      <c r="Z308">
        <f t="shared" si="199"/>
        <v>1.1837422242707505</v>
      </c>
      <c r="AA308">
        <f t="shared" si="200"/>
        <v>0.80397933209585692</v>
      </c>
      <c r="AB308">
        <f t="shared" si="201"/>
        <v>1.3739911111621199</v>
      </c>
      <c r="AC308">
        <f t="shared" si="202"/>
        <v>0.27329634182809154</v>
      </c>
      <c r="AD308">
        <f t="shared" si="203"/>
        <v>0.24460803388597974</v>
      </c>
    </row>
    <row r="309" spans="1:30">
      <c r="A309" t="s">
        <v>225</v>
      </c>
      <c r="B309" t="s">
        <v>37</v>
      </c>
      <c r="C309" t="s">
        <v>38</v>
      </c>
      <c r="D309" t="s">
        <v>39</v>
      </c>
      <c r="E309" s="2">
        <v>46095</v>
      </c>
      <c r="F309" t="s">
        <v>40</v>
      </c>
      <c r="G309">
        <v>115.5</v>
      </c>
      <c r="H309">
        <v>84.3</v>
      </c>
      <c r="I309">
        <v>-1957.8</v>
      </c>
      <c r="J309">
        <v>68.2</v>
      </c>
      <c r="K309">
        <v>0</v>
      </c>
      <c r="L309">
        <v>2.1</v>
      </c>
      <c r="M309">
        <v>0</v>
      </c>
      <c r="N309">
        <v>70.3</v>
      </c>
      <c r="O309">
        <v>112.08</v>
      </c>
      <c r="P309">
        <v>116.56</v>
      </c>
      <c r="Q309">
        <v>3.96</v>
      </c>
      <c r="R309">
        <v>3.96</v>
      </c>
      <c r="S309">
        <f t="shared" si="195"/>
        <v>0.58928085420712684</v>
      </c>
      <c r="T309">
        <f t="shared" si="196"/>
        <v>1.2685261019938103</v>
      </c>
      <c r="U309">
        <f t="shared" si="183"/>
        <v>0</v>
      </c>
      <c r="V309">
        <f t="shared" si="197"/>
        <v>0.60056287689381271</v>
      </c>
      <c r="W309" t="str">
        <f t="shared" si="184"/>
        <v/>
      </c>
      <c r="X309">
        <f t="shared" si="198"/>
        <v>0.46048155372535965</v>
      </c>
      <c r="Y309" t="str">
        <f t="shared" si="185"/>
        <v/>
      </c>
      <c r="Z309">
        <f t="shared" si="199"/>
        <v>0.27370885775004311</v>
      </c>
      <c r="AA309">
        <f t="shared" si="200"/>
        <v>0.8515136102521913</v>
      </c>
      <c r="AB309">
        <f t="shared" si="201"/>
        <v>0.89269124056385607</v>
      </c>
      <c r="AC309">
        <f t="shared" si="202"/>
        <v>0.92283616307273009</v>
      </c>
      <c r="AD309">
        <f t="shared" si="203"/>
        <v>0.71226261633952215</v>
      </c>
    </row>
    <row r="310" spans="1:30">
      <c r="A310" t="s">
        <v>226</v>
      </c>
      <c r="B310" t="s">
        <v>37</v>
      </c>
      <c r="C310" t="s">
        <v>38</v>
      </c>
      <c r="D310" t="s">
        <v>39</v>
      </c>
      <c r="E310" s="2">
        <v>46095</v>
      </c>
      <c r="F310" t="s">
        <v>40</v>
      </c>
      <c r="G310">
        <v>114.6</v>
      </c>
      <c r="H310">
        <v>84.7</v>
      </c>
      <c r="I310">
        <v>-1957.8</v>
      </c>
      <c r="J310">
        <v>67.7</v>
      </c>
      <c r="K310">
        <v>0</v>
      </c>
      <c r="L310">
        <v>1.7</v>
      </c>
      <c r="M310">
        <v>0</v>
      </c>
      <c r="N310">
        <v>69.400000000000006</v>
      </c>
      <c r="O310">
        <v>112.08</v>
      </c>
      <c r="P310">
        <v>116.63</v>
      </c>
      <c r="Q310">
        <v>3.96</v>
      </c>
      <c r="R310">
        <v>4</v>
      </c>
      <c r="S310">
        <f t="shared" si="195"/>
        <v>0.40877388232590012</v>
      </c>
      <c r="T310">
        <f t="shared" si="196"/>
        <v>1.4102855709061379</v>
      </c>
      <c r="U310">
        <f t="shared" si="183"/>
        <v>0</v>
      </c>
      <c r="V310">
        <f t="shared" si="197"/>
        <v>0.86197700183094261</v>
      </c>
      <c r="W310" t="str">
        <f t="shared" si="184"/>
        <v/>
      </c>
      <c r="X310">
        <f t="shared" si="198"/>
        <v>0.17478624634220716</v>
      </c>
      <c r="Y310" t="str">
        <f t="shared" si="185"/>
        <v/>
      </c>
      <c r="Z310">
        <f t="shared" si="199"/>
        <v>0.13619925906830088</v>
      </c>
      <c r="AA310">
        <f t="shared" si="200"/>
        <v>0.8515136102521913</v>
      </c>
      <c r="AB310">
        <f t="shared" si="201"/>
        <v>0.94290255848183169</v>
      </c>
      <c r="AC310">
        <f t="shared" si="202"/>
        <v>0.92283616307273009</v>
      </c>
      <c r="AD310">
        <f t="shared" si="203"/>
        <v>0.96742812306632298</v>
      </c>
    </row>
    <row r="311" spans="1:30">
      <c r="A311" t="s">
        <v>227</v>
      </c>
      <c r="B311" t="s">
        <v>37</v>
      </c>
      <c r="C311" t="s">
        <v>38</v>
      </c>
      <c r="D311" t="s">
        <v>39</v>
      </c>
      <c r="E311" s="2">
        <v>46095</v>
      </c>
      <c r="F311" t="s">
        <v>34</v>
      </c>
      <c r="G311">
        <v>100.3</v>
      </c>
      <c r="H311">
        <v>73</v>
      </c>
      <c r="I311">
        <v>-1957.8</v>
      </c>
      <c r="J311">
        <v>67.7</v>
      </c>
      <c r="K311">
        <v>0</v>
      </c>
      <c r="L311">
        <v>1.5</v>
      </c>
      <c r="M311">
        <v>0</v>
      </c>
      <c r="N311">
        <v>66.2</v>
      </c>
      <c r="O311">
        <v>115.24</v>
      </c>
      <c r="P311">
        <v>115.09</v>
      </c>
      <c r="Q311">
        <v>3.76</v>
      </c>
      <c r="R311">
        <v>3.83</v>
      </c>
      <c r="S311">
        <f t="shared" si="195"/>
        <v>2.459281337564684</v>
      </c>
      <c r="T311">
        <f t="shared" si="196"/>
        <v>2.736178894779389</v>
      </c>
      <c r="U311">
        <f t="shared" si="183"/>
        <v>0</v>
      </c>
      <c r="V311">
        <f t="shared" si="197"/>
        <v>0.86197700183094261</v>
      </c>
      <c r="W311" t="str">
        <f t="shared" si="184"/>
        <v/>
      </c>
      <c r="X311">
        <f t="shared" si="198"/>
        <v>3.1938592650630988E-2</v>
      </c>
      <c r="Y311" t="str">
        <f t="shared" si="185"/>
        <v/>
      </c>
      <c r="Z311">
        <f t="shared" si="199"/>
        <v>1.5936503410890945</v>
      </c>
      <c r="AA311">
        <f t="shared" si="200"/>
        <v>1.0260903769230585</v>
      </c>
      <c r="AB311">
        <f t="shared" si="201"/>
        <v>0.16174643571373432</v>
      </c>
      <c r="AC311">
        <f t="shared" si="202"/>
        <v>0.40619995348373839</v>
      </c>
      <c r="AD311">
        <f t="shared" si="203"/>
        <v>0.11702528052257931</v>
      </c>
    </row>
    <row r="312" spans="1:30">
      <c r="A312" t="s">
        <v>227</v>
      </c>
      <c r="B312" t="s">
        <v>37</v>
      </c>
      <c r="C312" t="s">
        <v>38</v>
      </c>
      <c r="D312" t="s">
        <v>39</v>
      </c>
      <c r="E312" s="2">
        <v>46095</v>
      </c>
      <c r="F312" t="s">
        <v>40</v>
      </c>
      <c r="G312">
        <v>113.3</v>
      </c>
      <c r="H312">
        <v>79.8</v>
      </c>
      <c r="I312">
        <v>-1957.8</v>
      </c>
      <c r="J312">
        <v>67.7</v>
      </c>
      <c r="K312">
        <v>0</v>
      </c>
      <c r="L312">
        <v>1.3</v>
      </c>
      <c r="M312">
        <v>0</v>
      </c>
      <c r="N312">
        <v>66.400000000000006</v>
      </c>
      <c r="O312">
        <v>115.31</v>
      </c>
      <c r="P312">
        <v>115.31</v>
      </c>
      <c r="Q312">
        <v>3.78</v>
      </c>
      <c r="R312">
        <v>3.83</v>
      </c>
      <c r="S312">
        <f t="shared" si="195"/>
        <v>0.14804158960857478</v>
      </c>
      <c r="T312">
        <f t="shared" si="196"/>
        <v>0.3262679232698536</v>
      </c>
      <c r="U312">
        <f t="shared" si="183"/>
        <v>0</v>
      </c>
      <c r="V312">
        <f t="shared" si="197"/>
        <v>0.86197700183094261</v>
      </c>
      <c r="W312" t="str">
        <f t="shared" si="184"/>
        <v/>
      </c>
      <c r="X312">
        <f t="shared" si="198"/>
        <v>0.11090906104094518</v>
      </c>
      <c r="Y312" t="str">
        <f t="shared" si="185"/>
        <v/>
      </c>
      <c r="Z312">
        <f t="shared" si="199"/>
        <v>1.5025596484627937</v>
      </c>
      <c r="AA312">
        <f t="shared" si="200"/>
        <v>1.0676828703098564</v>
      </c>
      <c r="AB312">
        <f t="shared" si="201"/>
        <v>3.9394365429391608E-3</v>
      </c>
      <c r="AC312">
        <f t="shared" si="202"/>
        <v>0.27329634182809154</v>
      </c>
      <c r="AD312">
        <f t="shared" si="203"/>
        <v>0.11702528052257931</v>
      </c>
    </row>
    <row r="313" spans="1:30">
      <c r="A313" t="s">
        <v>228</v>
      </c>
      <c r="B313" t="s">
        <v>37</v>
      </c>
      <c r="C313" t="s">
        <v>38</v>
      </c>
      <c r="D313" t="s">
        <v>39</v>
      </c>
      <c r="E313" s="2">
        <v>46095</v>
      </c>
      <c r="F313" t="s">
        <v>40</v>
      </c>
      <c r="G313">
        <v>111.1</v>
      </c>
      <c r="H313">
        <v>79.3</v>
      </c>
      <c r="I313">
        <v>-1957.8</v>
      </c>
      <c r="J313">
        <v>67.7</v>
      </c>
      <c r="K313">
        <v>0</v>
      </c>
      <c r="L313">
        <v>0.9</v>
      </c>
      <c r="M313">
        <v>0</v>
      </c>
      <c r="N313">
        <v>66.8</v>
      </c>
      <c r="O313">
        <v>115.46</v>
      </c>
      <c r="P313">
        <v>115.38</v>
      </c>
      <c r="Q313">
        <v>3.71</v>
      </c>
      <c r="R313">
        <v>3.78</v>
      </c>
      <c r="S313">
        <f t="shared" si="195"/>
        <v>0.29319767498997729</v>
      </c>
      <c r="T313">
        <f t="shared" si="196"/>
        <v>0.50346725941026071</v>
      </c>
      <c r="U313">
        <f t="shared" si="183"/>
        <v>0</v>
      </c>
      <c r="V313">
        <f t="shared" si="197"/>
        <v>0.86197700183094261</v>
      </c>
      <c r="W313" t="str">
        <f t="shared" si="184"/>
        <v/>
      </c>
      <c r="X313">
        <f t="shared" si="198"/>
        <v>0.39660436842409758</v>
      </c>
      <c r="Y313" t="str">
        <f t="shared" si="185"/>
        <v/>
      </c>
      <c r="Z313">
        <f t="shared" si="199"/>
        <v>1.3203782632101986</v>
      </c>
      <c r="AA313">
        <f t="shared" si="200"/>
        <v>1.1568096418529803</v>
      </c>
      <c r="AB313">
        <f t="shared" si="201"/>
        <v>4.6271881375036482E-2</v>
      </c>
      <c r="AC313">
        <f t="shared" si="202"/>
        <v>0.73845898262285403</v>
      </c>
      <c r="AD313">
        <f t="shared" si="203"/>
        <v>0.4359821639310818</v>
      </c>
    </row>
    <row r="314" spans="1:30">
      <c r="A314" t="s">
        <v>229</v>
      </c>
      <c r="B314" t="s">
        <v>37</v>
      </c>
      <c r="C314" t="s">
        <v>38</v>
      </c>
      <c r="D314" t="s">
        <v>39</v>
      </c>
      <c r="E314" s="2">
        <v>46095</v>
      </c>
      <c r="F314" t="s">
        <v>40</v>
      </c>
      <c r="G314">
        <v>107</v>
      </c>
      <c r="H314">
        <v>78.900000000000006</v>
      </c>
      <c r="I314">
        <v>-1957.8</v>
      </c>
      <c r="J314">
        <v>68.599999999999994</v>
      </c>
      <c r="K314">
        <v>0</v>
      </c>
      <c r="L314">
        <v>2.2000000000000002</v>
      </c>
      <c r="M314">
        <v>0</v>
      </c>
      <c r="N314">
        <v>70.8</v>
      </c>
      <c r="O314">
        <v>115.24</v>
      </c>
      <c r="P314">
        <v>115.24</v>
      </c>
      <c r="Q314">
        <v>3.81</v>
      </c>
      <c r="R314">
        <v>3.86</v>
      </c>
      <c r="S314">
        <f t="shared" si="195"/>
        <v>1.1155072135600039</v>
      </c>
      <c r="T314">
        <f t="shared" si="196"/>
        <v>0.64522672832258332</v>
      </c>
      <c r="U314">
        <f t="shared" si="183"/>
        <v>0</v>
      </c>
      <c r="V314">
        <f t="shared" si="197"/>
        <v>0.39143157694411324</v>
      </c>
      <c r="W314" t="str">
        <f t="shared" si="184"/>
        <v/>
      </c>
      <c r="X314">
        <f t="shared" si="198"/>
        <v>0.53190538057114778</v>
      </c>
      <c r="Y314" t="str">
        <f t="shared" si="185"/>
        <v/>
      </c>
      <c r="Z314">
        <f t="shared" si="199"/>
        <v>0.50143558931579191</v>
      </c>
      <c r="AA314">
        <f t="shared" si="200"/>
        <v>1.0260903769230585</v>
      </c>
      <c r="AB314">
        <f t="shared" si="201"/>
        <v>5.4150754460924995E-2</v>
      </c>
      <c r="AC314">
        <f t="shared" si="202"/>
        <v>7.3940924344619782E-2</v>
      </c>
      <c r="AD314">
        <f t="shared" si="203"/>
        <v>7.4348849522519939E-2</v>
      </c>
    </row>
    <row r="315" spans="1:30">
      <c r="A315" t="s">
        <v>230</v>
      </c>
      <c r="B315" t="s">
        <v>37</v>
      </c>
      <c r="C315" t="s">
        <v>38</v>
      </c>
      <c r="D315" t="s">
        <v>39</v>
      </c>
      <c r="E315" s="2">
        <v>46095</v>
      </c>
      <c r="F315" t="s">
        <v>34</v>
      </c>
      <c r="G315">
        <v>128</v>
      </c>
      <c r="H315">
        <v>127.6</v>
      </c>
      <c r="I315">
        <v>-1957.8</v>
      </c>
      <c r="J315">
        <v>68.2</v>
      </c>
      <c r="K315">
        <v>0</v>
      </c>
      <c r="L315">
        <v>2.8</v>
      </c>
      <c r="M315">
        <v>0</v>
      </c>
      <c r="N315">
        <v>65.400000000000006</v>
      </c>
      <c r="O315">
        <v>115.16</v>
      </c>
      <c r="P315">
        <v>115.02</v>
      </c>
      <c r="Q315">
        <v>3.91</v>
      </c>
      <c r="R315">
        <v>4.57</v>
      </c>
      <c r="S315">
        <f t="shared" si="195"/>
        <v>3.0963221303352602</v>
      </c>
      <c r="T315">
        <f t="shared" si="196"/>
        <v>16.613988611753065</v>
      </c>
      <c r="U315">
        <f t="shared" si="183"/>
        <v>0</v>
      </c>
      <c r="V315">
        <f t="shared" si="197"/>
        <v>0.60056287689381271</v>
      </c>
      <c r="W315" t="str">
        <f t="shared" si="184"/>
        <v/>
      </c>
      <c r="X315">
        <f t="shared" si="198"/>
        <v>0.96044834164587611</v>
      </c>
      <c r="Y315" t="str">
        <f t="shared" si="185"/>
        <v/>
      </c>
      <c r="Z315">
        <f t="shared" si="199"/>
        <v>1.9580131115942914</v>
      </c>
      <c r="AA315">
        <f t="shared" si="200"/>
        <v>0.978556098766724</v>
      </c>
      <c r="AB315">
        <f t="shared" si="201"/>
        <v>0.21195775363172015</v>
      </c>
      <c r="AC315">
        <f t="shared" si="202"/>
        <v>0.59057713393361444</v>
      </c>
      <c r="AD315">
        <f t="shared" si="203"/>
        <v>4.6035365939232342</v>
      </c>
    </row>
    <row r="316" spans="1:30">
      <c r="A316" t="s">
        <v>230</v>
      </c>
      <c r="B316" t="s">
        <v>37</v>
      </c>
      <c r="C316" t="s">
        <v>38</v>
      </c>
      <c r="D316" t="s">
        <v>39</v>
      </c>
      <c r="E316" s="2">
        <v>46095</v>
      </c>
      <c r="F316" t="s">
        <v>34</v>
      </c>
      <c r="G316">
        <v>139.69999999999999</v>
      </c>
      <c r="H316">
        <v>135.19999999999999</v>
      </c>
      <c r="I316">
        <v>-1957.8</v>
      </c>
      <c r="J316">
        <v>67.7</v>
      </c>
      <c r="K316">
        <v>0</v>
      </c>
      <c r="L316">
        <v>2.4</v>
      </c>
      <c r="M316">
        <v>0</v>
      </c>
      <c r="N316">
        <v>65.3</v>
      </c>
      <c r="O316">
        <v>114.94</v>
      </c>
      <c r="P316">
        <v>114.94</v>
      </c>
      <c r="Q316">
        <v>4.47</v>
      </c>
      <c r="R316">
        <v>4.88</v>
      </c>
      <c r="S316">
        <f t="shared" si="195"/>
        <v>5.442912764791191</v>
      </c>
      <c r="T316">
        <f t="shared" si="196"/>
        <v>19.30741852108725</v>
      </c>
      <c r="U316">
        <f t="shared" si="183"/>
        <v>0</v>
      </c>
      <c r="V316">
        <f t="shared" si="197"/>
        <v>0.86197700183094261</v>
      </c>
      <c r="W316" t="str">
        <f t="shared" si="184"/>
        <v/>
      </c>
      <c r="X316">
        <f t="shared" si="198"/>
        <v>0.67475303426272382</v>
      </c>
      <c r="Y316" t="str">
        <f t="shared" si="185"/>
        <v/>
      </c>
      <c r="Z316">
        <f t="shared" si="199"/>
        <v>2.0035584579074448</v>
      </c>
      <c r="AA316">
        <f t="shared" si="200"/>
        <v>0.84783683383680208</v>
      </c>
      <c r="AB316">
        <f t="shared" si="201"/>
        <v>0.2693421169665538</v>
      </c>
      <c r="AC316">
        <f t="shared" si="202"/>
        <v>4.3118782602917207</v>
      </c>
      <c r="AD316">
        <f t="shared" si="203"/>
        <v>6.5810692710559371</v>
      </c>
    </row>
    <row r="317" spans="1:30">
      <c r="A317" t="s">
        <v>230</v>
      </c>
      <c r="B317" t="s">
        <v>37</v>
      </c>
      <c r="C317" t="s">
        <v>38</v>
      </c>
      <c r="D317" t="s">
        <v>39</v>
      </c>
      <c r="E317" s="2">
        <v>46095</v>
      </c>
      <c r="F317" t="s">
        <v>34</v>
      </c>
      <c r="G317">
        <v>149.5</v>
      </c>
      <c r="H317">
        <v>148.30000000000001</v>
      </c>
      <c r="I317">
        <v>-1957.8</v>
      </c>
      <c r="J317">
        <v>68.2</v>
      </c>
      <c r="K317">
        <v>0</v>
      </c>
      <c r="L317">
        <v>0.3</v>
      </c>
      <c r="M317">
        <v>0</v>
      </c>
      <c r="N317">
        <v>67.900000000000006</v>
      </c>
      <c r="O317">
        <v>115.09</v>
      </c>
      <c r="P317">
        <v>114.94</v>
      </c>
      <c r="Q317">
        <v>4.66</v>
      </c>
      <c r="R317">
        <v>5.15</v>
      </c>
      <c r="S317">
        <f t="shared" si="195"/>
        <v>7.4084331252756499</v>
      </c>
      <c r="T317">
        <f t="shared" si="196"/>
        <v>23.950041127965925</v>
      </c>
      <c r="U317">
        <f t="shared" si="183"/>
        <v>0</v>
      </c>
      <c r="V317">
        <f t="shared" si="197"/>
        <v>0.60056287689381271</v>
      </c>
      <c r="W317" t="str">
        <f t="shared" si="184"/>
        <v/>
      </c>
      <c r="X317">
        <f t="shared" si="198"/>
        <v>0.82514732949882619</v>
      </c>
      <c r="Y317" t="str">
        <f t="shared" si="185"/>
        <v/>
      </c>
      <c r="Z317">
        <f t="shared" si="199"/>
        <v>0.81937945376554733</v>
      </c>
      <c r="AA317">
        <f t="shared" si="200"/>
        <v>0.93696360537993451</v>
      </c>
      <c r="AB317">
        <f t="shared" si="201"/>
        <v>0.2693421169665538</v>
      </c>
      <c r="AC317">
        <f t="shared" si="202"/>
        <v>5.5744625710203675</v>
      </c>
      <c r="AD317">
        <f t="shared" si="203"/>
        <v>8.3034364414618445</v>
      </c>
    </row>
    <row r="318" spans="1:30">
      <c r="A318" t="s">
        <v>230</v>
      </c>
      <c r="B318" t="s">
        <v>37</v>
      </c>
      <c r="C318" t="s">
        <v>38</v>
      </c>
      <c r="D318" t="s">
        <v>39</v>
      </c>
      <c r="E318" s="2">
        <v>46097</v>
      </c>
      <c r="F318" t="s">
        <v>34</v>
      </c>
      <c r="G318">
        <v>144.1</v>
      </c>
      <c r="H318">
        <v>115.4</v>
      </c>
      <c r="I318">
        <v>-1957.8</v>
      </c>
      <c r="J318">
        <v>67.7</v>
      </c>
      <c r="K318">
        <v>0</v>
      </c>
      <c r="L318">
        <v>1</v>
      </c>
      <c r="M318">
        <v>0</v>
      </c>
      <c r="N318">
        <v>68.7</v>
      </c>
      <c r="O318">
        <v>111.64</v>
      </c>
      <c r="P318">
        <v>112.82</v>
      </c>
      <c r="Q318">
        <v>4.59</v>
      </c>
      <c r="R318">
        <v>5.83</v>
      </c>
      <c r="S318">
        <f t="shared" si="195"/>
        <v>6.3253912939882948</v>
      </c>
      <c r="T318">
        <f t="shared" si="196"/>
        <v>12.290324809927135</v>
      </c>
      <c r="U318">
        <f t="shared" si="183"/>
        <v>0</v>
      </c>
      <c r="V318">
        <f t="shared" si="197"/>
        <v>0.86197700183094261</v>
      </c>
      <c r="W318" t="str">
        <f t="shared" si="184"/>
        <v/>
      </c>
      <c r="X318">
        <f t="shared" si="198"/>
        <v>0.3251805415783095</v>
      </c>
      <c r="Y318" t="str">
        <f t="shared" si="185"/>
        <v/>
      </c>
      <c r="Z318">
        <f t="shared" si="199"/>
        <v>0.4550166832603505</v>
      </c>
      <c r="AA318">
        <f t="shared" si="200"/>
        <v>1.1129521401120352</v>
      </c>
      <c r="AB318">
        <f t="shared" si="201"/>
        <v>1.7900277453396818</v>
      </c>
      <c r="AC318">
        <f t="shared" si="202"/>
        <v>5.1092999302256015</v>
      </c>
      <c r="AD318">
        <f t="shared" si="203"/>
        <v>12.641250055817453</v>
      </c>
    </row>
    <row r="319" spans="1:30">
      <c r="A319" t="s">
        <v>230</v>
      </c>
      <c r="B319" t="s">
        <v>37</v>
      </c>
      <c r="C319" t="s">
        <v>38</v>
      </c>
      <c r="D319" t="s">
        <v>39</v>
      </c>
      <c r="E319" s="2">
        <v>46097</v>
      </c>
      <c r="F319" t="s">
        <v>34</v>
      </c>
      <c r="G319">
        <v>154.80000000000001</v>
      </c>
      <c r="H319">
        <v>153.30000000000001</v>
      </c>
      <c r="I319">
        <v>-1957.8</v>
      </c>
      <c r="J319">
        <v>67.7</v>
      </c>
      <c r="K319">
        <v>0</v>
      </c>
      <c r="L319">
        <v>2.1</v>
      </c>
      <c r="M319">
        <v>0</v>
      </c>
      <c r="N319">
        <v>69.8</v>
      </c>
      <c r="O319">
        <v>114.65</v>
      </c>
      <c r="P319">
        <v>114.14</v>
      </c>
      <c r="Q319">
        <v>5.59</v>
      </c>
      <c r="R319">
        <v>6.49</v>
      </c>
      <c r="S319">
        <f t="shared" si="195"/>
        <v>8.4714186263539801</v>
      </c>
      <c r="T319">
        <f t="shared" si="196"/>
        <v>25.722034489369992</v>
      </c>
      <c r="U319">
        <f t="shared" si="183"/>
        <v>0</v>
      </c>
      <c r="V319">
        <f t="shared" si="197"/>
        <v>0.86197700183094261</v>
      </c>
      <c r="W319" t="str">
        <f t="shared" si="184"/>
        <v/>
      </c>
      <c r="X319">
        <f t="shared" si="198"/>
        <v>0.46048155372535965</v>
      </c>
      <c r="Y319" t="str">
        <f t="shared" si="185"/>
        <v/>
      </c>
      <c r="Z319">
        <f t="shared" si="199"/>
        <v>4.5982126184294293E-2</v>
      </c>
      <c r="AA319">
        <f t="shared" si="200"/>
        <v>0.67552507552009067</v>
      </c>
      <c r="AB319">
        <f t="shared" si="201"/>
        <v>0.84318575031490073</v>
      </c>
      <c r="AC319">
        <f t="shared" si="202"/>
        <v>11.754480513007938</v>
      </c>
      <c r="AD319">
        <f t="shared" si="203"/>
        <v>16.851480916809663</v>
      </c>
    </row>
    <row r="320" spans="1:30">
      <c r="A320" t="s">
        <v>230</v>
      </c>
      <c r="B320" t="s">
        <v>37</v>
      </c>
      <c r="C320" t="s">
        <v>38</v>
      </c>
      <c r="D320" t="s">
        <v>39</v>
      </c>
      <c r="E320" s="2">
        <v>46097</v>
      </c>
      <c r="F320" t="s">
        <v>34</v>
      </c>
      <c r="G320">
        <v>157.5</v>
      </c>
      <c r="H320">
        <v>156</v>
      </c>
      <c r="I320">
        <v>-1957.8</v>
      </c>
      <c r="J320">
        <v>68.599999999999994</v>
      </c>
      <c r="K320">
        <v>0</v>
      </c>
      <c r="L320">
        <v>0.2</v>
      </c>
      <c r="M320">
        <v>0</v>
      </c>
      <c r="N320">
        <v>68.400000000000006</v>
      </c>
      <c r="O320">
        <v>114.94</v>
      </c>
      <c r="P320">
        <v>114.28</v>
      </c>
      <c r="Q320">
        <v>4.9800000000000004</v>
      </c>
      <c r="R320">
        <v>6.54</v>
      </c>
      <c r="S320">
        <f t="shared" si="195"/>
        <v>9.012939541997655</v>
      </c>
      <c r="T320">
        <f t="shared" si="196"/>
        <v>26.678910904528188</v>
      </c>
      <c r="U320">
        <f t="shared" si="183"/>
        <v>0</v>
      </c>
      <c r="V320">
        <f t="shared" si="197"/>
        <v>0.39143157694411324</v>
      </c>
      <c r="W320" t="str">
        <f t="shared" si="184"/>
        <v/>
      </c>
      <c r="X320">
        <f t="shared" si="198"/>
        <v>0.89657115634461437</v>
      </c>
      <c r="Y320" t="str">
        <f t="shared" si="185"/>
        <v/>
      </c>
      <c r="Z320">
        <f t="shared" si="199"/>
        <v>0.59165272219979848</v>
      </c>
      <c r="AA320">
        <f t="shared" si="200"/>
        <v>0.84783683383680208</v>
      </c>
      <c r="AB320">
        <f t="shared" si="201"/>
        <v>0.74276311447893928</v>
      </c>
      <c r="AC320">
        <f t="shared" si="202"/>
        <v>7.700920357510717</v>
      </c>
      <c r="AD320">
        <f t="shared" si="203"/>
        <v>17.170437800218163</v>
      </c>
    </row>
    <row r="321" spans="1:30">
      <c r="A321" t="s">
        <v>231</v>
      </c>
      <c r="B321" t="s">
        <v>37</v>
      </c>
      <c r="C321" t="s">
        <v>38</v>
      </c>
      <c r="D321" t="s">
        <v>39</v>
      </c>
      <c r="E321" s="2">
        <v>46097</v>
      </c>
      <c r="F321" t="s">
        <v>40</v>
      </c>
      <c r="G321">
        <v>104.8</v>
      </c>
      <c r="H321">
        <v>78.900000000000006</v>
      </c>
      <c r="I321">
        <v>-1957.8</v>
      </c>
      <c r="J321">
        <v>70</v>
      </c>
      <c r="K321">
        <v>0</v>
      </c>
      <c r="L321">
        <v>2.7</v>
      </c>
      <c r="M321">
        <v>0</v>
      </c>
      <c r="N321">
        <v>72.7</v>
      </c>
      <c r="O321">
        <v>112.08</v>
      </c>
      <c r="P321">
        <v>116.78</v>
      </c>
      <c r="Q321">
        <v>3.66</v>
      </c>
      <c r="R321">
        <v>3.61</v>
      </c>
      <c r="S321">
        <f t="shared" ref="S321:S341" si="204">IF(OR(G321=0,G321=""),"",ABS((G321-112.561871)/4.985957))</f>
        <v>1.556746478158556</v>
      </c>
      <c r="T321">
        <f t="shared" ref="T321:T341" si="205">IF(OR(H321=0,H321=""),"",ABS((H321-80.720624)/2.821681))</f>
        <v>0.64522672832258332</v>
      </c>
      <c r="U321">
        <f t="shared" si="183"/>
        <v>0</v>
      </c>
      <c r="V321">
        <f t="shared" ref="V321:V341" si="206">IF(OR(J321=0,J321=""),"",ABS((J321-69.348681)/1.912674))</f>
        <v>0.34052797287985348</v>
      </c>
      <c r="W321" t="str">
        <f t="shared" si="184"/>
        <v/>
      </c>
      <c r="X321">
        <f t="shared" ref="X321:X341" si="207">IF(OR(L321=0,L321=""),"",ABS((L321-1.455283)/1.400093))</f>
        <v>0.88902451480008826</v>
      </c>
      <c r="Y321" t="str">
        <f t="shared" si="185"/>
        <v/>
      </c>
      <c r="Z321">
        <f t="shared" ref="Z321:Z341" si="208">IF(OR(N321=0,N321=""),"",ABS((N321-69.699041)/2.195614))</f>
        <v>1.36679716926564</v>
      </c>
      <c r="AA321">
        <f t="shared" ref="AA321:AA341" si="209">IF(OR(O321=0,O321=""),"",ABS((O321-113.513094)/1.682996))</f>
        <v>0.8515136102521913</v>
      </c>
      <c r="AB321">
        <f t="shared" ref="AB321:AB341" si="210">IF(OR(P321=0,P321=""),"",ABS((P321-115.315492)/1.394108))</f>
        <v>1.0504982397346512</v>
      </c>
      <c r="AC321">
        <f t="shared" ref="AC321:AC341" si="211">IF(OR(Q321=0,Q321=""),"",ABS((Q321-3.821127)/0.150485))</f>
        <v>1.0707180117619697</v>
      </c>
      <c r="AD321">
        <f t="shared" ref="AD321:AD341" si="212">IF(OR(R321=0,R321=""),"",ABS((R321-3.848345)/0.156761))</f>
        <v>1.5204355675199841</v>
      </c>
    </row>
    <row r="322" spans="1:30">
      <c r="A322" t="s">
        <v>231</v>
      </c>
      <c r="B322" t="s">
        <v>37</v>
      </c>
      <c r="C322" t="s">
        <v>38</v>
      </c>
      <c r="D322" t="s">
        <v>39</v>
      </c>
      <c r="E322" s="2">
        <v>46097</v>
      </c>
      <c r="F322" t="s">
        <v>40</v>
      </c>
      <c r="G322">
        <v>111.5</v>
      </c>
      <c r="H322">
        <v>82</v>
      </c>
      <c r="I322">
        <v>-1957.8</v>
      </c>
      <c r="J322">
        <v>70.400000000000006</v>
      </c>
      <c r="K322">
        <v>0</v>
      </c>
      <c r="L322">
        <v>2</v>
      </c>
      <c r="M322">
        <v>0</v>
      </c>
      <c r="N322">
        <v>72.400000000000006</v>
      </c>
      <c r="O322">
        <v>111.86</v>
      </c>
      <c r="P322">
        <v>113.33</v>
      </c>
      <c r="Q322">
        <v>3.83</v>
      </c>
      <c r="R322">
        <v>3.78</v>
      </c>
      <c r="S322">
        <f t="shared" si="204"/>
        <v>0.21297235415387586</v>
      </c>
      <c r="T322">
        <f t="shared" si="205"/>
        <v>0.45340915574793861</v>
      </c>
      <c r="U322">
        <f t="shared" ref="U322:U385" si="213">IF(OR(I322=0,I322=""),"",ABS((I322--1957.8)/1))</f>
        <v>0</v>
      </c>
      <c r="V322">
        <f t="shared" si="206"/>
        <v>0.5496592728295604</v>
      </c>
      <c r="W322" t="str">
        <f t="shared" ref="W322:W385" si="214">IF(OR(K322=0,K322=""),"",ABS((K322-0)/1))</f>
        <v/>
      </c>
      <c r="X322">
        <f t="shared" si="207"/>
        <v>0.38905772687957146</v>
      </c>
      <c r="Y322" t="str">
        <f t="shared" ref="Y322:Y385" si="215">IF(OR(M322=0,M322=""),"",ABS((M322-0)/1))</f>
        <v/>
      </c>
      <c r="Z322">
        <f t="shared" si="208"/>
        <v>1.2301611303261919</v>
      </c>
      <c r="AA322">
        <f t="shared" si="209"/>
        <v>0.98223287518211322</v>
      </c>
      <c r="AB322">
        <f t="shared" si="210"/>
        <v>1.4242024290801056</v>
      </c>
      <c r="AC322">
        <f t="shared" si="211"/>
        <v>5.8962687311027065E-2</v>
      </c>
      <c r="AD322">
        <f t="shared" si="212"/>
        <v>0.4359821639310818</v>
      </c>
    </row>
    <row r="323" spans="1:30">
      <c r="A323" t="s">
        <v>232</v>
      </c>
      <c r="B323" t="s">
        <v>37</v>
      </c>
      <c r="C323" t="s">
        <v>38</v>
      </c>
      <c r="D323" t="s">
        <v>39</v>
      </c>
      <c r="E323" s="2">
        <v>46097</v>
      </c>
      <c r="F323" t="s">
        <v>40</v>
      </c>
      <c r="G323">
        <v>104.8</v>
      </c>
      <c r="H323">
        <v>76.099999999999994</v>
      </c>
      <c r="I323">
        <v>-1957.8</v>
      </c>
      <c r="J323">
        <v>69.5</v>
      </c>
      <c r="K323">
        <v>0</v>
      </c>
      <c r="L323">
        <v>3.1</v>
      </c>
      <c r="M323">
        <v>0</v>
      </c>
      <c r="N323">
        <v>66.400000000000006</v>
      </c>
      <c r="O323">
        <v>112.01</v>
      </c>
      <c r="P323">
        <v>113.48</v>
      </c>
      <c r="Q323">
        <v>3.44</v>
      </c>
      <c r="R323">
        <v>3.54</v>
      </c>
      <c r="S323">
        <f t="shared" si="204"/>
        <v>1.556746478158556</v>
      </c>
      <c r="T323">
        <f t="shared" si="205"/>
        <v>1.6375430107088671</v>
      </c>
      <c r="U323">
        <f t="shared" si="213"/>
        <v>0</v>
      </c>
      <c r="V323">
        <f t="shared" si="206"/>
        <v>7.9113847942723581E-2</v>
      </c>
      <c r="W323" t="str">
        <f t="shared" si="214"/>
        <v/>
      </c>
      <c r="X323">
        <f t="shared" si="207"/>
        <v>1.1747198221832407</v>
      </c>
      <c r="Y323" t="str">
        <f t="shared" si="215"/>
        <v/>
      </c>
      <c r="Z323">
        <f t="shared" si="208"/>
        <v>1.5025596484627937</v>
      </c>
      <c r="AA323">
        <f t="shared" si="209"/>
        <v>0.8931061036389808</v>
      </c>
      <c r="AB323">
        <f t="shared" si="210"/>
        <v>1.3166067478272863</v>
      </c>
      <c r="AC323">
        <f t="shared" si="211"/>
        <v>2.5326577399740851</v>
      </c>
      <c r="AD323">
        <f t="shared" si="212"/>
        <v>1.9669752042918842</v>
      </c>
    </row>
    <row r="324" spans="1:30">
      <c r="A324" t="s">
        <v>233</v>
      </c>
      <c r="B324" t="s">
        <v>37</v>
      </c>
      <c r="C324" t="s">
        <v>38</v>
      </c>
      <c r="D324" t="s">
        <v>39</v>
      </c>
      <c r="E324" s="2">
        <v>46097</v>
      </c>
      <c r="F324" t="s">
        <v>40</v>
      </c>
      <c r="G324">
        <v>102.6</v>
      </c>
      <c r="H324">
        <v>75.2</v>
      </c>
      <c r="I324">
        <v>-1957.8</v>
      </c>
      <c r="J324">
        <v>69.099999999999994</v>
      </c>
      <c r="K324">
        <v>0</v>
      </c>
      <c r="L324">
        <v>1.5</v>
      </c>
      <c r="M324">
        <v>0</v>
      </c>
      <c r="N324">
        <v>67.599999999999994</v>
      </c>
      <c r="O324">
        <v>115.38</v>
      </c>
      <c r="P324">
        <v>115.31</v>
      </c>
      <c r="Q324">
        <v>3.56</v>
      </c>
      <c r="R324">
        <v>3.59</v>
      </c>
      <c r="S324">
        <f t="shared" si="204"/>
        <v>1.9979857427571082</v>
      </c>
      <c r="T324">
        <f t="shared" si="205"/>
        <v>1.9565018157615968</v>
      </c>
      <c r="U324">
        <f t="shared" si="213"/>
        <v>0</v>
      </c>
      <c r="V324">
        <f t="shared" si="206"/>
        <v>0.13001745200698331</v>
      </c>
      <c r="W324" t="str">
        <f t="shared" si="214"/>
        <v/>
      </c>
      <c r="X324">
        <f t="shared" si="207"/>
        <v>3.1938592650630988E-2</v>
      </c>
      <c r="Y324" t="str">
        <f t="shared" si="215"/>
        <v/>
      </c>
      <c r="Z324">
        <f t="shared" si="208"/>
        <v>0.95601549270500175</v>
      </c>
      <c r="AA324">
        <f t="shared" si="209"/>
        <v>1.1092753636966459</v>
      </c>
      <c r="AB324">
        <f t="shared" si="210"/>
        <v>3.9394365429391608E-3</v>
      </c>
      <c r="AC324">
        <f t="shared" si="211"/>
        <v>1.7352360700402041</v>
      </c>
      <c r="AD324">
        <f t="shared" si="212"/>
        <v>1.6480183208833845</v>
      </c>
    </row>
    <row r="325" spans="1:30">
      <c r="A325" t="s">
        <v>234</v>
      </c>
      <c r="B325" t="s">
        <v>37</v>
      </c>
      <c r="C325" t="s">
        <v>38</v>
      </c>
      <c r="D325" t="s">
        <v>39</v>
      </c>
      <c r="E325" s="2">
        <v>46097</v>
      </c>
      <c r="F325" t="s">
        <v>40</v>
      </c>
      <c r="G325">
        <v>107.9</v>
      </c>
      <c r="H325">
        <v>80.7</v>
      </c>
      <c r="I325">
        <v>-1957.8</v>
      </c>
      <c r="J325">
        <v>69.099999999999994</v>
      </c>
      <c r="K325">
        <v>0</v>
      </c>
      <c r="L325">
        <v>0.5</v>
      </c>
      <c r="M325">
        <v>0</v>
      </c>
      <c r="N325">
        <v>68.599999999999994</v>
      </c>
      <c r="O325">
        <v>111.94</v>
      </c>
      <c r="P325">
        <v>116.48</v>
      </c>
      <c r="Q325">
        <v>3.78</v>
      </c>
      <c r="R325">
        <v>3.76</v>
      </c>
      <c r="S325">
        <f t="shared" si="204"/>
        <v>0.93500024167877716</v>
      </c>
      <c r="T325">
        <f t="shared" si="205"/>
        <v>7.309118217118795E-3</v>
      </c>
      <c r="U325">
        <f t="shared" si="213"/>
        <v>0</v>
      </c>
      <c r="V325">
        <f t="shared" si="206"/>
        <v>0.13001745200698331</v>
      </c>
      <c r="W325" t="str">
        <f t="shared" si="214"/>
        <v/>
      </c>
      <c r="X325">
        <f t="shared" si="207"/>
        <v>0.68229967580725004</v>
      </c>
      <c r="Y325" t="str">
        <f t="shared" si="215"/>
        <v/>
      </c>
      <c r="Z325">
        <f t="shared" si="208"/>
        <v>0.50056202957350415</v>
      </c>
      <c r="AA325">
        <f t="shared" si="209"/>
        <v>0.93469859702577884</v>
      </c>
      <c r="AB325">
        <f t="shared" si="210"/>
        <v>0.83530687722902242</v>
      </c>
      <c r="AC325">
        <f t="shared" si="211"/>
        <v>0.27329634182809154</v>
      </c>
      <c r="AD325">
        <f t="shared" si="212"/>
        <v>0.56356491729448221</v>
      </c>
    </row>
    <row r="326" spans="1:30">
      <c r="A326" t="s">
        <v>234</v>
      </c>
      <c r="B326" t="s">
        <v>37</v>
      </c>
      <c r="C326" t="s">
        <v>38</v>
      </c>
      <c r="D326" t="s">
        <v>39</v>
      </c>
      <c r="E326" s="2">
        <v>46097</v>
      </c>
      <c r="F326" t="s">
        <v>40</v>
      </c>
      <c r="G326">
        <v>111.1</v>
      </c>
      <c r="H326">
        <v>82</v>
      </c>
      <c r="I326">
        <v>-1957.8</v>
      </c>
      <c r="J326">
        <v>68.599999999999994</v>
      </c>
      <c r="K326">
        <v>0</v>
      </c>
      <c r="L326">
        <v>2</v>
      </c>
      <c r="M326">
        <v>0</v>
      </c>
      <c r="N326">
        <v>66.599999999999994</v>
      </c>
      <c r="O326">
        <v>115.46</v>
      </c>
      <c r="P326">
        <v>115.46</v>
      </c>
      <c r="Q326">
        <v>3.76</v>
      </c>
      <c r="R326">
        <v>3.83</v>
      </c>
      <c r="S326">
        <f t="shared" si="204"/>
        <v>0.29319767498997729</v>
      </c>
      <c r="T326">
        <f t="shared" si="205"/>
        <v>0.45340915574793861</v>
      </c>
      <c r="U326">
        <f t="shared" si="213"/>
        <v>0</v>
      </c>
      <c r="V326">
        <f t="shared" si="206"/>
        <v>0.39143157694411324</v>
      </c>
      <c r="W326" t="str">
        <f t="shared" si="214"/>
        <v/>
      </c>
      <c r="X326">
        <f t="shared" si="207"/>
        <v>0.38905772687957146</v>
      </c>
      <c r="Y326" t="str">
        <f t="shared" si="215"/>
        <v/>
      </c>
      <c r="Z326">
        <f t="shared" si="208"/>
        <v>1.4114689558364995</v>
      </c>
      <c r="AA326">
        <f t="shared" si="209"/>
        <v>1.1568096418529803</v>
      </c>
      <c r="AB326">
        <f t="shared" si="210"/>
        <v>0.10365624470987016</v>
      </c>
      <c r="AC326">
        <f t="shared" si="211"/>
        <v>0.40619995348373839</v>
      </c>
      <c r="AD326">
        <f t="shared" si="212"/>
        <v>0.11702528052257931</v>
      </c>
    </row>
    <row r="327" spans="1:30">
      <c r="A327" t="s">
        <v>235</v>
      </c>
      <c r="B327" t="s">
        <v>37</v>
      </c>
      <c r="C327" t="s">
        <v>38</v>
      </c>
      <c r="D327" t="s">
        <v>39</v>
      </c>
      <c r="E327" s="2">
        <v>46097</v>
      </c>
      <c r="F327" t="s">
        <v>40</v>
      </c>
      <c r="G327">
        <v>112.9</v>
      </c>
      <c r="H327">
        <v>83.8</v>
      </c>
      <c r="I327">
        <v>-1957.8</v>
      </c>
      <c r="J327">
        <v>71.3</v>
      </c>
      <c r="K327">
        <v>0</v>
      </c>
      <c r="L327">
        <v>0.2</v>
      </c>
      <c r="M327">
        <v>0</v>
      </c>
      <c r="N327">
        <v>71.099999999999994</v>
      </c>
      <c r="O327">
        <v>115.16</v>
      </c>
      <c r="P327">
        <v>115.24</v>
      </c>
      <c r="Q327">
        <v>3.52</v>
      </c>
      <c r="R327">
        <v>3.64</v>
      </c>
      <c r="S327">
        <f t="shared" si="204"/>
        <v>6.7816268772476221E-2</v>
      </c>
      <c r="T327">
        <f t="shared" si="205"/>
        <v>1.0913267658534032</v>
      </c>
      <c r="U327">
        <f t="shared" si="213"/>
        <v>0</v>
      </c>
      <c r="V327">
        <f t="shared" si="206"/>
        <v>1.0202046977163897</v>
      </c>
      <c r="W327" t="str">
        <f t="shared" si="214"/>
        <v/>
      </c>
      <c r="X327">
        <f t="shared" si="207"/>
        <v>0.89657115634461437</v>
      </c>
      <c r="Y327" t="str">
        <f t="shared" si="215"/>
        <v/>
      </c>
      <c r="Z327">
        <f t="shared" si="208"/>
        <v>0.63807162825523989</v>
      </c>
      <c r="AA327">
        <f t="shared" si="209"/>
        <v>0.978556098766724</v>
      </c>
      <c r="AB327">
        <f t="shared" si="210"/>
        <v>5.4150754460924995E-2</v>
      </c>
      <c r="AC327">
        <f t="shared" si="211"/>
        <v>2.0010432933514979</v>
      </c>
      <c r="AD327">
        <f t="shared" si="212"/>
        <v>1.3290614374748821</v>
      </c>
    </row>
    <row r="328" spans="1:30">
      <c r="A328" t="s">
        <v>236</v>
      </c>
      <c r="B328" t="s">
        <v>37</v>
      </c>
      <c r="C328" t="s">
        <v>38</v>
      </c>
      <c r="D328" t="s">
        <v>39</v>
      </c>
      <c r="E328" s="2">
        <v>46097</v>
      </c>
      <c r="F328" t="s">
        <v>40</v>
      </c>
      <c r="G328">
        <v>107.9</v>
      </c>
      <c r="H328">
        <v>76.599999999999994</v>
      </c>
      <c r="I328">
        <v>-1957.8</v>
      </c>
      <c r="J328">
        <v>70.8</v>
      </c>
      <c r="K328">
        <v>0</v>
      </c>
      <c r="L328">
        <v>0.7</v>
      </c>
      <c r="M328">
        <v>0</v>
      </c>
      <c r="N328">
        <v>70.099999999999994</v>
      </c>
      <c r="O328">
        <v>112.3</v>
      </c>
      <c r="P328">
        <v>116.85</v>
      </c>
      <c r="Q328">
        <v>3.37</v>
      </c>
      <c r="R328">
        <v>3.3</v>
      </c>
      <c r="S328">
        <f t="shared" si="204"/>
        <v>0.93500024167877716</v>
      </c>
      <c r="T328">
        <f t="shared" si="205"/>
        <v>1.4603436745684599</v>
      </c>
      <c r="U328">
        <f t="shared" si="213"/>
        <v>0</v>
      </c>
      <c r="V328">
        <f t="shared" si="206"/>
        <v>0.75879057277925988</v>
      </c>
      <c r="W328" t="str">
        <f t="shared" si="214"/>
        <v/>
      </c>
      <c r="X328">
        <f t="shared" si="207"/>
        <v>0.53945202211567389</v>
      </c>
      <c r="Y328" t="str">
        <f t="shared" si="215"/>
        <v/>
      </c>
      <c r="Z328">
        <f t="shared" si="208"/>
        <v>0.18261816512374229</v>
      </c>
      <c r="AA328">
        <f t="shared" si="209"/>
        <v>0.72079434532226938</v>
      </c>
      <c r="AB328">
        <f t="shared" si="210"/>
        <v>1.1007095576526269</v>
      </c>
      <c r="AC328">
        <f t="shared" si="211"/>
        <v>2.9978203807688475</v>
      </c>
      <c r="AD328">
        <f t="shared" si="212"/>
        <v>3.4979682446526894</v>
      </c>
    </row>
    <row r="329" spans="1:30">
      <c r="A329" t="s">
        <v>237</v>
      </c>
      <c r="B329" t="s">
        <v>37</v>
      </c>
      <c r="C329" t="s">
        <v>38</v>
      </c>
      <c r="D329" t="s">
        <v>39</v>
      </c>
      <c r="E329" s="2">
        <v>46097</v>
      </c>
      <c r="F329" t="s">
        <v>34</v>
      </c>
      <c r="G329">
        <v>103.9</v>
      </c>
      <c r="H329">
        <v>77.900000000000006</v>
      </c>
      <c r="I329">
        <v>-1957.8</v>
      </c>
      <c r="J329">
        <v>70.400000000000006</v>
      </c>
      <c r="K329">
        <v>0</v>
      </c>
      <c r="L329">
        <v>5.5</v>
      </c>
      <c r="M329">
        <v>0</v>
      </c>
      <c r="N329">
        <v>64.900000000000006</v>
      </c>
      <c r="O329">
        <v>112.38</v>
      </c>
      <c r="P329">
        <v>116.56</v>
      </c>
      <c r="Q329">
        <v>3.56</v>
      </c>
      <c r="R329">
        <v>3.66</v>
      </c>
      <c r="S329">
        <f t="shared" si="204"/>
        <v>1.7372534500397798</v>
      </c>
      <c r="T329">
        <f t="shared" si="205"/>
        <v>0.99962540060339755</v>
      </c>
      <c r="U329">
        <f t="shared" si="213"/>
        <v>0</v>
      </c>
      <c r="V329">
        <f t="shared" si="206"/>
        <v>0.5496592728295604</v>
      </c>
      <c r="W329" t="str">
        <f t="shared" si="214"/>
        <v/>
      </c>
      <c r="X329">
        <f t="shared" si="207"/>
        <v>2.8888916664821553</v>
      </c>
      <c r="Y329" t="str">
        <f t="shared" si="215"/>
        <v/>
      </c>
      <c r="Z329">
        <f t="shared" si="208"/>
        <v>2.1857398431600403</v>
      </c>
      <c r="AA329">
        <f t="shared" si="209"/>
        <v>0.67326006716593501</v>
      </c>
      <c r="AB329">
        <f t="shared" si="210"/>
        <v>0.89269124056385607</v>
      </c>
      <c r="AC329">
        <f t="shared" si="211"/>
        <v>1.7352360700402041</v>
      </c>
      <c r="AD329">
        <f t="shared" si="212"/>
        <v>1.2014786841114817</v>
      </c>
    </row>
    <row r="330" spans="1:30">
      <c r="A330" t="s">
        <v>237</v>
      </c>
      <c r="B330" t="s">
        <v>37</v>
      </c>
      <c r="C330" t="s">
        <v>38</v>
      </c>
      <c r="D330" t="s">
        <v>39</v>
      </c>
      <c r="E330" s="2">
        <v>46097</v>
      </c>
      <c r="F330" t="s">
        <v>40</v>
      </c>
      <c r="G330">
        <v>109.3</v>
      </c>
      <c r="H330">
        <v>81.099999999999994</v>
      </c>
      <c r="I330">
        <v>-1957.8</v>
      </c>
      <c r="J330">
        <v>70.400000000000006</v>
      </c>
      <c r="K330">
        <v>0</v>
      </c>
      <c r="L330">
        <v>2.8</v>
      </c>
      <c r="M330">
        <v>0</v>
      </c>
      <c r="N330">
        <v>67.599999999999994</v>
      </c>
      <c r="O330">
        <v>115.46</v>
      </c>
      <c r="P330">
        <v>115.53</v>
      </c>
      <c r="Q330">
        <v>3.71</v>
      </c>
      <c r="R330">
        <v>3.78</v>
      </c>
      <c r="S330">
        <f t="shared" si="204"/>
        <v>0.65421161875242795</v>
      </c>
      <c r="T330">
        <f t="shared" si="205"/>
        <v>0.13445035069520386</v>
      </c>
      <c r="U330">
        <f t="shared" si="213"/>
        <v>0</v>
      </c>
      <c r="V330">
        <f t="shared" si="206"/>
        <v>0.5496592728295604</v>
      </c>
      <c r="W330" t="str">
        <f t="shared" si="214"/>
        <v/>
      </c>
      <c r="X330">
        <f t="shared" si="207"/>
        <v>0.96044834164587611</v>
      </c>
      <c r="Y330" t="str">
        <f t="shared" si="215"/>
        <v/>
      </c>
      <c r="Z330">
        <f t="shared" si="208"/>
        <v>0.95601549270500175</v>
      </c>
      <c r="AA330">
        <f t="shared" si="209"/>
        <v>1.1568096418529803</v>
      </c>
      <c r="AB330">
        <f t="shared" si="210"/>
        <v>0.15386756262785597</v>
      </c>
      <c r="AC330">
        <f t="shared" si="211"/>
        <v>0.73845898262285403</v>
      </c>
      <c r="AD330">
        <f t="shared" si="212"/>
        <v>0.4359821639310818</v>
      </c>
    </row>
    <row r="331" spans="1:30">
      <c r="A331" t="s">
        <v>238</v>
      </c>
      <c r="B331" t="s">
        <v>37</v>
      </c>
      <c r="C331" t="s">
        <v>38</v>
      </c>
      <c r="D331" t="s">
        <v>39</v>
      </c>
      <c r="E331" s="2">
        <v>46097</v>
      </c>
      <c r="F331" t="s">
        <v>40</v>
      </c>
      <c r="G331">
        <v>111.1</v>
      </c>
      <c r="H331">
        <v>83.4</v>
      </c>
      <c r="I331">
        <v>-1957.8</v>
      </c>
      <c r="J331">
        <v>71.3</v>
      </c>
      <c r="K331">
        <v>0</v>
      </c>
      <c r="L331">
        <v>0.2</v>
      </c>
      <c r="M331">
        <v>0</v>
      </c>
      <c r="N331">
        <v>71.5</v>
      </c>
      <c r="O331">
        <v>112.16</v>
      </c>
      <c r="P331">
        <v>116.48</v>
      </c>
      <c r="Q331">
        <v>3.78</v>
      </c>
      <c r="R331">
        <v>3.78</v>
      </c>
      <c r="S331">
        <f t="shared" si="204"/>
        <v>0.29319767498997729</v>
      </c>
      <c r="T331">
        <f t="shared" si="205"/>
        <v>0.94956729694108055</v>
      </c>
      <c r="U331">
        <f t="shared" si="213"/>
        <v>0</v>
      </c>
      <c r="V331">
        <f t="shared" si="206"/>
        <v>1.0202046977163897</v>
      </c>
      <c r="W331" t="str">
        <f t="shared" si="214"/>
        <v/>
      </c>
      <c r="X331">
        <f t="shared" si="207"/>
        <v>0.89657115634461437</v>
      </c>
      <c r="Y331" t="str">
        <f t="shared" si="215"/>
        <v/>
      </c>
      <c r="Z331">
        <f t="shared" si="208"/>
        <v>0.82025301350784152</v>
      </c>
      <c r="AA331">
        <f t="shared" si="209"/>
        <v>0.80397933209585692</v>
      </c>
      <c r="AB331">
        <f t="shared" si="210"/>
        <v>0.83530687722902242</v>
      </c>
      <c r="AC331">
        <f t="shared" si="211"/>
        <v>0.27329634182809154</v>
      </c>
      <c r="AD331">
        <f t="shared" si="212"/>
        <v>0.4359821639310818</v>
      </c>
    </row>
    <row r="332" spans="1:30">
      <c r="A332" t="s">
        <v>239</v>
      </c>
      <c r="B332" t="s">
        <v>37</v>
      </c>
      <c r="C332" t="s">
        <v>38</v>
      </c>
      <c r="D332" t="s">
        <v>39</v>
      </c>
      <c r="E332" s="2">
        <v>46097</v>
      </c>
      <c r="F332" t="s">
        <v>40</v>
      </c>
      <c r="G332">
        <v>114.6</v>
      </c>
      <c r="H332">
        <v>84.7</v>
      </c>
      <c r="I332">
        <v>-1957.8</v>
      </c>
      <c r="J332">
        <v>71.7</v>
      </c>
      <c r="K332">
        <v>0</v>
      </c>
      <c r="L332">
        <v>1.3</v>
      </c>
      <c r="M332">
        <v>0</v>
      </c>
      <c r="N332">
        <v>73</v>
      </c>
      <c r="O332">
        <v>114.87</v>
      </c>
      <c r="P332">
        <v>114.94</v>
      </c>
      <c r="Q332">
        <v>3.71</v>
      </c>
      <c r="R332">
        <v>3.76</v>
      </c>
      <c r="S332">
        <f t="shared" si="204"/>
        <v>0.40877388232590012</v>
      </c>
      <c r="T332">
        <f t="shared" si="205"/>
        <v>1.4102855709061379</v>
      </c>
      <c r="U332">
        <f t="shared" si="213"/>
        <v>0</v>
      </c>
      <c r="V332">
        <f t="shared" si="206"/>
        <v>1.2293359976660967</v>
      </c>
      <c r="W332" t="str">
        <f t="shared" si="214"/>
        <v/>
      </c>
      <c r="X332">
        <f t="shared" si="207"/>
        <v>0.11090906104094518</v>
      </c>
      <c r="Y332" t="str">
        <f t="shared" si="215"/>
        <v/>
      </c>
      <c r="Z332">
        <f t="shared" si="208"/>
        <v>1.5034332082050881</v>
      </c>
      <c r="AA332">
        <f t="shared" si="209"/>
        <v>0.80624434045001259</v>
      </c>
      <c r="AB332">
        <f t="shared" si="210"/>
        <v>0.2693421169665538</v>
      </c>
      <c r="AC332">
        <f t="shared" si="211"/>
        <v>0.73845898262285403</v>
      </c>
      <c r="AD332">
        <f t="shared" si="212"/>
        <v>0.56356491729448221</v>
      </c>
    </row>
    <row r="333" spans="1:30">
      <c r="A333" t="s">
        <v>240</v>
      </c>
      <c r="B333" t="s">
        <v>37</v>
      </c>
      <c r="C333" t="s">
        <v>38</v>
      </c>
      <c r="D333" t="s">
        <v>39</v>
      </c>
      <c r="E333" s="2">
        <v>46097</v>
      </c>
      <c r="F333" t="s">
        <v>40</v>
      </c>
      <c r="G333">
        <v>109.7</v>
      </c>
      <c r="H333">
        <v>86.5</v>
      </c>
      <c r="I333">
        <v>-1957.8</v>
      </c>
      <c r="J333">
        <v>75.8</v>
      </c>
      <c r="K333">
        <v>0</v>
      </c>
      <c r="L333">
        <v>2.2999999999999998</v>
      </c>
      <c r="M333">
        <v>0</v>
      </c>
      <c r="N333">
        <v>73.5</v>
      </c>
      <c r="O333">
        <v>112.45</v>
      </c>
      <c r="P333">
        <v>116.63</v>
      </c>
      <c r="Q333">
        <v>3.91</v>
      </c>
      <c r="R333">
        <v>3.88</v>
      </c>
      <c r="S333">
        <f t="shared" si="204"/>
        <v>0.57398629791632649</v>
      </c>
      <c r="T333">
        <f t="shared" si="205"/>
        <v>2.0482031810116026</v>
      </c>
      <c r="U333">
        <f t="shared" si="213"/>
        <v>0</v>
      </c>
      <c r="V333">
        <f t="shared" si="206"/>
        <v>3.3729318221505591</v>
      </c>
      <c r="W333" t="str">
        <f t="shared" si="214"/>
        <v/>
      </c>
      <c r="X333">
        <f t="shared" si="207"/>
        <v>0.60332920741693563</v>
      </c>
      <c r="Y333" t="str">
        <f t="shared" si="215"/>
        <v/>
      </c>
      <c r="Z333">
        <f t="shared" si="208"/>
        <v>1.7311599397708368</v>
      </c>
      <c r="AA333">
        <f t="shared" si="209"/>
        <v>0.63166757377913696</v>
      </c>
      <c r="AB333">
        <f t="shared" si="210"/>
        <v>0.94290255848183169</v>
      </c>
      <c r="AC333">
        <f t="shared" si="211"/>
        <v>0.59057713393361444</v>
      </c>
      <c r="AD333">
        <f t="shared" si="212"/>
        <v>0.20193160288592038</v>
      </c>
    </row>
    <row r="334" spans="1:30">
      <c r="A334" t="s">
        <v>241</v>
      </c>
      <c r="B334" t="s">
        <v>37</v>
      </c>
      <c r="C334" t="s">
        <v>38</v>
      </c>
      <c r="D334" t="s">
        <v>39</v>
      </c>
      <c r="E334" s="2">
        <v>46097</v>
      </c>
      <c r="F334" t="s">
        <v>40</v>
      </c>
      <c r="G334">
        <v>112.9</v>
      </c>
      <c r="H334">
        <v>86.1</v>
      </c>
      <c r="I334">
        <v>-1957.8</v>
      </c>
      <c r="J334">
        <v>74.900000000000006</v>
      </c>
      <c r="K334">
        <v>0</v>
      </c>
      <c r="L334">
        <v>0.7</v>
      </c>
      <c r="M334">
        <v>0</v>
      </c>
      <c r="N334">
        <v>74.2</v>
      </c>
      <c r="O334">
        <v>115.31</v>
      </c>
      <c r="P334">
        <v>115.16</v>
      </c>
      <c r="Q334">
        <v>3.76</v>
      </c>
      <c r="R334">
        <v>3.86</v>
      </c>
      <c r="S334">
        <f t="shared" si="204"/>
        <v>6.7816268772476221E-2</v>
      </c>
      <c r="T334">
        <f t="shared" si="205"/>
        <v>1.9064437120992748</v>
      </c>
      <c r="U334">
        <f t="shared" si="213"/>
        <v>0</v>
      </c>
      <c r="V334">
        <f t="shared" si="206"/>
        <v>2.9023863972637294</v>
      </c>
      <c r="W334" t="str">
        <f t="shared" si="214"/>
        <v/>
      </c>
      <c r="X334">
        <f t="shared" si="207"/>
        <v>0.53945202211567389</v>
      </c>
      <c r="Y334" t="str">
        <f t="shared" si="215"/>
        <v/>
      </c>
      <c r="Z334">
        <f t="shared" si="208"/>
        <v>2.0499773639628862</v>
      </c>
      <c r="AA334">
        <f t="shared" si="209"/>
        <v>1.0676828703098564</v>
      </c>
      <c r="AB334">
        <f t="shared" si="210"/>
        <v>0.11153511779575867</v>
      </c>
      <c r="AC334">
        <f t="shared" si="211"/>
        <v>0.40619995348373839</v>
      </c>
      <c r="AD334">
        <f t="shared" si="212"/>
        <v>7.4348849522519939E-2</v>
      </c>
    </row>
    <row r="335" spans="1:30">
      <c r="A335" t="s">
        <v>242</v>
      </c>
      <c r="B335" t="s">
        <v>37</v>
      </c>
      <c r="C335" t="s">
        <v>38</v>
      </c>
      <c r="D335" t="s">
        <v>39</v>
      </c>
      <c r="E335" s="2">
        <v>46097</v>
      </c>
      <c r="F335" t="s">
        <v>40</v>
      </c>
      <c r="G335">
        <v>112.4</v>
      </c>
      <c r="H335">
        <v>82</v>
      </c>
      <c r="I335">
        <v>-1957.8</v>
      </c>
      <c r="J335">
        <v>75.8</v>
      </c>
      <c r="K335">
        <v>0</v>
      </c>
      <c r="L335">
        <v>3.3</v>
      </c>
      <c r="M335">
        <v>0</v>
      </c>
      <c r="N335">
        <v>72.5</v>
      </c>
      <c r="O335">
        <v>111.94</v>
      </c>
      <c r="P335">
        <v>116.48</v>
      </c>
      <c r="Q335">
        <v>3.78</v>
      </c>
      <c r="R335">
        <v>3.74</v>
      </c>
      <c r="S335">
        <f t="shared" si="204"/>
        <v>3.246538227264912E-2</v>
      </c>
      <c r="T335">
        <f t="shared" si="205"/>
        <v>0.45340915574793861</v>
      </c>
      <c r="U335">
        <f t="shared" si="213"/>
        <v>0</v>
      </c>
      <c r="V335">
        <f t="shared" si="206"/>
        <v>3.3729318221505591</v>
      </c>
      <c r="W335" t="str">
        <f t="shared" si="214"/>
        <v/>
      </c>
      <c r="X335">
        <f t="shared" si="207"/>
        <v>1.3175674758748166</v>
      </c>
      <c r="Y335" t="str">
        <f t="shared" si="215"/>
        <v/>
      </c>
      <c r="Z335">
        <f t="shared" si="208"/>
        <v>1.2757064766393391</v>
      </c>
      <c r="AA335">
        <f t="shared" si="209"/>
        <v>0.93469859702577884</v>
      </c>
      <c r="AB335">
        <f t="shared" si="210"/>
        <v>0.83530687722902242</v>
      </c>
      <c r="AC335">
        <f t="shared" si="211"/>
        <v>0.27329634182809154</v>
      </c>
      <c r="AD335">
        <f t="shared" si="212"/>
        <v>0.69114767065787985</v>
      </c>
    </row>
    <row r="336" spans="1:30">
      <c r="A336" t="s">
        <v>243</v>
      </c>
      <c r="B336" t="s">
        <v>37</v>
      </c>
      <c r="C336" t="s">
        <v>38</v>
      </c>
      <c r="D336" t="s">
        <v>39</v>
      </c>
      <c r="E336" s="2">
        <v>46097</v>
      </c>
      <c r="F336" t="s">
        <v>40</v>
      </c>
      <c r="G336">
        <v>112.4</v>
      </c>
      <c r="H336">
        <v>83.4</v>
      </c>
      <c r="I336">
        <v>-1957.8</v>
      </c>
      <c r="J336">
        <v>70.400000000000006</v>
      </c>
      <c r="K336">
        <v>0</v>
      </c>
      <c r="L336">
        <v>1.5</v>
      </c>
      <c r="M336">
        <v>0</v>
      </c>
      <c r="N336">
        <v>68.900000000000006</v>
      </c>
      <c r="O336">
        <v>111.86</v>
      </c>
      <c r="P336">
        <v>113.4</v>
      </c>
      <c r="Q336">
        <v>3.96</v>
      </c>
      <c r="R336">
        <v>4</v>
      </c>
      <c r="S336">
        <f t="shared" si="204"/>
        <v>3.246538227264912E-2</v>
      </c>
      <c r="T336">
        <f t="shared" si="205"/>
        <v>0.94956729694108055</v>
      </c>
      <c r="U336">
        <f t="shared" si="213"/>
        <v>0</v>
      </c>
      <c r="V336">
        <f t="shared" si="206"/>
        <v>0.5496592728295604</v>
      </c>
      <c r="W336" t="str">
        <f t="shared" si="214"/>
        <v/>
      </c>
      <c r="X336">
        <f t="shared" si="207"/>
        <v>3.1938592650630988E-2</v>
      </c>
      <c r="Y336" t="str">
        <f t="shared" si="215"/>
        <v/>
      </c>
      <c r="Z336">
        <f t="shared" si="208"/>
        <v>0.36392599063404968</v>
      </c>
      <c r="AA336">
        <f t="shared" si="209"/>
        <v>0.98223287518211322</v>
      </c>
      <c r="AB336">
        <f t="shared" si="210"/>
        <v>1.3739911111621199</v>
      </c>
      <c r="AC336">
        <f t="shared" si="211"/>
        <v>0.92283616307273009</v>
      </c>
      <c r="AD336">
        <f t="shared" si="212"/>
        <v>0.96742812306632298</v>
      </c>
    </row>
    <row r="337" spans="1:30">
      <c r="A337" t="s">
        <v>244</v>
      </c>
      <c r="B337" t="s">
        <v>37</v>
      </c>
      <c r="C337" t="s">
        <v>38</v>
      </c>
      <c r="D337" t="s">
        <v>39</v>
      </c>
      <c r="E337" s="2">
        <v>46097</v>
      </c>
      <c r="F337" t="s">
        <v>40</v>
      </c>
      <c r="G337">
        <v>112.9</v>
      </c>
      <c r="H337">
        <v>82</v>
      </c>
      <c r="I337">
        <v>-1957.8</v>
      </c>
      <c r="J337">
        <v>68.2</v>
      </c>
      <c r="K337">
        <v>0</v>
      </c>
      <c r="L337">
        <v>0.2</v>
      </c>
      <c r="M337">
        <v>0</v>
      </c>
      <c r="N337">
        <v>68</v>
      </c>
      <c r="O337">
        <v>115.31</v>
      </c>
      <c r="P337">
        <v>114.94</v>
      </c>
      <c r="Q337">
        <v>3.66</v>
      </c>
      <c r="R337">
        <v>3.78</v>
      </c>
      <c r="S337">
        <f t="shared" si="204"/>
        <v>6.7816268772476221E-2</v>
      </c>
      <c r="T337">
        <f t="shared" si="205"/>
        <v>0.45340915574793861</v>
      </c>
      <c r="U337">
        <f t="shared" si="213"/>
        <v>0</v>
      </c>
      <c r="V337">
        <f t="shared" si="206"/>
        <v>0.60056287689381271</v>
      </c>
      <c r="W337" t="str">
        <f t="shared" si="214"/>
        <v/>
      </c>
      <c r="X337">
        <f t="shared" si="207"/>
        <v>0.89657115634461437</v>
      </c>
      <c r="Y337" t="str">
        <f t="shared" si="215"/>
        <v/>
      </c>
      <c r="Z337">
        <f t="shared" si="208"/>
        <v>0.77383410745240011</v>
      </c>
      <c r="AA337">
        <f t="shared" si="209"/>
        <v>1.0676828703098564</v>
      </c>
      <c r="AB337">
        <f t="shared" si="210"/>
        <v>0.2693421169665538</v>
      </c>
      <c r="AC337">
        <f t="shared" si="211"/>
        <v>1.0707180117619697</v>
      </c>
      <c r="AD337">
        <f t="shared" si="212"/>
        <v>0.4359821639310818</v>
      </c>
    </row>
    <row r="338" spans="1:30">
      <c r="A338" t="s">
        <v>245</v>
      </c>
      <c r="B338" t="s">
        <v>37</v>
      </c>
      <c r="C338" t="s">
        <v>38</v>
      </c>
      <c r="D338" t="s">
        <v>39</v>
      </c>
      <c r="E338" s="2">
        <v>46097</v>
      </c>
      <c r="F338" t="s">
        <v>40</v>
      </c>
      <c r="G338">
        <v>112</v>
      </c>
      <c r="H338">
        <v>80.2</v>
      </c>
      <c r="I338">
        <v>-1957.8</v>
      </c>
      <c r="J338">
        <v>70</v>
      </c>
      <c r="K338">
        <v>0</v>
      </c>
      <c r="L338">
        <v>0</v>
      </c>
      <c r="M338">
        <v>0</v>
      </c>
      <c r="N338">
        <v>70</v>
      </c>
      <c r="O338">
        <v>112.23</v>
      </c>
      <c r="P338">
        <v>116.92</v>
      </c>
      <c r="Q338">
        <v>3.76</v>
      </c>
      <c r="R338">
        <v>3.66</v>
      </c>
      <c r="S338">
        <f t="shared" si="204"/>
        <v>0.11269070310875053</v>
      </c>
      <c r="T338">
        <f t="shared" si="205"/>
        <v>0.18450845435752589</v>
      </c>
      <c r="U338">
        <f t="shared" si="213"/>
        <v>0</v>
      </c>
      <c r="V338">
        <f t="shared" si="206"/>
        <v>0.34052797287985348</v>
      </c>
      <c r="W338" t="str">
        <f t="shared" si="214"/>
        <v/>
      </c>
      <c r="X338" t="str">
        <f t="shared" si="207"/>
        <v/>
      </c>
      <c r="Y338" t="str">
        <f t="shared" si="215"/>
        <v/>
      </c>
      <c r="Z338">
        <f t="shared" si="208"/>
        <v>0.1370728188105951</v>
      </c>
      <c r="AA338">
        <f t="shared" si="209"/>
        <v>0.76238683870905888</v>
      </c>
      <c r="AB338">
        <f t="shared" si="210"/>
        <v>1.1509208755706126</v>
      </c>
      <c r="AC338">
        <f t="shared" si="211"/>
        <v>0.40619995348373839</v>
      </c>
      <c r="AD338">
        <f t="shared" si="212"/>
        <v>1.2014786841114817</v>
      </c>
    </row>
    <row r="339" spans="1:30">
      <c r="A339" t="s">
        <v>246</v>
      </c>
      <c r="B339" t="s">
        <v>37</v>
      </c>
      <c r="C339" t="s">
        <v>38</v>
      </c>
      <c r="D339" t="s">
        <v>39</v>
      </c>
      <c r="E339" s="2">
        <v>46098</v>
      </c>
      <c r="F339" t="s">
        <v>40</v>
      </c>
      <c r="G339">
        <v>103</v>
      </c>
      <c r="H339">
        <v>76.099999999999994</v>
      </c>
      <c r="I339">
        <v>-1957.8</v>
      </c>
      <c r="J339">
        <v>70</v>
      </c>
      <c r="K339">
        <v>0</v>
      </c>
      <c r="L339">
        <v>2.5</v>
      </c>
      <c r="M339">
        <v>0</v>
      </c>
      <c r="N339">
        <v>67.5</v>
      </c>
      <c r="O339">
        <v>112.3</v>
      </c>
      <c r="P339">
        <v>116.85</v>
      </c>
      <c r="Q339">
        <v>3.59</v>
      </c>
      <c r="R339">
        <v>3.61</v>
      </c>
      <c r="S339">
        <f t="shared" si="204"/>
        <v>1.9177604219210067</v>
      </c>
      <c r="T339">
        <f t="shared" si="205"/>
        <v>1.6375430107088671</v>
      </c>
      <c r="U339">
        <f t="shared" si="213"/>
        <v>0</v>
      </c>
      <c r="V339">
        <f t="shared" si="206"/>
        <v>0.34052797287985348</v>
      </c>
      <c r="W339" t="str">
        <f t="shared" si="214"/>
        <v/>
      </c>
      <c r="X339">
        <f t="shared" si="207"/>
        <v>0.746176861108512</v>
      </c>
      <c r="Y339" t="str">
        <f t="shared" si="215"/>
        <v/>
      </c>
      <c r="Z339">
        <f t="shared" si="208"/>
        <v>1.001560839018149</v>
      </c>
      <c r="AA339">
        <f t="shared" si="209"/>
        <v>0.72079434532226938</v>
      </c>
      <c r="AB339">
        <f t="shared" si="210"/>
        <v>1.1007095576526269</v>
      </c>
      <c r="AC339">
        <f t="shared" si="211"/>
        <v>1.5358806525567352</v>
      </c>
      <c r="AD339">
        <f t="shared" si="212"/>
        <v>1.5204355675199841</v>
      </c>
    </row>
    <row r="340" spans="1:30">
      <c r="A340" t="s">
        <v>247</v>
      </c>
      <c r="B340" t="s">
        <v>37</v>
      </c>
      <c r="C340" t="s">
        <v>38</v>
      </c>
      <c r="D340" t="s">
        <v>39</v>
      </c>
      <c r="E340" s="2">
        <v>46098</v>
      </c>
      <c r="F340" t="s">
        <v>40</v>
      </c>
      <c r="G340">
        <v>105.3</v>
      </c>
      <c r="H340">
        <v>76.099999999999994</v>
      </c>
      <c r="I340">
        <v>-1957.8</v>
      </c>
      <c r="J340">
        <v>69.5</v>
      </c>
      <c r="K340">
        <v>0</v>
      </c>
      <c r="L340">
        <v>0.1</v>
      </c>
      <c r="M340">
        <v>0</v>
      </c>
      <c r="N340">
        <v>69.400000000000006</v>
      </c>
      <c r="O340">
        <v>111.79</v>
      </c>
      <c r="P340">
        <v>113.26</v>
      </c>
      <c r="Q340">
        <v>3.78</v>
      </c>
      <c r="R340">
        <v>3.81</v>
      </c>
      <c r="S340">
        <f t="shared" si="204"/>
        <v>1.4564648271134306</v>
      </c>
      <c r="T340">
        <f t="shared" si="205"/>
        <v>1.6375430107088671</v>
      </c>
      <c r="U340">
        <f t="shared" si="213"/>
        <v>0</v>
      </c>
      <c r="V340">
        <f t="shared" si="206"/>
        <v>7.9113847942723581E-2</v>
      </c>
      <c r="W340" t="str">
        <f t="shared" si="214"/>
        <v/>
      </c>
      <c r="X340">
        <f t="shared" si="207"/>
        <v>0.96799498319040234</v>
      </c>
      <c r="Y340" t="str">
        <f t="shared" si="215"/>
        <v/>
      </c>
      <c r="Z340">
        <f t="shared" si="208"/>
        <v>0.13619925906830088</v>
      </c>
      <c r="AA340">
        <f t="shared" si="209"/>
        <v>1.0238253685689027</v>
      </c>
      <c r="AB340">
        <f t="shared" si="210"/>
        <v>1.4744137469980814</v>
      </c>
      <c r="AC340">
        <f t="shared" si="211"/>
        <v>0.27329634182809154</v>
      </c>
      <c r="AD340">
        <f t="shared" si="212"/>
        <v>0.24460803388597974</v>
      </c>
    </row>
    <row r="341" spans="1:30">
      <c r="A341" t="s">
        <v>248</v>
      </c>
      <c r="B341" t="s">
        <v>37</v>
      </c>
      <c r="C341" t="s">
        <v>38</v>
      </c>
      <c r="D341" t="s">
        <v>39</v>
      </c>
      <c r="E341" s="2">
        <v>46098</v>
      </c>
      <c r="F341" t="s">
        <v>40</v>
      </c>
      <c r="G341">
        <v>105.3</v>
      </c>
      <c r="H341">
        <v>81.099999999999994</v>
      </c>
      <c r="I341">
        <v>-1957.8</v>
      </c>
      <c r="J341">
        <v>66.8</v>
      </c>
      <c r="K341">
        <v>0</v>
      </c>
      <c r="L341">
        <v>1.1000000000000001</v>
      </c>
      <c r="M341">
        <v>0</v>
      </c>
      <c r="N341">
        <v>65.7</v>
      </c>
      <c r="O341">
        <v>111.94</v>
      </c>
      <c r="P341">
        <v>113.11</v>
      </c>
      <c r="Q341">
        <v>3.64</v>
      </c>
      <c r="R341">
        <v>3.71</v>
      </c>
      <c r="S341">
        <f t="shared" si="204"/>
        <v>1.4564648271134306</v>
      </c>
      <c r="T341">
        <f t="shared" si="205"/>
        <v>0.13445035069520386</v>
      </c>
      <c r="U341">
        <f t="shared" si="213"/>
        <v>0</v>
      </c>
      <c r="V341">
        <f t="shared" si="206"/>
        <v>1.3325224267177793</v>
      </c>
      <c r="W341" t="str">
        <f t="shared" si="214"/>
        <v/>
      </c>
      <c r="X341">
        <f t="shared" si="207"/>
        <v>0.25375671473252137</v>
      </c>
      <c r="Y341" t="str">
        <f t="shared" si="215"/>
        <v/>
      </c>
      <c r="Z341">
        <f t="shared" si="208"/>
        <v>1.8213770726548433</v>
      </c>
      <c r="AA341">
        <f t="shared" si="209"/>
        <v>0.93469859702577884</v>
      </c>
      <c r="AB341">
        <f t="shared" si="210"/>
        <v>1.5820094282509007</v>
      </c>
      <c r="AC341">
        <f t="shared" si="211"/>
        <v>1.2036216234176165</v>
      </c>
      <c r="AD341">
        <f t="shared" si="212"/>
        <v>0.88252180070298192</v>
      </c>
    </row>
    <row r="342" spans="1:30">
      <c r="A342" t="s">
        <v>249</v>
      </c>
      <c r="B342" t="s">
        <v>31</v>
      </c>
      <c r="C342" t="s">
        <v>32</v>
      </c>
      <c r="D342" t="s">
        <v>33</v>
      </c>
      <c r="E342" s="2">
        <v>46098</v>
      </c>
      <c r="F342" t="s">
        <v>34</v>
      </c>
      <c r="G342">
        <v>144.1</v>
      </c>
      <c r="H342">
        <v>92.8</v>
      </c>
      <c r="I342">
        <v>-1957.8</v>
      </c>
      <c r="J342">
        <v>70</v>
      </c>
      <c r="K342">
        <v>0</v>
      </c>
      <c r="L342">
        <v>1.5</v>
      </c>
      <c r="M342">
        <v>0</v>
      </c>
      <c r="N342">
        <v>71.5</v>
      </c>
      <c r="O342">
        <v>111.79</v>
      </c>
      <c r="P342">
        <v>113.18</v>
      </c>
      <c r="Q342">
        <v>8.01</v>
      </c>
      <c r="R342">
        <v>7.71</v>
      </c>
      <c r="S342">
        <f t="shared" ref="S342:S373" si="216">IF(OR(G342=0,G342=""),"",ABS((G342-152.740594)/5.729485))</f>
        <v>1.508092612163221</v>
      </c>
      <c r="T342">
        <f t="shared" ref="T342:T373" si="217">IF(OR(H342=0,H342=""),"",ABS((H342-96.426733)/5.037499))</f>
        <v>0.71994714043615715</v>
      </c>
      <c r="U342">
        <f t="shared" si="213"/>
        <v>0</v>
      </c>
      <c r="V342">
        <f t="shared" ref="V342:V373" si="218">IF(OR(J342=0,J342=""),"",ABS((J342-69.40099)/2.222902))</f>
        <v>0.26947206849425076</v>
      </c>
      <c r="W342" t="str">
        <f t="shared" si="214"/>
        <v/>
      </c>
      <c r="X342">
        <f t="shared" ref="X342:X373" si="219">IF(OR(L342=0,L342=""),"",ABS((L342-1.849749)/1.393269))</f>
        <v>0.25102761921782518</v>
      </c>
      <c r="Y342" t="str">
        <f t="shared" si="215"/>
        <v/>
      </c>
      <c r="Z342">
        <f t="shared" ref="Z342:Z373" si="220">IF(OR(N342=0,N342=""),"",ABS((N342-69.231188)/2.519549))</f>
        <v>0.90048338016049578</v>
      </c>
      <c r="AA342">
        <f t="shared" ref="AA342:AA373" si="221">IF(OR(O342=0,O342=""),"",ABS((O342-113.18)/1.73698))</f>
        <v>0.80023949613697376</v>
      </c>
      <c r="AB342">
        <f t="shared" ref="AB342:AB373" si="222">IF(OR(P342=0,P342=""),"",ABS((P342-114.765594)/1.645198))</f>
        <v>0.96377092605266124</v>
      </c>
      <c r="AC342">
        <f t="shared" ref="AC342:AC373" si="223">IF(OR(Q342=0,Q342=""),"",ABS((Q342-8.040149)/0.55663))</f>
        <v>5.4163447891776871E-2</v>
      </c>
      <c r="AD342">
        <f t="shared" ref="AD342:AD373" si="224">IF(OR(R342=0,R342=""),"",ABS((R342-7.915297)/0.399795))</f>
        <v>0.51350567165672367</v>
      </c>
    </row>
    <row r="343" spans="1:30">
      <c r="A343" t="s">
        <v>249</v>
      </c>
      <c r="B343" t="s">
        <v>31</v>
      </c>
      <c r="C343" t="s">
        <v>32</v>
      </c>
      <c r="D343" t="s">
        <v>33</v>
      </c>
      <c r="E343" s="2">
        <v>46098</v>
      </c>
      <c r="F343" t="s">
        <v>40</v>
      </c>
      <c r="G343">
        <v>152.6</v>
      </c>
      <c r="H343">
        <v>98.7</v>
      </c>
      <c r="I343">
        <v>-1957.8</v>
      </c>
      <c r="J343">
        <v>70.400000000000006</v>
      </c>
      <c r="K343">
        <v>0</v>
      </c>
      <c r="L343">
        <v>0.8</v>
      </c>
      <c r="M343">
        <v>0</v>
      </c>
      <c r="N343">
        <v>71.2</v>
      </c>
      <c r="O343">
        <v>114.87</v>
      </c>
      <c r="P343">
        <v>114.72</v>
      </c>
      <c r="Q343">
        <v>7.67</v>
      </c>
      <c r="R343">
        <v>7.98</v>
      </c>
      <c r="S343">
        <f t="shared" si="216"/>
        <v>2.4538680178060157E-2</v>
      </c>
      <c r="T343">
        <f t="shared" si="217"/>
        <v>0.45126897295662072</v>
      </c>
      <c r="U343">
        <f t="shared" si="213"/>
        <v>0</v>
      </c>
      <c r="V343">
        <f t="shared" si="218"/>
        <v>0.44941702333256828</v>
      </c>
      <c r="W343" t="str">
        <f t="shared" si="214"/>
        <v/>
      </c>
      <c r="X343">
        <f t="shared" si="219"/>
        <v>0.75344316137084799</v>
      </c>
      <c r="Y343" t="str">
        <f t="shared" si="215"/>
        <v/>
      </c>
      <c r="Z343">
        <f t="shared" si="220"/>
        <v>0.78141445155462341</v>
      </c>
      <c r="AA343">
        <f t="shared" si="221"/>
        <v>0.97295305645430441</v>
      </c>
      <c r="AB343">
        <f t="shared" si="222"/>
        <v>2.7713381611206761E-2</v>
      </c>
      <c r="AC343">
        <f t="shared" si="223"/>
        <v>0.66498212457107886</v>
      </c>
      <c r="AD343">
        <f t="shared" si="224"/>
        <v>0.16184044322715546</v>
      </c>
    </row>
    <row r="344" spans="1:30">
      <c r="A344" t="s">
        <v>250</v>
      </c>
      <c r="B344" t="s">
        <v>31</v>
      </c>
      <c r="C344" t="s">
        <v>32</v>
      </c>
      <c r="D344" t="s">
        <v>33</v>
      </c>
      <c r="E344" s="2">
        <v>46098</v>
      </c>
      <c r="F344" t="s">
        <v>40</v>
      </c>
      <c r="G344">
        <v>150.80000000000001</v>
      </c>
      <c r="H344">
        <v>92.4</v>
      </c>
      <c r="I344">
        <v>-1957.8</v>
      </c>
      <c r="J344">
        <v>71.7</v>
      </c>
      <c r="K344">
        <v>0</v>
      </c>
      <c r="L344">
        <v>1.7</v>
      </c>
      <c r="M344">
        <v>0</v>
      </c>
      <c r="N344">
        <v>73.400000000000006</v>
      </c>
      <c r="O344">
        <v>111.5</v>
      </c>
      <c r="P344">
        <v>112.82</v>
      </c>
      <c r="Q344">
        <v>8.2799999999999994</v>
      </c>
      <c r="R344">
        <v>8.0299999999999994</v>
      </c>
      <c r="S344">
        <f t="shared" si="216"/>
        <v>0.33870304224550302</v>
      </c>
      <c r="T344">
        <f t="shared" si="217"/>
        <v>0.79935162270007254</v>
      </c>
      <c r="U344">
        <f t="shared" si="213"/>
        <v>0</v>
      </c>
      <c r="V344">
        <f t="shared" si="218"/>
        <v>1.0342381265570906</v>
      </c>
      <c r="W344" t="str">
        <f t="shared" si="214"/>
        <v/>
      </c>
      <c r="X344">
        <f t="shared" si="219"/>
        <v>0.10748032145981869</v>
      </c>
      <c r="Y344" t="str">
        <f t="shared" si="215"/>
        <v/>
      </c>
      <c r="Z344">
        <f t="shared" si="220"/>
        <v>1.6545865946643636</v>
      </c>
      <c r="AA344">
        <f t="shared" si="221"/>
        <v>0.96719593777706525</v>
      </c>
      <c r="AB344">
        <f t="shared" si="222"/>
        <v>1.1825895728052185</v>
      </c>
      <c r="AC344">
        <f t="shared" si="223"/>
        <v>0.43089844241237418</v>
      </c>
      <c r="AD344">
        <f t="shared" si="224"/>
        <v>0.28690453857601911</v>
      </c>
    </row>
    <row r="345" spans="1:30">
      <c r="A345" t="s">
        <v>251</v>
      </c>
      <c r="B345" t="s">
        <v>31</v>
      </c>
      <c r="C345" t="s">
        <v>32</v>
      </c>
      <c r="D345" t="s">
        <v>33</v>
      </c>
      <c r="E345" s="2">
        <v>46098</v>
      </c>
      <c r="F345" t="s">
        <v>40</v>
      </c>
      <c r="G345">
        <v>147.69999999999999</v>
      </c>
      <c r="H345">
        <v>91</v>
      </c>
      <c r="I345">
        <v>-1957.8</v>
      </c>
      <c r="J345">
        <v>67.7</v>
      </c>
      <c r="K345">
        <v>0</v>
      </c>
      <c r="L345">
        <v>0.9</v>
      </c>
      <c r="M345">
        <v>0</v>
      </c>
      <c r="N345">
        <v>66.8</v>
      </c>
      <c r="O345">
        <v>114.87</v>
      </c>
      <c r="P345">
        <v>114.87</v>
      </c>
      <c r="Q345">
        <v>7.98</v>
      </c>
      <c r="R345">
        <v>7.74</v>
      </c>
      <c r="S345">
        <f t="shared" si="216"/>
        <v>0.87976388802833039</v>
      </c>
      <c r="T345">
        <f t="shared" si="217"/>
        <v>1.0772673106237833</v>
      </c>
      <c r="U345">
        <f t="shared" si="213"/>
        <v>0</v>
      </c>
      <c r="V345">
        <f t="shared" si="218"/>
        <v>0.76521142182605906</v>
      </c>
      <c r="W345" t="str">
        <f t="shared" si="214"/>
        <v/>
      </c>
      <c r="X345">
        <f t="shared" si="219"/>
        <v>0.68166951249184471</v>
      </c>
      <c r="Y345" t="str">
        <f t="shared" si="215"/>
        <v/>
      </c>
      <c r="Z345">
        <f t="shared" si="220"/>
        <v>0.96492983466485704</v>
      </c>
      <c r="AA345">
        <f t="shared" si="221"/>
        <v>0.97295305645430441</v>
      </c>
      <c r="AB345">
        <f t="shared" si="222"/>
        <v>6.3461054535692091E-2</v>
      </c>
      <c r="AC345">
        <f t="shared" si="223"/>
        <v>0.10805921348112593</v>
      </c>
      <c r="AD345">
        <f t="shared" si="224"/>
        <v>0.43846721444740328</v>
      </c>
    </row>
    <row r="346" spans="1:30">
      <c r="A346" t="s">
        <v>252</v>
      </c>
      <c r="B346" t="s">
        <v>31</v>
      </c>
      <c r="C346" t="s">
        <v>32</v>
      </c>
      <c r="D346" t="s">
        <v>33</v>
      </c>
      <c r="E346" s="2">
        <v>46098</v>
      </c>
      <c r="F346" t="s">
        <v>34</v>
      </c>
      <c r="G346">
        <v>144.6</v>
      </c>
      <c r="H346">
        <v>87.9</v>
      </c>
      <c r="I346">
        <v>-1957.8</v>
      </c>
      <c r="J346">
        <v>70</v>
      </c>
      <c r="K346">
        <v>0</v>
      </c>
      <c r="L346">
        <v>0.4</v>
      </c>
      <c r="M346">
        <v>0</v>
      </c>
      <c r="N346">
        <v>70.400000000000006</v>
      </c>
      <c r="O346">
        <v>114.8</v>
      </c>
      <c r="P346">
        <v>115.09</v>
      </c>
      <c r="Q346">
        <v>8.15</v>
      </c>
      <c r="R346">
        <v>7.76</v>
      </c>
      <c r="S346">
        <f t="shared" si="216"/>
        <v>1.4208247338111528</v>
      </c>
      <c r="T346">
        <f t="shared" si="217"/>
        <v>1.6926520481691396</v>
      </c>
      <c r="U346">
        <f t="shared" si="213"/>
        <v>0</v>
      </c>
      <c r="V346">
        <f t="shared" si="218"/>
        <v>0.26947206849425076</v>
      </c>
      <c r="W346" t="str">
        <f t="shared" si="214"/>
        <v/>
      </c>
      <c r="X346">
        <f t="shared" si="219"/>
        <v>1.040537756886861</v>
      </c>
      <c r="Y346" t="str">
        <f t="shared" si="215"/>
        <v/>
      </c>
      <c r="Z346">
        <f t="shared" si="220"/>
        <v>0.46389730860562844</v>
      </c>
      <c r="AA346">
        <f t="shared" si="221"/>
        <v>0.93265322571358933</v>
      </c>
      <c r="AB346">
        <f t="shared" si="222"/>
        <v>0.19718356088447131</v>
      </c>
      <c r="AC346">
        <f t="shared" si="223"/>
        <v>0.19735012485852507</v>
      </c>
      <c r="AD346">
        <f t="shared" si="224"/>
        <v>0.38844157630785781</v>
      </c>
    </row>
    <row r="347" spans="1:30">
      <c r="A347" t="s">
        <v>252</v>
      </c>
      <c r="B347" t="s">
        <v>31</v>
      </c>
      <c r="C347" t="s">
        <v>32</v>
      </c>
      <c r="D347" t="s">
        <v>33</v>
      </c>
      <c r="E347" s="2">
        <v>46098</v>
      </c>
      <c r="F347" t="s">
        <v>40</v>
      </c>
      <c r="G347">
        <v>151.69999999999999</v>
      </c>
      <c r="H347">
        <v>96</v>
      </c>
      <c r="I347">
        <v>-1957.8</v>
      </c>
      <c r="J347">
        <v>70</v>
      </c>
      <c r="K347">
        <v>0</v>
      </c>
      <c r="L347">
        <v>1.4</v>
      </c>
      <c r="M347">
        <v>0</v>
      </c>
      <c r="N347">
        <v>68.599999999999994</v>
      </c>
      <c r="O347">
        <v>111.79</v>
      </c>
      <c r="P347">
        <v>113.18</v>
      </c>
      <c r="Q347">
        <v>8.06</v>
      </c>
      <c r="R347">
        <v>8.0299999999999994</v>
      </c>
      <c r="S347">
        <f t="shared" si="216"/>
        <v>0.18162086121178406</v>
      </c>
      <c r="T347">
        <f t="shared" si="217"/>
        <v>8.4711282324820045E-2</v>
      </c>
      <c r="U347">
        <f t="shared" si="213"/>
        <v>0</v>
      </c>
      <c r="V347">
        <f t="shared" si="218"/>
        <v>0.26947206849425076</v>
      </c>
      <c r="W347" t="str">
        <f t="shared" si="214"/>
        <v/>
      </c>
      <c r="X347">
        <f t="shared" si="219"/>
        <v>0.32280126809682852</v>
      </c>
      <c r="Y347" t="str">
        <f t="shared" si="215"/>
        <v/>
      </c>
      <c r="Z347">
        <f t="shared" si="220"/>
        <v>0.2505162630296171</v>
      </c>
      <c r="AA347">
        <f t="shared" si="221"/>
        <v>0.80023949613697376</v>
      </c>
      <c r="AB347">
        <f t="shared" si="222"/>
        <v>0.96377092605266124</v>
      </c>
      <c r="AC347">
        <f t="shared" si="223"/>
        <v>3.5662828090474739E-2</v>
      </c>
      <c r="AD347">
        <f t="shared" si="224"/>
        <v>0.28690453857601911</v>
      </c>
    </row>
    <row r="348" spans="1:30">
      <c r="A348" t="s">
        <v>253</v>
      </c>
      <c r="B348" t="s">
        <v>31</v>
      </c>
      <c r="C348" t="s">
        <v>32</v>
      </c>
      <c r="D348" t="s">
        <v>33</v>
      </c>
      <c r="E348" s="2">
        <v>46098</v>
      </c>
      <c r="F348" t="s">
        <v>40</v>
      </c>
      <c r="G348">
        <v>150.4</v>
      </c>
      <c r="H348">
        <v>96.9</v>
      </c>
      <c r="I348">
        <v>-1957.8</v>
      </c>
      <c r="J348">
        <v>72.599999999999994</v>
      </c>
      <c r="K348">
        <v>0</v>
      </c>
      <c r="L348">
        <v>0.3</v>
      </c>
      <c r="M348">
        <v>0</v>
      </c>
      <c r="N348">
        <v>72.900000000000006</v>
      </c>
      <c r="O348">
        <v>111.35</v>
      </c>
      <c r="P348">
        <v>112.89</v>
      </c>
      <c r="Q348">
        <v>8.86</v>
      </c>
      <c r="R348">
        <v>8.3000000000000007</v>
      </c>
      <c r="S348">
        <f t="shared" si="216"/>
        <v>0.40851734492715863</v>
      </c>
      <c r="T348">
        <f t="shared" si="217"/>
        <v>9.3948802768994491E-2</v>
      </c>
      <c r="U348">
        <f t="shared" si="213"/>
        <v>0</v>
      </c>
      <c r="V348">
        <f t="shared" si="218"/>
        <v>1.4391142749432955</v>
      </c>
      <c r="W348" t="str">
        <f t="shared" si="214"/>
        <v/>
      </c>
      <c r="X348">
        <f t="shared" si="219"/>
        <v>1.1123114057658643</v>
      </c>
      <c r="Y348" t="str">
        <f t="shared" si="215"/>
        <v/>
      </c>
      <c r="Z348">
        <f t="shared" si="220"/>
        <v>1.4561383803212411</v>
      </c>
      <c r="AA348">
        <f t="shared" si="221"/>
        <v>1.0535527179357347</v>
      </c>
      <c r="AB348">
        <f t="shared" si="222"/>
        <v>1.1400415026033295</v>
      </c>
      <c r="AC348">
        <f t="shared" si="223"/>
        <v>1.4728832438064783</v>
      </c>
      <c r="AD348">
        <f t="shared" si="224"/>
        <v>0.96225065345990046</v>
      </c>
    </row>
    <row r="349" spans="1:30">
      <c r="A349" t="s">
        <v>254</v>
      </c>
      <c r="B349" t="s">
        <v>31</v>
      </c>
      <c r="C349" t="s">
        <v>32</v>
      </c>
      <c r="D349" t="s">
        <v>33</v>
      </c>
      <c r="E349" s="2">
        <v>46098</v>
      </c>
      <c r="F349" t="s">
        <v>34</v>
      </c>
      <c r="G349">
        <v>139.19999999999999</v>
      </c>
      <c r="H349">
        <v>89.7</v>
      </c>
      <c r="I349">
        <v>-1957.8</v>
      </c>
      <c r="J349">
        <v>65.900000000000006</v>
      </c>
      <c r="K349">
        <v>0</v>
      </c>
      <c r="L349">
        <v>1.2</v>
      </c>
      <c r="M349">
        <v>0</v>
      </c>
      <c r="N349">
        <v>64.7</v>
      </c>
      <c r="O349">
        <v>115.24</v>
      </c>
      <c r="P349">
        <v>115.46</v>
      </c>
      <c r="Q349">
        <v>7.93</v>
      </c>
      <c r="R349">
        <v>7.62</v>
      </c>
      <c r="S349">
        <f t="shared" si="216"/>
        <v>2.3633178200134912</v>
      </c>
      <c r="T349">
        <f t="shared" si="217"/>
        <v>1.3353318779815133</v>
      </c>
      <c r="U349">
        <f t="shared" si="213"/>
        <v>0</v>
      </c>
      <c r="V349">
        <f t="shared" si="218"/>
        <v>1.5749637185984751</v>
      </c>
      <c r="W349" t="str">
        <f t="shared" si="214"/>
        <v/>
      </c>
      <c r="X349">
        <f t="shared" si="219"/>
        <v>0.46634856585483497</v>
      </c>
      <c r="Y349" t="str">
        <f t="shared" si="215"/>
        <v/>
      </c>
      <c r="Z349">
        <f t="shared" si="220"/>
        <v>1.7984123349059693</v>
      </c>
      <c r="AA349">
        <f t="shared" si="221"/>
        <v>1.1859664475123421</v>
      </c>
      <c r="AB349">
        <f t="shared" si="222"/>
        <v>0.42208050338014075</v>
      </c>
      <c r="AC349">
        <f t="shared" si="223"/>
        <v>0.19788548946337753</v>
      </c>
      <c r="AD349">
        <f t="shared" si="224"/>
        <v>0.73862104328468259</v>
      </c>
    </row>
    <row r="350" spans="1:30">
      <c r="A350" t="s">
        <v>254</v>
      </c>
      <c r="B350" t="s">
        <v>31</v>
      </c>
      <c r="C350" t="s">
        <v>32</v>
      </c>
      <c r="D350" t="s">
        <v>33</v>
      </c>
      <c r="E350" s="2">
        <v>46098</v>
      </c>
      <c r="F350" t="s">
        <v>40</v>
      </c>
      <c r="G350">
        <v>149.9</v>
      </c>
      <c r="H350">
        <v>96</v>
      </c>
      <c r="I350">
        <v>-1957.8</v>
      </c>
      <c r="J350">
        <v>65.900000000000006</v>
      </c>
      <c r="K350">
        <v>0</v>
      </c>
      <c r="L350">
        <v>0.2</v>
      </c>
      <c r="M350">
        <v>0</v>
      </c>
      <c r="N350">
        <v>65.7</v>
      </c>
      <c r="O350">
        <v>114.87</v>
      </c>
      <c r="P350">
        <v>114.8</v>
      </c>
      <c r="Q350">
        <v>7.71</v>
      </c>
      <c r="R350">
        <v>8.01</v>
      </c>
      <c r="S350">
        <f t="shared" si="216"/>
        <v>0.49578522327922692</v>
      </c>
      <c r="T350">
        <f t="shared" si="217"/>
        <v>8.4711282324820045E-2</v>
      </c>
      <c r="U350">
        <f t="shared" si="213"/>
        <v>0</v>
      </c>
      <c r="V350">
        <f t="shared" si="218"/>
        <v>1.5749637185984751</v>
      </c>
      <c r="W350" t="str">
        <f t="shared" si="214"/>
        <v/>
      </c>
      <c r="X350">
        <f t="shared" si="219"/>
        <v>1.1840850546448676</v>
      </c>
      <c r="Y350" t="str">
        <f t="shared" si="215"/>
        <v/>
      </c>
      <c r="Z350">
        <f t="shared" si="220"/>
        <v>1.4015159062197242</v>
      </c>
      <c r="AA350">
        <f t="shared" si="221"/>
        <v>0.97295305645430441</v>
      </c>
      <c r="AB350">
        <f t="shared" si="222"/>
        <v>2.0912984333803078E-2</v>
      </c>
      <c r="AC350">
        <f t="shared" si="223"/>
        <v>0.5931211037852786</v>
      </c>
      <c r="AD350">
        <f t="shared" si="224"/>
        <v>0.23687890043647364</v>
      </c>
    </row>
    <row r="351" spans="1:30">
      <c r="A351" t="s">
        <v>255</v>
      </c>
      <c r="B351" t="s">
        <v>31</v>
      </c>
      <c r="C351" t="s">
        <v>32</v>
      </c>
      <c r="D351" t="s">
        <v>33</v>
      </c>
      <c r="E351" s="2">
        <v>46098</v>
      </c>
      <c r="F351" t="s">
        <v>40</v>
      </c>
      <c r="G351">
        <v>153.5</v>
      </c>
      <c r="H351">
        <v>101</v>
      </c>
      <c r="I351">
        <v>-1957.8</v>
      </c>
      <c r="J351">
        <v>71.7</v>
      </c>
      <c r="K351">
        <v>0</v>
      </c>
      <c r="L351">
        <v>3</v>
      </c>
      <c r="M351">
        <v>0</v>
      </c>
      <c r="N351">
        <v>74.7</v>
      </c>
      <c r="O351">
        <v>111.35</v>
      </c>
      <c r="P351">
        <v>113.4</v>
      </c>
      <c r="Q351">
        <v>8.64</v>
      </c>
      <c r="R351">
        <v>8.33</v>
      </c>
      <c r="S351">
        <f t="shared" si="216"/>
        <v>0.13254350085566374</v>
      </c>
      <c r="T351">
        <f t="shared" si="217"/>
        <v>0.90784474597414333</v>
      </c>
      <c r="U351">
        <f t="shared" si="213"/>
        <v>0</v>
      </c>
      <c r="V351">
        <f t="shared" si="218"/>
        <v>1.0342381265570906</v>
      </c>
      <c r="W351" t="str">
        <f t="shared" si="214"/>
        <v/>
      </c>
      <c r="X351">
        <f t="shared" si="219"/>
        <v>0.82557711396722377</v>
      </c>
      <c r="Y351" t="str">
        <f t="shared" si="215"/>
        <v/>
      </c>
      <c r="Z351">
        <f t="shared" si="220"/>
        <v>2.1705519519564809</v>
      </c>
      <c r="AA351">
        <f t="shared" si="221"/>
        <v>1.0535527179357347</v>
      </c>
      <c r="AB351">
        <f t="shared" si="222"/>
        <v>0.8300484197038821</v>
      </c>
      <c r="AC351">
        <f t="shared" si="223"/>
        <v>1.0776476294845787</v>
      </c>
      <c r="AD351">
        <f t="shared" si="224"/>
        <v>1.0372891106692186</v>
      </c>
    </row>
    <row r="352" spans="1:30">
      <c r="A352" t="s">
        <v>256</v>
      </c>
      <c r="B352" t="s">
        <v>31</v>
      </c>
      <c r="C352" t="s">
        <v>32</v>
      </c>
      <c r="D352" t="s">
        <v>33</v>
      </c>
      <c r="E352" s="2">
        <v>46098</v>
      </c>
      <c r="F352" t="s">
        <v>40</v>
      </c>
      <c r="G352">
        <v>151.69999999999999</v>
      </c>
      <c r="H352">
        <v>91</v>
      </c>
      <c r="I352">
        <v>-1957.8</v>
      </c>
      <c r="J352">
        <v>71.3</v>
      </c>
      <c r="K352">
        <v>0</v>
      </c>
      <c r="L352">
        <v>4.3</v>
      </c>
      <c r="M352">
        <v>0</v>
      </c>
      <c r="N352">
        <v>67</v>
      </c>
      <c r="O352">
        <v>114.87</v>
      </c>
      <c r="P352">
        <v>114.72</v>
      </c>
      <c r="Q352">
        <v>8.4700000000000006</v>
      </c>
      <c r="R352">
        <v>8.1999999999999993</v>
      </c>
      <c r="S352">
        <f t="shared" si="216"/>
        <v>0.18162086121178406</v>
      </c>
      <c r="T352">
        <f t="shared" si="217"/>
        <v>1.0772673106237833</v>
      </c>
      <c r="U352">
        <f t="shared" si="213"/>
        <v>0</v>
      </c>
      <c r="V352">
        <f t="shared" si="218"/>
        <v>0.85429317171877306</v>
      </c>
      <c r="W352" t="str">
        <f t="shared" si="214"/>
        <v/>
      </c>
      <c r="X352">
        <f t="shared" si="219"/>
        <v>1.7586345493942659</v>
      </c>
      <c r="Y352" t="str">
        <f t="shared" si="215"/>
        <v/>
      </c>
      <c r="Z352">
        <f t="shared" si="220"/>
        <v>0.88555054892760687</v>
      </c>
      <c r="AA352">
        <f t="shared" si="221"/>
        <v>0.97295305645430441</v>
      </c>
      <c r="AB352">
        <f t="shared" si="222"/>
        <v>2.7713381611206761E-2</v>
      </c>
      <c r="AC352">
        <f t="shared" si="223"/>
        <v>0.7722382911449277</v>
      </c>
      <c r="AD352">
        <f t="shared" si="224"/>
        <v>0.71212246276216429</v>
      </c>
    </row>
    <row r="353" spans="1:30">
      <c r="A353" t="s">
        <v>257</v>
      </c>
      <c r="B353" t="s">
        <v>31</v>
      </c>
      <c r="C353" t="s">
        <v>32</v>
      </c>
      <c r="D353" t="s">
        <v>33</v>
      </c>
      <c r="E353" s="2">
        <v>46098</v>
      </c>
      <c r="F353" t="s">
        <v>40</v>
      </c>
      <c r="G353">
        <v>151.30000000000001</v>
      </c>
      <c r="H353">
        <v>93.3</v>
      </c>
      <c r="I353">
        <v>-1957.8</v>
      </c>
      <c r="J353">
        <v>73.099999999999994</v>
      </c>
      <c r="K353">
        <v>0</v>
      </c>
      <c r="L353">
        <v>1.2</v>
      </c>
      <c r="M353">
        <v>0</v>
      </c>
      <c r="N353">
        <v>74.3</v>
      </c>
      <c r="O353">
        <v>111.5</v>
      </c>
      <c r="P353">
        <v>113.18</v>
      </c>
      <c r="Q353">
        <v>7.98</v>
      </c>
      <c r="R353">
        <v>7.52</v>
      </c>
      <c r="S353">
        <f t="shared" si="216"/>
        <v>0.25143516389343473</v>
      </c>
      <c r="T353">
        <f t="shared" si="217"/>
        <v>0.62069153760626083</v>
      </c>
      <c r="U353">
        <f t="shared" si="213"/>
        <v>0</v>
      </c>
      <c r="V353">
        <f t="shared" si="218"/>
        <v>1.6640454684911892</v>
      </c>
      <c r="W353" t="str">
        <f t="shared" si="214"/>
        <v/>
      </c>
      <c r="X353">
        <f t="shared" si="219"/>
        <v>0.46634856585483497</v>
      </c>
      <c r="Y353" t="str">
        <f t="shared" si="215"/>
        <v/>
      </c>
      <c r="Z353">
        <f t="shared" si="220"/>
        <v>2.0117933804819805</v>
      </c>
      <c r="AA353">
        <f t="shared" si="221"/>
        <v>0.96719593777706525</v>
      </c>
      <c r="AB353">
        <f t="shared" si="222"/>
        <v>0.96377092605266124</v>
      </c>
      <c r="AC353">
        <f t="shared" si="223"/>
        <v>0.10805921348112593</v>
      </c>
      <c r="AD353">
        <f t="shared" si="224"/>
        <v>0.98874923398241654</v>
      </c>
    </row>
    <row r="354" spans="1:30">
      <c r="A354" t="s">
        <v>258</v>
      </c>
      <c r="B354" t="s">
        <v>31</v>
      </c>
      <c r="C354" t="s">
        <v>32</v>
      </c>
      <c r="D354" t="s">
        <v>33</v>
      </c>
      <c r="E354" s="2">
        <v>46098</v>
      </c>
      <c r="F354" t="s">
        <v>34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tr">
        <f t="shared" si="216"/>
        <v/>
      </c>
      <c r="T354" t="str">
        <f t="shared" si="217"/>
        <v/>
      </c>
      <c r="U354" t="str">
        <f t="shared" si="213"/>
        <v/>
      </c>
      <c r="V354" t="str">
        <f t="shared" si="218"/>
        <v/>
      </c>
      <c r="W354" t="str">
        <f t="shared" si="214"/>
        <v/>
      </c>
      <c r="X354" t="str">
        <f t="shared" si="219"/>
        <v/>
      </c>
      <c r="Y354" t="str">
        <f t="shared" si="215"/>
        <v/>
      </c>
      <c r="Z354" t="str">
        <f t="shared" si="220"/>
        <v/>
      </c>
      <c r="AA354" t="str">
        <f t="shared" si="221"/>
        <v/>
      </c>
      <c r="AB354" t="str">
        <f t="shared" si="222"/>
        <v/>
      </c>
      <c r="AC354" t="str">
        <f t="shared" si="223"/>
        <v/>
      </c>
      <c r="AD354" t="str">
        <f t="shared" si="224"/>
        <v/>
      </c>
    </row>
    <row r="355" spans="1:30">
      <c r="A355" t="s">
        <v>258</v>
      </c>
      <c r="B355" t="s">
        <v>31</v>
      </c>
      <c r="C355" t="s">
        <v>32</v>
      </c>
      <c r="D355" t="s">
        <v>33</v>
      </c>
      <c r="E355" s="2">
        <v>46098</v>
      </c>
      <c r="F355" t="s">
        <v>40</v>
      </c>
      <c r="G355">
        <v>156.6</v>
      </c>
      <c r="H355">
        <v>95.5</v>
      </c>
      <c r="I355">
        <v>-1957.8</v>
      </c>
      <c r="J355">
        <v>72.2</v>
      </c>
      <c r="K355">
        <v>0</v>
      </c>
      <c r="L355">
        <v>2.2999999999999998</v>
      </c>
      <c r="M355">
        <v>0</v>
      </c>
      <c r="N355">
        <v>74.5</v>
      </c>
      <c r="O355">
        <v>114.87</v>
      </c>
      <c r="P355">
        <v>114.87</v>
      </c>
      <c r="Q355">
        <v>7.62</v>
      </c>
      <c r="R355">
        <v>7.52</v>
      </c>
      <c r="S355">
        <f t="shared" si="216"/>
        <v>0.67360434663848612</v>
      </c>
      <c r="T355">
        <f t="shared" si="217"/>
        <v>0.18396688515471638</v>
      </c>
      <c r="U355">
        <f t="shared" si="213"/>
        <v>0</v>
      </c>
      <c r="V355">
        <f t="shared" si="218"/>
        <v>1.2591693201049843</v>
      </c>
      <c r="W355" t="str">
        <f t="shared" si="214"/>
        <v/>
      </c>
      <c r="X355">
        <f t="shared" si="219"/>
        <v>0.3231615718142008</v>
      </c>
      <c r="Y355" t="str">
        <f t="shared" si="215"/>
        <v/>
      </c>
      <c r="Z355">
        <f t="shared" si="220"/>
        <v>2.0911726662192307</v>
      </c>
      <c r="AA355">
        <f t="shared" si="221"/>
        <v>0.97295305645430441</v>
      </c>
      <c r="AB355">
        <f t="shared" si="222"/>
        <v>6.3461054535692091E-2</v>
      </c>
      <c r="AC355">
        <f t="shared" si="223"/>
        <v>0.75480840055332887</v>
      </c>
      <c r="AD355">
        <f t="shared" si="224"/>
        <v>0.98874923398241654</v>
      </c>
    </row>
    <row r="356" spans="1:30">
      <c r="A356" t="s">
        <v>259</v>
      </c>
      <c r="B356" t="s">
        <v>31</v>
      </c>
      <c r="C356" t="s">
        <v>32</v>
      </c>
      <c r="D356" t="s">
        <v>33</v>
      </c>
      <c r="E356" s="2">
        <v>46099</v>
      </c>
      <c r="F356" t="s">
        <v>40</v>
      </c>
      <c r="G356">
        <v>147.19999999999999</v>
      </c>
      <c r="H356">
        <v>94.6</v>
      </c>
      <c r="I356">
        <v>-1957.8</v>
      </c>
      <c r="J356">
        <v>71.3</v>
      </c>
      <c r="K356">
        <v>0</v>
      </c>
      <c r="L356">
        <v>6</v>
      </c>
      <c r="M356">
        <v>0</v>
      </c>
      <c r="N356">
        <v>65.3</v>
      </c>
      <c r="O356">
        <v>111.42</v>
      </c>
      <c r="P356">
        <v>117.51</v>
      </c>
      <c r="Q356">
        <v>7.32</v>
      </c>
      <c r="R356">
        <v>7.3</v>
      </c>
      <c r="S356">
        <f t="shared" si="216"/>
        <v>0.96703176638039867</v>
      </c>
      <c r="T356">
        <f t="shared" si="217"/>
        <v>0.36262697024853091</v>
      </c>
      <c r="U356">
        <f t="shared" si="213"/>
        <v>0</v>
      </c>
      <c r="V356">
        <f t="shared" si="218"/>
        <v>0.85429317171877306</v>
      </c>
      <c r="W356" t="str">
        <f t="shared" si="214"/>
        <v/>
      </c>
      <c r="X356">
        <f t="shared" si="219"/>
        <v>2.9787865803373217</v>
      </c>
      <c r="Y356" t="str">
        <f t="shared" si="215"/>
        <v/>
      </c>
      <c r="Z356">
        <f t="shared" si="220"/>
        <v>1.5602744776942246</v>
      </c>
      <c r="AA356">
        <f t="shared" si="221"/>
        <v>1.0132528871950195</v>
      </c>
      <c r="AB356">
        <f t="shared" si="222"/>
        <v>1.6681311307210513</v>
      </c>
      <c r="AC356">
        <f t="shared" si="223"/>
        <v>1.2937660564468305</v>
      </c>
      <c r="AD356">
        <f t="shared" si="224"/>
        <v>1.5390312535174275</v>
      </c>
    </row>
    <row r="357" spans="1:30">
      <c r="A357" t="s">
        <v>260</v>
      </c>
      <c r="B357" t="s">
        <v>31</v>
      </c>
      <c r="C357" t="s">
        <v>32</v>
      </c>
      <c r="D357" t="s">
        <v>33</v>
      </c>
      <c r="E357" s="2">
        <v>46099</v>
      </c>
      <c r="F357" t="s">
        <v>34</v>
      </c>
      <c r="G357">
        <v>144.1</v>
      </c>
      <c r="H357">
        <v>80.2</v>
      </c>
      <c r="I357">
        <v>-1957.8</v>
      </c>
      <c r="J357">
        <v>70.400000000000006</v>
      </c>
      <c r="K357">
        <v>0</v>
      </c>
      <c r="L357">
        <v>6.4</v>
      </c>
      <c r="M357">
        <v>0</v>
      </c>
      <c r="N357">
        <v>64</v>
      </c>
      <c r="O357">
        <v>111.57</v>
      </c>
      <c r="P357">
        <v>112.89</v>
      </c>
      <c r="Q357">
        <v>7.23</v>
      </c>
      <c r="R357">
        <v>7.4</v>
      </c>
      <c r="S357">
        <f t="shared" si="216"/>
        <v>1.508092612163221</v>
      </c>
      <c r="T357">
        <f t="shared" si="217"/>
        <v>3.2211883317495436</v>
      </c>
      <c r="U357">
        <f t="shared" si="213"/>
        <v>0</v>
      </c>
      <c r="V357">
        <f t="shared" si="218"/>
        <v>0.44941702333256828</v>
      </c>
      <c r="W357" t="str">
        <f t="shared" si="214"/>
        <v/>
      </c>
      <c r="X357">
        <f t="shared" si="219"/>
        <v>3.2658811758533348</v>
      </c>
      <c r="Y357" t="str">
        <f t="shared" si="215"/>
        <v/>
      </c>
      <c r="Z357">
        <f t="shared" si="220"/>
        <v>2.076239834986342</v>
      </c>
      <c r="AA357">
        <f t="shared" si="221"/>
        <v>0.92689610703635827</v>
      </c>
      <c r="AB357">
        <f t="shared" si="222"/>
        <v>1.1400415026033295</v>
      </c>
      <c r="AC357">
        <f t="shared" si="223"/>
        <v>1.455453353214881</v>
      </c>
      <c r="AD357">
        <f t="shared" si="224"/>
        <v>1.2889030628196936</v>
      </c>
    </row>
    <row r="358" spans="1:30">
      <c r="A358" t="s">
        <v>260</v>
      </c>
      <c r="B358" t="s">
        <v>31</v>
      </c>
      <c r="C358" t="s">
        <v>32</v>
      </c>
      <c r="D358" t="s">
        <v>33</v>
      </c>
      <c r="E358" s="2">
        <v>46099</v>
      </c>
      <c r="F358" t="s">
        <v>40</v>
      </c>
      <c r="G358">
        <v>156.6</v>
      </c>
      <c r="H358">
        <v>86.1</v>
      </c>
      <c r="I358">
        <v>-1957.8</v>
      </c>
      <c r="J358">
        <v>70.400000000000006</v>
      </c>
      <c r="K358">
        <v>0</v>
      </c>
      <c r="L358">
        <v>2.9</v>
      </c>
      <c r="M358">
        <v>0</v>
      </c>
      <c r="N358">
        <v>67.5</v>
      </c>
      <c r="O358">
        <v>111.42</v>
      </c>
      <c r="P358">
        <v>112.38</v>
      </c>
      <c r="Q358">
        <v>7.71</v>
      </c>
      <c r="R358">
        <v>8.0299999999999994</v>
      </c>
      <c r="S358">
        <f t="shared" si="216"/>
        <v>0.67360434663848612</v>
      </c>
      <c r="T358">
        <f t="shared" si="217"/>
        <v>2.0499722183567686</v>
      </c>
      <c r="U358">
        <f t="shared" si="213"/>
        <v>0</v>
      </c>
      <c r="V358">
        <f t="shared" si="218"/>
        <v>0.44941702333256828</v>
      </c>
      <c r="W358" t="str">
        <f t="shared" si="214"/>
        <v/>
      </c>
      <c r="X358">
        <f t="shared" si="219"/>
        <v>0.75380346508822038</v>
      </c>
      <c r="Y358" t="str">
        <f t="shared" si="215"/>
        <v/>
      </c>
      <c r="Z358">
        <f t="shared" si="220"/>
        <v>0.68710233458448433</v>
      </c>
      <c r="AA358">
        <f t="shared" si="221"/>
        <v>1.0132528871950195</v>
      </c>
      <c r="AB358">
        <f t="shared" si="222"/>
        <v>1.450034585502777</v>
      </c>
      <c r="AC358">
        <f t="shared" si="223"/>
        <v>0.5931211037852786</v>
      </c>
      <c r="AD358">
        <f t="shared" si="224"/>
        <v>0.28690453857601911</v>
      </c>
    </row>
    <row r="359" spans="1:30">
      <c r="A359" t="s">
        <v>261</v>
      </c>
      <c r="B359" t="s">
        <v>31</v>
      </c>
      <c r="C359" t="s">
        <v>32</v>
      </c>
      <c r="D359" t="s">
        <v>33</v>
      </c>
      <c r="E359" s="2">
        <v>46099</v>
      </c>
      <c r="F359" t="s">
        <v>34</v>
      </c>
      <c r="G359">
        <v>113.7</v>
      </c>
      <c r="H359">
        <v>68.5</v>
      </c>
      <c r="I359">
        <v>-1957.8</v>
      </c>
      <c r="J359">
        <v>68.599999999999994</v>
      </c>
      <c r="K359">
        <v>0</v>
      </c>
      <c r="L359">
        <v>4.8</v>
      </c>
      <c r="M359">
        <v>0</v>
      </c>
      <c r="N359">
        <v>63.8</v>
      </c>
      <c r="O359">
        <v>112.08</v>
      </c>
      <c r="P359">
        <v>113.7</v>
      </c>
      <c r="Q359">
        <v>6.79</v>
      </c>
      <c r="R359">
        <v>6.13</v>
      </c>
      <c r="S359">
        <f t="shared" si="216"/>
        <v>6.8139796159689716</v>
      </c>
      <c r="T359">
        <f t="shared" si="217"/>
        <v>5.5437694379691189</v>
      </c>
      <c r="U359">
        <f t="shared" si="213"/>
        <v>0</v>
      </c>
      <c r="V359">
        <f t="shared" si="218"/>
        <v>0.36033527343985422</v>
      </c>
      <c r="W359" t="str">
        <f t="shared" si="214"/>
        <v/>
      </c>
      <c r="X359">
        <f t="shared" si="219"/>
        <v>2.1175027937892823</v>
      </c>
      <c r="Y359" t="str">
        <f t="shared" si="215"/>
        <v/>
      </c>
      <c r="Z359">
        <f t="shared" si="220"/>
        <v>2.1556191207235922</v>
      </c>
      <c r="AA359">
        <f t="shared" si="221"/>
        <v>0.63328305449689037</v>
      </c>
      <c r="AB359">
        <f t="shared" si="222"/>
        <v>0.64769954741009306</v>
      </c>
      <c r="AC359">
        <f t="shared" si="223"/>
        <v>2.2459245818586844</v>
      </c>
      <c r="AD359">
        <f t="shared" si="224"/>
        <v>4.4655310846808982</v>
      </c>
    </row>
    <row r="360" spans="1:30">
      <c r="A360" t="s">
        <v>261</v>
      </c>
      <c r="B360" t="s">
        <v>31</v>
      </c>
      <c r="C360" t="s">
        <v>32</v>
      </c>
      <c r="D360" t="s">
        <v>33</v>
      </c>
      <c r="E360" s="2">
        <v>46099</v>
      </c>
      <c r="F360" t="s">
        <v>34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tr">
        <f t="shared" si="216"/>
        <v/>
      </c>
      <c r="T360" t="str">
        <f t="shared" si="217"/>
        <v/>
      </c>
      <c r="U360" t="str">
        <f t="shared" si="213"/>
        <v/>
      </c>
      <c r="V360" t="str">
        <f t="shared" si="218"/>
        <v/>
      </c>
      <c r="W360" t="str">
        <f t="shared" si="214"/>
        <v/>
      </c>
      <c r="X360" t="str">
        <f t="shared" si="219"/>
        <v/>
      </c>
      <c r="Y360" t="str">
        <f t="shared" si="215"/>
        <v/>
      </c>
      <c r="Z360" t="str">
        <f t="shared" si="220"/>
        <v/>
      </c>
      <c r="AA360" t="str">
        <f t="shared" si="221"/>
        <v/>
      </c>
      <c r="AB360" t="str">
        <f t="shared" si="222"/>
        <v/>
      </c>
      <c r="AC360" t="str">
        <f t="shared" si="223"/>
        <v/>
      </c>
      <c r="AD360" t="str">
        <f t="shared" si="224"/>
        <v/>
      </c>
    </row>
    <row r="361" spans="1:30">
      <c r="A361" t="s">
        <v>262</v>
      </c>
      <c r="B361" t="s">
        <v>31</v>
      </c>
      <c r="C361" t="s">
        <v>32</v>
      </c>
      <c r="D361" t="s">
        <v>33</v>
      </c>
      <c r="E361" s="2">
        <v>46099</v>
      </c>
      <c r="F361" t="s">
        <v>40</v>
      </c>
      <c r="G361">
        <v>148.1</v>
      </c>
      <c r="H361">
        <v>96.4</v>
      </c>
      <c r="I361">
        <v>-1957.8</v>
      </c>
      <c r="J361">
        <v>69.099999999999994</v>
      </c>
      <c r="K361">
        <v>0</v>
      </c>
      <c r="L361">
        <v>2.6</v>
      </c>
      <c r="M361">
        <v>0</v>
      </c>
      <c r="N361">
        <v>71.7</v>
      </c>
      <c r="O361">
        <v>115.24</v>
      </c>
      <c r="P361">
        <v>115.24</v>
      </c>
      <c r="Q361">
        <v>7.64</v>
      </c>
      <c r="R361">
        <v>7.52</v>
      </c>
      <c r="S361">
        <f t="shared" si="216"/>
        <v>0.80994958534667472</v>
      </c>
      <c r="T361">
        <f t="shared" si="217"/>
        <v>5.3068000609018499E-3</v>
      </c>
      <c r="U361">
        <f t="shared" si="213"/>
        <v>0</v>
      </c>
      <c r="V361">
        <f t="shared" si="218"/>
        <v>0.13540407989196049</v>
      </c>
      <c r="W361" t="str">
        <f t="shared" si="214"/>
        <v/>
      </c>
      <c r="X361">
        <f t="shared" si="219"/>
        <v>0.53848251845121076</v>
      </c>
      <c r="Y361" t="str">
        <f t="shared" si="215"/>
        <v/>
      </c>
      <c r="Z361">
        <f t="shared" si="220"/>
        <v>0.97986266589774584</v>
      </c>
      <c r="AA361">
        <f t="shared" si="221"/>
        <v>1.1859664475123421</v>
      </c>
      <c r="AB361">
        <f t="shared" si="222"/>
        <v>0.2883579970313615</v>
      </c>
      <c r="AC361">
        <f t="shared" si="223"/>
        <v>0.71887789016042958</v>
      </c>
      <c r="AD361">
        <f t="shared" si="224"/>
        <v>0.98874923398241654</v>
      </c>
    </row>
    <row r="362" spans="1:30">
      <c r="A362" t="s">
        <v>263</v>
      </c>
      <c r="B362" t="s">
        <v>31</v>
      </c>
      <c r="C362" t="s">
        <v>32</v>
      </c>
      <c r="D362" t="s">
        <v>33</v>
      </c>
      <c r="E362" s="2">
        <v>46099</v>
      </c>
      <c r="F362" t="s">
        <v>40</v>
      </c>
      <c r="G362">
        <v>157.5</v>
      </c>
      <c r="H362">
        <v>100.1</v>
      </c>
      <c r="I362">
        <v>-1957.8</v>
      </c>
      <c r="J362">
        <v>73.5</v>
      </c>
      <c r="K362">
        <v>0</v>
      </c>
      <c r="L362">
        <v>0.2</v>
      </c>
      <c r="M362">
        <v>0</v>
      </c>
      <c r="N362">
        <v>73.3</v>
      </c>
      <c r="O362">
        <v>111.06</v>
      </c>
      <c r="P362">
        <v>117.73</v>
      </c>
      <c r="Q362">
        <v>8.76</v>
      </c>
      <c r="R362">
        <v>8.01</v>
      </c>
      <c r="S362">
        <f t="shared" si="216"/>
        <v>0.83068652767221007</v>
      </c>
      <c r="T362">
        <f t="shared" si="217"/>
        <v>0.72918466088032874</v>
      </c>
      <c r="U362">
        <f t="shared" si="213"/>
        <v>0</v>
      </c>
      <c r="V362">
        <f t="shared" si="218"/>
        <v>1.8439904233295066</v>
      </c>
      <c r="W362" t="str">
        <f t="shared" si="214"/>
        <v/>
      </c>
      <c r="X362">
        <f t="shared" si="219"/>
        <v>1.1840850546448676</v>
      </c>
      <c r="Y362" t="str">
        <f t="shared" si="215"/>
        <v/>
      </c>
      <c r="Z362">
        <f t="shared" si="220"/>
        <v>1.6148969517957357</v>
      </c>
      <c r="AA362">
        <f t="shared" si="221"/>
        <v>1.2205091595758182</v>
      </c>
      <c r="AB362">
        <f t="shared" si="222"/>
        <v>1.8018536370698306</v>
      </c>
      <c r="AC362">
        <f t="shared" si="223"/>
        <v>1.2932306918419783</v>
      </c>
      <c r="AD362">
        <f t="shared" si="224"/>
        <v>0.23687890043647364</v>
      </c>
    </row>
    <row r="363" spans="1:30">
      <c r="A363" t="s">
        <v>264</v>
      </c>
      <c r="B363" t="s">
        <v>31</v>
      </c>
      <c r="C363" t="s">
        <v>32</v>
      </c>
      <c r="D363" t="s">
        <v>33</v>
      </c>
      <c r="E363" s="2">
        <v>46099</v>
      </c>
      <c r="F363" t="s">
        <v>40</v>
      </c>
      <c r="G363">
        <v>159.30000000000001</v>
      </c>
      <c r="H363">
        <v>101.4</v>
      </c>
      <c r="I363">
        <v>-1957.8</v>
      </c>
      <c r="J363">
        <v>68.2</v>
      </c>
      <c r="K363">
        <v>0</v>
      </c>
      <c r="L363">
        <v>2.5</v>
      </c>
      <c r="M363">
        <v>0</v>
      </c>
      <c r="N363">
        <v>65.7</v>
      </c>
      <c r="O363">
        <v>111.42</v>
      </c>
      <c r="P363">
        <v>113.33</v>
      </c>
      <c r="Q363">
        <v>8.35</v>
      </c>
      <c r="R363">
        <v>8.06</v>
      </c>
      <c r="S363">
        <f t="shared" si="216"/>
        <v>1.1448508897396579</v>
      </c>
      <c r="T363">
        <f t="shared" si="217"/>
        <v>0.98724922823806149</v>
      </c>
      <c r="U363">
        <f t="shared" si="213"/>
        <v>0</v>
      </c>
      <c r="V363">
        <f t="shared" si="218"/>
        <v>0.54028022827816535</v>
      </c>
      <c r="W363" t="str">
        <f t="shared" si="214"/>
        <v/>
      </c>
      <c r="X363">
        <f t="shared" si="219"/>
        <v>0.46670886957220742</v>
      </c>
      <c r="Y363" t="str">
        <f t="shared" si="215"/>
        <v/>
      </c>
      <c r="Z363">
        <f t="shared" si="220"/>
        <v>1.4015159062197242</v>
      </c>
      <c r="AA363">
        <f t="shared" si="221"/>
        <v>1.0132528871950195</v>
      </c>
      <c r="AB363">
        <f t="shared" si="222"/>
        <v>0.8725964899057711</v>
      </c>
      <c r="AC363">
        <f t="shared" si="223"/>
        <v>0.55665522878752516</v>
      </c>
      <c r="AD363">
        <f t="shared" si="224"/>
        <v>0.36194299578534173</v>
      </c>
    </row>
    <row r="364" spans="1:30">
      <c r="A364" t="s">
        <v>265</v>
      </c>
      <c r="B364" t="s">
        <v>31</v>
      </c>
      <c r="C364" t="s">
        <v>32</v>
      </c>
      <c r="D364" t="s">
        <v>33</v>
      </c>
      <c r="E364" s="2">
        <v>46099</v>
      </c>
      <c r="F364" t="s">
        <v>34</v>
      </c>
      <c r="G364">
        <v>157.5</v>
      </c>
      <c r="H364">
        <v>99.2</v>
      </c>
      <c r="I364">
        <v>-1957.8</v>
      </c>
      <c r="J364">
        <v>74</v>
      </c>
      <c r="K364">
        <v>0</v>
      </c>
      <c r="L364">
        <v>3.9</v>
      </c>
      <c r="M364">
        <v>0</v>
      </c>
      <c r="N364">
        <v>77.900000000000006</v>
      </c>
      <c r="O364">
        <v>111.42</v>
      </c>
      <c r="P364">
        <v>113.26</v>
      </c>
      <c r="Q364">
        <v>8.64</v>
      </c>
      <c r="R364">
        <v>8.4</v>
      </c>
      <c r="S364">
        <f t="shared" si="216"/>
        <v>0.83068652767221007</v>
      </c>
      <c r="T364">
        <f t="shared" si="217"/>
        <v>0.55052457578651703</v>
      </c>
      <c r="U364">
        <f t="shared" si="213"/>
        <v>0</v>
      </c>
      <c r="V364">
        <f t="shared" si="218"/>
        <v>2.0689216168774003</v>
      </c>
      <c r="W364" t="str">
        <f t="shared" si="214"/>
        <v/>
      </c>
      <c r="X364">
        <f t="shared" si="219"/>
        <v>1.471539953878253</v>
      </c>
      <c r="Y364" t="str">
        <f t="shared" si="215"/>
        <v/>
      </c>
      <c r="Z364">
        <f t="shared" si="220"/>
        <v>3.4406205237524663</v>
      </c>
      <c r="AA364">
        <f t="shared" si="221"/>
        <v>1.0132528871950195</v>
      </c>
      <c r="AB364">
        <f t="shared" si="222"/>
        <v>0.91514456010765144</v>
      </c>
      <c r="AC364">
        <f t="shared" si="223"/>
        <v>1.0776476294845787</v>
      </c>
      <c r="AD364">
        <f t="shared" si="224"/>
        <v>1.2123788441576322</v>
      </c>
    </row>
    <row r="365" spans="1:30">
      <c r="A365" t="s">
        <v>265</v>
      </c>
      <c r="B365" t="s">
        <v>31</v>
      </c>
      <c r="C365" t="s">
        <v>32</v>
      </c>
      <c r="D365" t="s">
        <v>33</v>
      </c>
      <c r="E365" s="2">
        <v>46099</v>
      </c>
      <c r="F365" t="s">
        <v>40</v>
      </c>
      <c r="G365">
        <v>162.9</v>
      </c>
      <c r="H365">
        <v>97.3</v>
      </c>
      <c r="I365">
        <v>-1957.8</v>
      </c>
      <c r="J365">
        <v>74</v>
      </c>
      <c r="K365">
        <v>0</v>
      </c>
      <c r="L365">
        <v>0.2</v>
      </c>
      <c r="M365">
        <v>0</v>
      </c>
      <c r="N365">
        <v>73.8</v>
      </c>
      <c r="O365">
        <v>114.8</v>
      </c>
      <c r="P365">
        <v>114.72</v>
      </c>
      <c r="Q365">
        <v>7.89</v>
      </c>
      <c r="R365">
        <v>8.18</v>
      </c>
      <c r="S365">
        <f t="shared" si="216"/>
        <v>1.7731796138745486</v>
      </c>
      <c r="T365">
        <f t="shared" si="217"/>
        <v>0.17335328503290987</v>
      </c>
      <c r="U365">
        <f t="shared" si="213"/>
        <v>0</v>
      </c>
      <c r="V365">
        <f t="shared" si="218"/>
        <v>2.0689216168774003</v>
      </c>
      <c r="W365" t="str">
        <f t="shared" si="214"/>
        <v/>
      </c>
      <c r="X365">
        <f t="shared" si="219"/>
        <v>1.1840850546448676</v>
      </c>
      <c r="Y365" t="str">
        <f t="shared" si="215"/>
        <v/>
      </c>
      <c r="Z365">
        <f t="shared" si="220"/>
        <v>1.8133451661388582</v>
      </c>
      <c r="AA365">
        <f t="shared" si="221"/>
        <v>0.93265322571358933</v>
      </c>
      <c r="AB365">
        <f t="shared" si="222"/>
        <v>2.7713381611206761E-2</v>
      </c>
      <c r="AC365">
        <f t="shared" si="223"/>
        <v>0.2697465102491779</v>
      </c>
      <c r="AD365">
        <f t="shared" si="224"/>
        <v>0.66209682462261887</v>
      </c>
    </row>
    <row r="366" spans="1:30">
      <c r="A366" t="s">
        <v>266</v>
      </c>
      <c r="B366" t="s">
        <v>31</v>
      </c>
      <c r="C366" t="s">
        <v>32</v>
      </c>
      <c r="D366" t="s">
        <v>33</v>
      </c>
      <c r="E366" s="2">
        <v>46099</v>
      </c>
      <c r="F366" t="s">
        <v>40</v>
      </c>
      <c r="G366">
        <v>148.6</v>
      </c>
      <c r="H366">
        <v>97.8</v>
      </c>
      <c r="I366">
        <v>-1957.8</v>
      </c>
      <c r="J366">
        <v>69.099999999999994</v>
      </c>
      <c r="K366">
        <v>0</v>
      </c>
      <c r="L366">
        <v>0.9</v>
      </c>
      <c r="M366">
        <v>0</v>
      </c>
      <c r="N366">
        <v>70</v>
      </c>
      <c r="O366">
        <v>111.86</v>
      </c>
      <c r="P366">
        <v>113.04</v>
      </c>
      <c r="Q366">
        <v>8.35</v>
      </c>
      <c r="R366">
        <v>8.08</v>
      </c>
      <c r="S366">
        <f t="shared" si="216"/>
        <v>0.72268170699460643</v>
      </c>
      <c r="T366">
        <f t="shared" si="217"/>
        <v>0.27260888786280618</v>
      </c>
      <c r="U366">
        <f t="shared" si="213"/>
        <v>0</v>
      </c>
      <c r="V366">
        <f t="shared" si="218"/>
        <v>0.13540407989196049</v>
      </c>
      <c r="W366" t="str">
        <f t="shared" si="214"/>
        <v/>
      </c>
      <c r="X366">
        <f t="shared" si="219"/>
        <v>0.68166951249184471</v>
      </c>
      <c r="Y366" t="str">
        <f t="shared" si="215"/>
        <v/>
      </c>
      <c r="Z366">
        <f t="shared" si="220"/>
        <v>0.30513873713112821</v>
      </c>
      <c r="AA366">
        <f t="shared" si="221"/>
        <v>0.75993966539626678</v>
      </c>
      <c r="AB366">
        <f t="shared" si="222"/>
        <v>1.0488670664564306</v>
      </c>
      <c r="AC366">
        <f t="shared" si="223"/>
        <v>0.55665522878752516</v>
      </c>
      <c r="AD366">
        <f t="shared" si="224"/>
        <v>0.41196863392488714</v>
      </c>
    </row>
    <row r="367" spans="1:30">
      <c r="A367" t="s">
        <v>267</v>
      </c>
      <c r="B367" t="s">
        <v>31</v>
      </c>
      <c r="C367" t="s">
        <v>32</v>
      </c>
      <c r="D367" t="s">
        <v>33</v>
      </c>
      <c r="E367" s="2">
        <v>46099</v>
      </c>
      <c r="F367" t="s">
        <v>40</v>
      </c>
      <c r="G367">
        <v>146.80000000000001</v>
      </c>
      <c r="H367">
        <v>96</v>
      </c>
      <c r="I367">
        <v>-1957.8</v>
      </c>
      <c r="J367">
        <v>70</v>
      </c>
      <c r="K367">
        <v>0</v>
      </c>
      <c r="L367">
        <v>3.1</v>
      </c>
      <c r="M367">
        <v>0</v>
      </c>
      <c r="N367">
        <v>66.900000000000006</v>
      </c>
      <c r="O367">
        <v>115.24</v>
      </c>
      <c r="P367">
        <v>115.02</v>
      </c>
      <c r="Q367">
        <v>7.86</v>
      </c>
      <c r="R367">
        <v>7.69</v>
      </c>
      <c r="S367">
        <f t="shared" si="216"/>
        <v>1.0368460690620493</v>
      </c>
      <c r="T367">
        <f t="shared" si="217"/>
        <v>8.4711282324820045E-2</v>
      </c>
      <c r="U367">
        <f t="shared" si="213"/>
        <v>0</v>
      </c>
      <c r="V367">
        <f t="shared" si="218"/>
        <v>0.26947206849425076</v>
      </c>
      <c r="W367" t="str">
        <f t="shared" si="214"/>
        <v/>
      </c>
      <c r="X367">
        <f t="shared" si="219"/>
        <v>0.89735076284622706</v>
      </c>
      <c r="Y367" t="str">
        <f t="shared" si="215"/>
        <v/>
      </c>
      <c r="Z367">
        <f t="shared" si="220"/>
        <v>0.92524019179622918</v>
      </c>
      <c r="AA367">
        <f t="shared" si="221"/>
        <v>1.1859664475123421</v>
      </c>
      <c r="AB367">
        <f t="shared" si="222"/>
        <v>0.15463549068258228</v>
      </c>
      <c r="AC367">
        <f t="shared" si="223"/>
        <v>0.32364227583852689</v>
      </c>
      <c r="AD367">
        <f t="shared" si="224"/>
        <v>0.56353130979626909</v>
      </c>
    </row>
    <row r="368" spans="1:30">
      <c r="A368" t="s">
        <v>268</v>
      </c>
      <c r="B368" t="s">
        <v>31</v>
      </c>
      <c r="C368" t="s">
        <v>32</v>
      </c>
      <c r="D368" t="s">
        <v>33</v>
      </c>
      <c r="E368" s="2">
        <v>46099</v>
      </c>
      <c r="F368" t="s">
        <v>40</v>
      </c>
      <c r="G368">
        <v>148.1</v>
      </c>
      <c r="H368">
        <v>91.9</v>
      </c>
      <c r="I368">
        <v>-1957.8</v>
      </c>
      <c r="J368">
        <v>67.7</v>
      </c>
      <c r="K368">
        <v>0</v>
      </c>
      <c r="L368">
        <v>2</v>
      </c>
      <c r="M368">
        <v>0</v>
      </c>
      <c r="N368">
        <v>65.7</v>
      </c>
      <c r="O368">
        <v>111.57</v>
      </c>
      <c r="P368">
        <v>113.11</v>
      </c>
      <c r="Q368">
        <v>8.01</v>
      </c>
      <c r="R368">
        <v>7.59</v>
      </c>
      <c r="S368">
        <f t="shared" si="216"/>
        <v>0.80994958534667472</v>
      </c>
      <c r="T368">
        <f t="shared" si="217"/>
        <v>0.89860722552996886</v>
      </c>
      <c r="U368">
        <f t="shared" si="213"/>
        <v>0</v>
      </c>
      <c r="V368">
        <f t="shared" si="218"/>
        <v>0.76521142182605906</v>
      </c>
      <c r="W368" t="str">
        <f t="shared" si="214"/>
        <v/>
      </c>
      <c r="X368">
        <f t="shared" si="219"/>
        <v>0.10784062517719113</v>
      </c>
      <c r="Y368" t="str">
        <f t="shared" si="215"/>
        <v/>
      </c>
      <c r="Z368">
        <f t="shared" si="220"/>
        <v>1.4015159062197242</v>
      </c>
      <c r="AA368">
        <f t="shared" si="221"/>
        <v>0.92689610703635827</v>
      </c>
      <c r="AB368">
        <f t="shared" si="222"/>
        <v>1.0063189962545502</v>
      </c>
      <c r="AC368">
        <f t="shared" si="223"/>
        <v>5.4163447891776871E-2</v>
      </c>
      <c r="AD368">
        <f t="shared" si="224"/>
        <v>0.81365950049400304</v>
      </c>
    </row>
    <row r="369" spans="1:30">
      <c r="A369" t="s">
        <v>269</v>
      </c>
      <c r="B369" t="s">
        <v>31</v>
      </c>
      <c r="C369" t="s">
        <v>32</v>
      </c>
      <c r="D369" t="s">
        <v>33</v>
      </c>
      <c r="E369" s="2">
        <v>46099</v>
      </c>
      <c r="F369" t="s">
        <v>34</v>
      </c>
      <c r="G369">
        <v>140.1</v>
      </c>
      <c r="H369">
        <v>90.6</v>
      </c>
      <c r="I369">
        <v>-1957.8</v>
      </c>
      <c r="J369">
        <v>66.8</v>
      </c>
      <c r="K369">
        <v>0</v>
      </c>
      <c r="L369">
        <v>2.2000000000000002</v>
      </c>
      <c r="M369">
        <v>0</v>
      </c>
      <c r="N369">
        <v>64.599999999999994</v>
      </c>
      <c r="O369">
        <v>114.8</v>
      </c>
      <c r="P369">
        <v>114.87</v>
      </c>
      <c r="Q369">
        <v>8.08</v>
      </c>
      <c r="R369">
        <v>7.79</v>
      </c>
      <c r="S369">
        <f t="shared" si="216"/>
        <v>2.2062356389797673</v>
      </c>
      <c r="T369">
        <f t="shared" si="217"/>
        <v>1.1566717928877015</v>
      </c>
      <c r="U369">
        <f t="shared" si="213"/>
        <v>0</v>
      </c>
      <c r="V369">
        <f t="shared" si="218"/>
        <v>1.1700875702122702</v>
      </c>
      <c r="W369" t="str">
        <f t="shared" si="214"/>
        <v/>
      </c>
      <c r="X369">
        <f t="shared" si="219"/>
        <v>0.25138792293519779</v>
      </c>
      <c r="Y369" t="str">
        <f t="shared" si="215"/>
        <v/>
      </c>
      <c r="Z369">
        <f t="shared" si="220"/>
        <v>1.8381019777745973</v>
      </c>
      <c r="AA369">
        <f t="shared" si="221"/>
        <v>0.93265322571358933</v>
      </c>
      <c r="AB369">
        <f t="shared" si="222"/>
        <v>6.3461054535692091E-2</v>
      </c>
      <c r="AC369">
        <f t="shared" si="223"/>
        <v>7.1593338483374111E-2</v>
      </c>
      <c r="AD369">
        <f t="shared" si="224"/>
        <v>0.31340311909853741</v>
      </c>
    </row>
    <row r="370" spans="1:30">
      <c r="A370" t="s">
        <v>269</v>
      </c>
      <c r="B370" t="s">
        <v>31</v>
      </c>
      <c r="C370" t="s">
        <v>32</v>
      </c>
      <c r="D370" t="s">
        <v>33</v>
      </c>
      <c r="E370" s="2">
        <v>46099</v>
      </c>
      <c r="F370" t="s">
        <v>40</v>
      </c>
      <c r="G370">
        <v>150.4</v>
      </c>
      <c r="H370">
        <v>96</v>
      </c>
      <c r="I370">
        <v>-1957.8</v>
      </c>
      <c r="J370">
        <v>67.3</v>
      </c>
      <c r="K370">
        <v>0</v>
      </c>
      <c r="L370">
        <v>0.7</v>
      </c>
      <c r="M370">
        <v>0</v>
      </c>
      <c r="N370">
        <v>66.599999999999994</v>
      </c>
      <c r="O370">
        <v>115.02</v>
      </c>
      <c r="P370">
        <v>115.02</v>
      </c>
      <c r="Q370">
        <v>7.93</v>
      </c>
      <c r="R370">
        <v>8.0299999999999994</v>
      </c>
      <c r="S370">
        <f t="shared" si="216"/>
        <v>0.40851734492715863</v>
      </c>
      <c r="T370">
        <f t="shared" si="217"/>
        <v>8.4711282324820045E-2</v>
      </c>
      <c r="U370">
        <f t="shared" si="213"/>
        <v>0</v>
      </c>
      <c r="V370">
        <f t="shared" si="218"/>
        <v>0.94515637666437657</v>
      </c>
      <c r="W370" t="str">
        <f t="shared" si="214"/>
        <v/>
      </c>
      <c r="X370">
        <f t="shared" si="219"/>
        <v>0.82521681024985127</v>
      </c>
      <c r="Y370" t="str">
        <f t="shared" si="215"/>
        <v/>
      </c>
      <c r="Z370">
        <f t="shared" si="220"/>
        <v>1.0443091204021071</v>
      </c>
      <c r="AA370">
        <f t="shared" si="221"/>
        <v>1.0593098366129658</v>
      </c>
      <c r="AB370">
        <f t="shared" si="222"/>
        <v>0.15463549068258228</v>
      </c>
      <c r="AC370">
        <f t="shared" si="223"/>
        <v>0.19788548946337753</v>
      </c>
      <c r="AD370">
        <f t="shared" si="224"/>
        <v>0.28690453857601911</v>
      </c>
    </row>
    <row r="371" spans="1:30">
      <c r="A371" t="s">
        <v>270</v>
      </c>
      <c r="B371" t="s">
        <v>31</v>
      </c>
      <c r="C371" t="s">
        <v>32</v>
      </c>
      <c r="D371" t="s">
        <v>33</v>
      </c>
      <c r="E371" s="2">
        <v>46099</v>
      </c>
      <c r="F371" t="s">
        <v>40</v>
      </c>
      <c r="G371">
        <v>153.5</v>
      </c>
      <c r="H371">
        <v>97.3</v>
      </c>
      <c r="I371">
        <v>-1957.8</v>
      </c>
      <c r="J371">
        <v>72.599999999999994</v>
      </c>
      <c r="K371">
        <v>0</v>
      </c>
      <c r="L371">
        <v>0.6</v>
      </c>
      <c r="M371">
        <v>0</v>
      </c>
      <c r="N371">
        <v>73.2</v>
      </c>
      <c r="O371">
        <v>115.09</v>
      </c>
      <c r="P371">
        <v>115.09</v>
      </c>
      <c r="Q371">
        <v>7.71</v>
      </c>
      <c r="R371">
        <v>7.84</v>
      </c>
      <c r="S371">
        <f t="shared" si="216"/>
        <v>0.13254350085566374</v>
      </c>
      <c r="T371">
        <f t="shared" si="217"/>
        <v>0.17335328503290987</v>
      </c>
      <c r="U371">
        <f t="shared" si="213"/>
        <v>0</v>
      </c>
      <c r="V371">
        <f t="shared" si="218"/>
        <v>1.4391142749432955</v>
      </c>
      <c r="W371" t="str">
        <f t="shared" si="214"/>
        <v/>
      </c>
      <c r="X371">
        <f t="shared" si="219"/>
        <v>0.89699045912885444</v>
      </c>
      <c r="Y371" t="str">
        <f t="shared" si="215"/>
        <v/>
      </c>
      <c r="Z371">
        <f t="shared" si="220"/>
        <v>1.5752073089271135</v>
      </c>
      <c r="AA371">
        <f t="shared" si="221"/>
        <v>1.0996096673536808</v>
      </c>
      <c r="AB371">
        <f t="shared" si="222"/>
        <v>0.19718356088447131</v>
      </c>
      <c r="AC371">
        <f t="shared" si="223"/>
        <v>0.5931211037852786</v>
      </c>
      <c r="AD371">
        <f t="shared" si="224"/>
        <v>0.18833902374967157</v>
      </c>
    </row>
    <row r="372" spans="1:30">
      <c r="A372" t="s">
        <v>271</v>
      </c>
      <c r="B372" t="s">
        <v>31</v>
      </c>
      <c r="C372" t="s">
        <v>32</v>
      </c>
      <c r="D372" t="s">
        <v>33</v>
      </c>
      <c r="E372" s="2">
        <v>46099</v>
      </c>
      <c r="F372" t="s">
        <v>40</v>
      </c>
      <c r="G372">
        <v>149.5</v>
      </c>
      <c r="H372">
        <v>92.4</v>
      </c>
      <c r="I372">
        <v>-1957.8</v>
      </c>
      <c r="J372">
        <v>70.8</v>
      </c>
      <c r="K372">
        <v>0</v>
      </c>
      <c r="L372">
        <v>4.8</v>
      </c>
      <c r="M372">
        <v>0</v>
      </c>
      <c r="N372">
        <v>66</v>
      </c>
      <c r="O372">
        <v>114.94</v>
      </c>
      <c r="P372">
        <v>114.94</v>
      </c>
      <c r="Q372">
        <v>8.18</v>
      </c>
      <c r="R372">
        <v>7.93</v>
      </c>
      <c r="S372">
        <f t="shared" si="216"/>
        <v>0.56559952596088259</v>
      </c>
      <c r="T372">
        <f t="shared" si="217"/>
        <v>0.79935162270007254</v>
      </c>
      <c r="U372">
        <f t="shared" si="213"/>
        <v>0</v>
      </c>
      <c r="V372">
        <f t="shared" si="218"/>
        <v>0.62936197817087935</v>
      </c>
      <c r="W372" t="str">
        <f t="shared" si="214"/>
        <v/>
      </c>
      <c r="X372">
        <f t="shared" si="219"/>
        <v>2.1175027937892823</v>
      </c>
      <c r="Y372" t="str">
        <f t="shared" si="215"/>
        <v/>
      </c>
      <c r="Z372">
        <f t="shared" si="220"/>
        <v>1.2824469776138518</v>
      </c>
      <c r="AA372">
        <f t="shared" si="221"/>
        <v>1.0132528871950115</v>
      </c>
      <c r="AB372">
        <f t="shared" si="222"/>
        <v>0.10600912473757246</v>
      </c>
      <c r="AC372">
        <f t="shared" si="223"/>
        <v>0.25124589044787415</v>
      </c>
      <c r="AD372">
        <f t="shared" si="224"/>
        <v>3.6776347878287395E-2</v>
      </c>
    </row>
    <row r="373" spans="1:30">
      <c r="A373" t="s">
        <v>272</v>
      </c>
      <c r="B373" t="s">
        <v>31</v>
      </c>
      <c r="C373" t="s">
        <v>32</v>
      </c>
      <c r="D373" t="s">
        <v>33</v>
      </c>
      <c r="E373" s="2">
        <v>46099</v>
      </c>
      <c r="F373" t="s">
        <v>34</v>
      </c>
      <c r="G373">
        <v>144.1</v>
      </c>
      <c r="H373">
        <v>94.2</v>
      </c>
      <c r="I373">
        <v>-1957.8</v>
      </c>
      <c r="J373">
        <v>68.2</v>
      </c>
      <c r="K373">
        <v>0</v>
      </c>
      <c r="L373">
        <v>1.5</v>
      </c>
      <c r="M373">
        <v>0</v>
      </c>
      <c r="N373">
        <v>66.7</v>
      </c>
      <c r="O373">
        <v>115.38</v>
      </c>
      <c r="P373">
        <v>115.38</v>
      </c>
      <c r="Q373">
        <v>8.06</v>
      </c>
      <c r="R373">
        <v>7.81</v>
      </c>
      <c r="S373">
        <f t="shared" si="216"/>
        <v>1.508092612163221</v>
      </c>
      <c r="T373">
        <f t="shared" si="217"/>
        <v>0.4420314525124463</v>
      </c>
      <c r="U373">
        <f t="shared" si="213"/>
        <v>0</v>
      </c>
      <c r="V373">
        <f t="shared" si="218"/>
        <v>0.54028022827816535</v>
      </c>
      <c r="W373" t="str">
        <f t="shared" si="214"/>
        <v/>
      </c>
      <c r="X373">
        <f t="shared" si="219"/>
        <v>0.25102761921782518</v>
      </c>
      <c r="Y373" t="str">
        <f t="shared" si="215"/>
        <v/>
      </c>
      <c r="Z373">
        <f t="shared" si="220"/>
        <v>1.0046194775334794</v>
      </c>
      <c r="AA373">
        <f t="shared" si="221"/>
        <v>1.2665661089937643</v>
      </c>
      <c r="AB373">
        <f t="shared" si="222"/>
        <v>0.3734541374351309</v>
      </c>
      <c r="AC373">
        <f t="shared" si="223"/>
        <v>3.5662828090474739E-2</v>
      </c>
      <c r="AD373">
        <f t="shared" si="224"/>
        <v>0.26337748095899194</v>
      </c>
    </row>
    <row r="374" spans="1:30">
      <c r="A374" t="s">
        <v>272</v>
      </c>
      <c r="B374" t="s">
        <v>31</v>
      </c>
      <c r="C374" t="s">
        <v>32</v>
      </c>
      <c r="D374" t="s">
        <v>33</v>
      </c>
      <c r="E374" s="2">
        <v>46099</v>
      </c>
      <c r="F374" t="s">
        <v>40</v>
      </c>
      <c r="G374">
        <v>155.30000000000001</v>
      </c>
      <c r="H374">
        <v>100.1</v>
      </c>
      <c r="I374">
        <v>-1957.8</v>
      </c>
      <c r="J374">
        <v>68.599999999999994</v>
      </c>
      <c r="K374">
        <v>0</v>
      </c>
      <c r="L374">
        <v>0.4</v>
      </c>
      <c r="M374">
        <v>0</v>
      </c>
      <c r="N374">
        <v>68.2</v>
      </c>
      <c r="O374">
        <v>114.94</v>
      </c>
      <c r="P374">
        <v>114.8</v>
      </c>
      <c r="Q374">
        <v>7.89</v>
      </c>
      <c r="R374">
        <v>8.18</v>
      </c>
      <c r="S374">
        <f t="shared" ref="S374:S396" si="225">IF(OR(G374=0,G374=""),"",ABS((G374-152.740594)/5.729485))</f>
        <v>0.44670786292311154</v>
      </c>
      <c r="T374">
        <f t="shared" ref="T374:T396" si="226">IF(OR(H374=0,H374=""),"",ABS((H374-96.426733)/5.037499))</f>
        <v>0.72918466088032874</v>
      </c>
      <c r="U374">
        <f t="shared" si="213"/>
        <v>0</v>
      </c>
      <c r="V374">
        <f t="shared" ref="V374:V396" si="227">IF(OR(J374=0,J374=""),"",ABS((J374-69.40099)/2.222902))</f>
        <v>0.36033527343985422</v>
      </c>
      <c r="W374" t="str">
        <f t="shared" si="214"/>
        <v/>
      </c>
      <c r="X374">
        <f t="shared" ref="X374:X396" si="228">IF(OR(L374=0,L374=""),"",ABS((L374-1.849749)/1.393269))</f>
        <v>1.040537756886861</v>
      </c>
      <c r="Y374" t="str">
        <f t="shared" si="215"/>
        <v/>
      </c>
      <c r="Z374">
        <f t="shared" ref="Z374:Z396" si="229">IF(OR(N374=0,N374=""),"",ABS((N374-69.231188)/2.519549))</f>
        <v>0.40927483450411173</v>
      </c>
      <c r="AA374">
        <f t="shared" ref="AA374:AA396" si="230">IF(OR(O374=0,O374=""),"",ABS((O374-113.18)/1.73698))</f>
        <v>1.0132528871950115</v>
      </c>
      <c r="AB374">
        <f t="shared" ref="AB374:AB396" si="231">IF(OR(P374=0,P374=""),"",ABS((P374-114.765594)/1.645198))</f>
        <v>2.0912984333803078E-2</v>
      </c>
      <c r="AC374">
        <f t="shared" ref="AC374:AC396" si="232">IF(OR(Q374=0,Q374=""),"",ABS((Q374-8.040149)/0.55663))</f>
        <v>0.2697465102491779</v>
      </c>
      <c r="AD374">
        <f t="shared" ref="AD374:AD396" si="233">IF(OR(R374=0,R374=""),"",ABS((R374-7.915297)/0.399795))</f>
        <v>0.66209682462261887</v>
      </c>
    </row>
    <row r="375" spans="1:30">
      <c r="A375" t="s">
        <v>273</v>
      </c>
      <c r="B375" t="s">
        <v>31</v>
      </c>
      <c r="C375" t="s">
        <v>32</v>
      </c>
      <c r="D375" t="s">
        <v>33</v>
      </c>
      <c r="E375" s="2">
        <v>46100</v>
      </c>
      <c r="F375" t="s">
        <v>40</v>
      </c>
      <c r="G375">
        <v>152.6</v>
      </c>
      <c r="H375">
        <v>95.5</v>
      </c>
      <c r="I375">
        <v>-1957.8</v>
      </c>
      <c r="J375">
        <v>71.7</v>
      </c>
      <c r="K375">
        <v>0</v>
      </c>
      <c r="L375">
        <v>6</v>
      </c>
      <c r="M375">
        <v>0</v>
      </c>
      <c r="N375">
        <v>65.7</v>
      </c>
      <c r="O375">
        <v>111.79</v>
      </c>
      <c r="P375">
        <v>113.11</v>
      </c>
      <c r="Q375">
        <v>7.54</v>
      </c>
      <c r="R375">
        <v>7.79</v>
      </c>
      <c r="S375">
        <f t="shared" si="225"/>
        <v>2.4538680178060157E-2</v>
      </c>
      <c r="T375">
        <f t="shared" si="226"/>
        <v>0.18396688515471638</v>
      </c>
      <c r="U375">
        <f t="shared" si="213"/>
        <v>0</v>
      </c>
      <c r="V375">
        <f t="shared" si="227"/>
        <v>1.0342381265570906</v>
      </c>
      <c r="W375" t="str">
        <f t="shared" si="214"/>
        <v/>
      </c>
      <c r="X375">
        <f t="shared" si="228"/>
        <v>2.9787865803373217</v>
      </c>
      <c r="Y375" t="str">
        <f t="shared" si="215"/>
        <v/>
      </c>
      <c r="Z375">
        <f t="shared" si="229"/>
        <v>1.4015159062197242</v>
      </c>
      <c r="AA375">
        <f t="shared" si="230"/>
        <v>0.80023949613697376</v>
      </c>
      <c r="AB375">
        <f t="shared" si="231"/>
        <v>1.0063189962545502</v>
      </c>
      <c r="AC375">
        <f t="shared" si="232"/>
        <v>0.89853044212492961</v>
      </c>
      <c r="AD375">
        <f t="shared" si="233"/>
        <v>0.31340311909853741</v>
      </c>
    </row>
    <row r="376" spans="1:30">
      <c r="A376" t="s">
        <v>274</v>
      </c>
      <c r="B376" t="s">
        <v>31</v>
      </c>
      <c r="C376" t="s">
        <v>32</v>
      </c>
      <c r="D376" t="s">
        <v>33</v>
      </c>
      <c r="E376" s="2">
        <v>46100</v>
      </c>
      <c r="F376" t="s">
        <v>34</v>
      </c>
      <c r="G376">
        <v>142.30000000000001</v>
      </c>
      <c r="H376">
        <v>87.9</v>
      </c>
      <c r="I376">
        <v>-1957.8</v>
      </c>
      <c r="J376">
        <v>70</v>
      </c>
      <c r="K376">
        <v>0</v>
      </c>
      <c r="L376">
        <v>5.7</v>
      </c>
      <c r="M376">
        <v>0</v>
      </c>
      <c r="N376">
        <v>64.3</v>
      </c>
      <c r="O376">
        <v>111.79</v>
      </c>
      <c r="P376">
        <v>113.26</v>
      </c>
      <c r="Q376">
        <v>7.5</v>
      </c>
      <c r="R376">
        <v>7.08</v>
      </c>
      <c r="S376">
        <f t="shared" si="225"/>
        <v>1.8222569742306638</v>
      </c>
      <c r="T376">
        <f t="shared" si="226"/>
        <v>1.6926520481691396</v>
      </c>
      <c r="U376">
        <f t="shared" si="213"/>
        <v>0</v>
      </c>
      <c r="V376">
        <f t="shared" si="227"/>
        <v>0.26947206849425076</v>
      </c>
      <c r="W376" t="str">
        <f t="shared" si="214"/>
        <v/>
      </c>
      <c r="X376">
        <f t="shared" si="228"/>
        <v>2.7634656337003118</v>
      </c>
      <c r="Y376" t="str">
        <f t="shared" si="215"/>
        <v/>
      </c>
      <c r="Z376">
        <f t="shared" si="229"/>
        <v>1.9571709063804696</v>
      </c>
      <c r="AA376">
        <f t="shared" si="230"/>
        <v>0.80023949613697376</v>
      </c>
      <c r="AB376">
        <f t="shared" si="231"/>
        <v>0.91514456010765144</v>
      </c>
      <c r="AC376">
        <f t="shared" si="232"/>
        <v>0.97039146291072986</v>
      </c>
      <c r="AD376">
        <f t="shared" si="233"/>
        <v>2.0893132730524386</v>
      </c>
    </row>
    <row r="377" spans="1:30">
      <c r="A377" t="s">
        <v>274</v>
      </c>
      <c r="B377" t="s">
        <v>31</v>
      </c>
      <c r="C377" t="s">
        <v>32</v>
      </c>
      <c r="D377" t="s">
        <v>33</v>
      </c>
      <c r="E377" s="2">
        <v>46100</v>
      </c>
      <c r="F377" t="s">
        <v>40</v>
      </c>
      <c r="G377">
        <v>154.80000000000001</v>
      </c>
      <c r="H377">
        <v>93.7</v>
      </c>
      <c r="I377">
        <v>-1957.8</v>
      </c>
      <c r="J377">
        <v>70</v>
      </c>
      <c r="K377">
        <v>0</v>
      </c>
      <c r="L377">
        <v>3.6</v>
      </c>
      <c r="M377">
        <v>0</v>
      </c>
      <c r="N377">
        <v>66.400000000000006</v>
      </c>
      <c r="O377">
        <v>115.16</v>
      </c>
      <c r="P377">
        <v>115.24</v>
      </c>
      <c r="Q377">
        <v>7.01</v>
      </c>
      <c r="R377">
        <v>7.01</v>
      </c>
      <c r="S377">
        <f t="shared" si="225"/>
        <v>0.35943998457104326</v>
      </c>
      <c r="T377">
        <f t="shared" si="226"/>
        <v>0.54128705534234267</v>
      </c>
      <c r="U377">
        <f t="shared" si="213"/>
        <v>0</v>
      </c>
      <c r="V377">
        <f t="shared" si="227"/>
        <v>0.26947206849425076</v>
      </c>
      <c r="W377" t="str">
        <f t="shared" si="214"/>
        <v/>
      </c>
      <c r="X377">
        <f t="shared" si="228"/>
        <v>1.2562190072412434</v>
      </c>
      <c r="Y377" t="str">
        <f t="shared" si="215"/>
        <v/>
      </c>
      <c r="Z377">
        <f t="shared" si="229"/>
        <v>1.1236884061393517</v>
      </c>
      <c r="AA377">
        <f t="shared" si="230"/>
        <v>1.1399094980943878</v>
      </c>
      <c r="AB377">
        <f t="shared" si="231"/>
        <v>0.2883579970313615</v>
      </c>
      <c r="AC377">
        <f t="shared" si="232"/>
        <v>1.8506889675367835</v>
      </c>
      <c r="AD377">
        <f t="shared" si="233"/>
        <v>2.264403006540852</v>
      </c>
    </row>
    <row r="378" spans="1:30">
      <c r="A378" t="s">
        <v>275</v>
      </c>
      <c r="B378" t="s">
        <v>31</v>
      </c>
      <c r="C378" t="s">
        <v>32</v>
      </c>
      <c r="D378" t="s">
        <v>33</v>
      </c>
      <c r="E378" s="2">
        <v>46100</v>
      </c>
      <c r="F378" t="s">
        <v>40</v>
      </c>
      <c r="G378">
        <v>157.1</v>
      </c>
      <c r="H378">
        <v>100.5</v>
      </c>
      <c r="I378">
        <v>-1957.8</v>
      </c>
      <c r="J378">
        <v>69.099999999999994</v>
      </c>
      <c r="K378">
        <v>0</v>
      </c>
      <c r="L378">
        <v>2.8</v>
      </c>
      <c r="M378">
        <v>0</v>
      </c>
      <c r="N378">
        <v>66.3</v>
      </c>
      <c r="O378">
        <v>114.8</v>
      </c>
      <c r="P378">
        <v>114.72</v>
      </c>
      <c r="Q378">
        <v>8.3000000000000007</v>
      </c>
      <c r="R378">
        <v>8.11</v>
      </c>
      <c r="S378">
        <f t="shared" si="225"/>
        <v>0.7608722249905544</v>
      </c>
      <c r="T378">
        <f t="shared" si="226"/>
        <v>0.80858914314424701</v>
      </c>
      <c r="U378">
        <f t="shared" si="213"/>
        <v>0</v>
      </c>
      <c r="V378">
        <f t="shared" si="227"/>
        <v>0.13540407989196049</v>
      </c>
      <c r="W378" t="str">
        <f t="shared" si="214"/>
        <v/>
      </c>
      <c r="X378">
        <f t="shared" si="228"/>
        <v>0.6820298162092171</v>
      </c>
      <c r="Y378" t="str">
        <f t="shared" si="215"/>
        <v/>
      </c>
      <c r="Z378">
        <f t="shared" si="229"/>
        <v>1.1633780490079795</v>
      </c>
      <c r="AA378">
        <f t="shared" si="230"/>
        <v>0.93265322571358933</v>
      </c>
      <c r="AB378">
        <f t="shared" si="231"/>
        <v>2.7713381611206761E-2</v>
      </c>
      <c r="AC378">
        <f t="shared" si="232"/>
        <v>0.46682895280527675</v>
      </c>
      <c r="AD378">
        <f t="shared" si="233"/>
        <v>0.48700709113420532</v>
      </c>
    </row>
    <row r="379" spans="1:30">
      <c r="A379" t="s">
        <v>276</v>
      </c>
      <c r="B379" t="s">
        <v>31</v>
      </c>
      <c r="C379" t="s">
        <v>32</v>
      </c>
      <c r="D379" t="s">
        <v>33</v>
      </c>
      <c r="E379" s="2">
        <v>46100</v>
      </c>
      <c r="F379" t="s">
        <v>34</v>
      </c>
      <c r="G379">
        <v>152.19999999999999</v>
      </c>
      <c r="H379">
        <v>98.3</v>
      </c>
      <c r="I379">
        <v>-1957.8</v>
      </c>
      <c r="J379">
        <v>73.5</v>
      </c>
      <c r="K379">
        <v>0</v>
      </c>
      <c r="L379">
        <v>2.4</v>
      </c>
      <c r="M379">
        <v>0</v>
      </c>
      <c r="N379">
        <v>75.900000000000006</v>
      </c>
      <c r="O379">
        <v>114.5</v>
      </c>
      <c r="P379">
        <v>114.5</v>
      </c>
      <c r="Q379">
        <v>8.57</v>
      </c>
      <c r="R379">
        <v>8.3000000000000007</v>
      </c>
      <c r="S379">
        <f t="shared" si="225"/>
        <v>9.4352982859715773E-2</v>
      </c>
      <c r="T379">
        <f t="shared" si="226"/>
        <v>0.37186449069270255</v>
      </c>
      <c r="U379">
        <f t="shared" si="213"/>
        <v>0</v>
      </c>
      <c r="V379">
        <f t="shared" si="227"/>
        <v>1.8439904233295066</v>
      </c>
      <c r="W379" t="str">
        <f t="shared" si="214"/>
        <v/>
      </c>
      <c r="X379">
        <f t="shared" si="228"/>
        <v>0.39493522069320408</v>
      </c>
      <c r="Y379" t="str">
        <f t="shared" si="215"/>
        <v/>
      </c>
      <c r="Z379">
        <f t="shared" si="229"/>
        <v>2.6468276663799761</v>
      </c>
      <c r="AA379">
        <f t="shared" si="230"/>
        <v>0.75993966539625857</v>
      </c>
      <c r="AB379">
        <f t="shared" si="231"/>
        <v>0.16143588795998598</v>
      </c>
      <c r="AC379">
        <f t="shared" si="232"/>
        <v>0.95189084310942773</v>
      </c>
      <c r="AD379">
        <f t="shared" si="233"/>
        <v>0.96225065345990046</v>
      </c>
    </row>
    <row r="380" spans="1:30">
      <c r="A380" t="s">
        <v>276</v>
      </c>
      <c r="B380" t="s">
        <v>31</v>
      </c>
      <c r="C380" t="s">
        <v>32</v>
      </c>
      <c r="D380" t="s">
        <v>33</v>
      </c>
      <c r="E380" s="2">
        <v>46100</v>
      </c>
      <c r="F380" t="s">
        <v>40</v>
      </c>
      <c r="G380">
        <v>159.30000000000001</v>
      </c>
      <c r="H380">
        <v>100.5</v>
      </c>
      <c r="I380">
        <v>-1957.8</v>
      </c>
      <c r="J380">
        <v>71.3</v>
      </c>
      <c r="K380">
        <v>0</v>
      </c>
      <c r="L380">
        <v>3.6</v>
      </c>
      <c r="M380">
        <v>0</v>
      </c>
      <c r="N380">
        <v>67.7</v>
      </c>
      <c r="O380">
        <v>114.58</v>
      </c>
      <c r="P380">
        <v>114.36</v>
      </c>
      <c r="Q380">
        <v>8.08</v>
      </c>
      <c r="R380">
        <v>8.4700000000000006</v>
      </c>
      <c r="S380">
        <f t="shared" si="225"/>
        <v>1.1448508897396579</v>
      </c>
      <c r="T380">
        <f t="shared" si="226"/>
        <v>0.80858914314424701</v>
      </c>
      <c r="U380">
        <f t="shared" si="213"/>
        <v>0</v>
      </c>
      <c r="V380">
        <f t="shared" si="227"/>
        <v>0.85429317171877306</v>
      </c>
      <c r="W380" t="str">
        <f t="shared" si="214"/>
        <v/>
      </c>
      <c r="X380">
        <f t="shared" si="228"/>
        <v>1.2562190072412434</v>
      </c>
      <c r="Y380" t="str">
        <f t="shared" si="215"/>
        <v/>
      </c>
      <c r="Z380">
        <f t="shared" si="229"/>
        <v>0.60772304884723427</v>
      </c>
      <c r="AA380">
        <f t="shared" si="230"/>
        <v>0.80599661481421292</v>
      </c>
      <c r="AB380">
        <f t="shared" si="231"/>
        <v>0.24653202836375535</v>
      </c>
      <c r="AC380">
        <f t="shared" si="232"/>
        <v>7.1593338483374111E-2</v>
      </c>
      <c r="AD380">
        <f t="shared" si="233"/>
        <v>1.3874685776460456</v>
      </c>
    </row>
    <row r="381" spans="1:30">
      <c r="A381" t="s">
        <v>277</v>
      </c>
      <c r="B381" t="s">
        <v>31</v>
      </c>
      <c r="C381" t="s">
        <v>32</v>
      </c>
      <c r="D381" t="s">
        <v>33</v>
      </c>
      <c r="E381" s="2">
        <v>46100</v>
      </c>
      <c r="F381" t="s">
        <v>40</v>
      </c>
      <c r="G381">
        <v>156.19999999999999</v>
      </c>
      <c r="H381">
        <v>102.8</v>
      </c>
      <c r="I381">
        <v>-1957.8</v>
      </c>
      <c r="J381">
        <v>71.3</v>
      </c>
      <c r="K381">
        <v>0</v>
      </c>
      <c r="L381">
        <v>1.8</v>
      </c>
      <c r="M381">
        <v>0</v>
      </c>
      <c r="N381">
        <v>69.5</v>
      </c>
      <c r="O381">
        <v>111.2</v>
      </c>
      <c r="P381">
        <v>118.02</v>
      </c>
      <c r="Q381">
        <v>8.94</v>
      </c>
      <c r="R381">
        <v>8.1300000000000008</v>
      </c>
      <c r="S381">
        <f t="shared" si="225"/>
        <v>0.60379004395683056</v>
      </c>
      <c r="T381">
        <f t="shared" si="226"/>
        <v>1.2651649161617695</v>
      </c>
      <c r="U381">
        <f t="shared" si="213"/>
        <v>0</v>
      </c>
      <c r="V381">
        <f t="shared" si="227"/>
        <v>0.85429317171877306</v>
      </c>
      <c r="W381" t="str">
        <f t="shared" si="214"/>
        <v/>
      </c>
      <c r="X381">
        <f t="shared" si="228"/>
        <v>3.5706672580815363E-2</v>
      </c>
      <c r="Y381" t="str">
        <f t="shared" si="215"/>
        <v/>
      </c>
      <c r="Z381">
        <f t="shared" si="229"/>
        <v>0.10669052278800568</v>
      </c>
      <c r="AA381">
        <f t="shared" si="230"/>
        <v>1.139909498094396</v>
      </c>
      <c r="AB381">
        <f t="shared" si="231"/>
        <v>1.9781242136204902</v>
      </c>
      <c r="AC381">
        <f t="shared" si="232"/>
        <v>1.6166052853780788</v>
      </c>
      <c r="AD381">
        <f t="shared" si="233"/>
        <v>0.53703272927375523</v>
      </c>
    </row>
    <row r="382" spans="1:30">
      <c r="A382" t="s">
        <v>278</v>
      </c>
      <c r="B382" t="s">
        <v>31</v>
      </c>
      <c r="C382" t="s">
        <v>32</v>
      </c>
      <c r="D382" t="s">
        <v>33</v>
      </c>
      <c r="E382" s="2">
        <v>46100</v>
      </c>
      <c r="F382" t="s">
        <v>34</v>
      </c>
      <c r="G382">
        <v>97.7</v>
      </c>
      <c r="H382">
        <v>169.1</v>
      </c>
      <c r="I382">
        <v>-1957.8</v>
      </c>
      <c r="J382">
        <v>69.5</v>
      </c>
      <c r="K382">
        <v>0</v>
      </c>
      <c r="L382">
        <v>4.5</v>
      </c>
      <c r="M382">
        <v>0</v>
      </c>
      <c r="N382">
        <v>65</v>
      </c>
      <c r="O382">
        <v>111.06</v>
      </c>
      <c r="P382">
        <v>117.66</v>
      </c>
      <c r="Q382">
        <v>8.74</v>
      </c>
      <c r="R382">
        <v>8.1999999999999993</v>
      </c>
      <c r="S382">
        <f t="shared" si="225"/>
        <v>9.6065517232351567</v>
      </c>
      <c r="T382">
        <f t="shared" si="226"/>
        <v>14.426457851406022</v>
      </c>
      <c r="U382">
        <f t="shared" si="213"/>
        <v>0</v>
      </c>
      <c r="V382">
        <f t="shared" si="227"/>
        <v>4.4540874946357029E-2</v>
      </c>
      <c r="W382" t="str">
        <f t="shared" si="214"/>
        <v/>
      </c>
      <c r="X382">
        <f t="shared" si="228"/>
        <v>1.9021818471522727</v>
      </c>
      <c r="Y382" t="str">
        <f t="shared" si="215"/>
        <v/>
      </c>
      <c r="Z382">
        <f t="shared" si="229"/>
        <v>1.6793434063000969</v>
      </c>
      <c r="AA382">
        <f t="shared" si="230"/>
        <v>1.2205091595758182</v>
      </c>
      <c r="AB382">
        <f t="shared" si="231"/>
        <v>1.7593055668679416</v>
      </c>
      <c r="AC382">
        <f t="shared" si="232"/>
        <v>1.2573001814490787</v>
      </c>
      <c r="AD382">
        <f t="shared" si="233"/>
        <v>0.71212246276216429</v>
      </c>
    </row>
    <row r="383" spans="1:30">
      <c r="A383" t="s">
        <v>278</v>
      </c>
      <c r="B383" t="s">
        <v>31</v>
      </c>
      <c r="C383" t="s">
        <v>32</v>
      </c>
      <c r="D383" t="s">
        <v>33</v>
      </c>
      <c r="E383" s="2">
        <v>46100</v>
      </c>
      <c r="F383" t="s">
        <v>34</v>
      </c>
      <c r="G383">
        <v>97.7</v>
      </c>
      <c r="H383">
        <v>175.4</v>
      </c>
      <c r="I383">
        <v>-1957.8</v>
      </c>
      <c r="J383">
        <v>69.5</v>
      </c>
      <c r="K383">
        <v>0</v>
      </c>
      <c r="L383">
        <v>2</v>
      </c>
      <c r="M383">
        <v>0</v>
      </c>
      <c r="N383">
        <v>67.5</v>
      </c>
      <c r="O383">
        <v>111.13</v>
      </c>
      <c r="P383">
        <v>117.8</v>
      </c>
      <c r="Q383">
        <v>8.6199999999999992</v>
      </c>
      <c r="R383">
        <v>8.1999999999999993</v>
      </c>
      <c r="S383">
        <f t="shared" si="225"/>
        <v>9.6065517232351567</v>
      </c>
      <c r="T383">
        <f t="shared" si="226"/>
        <v>15.677078447062719</v>
      </c>
      <c r="U383">
        <f t="shared" si="213"/>
        <v>0</v>
      </c>
      <c r="V383">
        <f t="shared" si="227"/>
        <v>4.4540874946357029E-2</v>
      </c>
      <c r="W383" t="str">
        <f t="shared" si="214"/>
        <v/>
      </c>
      <c r="X383">
        <f t="shared" si="228"/>
        <v>0.10784062517719113</v>
      </c>
      <c r="Y383" t="str">
        <f t="shared" si="215"/>
        <v/>
      </c>
      <c r="Z383">
        <f t="shared" si="229"/>
        <v>0.68710233458448433</v>
      </c>
      <c r="AA383">
        <f t="shared" si="230"/>
        <v>1.1802093288351112</v>
      </c>
      <c r="AB383">
        <f t="shared" si="231"/>
        <v>1.8444017072717109</v>
      </c>
      <c r="AC383">
        <f t="shared" si="232"/>
        <v>1.0417171190916761</v>
      </c>
      <c r="AD383">
        <f t="shared" si="233"/>
        <v>0.71212246276216429</v>
      </c>
    </row>
    <row r="384" spans="1:30">
      <c r="A384" t="s">
        <v>278</v>
      </c>
      <c r="B384" t="s">
        <v>31</v>
      </c>
      <c r="C384" t="s">
        <v>32</v>
      </c>
      <c r="D384" t="s">
        <v>33</v>
      </c>
      <c r="E384" s="2">
        <v>46100</v>
      </c>
      <c r="F384" t="s">
        <v>40</v>
      </c>
      <c r="G384">
        <v>161.5</v>
      </c>
      <c r="H384">
        <v>99.2</v>
      </c>
      <c r="I384">
        <v>-1957.8</v>
      </c>
      <c r="J384">
        <v>69.5</v>
      </c>
      <c r="K384">
        <v>0</v>
      </c>
      <c r="L384">
        <v>4.5</v>
      </c>
      <c r="M384">
        <v>0</v>
      </c>
      <c r="N384">
        <v>65</v>
      </c>
      <c r="O384">
        <v>111.28</v>
      </c>
      <c r="P384">
        <v>117.58</v>
      </c>
      <c r="Q384">
        <v>8.3699999999999992</v>
      </c>
      <c r="R384">
        <v>8.1300000000000008</v>
      </c>
      <c r="S384">
        <f t="shared" si="225"/>
        <v>1.5288295544887562</v>
      </c>
      <c r="T384">
        <f t="shared" si="226"/>
        <v>0.55052457578651703</v>
      </c>
      <c r="U384">
        <f t="shared" si="213"/>
        <v>0</v>
      </c>
      <c r="V384">
        <f t="shared" si="227"/>
        <v>4.4540874946357029E-2</v>
      </c>
      <c r="W384" t="str">
        <f t="shared" si="214"/>
        <v/>
      </c>
      <c r="X384">
        <f t="shared" si="228"/>
        <v>1.9021818471522727</v>
      </c>
      <c r="Y384" t="str">
        <f t="shared" si="215"/>
        <v/>
      </c>
      <c r="Z384">
        <f t="shared" si="229"/>
        <v>1.6793434063000969</v>
      </c>
      <c r="AA384">
        <f t="shared" si="230"/>
        <v>1.0938525486764417</v>
      </c>
      <c r="AB384">
        <f t="shared" si="231"/>
        <v>1.7106792009229317</v>
      </c>
      <c r="AC384">
        <f t="shared" si="232"/>
        <v>0.59258573918042456</v>
      </c>
      <c r="AD384">
        <f t="shared" si="233"/>
        <v>0.53703272927375523</v>
      </c>
    </row>
    <row r="385" spans="1:30">
      <c r="A385" t="s">
        <v>279</v>
      </c>
      <c r="B385" t="s">
        <v>31</v>
      </c>
      <c r="C385" t="s">
        <v>32</v>
      </c>
      <c r="D385" t="s">
        <v>33</v>
      </c>
      <c r="E385" s="2">
        <v>46100</v>
      </c>
      <c r="F385" t="s">
        <v>40</v>
      </c>
      <c r="G385">
        <v>153</v>
      </c>
      <c r="H385">
        <v>98.7</v>
      </c>
      <c r="I385">
        <v>-1957.8</v>
      </c>
      <c r="J385">
        <v>69.5</v>
      </c>
      <c r="K385">
        <v>0</v>
      </c>
      <c r="L385">
        <v>3.8</v>
      </c>
      <c r="M385">
        <v>0</v>
      </c>
      <c r="N385">
        <v>65.7</v>
      </c>
      <c r="O385">
        <v>114.65</v>
      </c>
      <c r="P385">
        <v>114.65</v>
      </c>
      <c r="Q385">
        <v>8.4</v>
      </c>
      <c r="R385">
        <v>8.25</v>
      </c>
      <c r="S385">
        <f t="shared" si="225"/>
        <v>4.5275622503595465E-2</v>
      </c>
      <c r="T385">
        <f t="shared" si="226"/>
        <v>0.45126897295662072</v>
      </c>
      <c r="U385">
        <f t="shared" si="213"/>
        <v>0</v>
      </c>
      <c r="V385">
        <f t="shared" si="227"/>
        <v>4.4540874946357029E-2</v>
      </c>
      <c r="W385" t="str">
        <f t="shared" si="214"/>
        <v/>
      </c>
      <c r="X385">
        <f t="shared" si="228"/>
        <v>1.3997663049992497</v>
      </c>
      <c r="Y385" t="str">
        <f t="shared" si="215"/>
        <v/>
      </c>
      <c r="Z385">
        <f t="shared" si="229"/>
        <v>1.4015159062197242</v>
      </c>
      <c r="AA385">
        <f t="shared" si="230"/>
        <v>0.846296445554928</v>
      </c>
      <c r="AB385">
        <f t="shared" si="231"/>
        <v>7.0261451813087128E-2</v>
      </c>
      <c r="AC385">
        <f t="shared" si="232"/>
        <v>0.64648150476977673</v>
      </c>
      <c r="AD385">
        <f t="shared" si="233"/>
        <v>0.83718655811103238</v>
      </c>
    </row>
    <row r="386" spans="1:30">
      <c r="A386" t="s">
        <v>280</v>
      </c>
      <c r="B386" t="s">
        <v>31</v>
      </c>
      <c r="C386" t="s">
        <v>32</v>
      </c>
      <c r="D386" t="s">
        <v>33</v>
      </c>
      <c r="E386" s="2">
        <v>46100</v>
      </c>
      <c r="F386" t="s">
        <v>40</v>
      </c>
      <c r="G386">
        <v>150.80000000000001</v>
      </c>
      <c r="H386">
        <v>99.2</v>
      </c>
      <c r="I386">
        <v>-1957.8</v>
      </c>
      <c r="J386">
        <v>71.7</v>
      </c>
      <c r="K386">
        <v>0</v>
      </c>
      <c r="L386">
        <v>2.6</v>
      </c>
      <c r="M386">
        <v>0</v>
      </c>
      <c r="N386">
        <v>69.099999999999994</v>
      </c>
      <c r="O386">
        <v>114.5</v>
      </c>
      <c r="P386">
        <v>114.43</v>
      </c>
      <c r="Q386">
        <v>8.11</v>
      </c>
      <c r="R386">
        <v>7.96</v>
      </c>
      <c r="S386">
        <f t="shared" si="225"/>
        <v>0.33870304224550302</v>
      </c>
      <c r="T386">
        <f t="shared" si="226"/>
        <v>0.55052457578651703</v>
      </c>
      <c r="U386">
        <f t="shared" ref="U386:U449" si="234">IF(OR(I386=0,I386=""),"",ABS((I386--1957.8)/1))</f>
        <v>0</v>
      </c>
      <c r="V386">
        <f t="shared" si="227"/>
        <v>1.0342381265570906</v>
      </c>
      <c r="W386" t="str">
        <f t="shared" ref="W386:W449" si="235">IF(OR(K386=0,K386=""),"",ABS((K386-0)/1))</f>
        <v/>
      </c>
      <c r="X386">
        <f t="shared" si="228"/>
        <v>0.53848251845121076</v>
      </c>
      <c r="Y386" t="str">
        <f t="shared" ref="Y386:Y449" si="236">IF(OR(M386=0,M386=""),"",ABS((M386-0)/1))</f>
        <v/>
      </c>
      <c r="Z386">
        <f t="shared" si="229"/>
        <v>5.2068048686494582E-2</v>
      </c>
      <c r="AA386">
        <f t="shared" si="230"/>
        <v>0.75993966539625857</v>
      </c>
      <c r="AB386">
        <f t="shared" si="231"/>
        <v>0.20398395816186635</v>
      </c>
      <c r="AC386">
        <f t="shared" si="232"/>
        <v>0.12548910407272315</v>
      </c>
      <c r="AD386">
        <f t="shared" si="233"/>
        <v>0.1118148050876078</v>
      </c>
    </row>
    <row r="387" spans="1:30">
      <c r="A387" t="s">
        <v>281</v>
      </c>
      <c r="B387" t="s">
        <v>31</v>
      </c>
      <c r="C387" t="s">
        <v>32</v>
      </c>
      <c r="D387" t="s">
        <v>33</v>
      </c>
      <c r="E387" s="2">
        <v>46100</v>
      </c>
      <c r="F387" t="s">
        <v>40</v>
      </c>
      <c r="G387">
        <v>149.5</v>
      </c>
      <c r="H387">
        <v>98.7</v>
      </c>
      <c r="I387">
        <v>-1957.8</v>
      </c>
      <c r="J387">
        <v>70.400000000000006</v>
      </c>
      <c r="K387">
        <v>0</v>
      </c>
      <c r="L387">
        <v>3.8</v>
      </c>
      <c r="M387">
        <v>0</v>
      </c>
      <c r="N387">
        <v>66.599999999999994</v>
      </c>
      <c r="O387">
        <v>111.42</v>
      </c>
      <c r="P387">
        <v>117.8</v>
      </c>
      <c r="Q387">
        <v>8.57</v>
      </c>
      <c r="R387">
        <v>7.76</v>
      </c>
      <c r="S387">
        <f t="shared" si="225"/>
        <v>0.56559952596088259</v>
      </c>
      <c r="T387">
        <f t="shared" si="226"/>
        <v>0.45126897295662072</v>
      </c>
      <c r="U387">
        <f t="shared" si="234"/>
        <v>0</v>
      </c>
      <c r="V387">
        <f t="shared" si="227"/>
        <v>0.44941702333256828</v>
      </c>
      <c r="W387" t="str">
        <f t="shared" si="235"/>
        <v/>
      </c>
      <c r="X387">
        <f t="shared" si="228"/>
        <v>1.3997663049992497</v>
      </c>
      <c r="Y387" t="str">
        <f t="shared" si="236"/>
        <v/>
      </c>
      <c r="Z387">
        <f t="shared" si="229"/>
        <v>1.0443091204021071</v>
      </c>
      <c r="AA387">
        <f t="shared" si="230"/>
        <v>1.0132528871950195</v>
      </c>
      <c r="AB387">
        <f t="shared" si="231"/>
        <v>1.8444017072717109</v>
      </c>
      <c r="AC387">
        <f t="shared" si="232"/>
        <v>0.95189084310942773</v>
      </c>
      <c r="AD387">
        <f t="shared" si="233"/>
        <v>0.38844157630785781</v>
      </c>
    </row>
    <row r="388" spans="1:30">
      <c r="A388" t="s">
        <v>282</v>
      </c>
      <c r="B388" t="s">
        <v>31</v>
      </c>
      <c r="C388" t="s">
        <v>32</v>
      </c>
      <c r="D388" t="s">
        <v>33</v>
      </c>
      <c r="E388" s="2">
        <v>46100</v>
      </c>
      <c r="F388" t="s">
        <v>40</v>
      </c>
      <c r="G388">
        <v>154.4</v>
      </c>
      <c r="H388">
        <v>95.5</v>
      </c>
      <c r="I388">
        <v>-1957.8</v>
      </c>
      <c r="J388">
        <v>69.5</v>
      </c>
      <c r="K388">
        <v>0</v>
      </c>
      <c r="L388">
        <v>4.0999999999999996</v>
      </c>
      <c r="M388">
        <v>0</v>
      </c>
      <c r="N388">
        <v>65.400000000000006</v>
      </c>
      <c r="O388">
        <v>114.43</v>
      </c>
      <c r="P388">
        <v>113.04</v>
      </c>
      <c r="Q388">
        <v>8.33</v>
      </c>
      <c r="R388">
        <v>8.25</v>
      </c>
      <c r="S388">
        <f t="shared" si="225"/>
        <v>0.28962568188938764</v>
      </c>
      <c r="T388">
        <f t="shared" si="226"/>
        <v>0.18396688515471638</v>
      </c>
      <c r="U388">
        <f t="shared" si="234"/>
        <v>0</v>
      </c>
      <c r="V388">
        <f t="shared" si="227"/>
        <v>4.4540874946357029E-2</v>
      </c>
      <c r="W388" t="str">
        <f t="shared" si="235"/>
        <v/>
      </c>
      <c r="X388">
        <f t="shared" si="228"/>
        <v>1.6150872516362593</v>
      </c>
      <c r="Y388" t="str">
        <f t="shared" si="236"/>
        <v/>
      </c>
      <c r="Z388">
        <f t="shared" si="229"/>
        <v>1.5205848348255966</v>
      </c>
      <c r="AA388">
        <f t="shared" si="230"/>
        <v>0.71963983465555159</v>
      </c>
      <c r="AB388">
        <f t="shared" si="231"/>
        <v>1.0488670664564306</v>
      </c>
      <c r="AC388">
        <f t="shared" si="232"/>
        <v>0.52072471839462575</v>
      </c>
      <c r="AD388">
        <f t="shared" si="233"/>
        <v>0.83718655811103238</v>
      </c>
    </row>
    <row r="389" spans="1:30">
      <c r="A389" t="s">
        <v>283</v>
      </c>
      <c r="B389" t="s">
        <v>31</v>
      </c>
      <c r="C389" t="s">
        <v>32</v>
      </c>
      <c r="D389" t="s">
        <v>33</v>
      </c>
      <c r="E389" s="2">
        <v>46100</v>
      </c>
      <c r="F389" t="s">
        <v>40</v>
      </c>
      <c r="G389">
        <v>149.9</v>
      </c>
      <c r="H389">
        <v>104.1</v>
      </c>
      <c r="I389">
        <v>-1957.8</v>
      </c>
      <c r="J389">
        <v>69.5</v>
      </c>
      <c r="K389">
        <v>0</v>
      </c>
      <c r="L389">
        <v>2.5</v>
      </c>
      <c r="M389">
        <v>0</v>
      </c>
      <c r="N389">
        <v>67</v>
      </c>
      <c r="O389">
        <v>111.5</v>
      </c>
      <c r="P389">
        <v>117.8</v>
      </c>
      <c r="Q389">
        <v>8.81</v>
      </c>
      <c r="R389">
        <v>8.18</v>
      </c>
      <c r="S389">
        <f t="shared" si="225"/>
        <v>0.49578522327922692</v>
      </c>
      <c r="T389">
        <f t="shared" si="226"/>
        <v>1.5232294835194995</v>
      </c>
      <c r="U389">
        <f t="shared" si="234"/>
        <v>0</v>
      </c>
      <c r="V389">
        <f t="shared" si="227"/>
        <v>4.4540874946357029E-2</v>
      </c>
      <c r="W389" t="str">
        <f t="shared" si="235"/>
        <v/>
      </c>
      <c r="X389">
        <f t="shared" si="228"/>
        <v>0.46670886957220742</v>
      </c>
      <c r="Y389" t="str">
        <f t="shared" si="236"/>
        <v/>
      </c>
      <c r="Z389">
        <f t="shared" si="229"/>
        <v>0.88555054892760687</v>
      </c>
      <c r="AA389">
        <f t="shared" si="230"/>
        <v>0.96719593777706525</v>
      </c>
      <c r="AB389">
        <f t="shared" si="231"/>
        <v>1.8444017072717109</v>
      </c>
      <c r="AC389">
        <f t="shared" si="232"/>
        <v>1.3830569678242297</v>
      </c>
      <c r="AD389">
        <f t="shared" si="233"/>
        <v>0.66209682462261887</v>
      </c>
    </row>
    <row r="390" spans="1:30">
      <c r="A390" t="s">
        <v>284</v>
      </c>
      <c r="B390" t="s">
        <v>31</v>
      </c>
      <c r="C390" t="s">
        <v>32</v>
      </c>
      <c r="D390" t="s">
        <v>33</v>
      </c>
      <c r="E390" s="2">
        <v>46100</v>
      </c>
      <c r="F390" t="s">
        <v>40</v>
      </c>
      <c r="G390">
        <v>148.6</v>
      </c>
      <c r="H390">
        <v>93.7</v>
      </c>
      <c r="I390">
        <v>-1957.8</v>
      </c>
      <c r="J390">
        <v>68.2</v>
      </c>
      <c r="K390">
        <v>0</v>
      </c>
      <c r="L390">
        <v>3</v>
      </c>
      <c r="M390">
        <v>0</v>
      </c>
      <c r="N390">
        <v>65.2</v>
      </c>
      <c r="O390">
        <v>114.94</v>
      </c>
      <c r="P390">
        <v>114.87</v>
      </c>
      <c r="Q390">
        <v>7.98</v>
      </c>
      <c r="R390">
        <v>7.84</v>
      </c>
      <c r="S390">
        <f t="shared" si="225"/>
        <v>0.72268170699460643</v>
      </c>
      <c r="T390">
        <f t="shared" si="226"/>
        <v>0.54128705534234267</v>
      </c>
      <c r="U390">
        <f t="shared" si="234"/>
        <v>0</v>
      </c>
      <c r="V390">
        <f t="shared" si="227"/>
        <v>0.54028022827816535</v>
      </c>
      <c r="W390" t="str">
        <f t="shared" si="235"/>
        <v/>
      </c>
      <c r="X390">
        <f t="shared" si="228"/>
        <v>0.82557711396722377</v>
      </c>
      <c r="Y390" t="str">
        <f t="shared" si="236"/>
        <v/>
      </c>
      <c r="Z390">
        <f t="shared" si="229"/>
        <v>1.5999641205628468</v>
      </c>
      <c r="AA390">
        <f t="shared" si="230"/>
        <v>1.0132528871950115</v>
      </c>
      <c r="AB390">
        <f t="shared" si="231"/>
        <v>6.3461054535692091E-2</v>
      </c>
      <c r="AC390">
        <f t="shared" si="232"/>
        <v>0.10805921348112593</v>
      </c>
      <c r="AD390">
        <f t="shared" si="233"/>
        <v>0.18833902374967157</v>
      </c>
    </row>
    <row r="391" spans="1:30">
      <c r="A391" t="s">
        <v>285</v>
      </c>
      <c r="B391" t="s">
        <v>31</v>
      </c>
      <c r="C391" t="s">
        <v>32</v>
      </c>
      <c r="D391" t="s">
        <v>33</v>
      </c>
      <c r="E391" s="2">
        <v>46100</v>
      </c>
      <c r="F391" t="s">
        <v>40</v>
      </c>
      <c r="G391">
        <v>148.6</v>
      </c>
      <c r="H391">
        <v>99.6</v>
      </c>
      <c r="I391">
        <v>-1957.8</v>
      </c>
      <c r="J391">
        <v>68.599999999999994</v>
      </c>
      <c r="K391">
        <v>0</v>
      </c>
      <c r="L391">
        <v>0.6</v>
      </c>
      <c r="M391">
        <v>0</v>
      </c>
      <c r="N391">
        <v>68</v>
      </c>
      <c r="O391">
        <v>114.65</v>
      </c>
      <c r="P391">
        <v>114.72</v>
      </c>
      <c r="Q391">
        <v>8.64</v>
      </c>
      <c r="R391">
        <v>8.42</v>
      </c>
      <c r="S391">
        <f t="shared" si="225"/>
        <v>0.72268170699460643</v>
      </c>
      <c r="T391">
        <f t="shared" si="226"/>
        <v>0.62992905805043242</v>
      </c>
      <c r="U391">
        <f t="shared" si="234"/>
        <v>0</v>
      </c>
      <c r="V391">
        <f t="shared" si="227"/>
        <v>0.36033527343985422</v>
      </c>
      <c r="W391" t="str">
        <f t="shared" si="235"/>
        <v/>
      </c>
      <c r="X391">
        <f t="shared" si="228"/>
        <v>0.89699045912885444</v>
      </c>
      <c r="Y391" t="str">
        <f t="shared" si="236"/>
        <v/>
      </c>
      <c r="Z391">
        <f t="shared" si="229"/>
        <v>0.48865412024136184</v>
      </c>
      <c r="AA391">
        <f t="shared" si="230"/>
        <v>0.846296445554928</v>
      </c>
      <c r="AB391">
        <f t="shared" si="231"/>
        <v>2.7713381611206761E-2</v>
      </c>
      <c r="AC391">
        <f t="shared" si="232"/>
        <v>1.0776476294845787</v>
      </c>
      <c r="AD391">
        <f t="shared" si="233"/>
        <v>1.2624044822971776</v>
      </c>
    </row>
    <row r="392" spans="1:30">
      <c r="A392" t="s">
        <v>286</v>
      </c>
      <c r="B392" t="s">
        <v>31</v>
      </c>
      <c r="C392" t="s">
        <v>32</v>
      </c>
      <c r="D392" t="s">
        <v>33</v>
      </c>
      <c r="E392" s="2">
        <v>46100</v>
      </c>
      <c r="F392" t="s">
        <v>34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tr">
        <f t="shared" si="225"/>
        <v/>
      </c>
      <c r="T392" t="str">
        <f t="shared" si="226"/>
        <v/>
      </c>
      <c r="U392" t="str">
        <f t="shared" si="234"/>
        <v/>
      </c>
      <c r="V392" t="str">
        <f t="shared" si="227"/>
        <v/>
      </c>
      <c r="W392" t="str">
        <f t="shared" si="235"/>
        <v/>
      </c>
      <c r="X392" t="str">
        <f t="shared" si="228"/>
        <v/>
      </c>
      <c r="Y392" t="str">
        <f t="shared" si="236"/>
        <v/>
      </c>
      <c r="Z392" t="str">
        <f t="shared" si="229"/>
        <v/>
      </c>
      <c r="AA392" t="str">
        <f t="shared" si="230"/>
        <v/>
      </c>
      <c r="AB392" t="str">
        <f t="shared" si="231"/>
        <v/>
      </c>
      <c r="AC392" t="str">
        <f t="shared" si="232"/>
        <v/>
      </c>
      <c r="AD392" t="str">
        <f t="shared" si="233"/>
        <v/>
      </c>
    </row>
    <row r="393" spans="1:30">
      <c r="A393" t="s">
        <v>286</v>
      </c>
      <c r="B393" t="s">
        <v>31</v>
      </c>
      <c r="C393" t="s">
        <v>32</v>
      </c>
      <c r="D393" t="s">
        <v>33</v>
      </c>
      <c r="E393" s="2">
        <v>46100</v>
      </c>
      <c r="F393" t="s">
        <v>40</v>
      </c>
      <c r="G393">
        <v>155.30000000000001</v>
      </c>
      <c r="H393">
        <v>102.3</v>
      </c>
      <c r="I393">
        <v>-1957.8</v>
      </c>
      <c r="J393">
        <v>69.5</v>
      </c>
      <c r="K393">
        <v>0</v>
      </c>
      <c r="L393">
        <v>0.5</v>
      </c>
      <c r="M393">
        <v>0</v>
      </c>
      <c r="N393">
        <v>70</v>
      </c>
      <c r="O393">
        <v>111.57</v>
      </c>
      <c r="P393">
        <v>112.96</v>
      </c>
      <c r="Q393">
        <v>8.52</v>
      </c>
      <c r="R393">
        <v>8.42</v>
      </c>
      <c r="S393">
        <f t="shared" si="225"/>
        <v>0.44670786292311154</v>
      </c>
      <c r="T393">
        <f t="shared" si="226"/>
        <v>1.1659093133318732</v>
      </c>
      <c r="U393">
        <f t="shared" si="234"/>
        <v>0</v>
      </c>
      <c r="V393">
        <f t="shared" si="227"/>
        <v>4.4540874946357029E-2</v>
      </c>
      <c r="W393" t="str">
        <f t="shared" si="235"/>
        <v/>
      </c>
      <c r="X393">
        <f t="shared" si="228"/>
        <v>0.96876410800785773</v>
      </c>
      <c r="Y393" t="str">
        <f t="shared" si="236"/>
        <v/>
      </c>
      <c r="Z393">
        <f t="shared" si="229"/>
        <v>0.30513873713112821</v>
      </c>
      <c r="AA393">
        <f t="shared" si="230"/>
        <v>0.92689610703635827</v>
      </c>
      <c r="AB393">
        <f t="shared" si="231"/>
        <v>1.0974934324014491</v>
      </c>
      <c r="AC393">
        <f t="shared" si="232"/>
        <v>0.86206456712717616</v>
      </c>
      <c r="AD393">
        <f t="shared" si="233"/>
        <v>1.2624044822971776</v>
      </c>
    </row>
    <row r="394" spans="1:30">
      <c r="A394" t="s">
        <v>287</v>
      </c>
      <c r="B394" t="s">
        <v>31</v>
      </c>
      <c r="C394" t="s">
        <v>32</v>
      </c>
      <c r="D394" t="s">
        <v>33</v>
      </c>
      <c r="E394" s="2">
        <v>46101</v>
      </c>
      <c r="F394" t="s">
        <v>40</v>
      </c>
      <c r="G394">
        <v>148.1</v>
      </c>
      <c r="H394">
        <v>97.3</v>
      </c>
      <c r="I394">
        <v>-1957.8</v>
      </c>
      <c r="J394">
        <v>70.8</v>
      </c>
      <c r="K394">
        <v>0</v>
      </c>
      <c r="L394">
        <v>5.7</v>
      </c>
      <c r="M394">
        <v>0</v>
      </c>
      <c r="N394">
        <v>65.099999999999994</v>
      </c>
      <c r="O394">
        <v>110.91</v>
      </c>
      <c r="P394">
        <v>117.8</v>
      </c>
      <c r="Q394">
        <v>8.67</v>
      </c>
      <c r="R394">
        <v>7.79</v>
      </c>
      <c r="S394">
        <f t="shared" si="225"/>
        <v>0.80994958534667472</v>
      </c>
      <c r="T394">
        <f t="shared" si="226"/>
        <v>0.17335328503290987</v>
      </c>
      <c r="U394">
        <f t="shared" si="234"/>
        <v>0</v>
      </c>
      <c r="V394">
        <f t="shared" si="227"/>
        <v>0.62936197817087935</v>
      </c>
      <c r="W394" t="str">
        <f t="shared" si="235"/>
        <v/>
      </c>
      <c r="X394">
        <f t="shared" si="228"/>
        <v>2.7634656337003118</v>
      </c>
      <c r="Y394" t="str">
        <f t="shared" si="236"/>
        <v/>
      </c>
      <c r="Z394">
        <f t="shared" si="229"/>
        <v>1.6396537634314747</v>
      </c>
      <c r="AA394">
        <f t="shared" si="230"/>
        <v>1.3068659397344875</v>
      </c>
      <c r="AB394">
        <f t="shared" si="231"/>
        <v>1.8444017072717109</v>
      </c>
      <c r="AC394">
        <f t="shared" si="232"/>
        <v>1.1315433950739278</v>
      </c>
      <c r="AD394">
        <f t="shared" si="233"/>
        <v>0.31340311909853741</v>
      </c>
    </row>
    <row r="395" spans="1:30">
      <c r="A395" t="s">
        <v>288</v>
      </c>
      <c r="B395" t="s">
        <v>31</v>
      </c>
      <c r="C395" t="s">
        <v>32</v>
      </c>
      <c r="D395" t="s">
        <v>33</v>
      </c>
      <c r="E395" s="2">
        <v>46101</v>
      </c>
      <c r="F395" t="s">
        <v>40</v>
      </c>
      <c r="G395">
        <v>150.80000000000001</v>
      </c>
      <c r="H395">
        <v>103.2</v>
      </c>
      <c r="I395">
        <v>-1957.8</v>
      </c>
      <c r="J395">
        <v>69.5</v>
      </c>
      <c r="K395">
        <v>0</v>
      </c>
      <c r="L395">
        <v>3</v>
      </c>
      <c r="M395">
        <v>0</v>
      </c>
      <c r="N395">
        <v>66.5</v>
      </c>
      <c r="O395">
        <v>114.72</v>
      </c>
      <c r="P395">
        <v>114.72</v>
      </c>
      <c r="Q395">
        <v>8.4</v>
      </c>
      <c r="R395">
        <v>8.23</v>
      </c>
      <c r="S395">
        <f t="shared" si="225"/>
        <v>0.33870304224550302</v>
      </c>
      <c r="T395">
        <f t="shared" si="226"/>
        <v>1.3445693984256877</v>
      </c>
      <c r="U395">
        <f t="shared" si="234"/>
        <v>0</v>
      </c>
      <c r="V395">
        <f t="shared" si="227"/>
        <v>4.4540874946357029E-2</v>
      </c>
      <c r="W395" t="str">
        <f t="shared" si="235"/>
        <v/>
      </c>
      <c r="X395">
        <f t="shared" si="228"/>
        <v>0.82557711396722377</v>
      </c>
      <c r="Y395" t="str">
        <f t="shared" si="236"/>
        <v/>
      </c>
      <c r="Z395">
        <f t="shared" si="229"/>
        <v>1.0839987632707293</v>
      </c>
      <c r="AA395">
        <f t="shared" si="230"/>
        <v>0.88659627629563498</v>
      </c>
      <c r="AB395">
        <f t="shared" si="231"/>
        <v>2.7713381611206761E-2</v>
      </c>
      <c r="AC395">
        <f t="shared" si="232"/>
        <v>0.64648150476977673</v>
      </c>
      <c r="AD395">
        <f t="shared" si="233"/>
        <v>0.78716091997148696</v>
      </c>
    </row>
    <row r="396" spans="1:30">
      <c r="A396" t="s">
        <v>289</v>
      </c>
      <c r="B396" t="s">
        <v>31</v>
      </c>
      <c r="C396" t="s">
        <v>32</v>
      </c>
      <c r="D396" t="s">
        <v>33</v>
      </c>
      <c r="E396" s="2">
        <v>46101</v>
      </c>
      <c r="F396" t="s">
        <v>40</v>
      </c>
      <c r="G396">
        <v>152.19999999999999</v>
      </c>
      <c r="H396">
        <v>97.3</v>
      </c>
      <c r="I396">
        <v>-1957.8</v>
      </c>
      <c r="J396">
        <v>70.400000000000006</v>
      </c>
      <c r="K396">
        <v>0</v>
      </c>
      <c r="L396">
        <v>0.1</v>
      </c>
      <c r="M396">
        <v>0</v>
      </c>
      <c r="N396">
        <v>70.3</v>
      </c>
      <c r="O396">
        <v>115.31</v>
      </c>
      <c r="P396">
        <v>115.53</v>
      </c>
      <c r="Q396">
        <v>8.1300000000000008</v>
      </c>
      <c r="R396">
        <v>7.84</v>
      </c>
      <c r="S396">
        <f t="shared" si="225"/>
        <v>9.4352982859715773E-2</v>
      </c>
      <c r="T396">
        <f t="shared" si="226"/>
        <v>0.17335328503290987</v>
      </c>
      <c r="U396">
        <f t="shared" si="234"/>
        <v>0</v>
      </c>
      <c r="V396">
        <f t="shared" si="227"/>
        <v>0.44941702333256828</v>
      </c>
      <c r="W396" t="str">
        <f t="shared" si="235"/>
        <v/>
      </c>
      <c r="X396">
        <f t="shared" si="228"/>
        <v>1.2558587035238709</v>
      </c>
      <c r="Y396" t="str">
        <f t="shared" si="236"/>
        <v/>
      </c>
      <c r="Z396">
        <f t="shared" si="229"/>
        <v>0.42420766573700058</v>
      </c>
      <c r="AA396">
        <f t="shared" si="230"/>
        <v>1.2262662782530573</v>
      </c>
      <c r="AB396">
        <f t="shared" si="231"/>
        <v>0.46462857358202975</v>
      </c>
      <c r="AC396">
        <f t="shared" si="232"/>
        <v>0.16141961446562572</v>
      </c>
      <c r="AD396">
        <f t="shared" si="233"/>
        <v>0.18833902374967157</v>
      </c>
    </row>
    <row r="397" spans="1:30">
      <c r="A397" t="s">
        <v>290</v>
      </c>
      <c r="B397" t="s">
        <v>37</v>
      </c>
      <c r="C397" t="s">
        <v>38</v>
      </c>
      <c r="D397" t="s">
        <v>39</v>
      </c>
      <c r="E397" s="2">
        <v>46101</v>
      </c>
      <c r="F397" t="s">
        <v>40</v>
      </c>
      <c r="G397">
        <v>110.6</v>
      </c>
      <c r="H397">
        <v>80.2</v>
      </c>
      <c r="I397">
        <v>-1957.8</v>
      </c>
      <c r="J397">
        <v>68.599999999999994</v>
      </c>
      <c r="K397">
        <v>0</v>
      </c>
      <c r="L397">
        <v>2.4</v>
      </c>
      <c r="M397">
        <v>0</v>
      </c>
      <c r="N397">
        <v>66.2</v>
      </c>
      <c r="O397">
        <v>115.75</v>
      </c>
      <c r="P397">
        <v>117.29</v>
      </c>
      <c r="Q397">
        <v>3.66</v>
      </c>
      <c r="R397">
        <v>3.66</v>
      </c>
      <c r="S397">
        <f t="shared" ref="S397:S429" si="237">IF(OR(G397=0,G397=""),"",ABS((G397-112.561871)/4.985957))</f>
        <v>0.39347932603510261</v>
      </c>
      <c r="T397">
        <f t="shared" ref="T397:T429" si="238">IF(OR(H397=0,H397=""),"",ABS((H397-80.720624)/2.821681))</f>
        <v>0.18450845435752589</v>
      </c>
      <c r="U397">
        <f t="shared" si="234"/>
        <v>0</v>
      </c>
      <c r="V397">
        <f t="shared" ref="V397:V429" si="239">IF(OR(J397=0,J397=""),"",ABS((J397-69.348681)/1.912674))</f>
        <v>0.39143157694411324</v>
      </c>
      <c r="W397" t="str">
        <f t="shared" si="235"/>
        <v/>
      </c>
      <c r="X397">
        <f t="shared" ref="X397:X429" si="240">IF(OR(L397=0,L397=""),"",ABS((L397-1.455283)/1.400093))</f>
        <v>0.67475303426272382</v>
      </c>
      <c r="Y397" t="str">
        <f t="shared" si="236"/>
        <v/>
      </c>
      <c r="Z397">
        <f t="shared" ref="Z397:Z429" si="241">IF(OR(N397=0,N397=""),"",ABS((N397-69.699041)/2.195614))</f>
        <v>1.5936503410890945</v>
      </c>
      <c r="AA397">
        <f t="shared" ref="AA397:AA429" si="242">IF(OR(O397=0,O397=""),"",ABS((O397-113.513094)/1.682996))</f>
        <v>1.3291214001697003</v>
      </c>
      <c r="AB397">
        <f t="shared" ref="AB397:AB429" si="243">IF(OR(P397=0,P397=""),"",ABS((P397-115.315492)/1.394108))</f>
        <v>1.4163235559942273</v>
      </c>
      <c r="AC397">
        <f t="shared" ref="AC397:AC429" si="244">IF(OR(Q397=0,Q397=""),"",ABS((Q397-3.821127)/0.150485))</f>
        <v>1.0707180117619697</v>
      </c>
      <c r="AD397">
        <f t="shared" ref="AD397:AD429" si="245">IF(OR(R397=0,R397=""),"",ABS((R397-3.848345)/0.156761))</f>
        <v>1.2014786841114817</v>
      </c>
    </row>
    <row r="398" spans="1:30">
      <c r="A398" t="s">
        <v>291</v>
      </c>
      <c r="B398" t="s">
        <v>37</v>
      </c>
      <c r="C398" t="s">
        <v>38</v>
      </c>
      <c r="D398" t="s">
        <v>39</v>
      </c>
      <c r="E398" s="2">
        <v>46101</v>
      </c>
      <c r="F398" t="s">
        <v>40</v>
      </c>
      <c r="G398">
        <v>113.3</v>
      </c>
      <c r="H398">
        <v>83.8</v>
      </c>
      <c r="I398">
        <v>-1957.8</v>
      </c>
      <c r="J398">
        <v>68.2</v>
      </c>
      <c r="K398">
        <v>0</v>
      </c>
      <c r="L398">
        <v>3</v>
      </c>
      <c r="M398">
        <v>0</v>
      </c>
      <c r="N398">
        <v>65.2</v>
      </c>
      <c r="O398">
        <v>115.38</v>
      </c>
      <c r="P398">
        <v>115.31</v>
      </c>
      <c r="Q398">
        <v>3.66</v>
      </c>
      <c r="R398">
        <v>3.78</v>
      </c>
      <c r="S398">
        <f t="shared" si="237"/>
        <v>0.14804158960857478</v>
      </c>
      <c r="T398">
        <f t="shared" si="238"/>
        <v>1.0913267658534032</v>
      </c>
      <c r="U398">
        <f t="shared" si="234"/>
        <v>0</v>
      </c>
      <c r="V398">
        <f t="shared" si="239"/>
        <v>0.60056287689381271</v>
      </c>
      <c r="W398" t="str">
        <f t="shared" si="235"/>
        <v/>
      </c>
      <c r="X398">
        <f t="shared" si="240"/>
        <v>1.1032959953374524</v>
      </c>
      <c r="Y398" t="str">
        <f t="shared" si="236"/>
        <v/>
      </c>
      <c r="Z398">
        <f t="shared" si="241"/>
        <v>2.049103804220592</v>
      </c>
      <c r="AA398">
        <f t="shared" si="242"/>
        <v>1.1092753636966459</v>
      </c>
      <c r="AB398">
        <f t="shared" si="243"/>
        <v>3.9394365429391608E-3</v>
      </c>
      <c r="AC398">
        <f t="shared" si="244"/>
        <v>1.0707180117619697</v>
      </c>
      <c r="AD398">
        <f t="shared" si="245"/>
        <v>0.4359821639310818</v>
      </c>
    </row>
    <row r="399" spans="1:30">
      <c r="A399" t="s">
        <v>292</v>
      </c>
      <c r="B399" t="s">
        <v>37</v>
      </c>
      <c r="C399" t="s">
        <v>38</v>
      </c>
      <c r="D399" t="s">
        <v>39</v>
      </c>
      <c r="E399" s="2">
        <v>46101</v>
      </c>
      <c r="F399" t="s">
        <v>40</v>
      </c>
      <c r="G399">
        <v>114.2</v>
      </c>
      <c r="H399">
        <v>84.3</v>
      </c>
      <c r="I399">
        <v>-1957.8</v>
      </c>
      <c r="J399">
        <v>68.599999999999994</v>
      </c>
      <c r="K399">
        <v>0</v>
      </c>
      <c r="L399">
        <v>2.1</v>
      </c>
      <c r="M399">
        <v>0</v>
      </c>
      <c r="N399">
        <v>66.5</v>
      </c>
      <c r="O399">
        <v>112.3</v>
      </c>
      <c r="P399">
        <v>116.63</v>
      </c>
      <c r="Q399">
        <v>3.83</v>
      </c>
      <c r="R399">
        <v>3.86</v>
      </c>
      <c r="S399">
        <f t="shared" si="237"/>
        <v>0.32854856148980155</v>
      </c>
      <c r="T399">
        <f t="shared" si="238"/>
        <v>1.2685261019938103</v>
      </c>
      <c r="U399">
        <f t="shared" si="234"/>
        <v>0</v>
      </c>
      <c r="V399">
        <f t="shared" si="239"/>
        <v>0.39143157694411324</v>
      </c>
      <c r="W399" t="str">
        <f t="shared" si="235"/>
        <v/>
      </c>
      <c r="X399">
        <f t="shared" si="240"/>
        <v>0.46048155372535965</v>
      </c>
      <c r="Y399" t="str">
        <f t="shared" si="236"/>
        <v/>
      </c>
      <c r="Z399">
        <f t="shared" si="241"/>
        <v>1.4570143021496467</v>
      </c>
      <c r="AA399">
        <f t="shared" si="242"/>
        <v>0.72079434532226938</v>
      </c>
      <c r="AB399">
        <f t="shared" si="243"/>
        <v>0.94290255848183169</v>
      </c>
      <c r="AC399">
        <f t="shared" si="244"/>
        <v>5.8962687311027065E-2</v>
      </c>
      <c r="AD399">
        <f t="shared" si="245"/>
        <v>7.4348849522519939E-2</v>
      </c>
    </row>
    <row r="400" spans="1:30">
      <c r="A400" t="s">
        <v>293</v>
      </c>
      <c r="B400" t="s">
        <v>37</v>
      </c>
      <c r="C400" t="s">
        <v>38</v>
      </c>
      <c r="D400" t="s">
        <v>39</v>
      </c>
      <c r="E400" s="2">
        <v>46101</v>
      </c>
      <c r="F400" t="s">
        <v>40</v>
      </c>
      <c r="G400">
        <v>112.9</v>
      </c>
      <c r="H400">
        <v>84.7</v>
      </c>
      <c r="I400">
        <v>-1957.8</v>
      </c>
      <c r="J400">
        <v>69.099999999999994</v>
      </c>
      <c r="K400">
        <v>0</v>
      </c>
      <c r="L400">
        <v>2.2999999999999998</v>
      </c>
      <c r="M400">
        <v>0</v>
      </c>
      <c r="N400">
        <v>66.8</v>
      </c>
      <c r="O400">
        <v>116.78</v>
      </c>
      <c r="P400">
        <v>113.62</v>
      </c>
      <c r="Q400">
        <v>3.74</v>
      </c>
      <c r="R400">
        <v>3.91</v>
      </c>
      <c r="S400">
        <f t="shared" si="237"/>
        <v>6.7816268772476221E-2</v>
      </c>
      <c r="T400">
        <f t="shared" si="238"/>
        <v>1.4102855709061379</v>
      </c>
      <c r="U400">
        <f t="shared" si="234"/>
        <v>0</v>
      </c>
      <c r="V400">
        <f t="shared" si="239"/>
        <v>0.13001745200698331</v>
      </c>
      <c r="W400" t="str">
        <f t="shared" si="235"/>
        <v/>
      </c>
      <c r="X400">
        <f t="shared" si="240"/>
        <v>0.60332920741693563</v>
      </c>
      <c r="Y400" t="str">
        <f t="shared" si="236"/>
        <v/>
      </c>
      <c r="Z400">
        <f t="shared" si="241"/>
        <v>1.3203782632101986</v>
      </c>
      <c r="AA400">
        <f t="shared" si="242"/>
        <v>1.9411252314325202</v>
      </c>
      <c r="AB400">
        <f t="shared" si="243"/>
        <v>1.2161841119913246</v>
      </c>
      <c r="AC400">
        <f t="shared" si="244"/>
        <v>0.53910356513938229</v>
      </c>
      <c r="AD400">
        <f t="shared" si="245"/>
        <v>0.39330573293102244</v>
      </c>
    </row>
    <row r="401" spans="1:30">
      <c r="A401" t="s">
        <v>294</v>
      </c>
      <c r="B401" t="s">
        <v>37</v>
      </c>
      <c r="C401" t="s">
        <v>38</v>
      </c>
      <c r="D401" t="s">
        <v>39</v>
      </c>
      <c r="E401" s="2">
        <v>46101</v>
      </c>
      <c r="F401" t="s">
        <v>40</v>
      </c>
      <c r="G401">
        <v>115.1</v>
      </c>
      <c r="H401">
        <v>85.6</v>
      </c>
      <c r="I401">
        <v>-1957.8</v>
      </c>
      <c r="J401">
        <v>74.400000000000006</v>
      </c>
      <c r="K401">
        <v>0</v>
      </c>
      <c r="L401">
        <v>0.8</v>
      </c>
      <c r="M401">
        <v>0</v>
      </c>
      <c r="N401">
        <v>73.599999999999994</v>
      </c>
      <c r="O401">
        <v>111.86</v>
      </c>
      <c r="P401">
        <v>116.63</v>
      </c>
      <c r="Q401">
        <v>4.08</v>
      </c>
      <c r="R401">
        <v>4.03</v>
      </c>
      <c r="S401">
        <f t="shared" si="237"/>
        <v>0.50905553337102538</v>
      </c>
      <c r="T401">
        <f t="shared" si="238"/>
        <v>1.7292443759588676</v>
      </c>
      <c r="U401">
        <f t="shared" si="234"/>
        <v>0</v>
      </c>
      <c r="V401">
        <f t="shared" si="239"/>
        <v>2.6409722723265996</v>
      </c>
      <c r="W401" t="str">
        <f t="shared" si="235"/>
        <v/>
      </c>
      <c r="X401">
        <f t="shared" si="240"/>
        <v>0.46802819526988565</v>
      </c>
      <c r="Y401" t="str">
        <f t="shared" si="236"/>
        <v/>
      </c>
      <c r="Z401">
        <f t="shared" si="241"/>
        <v>1.776705286083984</v>
      </c>
      <c r="AA401">
        <f t="shared" si="242"/>
        <v>0.98223287518211322</v>
      </c>
      <c r="AB401">
        <f t="shared" si="243"/>
        <v>0.94290255848183169</v>
      </c>
      <c r="AC401">
        <f t="shared" si="244"/>
        <v>1.7202578330066112</v>
      </c>
      <c r="AD401">
        <f t="shared" si="245"/>
        <v>1.158802253111425</v>
      </c>
    </row>
    <row r="402" spans="1:30">
      <c r="A402" t="s">
        <v>295</v>
      </c>
      <c r="B402" t="s">
        <v>37</v>
      </c>
      <c r="C402" t="s">
        <v>38</v>
      </c>
      <c r="D402" t="s">
        <v>39</v>
      </c>
      <c r="E402" s="2">
        <v>46101</v>
      </c>
      <c r="F402" t="s">
        <v>40</v>
      </c>
      <c r="G402">
        <v>112.4</v>
      </c>
      <c r="H402">
        <v>85.2</v>
      </c>
      <c r="I402">
        <v>-1957.8</v>
      </c>
      <c r="J402">
        <v>70.8</v>
      </c>
      <c r="K402">
        <v>0</v>
      </c>
      <c r="L402">
        <v>4.5</v>
      </c>
      <c r="M402">
        <v>0</v>
      </c>
      <c r="N402">
        <v>66.3</v>
      </c>
      <c r="O402">
        <v>111.79</v>
      </c>
      <c r="P402">
        <v>113.4</v>
      </c>
      <c r="Q402">
        <v>3.86</v>
      </c>
      <c r="R402">
        <v>3.98</v>
      </c>
      <c r="S402">
        <f t="shared" si="237"/>
        <v>3.246538227264912E-2</v>
      </c>
      <c r="T402">
        <f t="shared" si="238"/>
        <v>1.5874849070465451</v>
      </c>
      <c r="U402">
        <f t="shared" si="234"/>
        <v>0</v>
      </c>
      <c r="V402">
        <f t="shared" si="239"/>
        <v>0.75879057277925988</v>
      </c>
      <c r="W402" t="str">
        <f t="shared" si="235"/>
        <v/>
      </c>
      <c r="X402">
        <f t="shared" si="240"/>
        <v>2.1746533980242742</v>
      </c>
      <c r="Y402" t="str">
        <f t="shared" si="236"/>
        <v/>
      </c>
      <c r="Z402">
        <f t="shared" si="241"/>
        <v>1.5481049947759473</v>
      </c>
      <c r="AA402">
        <f t="shared" si="242"/>
        <v>1.0238253685689027</v>
      </c>
      <c r="AB402">
        <f t="shared" si="243"/>
        <v>1.3739911111621199</v>
      </c>
      <c r="AC402">
        <f t="shared" si="244"/>
        <v>0.25831810479449585</v>
      </c>
      <c r="AD402">
        <f t="shared" si="245"/>
        <v>0.83984536970292256</v>
      </c>
    </row>
    <row r="403" spans="1:30">
      <c r="A403" t="s">
        <v>296</v>
      </c>
      <c r="B403" t="s">
        <v>37</v>
      </c>
      <c r="C403" t="s">
        <v>38</v>
      </c>
      <c r="D403" t="s">
        <v>39</v>
      </c>
      <c r="E403" s="2">
        <v>46101</v>
      </c>
      <c r="F403" t="s">
        <v>34</v>
      </c>
      <c r="G403">
        <v>116</v>
      </c>
      <c r="H403">
        <v>84.3</v>
      </c>
      <c r="I403">
        <v>-1957.8</v>
      </c>
      <c r="J403">
        <v>73.099999999999994</v>
      </c>
      <c r="K403">
        <v>0</v>
      </c>
      <c r="L403">
        <v>3.2</v>
      </c>
      <c r="M403">
        <v>0</v>
      </c>
      <c r="N403">
        <v>76.3</v>
      </c>
      <c r="O403">
        <v>111.79</v>
      </c>
      <c r="P403">
        <v>113.62</v>
      </c>
      <c r="Q403">
        <v>3.91</v>
      </c>
      <c r="R403">
        <v>3.86</v>
      </c>
      <c r="S403">
        <f t="shared" si="237"/>
        <v>0.68956250525225216</v>
      </c>
      <c r="T403">
        <f t="shared" si="238"/>
        <v>1.2685261019938103</v>
      </c>
      <c r="U403">
        <f t="shared" si="234"/>
        <v>0</v>
      </c>
      <c r="V403">
        <f t="shared" si="239"/>
        <v>1.961295547490056</v>
      </c>
      <c r="W403" t="str">
        <f t="shared" si="235"/>
        <v/>
      </c>
      <c r="X403">
        <f t="shared" si="240"/>
        <v>1.2461436490290287</v>
      </c>
      <c r="Y403" t="str">
        <f t="shared" si="236"/>
        <v/>
      </c>
      <c r="Z403">
        <f t="shared" si="241"/>
        <v>3.0064296365390288</v>
      </c>
      <c r="AA403">
        <f t="shared" si="242"/>
        <v>1.0238253685689027</v>
      </c>
      <c r="AB403">
        <f t="shared" si="243"/>
        <v>1.2161841119913246</v>
      </c>
      <c r="AC403">
        <f t="shared" si="244"/>
        <v>0.59057713393361444</v>
      </c>
      <c r="AD403">
        <f t="shared" si="245"/>
        <v>7.4348849522519939E-2</v>
      </c>
    </row>
    <row r="404" spans="1:30">
      <c r="A404" t="s">
        <v>296</v>
      </c>
      <c r="B404" t="s">
        <v>37</v>
      </c>
      <c r="C404" t="s">
        <v>38</v>
      </c>
      <c r="D404" t="s">
        <v>39</v>
      </c>
      <c r="E404" s="2">
        <v>46101</v>
      </c>
      <c r="F404" t="s">
        <v>40</v>
      </c>
      <c r="G404">
        <v>122.7</v>
      </c>
      <c r="H404">
        <v>82</v>
      </c>
      <c r="I404">
        <v>-1957.8</v>
      </c>
      <c r="J404">
        <v>73.099999999999994</v>
      </c>
      <c r="K404">
        <v>0</v>
      </c>
      <c r="L404">
        <v>1.8</v>
      </c>
      <c r="M404">
        <v>0</v>
      </c>
      <c r="N404">
        <v>74.900000000000006</v>
      </c>
      <c r="O404">
        <v>115.46</v>
      </c>
      <c r="P404">
        <v>115.38</v>
      </c>
      <c r="Q404">
        <v>3.93</v>
      </c>
      <c r="R404">
        <v>4.03</v>
      </c>
      <c r="S404">
        <f t="shared" si="237"/>
        <v>2.0333366292569321</v>
      </c>
      <c r="T404">
        <f t="shared" si="238"/>
        <v>0.45340915574793861</v>
      </c>
      <c r="U404">
        <f t="shared" si="234"/>
        <v>0</v>
      </c>
      <c r="V404">
        <f t="shared" si="239"/>
        <v>1.961295547490056</v>
      </c>
      <c r="W404" t="str">
        <f t="shared" si="235"/>
        <v/>
      </c>
      <c r="X404">
        <f t="shared" si="240"/>
        <v>0.24621007318799532</v>
      </c>
      <c r="Y404" t="str">
        <f t="shared" si="236"/>
        <v/>
      </c>
      <c r="Z404">
        <f t="shared" si="241"/>
        <v>2.3687947881549363</v>
      </c>
      <c r="AA404">
        <f t="shared" si="242"/>
        <v>1.1568096418529803</v>
      </c>
      <c r="AB404">
        <f t="shared" si="243"/>
        <v>4.6271881375036482E-2</v>
      </c>
      <c r="AC404">
        <f t="shared" si="244"/>
        <v>0.72348074558926134</v>
      </c>
      <c r="AD404">
        <f t="shared" si="245"/>
        <v>1.158802253111425</v>
      </c>
    </row>
    <row r="405" spans="1:30">
      <c r="A405" t="s">
        <v>297</v>
      </c>
      <c r="B405" t="s">
        <v>37</v>
      </c>
      <c r="C405" t="s">
        <v>38</v>
      </c>
      <c r="D405" t="s">
        <v>39</v>
      </c>
      <c r="E405" s="2">
        <v>46101</v>
      </c>
      <c r="F405" t="s">
        <v>40</v>
      </c>
      <c r="G405">
        <v>112.4</v>
      </c>
      <c r="H405">
        <v>82.5</v>
      </c>
      <c r="I405">
        <v>-1957.8</v>
      </c>
      <c r="J405">
        <v>70</v>
      </c>
      <c r="K405">
        <v>0</v>
      </c>
      <c r="L405">
        <v>3.9</v>
      </c>
      <c r="M405">
        <v>0</v>
      </c>
      <c r="N405">
        <v>66.099999999999994</v>
      </c>
      <c r="O405">
        <v>111.94</v>
      </c>
      <c r="P405">
        <v>113.33</v>
      </c>
      <c r="Q405">
        <v>3.81</v>
      </c>
      <c r="R405">
        <v>3.86</v>
      </c>
      <c r="S405">
        <f t="shared" si="237"/>
        <v>3.246538227264912E-2</v>
      </c>
      <c r="T405">
        <f t="shared" si="238"/>
        <v>0.63060849188834578</v>
      </c>
      <c r="U405">
        <f t="shared" si="234"/>
        <v>0</v>
      </c>
      <c r="V405">
        <f t="shared" si="239"/>
        <v>0.34052797287985348</v>
      </c>
      <c r="W405" t="str">
        <f t="shared" si="235"/>
        <v/>
      </c>
      <c r="X405">
        <f t="shared" si="240"/>
        <v>1.7461104369495453</v>
      </c>
      <c r="Y405" t="str">
        <f t="shared" si="236"/>
        <v/>
      </c>
      <c r="Z405">
        <f t="shared" si="241"/>
        <v>1.6391956874022482</v>
      </c>
      <c r="AA405">
        <f t="shared" si="242"/>
        <v>0.93469859702577884</v>
      </c>
      <c r="AB405">
        <f t="shared" si="243"/>
        <v>1.4242024290801056</v>
      </c>
      <c r="AC405">
        <f t="shared" si="244"/>
        <v>7.3940924344619782E-2</v>
      </c>
      <c r="AD405">
        <f t="shared" si="245"/>
        <v>7.4348849522519939E-2</v>
      </c>
    </row>
    <row r="406" spans="1:30">
      <c r="A406" t="s">
        <v>298</v>
      </c>
      <c r="B406" t="s">
        <v>37</v>
      </c>
      <c r="C406" t="s">
        <v>38</v>
      </c>
      <c r="D406" t="s">
        <v>39</v>
      </c>
      <c r="E406" s="2">
        <v>46101</v>
      </c>
      <c r="F406" t="s">
        <v>40</v>
      </c>
      <c r="G406">
        <v>118.2</v>
      </c>
      <c r="H406">
        <v>87</v>
      </c>
      <c r="I406">
        <v>-1957.8</v>
      </c>
      <c r="J406">
        <v>70</v>
      </c>
      <c r="K406">
        <v>0</v>
      </c>
      <c r="L406">
        <v>2.2000000000000002</v>
      </c>
      <c r="M406">
        <v>0</v>
      </c>
      <c r="N406">
        <v>67.8</v>
      </c>
      <c r="O406">
        <v>111.72</v>
      </c>
      <c r="P406">
        <v>113.77</v>
      </c>
      <c r="Q406">
        <v>3.96</v>
      </c>
      <c r="R406">
        <v>4.03</v>
      </c>
      <c r="S406">
        <f t="shared" si="237"/>
        <v>1.1308017698508042</v>
      </c>
      <c r="T406">
        <f t="shared" si="238"/>
        <v>2.2254025171520095</v>
      </c>
      <c r="U406">
        <f t="shared" si="234"/>
        <v>0</v>
      </c>
      <c r="V406">
        <f t="shared" si="239"/>
        <v>0.34052797287985348</v>
      </c>
      <c r="W406" t="str">
        <f t="shared" si="235"/>
        <v/>
      </c>
      <c r="X406">
        <f t="shared" si="240"/>
        <v>0.53190538057114778</v>
      </c>
      <c r="Y406" t="str">
        <f t="shared" si="236"/>
        <v/>
      </c>
      <c r="Z406">
        <f t="shared" si="241"/>
        <v>0.86492480007870098</v>
      </c>
      <c r="AA406">
        <f t="shared" si="242"/>
        <v>1.0654178619557007</v>
      </c>
      <c r="AB406">
        <f t="shared" si="243"/>
        <v>1.1085884307385154</v>
      </c>
      <c r="AC406">
        <f t="shared" si="244"/>
        <v>0.92283616307273009</v>
      </c>
      <c r="AD406">
        <f t="shared" si="245"/>
        <v>1.158802253111425</v>
      </c>
    </row>
    <row r="407" spans="1:30">
      <c r="A407" t="s">
        <v>299</v>
      </c>
      <c r="B407" t="s">
        <v>37</v>
      </c>
      <c r="C407" t="s">
        <v>38</v>
      </c>
      <c r="D407" t="s">
        <v>39</v>
      </c>
      <c r="E407" s="2">
        <v>46101</v>
      </c>
      <c r="F407" t="s">
        <v>34</v>
      </c>
      <c r="G407">
        <v>118.7</v>
      </c>
      <c r="H407">
        <v>87</v>
      </c>
      <c r="I407">
        <v>-1957.8</v>
      </c>
      <c r="J407">
        <v>77.5</v>
      </c>
      <c r="K407">
        <v>0</v>
      </c>
      <c r="L407">
        <v>0.3</v>
      </c>
      <c r="M407">
        <v>0</v>
      </c>
      <c r="N407">
        <v>77.2</v>
      </c>
      <c r="O407">
        <v>111.86</v>
      </c>
      <c r="P407">
        <v>113.48</v>
      </c>
      <c r="Q407">
        <v>4.03</v>
      </c>
      <c r="R407">
        <v>4</v>
      </c>
      <c r="S407">
        <f t="shared" si="237"/>
        <v>1.2310834208959296</v>
      </c>
      <c r="T407">
        <f t="shared" si="238"/>
        <v>2.2254025171520095</v>
      </c>
      <c r="U407">
        <f t="shared" si="234"/>
        <v>0</v>
      </c>
      <c r="V407">
        <f t="shared" si="239"/>
        <v>4.261739846936802</v>
      </c>
      <c r="W407" t="str">
        <f t="shared" si="235"/>
        <v/>
      </c>
      <c r="X407">
        <f t="shared" si="240"/>
        <v>0.82514732949882619</v>
      </c>
      <c r="Y407" t="str">
        <f t="shared" si="236"/>
        <v/>
      </c>
      <c r="Z407">
        <f t="shared" si="241"/>
        <v>3.4163377533573791</v>
      </c>
      <c r="AA407">
        <f t="shared" si="242"/>
        <v>0.98223287518211322</v>
      </c>
      <c r="AB407">
        <f t="shared" si="243"/>
        <v>1.3166067478272863</v>
      </c>
      <c r="AC407">
        <f t="shared" si="244"/>
        <v>1.3879988038674955</v>
      </c>
      <c r="AD407">
        <f t="shared" si="245"/>
        <v>0.96742812306632298</v>
      </c>
    </row>
    <row r="408" spans="1:30">
      <c r="A408" t="s">
        <v>299</v>
      </c>
      <c r="B408" t="s">
        <v>37</v>
      </c>
      <c r="C408" t="s">
        <v>38</v>
      </c>
      <c r="D408" t="s">
        <v>39</v>
      </c>
      <c r="E408" s="2">
        <v>46101</v>
      </c>
      <c r="F408" t="s">
        <v>40</v>
      </c>
      <c r="G408">
        <v>120.4</v>
      </c>
      <c r="H408">
        <v>86.5</v>
      </c>
      <c r="I408">
        <v>-1957.8</v>
      </c>
      <c r="J408">
        <v>77.099999999999994</v>
      </c>
      <c r="K408">
        <v>0</v>
      </c>
      <c r="L408">
        <v>4.3</v>
      </c>
      <c r="M408">
        <v>0</v>
      </c>
      <c r="N408">
        <v>72.8</v>
      </c>
      <c r="O408">
        <v>112.08</v>
      </c>
      <c r="P408">
        <v>113.62</v>
      </c>
      <c r="Q408">
        <v>4.03</v>
      </c>
      <c r="R408">
        <v>4</v>
      </c>
      <c r="S408">
        <f t="shared" si="237"/>
        <v>1.5720410344493563</v>
      </c>
      <c r="T408">
        <f t="shared" si="238"/>
        <v>2.0482031810116026</v>
      </c>
      <c r="U408">
        <f t="shared" si="234"/>
        <v>0</v>
      </c>
      <c r="V408">
        <f t="shared" si="239"/>
        <v>4.0526085469870949</v>
      </c>
      <c r="W408" t="str">
        <f t="shared" si="235"/>
        <v/>
      </c>
      <c r="X408">
        <f t="shared" si="240"/>
        <v>2.0318057443326976</v>
      </c>
      <c r="Y408" t="str">
        <f t="shared" si="236"/>
        <v/>
      </c>
      <c r="Z408">
        <f t="shared" si="241"/>
        <v>1.4123425155787872</v>
      </c>
      <c r="AA408">
        <f t="shared" si="242"/>
        <v>0.8515136102521913</v>
      </c>
      <c r="AB408">
        <f t="shared" si="243"/>
        <v>1.2161841119913246</v>
      </c>
      <c r="AC408">
        <f t="shared" si="244"/>
        <v>1.3879988038674955</v>
      </c>
      <c r="AD408">
        <f t="shared" si="245"/>
        <v>0.96742812306632298</v>
      </c>
    </row>
    <row r="409" spans="1:30">
      <c r="A409" t="s">
        <v>300</v>
      </c>
      <c r="B409" t="s">
        <v>37</v>
      </c>
      <c r="C409" t="s">
        <v>38</v>
      </c>
      <c r="D409" t="s">
        <v>39</v>
      </c>
      <c r="E409" s="2">
        <v>46102</v>
      </c>
      <c r="F409" t="s">
        <v>40</v>
      </c>
      <c r="G409">
        <v>106.6</v>
      </c>
      <c r="H409">
        <v>79.3</v>
      </c>
      <c r="I409">
        <v>-1957.8</v>
      </c>
      <c r="J409">
        <v>67.7</v>
      </c>
      <c r="K409">
        <v>0</v>
      </c>
      <c r="L409">
        <v>0.8</v>
      </c>
      <c r="M409">
        <v>0</v>
      </c>
      <c r="N409">
        <v>66.900000000000006</v>
      </c>
      <c r="O409">
        <v>111.2</v>
      </c>
      <c r="P409">
        <v>112.89</v>
      </c>
      <c r="Q409">
        <v>3.74</v>
      </c>
      <c r="R409">
        <v>3.83</v>
      </c>
      <c r="S409">
        <f t="shared" si="237"/>
        <v>1.1957325343961054</v>
      </c>
      <c r="T409">
        <f t="shared" si="238"/>
        <v>0.50346725941026071</v>
      </c>
      <c r="U409">
        <f t="shared" si="234"/>
        <v>0</v>
      </c>
      <c r="V409">
        <f t="shared" si="239"/>
        <v>0.86197700183094261</v>
      </c>
      <c r="W409" t="str">
        <f t="shared" si="235"/>
        <v/>
      </c>
      <c r="X409">
        <f t="shared" si="240"/>
        <v>0.46802819526988565</v>
      </c>
      <c r="Y409" t="str">
        <f t="shared" si="236"/>
        <v/>
      </c>
      <c r="Z409">
        <f t="shared" si="241"/>
        <v>1.2748329168970449</v>
      </c>
      <c r="AA409">
        <f t="shared" si="242"/>
        <v>1.3743906699718791</v>
      </c>
      <c r="AB409">
        <f t="shared" si="243"/>
        <v>1.7398164274216958</v>
      </c>
      <c r="AC409">
        <f t="shared" si="244"/>
        <v>0.53910356513938229</v>
      </c>
      <c r="AD409">
        <f t="shared" si="245"/>
        <v>0.11702528052257931</v>
      </c>
    </row>
    <row r="410" spans="1:30">
      <c r="A410" t="s">
        <v>301</v>
      </c>
      <c r="B410" t="s">
        <v>37</v>
      </c>
      <c r="C410" t="s">
        <v>38</v>
      </c>
      <c r="D410" t="s">
        <v>39</v>
      </c>
      <c r="E410" s="2">
        <v>46102</v>
      </c>
      <c r="F410" t="s">
        <v>40</v>
      </c>
      <c r="G410">
        <v>102.6</v>
      </c>
      <c r="H410">
        <v>78.400000000000006</v>
      </c>
      <c r="I410">
        <v>-1957.8</v>
      </c>
      <c r="J410">
        <v>68.2</v>
      </c>
      <c r="K410">
        <v>0</v>
      </c>
      <c r="L410">
        <v>0.7</v>
      </c>
      <c r="M410">
        <v>0</v>
      </c>
      <c r="N410">
        <v>67.5</v>
      </c>
      <c r="O410">
        <v>111.5</v>
      </c>
      <c r="P410">
        <v>112.96</v>
      </c>
      <c r="Q410">
        <v>3.64</v>
      </c>
      <c r="R410">
        <v>3.71</v>
      </c>
      <c r="S410">
        <f t="shared" si="237"/>
        <v>1.9979857427571082</v>
      </c>
      <c r="T410">
        <f t="shared" si="238"/>
        <v>0.82242606446299038</v>
      </c>
      <c r="U410">
        <f t="shared" si="234"/>
        <v>0</v>
      </c>
      <c r="V410">
        <f t="shared" si="239"/>
        <v>0.60056287689381271</v>
      </c>
      <c r="W410" t="str">
        <f t="shared" si="235"/>
        <v/>
      </c>
      <c r="X410">
        <f t="shared" si="240"/>
        <v>0.53945202211567389</v>
      </c>
      <c r="Y410" t="str">
        <f t="shared" si="236"/>
        <v/>
      </c>
      <c r="Z410">
        <f t="shared" si="241"/>
        <v>1.001560839018149</v>
      </c>
      <c r="AA410">
        <f t="shared" si="242"/>
        <v>1.1961371268856227</v>
      </c>
      <c r="AB410">
        <f t="shared" si="243"/>
        <v>1.6896051095037203</v>
      </c>
      <c r="AC410">
        <f t="shared" si="244"/>
        <v>1.2036216234176165</v>
      </c>
      <c r="AD410">
        <f t="shared" si="245"/>
        <v>0.88252180070298192</v>
      </c>
    </row>
    <row r="411" spans="1:30">
      <c r="A411" t="s">
        <v>302</v>
      </c>
      <c r="B411" t="s">
        <v>37</v>
      </c>
      <c r="C411" t="s">
        <v>38</v>
      </c>
      <c r="D411" t="s">
        <v>39</v>
      </c>
      <c r="E411" s="2">
        <v>46102</v>
      </c>
      <c r="F411" t="s">
        <v>34</v>
      </c>
      <c r="G411">
        <v>106.2</v>
      </c>
      <c r="H411">
        <v>71.2</v>
      </c>
      <c r="I411">
        <v>-1957.8</v>
      </c>
      <c r="J411">
        <v>67.7</v>
      </c>
      <c r="K411">
        <v>0</v>
      </c>
      <c r="L411">
        <v>1.6</v>
      </c>
      <c r="M411">
        <v>0</v>
      </c>
      <c r="N411">
        <v>66.099999999999994</v>
      </c>
      <c r="O411">
        <v>111.13</v>
      </c>
      <c r="P411">
        <v>117.66</v>
      </c>
      <c r="Q411">
        <v>3.81</v>
      </c>
      <c r="R411">
        <v>3.78</v>
      </c>
      <c r="S411">
        <f t="shared" si="237"/>
        <v>1.275957855232204</v>
      </c>
      <c r="T411">
        <f t="shared" si="238"/>
        <v>3.3740965048848537</v>
      </c>
      <c r="U411">
        <f t="shared" si="234"/>
        <v>0</v>
      </c>
      <c r="V411">
        <f t="shared" si="239"/>
        <v>0.86197700183094261</v>
      </c>
      <c r="W411" t="str">
        <f t="shared" si="235"/>
        <v/>
      </c>
      <c r="X411">
        <f t="shared" si="240"/>
        <v>0.10336241949641915</v>
      </c>
      <c r="Y411" t="str">
        <f t="shared" si="236"/>
        <v/>
      </c>
      <c r="Z411">
        <f t="shared" si="241"/>
        <v>1.6391956874022482</v>
      </c>
      <c r="AA411">
        <f t="shared" si="242"/>
        <v>1.415983163358677</v>
      </c>
      <c r="AB411">
        <f t="shared" si="243"/>
        <v>1.6817262364178318</v>
      </c>
      <c r="AC411">
        <f t="shared" si="244"/>
        <v>7.3940924344619782E-2</v>
      </c>
      <c r="AD411">
        <f t="shared" si="245"/>
        <v>0.4359821639310818</v>
      </c>
    </row>
    <row r="412" spans="1:30">
      <c r="A412" t="s">
        <v>302</v>
      </c>
      <c r="B412" t="s">
        <v>37</v>
      </c>
      <c r="C412" t="s">
        <v>38</v>
      </c>
      <c r="D412" t="s">
        <v>39</v>
      </c>
      <c r="E412" s="2">
        <v>46102</v>
      </c>
      <c r="F412" t="s">
        <v>40</v>
      </c>
      <c r="G412">
        <v>117.3</v>
      </c>
      <c r="H412">
        <v>86.1</v>
      </c>
      <c r="I412">
        <v>-1957.8</v>
      </c>
      <c r="J412">
        <v>67.7</v>
      </c>
      <c r="K412">
        <v>0</v>
      </c>
      <c r="L412">
        <v>0.2</v>
      </c>
      <c r="M412">
        <v>0</v>
      </c>
      <c r="N412">
        <v>67.5</v>
      </c>
      <c r="O412">
        <v>111.06</v>
      </c>
      <c r="P412">
        <v>117.58</v>
      </c>
      <c r="Q412">
        <v>4.08</v>
      </c>
      <c r="R412">
        <v>3.98</v>
      </c>
      <c r="S412">
        <f t="shared" si="237"/>
        <v>0.9502947979695775</v>
      </c>
      <c r="T412">
        <f t="shared" si="238"/>
        <v>1.9064437120992748</v>
      </c>
      <c r="U412">
        <f t="shared" si="234"/>
        <v>0</v>
      </c>
      <c r="V412">
        <f t="shared" si="239"/>
        <v>0.86197700183094261</v>
      </c>
      <c r="W412" t="str">
        <f t="shared" si="235"/>
        <v/>
      </c>
      <c r="X412">
        <f t="shared" si="240"/>
        <v>0.89657115634461437</v>
      </c>
      <c r="Y412" t="str">
        <f t="shared" si="236"/>
        <v/>
      </c>
      <c r="Z412">
        <f t="shared" si="241"/>
        <v>1.001560839018149</v>
      </c>
      <c r="AA412">
        <f t="shared" si="242"/>
        <v>1.4575756567454665</v>
      </c>
      <c r="AB412">
        <f t="shared" si="243"/>
        <v>1.6243418730829982</v>
      </c>
      <c r="AC412">
        <f t="shared" si="244"/>
        <v>1.7202578330066112</v>
      </c>
      <c r="AD412">
        <f t="shared" si="245"/>
        <v>0.83984536970292256</v>
      </c>
    </row>
    <row r="413" spans="1:30">
      <c r="A413" t="s">
        <v>303</v>
      </c>
      <c r="B413" t="s">
        <v>37</v>
      </c>
      <c r="C413" t="s">
        <v>38</v>
      </c>
      <c r="D413" t="s">
        <v>39</v>
      </c>
      <c r="E413" s="2">
        <v>46102</v>
      </c>
      <c r="F413" t="s">
        <v>40</v>
      </c>
      <c r="G413">
        <v>112.4</v>
      </c>
      <c r="H413">
        <v>83.4</v>
      </c>
      <c r="I413">
        <v>-1957.8</v>
      </c>
      <c r="J413">
        <v>70</v>
      </c>
      <c r="K413">
        <v>0</v>
      </c>
      <c r="L413">
        <v>0.5</v>
      </c>
      <c r="M413">
        <v>0</v>
      </c>
      <c r="N413">
        <v>70.5</v>
      </c>
      <c r="O413">
        <v>115.6</v>
      </c>
      <c r="P413">
        <v>117</v>
      </c>
      <c r="Q413">
        <v>3.76</v>
      </c>
      <c r="R413">
        <v>3.78</v>
      </c>
      <c r="S413">
        <f t="shared" si="237"/>
        <v>3.246538227264912E-2</v>
      </c>
      <c r="T413">
        <f t="shared" si="238"/>
        <v>0.94956729694108055</v>
      </c>
      <c r="U413">
        <f t="shared" si="234"/>
        <v>0</v>
      </c>
      <c r="V413">
        <f t="shared" si="239"/>
        <v>0.34052797287985348</v>
      </c>
      <c r="W413" t="str">
        <f t="shared" si="235"/>
        <v/>
      </c>
      <c r="X413">
        <f t="shared" si="240"/>
        <v>0.68229967580725004</v>
      </c>
      <c r="Y413" t="str">
        <f t="shared" si="236"/>
        <v/>
      </c>
      <c r="Z413">
        <f t="shared" si="241"/>
        <v>0.36479955037634393</v>
      </c>
      <c r="AA413">
        <f t="shared" si="242"/>
        <v>1.2399946286265677</v>
      </c>
      <c r="AB413">
        <f t="shared" si="243"/>
        <v>1.2083052389054463</v>
      </c>
      <c r="AC413">
        <f t="shared" si="244"/>
        <v>0.40619995348373839</v>
      </c>
      <c r="AD413">
        <f t="shared" si="245"/>
        <v>0.4359821639310818</v>
      </c>
    </row>
    <row r="414" spans="1:30">
      <c r="A414" t="s">
        <v>304</v>
      </c>
      <c r="B414" t="s">
        <v>37</v>
      </c>
      <c r="C414" t="s">
        <v>38</v>
      </c>
      <c r="D414" t="s">
        <v>39</v>
      </c>
      <c r="E414" s="2">
        <v>46102</v>
      </c>
      <c r="F414" t="s">
        <v>40</v>
      </c>
      <c r="G414">
        <v>111.5</v>
      </c>
      <c r="H414">
        <v>82</v>
      </c>
      <c r="I414">
        <v>-1957.8</v>
      </c>
      <c r="J414">
        <v>69.5</v>
      </c>
      <c r="K414">
        <v>0</v>
      </c>
      <c r="L414">
        <v>2.4</v>
      </c>
      <c r="M414">
        <v>0</v>
      </c>
      <c r="N414">
        <v>67.099999999999994</v>
      </c>
      <c r="O414">
        <v>115.6</v>
      </c>
      <c r="P414">
        <v>117.22</v>
      </c>
      <c r="Q414">
        <v>3.71</v>
      </c>
      <c r="R414">
        <v>3.74</v>
      </c>
      <c r="S414">
        <f t="shared" si="237"/>
        <v>0.21297235415387586</v>
      </c>
      <c r="T414">
        <f t="shared" si="238"/>
        <v>0.45340915574793861</v>
      </c>
      <c r="U414">
        <f t="shared" si="234"/>
        <v>0</v>
      </c>
      <c r="V414">
        <f t="shared" si="239"/>
        <v>7.9113847942723581E-2</v>
      </c>
      <c r="W414" t="str">
        <f t="shared" si="235"/>
        <v/>
      </c>
      <c r="X414">
        <f t="shared" si="240"/>
        <v>0.67475303426272382</v>
      </c>
      <c r="Y414" t="str">
        <f t="shared" si="236"/>
        <v/>
      </c>
      <c r="Z414">
        <f t="shared" si="241"/>
        <v>1.1837422242707505</v>
      </c>
      <c r="AA414">
        <f t="shared" si="242"/>
        <v>1.2399946286265677</v>
      </c>
      <c r="AB414">
        <f t="shared" si="243"/>
        <v>1.3661122380762416</v>
      </c>
      <c r="AC414">
        <f t="shared" si="244"/>
        <v>0.73845898262285403</v>
      </c>
      <c r="AD414">
        <f t="shared" si="245"/>
        <v>0.69114767065787985</v>
      </c>
    </row>
    <row r="415" spans="1:30">
      <c r="A415" t="s">
        <v>305</v>
      </c>
      <c r="B415" t="s">
        <v>37</v>
      </c>
      <c r="C415" t="s">
        <v>38</v>
      </c>
      <c r="D415" t="s">
        <v>39</v>
      </c>
      <c r="E415" s="2">
        <v>46102</v>
      </c>
      <c r="F415" t="s">
        <v>40</v>
      </c>
      <c r="G415">
        <v>111.1</v>
      </c>
      <c r="H415">
        <v>79.3</v>
      </c>
      <c r="I415">
        <v>-1957.8</v>
      </c>
      <c r="J415">
        <v>67.7</v>
      </c>
      <c r="K415">
        <v>0</v>
      </c>
      <c r="L415">
        <v>2.2000000000000002</v>
      </c>
      <c r="M415">
        <v>0</v>
      </c>
      <c r="N415">
        <v>65.5</v>
      </c>
      <c r="O415">
        <v>115.46</v>
      </c>
      <c r="P415">
        <v>115.38</v>
      </c>
      <c r="Q415">
        <v>3.56</v>
      </c>
      <c r="R415">
        <v>3.59</v>
      </c>
      <c r="S415">
        <f t="shared" si="237"/>
        <v>0.29319767498997729</v>
      </c>
      <c r="T415">
        <f t="shared" si="238"/>
        <v>0.50346725941026071</v>
      </c>
      <c r="U415">
        <f t="shared" si="234"/>
        <v>0</v>
      </c>
      <c r="V415">
        <f t="shared" si="239"/>
        <v>0.86197700183094261</v>
      </c>
      <c r="W415" t="str">
        <f t="shared" si="235"/>
        <v/>
      </c>
      <c r="X415">
        <f t="shared" si="240"/>
        <v>0.53190538057114778</v>
      </c>
      <c r="Y415" t="str">
        <f t="shared" si="236"/>
        <v/>
      </c>
      <c r="Z415">
        <f t="shared" si="241"/>
        <v>1.9124677652811441</v>
      </c>
      <c r="AA415">
        <f t="shared" si="242"/>
        <v>1.1568096418529803</v>
      </c>
      <c r="AB415">
        <f t="shared" si="243"/>
        <v>4.6271881375036482E-2</v>
      </c>
      <c r="AC415">
        <f t="shared" si="244"/>
        <v>1.7352360700402041</v>
      </c>
      <c r="AD415">
        <f t="shared" si="245"/>
        <v>1.6480183208833845</v>
      </c>
    </row>
    <row r="416" spans="1:30">
      <c r="A416" t="s">
        <v>306</v>
      </c>
      <c r="B416" t="s">
        <v>37</v>
      </c>
      <c r="C416" t="s">
        <v>38</v>
      </c>
      <c r="D416" t="s">
        <v>39</v>
      </c>
      <c r="E416" s="2">
        <v>46102</v>
      </c>
      <c r="F416" t="s">
        <v>40</v>
      </c>
      <c r="G416">
        <v>110.2</v>
      </c>
      <c r="H416">
        <v>81.599999999999994</v>
      </c>
      <c r="I416">
        <v>-1957.8</v>
      </c>
      <c r="J416">
        <v>68.2</v>
      </c>
      <c r="K416">
        <v>0</v>
      </c>
      <c r="L416">
        <v>0.8</v>
      </c>
      <c r="M416">
        <v>0</v>
      </c>
      <c r="N416">
        <v>67.400000000000006</v>
      </c>
      <c r="O416">
        <v>115.6</v>
      </c>
      <c r="P416">
        <v>117</v>
      </c>
      <c r="Q416">
        <v>3.69</v>
      </c>
      <c r="R416">
        <v>3.74</v>
      </c>
      <c r="S416">
        <f t="shared" si="237"/>
        <v>0.47370464687120117</v>
      </c>
      <c r="T416">
        <f t="shared" si="238"/>
        <v>0.31164968683561095</v>
      </c>
      <c r="U416">
        <f t="shared" si="234"/>
        <v>0</v>
      </c>
      <c r="V416">
        <f t="shared" si="239"/>
        <v>0.60056287689381271</v>
      </c>
      <c r="W416" t="str">
        <f t="shared" si="235"/>
        <v/>
      </c>
      <c r="X416">
        <f t="shared" si="240"/>
        <v>0.46802819526988565</v>
      </c>
      <c r="Y416" t="str">
        <f t="shared" si="236"/>
        <v/>
      </c>
      <c r="Z416">
        <f t="shared" si="241"/>
        <v>1.0471061853312962</v>
      </c>
      <c r="AA416">
        <f t="shared" si="242"/>
        <v>1.2399946286265677</v>
      </c>
      <c r="AB416">
        <f t="shared" si="243"/>
        <v>1.2083052389054463</v>
      </c>
      <c r="AC416">
        <f t="shared" si="244"/>
        <v>0.87136259427850093</v>
      </c>
      <c r="AD416">
        <f t="shared" si="245"/>
        <v>0.69114767065787985</v>
      </c>
    </row>
    <row r="417" spans="1:30">
      <c r="A417" t="s">
        <v>307</v>
      </c>
      <c r="B417" t="s">
        <v>37</v>
      </c>
      <c r="C417" t="s">
        <v>38</v>
      </c>
      <c r="D417" t="s">
        <v>39</v>
      </c>
      <c r="E417" s="2">
        <v>46102</v>
      </c>
      <c r="F417" t="s">
        <v>40</v>
      </c>
      <c r="G417">
        <v>112.9</v>
      </c>
      <c r="H417">
        <v>81.599999999999994</v>
      </c>
      <c r="I417">
        <v>-1957.8</v>
      </c>
      <c r="J417">
        <v>67.7</v>
      </c>
      <c r="K417">
        <v>0</v>
      </c>
      <c r="L417">
        <v>2</v>
      </c>
      <c r="M417">
        <v>0</v>
      </c>
      <c r="N417">
        <v>65.7</v>
      </c>
      <c r="O417">
        <v>112.16</v>
      </c>
      <c r="P417">
        <v>116.78</v>
      </c>
      <c r="Q417">
        <v>3.81</v>
      </c>
      <c r="R417">
        <v>3.81</v>
      </c>
      <c r="S417">
        <f t="shared" si="237"/>
        <v>6.7816268772476221E-2</v>
      </c>
      <c r="T417">
        <f t="shared" si="238"/>
        <v>0.31164968683561095</v>
      </c>
      <c r="U417">
        <f t="shared" si="234"/>
        <v>0</v>
      </c>
      <c r="V417">
        <f t="shared" si="239"/>
        <v>0.86197700183094261</v>
      </c>
      <c r="W417" t="str">
        <f t="shared" si="235"/>
        <v/>
      </c>
      <c r="X417">
        <f t="shared" si="240"/>
        <v>0.38905772687957146</v>
      </c>
      <c r="Y417" t="str">
        <f t="shared" si="236"/>
        <v/>
      </c>
      <c r="Z417">
        <f t="shared" si="241"/>
        <v>1.8213770726548433</v>
      </c>
      <c r="AA417">
        <f t="shared" si="242"/>
        <v>0.80397933209585692</v>
      </c>
      <c r="AB417">
        <f t="shared" si="243"/>
        <v>1.0504982397346512</v>
      </c>
      <c r="AC417">
        <f t="shared" si="244"/>
        <v>7.3940924344619782E-2</v>
      </c>
      <c r="AD417">
        <f t="shared" si="245"/>
        <v>0.24460803388597974</v>
      </c>
    </row>
    <row r="418" spans="1:30">
      <c r="A418" t="s">
        <v>308</v>
      </c>
      <c r="B418" t="s">
        <v>37</v>
      </c>
      <c r="C418" t="s">
        <v>38</v>
      </c>
      <c r="D418" t="s">
        <v>39</v>
      </c>
      <c r="E418" s="2">
        <v>46102</v>
      </c>
      <c r="F418" t="s">
        <v>34</v>
      </c>
      <c r="G418">
        <v>90.5</v>
      </c>
      <c r="H418">
        <v>78.900000000000006</v>
      </c>
      <c r="I418">
        <v>-1957.8</v>
      </c>
      <c r="J418">
        <v>68.2</v>
      </c>
      <c r="K418">
        <v>0</v>
      </c>
      <c r="L418">
        <v>1</v>
      </c>
      <c r="M418">
        <v>0</v>
      </c>
      <c r="N418">
        <v>67.2</v>
      </c>
      <c r="O418">
        <v>112.16</v>
      </c>
      <c r="P418">
        <v>117</v>
      </c>
      <c r="Q418">
        <v>3.98</v>
      </c>
      <c r="R418">
        <v>3.98</v>
      </c>
      <c r="S418">
        <f t="shared" si="237"/>
        <v>4.4248016980491398</v>
      </c>
      <c r="T418">
        <f t="shared" si="238"/>
        <v>0.64522672832258332</v>
      </c>
      <c r="U418">
        <f t="shared" si="234"/>
        <v>0</v>
      </c>
      <c r="V418">
        <f t="shared" si="239"/>
        <v>0.60056287689381271</v>
      </c>
      <c r="W418" t="str">
        <f t="shared" si="235"/>
        <v/>
      </c>
      <c r="X418">
        <f t="shared" si="240"/>
        <v>0.3251805415783095</v>
      </c>
      <c r="Y418" t="str">
        <f t="shared" si="236"/>
        <v/>
      </c>
      <c r="Z418">
        <f t="shared" si="241"/>
        <v>1.1381968779575968</v>
      </c>
      <c r="AA418">
        <f t="shared" si="242"/>
        <v>0.80397933209585692</v>
      </c>
      <c r="AB418">
        <f t="shared" si="243"/>
        <v>1.2083052389054463</v>
      </c>
      <c r="AC418">
        <f t="shared" si="244"/>
        <v>1.055739774728377</v>
      </c>
      <c r="AD418">
        <f t="shared" si="245"/>
        <v>0.83984536970292256</v>
      </c>
    </row>
    <row r="419" spans="1:30">
      <c r="A419" t="s">
        <v>308</v>
      </c>
      <c r="B419" t="s">
        <v>37</v>
      </c>
      <c r="C419" t="s">
        <v>38</v>
      </c>
      <c r="D419" t="s">
        <v>39</v>
      </c>
      <c r="E419" s="2">
        <v>46102</v>
      </c>
      <c r="F419" t="s">
        <v>40</v>
      </c>
      <c r="G419">
        <v>114.6</v>
      </c>
      <c r="H419">
        <v>79.8</v>
      </c>
      <c r="I419">
        <v>-1957.8</v>
      </c>
      <c r="J419">
        <v>68.2</v>
      </c>
      <c r="K419">
        <v>0</v>
      </c>
      <c r="L419">
        <v>1.6</v>
      </c>
      <c r="M419">
        <v>0</v>
      </c>
      <c r="N419">
        <v>66.599999999999994</v>
      </c>
      <c r="O419">
        <v>112.23</v>
      </c>
      <c r="P419">
        <v>116.92</v>
      </c>
      <c r="Q419">
        <v>3.93</v>
      </c>
      <c r="R419">
        <v>3.88</v>
      </c>
      <c r="S419">
        <f t="shared" si="237"/>
        <v>0.40877388232590012</v>
      </c>
      <c r="T419">
        <f t="shared" si="238"/>
        <v>0.3262679232698536</v>
      </c>
      <c r="U419">
        <f t="shared" si="234"/>
        <v>0</v>
      </c>
      <c r="V419">
        <f t="shared" si="239"/>
        <v>0.60056287689381271</v>
      </c>
      <c r="W419" t="str">
        <f t="shared" si="235"/>
        <v/>
      </c>
      <c r="X419">
        <f t="shared" si="240"/>
        <v>0.10336241949641915</v>
      </c>
      <c r="Y419" t="str">
        <f t="shared" si="236"/>
        <v/>
      </c>
      <c r="Z419">
        <f t="shared" si="241"/>
        <v>1.4114689558364995</v>
      </c>
      <c r="AA419">
        <f t="shared" si="242"/>
        <v>0.76238683870905888</v>
      </c>
      <c r="AB419">
        <f t="shared" si="243"/>
        <v>1.1509208755706126</v>
      </c>
      <c r="AC419">
        <f t="shared" si="244"/>
        <v>0.72348074558926134</v>
      </c>
      <c r="AD419">
        <f t="shared" si="245"/>
        <v>0.20193160288592038</v>
      </c>
    </row>
    <row r="420" spans="1:30">
      <c r="A420" t="s">
        <v>309</v>
      </c>
      <c r="B420" t="s">
        <v>37</v>
      </c>
      <c r="C420" t="s">
        <v>38</v>
      </c>
      <c r="D420" t="s">
        <v>39</v>
      </c>
      <c r="E420" s="2">
        <v>46102</v>
      </c>
      <c r="F420" t="s">
        <v>40</v>
      </c>
      <c r="G420">
        <v>112</v>
      </c>
      <c r="H420">
        <v>80.2</v>
      </c>
      <c r="I420">
        <v>-1957.8</v>
      </c>
      <c r="J420">
        <v>68.2</v>
      </c>
      <c r="K420">
        <v>0</v>
      </c>
      <c r="L420">
        <v>1.3</v>
      </c>
      <c r="M420">
        <v>0</v>
      </c>
      <c r="N420">
        <v>66.900000000000006</v>
      </c>
      <c r="O420">
        <v>111.94</v>
      </c>
      <c r="P420">
        <v>113.48</v>
      </c>
      <c r="Q420">
        <v>3.81</v>
      </c>
      <c r="R420">
        <v>3.81</v>
      </c>
      <c r="S420">
        <f t="shared" si="237"/>
        <v>0.11269070310875053</v>
      </c>
      <c r="T420">
        <f t="shared" si="238"/>
        <v>0.18450845435752589</v>
      </c>
      <c r="U420">
        <f t="shared" si="234"/>
        <v>0</v>
      </c>
      <c r="V420">
        <f t="shared" si="239"/>
        <v>0.60056287689381271</v>
      </c>
      <c r="W420" t="str">
        <f t="shared" si="235"/>
        <v/>
      </c>
      <c r="X420">
        <f t="shared" si="240"/>
        <v>0.11090906104094518</v>
      </c>
      <c r="Y420" t="str">
        <f t="shared" si="236"/>
        <v/>
      </c>
      <c r="Z420">
        <f t="shared" si="241"/>
        <v>1.2748329168970449</v>
      </c>
      <c r="AA420">
        <f t="shared" si="242"/>
        <v>0.93469859702577884</v>
      </c>
      <c r="AB420">
        <f t="shared" si="243"/>
        <v>1.3166067478272863</v>
      </c>
      <c r="AC420">
        <f t="shared" si="244"/>
        <v>7.3940924344619782E-2</v>
      </c>
      <c r="AD420">
        <f t="shared" si="245"/>
        <v>0.24460803388597974</v>
      </c>
    </row>
    <row r="421" spans="1:30">
      <c r="A421" t="s">
        <v>310</v>
      </c>
      <c r="B421" t="s">
        <v>37</v>
      </c>
      <c r="C421" t="s">
        <v>38</v>
      </c>
      <c r="D421" t="s">
        <v>39</v>
      </c>
      <c r="E421" s="2">
        <v>46102</v>
      </c>
      <c r="F421" t="s">
        <v>40</v>
      </c>
      <c r="G421">
        <v>113.7</v>
      </c>
      <c r="H421">
        <v>78.900000000000006</v>
      </c>
      <c r="I421">
        <v>-1957.8</v>
      </c>
      <c r="J421">
        <v>68.2</v>
      </c>
      <c r="K421">
        <v>0</v>
      </c>
      <c r="L421">
        <v>1.4</v>
      </c>
      <c r="M421">
        <v>0</v>
      </c>
      <c r="N421">
        <v>66.8</v>
      </c>
      <c r="O421">
        <v>115.38</v>
      </c>
      <c r="P421">
        <v>115.31</v>
      </c>
      <c r="Q421">
        <v>3.59</v>
      </c>
      <c r="R421">
        <v>3.66</v>
      </c>
      <c r="S421">
        <f t="shared" si="237"/>
        <v>0.2282669104446762</v>
      </c>
      <c r="T421">
        <f t="shared" si="238"/>
        <v>0.64522672832258332</v>
      </c>
      <c r="U421">
        <f t="shared" si="234"/>
        <v>0</v>
      </c>
      <c r="V421">
        <f t="shared" si="239"/>
        <v>0.60056287689381271</v>
      </c>
      <c r="W421" t="str">
        <f t="shared" si="235"/>
        <v/>
      </c>
      <c r="X421">
        <f t="shared" si="240"/>
        <v>3.9485234195157176E-2</v>
      </c>
      <c r="Y421" t="str">
        <f t="shared" si="236"/>
        <v/>
      </c>
      <c r="Z421">
        <f t="shared" si="241"/>
        <v>1.3203782632101986</v>
      </c>
      <c r="AA421">
        <f t="shared" si="242"/>
        <v>1.1092753636966459</v>
      </c>
      <c r="AB421">
        <f t="shared" si="243"/>
        <v>3.9394365429391608E-3</v>
      </c>
      <c r="AC421">
        <f t="shared" si="244"/>
        <v>1.5358806525567352</v>
      </c>
      <c r="AD421">
        <f t="shared" si="245"/>
        <v>1.2014786841114817</v>
      </c>
    </row>
    <row r="422" spans="1:30">
      <c r="A422" t="s">
        <v>311</v>
      </c>
      <c r="B422" t="s">
        <v>37</v>
      </c>
      <c r="C422" t="s">
        <v>38</v>
      </c>
      <c r="D422" t="s">
        <v>39</v>
      </c>
      <c r="E422" s="2">
        <v>46102</v>
      </c>
      <c r="F422" t="s">
        <v>40</v>
      </c>
      <c r="G422">
        <v>114.6</v>
      </c>
      <c r="H422">
        <v>81.599999999999994</v>
      </c>
      <c r="I422">
        <v>-1957.8</v>
      </c>
      <c r="J422">
        <v>68.2</v>
      </c>
      <c r="K422">
        <v>0</v>
      </c>
      <c r="L422">
        <v>1.3</v>
      </c>
      <c r="M422">
        <v>0</v>
      </c>
      <c r="N422">
        <v>66.900000000000006</v>
      </c>
      <c r="O422">
        <v>111.72</v>
      </c>
      <c r="P422">
        <v>113.55</v>
      </c>
      <c r="Q422">
        <v>3.78</v>
      </c>
      <c r="R422">
        <v>3.86</v>
      </c>
      <c r="S422">
        <f t="shared" si="237"/>
        <v>0.40877388232590012</v>
      </c>
      <c r="T422">
        <f t="shared" si="238"/>
        <v>0.31164968683561095</v>
      </c>
      <c r="U422">
        <f t="shared" si="234"/>
        <v>0</v>
      </c>
      <c r="V422">
        <f t="shared" si="239"/>
        <v>0.60056287689381271</v>
      </c>
      <c r="W422" t="str">
        <f t="shared" si="235"/>
        <v/>
      </c>
      <c r="X422">
        <f t="shared" si="240"/>
        <v>0.11090906104094518</v>
      </c>
      <c r="Y422" t="str">
        <f t="shared" si="236"/>
        <v/>
      </c>
      <c r="Z422">
        <f t="shared" si="241"/>
        <v>1.2748329168970449</v>
      </c>
      <c r="AA422">
        <f t="shared" si="242"/>
        <v>1.0654178619557007</v>
      </c>
      <c r="AB422">
        <f t="shared" si="243"/>
        <v>1.2663954299093105</v>
      </c>
      <c r="AC422">
        <f t="shared" si="244"/>
        <v>0.27329634182809154</v>
      </c>
      <c r="AD422">
        <f t="shared" si="245"/>
        <v>7.4348849522519939E-2</v>
      </c>
    </row>
    <row r="423" spans="1:30">
      <c r="A423" t="s">
        <v>312</v>
      </c>
      <c r="B423" t="s">
        <v>37</v>
      </c>
      <c r="C423" t="s">
        <v>38</v>
      </c>
      <c r="D423" t="s">
        <v>39</v>
      </c>
      <c r="E423" s="2">
        <v>46102</v>
      </c>
      <c r="F423" t="s">
        <v>40</v>
      </c>
      <c r="G423">
        <v>112.4</v>
      </c>
      <c r="H423">
        <v>80.7</v>
      </c>
      <c r="I423">
        <v>-1957.8</v>
      </c>
      <c r="J423">
        <v>68.599999999999994</v>
      </c>
      <c r="K423">
        <v>0</v>
      </c>
      <c r="L423">
        <v>1.5</v>
      </c>
      <c r="M423">
        <v>0</v>
      </c>
      <c r="N423">
        <v>67.099999999999994</v>
      </c>
      <c r="O423">
        <v>111.86</v>
      </c>
      <c r="P423">
        <v>113.26</v>
      </c>
      <c r="Q423">
        <v>3.86</v>
      </c>
      <c r="R423">
        <v>3.88</v>
      </c>
      <c r="S423">
        <f t="shared" si="237"/>
        <v>3.246538227264912E-2</v>
      </c>
      <c r="T423">
        <f t="shared" si="238"/>
        <v>7.309118217118795E-3</v>
      </c>
      <c r="U423">
        <f t="shared" si="234"/>
        <v>0</v>
      </c>
      <c r="V423">
        <f t="shared" si="239"/>
        <v>0.39143157694411324</v>
      </c>
      <c r="W423" t="str">
        <f t="shared" si="235"/>
        <v/>
      </c>
      <c r="X423">
        <f t="shared" si="240"/>
        <v>3.1938592650630988E-2</v>
      </c>
      <c r="Y423" t="str">
        <f t="shared" si="236"/>
        <v/>
      </c>
      <c r="Z423">
        <f t="shared" si="241"/>
        <v>1.1837422242707505</v>
      </c>
      <c r="AA423">
        <f t="shared" si="242"/>
        <v>0.98223287518211322</v>
      </c>
      <c r="AB423">
        <f t="shared" si="243"/>
        <v>1.4744137469980814</v>
      </c>
      <c r="AC423">
        <f t="shared" si="244"/>
        <v>0.25831810479449585</v>
      </c>
      <c r="AD423">
        <f t="shared" si="245"/>
        <v>0.20193160288592038</v>
      </c>
    </row>
    <row r="424" spans="1:30">
      <c r="A424" t="s">
        <v>313</v>
      </c>
      <c r="B424" t="s">
        <v>37</v>
      </c>
      <c r="C424" t="s">
        <v>38</v>
      </c>
      <c r="D424" t="s">
        <v>39</v>
      </c>
      <c r="E424" s="2">
        <v>46104</v>
      </c>
      <c r="F424" t="s">
        <v>40</v>
      </c>
      <c r="G424">
        <v>105.7</v>
      </c>
      <c r="H424">
        <v>79.3</v>
      </c>
      <c r="I424">
        <v>-1957.8</v>
      </c>
      <c r="J424">
        <v>68.599999999999994</v>
      </c>
      <c r="K424">
        <v>0</v>
      </c>
      <c r="L424">
        <v>1.5</v>
      </c>
      <c r="M424">
        <v>0</v>
      </c>
      <c r="N424">
        <v>67.099999999999994</v>
      </c>
      <c r="O424">
        <v>112.08</v>
      </c>
      <c r="P424">
        <v>113.77</v>
      </c>
      <c r="Q424">
        <v>3.52</v>
      </c>
      <c r="R424">
        <v>3.64</v>
      </c>
      <c r="S424">
        <f t="shared" si="237"/>
        <v>1.3762395062773292</v>
      </c>
      <c r="T424">
        <f t="shared" si="238"/>
        <v>0.50346725941026071</v>
      </c>
      <c r="U424">
        <f t="shared" si="234"/>
        <v>0</v>
      </c>
      <c r="V424">
        <f t="shared" si="239"/>
        <v>0.39143157694411324</v>
      </c>
      <c r="W424" t="str">
        <f t="shared" si="235"/>
        <v/>
      </c>
      <c r="X424">
        <f t="shared" si="240"/>
        <v>3.1938592650630988E-2</v>
      </c>
      <c r="Y424" t="str">
        <f t="shared" si="236"/>
        <v/>
      </c>
      <c r="Z424">
        <f t="shared" si="241"/>
        <v>1.1837422242707505</v>
      </c>
      <c r="AA424">
        <f t="shared" si="242"/>
        <v>0.8515136102521913</v>
      </c>
      <c r="AB424">
        <f t="shared" si="243"/>
        <v>1.1085884307385154</v>
      </c>
      <c r="AC424">
        <f t="shared" si="244"/>
        <v>2.0010432933514979</v>
      </c>
      <c r="AD424">
        <f t="shared" si="245"/>
        <v>1.3290614374748821</v>
      </c>
    </row>
    <row r="425" spans="1:30">
      <c r="A425" t="s">
        <v>314</v>
      </c>
      <c r="B425" t="s">
        <v>37</v>
      </c>
      <c r="C425" t="s">
        <v>38</v>
      </c>
      <c r="D425" t="s">
        <v>39</v>
      </c>
      <c r="E425" s="2">
        <v>46104</v>
      </c>
      <c r="F425" t="s">
        <v>40</v>
      </c>
      <c r="G425">
        <v>108.8</v>
      </c>
      <c r="H425">
        <v>77.900000000000006</v>
      </c>
      <c r="I425">
        <v>-1957.8</v>
      </c>
      <c r="J425">
        <v>68.599999999999994</v>
      </c>
      <c r="K425">
        <v>0</v>
      </c>
      <c r="L425">
        <v>1</v>
      </c>
      <c r="M425">
        <v>0</v>
      </c>
      <c r="N425">
        <v>67.599999999999994</v>
      </c>
      <c r="O425">
        <v>114.94</v>
      </c>
      <c r="P425">
        <v>114.72</v>
      </c>
      <c r="Q425">
        <v>3.59</v>
      </c>
      <c r="R425">
        <v>3.69</v>
      </c>
      <c r="S425">
        <f t="shared" si="237"/>
        <v>0.75449326979755327</v>
      </c>
      <c r="T425">
        <f t="shared" si="238"/>
        <v>0.99962540060339755</v>
      </c>
      <c r="U425">
        <f t="shared" si="234"/>
        <v>0</v>
      </c>
      <c r="V425">
        <f t="shared" si="239"/>
        <v>0.39143157694411324</v>
      </c>
      <c r="W425" t="str">
        <f t="shared" si="235"/>
        <v/>
      </c>
      <c r="X425">
        <f t="shared" si="240"/>
        <v>0.3251805415783095</v>
      </c>
      <c r="Y425" t="str">
        <f t="shared" si="236"/>
        <v/>
      </c>
      <c r="Z425">
        <f t="shared" si="241"/>
        <v>0.95601549270500175</v>
      </c>
      <c r="AA425">
        <f t="shared" si="242"/>
        <v>0.84783683383680208</v>
      </c>
      <c r="AB425">
        <f t="shared" si="243"/>
        <v>0.42714911613734896</v>
      </c>
      <c r="AC425">
        <f t="shared" si="244"/>
        <v>1.5358806525567352</v>
      </c>
      <c r="AD425">
        <f t="shared" si="245"/>
        <v>1.0101045540663824</v>
      </c>
    </row>
    <row r="426" spans="1:30">
      <c r="A426" t="s">
        <v>315</v>
      </c>
      <c r="B426" t="s">
        <v>37</v>
      </c>
      <c r="C426" t="s">
        <v>38</v>
      </c>
      <c r="D426" t="s">
        <v>39</v>
      </c>
      <c r="E426" s="2">
        <v>46104</v>
      </c>
      <c r="F426" t="s">
        <v>40</v>
      </c>
      <c r="G426">
        <v>112</v>
      </c>
      <c r="H426">
        <v>81.099999999999994</v>
      </c>
      <c r="I426">
        <v>-1957.8</v>
      </c>
      <c r="J426">
        <v>68.599999999999994</v>
      </c>
      <c r="K426">
        <v>0</v>
      </c>
      <c r="L426">
        <v>2.5</v>
      </c>
      <c r="M426">
        <v>0</v>
      </c>
      <c r="N426">
        <v>66.099999999999994</v>
      </c>
      <c r="O426">
        <v>112.38</v>
      </c>
      <c r="P426">
        <v>116.26</v>
      </c>
      <c r="Q426">
        <v>3.86</v>
      </c>
      <c r="R426">
        <v>3.81</v>
      </c>
      <c r="S426">
        <f t="shared" si="237"/>
        <v>0.11269070310875053</v>
      </c>
      <c r="T426">
        <f t="shared" si="238"/>
        <v>0.13445035069520386</v>
      </c>
      <c r="U426">
        <f t="shared" si="234"/>
        <v>0</v>
      </c>
      <c r="V426">
        <f t="shared" si="239"/>
        <v>0.39143157694411324</v>
      </c>
      <c r="W426" t="str">
        <f t="shared" si="235"/>
        <v/>
      </c>
      <c r="X426">
        <f t="shared" si="240"/>
        <v>0.746176861108512</v>
      </c>
      <c r="Y426" t="str">
        <f t="shared" si="236"/>
        <v/>
      </c>
      <c r="Z426">
        <f t="shared" si="241"/>
        <v>1.6391956874022482</v>
      </c>
      <c r="AA426">
        <f t="shared" si="242"/>
        <v>0.67326006716593501</v>
      </c>
      <c r="AB426">
        <f t="shared" si="243"/>
        <v>0.6774998780582272</v>
      </c>
      <c r="AC426">
        <f t="shared" si="244"/>
        <v>0.25831810479449585</v>
      </c>
      <c r="AD426">
        <f t="shared" si="245"/>
        <v>0.24460803388597974</v>
      </c>
    </row>
    <row r="427" spans="1:30">
      <c r="A427" t="s">
        <v>316</v>
      </c>
      <c r="B427" t="s">
        <v>37</v>
      </c>
      <c r="C427" t="s">
        <v>38</v>
      </c>
      <c r="D427" t="s">
        <v>39</v>
      </c>
      <c r="E427" s="2">
        <v>46104</v>
      </c>
      <c r="F427" t="s">
        <v>40</v>
      </c>
      <c r="G427">
        <v>107.9</v>
      </c>
      <c r="H427">
        <v>79.3</v>
      </c>
      <c r="I427">
        <v>-1957.8</v>
      </c>
      <c r="J427">
        <v>68.599999999999994</v>
      </c>
      <c r="K427">
        <v>0</v>
      </c>
      <c r="L427">
        <v>0.6</v>
      </c>
      <c r="M427">
        <v>0</v>
      </c>
      <c r="N427">
        <v>68</v>
      </c>
      <c r="O427">
        <v>115.24</v>
      </c>
      <c r="P427">
        <v>115.09</v>
      </c>
      <c r="Q427">
        <v>3.66</v>
      </c>
      <c r="R427">
        <v>3.71</v>
      </c>
      <c r="S427">
        <f t="shared" si="237"/>
        <v>0.93500024167877716</v>
      </c>
      <c r="T427">
        <f t="shared" si="238"/>
        <v>0.50346725941026071</v>
      </c>
      <c r="U427">
        <f t="shared" si="234"/>
        <v>0</v>
      </c>
      <c r="V427">
        <f t="shared" si="239"/>
        <v>0.39143157694411324</v>
      </c>
      <c r="W427" t="str">
        <f t="shared" si="235"/>
        <v/>
      </c>
      <c r="X427">
        <f t="shared" si="240"/>
        <v>0.61087584896146196</v>
      </c>
      <c r="Y427" t="str">
        <f t="shared" si="236"/>
        <v/>
      </c>
      <c r="Z427">
        <f t="shared" si="241"/>
        <v>0.77383410745240011</v>
      </c>
      <c r="AA427">
        <f t="shared" si="242"/>
        <v>1.0260903769230585</v>
      </c>
      <c r="AB427">
        <f t="shared" si="243"/>
        <v>0.16174643571373432</v>
      </c>
      <c r="AC427">
        <f t="shared" si="244"/>
        <v>1.0707180117619697</v>
      </c>
      <c r="AD427">
        <f t="shared" si="245"/>
        <v>0.88252180070298192</v>
      </c>
    </row>
    <row r="428" spans="1:30">
      <c r="A428" t="s">
        <v>317</v>
      </c>
      <c r="B428" t="s">
        <v>37</v>
      </c>
      <c r="C428" t="s">
        <v>38</v>
      </c>
      <c r="D428" t="s">
        <v>39</v>
      </c>
      <c r="E428" s="2">
        <v>46104</v>
      </c>
      <c r="F428" t="s">
        <v>40</v>
      </c>
      <c r="G428">
        <v>114.2</v>
      </c>
      <c r="H428">
        <v>81.099999999999994</v>
      </c>
      <c r="I428">
        <v>-1957.8</v>
      </c>
      <c r="J428">
        <v>69.099999999999994</v>
      </c>
      <c r="K428">
        <v>0</v>
      </c>
      <c r="L428">
        <v>2.1</v>
      </c>
      <c r="M428">
        <v>0</v>
      </c>
      <c r="N428">
        <v>67</v>
      </c>
      <c r="O428">
        <v>112.3</v>
      </c>
      <c r="P428">
        <v>116.34</v>
      </c>
      <c r="Q428">
        <v>3.66</v>
      </c>
      <c r="R428">
        <v>3.66</v>
      </c>
      <c r="S428">
        <f t="shared" si="237"/>
        <v>0.32854856148980155</v>
      </c>
      <c r="T428">
        <f t="shared" si="238"/>
        <v>0.13445035069520386</v>
      </c>
      <c r="U428">
        <f t="shared" si="234"/>
        <v>0</v>
      </c>
      <c r="V428">
        <f t="shared" si="239"/>
        <v>0.13001745200698331</v>
      </c>
      <c r="W428" t="str">
        <f t="shared" si="235"/>
        <v/>
      </c>
      <c r="X428">
        <f t="shared" si="240"/>
        <v>0.46048155372535965</v>
      </c>
      <c r="Y428" t="str">
        <f t="shared" si="236"/>
        <v/>
      </c>
      <c r="Z428">
        <f t="shared" si="241"/>
        <v>1.2292875705838977</v>
      </c>
      <c r="AA428">
        <f t="shared" si="242"/>
        <v>0.72079434532226938</v>
      </c>
      <c r="AB428">
        <f t="shared" si="243"/>
        <v>0.73488424139306097</v>
      </c>
      <c r="AC428">
        <f t="shared" si="244"/>
        <v>1.0707180117619697</v>
      </c>
      <c r="AD428">
        <f t="shared" si="245"/>
        <v>1.2014786841114817</v>
      </c>
    </row>
    <row r="429" spans="1:30">
      <c r="A429" t="s">
        <v>318</v>
      </c>
      <c r="B429" t="s">
        <v>37</v>
      </c>
      <c r="C429" t="s">
        <v>38</v>
      </c>
      <c r="D429" t="s">
        <v>39</v>
      </c>
      <c r="E429" s="2">
        <v>46104</v>
      </c>
      <c r="F429" t="s">
        <v>40</v>
      </c>
      <c r="G429">
        <v>115.5</v>
      </c>
      <c r="H429">
        <v>80.2</v>
      </c>
      <c r="I429">
        <v>-1957.8</v>
      </c>
      <c r="J429">
        <v>69.099999999999994</v>
      </c>
      <c r="K429">
        <v>0</v>
      </c>
      <c r="L429">
        <v>1.3</v>
      </c>
      <c r="M429">
        <v>0</v>
      </c>
      <c r="N429">
        <v>67.8</v>
      </c>
      <c r="O429">
        <v>115.68</v>
      </c>
      <c r="P429">
        <v>117.36</v>
      </c>
      <c r="Q429">
        <v>3.76</v>
      </c>
      <c r="R429">
        <v>3.76</v>
      </c>
      <c r="S429">
        <f t="shared" si="237"/>
        <v>0.58928085420712684</v>
      </c>
      <c r="T429">
        <f t="shared" si="238"/>
        <v>0.18450845435752589</v>
      </c>
      <c r="U429">
        <f t="shared" si="234"/>
        <v>0</v>
      </c>
      <c r="V429">
        <f t="shared" si="239"/>
        <v>0.13001745200698331</v>
      </c>
      <c r="W429" t="str">
        <f t="shared" si="235"/>
        <v/>
      </c>
      <c r="X429">
        <f t="shared" si="240"/>
        <v>0.11090906104094518</v>
      </c>
      <c r="Y429" t="str">
        <f t="shared" si="236"/>
        <v/>
      </c>
      <c r="Z429">
        <f t="shared" si="241"/>
        <v>0.86492480007870098</v>
      </c>
      <c r="AA429">
        <f t="shared" si="242"/>
        <v>1.2875289067829108</v>
      </c>
      <c r="AB429">
        <f t="shared" si="243"/>
        <v>1.4665348739122031</v>
      </c>
      <c r="AC429">
        <f t="shared" si="244"/>
        <v>0.40619995348373839</v>
      </c>
      <c r="AD429">
        <f t="shared" si="245"/>
        <v>0.56356491729448221</v>
      </c>
    </row>
    <row r="430" spans="1:30">
      <c r="A430" t="s">
        <v>285</v>
      </c>
      <c r="B430" t="s">
        <v>31</v>
      </c>
      <c r="C430" t="s">
        <v>32</v>
      </c>
      <c r="D430" t="s">
        <v>33</v>
      </c>
      <c r="E430" s="2">
        <v>46104</v>
      </c>
      <c r="F430" t="s">
        <v>40</v>
      </c>
      <c r="G430">
        <v>148.6</v>
      </c>
      <c r="H430">
        <v>96.4</v>
      </c>
      <c r="I430">
        <v>-1957.8</v>
      </c>
      <c r="J430">
        <v>69.099999999999994</v>
      </c>
      <c r="K430">
        <v>0</v>
      </c>
      <c r="L430">
        <v>1.6</v>
      </c>
      <c r="M430">
        <v>0</v>
      </c>
      <c r="N430">
        <v>67.5</v>
      </c>
      <c r="O430">
        <v>115.09</v>
      </c>
      <c r="P430">
        <v>115.09</v>
      </c>
      <c r="Q430">
        <v>8.25</v>
      </c>
      <c r="R430">
        <v>8.08</v>
      </c>
      <c r="S430">
        <f>IF(OR(G430=0,G430=""),"",ABS((G430-152.740594)/5.729485))</f>
        <v>0.72268170699460643</v>
      </c>
      <c r="T430">
        <f>IF(OR(H430=0,H430=""),"",ABS((H430-96.426733)/5.037499))</f>
        <v>5.3068000609018499E-3</v>
      </c>
      <c r="U430">
        <f t="shared" si="234"/>
        <v>0</v>
      </c>
      <c r="V430">
        <f>IF(OR(J430=0,J430=""),"",ABS((J430-69.40099)/2.222902))</f>
        <v>0.13540407989196049</v>
      </c>
      <c r="W430" t="str">
        <f t="shared" si="235"/>
        <v/>
      </c>
      <c r="X430">
        <f>IF(OR(L430=0,L430=""),"",ABS((L430-1.849749)/1.393269))</f>
        <v>0.17925397033882184</v>
      </c>
      <c r="Y430" t="str">
        <f t="shared" si="236"/>
        <v/>
      </c>
      <c r="Z430">
        <f>IF(OR(N430=0,N430=""),"",ABS((N430-69.231188)/2.519549))</f>
        <v>0.68710233458448433</v>
      </c>
      <c r="AA430">
        <f>IF(OR(O430=0,O430=""),"",ABS((O430-113.18)/1.73698))</f>
        <v>1.0996096673536808</v>
      </c>
      <c r="AB430">
        <f>IF(OR(P430=0,P430=""),"",ABS((P430-114.765594)/1.645198))</f>
        <v>0.19718356088447131</v>
      </c>
      <c r="AC430">
        <f>IF(OR(Q430=0,Q430=""),"",ABS((Q430-8.040149)/0.55663))</f>
        <v>0.37700267682302513</v>
      </c>
      <c r="AD430">
        <f>IF(OR(R430=0,R430=""),"",ABS((R430-7.915297)/0.399795))</f>
        <v>0.41196863392488714</v>
      </c>
    </row>
    <row r="431" spans="1:30">
      <c r="A431" t="s">
        <v>319</v>
      </c>
      <c r="B431" t="s">
        <v>37</v>
      </c>
      <c r="C431" t="s">
        <v>38</v>
      </c>
      <c r="D431" t="s">
        <v>39</v>
      </c>
      <c r="E431" s="2">
        <v>46104</v>
      </c>
      <c r="F431" t="s">
        <v>40</v>
      </c>
      <c r="G431">
        <v>107.5</v>
      </c>
      <c r="H431">
        <v>79.3</v>
      </c>
      <c r="I431">
        <v>-1957.8</v>
      </c>
      <c r="J431">
        <v>68.2</v>
      </c>
      <c r="K431">
        <v>0</v>
      </c>
      <c r="L431">
        <v>2.2000000000000002</v>
      </c>
      <c r="M431">
        <v>0</v>
      </c>
      <c r="N431">
        <v>66</v>
      </c>
      <c r="O431">
        <v>115.53</v>
      </c>
      <c r="P431">
        <v>117.07</v>
      </c>
      <c r="Q431">
        <v>3.61</v>
      </c>
      <c r="R431">
        <v>3.64</v>
      </c>
      <c r="S431">
        <f t="shared" ref="S431:S453" si="246">IF(OR(G431=0,G431=""),"",ABS((G431-112.561871)/4.985957))</f>
        <v>1.0152255625148785</v>
      </c>
      <c r="T431">
        <f t="shared" ref="T431:T453" si="247">IF(OR(H431=0,H431=""),"",ABS((H431-80.720624)/2.821681))</f>
        <v>0.50346725941026071</v>
      </c>
      <c r="U431">
        <f t="shared" si="234"/>
        <v>0</v>
      </c>
      <c r="V431">
        <f t="shared" ref="V431:V453" si="248">IF(OR(J431=0,J431=""),"",ABS((J431-69.348681)/1.912674))</f>
        <v>0.60056287689381271</v>
      </c>
      <c r="W431" t="str">
        <f t="shared" si="235"/>
        <v/>
      </c>
      <c r="X431">
        <f t="shared" ref="X431:X453" si="249">IF(OR(L431=0,L431=""),"",ABS((L431-1.455283)/1.400093))</f>
        <v>0.53190538057114778</v>
      </c>
      <c r="Y431" t="str">
        <f t="shared" si="236"/>
        <v/>
      </c>
      <c r="Z431">
        <f t="shared" ref="Z431:Z453" si="250">IF(OR(N431=0,N431=""),"",ABS((N431-69.699041)/2.195614))</f>
        <v>1.6847410337153954</v>
      </c>
      <c r="AA431">
        <f t="shared" ref="AA431:AA453" si="251">IF(OR(O431=0,O431=""),"",ABS((O431-113.513094)/1.682996))</f>
        <v>1.1984021352397782</v>
      </c>
      <c r="AB431">
        <f t="shared" ref="AB431:AB453" si="252">IF(OR(P431=0,P431=""),"",ABS((P431-115.315492)/1.394108))</f>
        <v>1.258516556823422</v>
      </c>
      <c r="AC431">
        <f t="shared" ref="AC431:AC453" si="253">IF(OR(Q431=0,Q431=""),"",ABS((Q431-3.821127)/0.150485))</f>
        <v>1.4029770409010882</v>
      </c>
      <c r="AD431">
        <f t="shared" ref="AD431:AD453" si="254">IF(OR(R431=0,R431=""),"",ABS((R431-3.848345)/0.156761))</f>
        <v>1.3290614374748821</v>
      </c>
    </row>
    <row r="432" spans="1:30">
      <c r="A432" t="s">
        <v>320</v>
      </c>
      <c r="B432" t="s">
        <v>37</v>
      </c>
      <c r="C432" t="s">
        <v>38</v>
      </c>
      <c r="D432" t="s">
        <v>39</v>
      </c>
      <c r="E432" s="2">
        <v>46104</v>
      </c>
      <c r="F432" t="s">
        <v>40</v>
      </c>
      <c r="G432">
        <v>113.7</v>
      </c>
      <c r="H432">
        <v>81.599999999999994</v>
      </c>
      <c r="I432">
        <v>-1957.8</v>
      </c>
      <c r="J432">
        <v>68.2</v>
      </c>
      <c r="K432">
        <v>0</v>
      </c>
      <c r="L432">
        <v>1.6</v>
      </c>
      <c r="M432">
        <v>0</v>
      </c>
      <c r="N432">
        <v>66.599999999999994</v>
      </c>
      <c r="O432">
        <v>115.75</v>
      </c>
      <c r="P432">
        <v>117.14</v>
      </c>
      <c r="Q432">
        <v>3.71</v>
      </c>
      <c r="R432">
        <v>3.78</v>
      </c>
      <c r="S432">
        <f t="shared" si="246"/>
        <v>0.2282669104446762</v>
      </c>
      <c r="T432">
        <f t="shared" si="247"/>
        <v>0.31164968683561095</v>
      </c>
      <c r="U432">
        <f t="shared" si="234"/>
        <v>0</v>
      </c>
      <c r="V432">
        <f t="shared" si="248"/>
        <v>0.60056287689381271</v>
      </c>
      <c r="W432" t="str">
        <f t="shared" si="235"/>
        <v/>
      </c>
      <c r="X432">
        <f t="shared" si="249"/>
        <v>0.10336241949641915</v>
      </c>
      <c r="Y432" t="str">
        <f t="shared" si="236"/>
        <v/>
      </c>
      <c r="Z432">
        <f t="shared" si="250"/>
        <v>1.4114689558364995</v>
      </c>
      <c r="AA432">
        <f t="shared" si="251"/>
        <v>1.3291214001697003</v>
      </c>
      <c r="AB432">
        <f t="shared" si="252"/>
        <v>1.3087278747414077</v>
      </c>
      <c r="AC432">
        <f t="shared" si="253"/>
        <v>0.73845898262285403</v>
      </c>
      <c r="AD432">
        <f t="shared" si="254"/>
        <v>0.4359821639310818</v>
      </c>
    </row>
    <row r="433" spans="1:30">
      <c r="A433" t="s">
        <v>321</v>
      </c>
      <c r="B433" t="s">
        <v>37</v>
      </c>
      <c r="C433" t="s">
        <v>38</v>
      </c>
      <c r="D433" t="s">
        <v>39</v>
      </c>
      <c r="E433" s="2">
        <v>46104</v>
      </c>
      <c r="F433" t="s">
        <v>40</v>
      </c>
      <c r="G433">
        <v>107.5</v>
      </c>
      <c r="H433">
        <v>80.7</v>
      </c>
      <c r="I433">
        <v>-1957.8</v>
      </c>
      <c r="J433">
        <v>67.7</v>
      </c>
      <c r="K433">
        <v>0</v>
      </c>
      <c r="L433">
        <v>0.2</v>
      </c>
      <c r="M433">
        <v>0</v>
      </c>
      <c r="N433">
        <v>67.5</v>
      </c>
      <c r="O433">
        <v>115.75</v>
      </c>
      <c r="P433">
        <v>117.22</v>
      </c>
      <c r="Q433">
        <v>3.56</v>
      </c>
      <c r="R433">
        <v>3.66</v>
      </c>
      <c r="S433">
        <f t="shared" si="246"/>
        <v>1.0152255625148785</v>
      </c>
      <c r="T433">
        <f t="shared" si="247"/>
        <v>7.309118217118795E-3</v>
      </c>
      <c r="U433">
        <f t="shared" si="234"/>
        <v>0</v>
      </c>
      <c r="V433">
        <f t="shared" si="248"/>
        <v>0.86197700183094261</v>
      </c>
      <c r="W433" t="str">
        <f t="shared" si="235"/>
        <v/>
      </c>
      <c r="X433">
        <f t="shared" si="249"/>
        <v>0.89657115634461437</v>
      </c>
      <c r="Y433" t="str">
        <f t="shared" si="236"/>
        <v/>
      </c>
      <c r="Z433">
        <f t="shared" si="250"/>
        <v>1.001560839018149</v>
      </c>
      <c r="AA433">
        <f t="shared" si="251"/>
        <v>1.3291214001697003</v>
      </c>
      <c r="AB433">
        <f t="shared" si="252"/>
        <v>1.3661122380762416</v>
      </c>
      <c r="AC433">
        <f t="shared" si="253"/>
        <v>1.7352360700402041</v>
      </c>
      <c r="AD433">
        <f t="shared" si="254"/>
        <v>1.2014786841114817</v>
      </c>
    </row>
    <row r="434" spans="1:30">
      <c r="A434" t="s">
        <v>322</v>
      </c>
      <c r="B434" t="s">
        <v>37</v>
      </c>
      <c r="C434" t="s">
        <v>38</v>
      </c>
      <c r="D434" t="s">
        <v>39</v>
      </c>
      <c r="E434" s="2">
        <v>46105</v>
      </c>
      <c r="F434" t="s">
        <v>34</v>
      </c>
      <c r="G434">
        <v>100.8</v>
      </c>
      <c r="H434">
        <v>74.8</v>
      </c>
      <c r="I434">
        <v>-1957.8</v>
      </c>
      <c r="J434">
        <v>65.900000000000006</v>
      </c>
      <c r="K434">
        <v>0</v>
      </c>
      <c r="L434">
        <v>0.8</v>
      </c>
      <c r="M434">
        <v>0</v>
      </c>
      <c r="N434">
        <v>65.099999999999994</v>
      </c>
      <c r="O434">
        <v>116.56</v>
      </c>
      <c r="P434">
        <v>116.48</v>
      </c>
      <c r="Q434">
        <v>3.56</v>
      </c>
      <c r="R434">
        <v>3.66</v>
      </c>
      <c r="S434">
        <f t="shared" si="246"/>
        <v>2.3589996865195588</v>
      </c>
      <c r="T434">
        <f t="shared" si="247"/>
        <v>2.0982612846739244</v>
      </c>
      <c r="U434">
        <f t="shared" si="234"/>
        <v>0</v>
      </c>
      <c r="V434">
        <f t="shared" si="248"/>
        <v>1.8030678516046088</v>
      </c>
      <c r="W434" t="str">
        <f t="shared" si="235"/>
        <v/>
      </c>
      <c r="X434">
        <f t="shared" si="249"/>
        <v>0.46802819526988565</v>
      </c>
      <c r="Y434" t="str">
        <f t="shared" si="236"/>
        <v/>
      </c>
      <c r="Z434">
        <f t="shared" si="250"/>
        <v>2.0946491505337459</v>
      </c>
      <c r="AA434">
        <f t="shared" si="251"/>
        <v>1.8104059665025984</v>
      </c>
      <c r="AB434">
        <f t="shared" si="252"/>
        <v>0.83530687722902242</v>
      </c>
      <c r="AC434">
        <f t="shared" si="253"/>
        <v>1.7352360700402041</v>
      </c>
      <c r="AD434">
        <f t="shared" si="254"/>
        <v>1.2014786841114817</v>
      </c>
    </row>
    <row r="435" spans="1:30">
      <c r="A435" t="s">
        <v>322</v>
      </c>
      <c r="B435" t="s">
        <v>37</v>
      </c>
      <c r="C435" t="s">
        <v>38</v>
      </c>
      <c r="D435" t="s">
        <v>39</v>
      </c>
      <c r="E435" s="2">
        <v>46105</v>
      </c>
      <c r="F435" t="s">
        <v>40</v>
      </c>
      <c r="G435">
        <v>112.9</v>
      </c>
      <c r="H435">
        <v>82.9</v>
      </c>
      <c r="I435">
        <v>-1957.8</v>
      </c>
      <c r="J435">
        <v>66.8</v>
      </c>
      <c r="K435">
        <v>0</v>
      </c>
      <c r="L435">
        <v>1.2</v>
      </c>
      <c r="M435">
        <v>0</v>
      </c>
      <c r="N435">
        <v>68</v>
      </c>
      <c r="O435">
        <v>112.01</v>
      </c>
      <c r="P435">
        <v>113.26</v>
      </c>
      <c r="Q435">
        <v>3.88</v>
      </c>
      <c r="R435">
        <v>3.96</v>
      </c>
      <c r="S435">
        <f t="shared" si="246"/>
        <v>6.7816268772476221E-2</v>
      </c>
      <c r="T435">
        <f t="shared" si="247"/>
        <v>0.77236796080067338</v>
      </c>
      <c r="U435">
        <f t="shared" si="234"/>
        <v>0</v>
      </c>
      <c r="V435">
        <f t="shared" si="248"/>
        <v>1.3325224267177793</v>
      </c>
      <c r="W435" t="str">
        <f t="shared" si="235"/>
        <v/>
      </c>
      <c r="X435">
        <f t="shared" si="249"/>
        <v>0.18233288788673335</v>
      </c>
      <c r="Y435" t="str">
        <f t="shared" si="236"/>
        <v/>
      </c>
      <c r="Z435">
        <f t="shared" si="250"/>
        <v>0.77383410745240011</v>
      </c>
      <c r="AA435">
        <f t="shared" si="251"/>
        <v>0.8931061036389808</v>
      </c>
      <c r="AB435">
        <f t="shared" si="252"/>
        <v>1.4744137469980814</v>
      </c>
      <c r="AC435">
        <f t="shared" si="253"/>
        <v>0.39122171645014275</v>
      </c>
      <c r="AD435">
        <f t="shared" si="254"/>
        <v>0.71226261633952215</v>
      </c>
    </row>
    <row r="436" spans="1:30">
      <c r="A436" t="s">
        <v>323</v>
      </c>
      <c r="B436" t="s">
        <v>37</v>
      </c>
      <c r="C436" t="s">
        <v>38</v>
      </c>
      <c r="D436" t="s">
        <v>39</v>
      </c>
      <c r="E436" s="2">
        <v>46105</v>
      </c>
      <c r="F436" t="s">
        <v>40</v>
      </c>
      <c r="G436">
        <v>110.6</v>
      </c>
      <c r="H436">
        <v>82.5</v>
      </c>
      <c r="I436">
        <v>-1957.8</v>
      </c>
      <c r="J436">
        <v>68.2</v>
      </c>
      <c r="K436">
        <v>0</v>
      </c>
      <c r="L436">
        <v>3.5</v>
      </c>
      <c r="M436">
        <v>0</v>
      </c>
      <c r="N436">
        <v>71.7</v>
      </c>
      <c r="O436">
        <v>112.23</v>
      </c>
      <c r="P436">
        <v>116.34</v>
      </c>
      <c r="Q436">
        <v>3.64</v>
      </c>
      <c r="R436">
        <v>3.69</v>
      </c>
      <c r="S436">
        <f t="shared" si="246"/>
        <v>0.39347932603510261</v>
      </c>
      <c r="T436">
        <f t="shared" si="247"/>
        <v>0.63060849188834578</v>
      </c>
      <c r="U436">
        <f t="shared" si="234"/>
        <v>0</v>
      </c>
      <c r="V436">
        <f t="shared" si="248"/>
        <v>0.60056287689381271</v>
      </c>
      <c r="W436" t="str">
        <f t="shared" si="235"/>
        <v/>
      </c>
      <c r="X436">
        <f t="shared" si="249"/>
        <v>1.460415129566393</v>
      </c>
      <c r="Y436" t="str">
        <f t="shared" si="236"/>
        <v/>
      </c>
      <c r="Z436">
        <f t="shared" si="250"/>
        <v>0.9113437061341424</v>
      </c>
      <c r="AA436">
        <f t="shared" si="251"/>
        <v>0.76238683870905888</v>
      </c>
      <c r="AB436">
        <f t="shared" si="252"/>
        <v>0.73488424139306097</v>
      </c>
      <c r="AC436">
        <f t="shared" si="253"/>
        <v>1.2036216234176165</v>
      </c>
      <c r="AD436">
        <f t="shared" si="254"/>
        <v>1.0101045540663824</v>
      </c>
    </row>
    <row r="437" spans="1:30">
      <c r="A437" t="s">
        <v>324</v>
      </c>
      <c r="B437" t="s">
        <v>37</v>
      </c>
      <c r="C437" t="s">
        <v>38</v>
      </c>
      <c r="D437" t="s">
        <v>39</v>
      </c>
      <c r="E437" s="2">
        <v>46105</v>
      </c>
      <c r="F437" t="s">
        <v>40</v>
      </c>
      <c r="G437">
        <v>106.2</v>
      </c>
      <c r="H437">
        <v>79.8</v>
      </c>
      <c r="I437">
        <v>-1957.8</v>
      </c>
      <c r="J437">
        <v>67.7</v>
      </c>
      <c r="K437">
        <v>0</v>
      </c>
      <c r="L437">
        <v>2.6</v>
      </c>
      <c r="M437">
        <v>0</v>
      </c>
      <c r="N437">
        <v>65.099999999999994</v>
      </c>
      <c r="O437">
        <v>115.24</v>
      </c>
      <c r="P437">
        <v>115.24</v>
      </c>
      <c r="Q437">
        <v>3.56</v>
      </c>
      <c r="R437">
        <v>3.69</v>
      </c>
      <c r="S437">
        <f t="shared" si="246"/>
        <v>1.275957855232204</v>
      </c>
      <c r="T437">
        <f t="shared" si="247"/>
        <v>0.3262679232698536</v>
      </c>
      <c r="U437">
        <f t="shared" si="234"/>
        <v>0</v>
      </c>
      <c r="V437">
        <f t="shared" si="248"/>
        <v>0.86197700183094261</v>
      </c>
      <c r="W437" t="str">
        <f t="shared" si="235"/>
        <v/>
      </c>
      <c r="X437">
        <f t="shared" si="249"/>
        <v>0.81760068795430019</v>
      </c>
      <c r="Y437" t="str">
        <f t="shared" si="236"/>
        <v/>
      </c>
      <c r="Z437">
        <f t="shared" si="250"/>
        <v>2.0946491505337459</v>
      </c>
      <c r="AA437">
        <f t="shared" si="251"/>
        <v>1.0260903769230585</v>
      </c>
      <c r="AB437">
        <f t="shared" si="252"/>
        <v>5.4150754460924995E-2</v>
      </c>
      <c r="AC437">
        <f t="shared" si="253"/>
        <v>1.7352360700402041</v>
      </c>
      <c r="AD437">
        <f t="shared" si="254"/>
        <v>1.0101045540663824</v>
      </c>
    </row>
    <row r="438" spans="1:30">
      <c r="A438" t="s">
        <v>325</v>
      </c>
      <c r="B438" t="s">
        <v>37</v>
      </c>
      <c r="C438" t="s">
        <v>38</v>
      </c>
      <c r="D438" t="s">
        <v>39</v>
      </c>
      <c r="E438" s="2">
        <v>46105</v>
      </c>
      <c r="F438" t="s">
        <v>40</v>
      </c>
      <c r="G438">
        <v>103.9</v>
      </c>
      <c r="H438">
        <v>75.2</v>
      </c>
      <c r="I438">
        <v>-1957.8</v>
      </c>
      <c r="J438">
        <v>67.3</v>
      </c>
      <c r="K438">
        <v>0</v>
      </c>
      <c r="L438">
        <v>2.2999999999999998</v>
      </c>
      <c r="M438">
        <v>0</v>
      </c>
      <c r="N438">
        <v>65</v>
      </c>
      <c r="O438">
        <v>115.02</v>
      </c>
      <c r="P438">
        <v>115.24</v>
      </c>
      <c r="Q438">
        <v>3.54</v>
      </c>
      <c r="R438">
        <v>3.66</v>
      </c>
      <c r="S438">
        <f t="shared" si="246"/>
        <v>1.7372534500397798</v>
      </c>
      <c r="T438">
        <f t="shared" si="247"/>
        <v>1.9565018157615968</v>
      </c>
      <c r="U438">
        <f t="shared" si="234"/>
        <v>0</v>
      </c>
      <c r="V438">
        <f t="shared" si="248"/>
        <v>1.0711083017806495</v>
      </c>
      <c r="W438" t="str">
        <f t="shared" si="235"/>
        <v/>
      </c>
      <c r="X438">
        <f t="shared" si="249"/>
        <v>0.60332920741693563</v>
      </c>
      <c r="Y438" t="str">
        <f t="shared" si="236"/>
        <v/>
      </c>
      <c r="Z438">
        <f t="shared" si="250"/>
        <v>2.1401944968468931</v>
      </c>
      <c r="AA438">
        <f t="shared" si="251"/>
        <v>0.89537111199313657</v>
      </c>
      <c r="AB438">
        <f t="shared" si="252"/>
        <v>5.4150754460924995E-2</v>
      </c>
      <c r="AC438">
        <f t="shared" si="253"/>
        <v>1.8681396816958509</v>
      </c>
      <c r="AD438">
        <f t="shared" si="254"/>
        <v>1.2014786841114817</v>
      </c>
    </row>
    <row r="439" spans="1:30">
      <c r="A439" t="s">
        <v>326</v>
      </c>
      <c r="B439" t="s">
        <v>37</v>
      </c>
      <c r="C439" t="s">
        <v>38</v>
      </c>
      <c r="D439" t="s">
        <v>39</v>
      </c>
      <c r="E439" s="2">
        <v>46105</v>
      </c>
      <c r="F439" t="s">
        <v>34</v>
      </c>
      <c r="G439">
        <v>104.4</v>
      </c>
      <c r="H439">
        <v>77</v>
      </c>
      <c r="I439">
        <v>-1957.8</v>
      </c>
      <c r="J439">
        <v>66.8</v>
      </c>
      <c r="K439">
        <v>0</v>
      </c>
      <c r="L439">
        <v>2.5</v>
      </c>
      <c r="M439">
        <v>0</v>
      </c>
      <c r="N439">
        <v>64.3</v>
      </c>
      <c r="O439">
        <v>112.23</v>
      </c>
      <c r="P439">
        <v>116.63</v>
      </c>
      <c r="Q439">
        <v>3.66</v>
      </c>
      <c r="R439">
        <v>3.71</v>
      </c>
      <c r="S439">
        <f t="shared" si="246"/>
        <v>1.6369717989946546</v>
      </c>
      <c r="T439">
        <f t="shared" si="247"/>
        <v>1.3185842056561323</v>
      </c>
      <c r="U439">
        <f t="shared" si="234"/>
        <v>0</v>
      </c>
      <c r="V439">
        <f t="shared" si="248"/>
        <v>1.3325224267177793</v>
      </c>
      <c r="W439" t="str">
        <f t="shared" si="235"/>
        <v/>
      </c>
      <c r="X439">
        <f t="shared" si="249"/>
        <v>0.746176861108512</v>
      </c>
      <c r="Y439" t="str">
        <f t="shared" si="236"/>
        <v/>
      </c>
      <c r="Z439">
        <f t="shared" si="250"/>
        <v>2.4590119210389427</v>
      </c>
      <c r="AA439">
        <f t="shared" si="251"/>
        <v>0.76238683870905888</v>
      </c>
      <c r="AB439">
        <f t="shared" si="252"/>
        <v>0.94290255848183169</v>
      </c>
      <c r="AC439">
        <f t="shared" si="253"/>
        <v>1.0707180117619697</v>
      </c>
      <c r="AD439">
        <f t="shared" si="254"/>
        <v>0.88252180070298192</v>
      </c>
    </row>
    <row r="440" spans="1:30">
      <c r="A440" t="s">
        <v>326</v>
      </c>
      <c r="B440" t="s">
        <v>37</v>
      </c>
      <c r="C440" t="s">
        <v>38</v>
      </c>
      <c r="D440" t="s">
        <v>39</v>
      </c>
      <c r="E440" s="2">
        <v>46105</v>
      </c>
      <c r="F440" t="s">
        <v>40</v>
      </c>
      <c r="G440">
        <v>113.3</v>
      </c>
      <c r="H440">
        <v>83.4</v>
      </c>
      <c r="I440">
        <v>-1957.8</v>
      </c>
      <c r="J440">
        <v>67.3</v>
      </c>
      <c r="K440">
        <v>0</v>
      </c>
      <c r="L440">
        <v>1</v>
      </c>
      <c r="M440">
        <v>0</v>
      </c>
      <c r="N440">
        <v>66.3</v>
      </c>
      <c r="O440">
        <v>111.86</v>
      </c>
      <c r="P440">
        <v>113.18</v>
      </c>
      <c r="Q440">
        <v>3.96</v>
      </c>
      <c r="R440">
        <v>3.98</v>
      </c>
      <c r="S440">
        <f t="shared" si="246"/>
        <v>0.14804158960857478</v>
      </c>
      <c r="T440">
        <f t="shared" si="247"/>
        <v>0.94956729694108055</v>
      </c>
      <c r="U440">
        <f t="shared" si="234"/>
        <v>0</v>
      </c>
      <c r="V440">
        <f t="shared" si="248"/>
        <v>1.0711083017806495</v>
      </c>
      <c r="W440" t="str">
        <f t="shared" si="235"/>
        <v/>
      </c>
      <c r="X440">
        <f t="shared" si="249"/>
        <v>0.3251805415783095</v>
      </c>
      <c r="Y440" t="str">
        <f t="shared" si="236"/>
        <v/>
      </c>
      <c r="Z440">
        <f t="shared" si="250"/>
        <v>1.5481049947759473</v>
      </c>
      <c r="AA440">
        <f t="shared" si="251"/>
        <v>0.98223287518211322</v>
      </c>
      <c r="AB440">
        <f t="shared" si="252"/>
        <v>1.531798110332915</v>
      </c>
      <c r="AC440">
        <f t="shared" si="253"/>
        <v>0.92283616307273009</v>
      </c>
      <c r="AD440">
        <f t="shared" si="254"/>
        <v>0.83984536970292256</v>
      </c>
    </row>
    <row r="441" spans="1:30">
      <c r="A441" t="s">
        <v>327</v>
      </c>
      <c r="B441" t="s">
        <v>37</v>
      </c>
      <c r="C441" t="s">
        <v>38</v>
      </c>
      <c r="D441" t="s">
        <v>39</v>
      </c>
      <c r="E441" s="2">
        <v>46105</v>
      </c>
      <c r="F441" t="s">
        <v>40</v>
      </c>
      <c r="G441">
        <v>112</v>
      </c>
      <c r="H441">
        <v>81.599999999999994</v>
      </c>
      <c r="I441">
        <v>-1957.8</v>
      </c>
      <c r="J441">
        <v>68.2</v>
      </c>
      <c r="K441">
        <v>0</v>
      </c>
      <c r="L441">
        <v>2.2000000000000002</v>
      </c>
      <c r="M441">
        <v>0</v>
      </c>
      <c r="N441">
        <v>70.400000000000006</v>
      </c>
      <c r="O441">
        <v>112.23</v>
      </c>
      <c r="P441">
        <v>113.55</v>
      </c>
      <c r="Q441">
        <v>3.98</v>
      </c>
      <c r="R441">
        <v>4</v>
      </c>
      <c r="S441">
        <f t="shared" si="246"/>
        <v>0.11269070310875053</v>
      </c>
      <c r="T441">
        <f t="shared" si="247"/>
        <v>0.31164968683561095</v>
      </c>
      <c r="U441">
        <f t="shared" si="234"/>
        <v>0</v>
      </c>
      <c r="V441">
        <f t="shared" si="248"/>
        <v>0.60056287689381271</v>
      </c>
      <c r="W441" t="str">
        <f t="shared" si="235"/>
        <v/>
      </c>
      <c r="X441">
        <f t="shared" si="249"/>
        <v>0.53190538057114778</v>
      </c>
      <c r="Y441" t="str">
        <f t="shared" si="236"/>
        <v/>
      </c>
      <c r="Z441">
        <f t="shared" si="250"/>
        <v>0.31925420406319677</v>
      </c>
      <c r="AA441">
        <f t="shared" si="251"/>
        <v>0.76238683870905888</v>
      </c>
      <c r="AB441">
        <f t="shared" si="252"/>
        <v>1.2663954299093105</v>
      </c>
      <c r="AC441">
        <f t="shared" si="253"/>
        <v>1.055739774728377</v>
      </c>
      <c r="AD441">
        <f t="shared" si="254"/>
        <v>0.96742812306632298</v>
      </c>
    </row>
    <row r="442" spans="1:30">
      <c r="A442" t="s">
        <v>328</v>
      </c>
      <c r="B442" t="s">
        <v>37</v>
      </c>
      <c r="C442" t="s">
        <v>38</v>
      </c>
      <c r="D442" t="s">
        <v>39</v>
      </c>
      <c r="E442" s="2">
        <v>46105</v>
      </c>
      <c r="F442" t="s">
        <v>40</v>
      </c>
      <c r="G442">
        <v>104.4</v>
      </c>
      <c r="H442">
        <v>78.900000000000006</v>
      </c>
      <c r="I442">
        <v>-1957.8</v>
      </c>
      <c r="J442">
        <v>68.2</v>
      </c>
      <c r="K442">
        <v>0</v>
      </c>
      <c r="L442">
        <v>2.2999999999999998</v>
      </c>
      <c r="M442">
        <v>0</v>
      </c>
      <c r="N442">
        <v>65.900000000000006</v>
      </c>
      <c r="O442">
        <v>112.45</v>
      </c>
      <c r="P442">
        <v>116.63</v>
      </c>
      <c r="Q442">
        <v>3.74</v>
      </c>
      <c r="R442">
        <v>3.76</v>
      </c>
      <c r="S442">
        <f t="shared" si="246"/>
        <v>1.6369717989946546</v>
      </c>
      <c r="T442">
        <f t="shared" si="247"/>
        <v>0.64522672832258332</v>
      </c>
      <c r="U442">
        <f t="shared" si="234"/>
        <v>0</v>
      </c>
      <c r="V442">
        <f t="shared" si="248"/>
        <v>0.60056287689381271</v>
      </c>
      <c r="W442" t="str">
        <f t="shared" si="235"/>
        <v/>
      </c>
      <c r="X442">
        <f t="shared" si="249"/>
        <v>0.60332920741693563</v>
      </c>
      <c r="Y442" t="str">
        <f t="shared" si="236"/>
        <v/>
      </c>
      <c r="Z442">
        <f t="shared" si="250"/>
        <v>1.7302863800285426</v>
      </c>
      <c r="AA442">
        <f t="shared" si="251"/>
        <v>0.63166757377913696</v>
      </c>
      <c r="AB442">
        <f t="shared" si="252"/>
        <v>0.94290255848183169</v>
      </c>
      <c r="AC442">
        <f t="shared" si="253"/>
        <v>0.53910356513938229</v>
      </c>
      <c r="AD442">
        <f t="shared" si="254"/>
        <v>0.56356491729448221</v>
      </c>
    </row>
    <row r="443" spans="1:30">
      <c r="A443" t="s">
        <v>329</v>
      </c>
      <c r="B443" t="s">
        <v>37</v>
      </c>
      <c r="C443" t="s">
        <v>38</v>
      </c>
      <c r="D443" t="s">
        <v>39</v>
      </c>
      <c r="E443" s="2">
        <v>46105</v>
      </c>
      <c r="F443" t="s">
        <v>34</v>
      </c>
      <c r="G443">
        <v>108.8</v>
      </c>
      <c r="H443">
        <v>78.400000000000006</v>
      </c>
      <c r="I443">
        <v>-1957.8</v>
      </c>
      <c r="J443">
        <v>66.400000000000006</v>
      </c>
      <c r="K443">
        <v>0</v>
      </c>
      <c r="L443">
        <v>2.9</v>
      </c>
      <c r="M443">
        <v>0</v>
      </c>
      <c r="N443">
        <v>63.5</v>
      </c>
      <c r="O443">
        <v>115.46</v>
      </c>
      <c r="P443">
        <v>117.29</v>
      </c>
      <c r="Q443">
        <v>3.81</v>
      </c>
      <c r="R443">
        <v>3.96</v>
      </c>
      <c r="S443">
        <f t="shared" si="246"/>
        <v>0.75449326979755327</v>
      </c>
      <c r="T443">
        <f t="shared" si="247"/>
        <v>0.82242606446299038</v>
      </c>
      <c r="U443">
        <f t="shared" si="234"/>
        <v>0</v>
      </c>
      <c r="V443">
        <f t="shared" si="248"/>
        <v>1.5416537266674788</v>
      </c>
      <c r="W443" t="str">
        <f t="shared" si="235"/>
        <v/>
      </c>
      <c r="X443">
        <f t="shared" si="249"/>
        <v>1.0318721684916643</v>
      </c>
      <c r="Y443" t="str">
        <f t="shared" si="236"/>
        <v/>
      </c>
      <c r="Z443">
        <f t="shared" si="250"/>
        <v>2.8233746915441396</v>
      </c>
      <c r="AA443">
        <f t="shared" si="251"/>
        <v>1.1568096418529803</v>
      </c>
      <c r="AB443">
        <f t="shared" si="252"/>
        <v>1.4163235559942273</v>
      </c>
      <c r="AC443">
        <f t="shared" si="253"/>
        <v>7.3940924344619782E-2</v>
      </c>
      <c r="AD443">
        <f t="shared" si="254"/>
        <v>0.71226261633952215</v>
      </c>
    </row>
    <row r="444" spans="1:30">
      <c r="A444" t="s">
        <v>329</v>
      </c>
      <c r="B444" t="s">
        <v>37</v>
      </c>
      <c r="C444" t="s">
        <v>38</v>
      </c>
      <c r="D444" t="s">
        <v>39</v>
      </c>
      <c r="E444" s="2">
        <v>46105</v>
      </c>
      <c r="F444" t="s">
        <v>40</v>
      </c>
      <c r="G444">
        <v>116.9</v>
      </c>
      <c r="H444">
        <v>83.8</v>
      </c>
      <c r="I444">
        <v>-1957.8</v>
      </c>
      <c r="J444">
        <v>66.8</v>
      </c>
      <c r="K444">
        <v>0</v>
      </c>
      <c r="L444">
        <v>0.7</v>
      </c>
      <c r="M444">
        <v>0</v>
      </c>
      <c r="N444">
        <v>66.099999999999994</v>
      </c>
      <c r="O444">
        <v>115.6</v>
      </c>
      <c r="P444">
        <v>117</v>
      </c>
      <c r="Q444">
        <v>4.08</v>
      </c>
      <c r="R444">
        <v>4.13</v>
      </c>
      <c r="S444">
        <f t="shared" si="246"/>
        <v>0.87006947713347893</v>
      </c>
      <c r="T444">
        <f t="shared" si="247"/>
        <v>1.0913267658534032</v>
      </c>
      <c r="U444">
        <f t="shared" si="234"/>
        <v>0</v>
      </c>
      <c r="V444">
        <f t="shared" si="248"/>
        <v>1.3325224267177793</v>
      </c>
      <c r="W444" t="str">
        <f t="shared" si="235"/>
        <v/>
      </c>
      <c r="X444">
        <f t="shared" si="249"/>
        <v>0.53945202211567389</v>
      </c>
      <c r="Y444" t="str">
        <f t="shared" si="236"/>
        <v/>
      </c>
      <c r="Z444">
        <f t="shared" si="250"/>
        <v>1.6391956874022482</v>
      </c>
      <c r="AA444">
        <f t="shared" si="251"/>
        <v>1.2399946286265677</v>
      </c>
      <c r="AB444">
        <f t="shared" si="252"/>
        <v>1.2083052389054463</v>
      </c>
      <c r="AC444">
        <f t="shared" si="253"/>
        <v>1.7202578330066112</v>
      </c>
      <c r="AD444">
        <f t="shared" si="254"/>
        <v>1.7967160199284244</v>
      </c>
    </row>
    <row r="445" spans="1:30">
      <c r="A445" t="s">
        <v>330</v>
      </c>
      <c r="B445" t="s">
        <v>37</v>
      </c>
      <c r="C445" t="s">
        <v>38</v>
      </c>
      <c r="D445" t="s">
        <v>39</v>
      </c>
      <c r="E445" s="2">
        <v>46105</v>
      </c>
      <c r="F445" t="s">
        <v>34</v>
      </c>
      <c r="G445">
        <v>88.7</v>
      </c>
      <c r="H445">
        <v>78.400000000000006</v>
      </c>
      <c r="I445">
        <v>-1957.8</v>
      </c>
      <c r="J445">
        <v>70</v>
      </c>
      <c r="K445">
        <v>0</v>
      </c>
      <c r="L445">
        <v>1.9</v>
      </c>
      <c r="M445">
        <v>0</v>
      </c>
      <c r="N445">
        <v>71.900000000000006</v>
      </c>
      <c r="O445">
        <v>112.38</v>
      </c>
      <c r="P445">
        <v>117.14</v>
      </c>
      <c r="Q445">
        <v>3.93</v>
      </c>
      <c r="R445">
        <v>3.91</v>
      </c>
      <c r="S445">
        <f t="shared" si="246"/>
        <v>4.7858156418115909</v>
      </c>
      <c r="T445">
        <f t="shared" si="247"/>
        <v>0.82242606446299038</v>
      </c>
      <c r="U445">
        <f t="shared" si="234"/>
        <v>0</v>
      </c>
      <c r="V445">
        <f t="shared" si="248"/>
        <v>0.34052797287985348</v>
      </c>
      <c r="W445" t="str">
        <f t="shared" si="235"/>
        <v/>
      </c>
      <c r="X445">
        <f t="shared" si="249"/>
        <v>0.31763390003378333</v>
      </c>
      <c r="Y445" t="str">
        <f t="shared" si="236"/>
        <v/>
      </c>
      <c r="Z445">
        <f t="shared" si="250"/>
        <v>1.0024343987604432</v>
      </c>
      <c r="AA445">
        <f t="shared" si="251"/>
        <v>0.67326006716593501</v>
      </c>
      <c r="AB445">
        <f t="shared" si="252"/>
        <v>1.3087278747414077</v>
      </c>
      <c r="AC445">
        <f t="shared" si="253"/>
        <v>0.72348074558926134</v>
      </c>
      <c r="AD445">
        <f t="shared" si="254"/>
        <v>0.39330573293102244</v>
      </c>
    </row>
    <row r="446" spans="1:30">
      <c r="A446" t="s">
        <v>330</v>
      </c>
      <c r="B446" t="s">
        <v>37</v>
      </c>
      <c r="C446" t="s">
        <v>38</v>
      </c>
      <c r="D446" t="s">
        <v>39</v>
      </c>
      <c r="E446" s="2">
        <v>46105</v>
      </c>
      <c r="F446" t="s">
        <v>40</v>
      </c>
      <c r="G446">
        <v>97.2</v>
      </c>
      <c r="H446">
        <v>84.3</v>
      </c>
      <c r="I446">
        <v>-1957.8</v>
      </c>
      <c r="J446">
        <v>70</v>
      </c>
      <c r="K446">
        <v>0</v>
      </c>
      <c r="L446">
        <v>2</v>
      </c>
      <c r="M446">
        <v>0</v>
      </c>
      <c r="N446">
        <v>72</v>
      </c>
      <c r="O446">
        <v>115.31</v>
      </c>
      <c r="P446">
        <v>115.31</v>
      </c>
      <c r="Q446">
        <v>4.08</v>
      </c>
      <c r="R446">
        <v>4.0999999999999996</v>
      </c>
      <c r="S446">
        <f t="shared" si="246"/>
        <v>3.0810275740444601</v>
      </c>
      <c r="T446">
        <f t="shared" si="247"/>
        <v>1.2685261019938103</v>
      </c>
      <c r="U446">
        <f t="shared" si="234"/>
        <v>0</v>
      </c>
      <c r="V446">
        <f t="shared" si="248"/>
        <v>0.34052797287985348</v>
      </c>
      <c r="W446" t="str">
        <f t="shared" si="235"/>
        <v/>
      </c>
      <c r="X446">
        <f t="shared" si="249"/>
        <v>0.38905772687957146</v>
      </c>
      <c r="Y446" t="str">
        <f t="shared" si="236"/>
        <v/>
      </c>
      <c r="Z446">
        <f t="shared" si="250"/>
        <v>1.0479797450735904</v>
      </c>
      <c r="AA446">
        <f t="shared" si="251"/>
        <v>1.0676828703098564</v>
      </c>
      <c r="AB446">
        <f t="shared" si="252"/>
        <v>3.9394365429391608E-3</v>
      </c>
      <c r="AC446">
        <f t="shared" si="253"/>
        <v>1.7202578330066112</v>
      </c>
      <c r="AD446">
        <f t="shared" si="254"/>
        <v>1.6053418898833223</v>
      </c>
    </row>
    <row r="447" spans="1:30">
      <c r="A447" t="s">
        <v>331</v>
      </c>
      <c r="B447" t="s">
        <v>37</v>
      </c>
      <c r="C447" t="s">
        <v>38</v>
      </c>
      <c r="D447" t="s">
        <v>39</v>
      </c>
      <c r="E447" s="2">
        <v>46105</v>
      </c>
      <c r="F447" t="s">
        <v>34</v>
      </c>
      <c r="G447">
        <v>116</v>
      </c>
      <c r="H447">
        <v>85.2</v>
      </c>
      <c r="I447">
        <v>-1957.8</v>
      </c>
      <c r="J447">
        <v>72.599999999999994</v>
      </c>
      <c r="K447">
        <v>0</v>
      </c>
      <c r="L447">
        <v>5.3</v>
      </c>
      <c r="M447">
        <v>0</v>
      </c>
      <c r="N447">
        <v>77.900000000000006</v>
      </c>
      <c r="O447">
        <v>115.09</v>
      </c>
      <c r="P447">
        <v>115.02</v>
      </c>
      <c r="Q447">
        <v>4</v>
      </c>
      <c r="R447">
        <v>4.05</v>
      </c>
      <c r="S447">
        <f t="shared" si="246"/>
        <v>0.68956250525225216</v>
      </c>
      <c r="T447">
        <f t="shared" si="247"/>
        <v>1.5874849070465451</v>
      </c>
      <c r="U447">
        <f t="shared" si="234"/>
        <v>0</v>
      </c>
      <c r="V447">
        <f t="shared" si="248"/>
        <v>1.699881422552926</v>
      </c>
      <c r="W447" t="str">
        <f t="shared" si="235"/>
        <v/>
      </c>
      <c r="X447">
        <f t="shared" si="249"/>
        <v>2.7460440127905787</v>
      </c>
      <c r="Y447" t="str">
        <f t="shared" si="236"/>
        <v/>
      </c>
      <c r="Z447">
        <f t="shared" si="250"/>
        <v>3.7351551775494287</v>
      </c>
      <c r="AA447">
        <f t="shared" si="251"/>
        <v>0.93696360537993451</v>
      </c>
      <c r="AB447">
        <f t="shared" si="252"/>
        <v>0.21195775363172015</v>
      </c>
      <c r="AC447">
        <f t="shared" si="253"/>
        <v>1.1886433863840238</v>
      </c>
      <c r="AD447">
        <f t="shared" si="254"/>
        <v>1.2863850064748228</v>
      </c>
    </row>
    <row r="448" spans="1:30">
      <c r="A448" t="s">
        <v>331</v>
      </c>
      <c r="B448" t="s">
        <v>37</v>
      </c>
      <c r="C448" t="s">
        <v>38</v>
      </c>
      <c r="D448" t="s">
        <v>39</v>
      </c>
      <c r="E448" s="2">
        <v>46105</v>
      </c>
      <c r="F448" t="s">
        <v>40</v>
      </c>
      <c r="G448">
        <v>118.7</v>
      </c>
      <c r="H448">
        <v>83.8</v>
      </c>
      <c r="I448">
        <v>-1957.8</v>
      </c>
      <c r="J448">
        <v>73.099999999999994</v>
      </c>
      <c r="K448">
        <v>0</v>
      </c>
      <c r="L448">
        <v>1</v>
      </c>
      <c r="M448">
        <v>0</v>
      </c>
      <c r="N448">
        <v>74.099999999999994</v>
      </c>
      <c r="O448">
        <v>112.08</v>
      </c>
      <c r="P448">
        <v>116.48</v>
      </c>
      <c r="Q448">
        <v>4.0999999999999996</v>
      </c>
      <c r="R448">
        <v>4.03</v>
      </c>
      <c r="S448">
        <f t="shared" si="246"/>
        <v>1.2310834208959296</v>
      </c>
      <c r="T448">
        <f t="shared" si="247"/>
        <v>1.0913267658534032</v>
      </c>
      <c r="U448">
        <f t="shared" si="234"/>
        <v>0</v>
      </c>
      <c r="V448">
        <f t="shared" si="248"/>
        <v>1.961295547490056</v>
      </c>
      <c r="W448" t="str">
        <f t="shared" si="235"/>
        <v/>
      </c>
      <c r="X448">
        <f t="shared" si="249"/>
        <v>0.3251805415783095</v>
      </c>
      <c r="Y448" t="str">
        <f t="shared" si="236"/>
        <v/>
      </c>
      <c r="Z448">
        <f t="shared" si="250"/>
        <v>2.0044320176497328</v>
      </c>
      <c r="AA448">
        <f t="shared" si="251"/>
        <v>0.8515136102521913</v>
      </c>
      <c r="AB448">
        <f t="shared" si="252"/>
        <v>0.83530687722902242</v>
      </c>
      <c r="AC448">
        <f t="shared" si="253"/>
        <v>1.8531614446622551</v>
      </c>
      <c r="AD448">
        <f t="shared" si="254"/>
        <v>1.158802253111425</v>
      </c>
    </row>
    <row r="449" spans="1:30">
      <c r="A449" t="s">
        <v>332</v>
      </c>
      <c r="B449" t="s">
        <v>37</v>
      </c>
      <c r="C449" t="s">
        <v>38</v>
      </c>
      <c r="D449" t="s">
        <v>39</v>
      </c>
      <c r="E449" s="2">
        <v>46105</v>
      </c>
      <c r="F449" t="s">
        <v>40</v>
      </c>
      <c r="G449">
        <v>114.2</v>
      </c>
      <c r="H449">
        <v>81.599999999999994</v>
      </c>
      <c r="I449">
        <v>-1957.8</v>
      </c>
      <c r="J449">
        <v>70</v>
      </c>
      <c r="K449">
        <v>0</v>
      </c>
      <c r="L449">
        <v>4.3</v>
      </c>
      <c r="M449">
        <v>0</v>
      </c>
      <c r="N449">
        <v>65.7</v>
      </c>
      <c r="O449">
        <v>112.16</v>
      </c>
      <c r="P449">
        <v>116.48</v>
      </c>
      <c r="Q449">
        <v>3.74</v>
      </c>
      <c r="R449">
        <v>3.74</v>
      </c>
      <c r="S449">
        <f t="shared" si="246"/>
        <v>0.32854856148980155</v>
      </c>
      <c r="T449">
        <f t="shared" si="247"/>
        <v>0.31164968683561095</v>
      </c>
      <c r="U449">
        <f t="shared" si="234"/>
        <v>0</v>
      </c>
      <c r="V449">
        <f t="shared" si="248"/>
        <v>0.34052797287985348</v>
      </c>
      <c r="W449" t="str">
        <f t="shared" si="235"/>
        <v/>
      </c>
      <c r="X449">
        <f t="shared" si="249"/>
        <v>2.0318057443326976</v>
      </c>
      <c r="Y449" t="str">
        <f t="shared" si="236"/>
        <v/>
      </c>
      <c r="Z449">
        <f t="shared" si="250"/>
        <v>1.8213770726548433</v>
      </c>
      <c r="AA449">
        <f t="shared" si="251"/>
        <v>0.80397933209585692</v>
      </c>
      <c r="AB449">
        <f t="shared" si="252"/>
        <v>0.83530687722902242</v>
      </c>
      <c r="AC449">
        <f t="shared" si="253"/>
        <v>0.53910356513938229</v>
      </c>
      <c r="AD449">
        <f t="shared" si="254"/>
        <v>0.69114767065787985</v>
      </c>
    </row>
    <row r="450" spans="1:30">
      <c r="A450" t="s">
        <v>333</v>
      </c>
      <c r="B450" t="s">
        <v>37</v>
      </c>
      <c r="C450" t="s">
        <v>38</v>
      </c>
      <c r="D450" t="s">
        <v>39</v>
      </c>
      <c r="E450" s="2">
        <v>46105</v>
      </c>
      <c r="F450" t="s">
        <v>34</v>
      </c>
      <c r="G450">
        <v>109.7</v>
      </c>
      <c r="H450">
        <v>78.900000000000006</v>
      </c>
      <c r="I450">
        <v>-1957.8</v>
      </c>
      <c r="J450">
        <v>66.8</v>
      </c>
      <c r="K450">
        <v>0</v>
      </c>
      <c r="L450">
        <v>2.6</v>
      </c>
      <c r="M450">
        <v>0</v>
      </c>
      <c r="N450">
        <v>64.2</v>
      </c>
      <c r="O450">
        <v>115.02</v>
      </c>
      <c r="P450">
        <v>115.02</v>
      </c>
      <c r="Q450">
        <v>3.78</v>
      </c>
      <c r="R450">
        <v>3.91</v>
      </c>
      <c r="S450">
        <f t="shared" si="246"/>
        <v>0.57398629791632649</v>
      </c>
      <c r="T450">
        <f t="shared" si="247"/>
        <v>0.64522672832258332</v>
      </c>
      <c r="U450">
        <f t="shared" ref="U450:U513" si="255">IF(OR(I450=0,I450=""),"",ABS((I450--1957.8)/1))</f>
        <v>0</v>
      </c>
      <c r="V450">
        <f t="shared" si="248"/>
        <v>1.3325224267177793</v>
      </c>
      <c r="W450" t="str">
        <f t="shared" ref="W450:W513" si="256">IF(OR(K450=0,K450=""),"",ABS((K450-0)/1))</f>
        <v/>
      </c>
      <c r="X450">
        <f t="shared" si="249"/>
        <v>0.81760068795430019</v>
      </c>
      <c r="Y450" t="str">
        <f t="shared" ref="Y450:Y513" si="257">IF(OR(M450=0,M450=""),"",ABS((M450-0)/1))</f>
        <v/>
      </c>
      <c r="Z450">
        <f t="shared" si="250"/>
        <v>2.5045572673520899</v>
      </c>
      <c r="AA450">
        <f t="shared" si="251"/>
        <v>0.89537111199313657</v>
      </c>
      <c r="AB450">
        <f t="shared" si="252"/>
        <v>0.21195775363172015</v>
      </c>
      <c r="AC450">
        <f t="shared" si="253"/>
        <v>0.27329634182809154</v>
      </c>
      <c r="AD450">
        <f t="shared" si="254"/>
        <v>0.39330573293102244</v>
      </c>
    </row>
    <row r="451" spans="1:30">
      <c r="A451" t="s">
        <v>333</v>
      </c>
      <c r="B451" t="s">
        <v>37</v>
      </c>
      <c r="C451" t="s">
        <v>38</v>
      </c>
      <c r="D451" t="s">
        <v>39</v>
      </c>
      <c r="E451" s="2">
        <v>46105</v>
      </c>
      <c r="F451" t="s">
        <v>40</v>
      </c>
      <c r="G451">
        <v>119.1</v>
      </c>
      <c r="H451">
        <v>83.8</v>
      </c>
      <c r="I451">
        <v>-1957.8</v>
      </c>
      <c r="J451">
        <v>67.3</v>
      </c>
      <c r="K451">
        <v>0</v>
      </c>
      <c r="L451">
        <v>0.8</v>
      </c>
      <c r="M451">
        <v>0</v>
      </c>
      <c r="N451">
        <v>66.5</v>
      </c>
      <c r="O451">
        <v>112.16</v>
      </c>
      <c r="P451">
        <v>116.26</v>
      </c>
      <c r="Q451">
        <v>4.0999999999999996</v>
      </c>
      <c r="R451">
        <v>4.08</v>
      </c>
      <c r="S451">
        <f t="shared" si="246"/>
        <v>1.3113087417320282</v>
      </c>
      <c r="T451">
        <f t="shared" si="247"/>
        <v>1.0913267658534032</v>
      </c>
      <c r="U451">
        <f t="shared" si="255"/>
        <v>0</v>
      </c>
      <c r="V451">
        <f t="shared" si="248"/>
        <v>1.0711083017806495</v>
      </c>
      <c r="W451" t="str">
        <f t="shared" si="256"/>
        <v/>
      </c>
      <c r="X451">
        <f t="shared" si="249"/>
        <v>0.46802819526988565</v>
      </c>
      <c r="Y451" t="str">
        <f t="shared" si="257"/>
        <v/>
      </c>
      <c r="Z451">
        <f t="shared" si="250"/>
        <v>1.4570143021496467</v>
      </c>
      <c r="AA451">
        <f t="shared" si="251"/>
        <v>0.80397933209585692</v>
      </c>
      <c r="AB451">
        <f t="shared" si="252"/>
        <v>0.6774998780582272</v>
      </c>
      <c r="AC451">
        <f t="shared" si="253"/>
        <v>1.8531614446622551</v>
      </c>
      <c r="AD451">
        <f t="shared" si="254"/>
        <v>1.4777591365199247</v>
      </c>
    </row>
    <row r="452" spans="1:30">
      <c r="A452" t="s">
        <v>334</v>
      </c>
      <c r="B452" t="s">
        <v>37</v>
      </c>
      <c r="C452" t="s">
        <v>38</v>
      </c>
      <c r="D452" t="s">
        <v>39</v>
      </c>
      <c r="E452" s="2">
        <v>46105</v>
      </c>
      <c r="F452" t="s">
        <v>40</v>
      </c>
      <c r="G452">
        <v>112.4</v>
      </c>
      <c r="H452">
        <v>80.2</v>
      </c>
      <c r="I452">
        <v>-1957.8</v>
      </c>
      <c r="J452">
        <v>70.400000000000006</v>
      </c>
      <c r="K452">
        <v>0</v>
      </c>
      <c r="L452">
        <v>2.9</v>
      </c>
      <c r="M452">
        <v>0</v>
      </c>
      <c r="N452">
        <v>67.5</v>
      </c>
      <c r="O452">
        <v>112.01</v>
      </c>
      <c r="P452">
        <v>113.4</v>
      </c>
      <c r="Q452">
        <v>3.76</v>
      </c>
      <c r="R452">
        <v>3.81</v>
      </c>
      <c r="S452">
        <f t="shared" si="246"/>
        <v>3.246538227264912E-2</v>
      </c>
      <c r="T452">
        <f t="shared" si="247"/>
        <v>0.18450845435752589</v>
      </c>
      <c r="U452">
        <f t="shared" si="255"/>
        <v>0</v>
      </c>
      <c r="V452">
        <f t="shared" si="248"/>
        <v>0.5496592728295604</v>
      </c>
      <c r="W452" t="str">
        <f t="shared" si="256"/>
        <v/>
      </c>
      <c r="X452">
        <f t="shared" si="249"/>
        <v>1.0318721684916643</v>
      </c>
      <c r="Y452" t="str">
        <f t="shared" si="257"/>
        <v/>
      </c>
      <c r="Z452">
        <f t="shared" si="250"/>
        <v>1.001560839018149</v>
      </c>
      <c r="AA452">
        <f t="shared" si="251"/>
        <v>0.8931061036389808</v>
      </c>
      <c r="AB452">
        <f t="shared" si="252"/>
        <v>1.3739911111621199</v>
      </c>
      <c r="AC452">
        <f t="shared" si="253"/>
        <v>0.40619995348373839</v>
      </c>
      <c r="AD452">
        <f t="shared" si="254"/>
        <v>0.24460803388597974</v>
      </c>
    </row>
    <row r="453" spans="1:30">
      <c r="A453" t="s">
        <v>335</v>
      </c>
      <c r="B453" t="s">
        <v>37</v>
      </c>
      <c r="C453" t="s">
        <v>38</v>
      </c>
      <c r="D453" t="s">
        <v>39</v>
      </c>
      <c r="E453" s="2">
        <v>46105</v>
      </c>
      <c r="F453" t="s">
        <v>40</v>
      </c>
      <c r="G453">
        <v>97.7</v>
      </c>
      <c r="H453">
        <v>77.900000000000006</v>
      </c>
      <c r="I453">
        <v>-1957.8</v>
      </c>
      <c r="J453">
        <v>68.2</v>
      </c>
      <c r="K453">
        <v>0</v>
      </c>
      <c r="L453">
        <v>2</v>
      </c>
      <c r="M453">
        <v>0</v>
      </c>
      <c r="N453">
        <v>66.2</v>
      </c>
      <c r="O453">
        <v>114.87</v>
      </c>
      <c r="P453">
        <v>114.94</v>
      </c>
      <c r="Q453">
        <v>3.81</v>
      </c>
      <c r="R453">
        <v>3.83</v>
      </c>
      <c r="S453">
        <f t="shared" si="246"/>
        <v>2.9807459229993345</v>
      </c>
      <c r="T453">
        <f t="shared" si="247"/>
        <v>0.99962540060339755</v>
      </c>
      <c r="U453">
        <f t="shared" si="255"/>
        <v>0</v>
      </c>
      <c r="V453">
        <f t="shared" si="248"/>
        <v>0.60056287689381271</v>
      </c>
      <c r="W453" t="str">
        <f t="shared" si="256"/>
        <v/>
      </c>
      <c r="X453">
        <f t="shared" si="249"/>
        <v>0.38905772687957146</v>
      </c>
      <c r="Y453" t="str">
        <f t="shared" si="257"/>
        <v/>
      </c>
      <c r="Z453">
        <f t="shared" si="250"/>
        <v>1.5936503410890945</v>
      </c>
      <c r="AA453">
        <f t="shared" si="251"/>
        <v>0.80624434045001259</v>
      </c>
      <c r="AB453">
        <f t="shared" si="252"/>
        <v>0.2693421169665538</v>
      </c>
      <c r="AC453">
        <f t="shared" si="253"/>
        <v>7.3940924344619782E-2</v>
      </c>
      <c r="AD453">
        <f t="shared" si="254"/>
        <v>0.11702528052257931</v>
      </c>
    </row>
    <row r="454" spans="1:30">
      <c r="A454" t="s">
        <v>336</v>
      </c>
      <c r="B454" t="s">
        <v>31</v>
      </c>
      <c r="C454" t="s">
        <v>32</v>
      </c>
      <c r="D454" t="s">
        <v>33</v>
      </c>
      <c r="E454" s="2">
        <v>46105</v>
      </c>
      <c r="F454" t="s">
        <v>40</v>
      </c>
      <c r="G454">
        <v>164.2</v>
      </c>
      <c r="H454">
        <v>102.8</v>
      </c>
      <c r="I454">
        <v>-1957.8</v>
      </c>
      <c r="J454">
        <v>67.7</v>
      </c>
      <c r="K454">
        <v>0</v>
      </c>
      <c r="L454">
        <v>0.9</v>
      </c>
      <c r="M454">
        <v>0</v>
      </c>
      <c r="N454">
        <v>68.599999999999994</v>
      </c>
      <c r="O454">
        <v>111.42</v>
      </c>
      <c r="P454">
        <v>112.96</v>
      </c>
      <c r="Q454">
        <v>8.69</v>
      </c>
      <c r="R454">
        <v>8.4</v>
      </c>
      <c r="S454">
        <f t="shared" ref="S454:S483" si="258">IF(OR(G454=0,G454=""),"",ABS((G454-152.740594)/5.729485))</f>
        <v>2.0000760975899232</v>
      </c>
      <c r="T454">
        <f t="shared" ref="T454:T483" si="259">IF(OR(H454=0,H454=""),"",ABS((H454-96.426733)/5.037499))</f>
        <v>1.2651649161617695</v>
      </c>
      <c r="U454">
        <f t="shared" si="255"/>
        <v>0</v>
      </c>
      <c r="V454">
        <f t="shared" ref="V454:V483" si="260">IF(OR(J454=0,J454=""),"",ABS((J454-69.40099)/2.222902))</f>
        <v>0.76521142182605906</v>
      </c>
      <c r="W454" t="str">
        <f t="shared" si="256"/>
        <v/>
      </c>
      <c r="X454">
        <f t="shared" ref="X454:X483" si="261">IF(OR(L454=0,L454=""),"",ABS((L454-1.849749)/1.393269))</f>
        <v>0.68166951249184471</v>
      </c>
      <c r="Y454" t="str">
        <f t="shared" si="257"/>
        <v/>
      </c>
      <c r="Z454">
        <f t="shared" ref="Z454:Z483" si="262">IF(OR(N454=0,N454=""),"",ABS((N454-69.231188)/2.519549))</f>
        <v>0.2505162630296171</v>
      </c>
      <c r="AA454">
        <f t="shared" ref="AA454:AA483" si="263">IF(OR(O454=0,O454=""),"",ABS((O454-113.18)/1.73698))</f>
        <v>1.0132528871950195</v>
      </c>
      <c r="AB454">
        <f t="shared" ref="AB454:AB483" si="264">IF(OR(P454=0,P454=""),"",ABS((P454-114.765594)/1.645198))</f>
        <v>1.0974934324014491</v>
      </c>
      <c r="AC454">
        <f t="shared" ref="AC454:AC483" si="265">IF(OR(Q454=0,Q454=""),"",ABS((Q454-8.040149)/0.55663))</f>
        <v>1.1674739054668271</v>
      </c>
      <c r="AD454">
        <f t="shared" ref="AD454:AD483" si="266">IF(OR(R454=0,R454=""),"",ABS((R454-7.915297)/0.399795))</f>
        <v>1.2123788441576322</v>
      </c>
    </row>
    <row r="455" spans="1:30">
      <c r="A455" t="s">
        <v>337</v>
      </c>
      <c r="B455" t="s">
        <v>31</v>
      </c>
      <c r="C455" t="s">
        <v>32</v>
      </c>
      <c r="D455" t="s">
        <v>33</v>
      </c>
      <c r="E455" s="2">
        <v>46105</v>
      </c>
      <c r="F455" t="s">
        <v>40</v>
      </c>
      <c r="G455">
        <v>151.69999999999999</v>
      </c>
      <c r="H455">
        <v>97.8</v>
      </c>
      <c r="I455">
        <v>-1957.8</v>
      </c>
      <c r="J455">
        <v>70</v>
      </c>
      <c r="K455">
        <v>0</v>
      </c>
      <c r="L455">
        <v>1.8</v>
      </c>
      <c r="M455">
        <v>0</v>
      </c>
      <c r="N455">
        <v>68.2</v>
      </c>
      <c r="O455">
        <v>111.2</v>
      </c>
      <c r="P455">
        <v>113.26</v>
      </c>
      <c r="Q455">
        <v>8.5</v>
      </c>
      <c r="R455">
        <v>7.96</v>
      </c>
      <c r="S455">
        <f t="shared" si="258"/>
        <v>0.18162086121178406</v>
      </c>
      <c r="T455">
        <f t="shared" si="259"/>
        <v>0.27260888786280618</v>
      </c>
      <c r="U455">
        <f t="shared" si="255"/>
        <v>0</v>
      </c>
      <c r="V455">
        <f t="shared" si="260"/>
        <v>0.26947206849425076</v>
      </c>
      <c r="W455" t="str">
        <f t="shared" si="256"/>
        <v/>
      </c>
      <c r="X455">
        <f t="shared" si="261"/>
        <v>3.5706672580815363E-2</v>
      </c>
      <c r="Y455" t="str">
        <f t="shared" si="257"/>
        <v/>
      </c>
      <c r="Z455">
        <f t="shared" si="262"/>
        <v>0.40927483450411173</v>
      </c>
      <c r="AA455">
        <f t="shared" si="263"/>
        <v>1.139909498094396</v>
      </c>
      <c r="AB455">
        <f t="shared" si="264"/>
        <v>0.91514456010765144</v>
      </c>
      <c r="AC455">
        <f t="shared" si="265"/>
        <v>0.82613405673427676</v>
      </c>
      <c r="AD455">
        <f t="shared" si="266"/>
        <v>0.1118148050876078</v>
      </c>
    </row>
    <row r="456" spans="1:30">
      <c r="A456" t="s">
        <v>338</v>
      </c>
      <c r="B456" t="s">
        <v>31</v>
      </c>
      <c r="C456" t="s">
        <v>32</v>
      </c>
      <c r="D456" t="s">
        <v>33</v>
      </c>
      <c r="E456" s="2">
        <v>46105</v>
      </c>
      <c r="F456" t="s">
        <v>34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tr">
        <f t="shared" si="258"/>
        <v/>
      </c>
      <c r="T456" t="str">
        <f t="shared" si="259"/>
        <v/>
      </c>
      <c r="U456" t="str">
        <f t="shared" si="255"/>
        <v/>
      </c>
      <c r="V456" t="str">
        <f t="shared" si="260"/>
        <v/>
      </c>
      <c r="W456" t="str">
        <f t="shared" si="256"/>
        <v/>
      </c>
      <c r="X456" t="str">
        <f t="shared" si="261"/>
        <v/>
      </c>
      <c r="Y456" t="str">
        <f t="shared" si="257"/>
        <v/>
      </c>
      <c r="Z456" t="str">
        <f t="shared" si="262"/>
        <v/>
      </c>
      <c r="AA456" t="str">
        <f t="shared" si="263"/>
        <v/>
      </c>
      <c r="AB456" t="str">
        <f t="shared" si="264"/>
        <v/>
      </c>
      <c r="AC456" t="str">
        <f t="shared" si="265"/>
        <v/>
      </c>
      <c r="AD456" t="str">
        <f t="shared" si="266"/>
        <v/>
      </c>
    </row>
    <row r="457" spans="1:30">
      <c r="A457" t="s">
        <v>338</v>
      </c>
      <c r="B457" t="s">
        <v>31</v>
      </c>
      <c r="C457" t="s">
        <v>32</v>
      </c>
      <c r="D457" t="s">
        <v>33</v>
      </c>
      <c r="E457" s="2">
        <v>46105</v>
      </c>
      <c r="F457" t="s">
        <v>34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tr">
        <f t="shared" si="258"/>
        <v/>
      </c>
      <c r="T457" t="str">
        <f t="shared" si="259"/>
        <v/>
      </c>
      <c r="U457" t="str">
        <f t="shared" si="255"/>
        <v/>
      </c>
      <c r="V457" t="str">
        <f t="shared" si="260"/>
        <v/>
      </c>
      <c r="W457" t="str">
        <f t="shared" si="256"/>
        <v/>
      </c>
      <c r="X457" t="str">
        <f t="shared" si="261"/>
        <v/>
      </c>
      <c r="Y457" t="str">
        <f t="shared" si="257"/>
        <v/>
      </c>
      <c r="Z457" t="str">
        <f t="shared" si="262"/>
        <v/>
      </c>
      <c r="AA457" t="str">
        <f t="shared" si="263"/>
        <v/>
      </c>
      <c r="AB457" t="str">
        <f t="shared" si="264"/>
        <v/>
      </c>
      <c r="AC457" t="str">
        <f t="shared" si="265"/>
        <v/>
      </c>
      <c r="AD457" t="str">
        <f t="shared" si="266"/>
        <v/>
      </c>
    </row>
    <row r="458" spans="1:30">
      <c r="A458" t="s">
        <v>339</v>
      </c>
      <c r="B458" t="s">
        <v>31</v>
      </c>
      <c r="C458" t="s">
        <v>32</v>
      </c>
      <c r="D458" t="s">
        <v>33</v>
      </c>
      <c r="E458" s="2">
        <v>46105</v>
      </c>
      <c r="F458" t="s">
        <v>40</v>
      </c>
      <c r="G458">
        <v>147.69999999999999</v>
      </c>
      <c r="H458">
        <v>94.6</v>
      </c>
      <c r="I458">
        <v>-1957.8</v>
      </c>
      <c r="J458">
        <v>68.2</v>
      </c>
      <c r="K458">
        <v>0</v>
      </c>
      <c r="L458">
        <v>0.8</v>
      </c>
      <c r="M458">
        <v>0</v>
      </c>
      <c r="N458">
        <v>67.400000000000006</v>
      </c>
      <c r="O458">
        <v>114.87</v>
      </c>
      <c r="P458">
        <v>115.02</v>
      </c>
      <c r="Q458">
        <v>8.15</v>
      </c>
      <c r="R458">
        <v>8.0299999999999994</v>
      </c>
      <c r="S458">
        <f t="shared" si="258"/>
        <v>0.87976388802833039</v>
      </c>
      <c r="T458">
        <f t="shared" si="259"/>
        <v>0.36262697024853091</v>
      </c>
      <c r="U458">
        <f t="shared" si="255"/>
        <v>0</v>
      </c>
      <c r="V458">
        <f t="shared" si="260"/>
        <v>0.54028022827816535</v>
      </c>
      <c r="W458" t="str">
        <f t="shared" si="256"/>
        <v/>
      </c>
      <c r="X458">
        <f t="shared" si="261"/>
        <v>0.75344316137084799</v>
      </c>
      <c r="Y458" t="str">
        <f t="shared" si="257"/>
        <v/>
      </c>
      <c r="Z458">
        <f t="shared" si="262"/>
        <v>0.72679197745310664</v>
      </c>
      <c r="AA458">
        <f t="shared" si="263"/>
        <v>0.97295305645430441</v>
      </c>
      <c r="AB458">
        <f t="shared" si="264"/>
        <v>0.15463549068258228</v>
      </c>
      <c r="AC458">
        <f t="shared" si="265"/>
        <v>0.19735012485852507</v>
      </c>
      <c r="AD458">
        <f t="shared" si="266"/>
        <v>0.28690453857601911</v>
      </c>
    </row>
    <row r="459" spans="1:30">
      <c r="A459" t="s">
        <v>340</v>
      </c>
      <c r="B459" t="s">
        <v>31</v>
      </c>
      <c r="C459" t="s">
        <v>32</v>
      </c>
      <c r="D459" t="s">
        <v>33</v>
      </c>
      <c r="E459" s="2">
        <v>46105</v>
      </c>
      <c r="F459" t="s">
        <v>40</v>
      </c>
      <c r="G459">
        <v>151.69999999999999</v>
      </c>
      <c r="H459">
        <v>95.5</v>
      </c>
      <c r="I459">
        <v>-1957.8</v>
      </c>
      <c r="J459">
        <v>68.2</v>
      </c>
      <c r="K459">
        <v>0</v>
      </c>
      <c r="L459">
        <v>0.4</v>
      </c>
      <c r="M459">
        <v>0</v>
      </c>
      <c r="N459">
        <v>67.8</v>
      </c>
      <c r="O459">
        <v>111.28</v>
      </c>
      <c r="P459">
        <v>112.96</v>
      </c>
      <c r="Q459">
        <v>8.76</v>
      </c>
      <c r="R459">
        <v>8.3000000000000007</v>
      </c>
      <c r="S459">
        <f t="shared" si="258"/>
        <v>0.18162086121178406</v>
      </c>
      <c r="T459">
        <f t="shared" si="259"/>
        <v>0.18396688515471638</v>
      </c>
      <c r="U459">
        <f t="shared" si="255"/>
        <v>0</v>
      </c>
      <c r="V459">
        <f t="shared" si="260"/>
        <v>0.54028022827816535</v>
      </c>
      <c r="W459" t="str">
        <f t="shared" si="256"/>
        <v/>
      </c>
      <c r="X459">
        <f t="shared" si="261"/>
        <v>1.040537756886861</v>
      </c>
      <c r="Y459" t="str">
        <f t="shared" si="257"/>
        <v/>
      </c>
      <c r="Z459">
        <f t="shared" si="262"/>
        <v>0.56803340597861196</v>
      </c>
      <c r="AA459">
        <f t="shared" si="263"/>
        <v>1.0938525486764417</v>
      </c>
      <c r="AB459">
        <f t="shared" si="264"/>
        <v>1.0974934324014491</v>
      </c>
      <c r="AC459">
        <f t="shared" si="265"/>
        <v>1.2932306918419783</v>
      </c>
      <c r="AD459">
        <f t="shared" si="266"/>
        <v>0.96225065345990046</v>
      </c>
    </row>
    <row r="460" spans="1:30">
      <c r="A460" t="s">
        <v>341</v>
      </c>
      <c r="B460" t="s">
        <v>31</v>
      </c>
      <c r="C460" t="s">
        <v>32</v>
      </c>
      <c r="D460" t="s">
        <v>33</v>
      </c>
      <c r="E460" s="2">
        <v>46106</v>
      </c>
      <c r="F460" t="s">
        <v>40</v>
      </c>
      <c r="G460">
        <v>145.9</v>
      </c>
      <c r="H460">
        <v>84.7</v>
      </c>
      <c r="I460">
        <v>-1957.8</v>
      </c>
      <c r="J460">
        <v>67.3</v>
      </c>
      <c r="K460">
        <v>0</v>
      </c>
      <c r="L460">
        <v>0.1</v>
      </c>
      <c r="M460">
        <v>0</v>
      </c>
      <c r="N460">
        <v>67.2</v>
      </c>
      <c r="O460">
        <v>111.06</v>
      </c>
      <c r="P460">
        <v>117.51</v>
      </c>
      <c r="Q460">
        <v>7.37</v>
      </c>
      <c r="R460">
        <v>7.5</v>
      </c>
      <c r="S460">
        <f t="shared" si="258"/>
        <v>1.1939282500957733</v>
      </c>
      <c r="T460">
        <f t="shared" si="259"/>
        <v>2.3278879062804765</v>
      </c>
      <c r="U460">
        <f t="shared" si="255"/>
        <v>0</v>
      </c>
      <c r="V460">
        <f t="shared" si="260"/>
        <v>0.94515637666437657</v>
      </c>
      <c r="W460" t="str">
        <f t="shared" si="256"/>
        <v/>
      </c>
      <c r="X460">
        <f t="shared" si="261"/>
        <v>1.2558587035238709</v>
      </c>
      <c r="Y460" t="str">
        <f t="shared" si="257"/>
        <v/>
      </c>
      <c r="Z460">
        <f t="shared" si="262"/>
        <v>0.80617126319035681</v>
      </c>
      <c r="AA460">
        <f t="shared" si="263"/>
        <v>1.2205091595758182</v>
      </c>
      <c r="AB460">
        <f t="shared" si="264"/>
        <v>1.6681311307210513</v>
      </c>
      <c r="AC460">
        <f t="shared" si="265"/>
        <v>1.2039397804645806</v>
      </c>
      <c r="AD460">
        <f t="shared" si="266"/>
        <v>1.0387748721219621</v>
      </c>
    </row>
    <row r="461" spans="1:30">
      <c r="A461" t="s">
        <v>342</v>
      </c>
      <c r="B461" t="s">
        <v>31</v>
      </c>
      <c r="C461" t="s">
        <v>32</v>
      </c>
      <c r="D461" t="s">
        <v>33</v>
      </c>
      <c r="E461" s="2">
        <v>46106</v>
      </c>
      <c r="F461" t="s">
        <v>40</v>
      </c>
      <c r="G461">
        <v>149.5</v>
      </c>
      <c r="H461">
        <v>95.5</v>
      </c>
      <c r="I461">
        <v>-1957.8</v>
      </c>
      <c r="J461">
        <v>67.3</v>
      </c>
      <c r="K461">
        <v>0</v>
      </c>
      <c r="L461">
        <v>2.2999999999999998</v>
      </c>
      <c r="M461">
        <v>0</v>
      </c>
      <c r="N461">
        <v>65</v>
      </c>
      <c r="O461">
        <v>111.57</v>
      </c>
      <c r="P461">
        <v>113.26</v>
      </c>
      <c r="Q461">
        <v>8.42</v>
      </c>
      <c r="R461">
        <v>8.0299999999999994</v>
      </c>
      <c r="S461">
        <f t="shared" si="258"/>
        <v>0.56559952596088259</v>
      </c>
      <c r="T461">
        <f t="shared" si="259"/>
        <v>0.18396688515471638</v>
      </c>
      <c r="U461">
        <f t="shared" si="255"/>
        <v>0</v>
      </c>
      <c r="V461">
        <f t="shared" si="260"/>
        <v>0.94515637666437657</v>
      </c>
      <c r="W461" t="str">
        <f t="shared" si="256"/>
        <v/>
      </c>
      <c r="X461">
        <f t="shared" si="261"/>
        <v>0.3231615718142008</v>
      </c>
      <c r="Y461" t="str">
        <f t="shared" si="257"/>
        <v/>
      </c>
      <c r="Z461">
        <f t="shared" si="262"/>
        <v>1.6793434063000969</v>
      </c>
      <c r="AA461">
        <f t="shared" si="263"/>
        <v>0.92689610703635827</v>
      </c>
      <c r="AB461">
        <f t="shared" si="264"/>
        <v>0.91514456010765144</v>
      </c>
      <c r="AC461">
        <f t="shared" si="265"/>
        <v>0.68241201516267613</v>
      </c>
      <c r="AD461">
        <f t="shared" si="266"/>
        <v>0.28690453857601911</v>
      </c>
    </row>
    <row r="462" spans="1:30">
      <c r="A462" t="s">
        <v>343</v>
      </c>
      <c r="B462" t="s">
        <v>31</v>
      </c>
      <c r="C462" t="s">
        <v>32</v>
      </c>
      <c r="D462" t="s">
        <v>33</v>
      </c>
      <c r="E462" s="2">
        <v>46106</v>
      </c>
      <c r="F462" t="s">
        <v>40</v>
      </c>
      <c r="G462">
        <v>149.5</v>
      </c>
      <c r="H462">
        <v>97.3</v>
      </c>
      <c r="I462">
        <v>-1957.8</v>
      </c>
      <c r="J462">
        <v>67.3</v>
      </c>
      <c r="K462">
        <v>0</v>
      </c>
      <c r="L462">
        <v>1.7</v>
      </c>
      <c r="M462">
        <v>0</v>
      </c>
      <c r="N462">
        <v>65.599999999999994</v>
      </c>
      <c r="O462">
        <v>111.28</v>
      </c>
      <c r="P462">
        <v>117.8</v>
      </c>
      <c r="Q462">
        <v>8.4700000000000006</v>
      </c>
      <c r="R462">
        <v>7.89</v>
      </c>
      <c r="S462">
        <f t="shared" si="258"/>
        <v>0.56559952596088259</v>
      </c>
      <c r="T462">
        <f t="shared" si="259"/>
        <v>0.17335328503290987</v>
      </c>
      <c r="U462">
        <f t="shared" si="255"/>
        <v>0</v>
      </c>
      <c r="V462">
        <f t="shared" si="260"/>
        <v>0.94515637666437657</v>
      </c>
      <c r="W462" t="str">
        <f t="shared" si="256"/>
        <v/>
      </c>
      <c r="X462">
        <f t="shared" si="261"/>
        <v>0.10748032145981869</v>
      </c>
      <c r="Y462" t="str">
        <f t="shared" si="257"/>
        <v/>
      </c>
      <c r="Z462">
        <f t="shared" si="262"/>
        <v>1.4412055490883522</v>
      </c>
      <c r="AA462">
        <f t="shared" si="263"/>
        <v>1.0938525486764417</v>
      </c>
      <c r="AB462">
        <f t="shared" si="264"/>
        <v>1.8444017072717109</v>
      </c>
      <c r="AC462">
        <f t="shared" si="265"/>
        <v>0.7722382911449277</v>
      </c>
      <c r="AD462">
        <f t="shared" si="266"/>
        <v>6.327492840080573E-2</v>
      </c>
    </row>
    <row r="463" spans="1:30">
      <c r="A463" t="s">
        <v>344</v>
      </c>
      <c r="B463" t="s">
        <v>31</v>
      </c>
      <c r="C463" t="s">
        <v>32</v>
      </c>
      <c r="D463" t="s">
        <v>33</v>
      </c>
      <c r="E463" s="2">
        <v>46106</v>
      </c>
      <c r="F463" t="s">
        <v>34</v>
      </c>
      <c r="G463">
        <v>154.4</v>
      </c>
      <c r="H463">
        <v>74.3</v>
      </c>
      <c r="I463">
        <v>-1957.8</v>
      </c>
      <c r="J463">
        <v>68.2</v>
      </c>
      <c r="K463">
        <v>0</v>
      </c>
      <c r="L463">
        <v>1.6</v>
      </c>
      <c r="M463">
        <v>0</v>
      </c>
      <c r="N463">
        <v>66.599999999999994</v>
      </c>
      <c r="O463">
        <v>112.45</v>
      </c>
      <c r="P463">
        <v>116.56</v>
      </c>
      <c r="Q463">
        <v>5.47</v>
      </c>
      <c r="R463">
        <v>5.08</v>
      </c>
      <c r="S463">
        <f t="shared" si="258"/>
        <v>0.28962568188938764</v>
      </c>
      <c r="T463">
        <f t="shared" si="259"/>
        <v>4.3924044451423212</v>
      </c>
      <c r="U463">
        <f t="shared" si="255"/>
        <v>0</v>
      </c>
      <c r="V463">
        <f t="shared" si="260"/>
        <v>0.54028022827816535</v>
      </c>
      <c r="W463" t="str">
        <f t="shared" si="256"/>
        <v/>
      </c>
      <c r="X463">
        <f t="shared" si="261"/>
        <v>0.17925397033882184</v>
      </c>
      <c r="Y463" t="str">
        <f t="shared" si="257"/>
        <v/>
      </c>
      <c r="Z463">
        <f t="shared" si="262"/>
        <v>1.0443091204021071</v>
      </c>
      <c r="AA463">
        <f t="shared" si="263"/>
        <v>0.42026966343884442</v>
      </c>
      <c r="AB463">
        <f t="shared" si="264"/>
        <v>1.0906930351240454</v>
      </c>
      <c r="AC463">
        <f t="shared" si="265"/>
        <v>4.6173382677900943</v>
      </c>
      <c r="AD463">
        <f t="shared" si="266"/>
        <v>7.0918770870070906</v>
      </c>
    </row>
    <row r="464" spans="1:30">
      <c r="A464" t="s">
        <v>344</v>
      </c>
      <c r="B464" t="s">
        <v>31</v>
      </c>
      <c r="C464" t="s">
        <v>32</v>
      </c>
      <c r="D464" t="s">
        <v>33</v>
      </c>
      <c r="E464" s="2">
        <v>46106</v>
      </c>
      <c r="F464" t="s">
        <v>34</v>
      </c>
      <c r="G464">
        <v>152.19999999999999</v>
      </c>
      <c r="H464">
        <v>77.900000000000006</v>
      </c>
      <c r="I464">
        <v>-1957.8</v>
      </c>
      <c r="J464">
        <v>68.599999999999994</v>
      </c>
      <c r="K464">
        <v>0</v>
      </c>
      <c r="L464">
        <v>0.8</v>
      </c>
      <c r="M464">
        <v>0</v>
      </c>
      <c r="N464">
        <v>69.400000000000006</v>
      </c>
      <c r="O464">
        <v>115.53</v>
      </c>
      <c r="P464">
        <v>113.62</v>
      </c>
      <c r="Q464">
        <v>5.0999999999999996</v>
      </c>
      <c r="R464">
        <v>5.2</v>
      </c>
      <c r="S464">
        <f t="shared" si="258"/>
        <v>9.4352982859715773E-2</v>
      </c>
      <c r="T464">
        <f t="shared" si="259"/>
        <v>3.6777641047670664</v>
      </c>
      <c r="U464">
        <f t="shared" si="255"/>
        <v>0</v>
      </c>
      <c r="V464">
        <f t="shared" si="260"/>
        <v>0.36033527343985422</v>
      </c>
      <c r="W464" t="str">
        <f t="shared" si="256"/>
        <v/>
      </c>
      <c r="X464">
        <f t="shared" si="261"/>
        <v>0.75344316137084799</v>
      </c>
      <c r="Y464" t="str">
        <f t="shared" si="257"/>
        <v/>
      </c>
      <c r="Z464">
        <f t="shared" si="262"/>
        <v>6.7000879919383444E-2</v>
      </c>
      <c r="AA464">
        <f t="shared" si="263"/>
        <v>1.3529228891524336</v>
      </c>
      <c r="AB464">
        <f t="shared" si="264"/>
        <v>0.69632591335510285</v>
      </c>
      <c r="AC464">
        <f t="shared" si="265"/>
        <v>5.2820527100587462</v>
      </c>
      <c r="AD464">
        <f t="shared" si="266"/>
        <v>6.791723258169811</v>
      </c>
    </row>
    <row r="465" spans="1:30">
      <c r="A465" t="s">
        <v>345</v>
      </c>
      <c r="B465" t="s">
        <v>31</v>
      </c>
      <c r="C465" t="s">
        <v>32</v>
      </c>
      <c r="D465" t="s">
        <v>33</v>
      </c>
      <c r="E465" s="2">
        <v>46106</v>
      </c>
      <c r="F465" t="s">
        <v>40</v>
      </c>
      <c r="G465">
        <v>160.6</v>
      </c>
      <c r="H465">
        <v>96.9</v>
      </c>
      <c r="I465">
        <v>-1957.8</v>
      </c>
      <c r="J465">
        <v>77.099999999999994</v>
      </c>
      <c r="K465">
        <v>0</v>
      </c>
      <c r="L465">
        <v>2.9</v>
      </c>
      <c r="M465">
        <v>0</v>
      </c>
      <c r="N465">
        <v>74.2</v>
      </c>
      <c r="O465">
        <v>114.87</v>
      </c>
      <c r="P465">
        <v>115.09</v>
      </c>
      <c r="Q465">
        <v>7.32</v>
      </c>
      <c r="R465">
        <v>7.1</v>
      </c>
      <c r="S465">
        <f t="shared" si="258"/>
        <v>1.3717473734550325</v>
      </c>
      <c r="T465">
        <f t="shared" si="259"/>
        <v>9.3948802768994491E-2</v>
      </c>
      <c r="U465">
        <f t="shared" si="255"/>
        <v>0</v>
      </c>
      <c r="V465">
        <f t="shared" si="260"/>
        <v>3.4634950168743388</v>
      </c>
      <c r="W465" t="str">
        <f t="shared" si="256"/>
        <v/>
      </c>
      <c r="X465">
        <f t="shared" si="261"/>
        <v>0.75380346508822038</v>
      </c>
      <c r="Y465" t="str">
        <f t="shared" si="257"/>
        <v/>
      </c>
      <c r="Z465">
        <f t="shared" si="262"/>
        <v>1.9721037376133586</v>
      </c>
      <c r="AA465">
        <f t="shared" si="263"/>
        <v>0.97295305645430441</v>
      </c>
      <c r="AB465">
        <f t="shared" si="264"/>
        <v>0.19718356088447131</v>
      </c>
      <c r="AC465">
        <f t="shared" si="265"/>
        <v>1.2937660564468305</v>
      </c>
      <c r="AD465">
        <f t="shared" si="266"/>
        <v>2.0392876349128932</v>
      </c>
    </row>
    <row r="466" spans="1:30">
      <c r="A466" t="s">
        <v>346</v>
      </c>
      <c r="B466" t="s">
        <v>31</v>
      </c>
      <c r="C466" t="s">
        <v>32</v>
      </c>
      <c r="D466" t="s">
        <v>33</v>
      </c>
      <c r="E466" s="2">
        <v>46106</v>
      </c>
      <c r="F466" t="s">
        <v>40</v>
      </c>
      <c r="G466">
        <v>161.1</v>
      </c>
      <c r="H466">
        <v>97.8</v>
      </c>
      <c r="I466">
        <v>-1957.8</v>
      </c>
      <c r="J466">
        <v>73.099999999999994</v>
      </c>
      <c r="K466">
        <v>0</v>
      </c>
      <c r="L466">
        <v>4.0999999999999996</v>
      </c>
      <c r="M466">
        <v>0</v>
      </c>
      <c r="N466">
        <v>69</v>
      </c>
      <c r="O466">
        <v>111.72</v>
      </c>
      <c r="P466">
        <v>113.26</v>
      </c>
      <c r="Q466">
        <v>8.1999999999999993</v>
      </c>
      <c r="R466">
        <v>7.98</v>
      </c>
      <c r="S466">
        <f t="shared" si="258"/>
        <v>1.4590152518071007</v>
      </c>
      <c r="T466">
        <f t="shared" si="259"/>
        <v>0.27260888786280618</v>
      </c>
      <c r="U466">
        <f t="shared" si="255"/>
        <v>0</v>
      </c>
      <c r="V466">
        <f t="shared" si="260"/>
        <v>1.6640454684911892</v>
      </c>
      <c r="W466" t="str">
        <f t="shared" si="256"/>
        <v/>
      </c>
      <c r="X466">
        <f t="shared" si="261"/>
        <v>1.6150872516362593</v>
      </c>
      <c r="Y466" t="str">
        <f t="shared" si="257"/>
        <v/>
      </c>
      <c r="Z466">
        <f t="shared" si="262"/>
        <v>9.175769155511683E-2</v>
      </c>
      <c r="AA466">
        <f t="shared" si="263"/>
        <v>0.84053932687768884</v>
      </c>
      <c r="AB466">
        <f t="shared" si="264"/>
        <v>0.91514456010765144</v>
      </c>
      <c r="AC466">
        <f t="shared" si="265"/>
        <v>0.2871764008407735</v>
      </c>
      <c r="AD466">
        <f t="shared" si="266"/>
        <v>0.16184044322715546</v>
      </c>
    </row>
    <row r="467" spans="1:30">
      <c r="A467" t="s">
        <v>347</v>
      </c>
      <c r="B467" t="s">
        <v>31</v>
      </c>
      <c r="C467" t="s">
        <v>32</v>
      </c>
      <c r="D467" t="s">
        <v>33</v>
      </c>
      <c r="E467" s="2">
        <v>46106</v>
      </c>
      <c r="F467" t="s">
        <v>40</v>
      </c>
      <c r="G467">
        <v>154.80000000000001</v>
      </c>
      <c r="H467">
        <v>100.5</v>
      </c>
      <c r="I467">
        <v>-1957.8</v>
      </c>
      <c r="J467">
        <v>71.7</v>
      </c>
      <c r="K467">
        <v>0</v>
      </c>
      <c r="L467">
        <v>3.7</v>
      </c>
      <c r="M467">
        <v>0</v>
      </c>
      <c r="N467">
        <v>68</v>
      </c>
      <c r="O467">
        <v>111.5</v>
      </c>
      <c r="P467">
        <v>117.66</v>
      </c>
      <c r="Q467">
        <v>8.25</v>
      </c>
      <c r="R467">
        <v>7.71</v>
      </c>
      <c r="S467">
        <f t="shared" si="258"/>
        <v>0.35943998457104326</v>
      </c>
      <c r="T467">
        <f t="shared" si="259"/>
        <v>0.80858914314424701</v>
      </c>
      <c r="U467">
        <f t="shared" si="255"/>
        <v>0</v>
      </c>
      <c r="V467">
        <f t="shared" si="260"/>
        <v>1.0342381265570906</v>
      </c>
      <c r="W467" t="str">
        <f t="shared" si="256"/>
        <v/>
      </c>
      <c r="X467">
        <f t="shared" si="261"/>
        <v>1.3279926561202466</v>
      </c>
      <c r="Y467" t="str">
        <f t="shared" si="257"/>
        <v/>
      </c>
      <c r="Z467">
        <f t="shared" si="262"/>
        <v>0.48865412024136184</v>
      </c>
      <c r="AA467">
        <f t="shared" si="263"/>
        <v>0.96719593777706525</v>
      </c>
      <c r="AB467">
        <f t="shared" si="264"/>
        <v>1.7593055668679416</v>
      </c>
      <c r="AC467">
        <f t="shared" si="265"/>
        <v>0.37700267682302513</v>
      </c>
      <c r="AD467">
        <f t="shared" si="266"/>
        <v>0.51350567165672367</v>
      </c>
    </row>
    <row r="468" spans="1:30">
      <c r="A468" t="s">
        <v>348</v>
      </c>
      <c r="B468" t="s">
        <v>31</v>
      </c>
      <c r="C468" t="s">
        <v>32</v>
      </c>
      <c r="D468" t="s">
        <v>33</v>
      </c>
      <c r="E468" s="2">
        <v>46106</v>
      </c>
      <c r="F468" t="s">
        <v>40</v>
      </c>
      <c r="G468">
        <v>157.5</v>
      </c>
      <c r="H468">
        <v>100.5</v>
      </c>
      <c r="I468">
        <v>-1957.8</v>
      </c>
      <c r="J468">
        <v>71.7</v>
      </c>
      <c r="K468">
        <v>0</v>
      </c>
      <c r="L468">
        <v>2.1</v>
      </c>
      <c r="M468">
        <v>0</v>
      </c>
      <c r="N468">
        <v>69.599999999999994</v>
      </c>
      <c r="O468">
        <v>111.86</v>
      </c>
      <c r="P468">
        <v>113.48</v>
      </c>
      <c r="Q468">
        <v>8.01</v>
      </c>
      <c r="R468">
        <v>7.79</v>
      </c>
      <c r="S468">
        <f t="shared" si="258"/>
        <v>0.83068652767221007</v>
      </c>
      <c r="T468">
        <f t="shared" si="259"/>
        <v>0.80858914314424701</v>
      </c>
      <c r="U468">
        <f t="shared" si="255"/>
        <v>0</v>
      </c>
      <c r="V468">
        <f t="shared" si="260"/>
        <v>1.0342381265570906</v>
      </c>
      <c r="W468" t="str">
        <f t="shared" si="256"/>
        <v/>
      </c>
      <c r="X468">
        <f t="shared" si="261"/>
        <v>0.17961427405619446</v>
      </c>
      <c r="Y468" t="str">
        <f t="shared" si="257"/>
        <v/>
      </c>
      <c r="Z468">
        <f t="shared" si="262"/>
        <v>0.14638016565662793</v>
      </c>
      <c r="AA468">
        <f t="shared" si="263"/>
        <v>0.75993966539626678</v>
      </c>
      <c r="AB468">
        <f t="shared" si="264"/>
        <v>0.78142205375887219</v>
      </c>
      <c r="AC468">
        <f t="shared" si="265"/>
        <v>5.4163447891776871E-2</v>
      </c>
      <c r="AD468">
        <f t="shared" si="266"/>
        <v>0.31340311909853741</v>
      </c>
    </row>
    <row r="469" spans="1:30">
      <c r="A469" t="s">
        <v>349</v>
      </c>
      <c r="B469" t="s">
        <v>31</v>
      </c>
      <c r="C469" t="s">
        <v>32</v>
      </c>
      <c r="D469" t="s">
        <v>33</v>
      </c>
      <c r="E469" s="2">
        <v>46107</v>
      </c>
      <c r="F469" t="s">
        <v>40</v>
      </c>
      <c r="G469">
        <v>151.69999999999999</v>
      </c>
      <c r="H469">
        <v>93.3</v>
      </c>
      <c r="I469">
        <v>-1957.8</v>
      </c>
      <c r="J469">
        <v>67.7</v>
      </c>
      <c r="K469">
        <v>0</v>
      </c>
      <c r="L469">
        <v>1</v>
      </c>
      <c r="M469">
        <v>0</v>
      </c>
      <c r="N469">
        <v>68.7</v>
      </c>
      <c r="O469">
        <v>114.94</v>
      </c>
      <c r="P469">
        <v>115.09</v>
      </c>
      <c r="Q469">
        <v>7.1</v>
      </c>
      <c r="R469">
        <v>7.28</v>
      </c>
      <c r="S469">
        <f t="shared" si="258"/>
        <v>0.18162086121178406</v>
      </c>
      <c r="T469">
        <f t="shared" si="259"/>
        <v>0.62069153760626083</v>
      </c>
      <c r="U469">
        <f t="shared" si="255"/>
        <v>0</v>
      </c>
      <c r="V469">
        <f t="shared" si="260"/>
        <v>0.76521142182605906</v>
      </c>
      <c r="W469" t="str">
        <f t="shared" si="256"/>
        <v/>
      </c>
      <c r="X469">
        <f t="shared" si="261"/>
        <v>0.60989586361284143</v>
      </c>
      <c r="Y469" t="str">
        <f t="shared" si="257"/>
        <v/>
      </c>
      <c r="Z469">
        <f t="shared" si="262"/>
        <v>0.21082662016098921</v>
      </c>
      <c r="AA469">
        <f t="shared" si="263"/>
        <v>1.0132528871950115</v>
      </c>
      <c r="AB469">
        <f t="shared" si="264"/>
        <v>0.19718356088447131</v>
      </c>
      <c r="AC469">
        <f t="shared" si="265"/>
        <v>1.6890016707687332</v>
      </c>
      <c r="AD469">
        <f t="shared" si="266"/>
        <v>1.5890568916569729</v>
      </c>
    </row>
    <row r="470" spans="1:30">
      <c r="A470" t="s">
        <v>350</v>
      </c>
      <c r="B470" t="s">
        <v>31</v>
      </c>
      <c r="C470" t="s">
        <v>32</v>
      </c>
      <c r="D470" t="s">
        <v>33</v>
      </c>
      <c r="E470" s="2">
        <v>46107</v>
      </c>
      <c r="F470" t="s">
        <v>40</v>
      </c>
      <c r="G470">
        <v>145.9</v>
      </c>
      <c r="H470">
        <v>94.6</v>
      </c>
      <c r="I470">
        <v>-1957.8</v>
      </c>
      <c r="J470">
        <v>69.099999999999994</v>
      </c>
      <c r="K470">
        <v>0</v>
      </c>
      <c r="L470">
        <v>1</v>
      </c>
      <c r="M470">
        <v>0</v>
      </c>
      <c r="N470">
        <v>68.099999999999994</v>
      </c>
      <c r="O470">
        <v>115.02</v>
      </c>
      <c r="P470">
        <v>114.8</v>
      </c>
      <c r="Q470">
        <v>7.1</v>
      </c>
      <c r="R470">
        <v>7.54</v>
      </c>
      <c r="S470">
        <f t="shared" si="258"/>
        <v>1.1939282500957733</v>
      </c>
      <c r="T470">
        <f t="shared" si="259"/>
        <v>0.36262697024853091</v>
      </c>
      <c r="U470">
        <f t="shared" si="255"/>
        <v>0</v>
      </c>
      <c r="V470">
        <f t="shared" si="260"/>
        <v>0.13540407989196049</v>
      </c>
      <c r="W470" t="str">
        <f t="shared" si="256"/>
        <v/>
      </c>
      <c r="X470">
        <f t="shared" si="261"/>
        <v>0.60989586361284143</v>
      </c>
      <c r="Y470" t="str">
        <f t="shared" si="257"/>
        <v/>
      </c>
      <c r="Z470">
        <f t="shared" si="262"/>
        <v>0.44896447737273959</v>
      </c>
      <c r="AA470">
        <f t="shared" si="263"/>
        <v>1.0593098366129658</v>
      </c>
      <c r="AB470">
        <f t="shared" si="264"/>
        <v>2.0912984333803078E-2</v>
      </c>
      <c r="AC470">
        <f t="shared" si="265"/>
        <v>1.6890016707687332</v>
      </c>
      <c r="AD470">
        <f t="shared" si="266"/>
        <v>0.93872359584286891</v>
      </c>
    </row>
    <row r="471" spans="1:30">
      <c r="A471" t="s">
        <v>351</v>
      </c>
      <c r="B471" t="s">
        <v>31</v>
      </c>
      <c r="C471" t="s">
        <v>32</v>
      </c>
      <c r="D471" t="s">
        <v>33</v>
      </c>
      <c r="E471" s="2">
        <v>46107</v>
      </c>
      <c r="F471" t="s">
        <v>40</v>
      </c>
      <c r="G471">
        <v>148.6</v>
      </c>
      <c r="H471">
        <v>95.1</v>
      </c>
      <c r="I471">
        <v>-1957.8</v>
      </c>
      <c r="J471">
        <v>69.5</v>
      </c>
      <c r="K471">
        <v>0</v>
      </c>
      <c r="L471">
        <v>1.9</v>
      </c>
      <c r="M471">
        <v>0</v>
      </c>
      <c r="N471">
        <v>67.599999999999994</v>
      </c>
      <c r="O471">
        <v>111.86</v>
      </c>
      <c r="P471">
        <v>113.48</v>
      </c>
      <c r="Q471">
        <v>8.23</v>
      </c>
      <c r="R471">
        <v>7.98</v>
      </c>
      <c r="S471">
        <f t="shared" si="258"/>
        <v>0.72268170699460643</v>
      </c>
      <c r="T471">
        <f t="shared" si="259"/>
        <v>0.26337136741863459</v>
      </c>
      <c r="U471">
        <f t="shared" si="255"/>
        <v>0</v>
      </c>
      <c r="V471">
        <f t="shared" si="260"/>
        <v>4.4540874946357029E-2</v>
      </c>
      <c r="W471" t="str">
        <f t="shared" si="256"/>
        <v/>
      </c>
      <c r="X471">
        <f t="shared" si="261"/>
        <v>3.6066976298187801E-2</v>
      </c>
      <c r="Y471" t="str">
        <f t="shared" si="257"/>
        <v/>
      </c>
      <c r="Z471">
        <f t="shared" si="262"/>
        <v>0.64741269171586213</v>
      </c>
      <c r="AA471">
        <f t="shared" si="263"/>
        <v>0.75993966539626678</v>
      </c>
      <c r="AB471">
        <f t="shared" si="264"/>
        <v>0.78142205375887219</v>
      </c>
      <c r="AC471">
        <f t="shared" si="265"/>
        <v>0.34107216643012572</v>
      </c>
      <c r="AD471">
        <f t="shared" si="266"/>
        <v>0.16184044322715546</v>
      </c>
    </row>
    <row r="472" spans="1:30">
      <c r="A472" t="s">
        <v>352</v>
      </c>
      <c r="B472" t="s">
        <v>31</v>
      </c>
      <c r="C472" t="s">
        <v>32</v>
      </c>
      <c r="D472" t="s">
        <v>33</v>
      </c>
      <c r="E472" s="2">
        <v>46107</v>
      </c>
      <c r="F472" t="s">
        <v>40</v>
      </c>
      <c r="G472">
        <v>148.6</v>
      </c>
      <c r="H472">
        <v>92.4</v>
      </c>
      <c r="I472">
        <v>-1957.8</v>
      </c>
      <c r="J472">
        <v>68.599999999999994</v>
      </c>
      <c r="K472">
        <v>0</v>
      </c>
      <c r="L472">
        <v>2.6</v>
      </c>
      <c r="M472">
        <v>0</v>
      </c>
      <c r="N472">
        <v>66</v>
      </c>
      <c r="O472">
        <v>111.79</v>
      </c>
      <c r="P472">
        <v>113.4</v>
      </c>
      <c r="Q472">
        <v>8.15</v>
      </c>
      <c r="R472">
        <v>7.86</v>
      </c>
      <c r="S472">
        <f t="shared" si="258"/>
        <v>0.72268170699460643</v>
      </c>
      <c r="T472">
        <f t="shared" si="259"/>
        <v>0.79935162270007254</v>
      </c>
      <c r="U472">
        <f t="shared" si="255"/>
        <v>0</v>
      </c>
      <c r="V472">
        <f t="shared" si="260"/>
        <v>0.36033527343985422</v>
      </c>
      <c r="W472" t="str">
        <f t="shared" si="256"/>
        <v/>
      </c>
      <c r="X472">
        <f t="shared" si="261"/>
        <v>0.53848251845121076</v>
      </c>
      <c r="Y472" t="str">
        <f t="shared" si="257"/>
        <v/>
      </c>
      <c r="Z472">
        <f t="shared" si="262"/>
        <v>1.2824469776138518</v>
      </c>
      <c r="AA472">
        <f t="shared" si="263"/>
        <v>0.80023949613697376</v>
      </c>
      <c r="AB472">
        <f t="shared" si="264"/>
        <v>0.8300484197038821</v>
      </c>
      <c r="AC472">
        <f t="shared" si="265"/>
        <v>0.19735012485852507</v>
      </c>
      <c r="AD472">
        <f t="shared" si="266"/>
        <v>0.13831338561012391</v>
      </c>
    </row>
    <row r="473" spans="1:30">
      <c r="A473" t="s">
        <v>353</v>
      </c>
      <c r="B473" t="s">
        <v>31</v>
      </c>
      <c r="C473" t="s">
        <v>32</v>
      </c>
      <c r="D473" t="s">
        <v>33</v>
      </c>
      <c r="E473" s="2">
        <v>46107</v>
      </c>
      <c r="F473" t="s">
        <v>40</v>
      </c>
      <c r="G473">
        <v>153.5</v>
      </c>
      <c r="H473">
        <v>90.1</v>
      </c>
      <c r="I473">
        <v>-1957.8</v>
      </c>
      <c r="J473">
        <v>69.099999999999994</v>
      </c>
      <c r="K473">
        <v>0</v>
      </c>
      <c r="L473">
        <v>2.2000000000000002</v>
      </c>
      <c r="M473">
        <v>0</v>
      </c>
      <c r="N473">
        <v>66.900000000000006</v>
      </c>
      <c r="O473">
        <v>111.86</v>
      </c>
      <c r="P473">
        <v>113.4</v>
      </c>
      <c r="Q473">
        <v>7.79</v>
      </c>
      <c r="R473">
        <v>7.52</v>
      </c>
      <c r="S473">
        <f t="shared" si="258"/>
        <v>0.13254350085566374</v>
      </c>
      <c r="T473">
        <f t="shared" si="259"/>
        <v>1.255927395717598</v>
      </c>
      <c r="U473">
        <f t="shared" si="255"/>
        <v>0</v>
      </c>
      <c r="V473">
        <f t="shared" si="260"/>
        <v>0.13540407989196049</v>
      </c>
      <c r="W473" t="str">
        <f t="shared" si="256"/>
        <v/>
      </c>
      <c r="X473">
        <f t="shared" si="261"/>
        <v>0.25138792293519779</v>
      </c>
      <c r="Y473" t="str">
        <f t="shared" si="257"/>
        <v/>
      </c>
      <c r="Z473">
        <f t="shared" si="262"/>
        <v>0.92524019179622918</v>
      </c>
      <c r="AA473">
        <f t="shared" si="263"/>
        <v>0.75993966539626678</v>
      </c>
      <c r="AB473">
        <f t="shared" si="264"/>
        <v>0.8300484197038821</v>
      </c>
      <c r="AC473">
        <f t="shared" si="265"/>
        <v>0.44939906221367792</v>
      </c>
      <c r="AD473">
        <f t="shared" si="266"/>
        <v>0.98874923398241654</v>
      </c>
    </row>
    <row r="474" spans="1:30">
      <c r="A474" t="s">
        <v>354</v>
      </c>
      <c r="B474" t="s">
        <v>31</v>
      </c>
      <c r="C474" t="s">
        <v>32</v>
      </c>
      <c r="D474" t="s">
        <v>33</v>
      </c>
      <c r="E474" s="2">
        <v>46107</v>
      </c>
      <c r="F474" t="s">
        <v>40</v>
      </c>
      <c r="G474">
        <v>149.5</v>
      </c>
      <c r="H474">
        <v>91.5</v>
      </c>
      <c r="I474">
        <v>-1957.8</v>
      </c>
      <c r="J474">
        <v>69.099999999999994</v>
      </c>
      <c r="K474">
        <v>0</v>
      </c>
      <c r="L474">
        <v>1.4</v>
      </c>
      <c r="M474">
        <v>0</v>
      </c>
      <c r="N474">
        <v>67.7</v>
      </c>
      <c r="O474">
        <v>111.42</v>
      </c>
      <c r="P474">
        <v>112.82</v>
      </c>
      <c r="Q474">
        <v>7.62</v>
      </c>
      <c r="R474">
        <v>7.59</v>
      </c>
      <c r="S474">
        <f t="shared" si="258"/>
        <v>0.56559952596088259</v>
      </c>
      <c r="T474">
        <f t="shared" si="259"/>
        <v>0.97801170779388702</v>
      </c>
      <c r="U474">
        <f t="shared" si="255"/>
        <v>0</v>
      </c>
      <c r="V474">
        <f t="shared" si="260"/>
        <v>0.13540407989196049</v>
      </c>
      <c r="W474" t="str">
        <f t="shared" si="256"/>
        <v/>
      </c>
      <c r="X474">
        <f t="shared" si="261"/>
        <v>0.32280126809682852</v>
      </c>
      <c r="Y474" t="str">
        <f t="shared" si="257"/>
        <v/>
      </c>
      <c r="Z474">
        <f t="shared" si="262"/>
        <v>0.60772304884723427</v>
      </c>
      <c r="AA474">
        <f t="shared" si="263"/>
        <v>1.0132528871950195</v>
      </c>
      <c r="AB474">
        <f t="shared" si="264"/>
        <v>1.1825895728052185</v>
      </c>
      <c r="AC474">
        <f t="shared" si="265"/>
        <v>0.75480840055332887</v>
      </c>
      <c r="AD474">
        <f t="shared" si="266"/>
        <v>0.81365950049400304</v>
      </c>
    </row>
    <row r="475" spans="1:30">
      <c r="A475" t="s">
        <v>355</v>
      </c>
      <c r="B475" t="s">
        <v>31</v>
      </c>
      <c r="C475" t="s">
        <v>32</v>
      </c>
      <c r="D475" t="s">
        <v>33</v>
      </c>
      <c r="E475" s="2">
        <v>46107</v>
      </c>
      <c r="F475" t="s">
        <v>40</v>
      </c>
      <c r="G475">
        <v>150.80000000000001</v>
      </c>
      <c r="H475">
        <v>93.3</v>
      </c>
      <c r="I475">
        <v>-1957.8</v>
      </c>
      <c r="J475">
        <v>69.099999999999994</v>
      </c>
      <c r="K475">
        <v>0</v>
      </c>
      <c r="L475">
        <v>2.6</v>
      </c>
      <c r="M475">
        <v>0</v>
      </c>
      <c r="N475">
        <v>66.5</v>
      </c>
      <c r="O475">
        <v>114.8</v>
      </c>
      <c r="P475">
        <v>114.8</v>
      </c>
      <c r="Q475">
        <v>7.69</v>
      </c>
      <c r="R475">
        <v>7.71</v>
      </c>
      <c r="S475">
        <f t="shared" si="258"/>
        <v>0.33870304224550302</v>
      </c>
      <c r="T475">
        <f t="shared" si="259"/>
        <v>0.62069153760626083</v>
      </c>
      <c r="U475">
        <f t="shared" si="255"/>
        <v>0</v>
      </c>
      <c r="V475">
        <f t="shared" si="260"/>
        <v>0.13540407989196049</v>
      </c>
      <c r="W475" t="str">
        <f t="shared" si="256"/>
        <v/>
      </c>
      <c r="X475">
        <f t="shared" si="261"/>
        <v>0.53848251845121076</v>
      </c>
      <c r="Y475" t="str">
        <f t="shared" si="257"/>
        <v/>
      </c>
      <c r="Z475">
        <f t="shared" si="262"/>
        <v>1.0839987632707293</v>
      </c>
      <c r="AA475">
        <f t="shared" si="263"/>
        <v>0.93265322571358933</v>
      </c>
      <c r="AB475">
        <f t="shared" si="264"/>
        <v>2.0912984333803078E-2</v>
      </c>
      <c r="AC475">
        <f t="shared" si="265"/>
        <v>0.6290516141781779</v>
      </c>
      <c r="AD475">
        <f t="shared" si="266"/>
        <v>0.51350567165672367</v>
      </c>
    </row>
    <row r="476" spans="1:30">
      <c r="A476" t="s">
        <v>356</v>
      </c>
      <c r="B476" t="s">
        <v>31</v>
      </c>
      <c r="C476" t="s">
        <v>32</v>
      </c>
      <c r="D476" t="s">
        <v>33</v>
      </c>
      <c r="E476" s="2">
        <v>46107</v>
      </c>
      <c r="F476" t="s">
        <v>40</v>
      </c>
      <c r="G476">
        <v>145.5</v>
      </c>
      <c r="H476">
        <v>94.6</v>
      </c>
      <c r="I476">
        <v>-1957.8</v>
      </c>
      <c r="J476">
        <v>69.099999999999994</v>
      </c>
      <c r="K476">
        <v>0</v>
      </c>
      <c r="L476">
        <v>1.4</v>
      </c>
      <c r="M476">
        <v>0</v>
      </c>
      <c r="N476">
        <v>67.7</v>
      </c>
      <c r="O476">
        <v>111.57</v>
      </c>
      <c r="P476">
        <v>117.88</v>
      </c>
      <c r="Q476">
        <v>7.84</v>
      </c>
      <c r="R476">
        <v>7.54</v>
      </c>
      <c r="S476">
        <f t="shared" si="258"/>
        <v>1.2637425527774289</v>
      </c>
      <c r="T476">
        <f t="shared" si="259"/>
        <v>0.36262697024853091</v>
      </c>
      <c r="U476">
        <f t="shared" si="255"/>
        <v>0</v>
      </c>
      <c r="V476">
        <f t="shared" si="260"/>
        <v>0.13540407989196049</v>
      </c>
      <c r="W476" t="str">
        <f t="shared" si="256"/>
        <v/>
      </c>
      <c r="X476">
        <f t="shared" si="261"/>
        <v>0.32280126809682852</v>
      </c>
      <c r="Y476" t="str">
        <f t="shared" si="257"/>
        <v/>
      </c>
      <c r="Z476">
        <f t="shared" si="262"/>
        <v>0.60772304884723427</v>
      </c>
      <c r="AA476">
        <f t="shared" si="263"/>
        <v>0.92689610703635827</v>
      </c>
      <c r="AB476">
        <f t="shared" si="264"/>
        <v>1.8930280732167208</v>
      </c>
      <c r="AC476">
        <f t="shared" si="265"/>
        <v>0.35957278623142791</v>
      </c>
      <c r="AD476">
        <f t="shared" si="266"/>
        <v>0.93872359584286891</v>
      </c>
    </row>
    <row r="477" spans="1:30">
      <c r="A477" t="s">
        <v>357</v>
      </c>
      <c r="B477" t="s">
        <v>31</v>
      </c>
      <c r="C477" t="s">
        <v>32</v>
      </c>
      <c r="D477" t="s">
        <v>33</v>
      </c>
      <c r="E477" s="2">
        <v>46107</v>
      </c>
      <c r="F477" t="s">
        <v>40</v>
      </c>
      <c r="G477">
        <v>145</v>
      </c>
      <c r="H477">
        <v>94.2</v>
      </c>
      <c r="I477">
        <v>-1957.8</v>
      </c>
      <c r="J477">
        <v>69.5</v>
      </c>
      <c r="K477">
        <v>0</v>
      </c>
      <c r="L477">
        <v>2.2999999999999998</v>
      </c>
      <c r="M477">
        <v>0</v>
      </c>
      <c r="N477">
        <v>67.2</v>
      </c>
      <c r="O477">
        <v>115.31</v>
      </c>
      <c r="P477">
        <v>115.24</v>
      </c>
      <c r="Q477">
        <v>7.74</v>
      </c>
      <c r="R477">
        <v>7.81</v>
      </c>
      <c r="S477">
        <f t="shared" si="258"/>
        <v>1.351010431129497</v>
      </c>
      <c r="T477">
        <f t="shared" si="259"/>
        <v>0.4420314525124463</v>
      </c>
      <c r="U477">
        <f t="shared" si="255"/>
        <v>0</v>
      </c>
      <c r="V477">
        <f t="shared" si="260"/>
        <v>4.4540874946357029E-2</v>
      </c>
      <c r="W477" t="str">
        <f t="shared" si="256"/>
        <v/>
      </c>
      <c r="X477">
        <f t="shared" si="261"/>
        <v>0.3231615718142008</v>
      </c>
      <c r="Y477" t="str">
        <f t="shared" si="257"/>
        <v/>
      </c>
      <c r="Z477">
        <f t="shared" si="262"/>
        <v>0.80617126319035681</v>
      </c>
      <c r="AA477">
        <f t="shared" si="263"/>
        <v>1.2262662782530573</v>
      </c>
      <c r="AB477">
        <f t="shared" si="264"/>
        <v>0.2883579970313615</v>
      </c>
      <c r="AC477">
        <f t="shared" si="265"/>
        <v>0.53922533819592788</v>
      </c>
      <c r="AD477">
        <f t="shared" si="266"/>
        <v>0.26337748095899194</v>
      </c>
    </row>
    <row r="478" spans="1:30">
      <c r="A478" t="s">
        <v>358</v>
      </c>
      <c r="B478" t="s">
        <v>31</v>
      </c>
      <c r="C478" t="s">
        <v>32</v>
      </c>
      <c r="D478" t="s">
        <v>33</v>
      </c>
      <c r="E478" s="2">
        <v>46107</v>
      </c>
      <c r="F478" t="s">
        <v>40</v>
      </c>
      <c r="G478">
        <v>153.9</v>
      </c>
      <c r="H478">
        <v>85.2</v>
      </c>
      <c r="I478">
        <v>-1957.8</v>
      </c>
      <c r="J478">
        <v>69.5</v>
      </c>
      <c r="K478">
        <v>0</v>
      </c>
      <c r="L478">
        <v>1.9</v>
      </c>
      <c r="M478">
        <v>0</v>
      </c>
      <c r="N478">
        <v>67.599999999999994</v>
      </c>
      <c r="O478">
        <v>115.68</v>
      </c>
      <c r="P478">
        <v>117</v>
      </c>
      <c r="Q478">
        <v>6.35</v>
      </c>
      <c r="R478">
        <v>6.57</v>
      </c>
      <c r="S478">
        <f t="shared" si="258"/>
        <v>0.20235780353731939</v>
      </c>
      <c r="T478">
        <f t="shared" si="259"/>
        <v>2.2286323034505804</v>
      </c>
      <c r="U478">
        <f t="shared" si="255"/>
        <v>0</v>
      </c>
      <c r="V478">
        <f t="shared" si="260"/>
        <v>4.4540874946357029E-2</v>
      </c>
      <c r="W478" t="str">
        <f t="shared" si="256"/>
        <v/>
      </c>
      <c r="X478">
        <f t="shared" si="261"/>
        <v>3.6066976298187801E-2</v>
      </c>
      <c r="Y478" t="str">
        <f t="shared" si="257"/>
        <v/>
      </c>
      <c r="Z478">
        <f t="shared" si="262"/>
        <v>0.64741269171586213</v>
      </c>
      <c r="AA478">
        <f t="shared" si="263"/>
        <v>1.4392796693111032</v>
      </c>
      <c r="AB478">
        <f t="shared" si="264"/>
        <v>1.3581380478216039</v>
      </c>
      <c r="AC478">
        <f t="shared" si="265"/>
        <v>3.0363958105024884</v>
      </c>
      <c r="AD478">
        <f t="shared" si="266"/>
        <v>3.3649670456108742</v>
      </c>
    </row>
    <row r="479" spans="1:30">
      <c r="A479" t="s">
        <v>359</v>
      </c>
      <c r="B479" t="s">
        <v>31</v>
      </c>
      <c r="C479" t="s">
        <v>32</v>
      </c>
      <c r="D479" t="s">
        <v>33</v>
      </c>
      <c r="E479" s="2">
        <v>46107</v>
      </c>
      <c r="F479" t="s">
        <v>40</v>
      </c>
      <c r="G479">
        <v>149.5</v>
      </c>
      <c r="H479">
        <v>97.8</v>
      </c>
      <c r="I479">
        <v>-1957.8</v>
      </c>
      <c r="J479">
        <v>69.5</v>
      </c>
      <c r="K479">
        <v>0</v>
      </c>
      <c r="L479">
        <v>1.5</v>
      </c>
      <c r="M479">
        <v>0</v>
      </c>
      <c r="N479">
        <v>68</v>
      </c>
      <c r="O479">
        <v>111.2</v>
      </c>
      <c r="P479">
        <v>117.95</v>
      </c>
      <c r="Q479">
        <v>8.08</v>
      </c>
      <c r="R479">
        <v>7.57</v>
      </c>
      <c r="S479">
        <f t="shared" si="258"/>
        <v>0.56559952596088259</v>
      </c>
      <c r="T479">
        <f t="shared" si="259"/>
        <v>0.27260888786280618</v>
      </c>
      <c r="U479">
        <f t="shared" si="255"/>
        <v>0</v>
      </c>
      <c r="V479">
        <f t="shared" si="260"/>
        <v>4.4540874946357029E-2</v>
      </c>
      <c r="W479" t="str">
        <f t="shared" si="256"/>
        <v/>
      </c>
      <c r="X479">
        <f t="shared" si="261"/>
        <v>0.25102761921782518</v>
      </c>
      <c r="Y479" t="str">
        <f t="shared" si="257"/>
        <v/>
      </c>
      <c r="Z479">
        <f t="shared" si="262"/>
        <v>0.48865412024136184</v>
      </c>
      <c r="AA479">
        <f t="shared" si="263"/>
        <v>1.139909498094396</v>
      </c>
      <c r="AB479">
        <f t="shared" si="264"/>
        <v>1.9355761434186098</v>
      </c>
      <c r="AC479">
        <f t="shared" si="265"/>
        <v>7.1593338483374111E-2</v>
      </c>
      <c r="AD479">
        <f t="shared" si="266"/>
        <v>0.86368513863354845</v>
      </c>
    </row>
    <row r="480" spans="1:30">
      <c r="A480" t="s">
        <v>360</v>
      </c>
      <c r="B480" t="s">
        <v>31</v>
      </c>
      <c r="C480" t="s">
        <v>32</v>
      </c>
      <c r="D480" t="s">
        <v>33</v>
      </c>
      <c r="E480" s="2">
        <v>46107</v>
      </c>
      <c r="F480" t="s">
        <v>40</v>
      </c>
      <c r="G480">
        <v>147.69999999999999</v>
      </c>
      <c r="H480">
        <v>96.9</v>
      </c>
      <c r="I480">
        <v>-1957.8</v>
      </c>
      <c r="J480">
        <v>70</v>
      </c>
      <c r="K480">
        <v>0</v>
      </c>
      <c r="L480">
        <v>0.7</v>
      </c>
      <c r="M480">
        <v>0</v>
      </c>
      <c r="N480">
        <v>69.3</v>
      </c>
      <c r="O480">
        <v>114.94</v>
      </c>
      <c r="P480">
        <v>114.87</v>
      </c>
      <c r="Q480">
        <v>7.62</v>
      </c>
      <c r="R480">
        <v>7.69</v>
      </c>
      <c r="S480">
        <f t="shared" si="258"/>
        <v>0.87976388802833039</v>
      </c>
      <c r="T480">
        <f t="shared" si="259"/>
        <v>9.3948802768994491E-2</v>
      </c>
      <c r="U480">
        <f t="shared" si="255"/>
        <v>0</v>
      </c>
      <c r="V480">
        <f t="shared" si="260"/>
        <v>0.26947206849425076</v>
      </c>
      <c r="W480" t="str">
        <f t="shared" si="256"/>
        <v/>
      </c>
      <c r="X480">
        <f t="shared" si="261"/>
        <v>0.82521681024985127</v>
      </c>
      <c r="Y480" t="str">
        <f t="shared" si="257"/>
        <v/>
      </c>
      <c r="Z480">
        <f t="shared" si="262"/>
        <v>2.7311237050755551E-2</v>
      </c>
      <c r="AA480">
        <f t="shared" si="263"/>
        <v>1.0132528871950115</v>
      </c>
      <c r="AB480">
        <f t="shared" si="264"/>
        <v>6.3461054535692091E-2</v>
      </c>
      <c r="AC480">
        <f t="shared" si="265"/>
        <v>0.75480840055332887</v>
      </c>
      <c r="AD480">
        <f t="shared" si="266"/>
        <v>0.56353130979626909</v>
      </c>
    </row>
    <row r="481" spans="1:30">
      <c r="A481" t="s">
        <v>361</v>
      </c>
      <c r="B481" t="s">
        <v>31</v>
      </c>
      <c r="C481" t="s">
        <v>32</v>
      </c>
      <c r="D481" t="s">
        <v>33</v>
      </c>
      <c r="E481" s="2">
        <v>46107</v>
      </c>
      <c r="F481" t="s">
        <v>34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tr">
        <f t="shared" si="258"/>
        <v/>
      </c>
      <c r="T481" t="str">
        <f t="shared" si="259"/>
        <v/>
      </c>
      <c r="U481" t="str">
        <f t="shared" si="255"/>
        <v/>
      </c>
      <c r="V481" t="str">
        <f t="shared" si="260"/>
        <v/>
      </c>
      <c r="W481" t="str">
        <f t="shared" si="256"/>
        <v/>
      </c>
      <c r="X481" t="str">
        <f t="shared" si="261"/>
        <v/>
      </c>
      <c r="Y481" t="str">
        <f t="shared" si="257"/>
        <v/>
      </c>
      <c r="Z481" t="str">
        <f t="shared" si="262"/>
        <v/>
      </c>
      <c r="AA481" t="str">
        <f t="shared" si="263"/>
        <v/>
      </c>
      <c r="AB481" t="str">
        <f t="shared" si="264"/>
        <v/>
      </c>
      <c r="AC481" t="str">
        <f t="shared" si="265"/>
        <v/>
      </c>
      <c r="AD481" t="str">
        <f t="shared" si="266"/>
        <v/>
      </c>
    </row>
    <row r="482" spans="1:30">
      <c r="A482" t="s">
        <v>361</v>
      </c>
      <c r="B482" t="s">
        <v>31</v>
      </c>
      <c r="C482" t="s">
        <v>32</v>
      </c>
      <c r="D482" t="s">
        <v>33</v>
      </c>
      <c r="E482" s="2">
        <v>46107</v>
      </c>
      <c r="F482" t="s">
        <v>34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tr">
        <f t="shared" si="258"/>
        <v/>
      </c>
      <c r="T482" t="str">
        <f t="shared" si="259"/>
        <v/>
      </c>
      <c r="U482" t="str">
        <f t="shared" si="255"/>
        <v/>
      </c>
      <c r="V482" t="str">
        <f t="shared" si="260"/>
        <v/>
      </c>
      <c r="W482" t="str">
        <f t="shared" si="256"/>
        <v/>
      </c>
      <c r="X482" t="str">
        <f t="shared" si="261"/>
        <v/>
      </c>
      <c r="Y482" t="str">
        <f t="shared" si="257"/>
        <v/>
      </c>
      <c r="Z482" t="str">
        <f t="shared" si="262"/>
        <v/>
      </c>
      <c r="AA482" t="str">
        <f t="shared" si="263"/>
        <v/>
      </c>
      <c r="AB482" t="str">
        <f t="shared" si="264"/>
        <v/>
      </c>
      <c r="AC482" t="str">
        <f t="shared" si="265"/>
        <v/>
      </c>
      <c r="AD482" t="str">
        <f t="shared" si="266"/>
        <v/>
      </c>
    </row>
    <row r="483" spans="1:30">
      <c r="A483" t="s">
        <v>361</v>
      </c>
      <c r="B483" t="s">
        <v>31</v>
      </c>
      <c r="C483" t="s">
        <v>32</v>
      </c>
      <c r="D483" t="s">
        <v>33</v>
      </c>
      <c r="E483" s="2">
        <v>46107</v>
      </c>
      <c r="F483" t="s">
        <v>40</v>
      </c>
      <c r="G483">
        <v>152.6</v>
      </c>
      <c r="H483">
        <v>97.8</v>
      </c>
      <c r="I483">
        <v>-1957.8</v>
      </c>
      <c r="J483">
        <v>71.3</v>
      </c>
      <c r="K483">
        <v>0</v>
      </c>
      <c r="L483">
        <v>1.6</v>
      </c>
      <c r="M483">
        <v>0</v>
      </c>
      <c r="N483">
        <v>69.7</v>
      </c>
      <c r="O483">
        <v>111.64</v>
      </c>
      <c r="P483">
        <v>113.04</v>
      </c>
      <c r="Q483">
        <v>7.91</v>
      </c>
      <c r="R483">
        <v>7.91</v>
      </c>
      <c r="S483">
        <f t="shared" si="258"/>
        <v>2.4538680178060157E-2</v>
      </c>
      <c r="T483">
        <f t="shared" si="259"/>
        <v>0.27260888786280618</v>
      </c>
      <c r="U483">
        <f t="shared" si="255"/>
        <v>0</v>
      </c>
      <c r="V483">
        <f t="shared" si="260"/>
        <v>0.85429317171877306</v>
      </c>
      <c r="W483" t="str">
        <f t="shared" si="256"/>
        <v/>
      </c>
      <c r="X483">
        <f t="shared" si="261"/>
        <v>0.17925397033882184</v>
      </c>
      <c r="Y483" t="str">
        <f t="shared" si="257"/>
        <v/>
      </c>
      <c r="Z483">
        <f t="shared" si="262"/>
        <v>0.18606980852525581</v>
      </c>
      <c r="AA483">
        <f t="shared" si="263"/>
        <v>0.88659627629564319</v>
      </c>
      <c r="AB483">
        <f t="shared" si="264"/>
        <v>1.0488670664564306</v>
      </c>
      <c r="AC483">
        <f t="shared" si="265"/>
        <v>0.23381599985627691</v>
      </c>
      <c r="AD483">
        <f t="shared" si="266"/>
        <v>1.3249290261258052E-2</v>
      </c>
    </row>
    <row r="484" spans="1:30">
      <c r="A484" t="s">
        <v>362</v>
      </c>
      <c r="B484" t="s">
        <v>37</v>
      </c>
      <c r="C484" t="s">
        <v>38</v>
      </c>
      <c r="D484" t="s">
        <v>39</v>
      </c>
      <c r="E484" s="2">
        <v>46107</v>
      </c>
      <c r="F484" t="s">
        <v>40</v>
      </c>
      <c r="G484">
        <v>115.1</v>
      </c>
      <c r="H484">
        <v>85.2</v>
      </c>
      <c r="I484">
        <v>-1957.8</v>
      </c>
      <c r="J484">
        <v>71.3</v>
      </c>
      <c r="K484">
        <v>0</v>
      </c>
      <c r="L484">
        <v>2.1</v>
      </c>
      <c r="M484">
        <v>0</v>
      </c>
      <c r="N484">
        <v>69.2</v>
      </c>
      <c r="O484">
        <v>115.6</v>
      </c>
      <c r="P484">
        <v>113.84</v>
      </c>
      <c r="Q484">
        <v>3.86</v>
      </c>
      <c r="R484">
        <v>3.96</v>
      </c>
      <c r="S484">
        <f t="shared" ref="S484:S496" si="267">IF(OR(G484=0,G484=""),"",ABS((G484-112.561871)/4.985957))</f>
        <v>0.50905553337102538</v>
      </c>
      <c r="T484">
        <f t="shared" ref="T484:T496" si="268">IF(OR(H484=0,H484=""),"",ABS((H484-80.720624)/2.821681))</f>
        <v>1.5874849070465451</v>
      </c>
      <c r="U484">
        <f t="shared" si="255"/>
        <v>0</v>
      </c>
      <c r="V484">
        <f t="shared" ref="V484:V496" si="269">IF(OR(J484=0,J484=""),"",ABS((J484-69.348681)/1.912674))</f>
        <v>1.0202046977163897</v>
      </c>
      <c r="W484" t="str">
        <f t="shared" si="256"/>
        <v/>
      </c>
      <c r="X484">
        <f t="shared" ref="X484:X496" si="270">IF(OR(L484=0,L484=""),"",ABS((L484-1.455283)/1.400093))</f>
        <v>0.46048155372535965</v>
      </c>
      <c r="Y484" t="str">
        <f t="shared" si="257"/>
        <v/>
      </c>
      <c r="Z484">
        <f t="shared" ref="Z484:Z496" si="271">IF(OR(N484=0,N484=""),"",ABS((N484-69.699041)/2.195614))</f>
        <v>0.2272899516946017</v>
      </c>
      <c r="AA484">
        <f t="shared" ref="AA484:AA496" si="272">IF(OR(O484=0,O484=""),"",ABS((O484-113.513094)/1.682996))</f>
        <v>1.2399946286265677</v>
      </c>
      <c r="AB484">
        <f t="shared" ref="AB484:AB496" si="273">IF(OR(P484=0,P484=""),"",ABS((P484-115.315492)/1.394108))</f>
        <v>1.0583771128205295</v>
      </c>
      <c r="AC484">
        <f t="shared" ref="AC484:AC496" si="274">IF(OR(Q484=0,Q484=""),"",ABS((Q484-3.821127)/0.150485))</f>
        <v>0.25831810479449585</v>
      </c>
      <c r="AD484">
        <f t="shared" ref="AD484:AD496" si="275">IF(OR(R484=0,R484=""),"",ABS((R484-3.848345)/0.156761))</f>
        <v>0.71226261633952215</v>
      </c>
    </row>
    <row r="485" spans="1:30">
      <c r="A485" t="s">
        <v>363</v>
      </c>
      <c r="B485" t="s">
        <v>37</v>
      </c>
      <c r="C485" t="s">
        <v>38</v>
      </c>
      <c r="D485" t="s">
        <v>39</v>
      </c>
      <c r="E485" s="2">
        <v>46107</v>
      </c>
      <c r="F485" t="s">
        <v>40</v>
      </c>
      <c r="G485">
        <v>114.6</v>
      </c>
      <c r="H485">
        <v>84.7</v>
      </c>
      <c r="I485">
        <v>-1957.8</v>
      </c>
      <c r="J485">
        <v>71.3</v>
      </c>
      <c r="K485">
        <v>0</v>
      </c>
      <c r="L485">
        <v>1.4</v>
      </c>
      <c r="M485">
        <v>0</v>
      </c>
      <c r="N485">
        <v>69.900000000000006</v>
      </c>
      <c r="O485">
        <v>115.6</v>
      </c>
      <c r="P485">
        <v>113.92</v>
      </c>
      <c r="Q485">
        <v>3.86</v>
      </c>
      <c r="R485">
        <v>4</v>
      </c>
      <c r="S485">
        <f t="shared" si="267"/>
        <v>0.40877388232590012</v>
      </c>
      <c r="T485">
        <f t="shared" si="268"/>
        <v>1.4102855709061379</v>
      </c>
      <c r="U485">
        <f t="shared" si="255"/>
        <v>0</v>
      </c>
      <c r="V485">
        <f t="shared" si="269"/>
        <v>1.0202046977163897</v>
      </c>
      <c r="W485" t="str">
        <f t="shared" si="256"/>
        <v/>
      </c>
      <c r="X485">
        <f t="shared" si="270"/>
        <v>3.9485234195157176E-2</v>
      </c>
      <c r="Y485" t="str">
        <f t="shared" si="257"/>
        <v/>
      </c>
      <c r="Z485">
        <f t="shared" si="271"/>
        <v>9.1527472497447943E-2</v>
      </c>
      <c r="AA485">
        <f t="shared" si="272"/>
        <v>1.2399946286265677</v>
      </c>
      <c r="AB485">
        <f t="shared" si="273"/>
        <v>1.0009927494856958</v>
      </c>
      <c r="AC485">
        <f t="shared" si="274"/>
        <v>0.25831810479449585</v>
      </c>
      <c r="AD485">
        <f t="shared" si="275"/>
        <v>0.96742812306632298</v>
      </c>
    </row>
    <row r="486" spans="1:30">
      <c r="A486" t="s">
        <v>364</v>
      </c>
      <c r="B486" t="s">
        <v>37</v>
      </c>
      <c r="C486" t="s">
        <v>38</v>
      </c>
      <c r="D486" t="s">
        <v>39</v>
      </c>
      <c r="E486" s="2">
        <v>46107</v>
      </c>
      <c r="F486" t="s">
        <v>40</v>
      </c>
      <c r="G486">
        <v>114.2</v>
      </c>
      <c r="H486">
        <v>82.5</v>
      </c>
      <c r="I486">
        <v>-1957.8</v>
      </c>
      <c r="J486">
        <v>71.3</v>
      </c>
      <c r="K486">
        <v>0</v>
      </c>
      <c r="L486">
        <v>0.9</v>
      </c>
      <c r="M486">
        <v>0</v>
      </c>
      <c r="N486">
        <v>70.400000000000006</v>
      </c>
      <c r="O486">
        <v>112.3</v>
      </c>
      <c r="P486">
        <v>117</v>
      </c>
      <c r="Q486">
        <v>3.96</v>
      </c>
      <c r="R486">
        <v>3.83</v>
      </c>
      <c r="S486">
        <f t="shared" si="267"/>
        <v>0.32854856148980155</v>
      </c>
      <c r="T486">
        <f t="shared" si="268"/>
        <v>0.63060849188834578</v>
      </c>
      <c r="U486">
        <f t="shared" si="255"/>
        <v>0</v>
      </c>
      <c r="V486">
        <f t="shared" si="269"/>
        <v>1.0202046977163897</v>
      </c>
      <c r="W486" t="str">
        <f t="shared" si="256"/>
        <v/>
      </c>
      <c r="X486">
        <f t="shared" si="270"/>
        <v>0.39660436842409758</v>
      </c>
      <c r="Y486" t="str">
        <f t="shared" si="257"/>
        <v/>
      </c>
      <c r="Z486">
        <f t="shared" si="271"/>
        <v>0.31925420406319677</v>
      </c>
      <c r="AA486">
        <f t="shared" si="272"/>
        <v>0.72079434532226938</v>
      </c>
      <c r="AB486">
        <f t="shared" si="273"/>
        <v>1.2083052389054463</v>
      </c>
      <c r="AC486">
        <f t="shared" si="274"/>
        <v>0.92283616307273009</v>
      </c>
      <c r="AD486">
        <f t="shared" si="275"/>
        <v>0.11702528052257931</v>
      </c>
    </row>
    <row r="487" spans="1:30">
      <c r="A487" t="s">
        <v>365</v>
      </c>
      <c r="B487" t="s">
        <v>37</v>
      </c>
      <c r="C487" t="s">
        <v>38</v>
      </c>
      <c r="D487" t="s">
        <v>39</v>
      </c>
      <c r="E487" s="2">
        <v>46108</v>
      </c>
      <c r="F487" t="s">
        <v>40</v>
      </c>
      <c r="G487">
        <v>108.4</v>
      </c>
      <c r="H487">
        <v>78.900000000000006</v>
      </c>
      <c r="I487">
        <v>-1957.8</v>
      </c>
      <c r="J487">
        <v>68.2</v>
      </c>
      <c r="K487">
        <v>0</v>
      </c>
      <c r="L487">
        <v>0.2</v>
      </c>
      <c r="M487">
        <v>0</v>
      </c>
      <c r="N487">
        <v>68</v>
      </c>
      <c r="O487">
        <v>111.79</v>
      </c>
      <c r="P487">
        <v>113.26</v>
      </c>
      <c r="Q487">
        <v>3.86</v>
      </c>
      <c r="R487">
        <v>3.88</v>
      </c>
      <c r="S487">
        <f t="shared" si="267"/>
        <v>0.83471859063365184</v>
      </c>
      <c r="T487">
        <f t="shared" si="268"/>
        <v>0.64522672832258332</v>
      </c>
      <c r="U487">
        <f t="shared" si="255"/>
        <v>0</v>
      </c>
      <c r="V487">
        <f t="shared" si="269"/>
        <v>0.60056287689381271</v>
      </c>
      <c r="W487" t="str">
        <f t="shared" si="256"/>
        <v/>
      </c>
      <c r="X487">
        <f t="shared" si="270"/>
        <v>0.89657115634461437</v>
      </c>
      <c r="Y487" t="str">
        <f t="shared" si="257"/>
        <v/>
      </c>
      <c r="Z487">
        <f t="shared" si="271"/>
        <v>0.77383410745240011</v>
      </c>
      <c r="AA487">
        <f t="shared" si="272"/>
        <v>1.0238253685689027</v>
      </c>
      <c r="AB487">
        <f t="shared" si="273"/>
        <v>1.4744137469980814</v>
      </c>
      <c r="AC487">
        <f t="shared" si="274"/>
        <v>0.25831810479449585</v>
      </c>
      <c r="AD487">
        <f t="shared" si="275"/>
        <v>0.20193160288592038</v>
      </c>
    </row>
    <row r="488" spans="1:30">
      <c r="A488" t="s">
        <v>366</v>
      </c>
      <c r="B488" t="s">
        <v>37</v>
      </c>
      <c r="C488" t="s">
        <v>38</v>
      </c>
      <c r="D488" t="s">
        <v>39</v>
      </c>
      <c r="E488" s="2">
        <v>46108</v>
      </c>
      <c r="F488" t="s">
        <v>40</v>
      </c>
      <c r="G488">
        <v>112.4</v>
      </c>
      <c r="H488">
        <v>79.3</v>
      </c>
      <c r="I488">
        <v>-1957.8</v>
      </c>
      <c r="J488">
        <v>68.2</v>
      </c>
      <c r="K488">
        <v>0</v>
      </c>
      <c r="L488">
        <v>0.5</v>
      </c>
      <c r="M488">
        <v>0</v>
      </c>
      <c r="N488">
        <v>67.7</v>
      </c>
      <c r="O488">
        <v>112.08</v>
      </c>
      <c r="P488">
        <v>113.7</v>
      </c>
      <c r="Q488">
        <v>3.76</v>
      </c>
      <c r="R488">
        <v>3.74</v>
      </c>
      <c r="S488">
        <f t="shared" si="267"/>
        <v>3.246538227264912E-2</v>
      </c>
      <c r="T488">
        <f t="shared" si="268"/>
        <v>0.50346725941026071</v>
      </c>
      <c r="U488">
        <f t="shared" si="255"/>
        <v>0</v>
      </c>
      <c r="V488">
        <f t="shared" si="269"/>
        <v>0.60056287689381271</v>
      </c>
      <c r="W488" t="str">
        <f t="shared" si="256"/>
        <v/>
      </c>
      <c r="X488">
        <f t="shared" si="270"/>
        <v>0.68229967580725004</v>
      </c>
      <c r="Y488" t="str">
        <f t="shared" si="257"/>
        <v/>
      </c>
      <c r="Z488">
        <f t="shared" si="271"/>
        <v>0.91047014639184809</v>
      </c>
      <c r="AA488">
        <f t="shared" si="272"/>
        <v>0.8515136102521913</v>
      </c>
      <c r="AB488">
        <f t="shared" si="273"/>
        <v>1.1587997486564909</v>
      </c>
      <c r="AC488">
        <f t="shared" si="274"/>
        <v>0.40619995348373839</v>
      </c>
      <c r="AD488">
        <f t="shared" si="275"/>
        <v>0.69114767065787985</v>
      </c>
    </row>
    <row r="489" spans="1:30">
      <c r="A489" t="s">
        <v>367</v>
      </c>
      <c r="B489" t="s">
        <v>37</v>
      </c>
      <c r="C489" t="s">
        <v>38</v>
      </c>
      <c r="D489" t="s">
        <v>39</v>
      </c>
      <c r="E489" s="2">
        <v>46108</v>
      </c>
      <c r="F489" t="s">
        <v>40</v>
      </c>
      <c r="G489">
        <v>112.9</v>
      </c>
      <c r="H489">
        <v>80.7</v>
      </c>
      <c r="I489">
        <v>-1957.8</v>
      </c>
      <c r="J489">
        <v>68.599999999999994</v>
      </c>
      <c r="K489">
        <v>0</v>
      </c>
      <c r="L489">
        <v>1.7</v>
      </c>
      <c r="M489">
        <v>0</v>
      </c>
      <c r="N489">
        <v>66.900000000000006</v>
      </c>
      <c r="O489">
        <v>115.09</v>
      </c>
      <c r="P489">
        <v>115.16</v>
      </c>
      <c r="Q489">
        <v>3.64</v>
      </c>
      <c r="R489">
        <v>3.69</v>
      </c>
      <c r="S489">
        <f t="shared" si="267"/>
        <v>6.7816268772476221E-2</v>
      </c>
      <c r="T489">
        <f t="shared" si="268"/>
        <v>7.309118217118795E-3</v>
      </c>
      <c r="U489">
        <f t="shared" si="255"/>
        <v>0</v>
      </c>
      <c r="V489">
        <f t="shared" si="269"/>
        <v>0.39143157694411324</v>
      </c>
      <c r="W489" t="str">
        <f t="shared" si="256"/>
        <v/>
      </c>
      <c r="X489">
        <f t="shared" si="270"/>
        <v>0.17478624634220716</v>
      </c>
      <c r="Y489" t="str">
        <f t="shared" si="257"/>
        <v/>
      </c>
      <c r="Z489">
        <f t="shared" si="271"/>
        <v>1.2748329168970449</v>
      </c>
      <c r="AA489">
        <f t="shared" si="272"/>
        <v>0.93696360537993451</v>
      </c>
      <c r="AB489">
        <f t="shared" si="273"/>
        <v>0.11153511779575867</v>
      </c>
      <c r="AC489">
        <f t="shared" si="274"/>
        <v>1.2036216234176165</v>
      </c>
      <c r="AD489">
        <f t="shared" si="275"/>
        <v>1.0101045540663824</v>
      </c>
    </row>
    <row r="490" spans="1:30">
      <c r="A490" t="s">
        <v>368</v>
      </c>
      <c r="B490" t="s">
        <v>37</v>
      </c>
      <c r="C490" t="s">
        <v>38</v>
      </c>
      <c r="D490" t="s">
        <v>39</v>
      </c>
      <c r="E490" s="2">
        <v>46108</v>
      </c>
      <c r="F490" t="s">
        <v>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tr">
        <f t="shared" si="267"/>
        <v/>
      </c>
      <c r="T490" t="str">
        <f t="shared" si="268"/>
        <v/>
      </c>
      <c r="U490" t="str">
        <f t="shared" si="255"/>
        <v/>
      </c>
      <c r="V490" t="str">
        <f t="shared" si="269"/>
        <v/>
      </c>
      <c r="W490" t="str">
        <f t="shared" si="256"/>
        <v/>
      </c>
      <c r="X490" t="str">
        <f t="shared" si="270"/>
        <v/>
      </c>
      <c r="Y490" t="str">
        <f t="shared" si="257"/>
        <v/>
      </c>
      <c r="Z490" t="str">
        <f t="shared" si="271"/>
        <v/>
      </c>
      <c r="AA490" t="str">
        <f t="shared" si="272"/>
        <v/>
      </c>
      <c r="AB490" t="str">
        <f t="shared" si="273"/>
        <v/>
      </c>
      <c r="AC490" t="str">
        <f t="shared" si="274"/>
        <v/>
      </c>
      <c r="AD490" t="str">
        <f t="shared" si="275"/>
        <v/>
      </c>
    </row>
    <row r="491" spans="1:30">
      <c r="A491" t="s">
        <v>368</v>
      </c>
      <c r="B491" t="s">
        <v>37</v>
      </c>
      <c r="C491" t="s">
        <v>38</v>
      </c>
      <c r="D491" t="s">
        <v>39</v>
      </c>
      <c r="E491" s="2">
        <v>46108</v>
      </c>
      <c r="F491" t="s">
        <v>34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tr">
        <f t="shared" si="267"/>
        <v/>
      </c>
      <c r="T491" t="str">
        <f t="shared" si="268"/>
        <v/>
      </c>
      <c r="U491" t="str">
        <f t="shared" si="255"/>
        <v/>
      </c>
      <c r="V491" t="str">
        <f t="shared" si="269"/>
        <v/>
      </c>
      <c r="W491" t="str">
        <f t="shared" si="256"/>
        <v/>
      </c>
      <c r="X491" t="str">
        <f t="shared" si="270"/>
        <v/>
      </c>
      <c r="Y491" t="str">
        <f t="shared" si="257"/>
        <v/>
      </c>
      <c r="Z491" t="str">
        <f t="shared" si="271"/>
        <v/>
      </c>
      <c r="AA491" t="str">
        <f t="shared" si="272"/>
        <v/>
      </c>
      <c r="AB491" t="str">
        <f t="shared" si="273"/>
        <v/>
      </c>
      <c r="AC491" t="str">
        <f t="shared" si="274"/>
        <v/>
      </c>
      <c r="AD491" t="str">
        <f t="shared" si="275"/>
        <v/>
      </c>
    </row>
    <row r="492" spans="1:30">
      <c r="A492" t="s">
        <v>368</v>
      </c>
      <c r="B492" t="s">
        <v>37</v>
      </c>
      <c r="C492" t="s">
        <v>38</v>
      </c>
      <c r="D492" t="s">
        <v>39</v>
      </c>
      <c r="E492" s="2">
        <v>46108</v>
      </c>
      <c r="F492" t="s">
        <v>34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tr">
        <f t="shared" si="267"/>
        <v/>
      </c>
      <c r="T492" t="str">
        <f t="shared" si="268"/>
        <v/>
      </c>
      <c r="U492" t="str">
        <f t="shared" si="255"/>
        <v/>
      </c>
      <c r="V492" t="str">
        <f t="shared" si="269"/>
        <v/>
      </c>
      <c r="W492" t="str">
        <f t="shared" si="256"/>
        <v/>
      </c>
      <c r="X492" t="str">
        <f t="shared" si="270"/>
        <v/>
      </c>
      <c r="Y492" t="str">
        <f t="shared" si="257"/>
        <v/>
      </c>
      <c r="Z492" t="str">
        <f t="shared" si="271"/>
        <v/>
      </c>
      <c r="AA492" t="str">
        <f t="shared" si="272"/>
        <v/>
      </c>
      <c r="AB492" t="str">
        <f t="shared" si="273"/>
        <v/>
      </c>
      <c r="AC492" t="str">
        <f t="shared" si="274"/>
        <v/>
      </c>
      <c r="AD492" t="str">
        <f t="shared" si="275"/>
        <v/>
      </c>
    </row>
    <row r="493" spans="1:30">
      <c r="A493" t="s">
        <v>368</v>
      </c>
      <c r="B493" t="s">
        <v>37</v>
      </c>
      <c r="C493" t="s">
        <v>38</v>
      </c>
      <c r="D493" t="s">
        <v>39</v>
      </c>
      <c r="E493" s="2">
        <v>46108</v>
      </c>
      <c r="F493" t="s">
        <v>40</v>
      </c>
      <c r="G493">
        <v>116.9</v>
      </c>
      <c r="H493">
        <v>84.3</v>
      </c>
      <c r="I493">
        <v>-1957.8</v>
      </c>
      <c r="J493">
        <v>69.5</v>
      </c>
      <c r="K493">
        <v>0</v>
      </c>
      <c r="L493">
        <v>0.2</v>
      </c>
      <c r="M493">
        <v>0</v>
      </c>
      <c r="N493">
        <v>69.3</v>
      </c>
      <c r="O493">
        <v>112.16</v>
      </c>
      <c r="P493">
        <v>116.19</v>
      </c>
      <c r="Q493">
        <v>4.03</v>
      </c>
      <c r="R493">
        <v>4.03</v>
      </c>
      <c r="S493">
        <f t="shared" si="267"/>
        <v>0.87006947713347893</v>
      </c>
      <c r="T493">
        <f t="shared" si="268"/>
        <v>1.2685261019938103</v>
      </c>
      <c r="U493">
        <f t="shared" si="255"/>
        <v>0</v>
      </c>
      <c r="V493">
        <f t="shared" si="269"/>
        <v>7.9113847942723581E-2</v>
      </c>
      <c r="W493" t="str">
        <f t="shared" si="256"/>
        <v/>
      </c>
      <c r="X493">
        <f t="shared" si="270"/>
        <v>0.89657115634461437</v>
      </c>
      <c r="Y493" t="str">
        <f t="shared" si="257"/>
        <v/>
      </c>
      <c r="Z493">
        <f t="shared" si="271"/>
        <v>0.18174460538145451</v>
      </c>
      <c r="AA493">
        <f t="shared" si="272"/>
        <v>0.80397933209585692</v>
      </c>
      <c r="AB493">
        <f t="shared" si="273"/>
        <v>0.62728856014024137</v>
      </c>
      <c r="AC493">
        <f t="shared" si="274"/>
        <v>1.3879988038674955</v>
      </c>
      <c r="AD493">
        <f t="shared" si="275"/>
        <v>1.158802253111425</v>
      </c>
    </row>
    <row r="494" spans="1:30">
      <c r="A494" t="s">
        <v>369</v>
      </c>
      <c r="B494" t="s">
        <v>37</v>
      </c>
      <c r="C494" t="s">
        <v>38</v>
      </c>
      <c r="D494" t="s">
        <v>39</v>
      </c>
      <c r="E494" s="2">
        <v>46108</v>
      </c>
      <c r="F494" t="s">
        <v>40</v>
      </c>
      <c r="G494">
        <v>112.9</v>
      </c>
      <c r="H494">
        <v>82</v>
      </c>
      <c r="I494">
        <v>-1957.8</v>
      </c>
      <c r="J494">
        <v>70</v>
      </c>
      <c r="K494">
        <v>0</v>
      </c>
      <c r="L494">
        <v>1.3</v>
      </c>
      <c r="M494">
        <v>0</v>
      </c>
      <c r="N494">
        <v>68.7</v>
      </c>
      <c r="O494">
        <v>112.08</v>
      </c>
      <c r="P494">
        <v>113.62</v>
      </c>
      <c r="Q494">
        <v>4.13</v>
      </c>
      <c r="R494">
        <v>4.13</v>
      </c>
      <c r="S494">
        <f t="shared" si="267"/>
        <v>6.7816268772476221E-2</v>
      </c>
      <c r="T494">
        <f t="shared" si="268"/>
        <v>0.45340915574793861</v>
      </c>
      <c r="U494">
        <f t="shared" si="255"/>
        <v>0</v>
      </c>
      <c r="V494">
        <f t="shared" si="269"/>
        <v>0.34052797287985348</v>
      </c>
      <c r="W494" t="str">
        <f t="shared" si="256"/>
        <v/>
      </c>
      <c r="X494">
        <f t="shared" si="270"/>
        <v>0.11090906104094518</v>
      </c>
      <c r="Y494" t="str">
        <f t="shared" si="257"/>
        <v/>
      </c>
      <c r="Z494">
        <f t="shared" si="271"/>
        <v>0.4550166832603505</v>
      </c>
      <c r="AA494">
        <f t="shared" si="272"/>
        <v>0.8515136102521913</v>
      </c>
      <c r="AB494">
        <f t="shared" si="273"/>
        <v>1.2161841119913246</v>
      </c>
      <c r="AC494">
        <f t="shared" si="274"/>
        <v>2.052516862145727</v>
      </c>
      <c r="AD494">
        <f t="shared" si="275"/>
        <v>1.7967160199284244</v>
      </c>
    </row>
    <row r="495" spans="1:30">
      <c r="A495" t="s">
        <v>370</v>
      </c>
      <c r="B495" t="s">
        <v>37</v>
      </c>
      <c r="C495" t="s">
        <v>38</v>
      </c>
      <c r="D495" t="s">
        <v>39</v>
      </c>
      <c r="E495" s="2">
        <v>46108</v>
      </c>
      <c r="F495" t="s">
        <v>40</v>
      </c>
      <c r="G495">
        <v>109.3</v>
      </c>
      <c r="H495">
        <v>79.3</v>
      </c>
      <c r="I495">
        <v>-1957.8</v>
      </c>
      <c r="J495">
        <v>68.599999999999994</v>
      </c>
      <c r="K495">
        <v>0</v>
      </c>
      <c r="L495">
        <v>2.1</v>
      </c>
      <c r="M495">
        <v>0</v>
      </c>
      <c r="N495">
        <v>66.5</v>
      </c>
      <c r="O495">
        <v>115.38</v>
      </c>
      <c r="P495">
        <v>115.38</v>
      </c>
      <c r="Q495">
        <v>3.86</v>
      </c>
      <c r="R495">
        <v>4</v>
      </c>
      <c r="S495">
        <f t="shared" si="267"/>
        <v>0.65421161875242795</v>
      </c>
      <c r="T495">
        <f t="shared" si="268"/>
        <v>0.50346725941026071</v>
      </c>
      <c r="U495">
        <f t="shared" si="255"/>
        <v>0</v>
      </c>
      <c r="V495">
        <f t="shared" si="269"/>
        <v>0.39143157694411324</v>
      </c>
      <c r="W495" t="str">
        <f t="shared" si="256"/>
        <v/>
      </c>
      <c r="X495">
        <f t="shared" si="270"/>
        <v>0.46048155372535965</v>
      </c>
      <c r="Y495" t="str">
        <f t="shared" si="257"/>
        <v/>
      </c>
      <c r="Z495">
        <f t="shared" si="271"/>
        <v>1.4570143021496467</v>
      </c>
      <c r="AA495">
        <f t="shared" si="272"/>
        <v>1.1092753636966459</v>
      </c>
      <c r="AB495">
        <f t="shared" si="273"/>
        <v>4.6271881375036482E-2</v>
      </c>
      <c r="AC495">
        <f t="shared" si="274"/>
        <v>0.25831810479449585</v>
      </c>
      <c r="AD495">
        <f t="shared" si="275"/>
        <v>0.96742812306632298</v>
      </c>
    </row>
    <row r="496" spans="1:30">
      <c r="A496" t="s">
        <v>371</v>
      </c>
      <c r="B496" t="s">
        <v>37</v>
      </c>
      <c r="C496" t="s">
        <v>38</v>
      </c>
      <c r="D496" t="s">
        <v>39</v>
      </c>
      <c r="E496" s="2">
        <v>46108</v>
      </c>
      <c r="F496" t="s">
        <v>40</v>
      </c>
      <c r="G496">
        <v>112.9</v>
      </c>
      <c r="H496">
        <v>81.599999999999994</v>
      </c>
      <c r="I496">
        <v>-1957.8</v>
      </c>
      <c r="J496">
        <v>68.599999999999994</v>
      </c>
      <c r="K496">
        <v>0</v>
      </c>
      <c r="L496">
        <v>0.3</v>
      </c>
      <c r="M496">
        <v>0</v>
      </c>
      <c r="N496">
        <v>68.3</v>
      </c>
      <c r="O496">
        <v>115.09</v>
      </c>
      <c r="P496">
        <v>115.02</v>
      </c>
      <c r="Q496">
        <v>3.83</v>
      </c>
      <c r="R496">
        <v>3.93</v>
      </c>
      <c r="S496">
        <f t="shared" si="267"/>
        <v>6.7816268772476221E-2</v>
      </c>
      <c r="T496">
        <f t="shared" si="268"/>
        <v>0.31164968683561095</v>
      </c>
      <c r="U496">
        <f t="shared" si="255"/>
        <v>0</v>
      </c>
      <c r="V496">
        <f t="shared" si="269"/>
        <v>0.39143157694411324</v>
      </c>
      <c r="W496" t="str">
        <f t="shared" si="256"/>
        <v/>
      </c>
      <c r="X496">
        <f t="shared" si="270"/>
        <v>0.82514732949882619</v>
      </c>
      <c r="Y496" t="str">
        <f t="shared" si="257"/>
        <v/>
      </c>
      <c r="Z496">
        <f t="shared" si="271"/>
        <v>0.63719806851295213</v>
      </c>
      <c r="AA496">
        <f t="shared" si="272"/>
        <v>0.93696360537993451</v>
      </c>
      <c r="AB496">
        <f t="shared" si="273"/>
        <v>0.21195775363172015</v>
      </c>
      <c r="AC496">
        <f t="shared" si="274"/>
        <v>5.8962687311027065E-2</v>
      </c>
      <c r="AD496">
        <f t="shared" si="275"/>
        <v>0.52088848629442286</v>
      </c>
    </row>
    <row r="497" spans="1:30">
      <c r="A497" t="s">
        <v>372</v>
      </c>
      <c r="B497" t="s">
        <v>31</v>
      </c>
      <c r="C497" t="s">
        <v>32</v>
      </c>
      <c r="D497" t="s">
        <v>33</v>
      </c>
      <c r="E497" s="2">
        <v>46111</v>
      </c>
      <c r="F497" t="s">
        <v>34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tr">
        <f t="shared" ref="S497:S506" si="276">IF(OR(G497=0,G497=""),"",ABS((G497-152.740594)/5.729485))</f>
        <v/>
      </c>
      <c r="T497" t="str">
        <f t="shared" ref="T497:T506" si="277">IF(OR(H497=0,H497=""),"",ABS((H497-96.426733)/5.037499))</f>
        <v/>
      </c>
      <c r="U497" t="str">
        <f t="shared" si="255"/>
        <v/>
      </c>
      <c r="V497" t="str">
        <f t="shared" ref="V497:V506" si="278">IF(OR(J497=0,J497=""),"",ABS((J497-69.40099)/2.222902))</f>
        <v/>
      </c>
      <c r="W497" t="str">
        <f t="shared" si="256"/>
        <v/>
      </c>
      <c r="X497" t="str">
        <f t="shared" ref="X497:X506" si="279">IF(OR(L497=0,L497=""),"",ABS((L497-1.849749)/1.393269))</f>
        <v/>
      </c>
      <c r="Y497" t="str">
        <f t="shared" si="257"/>
        <v/>
      </c>
      <c r="Z497" t="str">
        <f t="shared" ref="Z497:Z506" si="280">IF(OR(N497=0,N497=""),"",ABS((N497-69.231188)/2.519549))</f>
        <v/>
      </c>
      <c r="AA497" t="str">
        <f t="shared" ref="AA497:AA506" si="281">IF(OR(O497=0,O497=""),"",ABS((O497-113.18)/1.73698))</f>
        <v/>
      </c>
      <c r="AB497" t="str">
        <f t="shared" ref="AB497:AB506" si="282">IF(OR(P497=0,P497=""),"",ABS((P497-114.765594)/1.645198))</f>
        <v/>
      </c>
      <c r="AC497" t="str">
        <f t="shared" ref="AC497:AC506" si="283">IF(OR(Q497=0,Q497=""),"",ABS((Q497-8.040149)/0.55663))</f>
        <v/>
      </c>
      <c r="AD497" t="str">
        <f t="shared" ref="AD497:AD506" si="284">IF(OR(R497=0,R497=""),"",ABS((R497-7.915297)/0.399795))</f>
        <v/>
      </c>
    </row>
    <row r="498" spans="1:30">
      <c r="A498" t="s">
        <v>372</v>
      </c>
      <c r="B498" t="s">
        <v>31</v>
      </c>
      <c r="C498" t="s">
        <v>32</v>
      </c>
      <c r="D498" t="s">
        <v>33</v>
      </c>
      <c r="E498" s="2">
        <v>46111</v>
      </c>
      <c r="F498" t="s">
        <v>34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tr">
        <f t="shared" si="276"/>
        <v/>
      </c>
      <c r="T498" t="str">
        <f t="shared" si="277"/>
        <v/>
      </c>
      <c r="U498" t="str">
        <f t="shared" si="255"/>
        <v/>
      </c>
      <c r="V498" t="str">
        <f t="shared" si="278"/>
        <v/>
      </c>
      <c r="W498" t="str">
        <f t="shared" si="256"/>
        <v/>
      </c>
      <c r="X498" t="str">
        <f t="shared" si="279"/>
        <v/>
      </c>
      <c r="Y498" t="str">
        <f t="shared" si="257"/>
        <v/>
      </c>
      <c r="Z498" t="str">
        <f t="shared" si="280"/>
        <v/>
      </c>
      <c r="AA498" t="str">
        <f t="shared" si="281"/>
        <v/>
      </c>
      <c r="AB498" t="str">
        <f t="shared" si="282"/>
        <v/>
      </c>
      <c r="AC498" t="str">
        <f t="shared" si="283"/>
        <v/>
      </c>
      <c r="AD498" t="str">
        <f t="shared" si="284"/>
        <v/>
      </c>
    </row>
    <row r="499" spans="1:30">
      <c r="A499" t="s">
        <v>372</v>
      </c>
      <c r="B499" t="s">
        <v>31</v>
      </c>
      <c r="C499" t="s">
        <v>32</v>
      </c>
      <c r="D499" t="s">
        <v>33</v>
      </c>
      <c r="E499" s="2">
        <v>46111</v>
      </c>
      <c r="F499" t="s">
        <v>40</v>
      </c>
      <c r="G499">
        <v>145.9</v>
      </c>
      <c r="H499">
        <v>92.8</v>
      </c>
      <c r="I499">
        <v>-1957.8</v>
      </c>
      <c r="J499">
        <v>67.7</v>
      </c>
      <c r="K499">
        <v>0</v>
      </c>
      <c r="L499">
        <v>0.9</v>
      </c>
      <c r="M499">
        <v>0</v>
      </c>
      <c r="N499">
        <v>66.8</v>
      </c>
      <c r="O499">
        <v>115.53</v>
      </c>
      <c r="P499">
        <v>115.38</v>
      </c>
      <c r="Q499">
        <v>6.71</v>
      </c>
      <c r="R499">
        <v>7.18</v>
      </c>
      <c r="S499">
        <f t="shared" si="276"/>
        <v>1.1939282500957733</v>
      </c>
      <c r="T499">
        <f t="shared" si="277"/>
        <v>0.71994714043615715</v>
      </c>
      <c r="U499">
        <f t="shared" si="255"/>
        <v>0</v>
      </c>
      <c r="V499">
        <f t="shared" si="278"/>
        <v>0.76521142182605906</v>
      </c>
      <c r="W499" t="str">
        <f t="shared" si="256"/>
        <v/>
      </c>
      <c r="X499">
        <f t="shared" si="279"/>
        <v>0.68166951249184471</v>
      </c>
      <c r="Y499" t="str">
        <f t="shared" si="257"/>
        <v/>
      </c>
      <c r="Z499">
        <f t="shared" si="280"/>
        <v>0.96492983466485704</v>
      </c>
      <c r="AA499">
        <f t="shared" si="281"/>
        <v>1.3529228891524336</v>
      </c>
      <c r="AB499">
        <f t="shared" si="282"/>
        <v>0.3734541374351309</v>
      </c>
      <c r="AC499">
        <f t="shared" si="283"/>
        <v>2.3896466234302851</v>
      </c>
      <c r="AD499">
        <f t="shared" si="284"/>
        <v>1.8391850823547069</v>
      </c>
    </row>
    <row r="500" spans="1:30">
      <c r="A500" t="s">
        <v>373</v>
      </c>
      <c r="B500" t="s">
        <v>31</v>
      </c>
      <c r="C500" t="s">
        <v>32</v>
      </c>
      <c r="D500" t="s">
        <v>33</v>
      </c>
      <c r="E500" s="2">
        <v>46111</v>
      </c>
      <c r="F500" t="s">
        <v>40</v>
      </c>
      <c r="G500">
        <v>146.4</v>
      </c>
      <c r="H500">
        <v>96.4</v>
      </c>
      <c r="I500">
        <v>-1957.8</v>
      </c>
      <c r="J500">
        <v>67.7</v>
      </c>
      <c r="K500">
        <v>0</v>
      </c>
      <c r="L500">
        <v>1.5</v>
      </c>
      <c r="M500">
        <v>0</v>
      </c>
      <c r="N500">
        <v>66.2</v>
      </c>
      <c r="O500">
        <v>114.87</v>
      </c>
      <c r="P500">
        <v>115.09</v>
      </c>
      <c r="Q500">
        <v>8.35</v>
      </c>
      <c r="R500">
        <v>7.98</v>
      </c>
      <c r="S500">
        <f t="shared" si="276"/>
        <v>1.1066603717437049</v>
      </c>
      <c r="T500">
        <f t="shared" si="277"/>
        <v>5.3068000609018499E-3</v>
      </c>
      <c r="U500">
        <f t="shared" si="255"/>
        <v>0</v>
      </c>
      <c r="V500">
        <f t="shared" si="278"/>
        <v>0.76521142182605906</v>
      </c>
      <c r="W500" t="str">
        <f t="shared" si="256"/>
        <v/>
      </c>
      <c r="X500">
        <f t="shared" si="279"/>
        <v>0.25102761921782518</v>
      </c>
      <c r="Y500" t="str">
        <f t="shared" si="257"/>
        <v/>
      </c>
      <c r="Z500">
        <f t="shared" si="280"/>
        <v>1.2030676918766019</v>
      </c>
      <c r="AA500">
        <f t="shared" si="281"/>
        <v>0.97295305645430441</v>
      </c>
      <c r="AB500">
        <f t="shared" si="282"/>
        <v>0.19718356088447131</v>
      </c>
      <c r="AC500">
        <f t="shared" si="283"/>
        <v>0.55665522878752516</v>
      </c>
      <c r="AD500">
        <f t="shared" si="284"/>
        <v>0.16184044322715546</v>
      </c>
    </row>
    <row r="501" spans="1:30">
      <c r="A501" t="s">
        <v>374</v>
      </c>
      <c r="B501" t="s">
        <v>31</v>
      </c>
      <c r="C501" t="s">
        <v>32</v>
      </c>
      <c r="D501" t="s">
        <v>33</v>
      </c>
      <c r="E501" s="2">
        <v>46111</v>
      </c>
      <c r="F501" t="s">
        <v>40</v>
      </c>
      <c r="G501">
        <v>149</v>
      </c>
      <c r="H501">
        <v>95.5</v>
      </c>
      <c r="I501">
        <v>-1957.8</v>
      </c>
      <c r="J501">
        <v>67.3</v>
      </c>
      <c r="K501">
        <v>0</v>
      </c>
      <c r="L501">
        <v>1.2</v>
      </c>
      <c r="M501">
        <v>0</v>
      </c>
      <c r="N501">
        <v>66.099999999999994</v>
      </c>
      <c r="O501">
        <v>111.57</v>
      </c>
      <c r="P501">
        <v>113.18</v>
      </c>
      <c r="Q501">
        <v>8.4700000000000006</v>
      </c>
      <c r="R501">
        <v>8.08</v>
      </c>
      <c r="S501">
        <f t="shared" si="276"/>
        <v>0.65286740431295087</v>
      </c>
      <c r="T501">
        <f t="shared" si="277"/>
        <v>0.18396688515471638</v>
      </c>
      <c r="U501">
        <f t="shared" si="255"/>
        <v>0</v>
      </c>
      <c r="V501">
        <f t="shared" si="278"/>
        <v>0.94515637666437657</v>
      </c>
      <c r="W501" t="str">
        <f t="shared" si="256"/>
        <v/>
      </c>
      <c r="X501">
        <f t="shared" si="279"/>
        <v>0.46634856585483497</v>
      </c>
      <c r="Y501" t="str">
        <f t="shared" si="257"/>
        <v/>
      </c>
      <c r="Z501">
        <f t="shared" si="280"/>
        <v>1.2427573347452296</v>
      </c>
      <c r="AA501">
        <f t="shared" si="281"/>
        <v>0.92689610703635827</v>
      </c>
      <c r="AB501">
        <f t="shared" si="282"/>
        <v>0.96377092605266124</v>
      </c>
      <c r="AC501">
        <f t="shared" si="283"/>
        <v>0.7722382911449277</v>
      </c>
      <c r="AD501">
        <f t="shared" si="284"/>
        <v>0.41196863392488714</v>
      </c>
    </row>
    <row r="502" spans="1:30">
      <c r="A502" t="s">
        <v>375</v>
      </c>
      <c r="B502" t="s">
        <v>31</v>
      </c>
      <c r="C502" t="s">
        <v>32</v>
      </c>
      <c r="D502" t="s">
        <v>33</v>
      </c>
      <c r="E502" s="2">
        <v>46111</v>
      </c>
      <c r="F502" t="s">
        <v>40</v>
      </c>
      <c r="G502">
        <v>154.80000000000001</v>
      </c>
      <c r="H502">
        <v>96.9</v>
      </c>
      <c r="I502">
        <v>-1957.8</v>
      </c>
      <c r="J502">
        <v>67.7</v>
      </c>
      <c r="K502">
        <v>0</v>
      </c>
      <c r="L502">
        <v>1.3</v>
      </c>
      <c r="M502">
        <v>0</v>
      </c>
      <c r="N502">
        <v>66.400000000000006</v>
      </c>
      <c r="O502">
        <v>115.09</v>
      </c>
      <c r="P502">
        <v>115.16</v>
      </c>
      <c r="Q502">
        <v>8.1300000000000008</v>
      </c>
      <c r="R502">
        <v>7.91</v>
      </c>
      <c r="S502">
        <f t="shared" si="276"/>
        <v>0.35943998457104326</v>
      </c>
      <c r="T502">
        <f t="shared" si="277"/>
        <v>9.3948802768994491E-2</v>
      </c>
      <c r="U502">
        <f t="shared" si="255"/>
        <v>0</v>
      </c>
      <c r="V502">
        <f t="shared" si="278"/>
        <v>0.76521142182605906</v>
      </c>
      <c r="W502" t="str">
        <f t="shared" si="256"/>
        <v/>
      </c>
      <c r="X502">
        <f t="shared" si="279"/>
        <v>0.39457491697583169</v>
      </c>
      <c r="Y502" t="str">
        <f t="shared" si="257"/>
        <v/>
      </c>
      <c r="Z502">
        <f t="shared" si="280"/>
        <v>1.1236884061393517</v>
      </c>
      <c r="AA502">
        <f t="shared" si="281"/>
        <v>1.0996096673536808</v>
      </c>
      <c r="AB502">
        <f t="shared" si="282"/>
        <v>0.23973163108635168</v>
      </c>
      <c r="AC502">
        <f t="shared" si="283"/>
        <v>0.16141961446562572</v>
      </c>
      <c r="AD502">
        <f t="shared" si="284"/>
        <v>1.3249290261258052E-2</v>
      </c>
    </row>
    <row r="503" spans="1:30">
      <c r="A503" t="s">
        <v>376</v>
      </c>
      <c r="B503" t="s">
        <v>31</v>
      </c>
      <c r="C503" t="s">
        <v>32</v>
      </c>
      <c r="D503" t="s">
        <v>33</v>
      </c>
      <c r="E503" s="2">
        <v>46111</v>
      </c>
      <c r="F503" t="s">
        <v>40</v>
      </c>
      <c r="G503">
        <v>149</v>
      </c>
      <c r="H503">
        <v>97.3</v>
      </c>
      <c r="I503">
        <v>-1957.8</v>
      </c>
      <c r="J503">
        <v>68.2</v>
      </c>
      <c r="K503">
        <v>0</v>
      </c>
      <c r="L503">
        <v>2.9</v>
      </c>
      <c r="M503">
        <v>0</v>
      </c>
      <c r="N503">
        <v>65.3</v>
      </c>
      <c r="O503">
        <v>111.13</v>
      </c>
      <c r="P503">
        <v>117.66</v>
      </c>
      <c r="Q503">
        <v>8.35</v>
      </c>
      <c r="R503">
        <v>7.84</v>
      </c>
      <c r="S503">
        <f t="shared" si="276"/>
        <v>0.65286740431295087</v>
      </c>
      <c r="T503">
        <f t="shared" si="277"/>
        <v>0.17335328503290987</v>
      </c>
      <c r="U503">
        <f t="shared" si="255"/>
        <v>0</v>
      </c>
      <c r="V503">
        <f t="shared" si="278"/>
        <v>0.54028022827816535</v>
      </c>
      <c r="W503" t="str">
        <f t="shared" si="256"/>
        <v/>
      </c>
      <c r="X503">
        <f t="shared" si="279"/>
        <v>0.75380346508822038</v>
      </c>
      <c r="Y503" t="str">
        <f t="shared" si="257"/>
        <v/>
      </c>
      <c r="Z503">
        <f t="shared" si="280"/>
        <v>1.5602744776942246</v>
      </c>
      <c r="AA503">
        <f t="shared" si="281"/>
        <v>1.1802093288351112</v>
      </c>
      <c r="AB503">
        <f t="shared" si="282"/>
        <v>1.7593055668679416</v>
      </c>
      <c r="AC503">
        <f t="shared" si="283"/>
        <v>0.55665522878752516</v>
      </c>
      <c r="AD503">
        <f t="shared" si="284"/>
        <v>0.18833902374967157</v>
      </c>
    </row>
    <row r="504" spans="1:30">
      <c r="A504" t="s">
        <v>377</v>
      </c>
      <c r="B504" t="s">
        <v>31</v>
      </c>
      <c r="C504" t="s">
        <v>32</v>
      </c>
      <c r="D504" t="s">
        <v>33</v>
      </c>
      <c r="E504" s="2">
        <v>46111</v>
      </c>
      <c r="F504" t="s">
        <v>40</v>
      </c>
      <c r="G504">
        <v>158</v>
      </c>
      <c r="H504">
        <v>96.9</v>
      </c>
      <c r="I504">
        <v>-1957.8</v>
      </c>
      <c r="J504">
        <v>68.2</v>
      </c>
      <c r="K504">
        <v>0</v>
      </c>
      <c r="L504">
        <v>0.9</v>
      </c>
      <c r="M504">
        <v>0</v>
      </c>
      <c r="N504">
        <v>67.3</v>
      </c>
      <c r="O504">
        <v>111.5</v>
      </c>
      <c r="P504">
        <v>112.74</v>
      </c>
      <c r="Q504">
        <v>8.3000000000000007</v>
      </c>
      <c r="R504">
        <v>8.2799999999999994</v>
      </c>
      <c r="S504">
        <f t="shared" si="276"/>
        <v>0.91795440602427836</v>
      </c>
      <c r="T504">
        <f t="shared" si="277"/>
        <v>9.3948802768994491E-2</v>
      </c>
      <c r="U504">
        <f t="shared" si="255"/>
        <v>0</v>
      </c>
      <c r="V504">
        <f t="shared" si="278"/>
        <v>0.54028022827816535</v>
      </c>
      <c r="W504" t="str">
        <f t="shared" si="256"/>
        <v/>
      </c>
      <c r="X504">
        <f t="shared" si="279"/>
        <v>0.68166951249184471</v>
      </c>
      <c r="Y504" t="str">
        <f t="shared" si="257"/>
        <v/>
      </c>
      <c r="Z504">
        <f t="shared" si="280"/>
        <v>0.7664816203217345</v>
      </c>
      <c r="AA504">
        <f t="shared" si="281"/>
        <v>0.96719593777706525</v>
      </c>
      <c r="AB504">
        <f t="shared" si="282"/>
        <v>1.2312159387502284</v>
      </c>
      <c r="AC504">
        <f t="shared" si="283"/>
        <v>0.46682895280527675</v>
      </c>
      <c r="AD504">
        <f t="shared" si="284"/>
        <v>0.9122250153203505</v>
      </c>
    </row>
    <row r="505" spans="1:30">
      <c r="A505" t="s">
        <v>378</v>
      </c>
      <c r="B505" t="s">
        <v>31</v>
      </c>
      <c r="C505" t="s">
        <v>32</v>
      </c>
      <c r="D505" t="s">
        <v>33</v>
      </c>
      <c r="E505" s="2">
        <v>46111</v>
      </c>
      <c r="F505" t="s">
        <v>40</v>
      </c>
      <c r="G505">
        <v>155.30000000000001</v>
      </c>
      <c r="H505">
        <v>96.4</v>
      </c>
      <c r="I505">
        <v>-1957.8</v>
      </c>
      <c r="J505">
        <v>68.2</v>
      </c>
      <c r="K505">
        <v>0</v>
      </c>
      <c r="L505">
        <v>1</v>
      </c>
      <c r="M505">
        <v>0</v>
      </c>
      <c r="N505">
        <v>67.2</v>
      </c>
      <c r="O505">
        <v>114.5</v>
      </c>
      <c r="P505">
        <v>114.5</v>
      </c>
      <c r="Q505">
        <v>8.23</v>
      </c>
      <c r="R505">
        <v>8.06</v>
      </c>
      <c r="S505">
        <f t="shared" si="276"/>
        <v>0.44670786292311154</v>
      </c>
      <c r="T505">
        <f t="shared" si="277"/>
        <v>5.3068000609018499E-3</v>
      </c>
      <c r="U505">
        <f t="shared" si="255"/>
        <v>0</v>
      </c>
      <c r="V505">
        <f t="shared" si="278"/>
        <v>0.54028022827816535</v>
      </c>
      <c r="W505" t="str">
        <f t="shared" si="256"/>
        <v/>
      </c>
      <c r="X505">
        <f t="shared" si="279"/>
        <v>0.60989586361284143</v>
      </c>
      <c r="Y505" t="str">
        <f t="shared" si="257"/>
        <v/>
      </c>
      <c r="Z505">
        <f t="shared" si="280"/>
        <v>0.80617126319035681</v>
      </c>
      <c r="AA505">
        <f t="shared" si="281"/>
        <v>0.75993966539625857</v>
      </c>
      <c r="AB505">
        <f t="shared" si="282"/>
        <v>0.16143588795998598</v>
      </c>
      <c r="AC505">
        <f t="shared" si="283"/>
        <v>0.34107216643012572</v>
      </c>
      <c r="AD505">
        <f t="shared" si="284"/>
        <v>0.36194299578534173</v>
      </c>
    </row>
    <row r="506" spans="1:30">
      <c r="A506" t="s">
        <v>379</v>
      </c>
      <c r="B506" t="s">
        <v>31</v>
      </c>
      <c r="C506" t="s">
        <v>32</v>
      </c>
      <c r="D506" t="s">
        <v>33</v>
      </c>
      <c r="E506" s="2">
        <v>46111</v>
      </c>
      <c r="F506" t="s">
        <v>40</v>
      </c>
      <c r="G506">
        <v>158</v>
      </c>
      <c r="H506">
        <v>97.8</v>
      </c>
      <c r="I506">
        <v>-1957.8</v>
      </c>
      <c r="J506">
        <v>68.2</v>
      </c>
      <c r="K506">
        <v>0</v>
      </c>
      <c r="L506">
        <v>0</v>
      </c>
      <c r="M506">
        <v>0</v>
      </c>
      <c r="N506">
        <v>68.2</v>
      </c>
      <c r="O506">
        <v>115.38</v>
      </c>
      <c r="P506">
        <v>115.31</v>
      </c>
      <c r="Q506">
        <v>8.3000000000000007</v>
      </c>
      <c r="R506">
        <v>8.1999999999999993</v>
      </c>
      <c r="S506">
        <f t="shared" si="276"/>
        <v>0.91795440602427836</v>
      </c>
      <c r="T506">
        <f t="shared" si="277"/>
        <v>0.27260888786280618</v>
      </c>
      <c r="U506">
        <f t="shared" si="255"/>
        <v>0</v>
      </c>
      <c r="V506">
        <f t="shared" si="278"/>
        <v>0.54028022827816535</v>
      </c>
      <c r="W506" t="str">
        <f t="shared" si="256"/>
        <v/>
      </c>
      <c r="X506" t="str">
        <f t="shared" si="279"/>
        <v/>
      </c>
      <c r="Y506" t="str">
        <f t="shared" si="257"/>
        <v/>
      </c>
      <c r="Z506">
        <f t="shared" si="280"/>
        <v>0.40927483450411173</v>
      </c>
      <c r="AA506">
        <f t="shared" si="281"/>
        <v>1.2665661089937643</v>
      </c>
      <c r="AB506">
        <f t="shared" si="282"/>
        <v>0.3309060672332505</v>
      </c>
      <c r="AC506">
        <f t="shared" si="283"/>
        <v>0.46682895280527675</v>
      </c>
      <c r="AD506">
        <f t="shared" si="284"/>
        <v>0.71212246276216429</v>
      </c>
    </row>
    <row r="507" spans="1:30">
      <c r="A507" t="s">
        <v>380</v>
      </c>
      <c r="B507" t="s">
        <v>37</v>
      </c>
      <c r="C507" t="s">
        <v>38</v>
      </c>
      <c r="D507" t="s">
        <v>39</v>
      </c>
      <c r="E507" s="2">
        <v>46111</v>
      </c>
      <c r="F507" t="s">
        <v>40</v>
      </c>
      <c r="G507">
        <v>111.5</v>
      </c>
      <c r="H507">
        <v>78.900000000000006</v>
      </c>
      <c r="I507">
        <v>-1957.8</v>
      </c>
      <c r="J507">
        <v>70</v>
      </c>
      <c r="K507">
        <v>0</v>
      </c>
      <c r="L507">
        <v>0.6</v>
      </c>
      <c r="M507">
        <v>0</v>
      </c>
      <c r="N507">
        <v>69.400000000000006</v>
      </c>
      <c r="O507">
        <v>116.04</v>
      </c>
      <c r="P507">
        <v>112.82</v>
      </c>
      <c r="Q507">
        <v>3.76</v>
      </c>
      <c r="R507">
        <v>3.91</v>
      </c>
      <c r="S507">
        <f>IF(OR(G507=0,G507=""),"",ABS((G507-112.561871)/4.985957))</f>
        <v>0.21297235415387586</v>
      </c>
      <c r="T507">
        <f>IF(OR(H507=0,H507=""),"",ABS((H507-80.720624)/2.821681))</f>
        <v>0.64522672832258332</v>
      </c>
      <c r="U507">
        <f t="shared" si="255"/>
        <v>0</v>
      </c>
      <c r="V507">
        <f>IF(OR(J507=0,J507=""),"",ABS((J507-69.348681)/1.912674))</f>
        <v>0.34052797287985348</v>
      </c>
      <c r="W507" t="str">
        <f t="shared" si="256"/>
        <v/>
      </c>
      <c r="X507">
        <f>IF(OR(L507=0,L507=""),"",ABS((L507-1.455283)/1.400093))</f>
        <v>0.61087584896146196</v>
      </c>
      <c r="Y507" t="str">
        <f t="shared" si="257"/>
        <v/>
      </c>
      <c r="Z507">
        <f>IF(OR(N507=0,N507=""),"",ABS((N507-69.699041)/2.195614))</f>
        <v>0.13619925906830088</v>
      </c>
      <c r="AA507">
        <f>IF(OR(O507=0,O507=""),"",ABS((O507-113.513094)/1.682996))</f>
        <v>1.50143315848642</v>
      </c>
      <c r="AB507">
        <f>IF(OR(P507=0,P507=""),"",ABS((P507-115.315492)/1.394108))</f>
        <v>1.7900277453396818</v>
      </c>
      <c r="AC507">
        <f>IF(OR(Q507=0,Q507=""),"",ABS((Q507-3.821127)/0.150485))</f>
        <v>0.40619995348373839</v>
      </c>
      <c r="AD507">
        <f>IF(OR(R507=0,R507=""),"",ABS((R507-3.848345)/0.156761))</f>
        <v>0.39330573293102244</v>
      </c>
    </row>
    <row r="508" spans="1:30">
      <c r="A508" t="s">
        <v>381</v>
      </c>
      <c r="B508" t="s">
        <v>31</v>
      </c>
      <c r="C508" t="s">
        <v>32</v>
      </c>
      <c r="D508" t="s">
        <v>33</v>
      </c>
      <c r="E508" s="2">
        <v>46111</v>
      </c>
      <c r="F508" t="s">
        <v>40</v>
      </c>
      <c r="G508">
        <v>156.6</v>
      </c>
      <c r="H508">
        <v>97.3</v>
      </c>
      <c r="I508">
        <v>-1957.8</v>
      </c>
      <c r="J508">
        <v>70</v>
      </c>
      <c r="K508">
        <v>0</v>
      </c>
      <c r="L508">
        <v>0.9</v>
      </c>
      <c r="M508">
        <v>0</v>
      </c>
      <c r="N508">
        <v>69.099999999999994</v>
      </c>
      <c r="O508">
        <v>110.47</v>
      </c>
      <c r="P508">
        <v>116.34</v>
      </c>
      <c r="Q508">
        <v>8.69</v>
      </c>
      <c r="R508">
        <v>8.0299999999999994</v>
      </c>
      <c r="S508">
        <f>IF(OR(G508=0,G508=""),"",ABS((G508-152.740594)/5.729485))</f>
        <v>0.67360434663848612</v>
      </c>
      <c r="T508">
        <f>IF(OR(H508=0,H508=""),"",ABS((H508-96.426733)/5.037499))</f>
        <v>0.17335328503290987</v>
      </c>
      <c r="U508">
        <f t="shared" si="255"/>
        <v>0</v>
      </c>
      <c r="V508">
        <f>IF(OR(J508=0,J508=""),"",ABS((J508-69.40099)/2.222902))</f>
        <v>0.26947206849425076</v>
      </c>
      <c r="W508" t="str">
        <f t="shared" si="256"/>
        <v/>
      </c>
      <c r="X508">
        <f>IF(OR(L508=0,L508=""),"",ABS((L508-1.849749)/1.393269))</f>
        <v>0.68166951249184471</v>
      </c>
      <c r="Y508" t="str">
        <f t="shared" si="257"/>
        <v/>
      </c>
      <c r="Z508">
        <f>IF(OR(N508=0,N508=""),"",ABS((N508-69.231188)/2.519549))</f>
        <v>5.2068048686494582E-2</v>
      </c>
      <c r="AA508">
        <f>IF(OR(O508=0,O508=""),"",ABS((O508-113.18)/1.73698))</f>
        <v>1.5601791615332405</v>
      </c>
      <c r="AB508">
        <f>IF(OR(P508=0,P508=""),"",ABS((P508-114.765594)/1.645198))</f>
        <v>0.95697052877526623</v>
      </c>
      <c r="AC508">
        <f>IF(OR(Q508=0,Q508=""),"",ABS((Q508-8.040149)/0.55663))</f>
        <v>1.1674739054668271</v>
      </c>
      <c r="AD508">
        <f>IF(OR(R508=0,R508=""),"",ABS((R508-7.915297)/0.399795))</f>
        <v>0.28690453857601911</v>
      </c>
    </row>
    <row r="509" spans="1:30">
      <c r="A509" t="s">
        <v>230</v>
      </c>
      <c r="B509" t="s">
        <v>37</v>
      </c>
      <c r="C509" t="s">
        <v>38</v>
      </c>
      <c r="D509" t="s">
        <v>39</v>
      </c>
      <c r="E509" s="2">
        <v>46111</v>
      </c>
      <c r="F509" t="s">
        <v>40</v>
      </c>
      <c r="G509">
        <v>105.3</v>
      </c>
      <c r="H509">
        <v>79.8</v>
      </c>
      <c r="I509">
        <v>-1957.8</v>
      </c>
      <c r="J509">
        <v>69.5</v>
      </c>
      <c r="K509">
        <v>0</v>
      </c>
      <c r="L509">
        <v>1.3</v>
      </c>
      <c r="M509">
        <v>0</v>
      </c>
      <c r="N509">
        <v>68.2</v>
      </c>
      <c r="O509">
        <v>115.97</v>
      </c>
      <c r="P509">
        <v>112.52</v>
      </c>
      <c r="Q509">
        <v>3.61</v>
      </c>
      <c r="R509">
        <v>3.76</v>
      </c>
      <c r="S509">
        <f>IF(OR(G509=0,G509=""),"",ABS((G509-112.561871)/4.985957))</f>
        <v>1.4564648271134306</v>
      </c>
      <c r="T509">
        <f>IF(OR(H509=0,H509=""),"",ABS((H509-80.720624)/2.821681))</f>
        <v>0.3262679232698536</v>
      </c>
      <c r="U509">
        <f t="shared" si="255"/>
        <v>0</v>
      </c>
      <c r="V509">
        <f>IF(OR(J509=0,J509=""),"",ABS((J509-69.348681)/1.912674))</f>
        <v>7.9113847942723581E-2</v>
      </c>
      <c r="W509" t="str">
        <f t="shared" si="256"/>
        <v/>
      </c>
      <c r="X509">
        <f>IF(OR(L509=0,L509=""),"",ABS((L509-1.455283)/1.400093))</f>
        <v>0.11090906104094518</v>
      </c>
      <c r="Y509" t="str">
        <f t="shared" si="257"/>
        <v/>
      </c>
      <c r="Z509">
        <f>IF(OR(N509=0,N509=""),"",ABS((N509-69.699041)/2.195614))</f>
        <v>0.68274341482609935</v>
      </c>
      <c r="AA509">
        <f>IF(OR(O509=0,O509=""),"",ABS((O509-113.513094)/1.682996))</f>
        <v>1.4598406650996221</v>
      </c>
      <c r="AB509">
        <f>IF(OR(P509=0,P509=""),"",ABS((P509-115.315492)/1.394108))</f>
        <v>2.0052191078453108</v>
      </c>
      <c r="AC509">
        <f>IF(OR(Q509=0,Q509=""),"",ABS((Q509-3.821127)/0.150485))</f>
        <v>1.4029770409010882</v>
      </c>
      <c r="AD509">
        <f>IF(OR(R509=0,R509=""),"",ABS((R509-3.848345)/0.156761))</f>
        <v>0.56356491729448221</v>
      </c>
    </row>
    <row r="510" spans="1:30">
      <c r="A510" t="s">
        <v>382</v>
      </c>
      <c r="B510" t="s">
        <v>31</v>
      </c>
      <c r="C510" t="s">
        <v>32</v>
      </c>
      <c r="D510" t="s">
        <v>33</v>
      </c>
      <c r="E510" s="2">
        <v>46111</v>
      </c>
      <c r="F510" t="s">
        <v>40</v>
      </c>
      <c r="G510">
        <v>152.6</v>
      </c>
      <c r="H510">
        <v>100.5</v>
      </c>
      <c r="I510">
        <v>-1957.8</v>
      </c>
      <c r="J510">
        <v>70</v>
      </c>
      <c r="K510">
        <v>0</v>
      </c>
      <c r="L510">
        <v>0.3</v>
      </c>
      <c r="M510">
        <v>0</v>
      </c>
      <c r="N510">
        <v>69.7</v>
      </c>
      <c r="O510">
        <v>110.76</v>
      </c>
      <c r="P510">
        <v>117.44</v>
      </c>
      <c r="Q510">
        <v>8.5</v>
      </c>
      <c r="R510">
        <v>7.84</v>
      </c>
      <c r="S510">
        <f>IF(OR(G510=0,G510=""),"",ABS((G510-152.740594)/5.729485))</f>
        <v>2.4538680178060157E-2</v>
      </c>
      <c r="T510">
        <f>IF(OR(H510=0,H510=""),"",ABS((H510-96.426733)/5.037499))</f>
        <v>0.80858914314424701</v>
      </c>
      <c r="U510">
        <f t="shared" si="255"/>
        <v>0</v>
      </c>
      <c r="V510">
        <f>IF(OR(J510=0,J510=""),"",ABS((J510-69.40099)/2.222902))</f>
        <v>0.26947206849425076</v>
      </c>
      <c r="W510" t="str">
        <f t="shared" si="256"/>
        <v/>
      </c>
      <c r="X510">
        <f>IF(OR(L510=0,L510=""),"",ABS((L510-1.849749)/1.393269))</f>
        <v>1.1123114057658643</v>
      </c>
      <c r="Y510" t="str">
        <f t="shared" si="257"/>
        <v/>
      </c>
      <c r="Z510">
        <f>IF(OR(N510=0,N510=""),"",ABS((N510-69.231188)/2.519549))</f>
        <v>0.18606980852525581</v>
      </c>
      <c r="AA510">
        <f>IF(OR(O510=0,O510=""),"",ABS((O510-113.18)/1.73698))</f>
        <v>1.3932227198931488</v>
      </c>
      <c r="AB510">
        <f>IF(OR(P510=0,P510=""),"",ABS((P510-114.765594)/1.645198))</f>
        <v>1.6255830605191623</v>
      </c>
      <c r="AC510">
        <f>IF(OR(Q510=0,Q510=""),"",ABS((Q510-8.040149)/0.55663))</f>
        <v>0.82613405673427676</v>
      </c>
      <c r="AD510">
        <f>IF(OR(R510=0,R510=""),"",ABS((R510-7.915297)/0.399795))</f>
        <v>0.18833902374967157</v>
      </c>
    </row>
    <row r="511" spans="1:30">
      <c r="A511" t="s">
        <v>383</v>
      </c>
      <c r="B511" t="s">
        <v>31</v>
      </c>
      <c r="C511" t="s">
        <v>32</v>
      </c>
      <c r="D511" t="s">
        <v>33</v>
      </c>
      <c r="E511" s="2">
        <v>46111</v>
      </c>
      <c r="F511" t="s">
        <v>40</v>
      </c>
      <c r="G511">
        <v>158</v>
      </c>
      <c r="H511">
        <v>97.8</v>
      </c>
      <c r="I511">
        <v>-1957.8</v>
      </c>
      <c r="J511">
        <v>69.5</v>
      </c>
      <c r="K511">
        <v>0</v>
      </c>
      <c r="L511">
        <v>0.8</v>
      </c>
      <c r="M511">
        <v>0</v>
      </c>
      <c r="N511">
        <v>68.7</v>
      </c>
      <c r="O511">
        <v>111.28</v>
      </c>
      <c r="P511">
        <v>118.02</v>
      </c>
      <c r="Q511">
        <v>8.67</v>
      </c>
      <c r="R511">
        <v>7.98</v>
      </c>
      <c r="S511">
        <f>IF(OR(G511=0,G511=""),"",ABS((G511-152.740594)/5.729485))</f>
        <v>0.91795440602427836</v>
      </c>
      <c r="T511">
        <f>IF(OR(H511=0,H511=""),"",ABS((H511-96.426733)/5.037499))</f>
        <v>0.27260888786280618</v>
      </c>
      <c r="U511">
        <f t="shared" si="255"/>
        <v>0</v>
      </c>
      <c r="V511">
        <f>IF(OR(J511=0,J511=""),"",ABS((J511-69.40099)/2.222902))</f>
        <v>4.4540874946357029E-2</v>
      </c>
      <c r="W511" t="str">
        <f t="shared" si="256"/>
        <v/>
      </c>
      <c r="X511">
        <f>IF(OR(L511=0,L511=""),"",ABS((L511-1.849749)/1.393269))</f>
        <v>0.75344316137084799</v>
      </c>
      <c r="Y511" t="str">
        <f t="shared" si="257"/>
        <v/>
      </c>
      <c r="Z511">
        <f>IF(OR(N511=0,N511=""),"",ABS((N511-69.231188)/2.519549))</f>
        <v>0.21082662016098921</v>
      </c>
      <c r="AA511">
        <f>IF(OR(O511=0,O511=""),"",ABS((O511-113.18)/1.73698))</f>
        <v>1.0938525486764417</v>
      </c>
      <c r="AB511">
        <f>IF(OR(P511=0,P511=""),"",ABS((P511-114.765594)/1.645198))</f>
        <v>1.9781242136204902</v>
      </c>
      <c r="AC511">
        <f>IF(OR(Q511=0,Q511=""),"",ABS((Q511-8.040149)/0.55663))</f>
        <v>1.1315433950739278</v>
      </c>
      <c r="AD511">
        <f>IF(OR(R511=0,R511=""),"",ABS((R511-7.915297)/0.399795))</f>
        <v>0.16184044322715546</v>
      </c>
    </row>
    <row r="512" spans="1:30">
      <c r="A512" t="s">
        <v>384</v>
      </c>
      <c r="B512" t="s">
        <v>37</v>
      </c>
      <c r="C512" t="s">
        <v>38</v>
      </c>
      <c r="D512" t="s">
        <v>39</v>
      </c>
      <c r="E512" s="2">
        <v>46111</v>
      </c>
      <c r="F512" t="s">
        <v>40</v>
      </c>
      <c r="G512">
        <v>112.4</v>
      </c>
      <c r="H512">
        <v>81.099999999999994</v>
      </c>
      <c r="I512">
        <v>-1957.8</v>
      </c>
      <c r="J512">
        <v>69.5</v>
      </c>
      <c r="K512">
        <v>0</v>
      </c>
      <c r="L512">
        <v>1.4</v>
      </c>
      <c r="M512">
        <v>0</v>
      </c>
      <c r="N512">
        <v>68.099999999999994</v>
      </c>
      <c r="O512">
        <v>115.16</v>
      </c>
      <c r="P512">
        <v>115.16</v>
      </c>
      <c r="Q512">
        <v>3.96</v>
      </c>
      <c r="R512">
        <v>4.03</v>
      </c>
      <c r="S512">
        <f>IF(OR(G512=0,G512=""),"",ABS((G512-112.561871)/4.985957))</f>
        <v>3.246538227264912E-2</v>
      </c>
      <c r="T512">
        <f>IF(OR(H512=0,H512=""),"",ABS((H512-80.720624)/2.821681))</f>
        <v>0.13445035069520386</v>
      </c>
      <c r="U512">
        <f t="shared" si="255"/>
        <v>0</v>
      </c>
      <c r="V512">
        <f>IF(OR(J512=0,J512=""),"",ABS((J512-69.348681)/1.912674))</f>
        <v>7.9113847942723581E-2</v>
      </c>
      <c r="W512" t="str">
        <f t="shared" si="256"/>
        <v/>
      </c>
      <c r="X512">
        <f>IF(OR(L512=0,L512=""),"",ABS((L512-1.455283)/1.400093))</f>
        <v>3.9485234195157176E-2</v>
      </c>
      <c r="Y512" t="str">
        <f t="shared" si="257"/>
        <v/>
      </c>
      <c r="Z512">
        <f>IF(OR(N512=0,N512=""),"",ABS((N512-69.699041)/2.195614))</f>
        <v>0.728288761139253</v>
      </c>
      <c r="AA512">
        <f>IF(OR(O512=0,O512=""),"",ABS((O512-113.513094)/1.682996))</f>
        <v>0.978556098766724</v>
      </c>
      <c r="AB512">
        <f>IF(OR(P512=0,P512=""),"",ABS((P512-115.315492)/1.394108))</f>
        <v>0.11153511779575867</v>
      </c>
      <c r="AC512">
        <f>IF(OR(Q512=0,Q512=""),"",ABS((Q512-3.821127)/0.150485))</f>
        <v>0.92283616307273009</v>
      </c>
      <c r="AD512">
        <f>IF(OR(R512=0,R512=""),"",ABS((R512-3.848345)/0.156761))</f>
        <v>1.158802253111425</v>
      </c>
    </row>
    <row r="513" spans="1:30">
      <c r="A513" t="s">
        <v>385</v>
      </c>
      <c r="B513" t="s">
        <v>37</v>
      </c>
      <c r="C513" t="s">
        <v>38</v>
      </c>
      <c r="D513" t="s">
        <v>39</v>
      </c>
      <c r="E513" s="2">
        <v>46111</v>
      </c>
      <c r="F513" t="s">
        <v>40</v>
      </c>
      <c r="G513">
        <v>111.5</v>
      </c>
      <c r="H513">
        <v>79.3</v>
      </c>
      <c r="I513">
        <v>-1957.8</v>
      </c>
      <c r="J513">
        <v>70.400000000000006</v>
      </c>
      <c r="K513">
        <v>0</v>
      </c>
      <c r="L513">
        <v>0</v>
      </c>
      <c r="M513">
        <v>0</v>
      </c>
      <c r="N513">
        <v>70.400000000000006</v>
      </c>
      <c r="O513">
        <v>115.24</v>
      </c>
      <c r="P513">
        <v>115.46</v>
      </c>
      <c r="Q513">
        <v>3.96</v>
      </c>
      <c r="R513">
        <v>3.96</v>
      </c>
      <c r="S513">
        <f>IF(OR(G513=0,G513=""),"",ABS((G513-112.561871)/4.985957))</f>
        <v>0.21297235415387586</v>
      </c>
      <c r="T513">
        <f>IF(OR(H513=0,H513=""),"",ABS((H513-80.720624)/2.821681))</f>
        <v>0.50346725941026071</v>
      </c>
      <c r="U513">
        <f t="shared" si="255"/>
        <v>0</v>
      </c>
      <c r="V513">
        <f>IF(OR(J513=0,J513=""),"",ABS((J513-69.348681)/1.912674))</f>
        <v>0.5496592728295604</v>
      </c>
      <c r="W513" t="str">
        <f t="shared" si="256"/>
        <v/>
      </c>
      <c r="X513" t="str">
        <f>IF(OR(L513=0,L513=""),"",ABS((L513-1.455283)/1.400093))</f>
        <v/>
      </c>
      <c r="Y513" t="str">
        <f t="shared" si="257"/>
        <v/>
      </c>
      <c r="Z513">
        <f>IF(OR(N513=0,N513=""),"",ABS((N513-69.699041)/2.195614))</f>
        <v>0.31925420406319677</v>
      </c>
      <c r="AA513">
        <f>IF(OR(O513=0,O513=""),"",ABS((O513-113.513094)/1.682996))</f>
        <v>1.0260903769230585</v>
      </c>
      <c r="AB513">
        <f>IF(OR(P513=0,P513=""),"",ABS((P513-115.315492)/1.394108))</f>
        <v>0.10365624470987016</v>
      </c>
      <c r="AC513">
        <f>IF(OR(Q513=0,Q513=""),"",ABS((Q513-3.821127)/0.150485))</f>
        <v>0.92283616307273009</v>
      </c>
      <c r="AD513">
        <f>IF(OR(R513=0,R513=""),"",ABS((R513-3.848345)/0.156761))</f>
        <v>0.71226261633952215</v>
      </c>
    </row>
    <row r="514" spans="1:30">
      <c r="A514" t="s">
        <v>386</v>
      </c>
      <c r="B514" t="s">
        <v>37</v>
      </c>
      <c r="C514" t="s">
        <v>38</v>
      </c>
      <c r="D514" t="s">
        <v>39</v>
      </c>
      <c r="E514" s="2">
        <v>46112</v>
      </c>
      <c r="F514" t="s">
        <v>34</v>
      </c>
      <c r="G514">
        <v>93.2</v>
      </c>
      <c r="H514">
        <v>80.7</v>
      </c>
      <c r="I514">
        <v>-1957.8</v>
      </c>
      <c r="J514">
        <v>68.599999999999994</v>
      </c>
      <c r="K514">
        <v>0</v>
      </c>
      <c r="L514">
        <v>0.1</v>
      </c>
      <c r="M514">
        <v>0</v>
      </c>
      <c r="N514">
        <v>68.5</v>
      </c>
      <c r="O514">
        <v>111.94</v>
      </c>
      <c r="P514">
        <v>116.41</v>
      </c>
      <c r="Q514">
        <v>3.69</v>
      </c>
      <c r="R514">
        <v>3.76</v>
      </c>
      <c r="S514">
        <f>IF(OR(G514=0,G514=""),"",ABS((G514-112.561871)/4.985957))</f>
        <v>3.8832807824054627</v>
      </c>
      <c r="T514">
        <f>IF(OR(H514=0,H514=""),"",ABS((H514-80.720624)/2.821681))</f>
        <v>7.309118217118795E-3</v>
      </c>
      <c r="U514">
        <f t="shared" ref="U514:U577" si="285">IF(OR(I514=0,I514=""),"",ABS((I514--1957.8)/1))</f>
        <v>0</v>
      </c>
      <c r="V514">
        <f>IF(OR(J514=0,J514=""),"",ABS((J514-69.348681)/1.912674))</f>
        <v>0.39143157694411324</v>
      </c>
      <c r="W514" t="str">
        <f t="shared" ref="W514:W577" si="286">IF(OR(K514=0,K514=""),"",ABS((K514-0)/1))</f>
        <v/>
      </c>
      <c r="X514">
        <f>IF(OR(L514=0,L514=""),"",ABS((L514-1.455283)/1.400093))</f>
        <v>0.96799498319040234</v>
      </c>
      <c r="Y514" t="str">
        <f t="shared" ref="Y514:Y577" si="287">IF(OR(M514=0,M514=""),"",ABS((M514-0)/1))</f>
        <v/>
      </c>
      <c r="Z514">
        <f>IF(OR(N514=0,N514=""),"",ABS((N514-69.699041)/2.195614))</f>
        <v>0.54610737588665137</v>
      </c>
      <c r="AA514">
        <f>IF(OR(O514=0,O514=""),"",ABS((O514-113.513094)/1.682996))</f>
        <v>0.93469859702577884</v>
      </c>
      <c r="AB514">
        <f>IF(OR(P514=0,P514=""),"",ABS((P514-115.315492)/1.394108))</f>
        <v>0.78509555931103658</v>
      </c>
      <c r="AC514">
        <f>IF(OR(Q514=0,Q514=""),"",ABS((Q514-3.821127)/0.150485))</f>
        <v>0.87136259427850093</v>
      </c>
      <c r="AD514">
        <f>IF(OR(R514=0,R514=""),"",ABS((R514-3.848345)/0.156761))</f>
        <v>0.56356491729448221</v>
      </c>
    </row>
    <row r="515" spans="1:30">
      <c r="A515" t="s">
        <v>386</v>
      </c>
      <c r="B515" t="s">
        <v>37</v>
      </c>
      <c r="C515" t="s">
        <v>38</v>
      </c>
      <c r="D515" t="s">
        <v>39</v>
      </c>
      <c r="E515" s="2">
        <v>46112</v>
      </c>
      <c r="F515" t="s">
        <v>40</v>
      </c>
      <c r="G515">
        <v>105.7</v>
      </c>
      <c r="H515">
        <v>81.099999999999994</v>
      </c>
      <c r="I515">
        <v>-1957.8</v>
      </c>
      <c r="J515">
        <v>69.099999999999994</v>
      </c>
      <c r="K515">
        <v>0</v>
      </c>
      <c r="L515">
        <v>0</v>
      </c>
      <c r="M515">
        <v>0</v>
      </c>
      <c r="N515">
        <v>69.099999999999994</v>
      </c>
      <c r="O515">
        <v>111.79</v>
      </c>
      <c r="P515">
        <v>113.04</v>
      </c>
      <c r="Q515">
        <v>3.86</v>
      </c>
      <c r="R515">
        <v>3.86</v>
      </c>
      <c r="S515">
        <f>IF(OR(G515=0,G515=""),"",ABS((G515-112.561871)/4.985957))</f>
        <v>1.3762395062773292</v>
      </c>
      <c r="T515">
        <f>IF(OR(H515=0,H515=""),"",ABS((H515-80.720624)/2.821681))</f>
        <v>0.13445035069520386</v>
      </c>
      <c r="U515">
        <f t="shared" si="285"/>
        <v>0</v>
      </c>
      <c r="V515">
        <f>IF(OR(J515=0,J515=""),"",ABS((J515-69.348681)/1.912674))</f>
        <v>0.13001745200698331</v>
      </c>
      <c r="W515" t="str">
        <f t="shared" si="286"/>
        <v/>
      </c>
      <c r="X515" t="str">
        <f>IF(OR(L515=0,L515=""),"",ABS((L515-1.455283)/1.400093))</f>
        <v/>
      </c>
      <c r="Y515" t="str">
        <f t="shared" si="287"/>
        <v/>
      </c>
      <c r="Z515">
        <f>IF(OR(N515=0,N515=""),"",ABS((N515-69.699041)/2.195614))</f>
        <v>0.27283529800775536</v>
      </c>
      <c r="AA515">
        <f>IF(OR(O515=0,O515=""),"",ABS((O515-113.513094)/1.682996))</f>
        <v>1.0238253685689027</v>
      </c>
      <c r="AB515">
        <f>IF(OR(P515=0,P515=""),"",ABS((P515-115.315492)/1.394108))</f>
        <v>1.6322207461688765</v>
      </c>
      <c r="AC515">
        <f>IF(OR(Q515=0,Q515=""),"",ABS((Q515-3.821127)/0.150485))</f>
        <v>0.25831810479449585</v>
      </c>
      <c r="AD515">
        <f>IF(OR(R515=0,R515=""),"",ABS((R515-3.848345)/0.156761))</f>
        <v>7.4348849522519939E-2</v>
      </c>
    </row>
    <row r="516" spans="1:30">
      <c r="A516" t="s">
        <v>387</v>
      </c>
      <c r="B516" t="s">
        <v>37</v>
      </c>
      <c r="C516" t="s">
        <v>38</v>
      </c>
      <c r="D516" t="s">
        <v>39</v>
      </c>
      <c r="E516" s="2">
        <v>46112</v>
      </c>
      <c r="F516" t="s">
        <v>40</v>
      </c>
      <c r="G516">
        <v>106.2</v>
      </c>
      <c r="H516">
        <v>81.099999999999994</v>
      </c>
      <c r="I516">
        <v>-1957.8</v>
      </c>
      <c r="J516">
        <v>69.099999999999994</v>
      </c>
      <c r="K516">
        <v>0</v>
      </c>
      <c r="L516">
        <v>0.2</v>
      </c>
      <c r="M516">
        <v>0</v>
      </c>
      <c r="N516">
        <v>68.900000000000006</v>
      </c>
      <c r="O516">
        <v>112.08</v>
      </c>
      <c r="P516">
        <v>116.63</v>
      </c>
      <c r="Q516">
        <v>3.98</v>
      </c>
      <c r="R516">
        <v>3.98</v>
      </c>
      <c r="S516">
        <f>IF(OR(G516=0,G516=""),"",ABS((G516-112.561871)/4.985957))</f>
        <v>1.275957855232204</v>
      </c>
      <c r="T516">
        <f>IF(OR(H516=0,H516=""),"",ABS((H516-80.720624)/2.821681))</f>
        <v>0.13445035069520386</v>
      </c>
      <c r="U516">
        <f t="shared" si="285"/>
        <v>0</v>
      </c>
      <c r="V516">
        <f>IF(OR(J516=0,J516=""),"",ABS((J516-69.348681)/1.912674))</f>
        <v>0.13001745200698331</v>
      </c>
      <c r="W516" t="str">
        <f t="shared" si="286"/>
        <v/>
      </c>
      <c r="X516">
        <f>IF(OR(L516=0,L516=""),"",ABS((L516-1.455283)/1.400093))</f>
        <v>0.89657115634461437</v>
      </c>
      <c r="Y516" t="str">
        <f t="shared" si="287"/>
        <v/>
      </c>
      <c r="Z516">
        <f>IF(OR(N516=0,N516=""),"",ABS((N516-69.699041)/2.195614))</f>
        <v>0.36392599063404968</v>
      </c>
      <c r="AA516">
        <f>IF(OR(O516=0,O516=""),"",ABS((O516-113.513094)/1.682996))</f>
        <v>0.8515136102521913</v>
      </c>
      <c r="AB516">
        <f>IF(OR(P516=0,P516=""),"",ABS((P516-115.315492)/1.394108))</f>
        <v>0.94290255848183169</v>
      </c>
      <c r="AC516">
        <f>IF(OR(Q516=0,Q516=""),"",ABS((Q516-3.821127)/0.150485))</f>
        <v>1.055739774728377</v>
      </c>
      <c r="AD516">
        <f>IF(OR(R516=0,R516=""),"",ABS((R516-3.848345)/0.156761))</f>
        <v>0.83984536970292256</v>
      </c>
    </row>
    <row r="517" spans="1:30">
      <c r="A517" t="s">
        <v>261</v>
      </c>
      <c r="B517" t="s">
        <v>31</v>
      </c>
      <c r="C517" t="s">
        <v>32</v>
      </c>
      <c r="D517" t="s">
        <v>33</v>
      </c>
      <c r="E517" s="2">
        <v>46112</v>
      </c>
      <c r="F517" t="s">
        <v>34</v>
      </c>
      <c r="G517">
        <v>127.6</v>
      </c>
      <c r="H517">
        <v>86.1</v>
      </c>
      <c r="I517">
        <v>-1957.8</v>
      </c>
      <c r="J517">
        <v>69.5</v>
      </c>
      <c r="K517">
        <v>0</v>
      </c>
      <c r="L517">
        <v>1.4</v>
      </c>
      <c r="M517">
        <v>0</v>
      </c>
      <c r="N517">
        <v>68.099999999999994</v>
      </c>
      <c r="O517">
        <v>111.94</v>
      </c>
      <c r="P517">
        <v>113.04</v>
      </c>
      <c r="Q517">
        <v>6.15</v>
      </c>
      <c r="R517">
        <v>6.59</v>
      </c>
      <c r="S517">
        <f>IF(OR(G517=0,G517=""),"",ABS((G517-152.740594)/5.729485))</f>
        <v>4.3879325977814743</v>
      </c>
      <c r="T517">
        <f>IF(OR(H517=0,H517=""),"",ABS((H517-96.426733)/5.037499))</f>
        <v>2.0499722183567686</v>
      </c>
      <c r="U517">
        <f t="shared" si="285"/>
        <v>0</v>
      </c>
      <c r="V517">
        <f>IF(OR(J517=0,J517=""),"",ABS((J517-69.40099)/2.222902))</f>
        <v>4.4540874946357029E-2</v>
      </c>
      <c r="W517" t="str">
        <f t="shared" si="286"/>
        <v/>
      </c>
      <c r="X517">
        <f>IF(OR(L517=0,L517=""),"",ABS((L517-1.849749)/1.393269))</f>
        <v>0.32280126809682852</v>
      </c>
      <c r="Y517" t="str">
        <f t="shared" si="287"/>
        <v/>
      </c>
      <c r="Z517">
        <f>IF(OR(N517=0,N517=""),"",ABS((N517-69.231188)/2.519549))</f>
        <v>0.44896447737273959</v>
      </c>
      <c r="AA517">
        <f>IF(OR(O517=0,O517=""),"",ABS((O517-113.18)/1.73698))</f>
        <v>0.71388271597831243</v>
      </c>
      <c r="AB517">
        <f>IF(OR(P517=0,P517=""),"",ABS((P517-114.765594)/1.645198))</f>
        <v>1.0488670664564306</v>
      </c>
      <c r="AC517">
        <f>IF(OR(Q517=0,Q517=""),"",ABS((Q517-8.040149)/0.55663))</f>
        <v>3.3957009144314885</v>
      </c>
      <c r="AD517">
        <f>IF(OR(R517=0,R517=""),"",ABS((R517-7.915297)/0.399795))</f>
        <v>3.3149414074713288</v>
      </c>
    </row>
    <row r="518" spans="1:30">
      <c r="A518" t="s">
        <v>261</v>
      </c>
      <c r="B518" t="s">
        <v>31</v>
      </c>
      <c r="C518" t="s">
        <v>32</v>
      </c>
      <c r="D518" t="s">
        <v>33</v>
      </c>
      <c r="E518" s="2">
        <v>46112</v>
      </c>
      <c r="F518" t="s">
        <v>34</v>
      </c>
      <c r="G518">
        <v>168.2</v>
      </c>
      <c r="H518">
        <v>89.7</v>
      </c>
      <c r="I518">
        <v>-1957.8</v>
      </c>
      <c r="J518">
        <v>69.5</v>
      </c>
      <c r="K518">
        <v>0</v>
      </c>
      <c r="L518">
        <v>0.6</v>
      </c>
      <c r="M518">
        <v>0</v>
      </c>
      <c r="N518">
        <v>68.900000000000006</v>
      </c>
      <c r="O518">
        <v>112.16</v>
      </c>
      <c r="P518">
        <v>113.4</v>
      </c>
      <c r="Q518">
        <v>6.62</v>
      </c>
      <c r="R518">
        <v>6.88</v>
      </c>
      <c r="S518">
        <f>IF(OR(G518=0,G518=""),"",ABS((G518-152.740594)/5.729485))</f>
        <v>2.6982191244064695</v>
      </c>
      <c r="T518">
        <f>IF(OR(H518=0,H518=""),"",ABS((H518-96.426733)/5.037499))</f>
        <v>1.3353318779815133</v>
      </c>
      <c r="U518">
        <f t="shared" si="285"/>
        <v>0</v>
      </c>
      <c r="V518">
        <f>IF(OR(J518=0,J518=""),"",ABS((J518-69.40099)/2.222902))</f>
        <v>4.4540874946357029E-2</v>
      </c>
      <c r="W518" t="str">
        <f t="shared" si="286"/>
        <v/>
      </c>
      <c r="X518">
        <f>IF(OR(L518=0,L518=""),"",ABS((L518-1.849749)/1.393269))</f>
        <v>0.89699045912885444</v>
      </c>
      <c r="Y518" t="str">
        <f t="shared" si="287"/>
        <v/>
      </c>
      <c r="Z518">
        <f>IF(OR(N518=0,N518=""),"",ABS((N518-69.231188)/2.519549))</f>
        <v>0.13144733442373907</v>
      </c>
      <c r="AA518">
        <f>IF(OR(O518=0,O518=""),"",ABS((O518-113.18)/1.73698))</f>
        <v>0.58722610507893602</v>
      </c>
      <c r="AB518">
        <f>IF(OR(P518=0,P518=""),"",ABS((P518-114.765594)/1.645198))</f>
        <v>0.8300484197038821</v>
      </c>
      <c r="AC518">
        <f>IF(OR(Q518=0,Q518=""),"",ABS((Q518-8.040149)/0.55663))</f>
        <v>2.5513339201983354</v>
      </c>
      <c r="AD518">
        <f>IF(OR(R518=0,R518=""),"",ABS((R518-7.915297)/0.399795))</f>
        <v>2.5895696544479043</v>
      </c>
    </row>
    <row r="519" spans="1:30">
      <c r="A519" t="s">
        <v>261</v>
      </c>
      <c r="B519" t="s">
        <v>31</v>
      </c>
      <c r="C519" t="s">
        <v>32</v>
      </c>
      <c r="D519" t="s">
        <v>33</v>
      </c>
      <c r="E519" s="2">
        <v>46112</v>
      </c>
      <c r="F519" t="s">
        <v>34</v>
      </c>
      <c r="G519">
        <v>141.9</v>
      </c>
      <c r="H519">
        <v>90.1</v>
      </c>
      <c r="I519">
        <v>-1957.8</v>
      </c>
      <c r="J519">
        <v>69.5</v>
      </c>
      <c r="K519">
        <v>0</v>
      </c>
      <c r="L519">
        <v>0.1</v>
      </c>
      <c r="M519">
        <v>0</v>
      </c>
      <c r="N519">
        <v>69.400000000000006</v>
      </c>
      <c r="O519">
        <v>115.68</v>
      </c>
      <c r="P519">
        <v>116.92</v>
      </c>
      <c r="Q519">
        <v>6.67</v>
      </c>
      <c r="R519">
        <v>6.79</v>
      </c>
      <c r="S519">
        <f>IF(OR(G519=0,G519=""),"",ABS((G519-152.740594)/5.729485))</f>
        <v>1.8920712769123196</v>
      </c>
      <c r="T519">
        <f>IF(OR(H519=0,H519=""),"",ABS((H519-96.426733)/5.037499))</f>
        <v>1.255927395717598</v>
      </c>
      <c r="U519">
        <f t="shared" si="285"/>
        <v>0</v>
      </c>
      <c r="V519">
        <f>IF(OR(J519=0,J519=""),"",ABS((J519-69.40099)/2.222902))</f>
        <v>4.4540874946357029E-2</v>
      </c>
      <c r="W519" t="str">
        <f t="shared" si="286"/>
        <v/>
      </c>
      <c r="X519">
        <f>IF(OR(L519=0,L519=""),"",ABS((L519-1.849749)/1.393269))</f>
        <v>1.2558587035238709</v>
      </c>
      <c r="Y519" t="str">
        <f t="shared" si="287"/>
        <v/>
      </c>
      <c r="Z519">
        <f>IF(OR(N519=0,N519=""),"",ABS((N519-69.231188)/2.519549))</f>
        <v>6.7000879919383444E-2</v>
      </c>
      <c r="AA519">
        <f>IF(OR(O519=0,O519=""),"",ABS((O519-113.18)/1.73698))</f>
        <v>1.4392796693111032</v>
      </c>
      <c r="AB519">
        <f>IF(OR(P519=0,P519=""),"",ABS((P519-114.765594)/1.645198))</f>
        <v>1.3095116818765939</v>
      </c>
      <c r="AC519">
        <f>IF(OR(Q519=0,Q519=""),"",ABS((Q519-8.040149)/0.55663))</f>
        <v>2.4615076442160855</v>
      </c>
      <c r="AD519">
        <f>IF(OR(R519=0,R519=""),"",ABS((R519-7.915297)/0.399795))</f>
        <v>2.8146850260758631</v>
      </c>
    </row>
    <row r="520" spans="1:30">
      <c r="A520" t="s">
        <v>261</v>
      </c>
      <c r="B520" t="s">
        <v>31</v>
      </c>
      <c r="C520" t="s">
        <v>32</v>
      </c>
      <c r="D520" t="s">
        <v>33</v>
      </c>
      <c r="E520" s="2">
        <v>46112</v>
      </c>
      <c r="F520" t="s">
        <v>40</v>
      </c>
      <c r="G520">
        <v>148.1</v>
      </c>
      <c r="H520">
        <v>91.5</v>
      </c>
      <c r="I520">
        <v>-1957.8</v>
      </c>
      <c r="J520">
        <v>70</v>
      </c>
      <c r="K520">
        <v>0</v>
      </c>
      <c r="L520">
        <v>0.4</v>
      </c>
      <c r="M520">
        <v>0</v>
      </c>
      <c r="N520">
        <v>70.400000000000006</v>
      </c>
      <c r="O520">
        <v>115.46</v>
      </c>
      <c r="P520">
        <v>115.6</v>
      </c>
      <c r="Q520">
        <v>6.79</v>
      </c>
      <c r="R520">
        <v>6.98</v>
      </c>
      <c r="S520">
        <f>IF(OR(G520=0,G520=""),"",ABS((G520-152.740594)/5.729485))</f>
        <v>0.80994958534667472</v>
      </c>
      <c r="T520">
        <f>IF(OR(H520=0,H520=""),"",ABS((H520-96.426733)/5.037499))</f>
        <v>0.97801170779388702</v>
      </c>
      <c r="U520">
        <f t="shared" si="285"/>
        <v>0</v>
      </c>
      <c r="V520">
        <f>IF(OR(J520=0,J520=""),"",ABS((J520-69.40099)/2.222902))</f>
        <v>0.26947206849425076</v>
      </c>
      <c r="W520" t="str">
        <f t="shared" si="286"/>
        <v/>
      </c>
      <c r="X520">
        <f>IF(OR(L520=0,L520=""),"",ABS((L520-1.849749)/1.393269))</f>
        <v>1.040537756886861</v>
      </c>
      <c r="Y520" t="str">
        <f t="shared" si="287"/>
        <v/>
      </c>
      <c r="Z520">
        <f>IF(OR(N520=0,N520=""),"",ABS((N520-69.231188)/2.519549))</f>
        <v>0.46389730860562844</v>
      </c>
      <c r="AA520">
        <f>IF(OR(O520=0,O520=""),"",ABS((O520-113.18)/1.73698))</f>
        <v>1.3126230584117187</v>
      </c>
      <c r="AB520">
        <f>IF(OR(P520=0,P520=""),"",ABS((P520-114.765594)/1.645198))</f>
        <v>0.50717664378391014</v>
      </c>
      <c r="AC520">
        <f>IF(OR(Q520=0,Q520=""),"",ABS((Q520-8.040149)/0.55663))</f>
        <v>2.2459245818586844</v>
      </c>
      <c r="AD520">
        <f>IF(OR(R520=0,R520=""),"",ABS((R520-7.915297)/0.399795))</f>
        <v>2.3394414637501701</v>
      </c>
    </row>
    <row r="521" spans="1:30">
      <c r="A521" t="s">
        <v>388</v>
      </c>
      <c r="B521" t="s">
        <v>31</v>
      </c>
      <c r="C521" t="s">
        <v>32</v>
      </c>
      <c r="D521" t="s">
        <v>33</v>
      </c>
      <c r="E521" s="2">
        <v>46112</v>
      </c>
      <c r="F521" t="s">
        <v>40</v>
      </c>
      <c r="G521">
        <v>156.6</v>
      </c>
      <c r="H521">
        <v>93.3</v>
      </c>
      <c r="I521">
        <v>-1957.8</v>
      </c>
      <c r="J521">
        <v>70</v>
      </c>
      <c r="K521">
        <v>0</v>
      </c>
      <c r="L521">
        <v>1.3</v>
      </c>
      <c r="M521">
        <v>0</v>
      </c>
      <c r="N521">
        <v>71.3</v>
      </c>
      <c r="O521">
        <v>115.38</v>
      </c>
      <c r="P521">
        <v>115.16</v>
      </c>
      <c r="Q521">
        <v>6.81</v>
      </c>
      <c r="R521">
        <v>7.47</v>
      </c>
      <c r="S521">
        <f>IF(OR(G521=0,G521=""),"",ABS((G521-152.740594)/5.729485))</f>
        <v>0.67360434663848612</v>
      </c>
      <c r="T521">
        <f>IF(OR(H521=0,H521=""),"",ABS((H521-96.426733)/5.037499))</f>
        <v>0.62069153760626083</v>
      </c>
      <c r="U521">
        <f t="shared" si="285"/>
        <v>0</v>
      </c>
      <c r="V521">
        <f>IF(OR(J521=0,J521=""),"",ABS((J521-69.40099)/2.222902))</f>
        <v>0.26947206849425076</v>
      </c>
      <c r="W521" t="str">
        <f t="shared" si="286"/>
        <v/>
      </c>
      <c r="X521">
        <f>IF(OR(L521=0,L521=""),"",ABS((L521-1.849749)/1.393269))</f>
        <v>0.39457491697583169</v>
      </c>
      <c r="Y521" t="str">
        <f t="shared" si="287"/>
        <v/>
      </c>
      <c r="Z521">
        <f>IF(OR(N521=0,N521=""),"",ABS((N521-69.231188)/2.519549))</f>
        <v>0.82110409442324561</v>
      </c>
      <c r="AA521">
        <f>IF(OR(O521=0,O521=""),"",ABS((O521-113.18)/1.73698))</f>
        <v>1.2665661089937643</v>
      </c>
      <c r="AB521">
        <f>IF(OR(P521=0,P521=""),"",ABS((P521-114.765594)/1.645198))</f>
        <v>0.23973163108635168</v>
      </c>
      <c r="AC521">
        <f>IF(OR(Q521=0,Q521=""),"",ABS((Q521-8.040149)/0.55663))</f>
        <v>2.2099940714657853</v>
      </c>
      <c r="AD521">
        <f>IF(OR(R521=0,R521=""),"",ABS((R521-7.915297)/0.399795))</f>
        <v>1.1138133293312824</v>
      </c>
    </row>
    <row r="522" spans="1:30">
      <c r="A522" t="s">
        <v>389</v>
      </c>
      <c r="B522" t="s">
        <v>37</v>
      </c>
      <c r="C522" t="s">
        <v>38</v>
      </c>
      <c r="D522" t="s">
        <v>39</v>
      </c>
      <c r="E522" s="2">
        <v>46112</v>
      </c>
      <c r="F522" t="s">
        <v>40</v>
      </c>
      <c r="G522">
        <v>113.7</v>
      </c>
      <c r="H522">
        <v>80.2</v>
      </c>
      <c r="I522">
        <v>-1957.8</v>
      </c>
      <c r="J522">
        <v>70.400000000000006</v>
      </c>
      <c r="K522">
        <v>0</v>
      </c>
      <c r="L522">
        <v>1.1000000000000001</v>
      </c>
      <c r="M522">
        <v>0</v>
      </c>
      <c r="N522">
        <v>71.5</v>
      </c>
      <c r="O522">
        <v>115.31</v>
      </c>
      <c r="P522">
        <v>115.31</v>
      </c>
      <c r="Q522">
        <v>3.86</v>
      </c>
      <c r="R522">
        <v>3.96</v>
      </c>
      <c r="S522">
        <f t="shared" ref="S522:S553" si="288">IF(OR(G522=0,G522=""),"",ABS((G522-112.561871)/4.985957))</f>
        <v>0.2282669104446762</v>
      </c>
      <c r="T522">
        <f t="shared" ref="T522:T553" si="289">IF(OR(H522=0,H522=""),"",ABS((H522-80.720624)/2.821681))</f>
        <v>0.18450845435752589</v>
      </c>
      <c r="U522">
        <f t="shared" si="285"/>
        <v>0</v>
      </c>
      <c r="V522">
        <f t="shared" ref="V522:V553" si="290">IF(OR(J522=0,J522=""),"",ABS((J522-69.348681)/1.912674))</f>
        <v>0.5496592728295604</v>
      </c>
      <c r="W522" t="str">
        <f t="shared" si="286"/>
        <v/>
      </c>
      <c r="X522">
        <f t="shared" ref="X522:X553" si="291">IF(OR(L522=0,L522=""),"",ABS((L522-1.455283)/1.400093))</f>
        <v>0.25375671473252137</v>
      </c>
      <c r="Y522" t="str">
        <f t="shared" si="287"/>
        <v/>
      </c>
      <c r="Z522">
        <f t="shared" ref="Z522:Z553" si="292">IF(OR(N522=0,N522=""),"",ABS((N522-69.699041)/2.195614))</f>
        <v>0.82025301350784152</v>
      </c>
      <c r="AA522">
        <f t="shared" ref="AA522:AA553" si="293">IF(OR(O522=0,O522=""),"",ABS((O522-113.513094)/1.682996))</f>
        <v>1.0676828703098564</v>
      </c>
      <c r="AB522">
        <f t="shared" ref="AB522:AB553" si="294">IF(OR(P522=0,P522=""),"",ABS((P522-115.315492)/1.394108))</f>
        <v>3.9394365429391608E-3</v>
      </c>
      <c r="AC522">
        <f t="shared" ref="AC522:AC553" si="295">IF(OR(Q522=0,Q522=""),"",ABS((Q522-3.821127)/0.150485))</f>
        <v>0.25831810479449585</v>
      </c>
      <c r="AD522">
        <f t="shared" ref="AD522:AD553" si="296">IF(OR(R522=0,R522=""),"",ABS((R522-3.848345)/0.156761))</f>
        <v>0.71226261633952215</v>
      </c>
    </row>
    <row r="523" spans="1:30">
      <c r="A523" t="s">
        <v>390</v>
      </c>
      <c r="B523" t="s">
        <v>37</v>
      </c>
      <c r="C523" t="s">
        <v>38</v>
      </c>
      <c r="D523" t="s">
        <v>39</v>
      </c>
      <c r="E523" s="2">
        <v>46112</v>
      </c>
      <c r="F523" t="s">
        <v>40</v>
      </c>
      <c r="G523">
        <v>114.2</v>
      </c>
      <c r="H523">
        <v>83.8</v>
      </c>
      <c r="I523">
        <v>-1957.8</v>
      </c>
      <c r="J523">
        <v>70</v>
      </c>
      <c r="K523">
        <v>0</v>
      </c>
      <c r="L523">
        <v>1.4</v>
      </c>
      <c r="M523">
        <v>0</v>
      </c>
      <c r="N523">
        <v>71.400000000000006</v>
      </c>
      <c r="O523">
        <v>111.72</v>
      </c>
      <c r="P523">
        <v>113.33</v>
      </c>
      <c r="Q523">
        <v>3.96</v>
      </c>
      <c r="R523">
        <v>4.03</v>
      </c>
      <c r="S523">
        <f t="shared" si="288"/>
        <v>0.32854856148980155</v>
      </c>
      <c r="T523">
        <f t="shared" si="289"/>
        <v>1.0913267658534032</v>
      </c>
      <c r="U523">
        <f t="shared" si="285"/>
        <v>0</v>
      </c>
      <c r="V523">
        <f t="shared" si="290"/>
        <v>0.34052797287985348</v>
      </c>
      <c r="W523" t="str">
        <f t="shared" si="286"/>
        <v/>
      </c>
      <c r="X523">
        <f t="shared" si="291"/>
        <v>3.9485234195157176E-2</v>
      </c>
      <c r="Y523" t="str">
        <f t="shared" si="287"/>
        <v/>
      </c>
      <c r="Z523">
        <f t="shared" si="292"/>
        <v>0.77470766719469442</v>
      </c>
      <c r="AA523">
        <f t="shared" si="293"/>
        <v>1.0654178619557007</v>
      </c>
      <c r="AB523">
        <f t="shared" si="294"/>
        <v>1.4242024290801056</v>
      </c>
      <c r="AC523">
        <f t="shared" si="295"/>
        <v>0.92283616307273009</v>
      </c>
      <c r="AD523">
        <f t="shared" si="296"/>
        <v>1.158802253111425</v>
      </c>
    </row>
    <row r="524" spans="1:30">
      <c r="A524" t="s">
        <v>391</v>
      </c>
      <c r="B524" t="s">
        <v>37</v>
      </c>
      <c r="C524" t="s">
        <v>38</v>
      </c>
      <c r="D524" t="s">
        <v>39</v>
      </c>
      <c r="E524" s="2">
        <v>46112</v>
      </c>
      <c r="F524" t="s">
        <v>40</v>
      </c>
      <c r="G524">
        <v>110.6</v>
      </c>
      <c r="H524">
        <v>82.5</v>
      </c>
      <c r="I524">
        <v>-1957.8</v>
      </c>
      <c r="J524">
        <v>70</v>
      </c>
      <c r="K524">
        <v>0</v>
      </c>
      <c r="L524">
        <v>0.7</v>
      </c>
      <c r="M524">
        <v>0</v>
      </c>
      <c r="N524">
        <v>70.7</v>
      </c>
      <c r="O524">
        <v>114.94</v>
      </c>
      <c r="P524">
        <v>115.02</v>
      </c>
      <c r="Q524">
        <v>3.76</v>
      </c>
      <c r="R524">
        <v>3.88</v>
      </c>
      <c r="S524">
        <f t="shared" si="288"/>
        <v>0.39347932603510261</v>
      </c>
      <c r="T524">
        <f t="shared" si="289"/>
        <v>0.63060849188834578</v>
      </c>
      <c r="U524">
        <f t="shared" si="285"/>
        <v>0</v>
      </c>
      <c r="V524">
        <f t="shared" si="290"/>
        <v>0.34052797287985348</v>
      </c>
      <c r="W524" t="str">
        <f t="shared" si="286"/>
        <v/>
      </c>
      <c r="X524">
        <f t="shared" si="291"/>
        <v>0.53945202211567389</v>
      </c>
      <c r="Y524" t="str">
        <f t="shared" si="287"/>
        <v/>
      </c>
      <c r="Z524">
        <f t="shared" si="292"/>
        <v>0.45589024300264475</v>
      </c>
      <c r="AA524">
        <f t="shared" si="293"/>
        <v>0.84783683383680208</v>
      </c>
      <c r="AB524">
        <f t="shared" si="294"/>
        <v>0.21195775363172015</v>
      </c>
      <c r="AC524">
        <f t="shared" si="295"/>
        <v>0.40619995348373839</v>
      </c>
      <c r="AD524">
        <f t="shared" si="296"/>
        <v>0.20193160288592038</v>
      </c>
    </row>
    <row r="525" spans="1:30">
      <c r="A525" t="s">
        <v>392</v>
      </c>
      <c r="B525" t="s">
        <v>37</v>
      </c>
      <c r="C525" t="s">
        <v>38</v>
      </c>
      <c r="D525" t="s">
        <v>39</v>
      </c>
      <c r="E525" s="2">
        <v>46112</v>
      </c>
      <c r="F525" t="s">
        <v>40</v>
      </c>
      <c r="G525">
        <v>113.3</v>
      </c>
      <c r="H525">
        <v>81.599999999999994</v>
      </c>
      <c r="I525">
        <v>-1957.8</v>
      </c>
      <c r="J525">
        <v>70.400000000000006</v>
      </c>
      <c r="K525">
        <v>0</v>
      </c>
      <c r="L525">
        <v>0.6</v>
      </c>
      <c r="M525">
        <v>0</v>
      </c>
      <c r="N525">
        <v>71</v>
      </c>
      <c r="O525">
        <v>115.31</v>
      </c>
      <c r="P525">
        <v>115.16</v>
      </c>
      <c r="Q525">
        <v>3.86</v>
      </c>
      <c r="R525">
        <v>3.91</v>
      </c>
      <c r="S525">
        <f t="shared" si="288"/>
        <v>0.14804158960857478</v>
      </c>
      <c r="T525">
        <f t="shared" si="289"/>
        <v>0.31164968683561095</v>
      </c>
      <c r="U525">
        <f t="shared" si="285"/>
        <v>0</v>
      </c>
      <c r="V525">
        <f t="shared" si="290"/>
        <v>0.5496592728295604</v>
      </c>
      <c r="W525" t="str">
        <f t="shared" si="286"/>
        <v/>
      </c>
      <c r="X525">
        <f t="shared" si="291"/>
        <v>0.61087584896146196</v>
      </c>
      <c r="Y525" t="str">
        <f t="shared" si="287"/>
        <v/>
      </c>
      <c r="Z525">
        <f t="shared" si="292"/>
        <v>0.59252628194209278</v>
      </c>
      <c r="AA525">
        <f t="shared" si="293"/>
        <v>1.0676828703098564</v>
      </c>
      <c r="AB525">
        <f t="shared" si="294"/>
        <v>0.11153511779575867</v>
      </c>
      <c r="AC525">
        <f t="shared" si="295"/>
        <v>0.25831810479449585</v>
      </c>
      <c r="AD525">
        <f t="shared" si="296"/>
        <v>0.39330573293102244</v>
      </c>
    </row>
    <row r="526" spans="1:30">
      <c r="A526" t="s">
        <v>393</v>
      </c>
      <c r="B526" t="s">
        <v>37</v>
      </c>
      <c r="C526" t="s">
        <v>38</v>
      </c>
      <c r="D526" t="s">
        <v>39</v>
      </c>
      <c r="E526" s="2">
        <v>46112</v>
      </c>
      <c r="F526" t="s">
        <v>40</v>
      </c>
      <c r="G526">
        <v>108.8</v>
      </c>
      <c r="H526">
        <v>85.2</v>
      </c>
      <c r="I526">
        <v>-1957.8</v>
      </c>
      <c r="J526">
        <v>70.400000000000006</v>
      </c>
      <c r="K526">
        <v>0</v>
      </c>
      <c r="L526">
        <v>0.9</v>
      </c>
      <c r="M526">
        <v>0</v>
      </c>
      <c r="N526">
        <v>71.3</v>
      </c>
      <c r="O526">
        <v>112.52</v>
      </c>
      <c r="P526">
        <v>116.7</v>
      </c>
      <c r="Q526">
        <v>3.91</v>
      </c>
      <c r="R526">
        <v>3.86</v>
      </c>
      <c r="S526">
        <f t="shared" si="288"/>
        <v>0.75449326979755327</v>
      </c>
      <c r="T526">
        <f t="shared" si="289"/>
        <v>1.5874849070465451</v>
      </c>
      <c r="U526">
        <f t="shared" si="285"/>
        <v>0</v>
      </c>
      <c r="V526">
        <f t="shared" si="290"/>
        <v>0.5496592728295604</v>
      </c>
      <c r="W526" t="str">
        <f t="shared" si="286"/>
        <v/>
      </c>
      <c r="X526">
        <f t="shared" si="291"/>
        <v>0.39660436842409758</v>
      </c>
      <c r="Y526" t="str">
        <f t="shared" si="287"/>
        <v/>
      </c>
      <c r="Z526">
        <f t="shared" si="292"/>
        <v>0.72916232088154076</v>
      </c>
      <c r="AA526">
        <f t="shared" si="293"/>
        <v>0.59007508039234746</v>
      </c>
      <c r="AB526">
        <f t="shared" si="294"/>
        <v>0.99311387639981752</v>
      </c>
      <c r="AC526">
        <f t="shared" si="295"/>
        <v>0.59057713393361444</v>
      </c>
      <c r="AD526">
        <f t="shared" si="296"/>
        <v>7.4348849522519939E-2</v>
      </c>
    </row>
    <row r="527" spans="1:30">
      <c r="A527" t="s">
        <v>394</v>
      </c>
      <c r="B527" t="s">
        <v>37</v>
      </c>
      <c r="C527" t="s">
        <v>38</v>
      </c>
      <c r="D527" t="s">
        <v>39</v>
      </c>
      <c r="E527" s="2">
        <v>46112</v>
      </c>
      <c r="F527" t="s">
        <v>40</v>
      </c>
      <c r="G527">
        <v>113.7</v>
      </c>
      <c r="H527">
        <v>83.8</v>
      </c>
      <c r="I527">
        <v>-1957.8</v>
      </c>
      <c r="J527">
        <v>70</v>
      </c>
      <c r="K527">
        <v>0</v>
      </c>
      <c r="L527">
        <v>0.9</v>
      </c>
      <c r="M527">
        <v>0</v>
      </c>
      <c r="N527">
        <v>70.900000000000006</v>
      </c>
      <c r="O527">
        <v>112.01</v>
      </c>
      <c r="P527">
        <v>113.55</v>
      </c>
      <c r="Q527">
        <v>3.88</v>
      </c>
      <c r="R527">
        <v>3.93</v>
      </c>
      <c r="S527">
        <f t="shared" si="288"/>
        <v>0.2282669104446762</v>
      </c>
      <c r="T527">
        <f t="shared" si="289"/>
        <v>1.0913267658534032</v>
      </c>
      <c r="U527">
        <f t="shared" si="285"/>
        <v>0</v>
      </c>
      <c r="V527">
        <f t="shared" si="290"/>
        <v>0.34052797287985348</v>
      </c>
      <c r="W527" t="str">
        <f t="shared" si="286"/>
        <v/>
      </c>
      <c r="X527">
        <f t="shared" si="291"/>
        <v>0.39660436842409758</v>
      </c>
      <c r="Y527" t="str">
        <f t="shared" si="287"/>
        <v/>
      </c>
      <c r="Z527">
        <f t="shared" si="292"/>
        <v>0.54698093562894556</v>
      </c>
      <c r="AA527">
        <f t="shared" si="293"/>
        <v>0.8931061036389808</v>
      </c>
      <c r="AB527">
        <f t="shared" si="294"/>
        <v>1.2663954299093105</v>
      </c>
      <c r="AC527">
        <f t="shared" si="295"/>
        <v>0.39122171645014275</v>
      </c>
      <c r="AD527">
        <f t="shared" si="296"/>
        <v>0.52088848629442286</v>
      </c>
    </row>
    <row r="528" spans="1:30">
      <c r="A528" t="s">
        <v>395</v>
      </c>
      <c r="B528" t="s">
        <v>37</v>
      </c>
      <c r="C528" t="s">
        <v>38</v>
      </c>
      <c r="D528" t="s">
        <v>39</v>
      </c>
      <c r="E528" s="2">
        <v>46112</v>
      </c>
      <c r="F528" t="s">
        <v>40</v>
      </c>
      <c r="G528">
        <v>110.2</v>
      </c>
      <c r="H528">
        <v>81.599999999999994</v>
      </c>
      <c r="I528">
        <v>-1957.8</v>
      </c>
      <c r="J528">
        <v>70</v>
      </c>
      <c r="K528">
        <v>0</v>
      </c>
      <c r="L528">
        <v>0.8</v>
      </c>
      <c r="M528">
        <v>0</v>
      </c>
      <c r="N528">
        <v>70.8</v>
      </c>
      <c r="O528">
        <v>112.16</v>
      </c>
      <c r="P528">
        <v>116.34</v>
      </c>
      <c r="Q528">
        <v>3.91</v>
      </c>
      <c r="R528">
        <v>3.93</v>
      </c>
      <c r="S528">
        <f t="shared" si="288"/>
        <v>0.47370464687120117</v>
      </c>
      <c r="T528">
        <f t="shared" si="289"/>
        <v>0.31164968683561095</v>
      </c>
      <c r="U528">
        <f t="shared" si="285"/>
        <v>0</v>
      </c>
      <c r="V528">
        <f t="shared" si="290"/>
        <v>0.34052797287985348</v>
      </c>
      <c r="W528" t="str">
        <f t="shared" si="286"/>
        <v/>
      </c>
      <c r="X528">
        <f t="shared" si="291"/>
        <v>0.46802819526988565</v>
      </c>
      <c r="Y528" t="str">
        <f t="shared" si="287"/>
        <v/>
      </c>
      <c r="Z528">
        <f t="shared" si="292"/>
        <v>0.50143558931579191</v>
      </c>
      <c r="AA528">
        <f t="shared" si="293"/>
        <v>0.80397933209585692</v>
      </c>
      <c r="AB528">
        <f t="shared" si="294"/>
        <v>0.73488424139306097</v>
      </c>
      <c r="AC528">
        <f t="shared" si="295"/>
        <v>0.59057713393361444</v>
      </c>
      <c r="AD528">
        <f t="shared" si="296"/>
        <v>0.52088848629442286</v>
      </c>
    </row>
    <row r="529" spans="1:30">
      <c r="A529" t="s">
        <v>396</v>
      </c>
      <c r="B529" t="s">
        <v>37</v>
      </c>
      <c r="C529" t="s">
        <v>38</v>
      </c>
      <c r="D529" t="s">
        <v>39</v>
      </c>
      <c r="E529" s="2">
        <v>46112</v>
      </c>
      <c r="F529" t="s">
        <v>40</v>
      </c>
      <c r="G529">
        <v>114.6</v>
      </c>
      <c r="H529">
        <v>80.2</v>
      </c>
      <c r="I529">
        <v>-1957.8</v>
      </c>
      <c r="J529">
        <v>70.400000000000006</v>
      </c>
      <c r="K529">
        <v>0</v>
      </c>
      <c r="L529">
        <v>1.8</v>
      </c>
      <c r="M529">
        <v>0</v>
      </c>
      <c r="N529">
        <v>72.2</v>
      </c>
      <c r="O529">
        <v>112.38</v>
      </c>
      <c r="P529">
        <v>116.41</v>
      </c>
      <c r="Q529">
        <v>4.0999999999999996</v>
      </c>
      <c r="R529">
        <v>4.0999999999999996</v>
      </c>
      <c r="S529">
        <f t="shared" si="288"/>
        <v>0.40877388232590012</v>
      </c>
      <c r="T529">
        <f t="shared" si="289"/>
        <v>0.18450845435752589</v>
      </c>
      <c r="U529">
        <f t="shared" si="285"/>
        <v>0</v>
      </c>
      <c r="V529">
        <f t="shared" si="290"/>
        <v>0.5496592728295604</v>
      </c>
      <c r="W529" t="str">
        <f t="shared" si="286"/>
        <v/>
      </c>
      <c r="X529">
        <f t="shared" si="291"/>
        <v>0.24621007318799532</v>
      </c>
      <c r="Y529" t="str">
        <f t="shared" si="287"/>
        <v/>
      </c>
      <c r="Z529">
        <f t="shared" si="292"/>
        <v>1.1390704376998912</v>
      </c>
      <c r="AA529">
        <f t="shared" si="293"/>
        <v>0.67326006716593501</v>
      </c>
      <c r="AB529">
        <f t="shared" si="294"/>
        <v>0.78509555931103658</v>
      </c>
      <c r="AC529">
        <f t="shared" si="295"/>
        <v>1.8531614446622551</v>
      </c>
      <c r="AD529">
        <f t="shared" si="296"/>
        <v>1.6053418898833223</v>
      </c>
    </row>
    <row r="530" spans="1:30">
      <c r="A530" t="s">
        <v>397</v>
      </c>
      <c r="B530" t="s">
        <v>37</v>
      </c>
      <c r="C530" t="s">
        <v>38</v>
      </c>
      <c r="D530" t="s">
        <v>39</v>
      </c>
      <c r="E530" s="2">
        <v>46112</v>
      </c>
      <c r="F530" t="s">
        <v>34</v>
      </c>
      <c r="G530">
        <v>117.3</v>
      </c>
      <c r="H530">
        <v>84.3</v>
      </c>
      <c r="I530">
        <v>-1957.8</v>
      </c>
      <c r="J530">
        <v>70.400000000000006</v>
      </c>
      <c r="K530">
        <v>0</v>
      </c>
      <c r="L530">
        <v>0.3</v>
      </c>
      <c r="M530">
        <v>0</v>
      </c>
      <c r="N530">
        <v>70.7</v>
      </c>
      <c r="O530">
        <v>115.16</v>
      </c>
      <c r="P530">
        <v>115.16</v>
      </c>
      <c r="Q530">
        <v>3.93</v>
      </c>
      <c r="R530">
        <v>4.03</v>
      </c>
      <c r="S530">
        <f t="shared" si="288"/>
        <v>0.9502947979695775</v>
      </c>
      <c r="T530">
        <f t="shared" si="289"/>
        <v>1.2685261019938103</v>
      </c>
      <c r="U530">
        <f t="shared" si="285"/>
        <v>0</v>
      </c>
      <c r="V530">
        <f t="shared" si="290"/>
        <v>0.5496592728295604</v>
      </c>
      <c r="W530" t="str">
        <f t="shared" si="286"/>
        <v/>
      </c>
      <c r="X530">
        <f t="shared" si="291"/>
        <v>0.82514732949882619</v>
      </c>
      <c r="Y530" t="str">
        <f t="shared" si="287"/>
        <v/>
      </c>
      <c r="Z530">
        <f t="shared" si="292"/>
        <v>0.45589024300264475</v>
      </c>
      <c r="AA530">
        <f t="shared" si="293"/>
        <v>0.978556098766724</v>
      </c>
      <c r="AB530">
        <f t="shared" si="294"/>
        <v>0.11153511779575867</v>
      </c>
      <c r="AC530">
        <f t="shared" si="295"/>
        <v>0.72348074558926134</v>
      </c>
      <c r="AD530">
        <f t="shared" si="296"/>
        <v>1.158802253111425</v>
      </c>
    </row>
    <row r="531" spans="1:30">
      <c r="A531" t="s">
        <v>398</v>
      </c>
      <c r="B531" t="s">
        <v>37</v>
      </c>
      <c r="C531" t="s">
        <v>38</v>
      </c>
      <c r="D531" t="s">
        <v>39</v>
      </c>
      <c r="E531" s="2">
        <v>46112</v>
      </c>
      <c r="F531" t="s">
        <v>40</v>
      </c>
      <c r="G531">
        <v>113.7</v>
      </c>
      <c r="H531">
        <v>82</v>
      </c>
      <c r="I531">
        <v>-1957.8</v>
      </c>
      <c r="J531">
        <v>70.400000000000006</v>
      </c>
      <c r="K531">
        <v>0</v>
      </c>
      <c r="L531">
        <v>0.9</v>
      </c>
      <c r="M531">
        <v>0</v>
      </c>
      <c r="N531">
        <v>71.3</v>
      </c>
      <c r="O531">
        <v>112.3</v>
      </c>
      <c r="P531">
        <v>116.48</v>
      </c>
      <c r="Q531">
        <v>4</v>
      </c>
      <c r="R531">
        <v>3.96</v>
      </c>
      <c r="S531">
        <f t="shared" si="288"/>
        <v>0.2282669104446762</v>
      </c>
      <c r="T531">
        <f t="shared" si="289"/>
        <v>0.45340915574793861</v>
      </c>
      <c r="U531">
        <f t="shared" si="285"/>
        <v>0</v>
      </c>
      <c r="V531">
        <f t="shared" si="290"/>
        <v>0.5496592728295604</v>
      </c>
      <c r="W531" t="str">
        <f t="shared" si="286"/>
        <v/>
      </c>
      <c r="X531">
        <f t="shared" si="291"/>
        <v>0.39660436842409758</v>
      </c>
      <c r="Y531" t="str">
        <f t="shared" si="287"/>
        <v/>
      </c>
      <c r="Z531">
        <f t="shared" si="292"/>
        <v>0.72916232088154076</v>
      </c>
      <c r="AA531">
        <f t="shared" si="293"/>
        <v>0.72079434532226938</v>
      </c>
      <c r="AB531">
        <f t="shared" si="294"/>
        <v>0.83530687722902242</v>
      </c>
      <c r="AC531">
        <f t="shared" si="295"/>
        <v>1.1886433863840238</v>
      </c>
      <c r="AD531">
        <f t="shared" si="296"/>
        <v>0.71226261633952215</v>
      </c>
    </row>
    <row r="532" spans="1:30">
      <c r="A532" t="s">
        <v>397</v>
      </c>
      <c r="B532" t="s">
        <v>37</v>
      </c>
      <c r="C532" t="s">
        <v>38</v>
      </c>
      <c r="D532" t="s">
        <v>39</v>
      </c>
      <c r="E532" s="2">
        <v>46112</v>
      </c>
      <c r="F532" t="s">
        <v>40</v>
      </c>
      <c r="G532">
        <v>117.3</v>
      </c>
      <c r="H532">
        <v>83.4</v>
      </c>
      <c r="I532">
        <v>-1957.8</v>
      </c>
      <c r="J532">
        <v>70.400000000000006</v>
      </c>
      <c r="K532">
        <v>0</v>
      </c>
      <c r="L532">
        <v>0.5</v>
      </c>
      <c r="M532">
        <v>0</v>
      </c>
      <c r="N532">
        <v>70.900000000000006</v>
      </c>
      <c r="O532">
        <v>114.94</v>
      </c>
      <c r="P532">
        <v>114.72</v>
      </c>
      <c r="Q532">
        <v>3.83</v>
      </c>
      <c r="R532">
        <v>3.96</v>
      </c>
      <c r="S532">
        <f t="shared" si="288"/>
        <v>0.9502947979695775</v>
      </c>
      <c r="T532">
        <f t="shared" si="289"/>
        <v>0.94956729694108055</v>
      </c>
      <c r="U532">
        <f t="shared" si="285"/>
        <v>0</v>
      </c>
      <c r="V532">
        <f t="shared" si="290"/>
        <v>0.5496592728295604</v>
      </c>
      <c r="W532" t="str">
        <f t="shared" si="286"/>
        <v/>
      </c>
      <c r="X532">
        <f t="shared" si="291"/>
        <v>0.68229967580725004</v>
      </c>
      <c r="Y532" t="str">
        <f t="shared" si="287"/>
        <v/>
      </c>
      <c r="Z532">
        <f t="shared" si="292"/>
        <v>0.54698093562894556</v>
      </c>
      <c r="AA532">
        <f t="shared" si="293"/>
        <v>0.84783683383680208</v>
      </c>
      <c r="AB532">
        <f t="shared" si="294"/>
        <v>0.42714911613734896</v>
      </c>
      <c r="AC532">
        <f t="shared" si="295"/>
        <v>5.8962687311027065E-2</v>
      </c>
      <c r="AD532">
        <f t="shared" si="296"/>
        <v>0.71226261633952215</v>
      </c>
    </row>
    <row r="533" spans="1:30">
      <c r="A533" t="s">
        <v>399</v>
      </c>
      <c r="B533" t="s">
        <v>37</v>
      </c>
      <c r="C533" t="s">
        <v>38</v>
      </c>
      <c r="D533" t="s">
        <v>39</v>
      </c>
      <c r="E533" s="2">
        <v>46112</v>
      </c>
      <c r="F533" t="s">
        <v>40</v>
      </c>
      <c r="G533">
        <v>112.9</v>
      </c>
      <c r="H533">
        <v>82</v>
      </c>
      <c r="I533">
        <v>-1957.8</v>
      </c>
      <c r="J533">
        <v>70.400000000000006</v>
      </c>
      <c r="K533">
        <v>0</v>
      </c>
      <c r="L533">
        <v>1.5</v>
      </c>
      <c r="M533">
        <v>0</v>
      </c>
      <c r="N533">
        <v>71.900000000000006</v>
      </c>
      <c r="O533">
        <v>115.31</v>
      </c>
      <c r="P533">
        <v>115.24</v>
      </c>
      <c r="Q533">
        <v>3.74</v>
      </c>
      <c r="R533">
        <v>3.81</v>
      </c>
      <c r="S533">
        <f t="shared" si="288"/>
        <v>6.7816268772476221E-2</v>
      </c>
      <c r="T533">
        <f t="shared" si="289"/>
        <v>0.45340915574793861</v>
      </c>
      <c r="U533">
        <f t="shared" si="285"/>
        <v>0</v>
      </c>
      <c r="V533">
        <f t="shared" si="290"/>
        <v>0.5496592728295604</v>
      </c>
      <c r="W533" t="str">
        <f t="shared" si="286"/>
        <v/>
      </c>
      <c r="X533">
        <f t="shared" si="291"/>
        <v>3.1938592650630988E-2</v>
      </c>
      <c r="Y533" t="str">
        <f t="shared" si="287"/>
        <v/>
      </c>
      <c r="Z533">
        <f t="shared" si="292"/>
        <v>1.0024343987604432</v>
      </c>
      <c r="AA533">
        <f t="shared" si="293"/>
        <v>1.0676828703098564</v>
      </c>
      <c r="AB533">
        <f t="shared" si="294"/>
        <v>5.4150754460924995E-2</v>
      </c>
      <c r="AC533">
        <f t="shared" si="295"/>
        <v>0.53910356513938229</v>
      </c>
      <c r="AD533">
        <f t="shared" si="296"/>
        <v>0.24460803388597974</v>
      </c>
    </row>
    <row r="534" spans="1:30">
      <c r="A534" t="s">
        <v>400</v>
      </c>
      <c r="B534" t="s">
        <v>37</v>
      </c>
      <c r="C534" t="s">
        <v>38</v>
      </c>
      <c r="D534" t="s">
        <v>39</v>
      </c>
      <c r="E534" s="2">
        <v>46112</v>
      </c>
      <c r="F534" t="s">
        <v>34</v>
      </c>
      <c r="G534">
        <v>71.3</v>
      </c>
      <c r="H534">
        <v>69.8</v>
      </c>
      <c r="I534">
        <v>-1957.8</v>
      </c>
      <c r="J534">
        <v>70.8</v>
      </c>
      <c r="K534">
        <v>0</v>
      </c>
      <c r="L534">
        <v>0.5</v>
      </c>
      <c r="M534">
        <v>0</v>
      </c>
      <c r="N534">
        <v>71.3</v>
      </c>
      <c r="O534">
        <v>112.08</v>
      </c>
      <c r="P534">
        <v>116.78</v>
      </c>
      <c r="Q534">
        <v>4.08</v>
      </c>
      <c r="R534">
        <v>4.08</v>
      </c>
      <c r="S534">
        <f t="shared" si="288"/>
        <v>8.2756170981819537</v>
      </c>
      <c r="T534">
        <f t="shared" si="289"/>
        <v>3.8702546460779952</v>
      </c>
      <c r="U534">
        <f t="shared" si="285"/>
        <v>0</v>
      </c>
      <c r="V534">
        <f t="shared" si="290"/>
        <v>0.75879057277925988</v>
      </c>
      <c r="W534" t="str">
        <f t="shared" si="286"/>
        <v/>
      </c>
      <c r="X534">
        <f t="shared" si="291"/>
        <v>0.68229967580725004</v>
      </c>
      <c r="Y534" t="str">
        <f t="shared" si="287"/>
        <v/>
      </c>
      <c r="Z534">
        <f t="shared" si="292"/>
        <v>0.72916232088154076</v>
      </c>
      <c r="AA534">
        <f t="shared" si="293"/>
        <v>0.8515136102521913</v>
      </c>
      <c r="AB534">
        <f t="shared" si="294"/>
        <v>1.0504982397346512</v>
      </c>
      <c r="AC534">
        <f t="shared" si="295"/>
        <v>1.7202578330066112</v>
      </c>
      <c r="AD534">
        <f t="shared" si="296"/>
        <v>1.4777591365199247</v>
      </c>
    </row>
    <row r="535" spans="1:30">
      <c r="A535" t="s">
        <v>400</v>
      </c>
      <c r="B535" t="s">
        <v>37</v>
      </c>
      <c r="C535" t="s">
        <v>38</v>
      </c>
      <c r="D535" t="s">
        <v>39</v>
      </c>
      <c r="E535" s="2">
        <v>46112</v>
      </c>
      <c r="F535" t="s">
        <v>34</v>
      </c>
      <c r="G535">
        <v>122.2</v>
      </c>
      <c r="H535">
        <v>78.900000000000006</v>
      </c>
      <c r="I535">
        <v>-1957.8</v>
      </c>
      <c r="J535">
        <v>70.8</v>
      </c>
      <c r="K535">
        <v>0</v>
      </c>
      <c r="L535">
        <v>1</v>
      </c>
      <c r="M535">
        <v>0</v>
      </c>
      <c r="N535">
        <v>71.8</v>
      </c>
      <c r="O535">
        <v>111.57</v>
      </c>
      <c r="P535">
        <v>113.11</v>
      </c>
      <c r="Q535">
        <v>4.22</v>
      </c>
      <c r="R535">
        <v>4.25</v>
      </c>
      <c r="S535">
        <f t="shared" si="288"/>
        <v>1.9330549782118069</v>
      </c>
      <c r="T535">
        <f t="shared" si="289"/>
        <v>0.64522672832258332</v>
      </c>
      <c r="U535">
        <f t="shared" si="285"/>
        <v>0</v>
      </c>
      <c r="V535">
        <f t="shared" si="290"/>
        <v>0.75879057277925988</v>
      </c>
      <c r="W535" t="str">
        <f t="shared" si="286"/>
        <v/>
      </c>
      <c r="X535">
        <f t="shared" si="291"/>
        <v>0.3251805415783095</v>
      </c>
      <c r="Y535" t="str">
        <f t="shared" si="287"/>
        <v/>
      </c>
      <c r="Z535">
        <f t="shared" si="292"/>
        <v>0.9568890524472895</v>
      </c>
      <c r="AA535">
        <f t="shared" si="293"/>
        <v>1.1545446334988332</v>
      </c>
      <c r="AB535">
        <f t="shared" si="294"/>
        <v>1.5820094282509007</v>
      </c>
      <c r="AC535">
        <f t="shared" si="295"/>
        <v>2.6505831145961363</v>
      </c>
      <c r="AD535">
        <f t="shared" si="296"/>
        <v>2.5622125401088272</v>
      </c>
    </row>
    <row r="536" spans="1:30">
      <c r="A536" t="s">
        <v>400</v>
      </c>
      <c r="B536" t="s">
        <v>37</v>
      </c>
      <c r="C536" t="s">
        <v>38</v>
      </c>
      <c r="D536" t="s">
        <v>39</v>
      </c>
      <c r="E536" s="2">
        <v>46112</v>
      </c>
      <c r="F536" t="s">
        <v>34</v>
      </c>
      <c r="G536">
        <v>124</v>
      </c>
      <c r="H536">
        <v>80.2</v>
      </c>
      <c r="I536">
        <v>-1957.8</v>
      </c>
      <c r="J536">
        <v>71.3</v>
      </c>
      <c r="K536">
        <v>0</v>
      </c>
      <c r="L536">
        <v>2.1</v>
      </c>
      <c r="M536">
        <v>0</v>
      </c>
      <c r="N536">
        <v>73.400000000000006</v>
      </c>
      <c r="O536">
        <v>112.16</v>
      </c>
      <c r="P536">
        <v>113.7</v>
      </c>
      <c r="Q536">
        <v>4.25</v>
      </c>
      <c r="R536">
        <v>4.25</v>
      </c>
      <c r="S536">
        <f t="shared" si="288"/>
        <v>2.2940689219742576</v>
      </c>
      <c r="T536">
        <f t="shared" si="289"/>
        <v>0.18450845435752589</v>
      </c>
      <c r="U536">
        <f t="shared" si="285"/>
        <v>0</v>
      </c>
      <c r="V536">
        <f t="shared" si="290"/>
        <v>1.0202046977163897</v>
      </c>
      <c r="W536" t="str">
        <f t="shared" si="286"/>
        <v/>
      </c>
      <c r="X536">
        <f t="shared" si="291"/>
        <v>0.46048155372535965</v>
      </c>
      <c r="Y536" t="str">
        <f t="shared" si="287"/>
        <v/>
      </c>
      <c r="Z536">
        <f t="shared" si="292"/>
        <v>1.6856145934576896</v>
      </c>
      <c r="AA536">
        <f t="shared" si="293"/>
        <v>0.80397933209585692</v>
      </c>
      <c r="AB536">
        <f t="shared" si="294"/>
        <v>1.1587997486564909</v>
      </c>
      <c r="AC536">
        <f t="shared" si="295"/>
        <v>2.8499385320796082</v>
      </c>
      <c r="AD536">
        <f t="shared" si="296"/>
        <v>2.5622125401088272</v>
      </c>
    </row>
    <row r="537" spans="1:30">
      <c r="A537" t="s">
        <v>400</v>
      </c>
      <c r="B537" t="s">
        <v>37</v>
      </c>
      <c r="C537" t="s">
        <v>38</v>
      </c>
      <c r="D537" t="s">
        <v>39</v>
      </c>
      <c r="E537" s="2">
        <v>46112</v>
      </c>
      <c r="F537" t="s">
        <v>40</v>
      </c>
      <c r="G537">
        <v>127.6</v>
      </c>
      <c r="H537">
        <v>79.8</v>
      </c>
      <c r="I537">
        <v>-1957.8</v>
      </c>
      <c r="J537">
        <v>71.3</v>
      </c>
      <c r="K537">
        <v>0</v>
      </c>
      <c r="L537">
        <v>1.5</v>
      </c>
      <c r="M537">
        <v>0</v>
      </c>
      <c r="N537">
        <v>72.8</v>
      </c>
      <c r="O537">
        <v>112.38</v>
      </c>
      <c r="P537">
        <v>116.56</v>
      </c>
      <c r="Q537">
        <v>4.25</v>
      </c>
      <c r="R537">
        <v>4.17</v>
      </c>
      <c r="S537">
        <f t="shared" si="288"/>
        <v>3.0160968094991589</v>
      </c>
      <c r="T537">
        <f t="shared" si="289"/>
        <v>0.3262679232698536</v>
      </c>
      <c r="U537">
        <f t="shared" si="285"/>
        <v>0</v>
      </c>
      <c r="V537">
        <f t="shared" si="290"/>
        <v>1.0202046977163897</v>
      </c>
      <c r="W537" t="str">
        <f t="shared" si="286"/>
        <v/>
      </c>
      <c r="X537">
        <f t="shared" si="291"/>
        <v>3.1938592650630988E-2</v>
      </c>
      <c r="Y537" t="str">
        <f t="shared" si="287"/>
        <v/>
      </c>
      <c r="Z537">
        <f t="shared" si="292"/>
        <v>1.4123425155787872</v>
      </c>
      <c r="AA537">
        <f t="shared" si="293"/>
        <v>0.67326006716593501</v>
      </c>
      <c r="AB537">
        <f t="shared" si="294"/>
        <v>0.89269124056385607</v>
      </c>
      <c r="AC537">
        <f t="shared" si="295"/>
        <v>2.8499385320796082</v>
      </c>
      <c r="AD537">
        <f t="shared" si="296"/>
        <v>2.0518815266552255</v>
      </c>
    </row>
    <row r="538" spans="1:30">
      <c r="A538" t="s">
        <v>401</v>
      </c>
      <c r="B538" t="s">
        <v>37</v>
      </c>
      <c r="C538" t="s">
        <v>38</v>
      </c>
      <c r="D538" t="s">
        <v>39</v>
      </c>
      <c r="E538" s="2">
        <v>46112</v>
      </c>
      <c r="F538" t="s">
        <v>40</v>
      </c>
      <c r="G538">
        <v>114.2</v>
      </c>
      <c r="H538">
        <v>79.8</v>
      </c>
      <c r="I538">
        <v>-1957.8</v>
      </c>
      <c r="J538">
        <v>71.3</v>
      </c>
      <c r="K538">
        <v>0</v>
      </c>
      <c r="L538">
        <v>0.6</v>
      </c>
      <c r="M538">
        <v>0</v>
      </c>
      <c r="N538">
        <v>71.900000000000006</v>
      </c>
      <c r="O538">
        <v>115.02</v>
      </c>
      <c r="P538">
        <v>115.09</v>
      </c>
      <c r="Q538">
        <v>3.74</v>
      </c>
      <c r="R538">
        <v>3.88</v>
      </c>
      <c r="S538">
        <f t="shared" si="288"/>
        <v>0.32854856148980155</v>
      </c>
      <c r="T538">
        <f t="shared" si="289"/>
        <v>0.3262679232698536</v>
      </c>
      <c r="U538">
        <f t="shared" si="285"/>
        <v>0</v>
      </c>
      <c r="V538">
        <f t="shared" si="290"/>
        <v>1.0202046977163897</v>
      </c>
      <c r="W538" t="str">
        <f t="shared" si="286"/>
        <v/>
      </c>
      <c r="X538">
        <f t="shared" si="291"/>
        <v>0.61087584896146196</v>
      </c>
      <c r="Y538" t="str">
        <f t="shared" si="287"/>
        <v/>
      </c>
      <c r="Z538">
        <f t="shared" si="292"/>
        <v>1.0024343987604432</v>
      </c>
      <c r="AA538">
        <f t="shared" si="293"/>
        <v>0.89537111199313657</v>
      </c>
      <c r="AB538">
        <f t="shared" si="294"/>
        <v>0.16174643571373432</v>
      </c>
      <c r="AC538">
        <f t="shared" si="295"/>
        <v>0.53910356513938229</v>
      </c>
      <c r="AD538">
        <f t="shared" si="296"/>
        <v>0.20193160288592038</v>
      </c>
    </row>
    <row r="539" spans="1:30">
      <c r="A539" t="s">
        <v>402</v>
      </c>
      <c r="B539" t="s">
        <v>37</v>
      </c>
      <c r="C539" t="s">
        <v>38</v>
      </c>
      <c r="D539" t="s">
        <v>39</v>
      </c>
      <c r="E539" s="2">
        <v>46112</v>
      </c>
      <c r="F539" t="s">
        <v>40</v>
      </c>
      <c r="G539">
        <v>113.3</v>
      </c>
      <c r="H539">
        <v>82.9</v>
      </c>
      <c r="I539">
        <v>-1957.8</v>
      </c>
      <c r="J539">
        <v>71.3</v>
      </c>
      <c r="K539">
        <v>0</v>
      </c>
      <c r="L539">
        <v>0.3</v>
      </c>
      <c r="M539">
        <v>0</v>
      </c>
      <c r="N539">
        <v>71.599999999999994</v>
      </c>
      <c r="O539">
        <v>114.87</v>
      </c>
      <c r="P539">
        <v>114.94</v>
      </c>
      <c r="Q539">
        <v>3.86</v>
      </c>
      <c r="R539">
        <v>3.96</v>
      </c>
      <c r="S539">
        <f t="shared" si="288"/>
        <v>0.14804158960857478</v>
      </c>
      <c r="T539">
        <f t="shared" si="289"/>
        <v>0.77236796080067338</v>
      </c>
      <c r="U539">
        <f t="shared" si="285"/>
        <v>0</v>
      </c>
      <c r="V539">
        <f t="shared" si="290"/>
        <v>1.0202046977163897</v>
      </c>
      <c r="W539" t="str">
        <f t="shared" si="286"/>
        <v/>
      </c>
      <c r="X539">
        <f t="shared" si="291"/>
        <v>0.82514732949882619</v>
      </c>
      <c r="Y539" t="str">
        <f t="shared" si="287"/>
        <v/>
      </c>
      <c r="Z539">
        <f t="shared" si="292"/>
        <v>0.86579835982098874</v>
      </c>
      <c r="AA539">
        <f t="shared" si="293"/>
        <v>0.80624434045001259</v>
      </c>
      <c r="AB539">
        <f t="shared" si="294"/>
        <v>0.2693421169665538</v>
      </c>
      <c r="AC539">
        <f t="shared" si="295"/>
        <v>0.25831810479449585</v>
      </c>
      <c r="AD539">
        <f t="shared" si="296"/>
        <v>0.71226261633952215</v>
      </c>
    </row>
    <row r="540" spans="1:30">
      <c r="A540" t="s">
        <v>403</v>
      </c>
      <c r="B540" t="s">
        <v>37</v>
      </c>
      <c r="C540" t="s">
        <v>38</v>
      </c>
      <c r="D540" t="s">
        <v>39</v>
      </c>
      <c r="E540" s="2">
        <v>46112</v>
      </c>
      <c r="F540" t="s">
        <v>40</v>
      </c>
      <c r="G540">
        <v>113.7</v>
      </c>
      <c r="H540">
        <v>81.599999999999994</v>
      </c>
      <c r="I540">
        <v>-1957.8</v>
      </c>
      <c r="J540">
        <v>70.8</v>
      </c>
      <c r="K540">
        <v>0</v>
      </c>
      <c r="L540">
        <v>0.8</v>
      </c>
      <c r="M540">
        <v>0</v>
      </c>
      <c r="N540">
        <v>71.599999999999994</v>
      </c>
      <c r="O540">
        <v>112.16</v>
      </c>
      <c r="P540">
        <v>116.48</v>
      </c>
      <c r="Q540">
        <v>3.98</v>
      </c>
      <c r="R540">
        <v>4</v>
      </c>
      <c r="S540">
        <f t="shared" si="288"/>
        <v>0.2282669104446762</v>
      </c>
      <c r="T540">
        <f t="shared" si="289"/>
        <v>0.31164968683561095</v>
      </c>
      <c r="U540">
        <f t="shared" si="285"/>
        <v>0</v>
      </c>
      <c r="V540">
        <f t="shared" si="290"/>
        <v>0.75879057277925988</v>
      </c>
      <c r="W540" t="str">
        <f t="shared" si="286"/>
        <v/>
      </c>
      <c r="X540">
        <f t="shared" si="291"/>
        <v>0.46802819526988565</v>
      </c>
      <c r="Y540" t="str">
        <f t="shared" si="287"/>
        <v/>
      </c>
      <c r="Z540">
        <f t="shared" si="292"/>
        <v>0.86579835982098874</v>
      </c>
      <c r="AA540">
        <f t="shared" si="293"/>
        <v>0.80397933209585692</v>
      </c>
      <c r="AB540">
        <f t="shared" si="294"/>
        <v>0.83530687722902242</v>
      </c>
      <c r="AC540">
        <f t="shared" si="295"/>
        <v>1.055739774728377</v>
      </c>
      <c r="AD540">
        <f t="shared" si="296"/>
        <v>0.96742812306632298</v>
      </c>
    </row>
    <row r="541" spans="1:30">
      <c r="A541" t="s">
        <v>404</v>
      </c>
      <c r="B541" t="s">
        <v>37</v>
      </c>
      <c r="C541" t="s">
        <v>38</v>
      </c>
      <c r="D541" t="s">
        <v>39</v>
      </c>
      <c r="E541" s="2">
        <v>46112</v>
      </c>
      <c r="F541" t="s">
        <v>40</v>
      </c>
      <c r="G541">
        <v>105.3</v>
      </c>
      <c r="H541">
        <v>84.7</v>
      </c>
      <c r="I541">
        <v>-1957.8</v>
      </c>
      <c r="J541">
        <v>70.8</v>
      </c>
      <c r="K541">
        <v>0</v>
      </c>
      <c r="L541">
        <v>0.1</v>
      </c>
      <c r="M541">
        <v>0</v>
      </c>
      <c r="N541">
        <v>70.900000000000006</v>
      </c>
      <c r="O541">
        <v>112.16</v>
      </c>
      <c r="P541">
        <v>116.26</v>
      </c>
      <c r="Q541">
        <v>3.86</v>
      </c>
      <c r="R541">
        <v>3.88</v>
      </c>
      <c r="S541">
        <f t="shared" si="288"/>
        <v>1.4564648271134306</v>
      </c>
      <c r="T541">
        <f t="shared" si="289"/>
        <v>1.4102855709061379</v>
      </c>
      <c r="U541">
        <f t="shared" si="285"/>
        <v>0</v>
      </c>
      <c r="V541">
        <f t="shared" si="290"/>
        <v>0.75879057277925988</v>
      </c>
      <c r="W541" t="str">
        <f t="shared" si="286"/>
        <v/>
      </c>
      <c r="X541">
        <f t="shared" si="291"/>
        <v>0.96799498319040234</v>
      </c>
      <c r="Y541" t="str">
        <f t="shared" si="287"/>
        <v/>
      </c>
      <c r="Z541">
        <f t="shared" si="292"/>
        <v>0.54698093562894556</v>
      </c>
      <c r="AA541">
        <f t="shared" si="293"/>
        <v>0.80397933209585692</v>
      </c>
      <c r="AB541">
        <f t="shared" si="294"/>
        <v>0.6774998780582272</v>
      </c>
      <c r="AC541">
        <f t="shared" si="295"/>
        <v>0.25831810479449585</v>
      </c>
      <c r="AD541">
        <f t="shared" si="296"/>
        <v>0.20193160288592038</v>
      </c>
    </row>
    <row r="542" spans="1:30">
      <c r="A542" t="s">
        <v>405</v>
      </c>
      <c r="B542" t="s">
        <v>37</v>
      </c>
      <c r="C542" t="s">
        <v>38</v>
      </c>
      <c r="D542" t="s">
        <v>39</v>
      </c>
      <c r="E542" s="2">
        <v>46112</v>
      </c>
      <c r="F542" t="s">
        <v>40</v>
      </c>
      <c r="G542">
        <v>112</v>
      </c>
      <c r="H542">
        <v>82</v>
      </c>
      <c r="I542">
        <v>-1957.8</v>
      </c>
      <c r="J542">
        <v>71.3</v>
      </c>
      <c r="K542">
        <v>0</v>
      </c>
      <c r="L542">
        <v>0.1</v>
      </c>
      <c r="M542">
        <v>0</v>
      </c>
      <c r="N542">
        <v>71.2</v>
      </c>
      <c r="O542">
        <v>115.9</v>
      </c>
      <c r="P542">
        <v>116.78</v>
      </c>
      <c r="Q542">
        <v>3.91</v>
      </c>
      <c r="R542">
        <v>3.98</v>
      </c>
      <c r="S542">
        <f t="shared" si="288"/>
        <v>0.11269070310875053</v>
      </c>
      <c r="T542">
        <f t="shared" si="289"/>
        <v>0.45340915574793861</v>
      </c>
      <c r="U542">
        <f t="shared" si="285"/>
        <v>0</v>
      </c>
      <c r="V542">
        <f t="shared" si="290"/>
        <v>1.0202046977163897</v>
      </c>
      <c r="W542" t="str">
        <f t="shared" si="286"/>
        <v/>
      </c>
      <c r="X542">
        <f t="shared" si="291"/>
        <v>0.96799498319040234</v>
      </c>
      <c r="Y542" t="str">
        <f t="shared" si="287"/>
        <v/>
      </c>
      <c r="Z542">
        <f t="shared" si="292"/>
        <v>0.68361697456839354</v>
      </c>
      <c r="AA542">
        <f t="shared" si="293"/>
        <v>1.4182481717128326</v>
      </c>
      <c r="AB542">
        <f t="shared" si="294"/>
        <v>1.0504982397346512</v>
      </c>
      <c r="AC542">
        <f t="shared" si="295"/>
        <v>0.59057713393361444</v>
      </c>
      <c r="AD542">
        <f t="shared" si="296"/>
        <v>0.83984536970292256</v>
      </c>
    </row>
    <row r="543" spans="1:30">
      <c r="A543" t="s">
        <v>406</v>
      </c>
      <c r="B543" t="s">
        <v>37</v>
      </c>
      <c r="C543" t="s">
        <v>38</v>
      </c>
      <c r="D543" t="s">
        <v>39</v>
      </c>
      <c r="E543" s="2">
        <v>46112</v>
      </c>
      <c r="F543" t="s">
        <v>40</v>
      </c>
      <c r="G543">
        <v>112.9</v>
      </c>
      <c r="H543">
        <v>81.099999999999994</v>
      </c>
      <c r="I543">
        <v>-1957.8</v>
      </c>
      <c r="J543">
        <v>70.8</v>
      </c>
      <c r="K543">
        <v>0</v>
      </c>
      <c r="L543">
        <v>1</v>
      </c>
      <c r="M543">
        <v>0</v>
      </c>
      <c r="N543">
        <v>71.8</v>
      </c>
      <c r="O543">
        <v>115.6</v>
      </c>
      <c r="P543">
        <v>116.92</v>
      </c>
      <c r="Q543">
        <v>3.86</v>
      </c>
      <c r="R543">
        <v>3.93</v>
      </c>
      <c r="S543">
        <f t="shared" si="288"/>
        <v>6.7816268772476221E-2</v>
      </c>
      <c r="T543">
        <f t="shared" si="289"/>
        <v>0.13445035069520386</v>
      </c>
      <c r="U543">
        <f t="shared" si="285"/>
        <v>0</v>
      </c>
      <c r="V543">
        <f t="shared" si="290"/>
        <v>0.75879057277925988</v>
      </c>
      <c r="W543" t="str">
        <f t="shared" si="286"/>
        <v/>
      </c>
      <c r="X543">
        <f t="shared" si="291"/>
        <v>0.3251805415783095</v>
      </c>
      <c r="Y543" t="str">
        <f t="shared" si="287"/>
        <v/>
      </c>
      <c r="Z543">
        <f t="shared" si="292"/>
        <v>0.9568890524472895</v>
      </c>
      <c r="AA543">
        <f t="shared" si="293"/>
        <v>1.2399946286265677</v>
      </c>
      <c r="AB543">
        <f t="shared" si="294"/>
        <v>1.1509208755706126</v>
      </c>
      <c r="AC543">
        <f t="shared" si="295"/>
        <v>0.25831810479449585</v>
      </c>
      <c r="AD543">
        <f t="shared" si="296"/>
        <v>0.52088848629442286</v>
      </c>
    </row>
    <row r="544" spans="1:30">
      <c r="A544" t="s">
        <v>407</v>
      </c>
      <c r="B544" t="s">
        <v>37</v>
      </c>
      <c r="C544" t="s">
        <v>38</v>
      </c>
      <c r="D544" t="s">
        <v>39</v>
      </c>
      <c r="E544" s="2">
        <v>46112</v>
      </c>
      <c r="F544" t="s">
        <v>40</v>
      </c>
      <c r="G544">
        <v>111.5</v>
      </c>
      <c r="H544">
        <v>83.8</v>
      </c>
      <c r="I544">
        <v>-1957.8</v>
      </c>
      <c r="J544">
        <v>70.8</v>
      </c>
      <c r="K544">
        <v>0</v>
      </c>
      <c r="L544">
        <v>1.8</v>
      </c>
      <c r="M544">
        <v>0</v>
      </c>
      <c r="N544">
        <v>72.599999999999994</v>
      </c>
      <c r="O544">
        <v>115.24</v>
      </c>
      <c r="P544">
        <v>115.09</v>
      </c>
      <c r="Q544">
        <v>3.91</v>
      </c>
      <c r="R544">
        <v>4.03</v>
      </c>
      <c r="S544">
        <f t="shared" si="288"/>
        <v>0.21297235415387586</v>
      </c>
      <c r="T544">
        <f t="shared" si="289"/>
        <v>1.0913267658534032</v>
      </c>
      <c r="U544">
        <f t="shared" si="285"/>
        <v>0</v>
      </c>
      <c r="V544">
        <f t="shared" si="290"/>
        <v>0.75879057277925988</v>
      </c>
      <c r="W544" t="str">
        <f t="shared" si="286"/>
        <v/>
      </c>
      <c r="X544">
        <f t="shared" si="291"/>
        <v>0.24621007318799532</v>
      </c>
      <c r="Y544" t="str">
        <f t="shared" si="287"/>
        <v/>
      </c>
      <c r="Z544">
        <f t="shared" si="292"/>
        <v>1.3212518229524863</v>
      </c>
      <c r="AA544">
        <f t="shared" si="293"/>
        <v>1.0260903769230585</v>
      </c>
      <c r="AB544">
        <f t="shared" si="294"/>
        <v>0.16174643571373432</v>
      </c>
      <c r="AC544">
        <f t="shared" si="295"/>
        <v>0.59057713393361444</v>
      </c>
      <c r="AD544">
        <f t="shared" si="296"/>
        <v>1.158802253111425</v>
      </c>
    </row>
    <row r="545" spans="1:30">
      <c r="A545" t="s">
        <v>408</v>
      </c>
      <c r="B545" t="s">
        <v>37</v>
      </c>
      <c r="C545" t="s">
        <v>38</v>
      </c>
      <c r="D545" t="s">
        <v>39</v>
      </c>
      <c r="E545" s="2">
        <v>46112</v>
      </c>
      <c r="F545" t="s">
        <v>40</v>
      </c>
      <c r="G545">
        <v>113.3</v>
      </c>
      <c r="H545">
        <v>80.7</v>
      </c>
      <c r="I545">
        <v>-1957.8</v>
      </c>
      <c r="J545">
        <v>70.8</v>
      </c>
      <c r="K545">
        <v>0</v>
      </c>
      <c r="L545">
        <v>1.3</v>
      </c>
      <c r="M545">
        <v>0</v>
      </c>
      <c r="N545">
        <v>72.099999999999994</v>
      </c>
      <c r="O545">
        <v>115.6</v>
      </c>
      <c r="P545">
        <v>112.96</v>
      </c>
      <c r="Q545">
        <v>3.86</v>
      </c>
      <c r="R545">
        <v>4</v>
      </c>
      <c r="S545">
        <f t="shared" si="288"/>
        <v>0.14804158960857478</v>
      </c>
      <c r="T545">
        <f t="shared" si="289"/>
        <v>7.309118217118795E-3</v>
      </c>
      <c r="U545">
        <f t="shared" si="285"/>
        <v>0</v>
      </c>
      <c r="V545">
        <f t="shared" si="290"/>
        <v>0.75879057277925988</v>
      </c>
      <c r="W545" t="str">
        <f t="shared" si="286"/>
        <v/>
      </c>
      <c r="X545">
        <f t="shared" si="291"/>
        <v>0.11090906104094518</v>
      </c>
      <c r="Y545" t="str">
        <f t="shared" si="287"/>
        <v/>
      </c>
      <c r="Z545">
        <f t="shared" si="292"/>
        <v>1.0935250913867376</v>
      </c>
      <c r="AA545">
        <f t="shared" si="293"/>
        <v>1.2399946286265677</v>
      </c>
      <c r="AB545">
        <f t="shared" si="294"/>
        <v>1.6896051095037203</v>
      </c>
      <c r="AC545">
        <f t="shared" si="295"/>
        <v>0.25831810479449585</v>
      </c>
      <c r="AD545">
        <f t="shared" si="296"/>
        <v>0.96742812306632298</v>
      </c>
    </row>
    <row r="546" spans="1:30">
      <c r="A546" t="s">
        <v>409</v>
      </c>
      <c r="B546" t="s">
        <v>37</v>
      </c>
      <c r="C546" t="s">
        <v>38</v>
      </c>
      <c r="D546" t="s">
        <v>39</v>
      </c>
      <c r="E546" s="2">
        <v>46112</v>
      </c>
      <c r="F546" t="s">
        <v>40</v>
      </c>
      <c r="G546">
        <v>115.1</v>
      </c>
      <c r="H546">
        <v>83.4</v>
      </c>
      <c r="I546">
        <v>-1957.8</v>
      </c>
      <c r="J546">
        <v>70.8</v>
      </c>
      <c r="K546">
        <v>0</v>
      </c>
      <c r="L546">
        <v>1.1000000000000001</v>
      </c>
      <c r="M546">
        <v>0</v>
      </c>
      <c r="N546">
        <v>71.900000000000006</v>
      </c>
      <c r="O546">
        <v>115.16</v>
      </c>
      <c r="P546">
        <v>115.02</v>
      </c>
      <c r="Q546">
        <v>3.91</v>
      </c>
      <c r="R546">
        <v>4</v>
      </c>
      <c r="S546">
        <f t="shared" si="288"/>
        <v>0.50905553337102538</v>
      </c>
      <c r="T546">
        <f t="shared" si="289"/>
        <v>0.94956729694108055</v>
      </c>
      <c r="U546">
        <f t="shared" si="285"/>
        <v>0</v>
      </c>
      <c r="V546">
        <f t="shared" si="290"/>
        <v>0.75879057277925988</v>
      </c>
      <c r="W546" t="str">
        <f t="shared" si="286"/>
        <v/>
      </c>
      <c r="X546">
        <f t="shared" si="291"/>
        <v>0.25375671473252137</v>
      </c>
      <c r="Y546" t="str">
        <f t="shared" si="287"/>
        <v/>
      </c>
      <c r="Z546">
        <f t="shared" si="292"/>
        <v>1.0024343987604432</v>
      </c>
      <c r="AA546">
        <f t="shared" si="293"/>
        <v>0.978556098766724</v>
      </c>
      <c r="AB546">
        <f t="shared" si="294"/>
        <v>0.21195775363172015</v>
      </c>
      <c r="AC546">
        <f t="shared" si="295"/>
        <v>0.59057713393361444</v>
      </c>
      <c r="AD546">
        <f t="shared" si="296"/>
        <v>0.96742812306632298</v>
      </c>
    </row>
    <row r="547" spans="1:30">
      <c r="A547" t="s">
        <v>410</v>
      </c>
      <c r="B547" t="s">
        <v>37</v>
      </c>
      <c r="C547" t="s">
        <v>38</v>
      </c>
      <c r="D547" t="s">
        <v>39</v>
      </c>
      <c r="E547" s="2">
        <v>46112</v>
      </c>
      <c r="F547" t="s">
        <v>40</v>
      </c>
      <c r="G547">
        <v>119.1</v>
      </c>
      <c r="H547">
        <v>83.4</v>
      </c>
      <c r="I547">
        <v>-1957.8</v>
      </c>
      <c r="J547">
        <v>71.3</v>
      </c>
      <c r="K547">
        <v>0</v>
      </c>
      <c r="L547">
        <v>1.4</v>
      </c>
      <c r="M547">
        <v>0</v>
      </c>
      <c r="N547">
        <v>72.7</v>
      </c>
      <c r="O547">
        <v>115.09</v>
      </c>
      <c r="P547">
        <v>115.02</v>
      </c>
      <c r="Q547">
        <v>3.91</v>
      </c>
      <c r="R547">
        <v>4.03</v>
      </c>
      <c r="S547">
        <f t="shared" si="288"/>
        <v>1.3113087417320282</v>
      </c>
      <c r="T547">
        <f t="shared" si="289"/>
        <v>0.94956729694108055</v>
      </c>
      <c r="U547">
        <f t="shared" si="285"/>
        <v>0</v>
      </c>
      <c r="V547">
        <f t="shared" si="290"/>
        <v>1.0202046977163897</v>
      </c>
      <c r="W547" t="str">
        <f t="shared" si="286"/>
        <v/>
      </c>
      <c r="X547">
        <f t="shared" si="291"/>
        <v>3.9485234195157176E-2</v>
      </c>
      <c r="Y547" t="str">
        <f t="shared" si="287"/>
        <v/>
      </c>
      <c r="Z547">
        <f t="shared" si="292"/>
        <v>1.36679716926564</v>
      </c>
      <c r="AA547">
        <f t="shared" si="293"/>
        <v>0.93696360537993451</v>
      </c>
      <c r="AB547">
        <f t="shared" si="294"/>
        <v>0.21195775363172015</v>
      </c>
      <c r="AC547">
        <f t="shared" si="295"/>
        <v>0.59057713393361444</v>
      </c>
      <c r="AD547">
        <f t="shared" si="296"/>
        <v>1.158802253111425</v>
      </c>
    </row>
    <row r="548" spans="1:30">
      <c r="A548" t="s">
        <v>411</v>
      </c>
      <c r="B548" t="s">
        <v>37</v>
      </c>
      <c r="C548" t="s">
        <v>38</v>
      </c>
      <c r="D548" t="s">
        <v>39</v>
      </c>
      <c r="E548" s="2">
        <v>46112</v>
      </c>
      <c r="F548" t="s">
        <v>40</v>
      </c>
      <c r="G548">
        <v>116.9</v>
      </c>
      <c r="H548">
        <v>83.4</v>
      </c>
      <c r="I548">
        <v>-1957.8</v>
      </c>
      <c r="J548">
        <v>71.3</v>
      </c>
      <c r="K548">
        <v>0</v>
      </c>
      <c r="L548">
        <v>1.2</v>
      </c>
      <c r="M548">
        <v>0</v>
      </c>
      <c r="N548">
        <v>72.5</v>
      </c>
      <c r="O548">
        <v>115.24</v>
      </c>
      <c r="P548">
        <v>115.24</v>
      </c>
      <c r="Q548">
        <v>3.96</v>
      </c>
      <c r="R548">
        <v>4</v>
      </c>
      <c r="S548">
        <f t="shared" si="288"/>
        <v>0.87006947713347893</v>
      </c>
      <c r="T548">
        <f t="shared" si="289"/>
        <v>0.94956729694108055</v>
      </c>
      <c r="U548">
        <f t="shared" si="285"/>
        <v>0</v>
      </c>
      <c r="V548">
        <f t="shared" si="290"/>
        <v>1.0202046977163897</v>
      </c>
      <c r="W548" t="str">
        <f t="shared" si="286"/>
        <v/>
      </c>
      <c r="X548">
        <f t="shared" si="291"/>
        <v>0.18233288788673335</v>
      </c>
      <c r="Y548" t="str">
        <f t="shared" si="287"/>
        <v/>
      </c>
      <c r="Z548">
        <f t="shared" si="292"/>
        <v>1.2757064766393391</v>
      </c>
      <c r="AA548">
        <f t="shared" si="293"/>
        <v>1.0260903769230585</v>
      </c>
      <c r="AB548">
        <f t="shared" si="294"/>
        <v>5.4150754460924995E-2</v>
      </c>
      <c r="AC548">
        <f t="shared" si="295"/>
        <v>0.92283616307273009</v>
      </c>
      <c r="AD548">
        <f t="shared" si="296"/>
        <v>0.96742812306632298</v>
      </c>
    </row>
    <row r="549" spans="1:30">
      <c r="A549" t="s">
        <v>412</v>
      </c>
      <c r="B549" t="s">
        <v>37</v>
      </c>
      <c r="C549" t="s">
        <v>38</v>
      </c>
      <c r="D549" t="s">
        <v>39</v>
      </c>
      <c r="E549" s="2">
        <v>46113</v>
      </c>
      <c r="F549" t="s">
        <v>40</v>
      </c>
      <c r="G549">
        <v>115.1</v>
      </c>
      <c r="H549">
        <v>83.4</v>
      </c>
      <c r="I549">
        <v>-1957.8</v>
      </c>
      <c r="J549">
        <v>70</v>
      </c>
      <c r="K549">
        <v>0</v>
      </c>
      <c r="L549">
        <v>1.8</v>
      </c>
      <c r="M549">
        <v>0</v>
      </c>
      <c r="N549">
        <v>71.8</v>
      </c>
      <c r="O549">
        <v>115.02</v>
      </c>
      <c r="P549">
        <v>114.94</v>
      </c>
      <c r="Q549">
        <v>3.93</v>
      </c>
      <c r="R549">
        <v>4</v>
      </c>
      <c r="S549">
        <f t="shared" si="288"/>
        <v>0.50905553337102538</v>
      </c>
      <c r="T549">
        <f t="shared" si="289"/>
        <v>0.94956729694108055</v>
      </c>
      <c r="U549">
        <f t="shared" si="285"/>
        <v>0</v>
      </c>
      <c r="V549">
        <f t="shared" si="290"/>
        <v>0.34052797287985348</v>
      </c>
      <c r="W549" t="str">
        <f t="shared" si="286"/>
        <v/>
      </c>
      <c r="X549">
        <f t="shared" si="291"/>
        <v>0.24621007318799532</v>
      </c>
      <c r="Y549" t="str">
        <f t="shared" si="287"/>
        <v/>
      </c>
      <c r="Z549">
        <f t="shared" si="292"/>
        <v>0.9568890524472895</v>
      </c>
      <c r="AA549">
        <f t="shared" si="293"/>
        <v>0.89537111199313657</v>
      </c>
      <c r="AB549">
        <f t="shared" si="294"/>
        <v>0.2693421169665538</v>
      </c>
      <c r="AC549">
        <f t="shared" si="295"/>
        <v>0.72348074558926134</v>
      </c>
      <c r="AD549">
        <f t="shared" si="296"/>
        <v>0.96742812306632298</v>
      </c>
    </row>
    <row r="550" spans="1:30">
      <c r="A550" t="s">
        <v>413</v>
      </c>
      <c r="B550" t="s">
        <v>37</v>
      </c>
      <c r="C550" t="s">
        <v>38</v>
      </c>
      <c r="D550" t="s">
        <v>39</v>
      </c>
      <c r="E550" s="2">
        <v>46113</v>
      </c>
      <c r="F550" t="s">
        <v>40</v>
      </c>
      <c r="G550">
        <v>113.3</v>
      </c>
      <c r="H550">
        <v>80.2</v>
      </c>
      <c r="I550">
        <v>-1957.8</v>
      </c>
      <c r="J550">
        <v>71.3</v>
      </c>
      <c r="K550">
        <v>0</v>
      </c>
      <c r="L550">
        <v>0.8</v>
      </c>
      <c r="M550">
        <v>0</v>
      </c>
      <c r="N550">
        <v>72.099999999999994</v>
      </c>
      <c r="O550">
        <v>112.45</v>
      </c>
      <c r="P550">
        <v>116.78</v>
      </c>
      <c r="Q550">
        <v>3.86</v>
      </c>
      <c r="R550">
        <v>3.86</v>
      </c>
      <c r="S550">
        <f t="shared" si="288"/>
        <v>0.14804158960857478</v>
      </c>
      <c r="T550">
        <f t="shared" si="289"/>
        <v>0.18450845435752589</v>
      </c>
      <c r="U550">
        <f t="shared" si="285"/>
        <v>0</v>
      </c>
      <c r="V550">
        <f t="shared" si="290"/>
        <v>1.0202046977163897</v>
      </c>
      <c r="W550" t="str">
        <f t="shared" si="286"/>
        <v/>
      </c>
      <c r="X550">
        <f t="shared" si="291"/>
        <v>0.46802819526988565</v>
      </c>
      <c r="Y550" t="str">
        <f t="shared" si="287"/>
        <v/>
      </c>
      <c r="Z550">
        <f t="shared" si="292"/>
        <v>1.0935250913867376</v>
      </c>
      <c r="AA550">
        <f t="shared" si="293"/>
        <v>0.63166757377913696</v>
      </c>
      <c r="AB550">
        <f t="shared" si="294"/>
        <v>1.0504982397346512</v>
      </c>
      <c r="AC550">
        <f t="shared" si="295"/>
        <v>0.25831810479449585</v>
      </c>
      <c r="AD550">
        <f t="shared" si="296"/>
        <v>7.4348849522519939E-2</v>
      </c>
    </row>
    <row r="551" spans="1:30">
      <c r="A551" t="s">
        <v>414</v>
      </c>
      <c r="B551" t="s">
        <v>37</v>
      </c>
      <c r="C551" t="s">
        <v>38</v>
      </c>
      <c r="D551" t="s">
        <v>39</v>
      </c>
      <c r="E551" s="2">
        <v>46113</v>
      </c>
      <c r="F551" t="s">
        <v>34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tr">
        <f t="shared" si="288"/>
        <v/>
      </c>
      <c r="T551" t="str">
        <f t="shared" si="289"/>
        <v/>
      </c>
      <c r="U551" t="str">
        <f t="shared" si="285"/>
        <v/>
      </c>
      <c r="V551" t="str">
        <f t="shared" si="290"/>
        <v/>
      </c>
      <c r="W551" t="str">
        <f t="shared" si="286"/>
        <v/>
      </c>
      <c r="X551" t="str">
        <f t="shared" si="291"/>
        <v/>
      </c>
      <c r="Y551" t="str">
        <f t="shared" si="287"/>
        <v/>
      </c>
      <c r="Z551" t="str">
        <f t="shared" si="292"/>
        <v/>
      </c>
      <c r="AA551" t="str">
        <f t="shared" si="293"/>
        <v/>
      </c>
      <c r="AB551" t="str">
        <f t="shared" si="294"/>
        <v/>
      </c>
      <c r="AC551" t="str">
        <f t="shared" si="295"/>
        <v/>
      </c>
      <c r="AD551" t="str">
        <f t="shared" si="296"/>
        <v/>
      </c>
    </row>
    <row r="552" spans="1:30">
      <c r="A552" t="s">
        <v>414</v>
      </c>
      <c r="B552" t="s">
        <v>37</v>
      </c>
      <c r="C552" t="s">
        <v>38</v>
      </c>
      <c r="D552" t="s">
        <v>39</v>
      </c>
      <c r="E552" s="2">
        <v>46113</v>
      </c>
      <c r="F552" t="s">
        <v>34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tr">
        <f t="shared" si="288"/>
        <v/>
      </c>
      <c r="T552" t="str">
        <f t="shared" si="289"/>
        <v/>
      </c>
      <c r="U552" t="str">
        <f t="shared" si="285"/>
        <v/>
      </c>
      <c r="V552" t="str">
        <f t="shared" si="290"/>
        <v/>
      </c>
      <c r="W552" t="str">
        <f t="shared" si="286"/>
        <v/>
      </c>
      <c r="X552" t="str">
        <f t="shared" si="291"/>
        <v/>
      </c>
      <c r="Y552" t="str">
        <f t="shared" si="287"/>
        <v/>
      </c>
      <c r="Z552" t="str">
        <f t="shared" si="292"/>
        <v/>
      </c>
      <c r="AA552" t="str">
        <f t="shared" si="293"/>
        <v/>
      </c>
      <c r="AB552" t="str">
        <f t="shared" si="294"/>
        <v/>
      </c>
      <c r="AC552" t="str">
        <f t="shared" si="295"/>
        <v/>
      </c>
      <c r="AD552" t="str">
        <f t="shared" si="296"/>
        <v/>
      </c>
    </row>
    <row r="553" spans="1:30">
      <c r="A553" t="s">
        <v>414</v>
      </c>
      <c r="B553" t="s">
        <v>37</v>
      </c>
      <c r="C553" t="s">
        <v>38</v>
      </c>
      <c r="D553" t="s">
        <v>39</v>
      </c>
      <c r="E553" s="2">
        <v>46113</v>
      </c>
      <c r="F553" t="s">
        <v>34</v>
      </c>
      <c r="G553">
        <v>77.099999999999994</v>
      </c>
      <c r="H553">
        <v>70.7</v>
      </c>
      <c r="I553">
        <v>-1957.8</v>
      </c>
      <c r="J553">
        <v>71.3</v>
      </c>
      <c r="K553">
        <v>0</v>
      </c>
      <c r="L553">
        <v>1.2</v>
      </c>
      <c r="M553">
        <v>0</v>
      </c>
      <c r="N553">
        <v>72.5</v>
      </c>
      <c r="O553">
        <v>112.67</v>
      </c>
      <c r="P553">
        <v>116.92</v>
      </c>
      <c r="Q553">
        <v>2.27</v>
      </c>
      <c r="R553">
        <v>2.2000000000000002</v>
      </c>
      <c r="S553">
        <f t="shared" si="288"/>
        <v>7.1123499460585</v>
      </c>
      <c r="T553">
        <f t="shared" si="289"/>
        <v>3.5512958410252606</v>
      </c>
      <c r="U553">
        <f t="shared" si="285"/>
        <v>0</v>
      </c>
      <c r="V553">
        <f t="shared" si="290"/>
        <v>1.0202046977163897</v>
      </c>
      <c r="W553" t="str">
        <f t="shared" si="286"/>
        <v/>
      </c>
      <c r="X553">
        <f t="shared" si="291"/>
        <v>0.18233288788673335</v>
      </c>
      <c r="Y553" t="str">
        <f t="shared" si="287"/>
        <v/>
      </c>
      <c r="Z553">
        <f t="shared" si="292"/>
        <v>1.2757064766393391</v>
      </c>
      <c r="AA553">
        <f t="shared" si="293"/>
        <v>0.50094830884921504</v>
      </c>
      <c r="AB553">
        <f t="shared" si="294"/>
        <v>1.1509208755706126</v>
      </c>
      <c r="AC553">
        <f t="shared" si="295"/>
        <v>10.307519021829419</v>
      </c>
      <c r="AD553">
        <f t="shared" si="296"/>
        <v>10.515019679639705</v>
      </c>
    </row>
    <row r="554" spans="1:30">
      <c r="A554" t="s">
        <v>414</v>
      </c>
      <c r="B554" t="s">
        <v>37</v>
      </c>
      <c r="C554" t="s">
        <v>38</v>
      </c>
      <c r="D554" t="s">
        <v>39</v>
      </c>
      <c r="E554" s="2">
        <v>46113</v>
      </c>
      <c r="F554" t="s">
        <v>34</v>
      </c>
      <c r="G554">
        <v>74</v>
      </c>
      <c r="H554">
        <v>68.5</v>
      </c>
      <c r="I554">
        <v>-1957.8</v>
      </c>
      <c r="J554">
        <v>71.3</v>
      </c>
      <c r="K554">
        <v>0</v>
      </c>
      <c r="L554">
        <v>1.2</v>
      </c>
      <c r="M554">
        <v>0</v>
      </c>
      <c r="N554">
        <v>72.5</v>
      </c>
      <c r="O554">
        <v>112.82</v>
      </c>
      <c r="P554">
        <v>117.22</v>
      </c>
      <c r="Q554">
        <v>2.1</v>
      </c>
      <c r="R554">
        <v>2.17</v>
      </c>
      <c r="S554">
        <f t="shared" ref="S554:S585" si="297">IF(OR(G554=0,G554=""),"",ABS((G554-112.561871)/4.985957))</f>
        <v>7.7340961825382761</v>
      </c>
      <c r="T554">
        <f t="shared" ref="T554:T585" si="298">IF(OR(H554=0,H554=""),"",ABS((H554-80.720624)/2.821681))</f>
        <v>4.3309729200430525</v>
      </c>
      <c r="U554">
        <f t="shared" si="285"/>
        <v>0</v>
      </c>
      <c r="V554">
        <f t="shared" ref="V554:V585" si="299">IF(OR(J554=0,J554=""),"",ABS((J554-69.348681)/1.912674))</f>
        <v>1.0202046977163897</v>
      </c>
      <c r="W554" t="str">
        <f t="shared" si="286"/>
        <v/>
      </c>
      <c r="X554">
        <f t="shared" ref="X554:X585" si="300">IF(OR(L554=0,L554=""),"",ABS((L554-1.455283)/1.400093))</f>
        <v>0.18233288788673335</v>
      </c>
      <c r="Y554" t="str">
        <f t="shared" si="287"/>
        <v/>
      </c>
      <c r="Z554">
        <f t="shared" ref="Z554:Z585" si="301">IF(OR(N554=0,N554=""),"",ABS((N554-69.699041)/2.195614))</f>
        <v>1.2757064766393391</v>
      </c>
      <c r="AA554">
        <f t="shared" ref="AA554:AA585" si="302">IF(OR(O554=0,O554=""),"",ABS((O554-113.513094)/1.682996))</f>
        <v>0.41182153730609111</v>
      </c>
      <c r="AB554">
        <f t="shared" ref="AB554:AB585" si="303">IF(OR(P554=0,P554=""),"",ABS((P554-115.315492)/1.394108))</f>
        <v>1.3661122380762416</v>
      </c>
      <c r="AC554">
        <f t="shared" ref="AC554:AC585" si="304">IF(OR(Q554=0,Q554=""),"",ABS((Q554-3.821127)/0.150485))</f>
        <v>11.437199720902415</v>
      </c>
      <c r="AD554">
        <f t="shared" ref="AD554:AD585" si="305">IF(OR(R554=0,R554=""),"",ABS((R554-3.848345)/0.156761))</f>
        <v>10.706393809684807</v>
      </c>
    </row>
    <row r="555" spans="1:30">
      <c r="A555" t="s">
        <v>414</v>
      </c>
      <c r="B555" t="s">
        <v>37</v>
      </c>
      <c r="C555" t="s">
        <v>38</v>
      </c>
      <c r="D555" t="s">
        <v>39</v>
      </c>
      <c r="E555" s="2">
        <v>46113</v>
      </c>
      <c r="F555" t="s">
        <v>34</v>
      </c>
      <c r="G555">
        <v>122.7</v>
      </c>
      <c r="H555">
        <v>68.900000000000006</v>
      </c>
      <c r="I555">
        <v>-1957.8</v>
      </c>
      <c r="J555">
        <v>71.3</v>
      </c>
      <c r="K555">
        <v>0</v>
      </c>
      <c r="L555">
        <v>1.5</v>
      </c>
      <c r="M555">
        <v>0</v>
      </c>
      <c r="N555">
        <v>72.8</v>
      </c>
      <c r="O555">
        <v>112.38</v>
      </c>
      <c r="P555">
        <v>116.63</v>
      </c>
      <c r="Q555">
        <v>3.05</v>
      </c>
      <c r="R555">
        <v>3.25</v>
      </c>
      <c r="S555">
        <f t="shared" si="297"/>
        <v>2.0333366292569321</v>
      </c>
      <c r="T555">
        <f t="shared" si="298"/>
        <v>4.1892134511307253</v>
      </c>
      <c r="U555">
        <f t="shared" si="285"/>
        <v>0</v>
      </c>
      <c r="V555">
        <f t="shared" si="299"/>
        <v>1.0202046977163897</v>
      </c>
      <c r="W555" t="str">
        <f t="shared" si="286"/>
        <v/>
      </c>
      <c r="X555">
        <f t="shared" si="300"/>
        <v>3.1938592650630988E-2</v>
      </c>
      <c r="Y555" t="str">
        <f t="shared" si="287"/>
        <v/>
      </c>
      <c r="Z555">
        <f t="shared" si="301"/>
        <v>1.4123425155787872</v>
      </c>
      <c r="AA555">
        <f t="shared" si="302"/>
        <v>0.67326006716593501</v>
      </c>
      <c r="AB555">
        <f t="shared" si="303"/>
        <v>0.94290255848183169</v>
      </c>
      <c r="AC555">
        <f t="shared" si="304"/>
        <v>5.124278167259197</v>
      </c>
      <c r="AD555">
        <f t="shared" si="305"/>
        <v>3.8169251280611891</v>
      </c>
    </row>
    <row r="556" spans="1:30">
      <c r="A556" t="s">
        <v>414</v>
      </c>
      <c r="B556" t="s">
        <v>37</v>
      </c>
      <c r="C556" t="s">
        <v>38</v>
      </c>
      <c r="D556" t="s">
        <v>39</v>
      </c>
      <c r="E556" s="2">
        <v>46113</v>
      </c>
      <c r="F556" t="s">
        <v>40</v>
      </c>
      <c r="G556">
        <v>123.6</v>
      </c>
      <c r="H556">
        <v>81.599999999999994</v>
      </c>
      <c r="I556">
        <v>-1957.8</v>
      </c>
      <c r="J556">
        <v>70.8</v>
      </c>
      <c r="K556">
        <v>0</v>
      </c>
      <c r="L556">
        <v>0.8</v>
      </c>
      <c r="M556">
        <v>0</v>
      </c>
      <c r="N556">
        <v>71.599999999999994</v>
      </c>
      <c r="O556">
        <v>115.46</v>
      </c>
      <c r="P556">
        <v>115.38</v>
      </c>
      <c r="Q556">
        <v>3.66</v>
      </c>
      <c r="R556">
        <v>3.74</v>
      </c>
      <c r="S556">
        <f t="shared" si="297"/>
        <v>2.2138436011381564</v>
      </c>
      <c r="T556">
        <f t="shared" si="298"/>
        <v>0.31164968683561095</v>
      </c>
      <c r="U556">
        <f t="shared" si="285"/>
        <v>0</v>
      </c>
      <c r="V556">
        <f t="shared" si="299"/>
        <v>0.75879057277925988</v>
      </c>
      <c r="W556" t="str">
        <f t="shared" si="286"/>
        <v/>
      </c>
      <c r="X556">
        <f t="shared" si="300"/>
        <v>0.46802819526988565</v>
      </c>
      <c r="Y556" t="str">
        <f t="shared" si="287"/>
        <v/>
      </c>
      <c r="Z556">
        <f t="shared" si="301"/>
        <v>0.86579835982098874</v>
      </c>
      <c r="AA556">
        <f t="shared" si="302"/>
        <v>1.1568096418529803</v>
      </c>
      <c r="AB556">
        <f t="shared" si="303"/>
        <v>4.6271881375036482E-2</v>
      </c>
      <c r="AC556">
        <f t="shared" si="304"/>
        <v>1.0707180117619697</v>
      </c>
      <c r="AD556">
        <f t="shared" si="305"/>
        <v>0.69114767065787985</v>
      </c>
    </row>
    <row r="557" spans="1:30">
      <c r="A557" t="s">
        <v>415</v>
      </c>
      <c r="B557" t="s">
        <v>37</v>
      </c>
      <c r="C557" t="s">
        <v>38</v>
      </c>
      <c r="D557" t="s">
        <v>39</v>
      </c>
      <c r="E557" s="2">
        <v>46113</v>
      </c>
      <c r="F557" t="s">
        <v>40</v>
      </c>
      <c r="G557">
        <v>110.6</v>
      </c>
      <c r="H557">
        <v>81.599999999999994</v>
      </c>
      <c r="I557">
        <v>-1957.8</v>
      </c>
      <c r="J557">
        <v>71.3</v>
      </c>
      <c r="K557">
        <v>0</v>
      </c>
      <c r="L557">
        <v>0.6</v>
      </c>
      <c r="M557">
        <v>0</v>
      </c>
      <c r="N557">
        <v>71.900000000000006</v>
      </c>
      <c r="O557">
        <v>114.94</v>
      </c>
      <c r="P557">
        <v>114.58</v>
      </c>
      <c r="Q557">
        <v>3.86</v>
      </c>
      <c r="R557">
        <v>3.98</v>
      </c>
      <c r="S557">
        <f t="shared" si="297"/>
        <v>0.39347932603510261</v>
      </c>
      <c r="T557">
        <f t="shared" si="298"/>
        <v>0.31164968683561095</v>
      </c>
      <c r="U557">
        <f t="shared" si="285"/>
        <v>0</v>
      </c>
      <c r="V557">
        <f t="shared" si="299"/>
        <v>1.0202046977163897</v>
      </c>
      <c r="W557" t="str">
        <f t="shared" si="286"/>
        <v/>
      </c>
      <c r="X557">
        <f t="shared" si="300"/>
        <v>0.61087584896146196</v>
      </c>
      <c r="Y557" t="str">
        <f t="shared" si="287"/>
        <v/>
      </c>
      <c r="Z557">
        <f t="shared" si="301"/>
        <v>1.0024343987604432</v>
      </c>
      <c r="AA557">
        <f t="shared" si="302"/>
        <v>0.84783683383680208</v>
      </c>
      <c r="AB557">
        <f t="shared" si="303"/>
        <v>0.52757175197331041</v>
      </c>
      <c r="AC557">
        <f t="shared" si="304"/>
        <v>0.25831810479449585</v>
      </c>
      <c r="AD557">
        <f t="shared" si="305"/>
        <v>0.83984536970292256</v>
      </c>
    </row>
    <row r="558" spans="1:30">
      <c r="A558" t="s">
        <v>416</v>
      </c>
      <c r="B558" t="s">
        <v>37</v>
      </c>
      <c r="C558" t="s">
        <v>38</v>
      </c>
      <c r="D558" t="s">
        <v>39</v>
      </c>
      <c r="E558" s="2">
        <v>46113</v>
      </c>
      <c r="F558" t="s">
        <v>40</v>
      </c>
      <c r="G558">
        <v>111.1</v>
      </c>
      <c r="H558">
        <v>83.8</v>
      </c>
      <c r="I558">
        <v>-1957.8</v>
      </c>
      <c r="J558">
        <v>71.3</v>
      </c>
      <c r="K558">
        <v>0</v>
      </c>
      <c r="L558">
        <v>0.8</v>
      </c>
      <c r="M558">
        <v>0</v>
      </c>
      <c r="N558">
        <v>72.099999999999994</v>
      </c>
      <c r="O558">
        <v>115.24</v>
      </c>
      <c r="P558">
        <v>115.02</v>
      </c>
      <c r="Q558">
        <v>3.98</v>
      </c>
      <c r="R558">
        <v>4.05</v>
      </c>
      <c r="S558">
        <f t="shared" si="297"/>
        <v>0.29319767498997729</v>
      </c>
      <c r="T558">
        <f t="shared" si="298"/>
        <v>1.0913267658534032</v>
      </c>
      <c r="U558">
        <f t="shared" si="285"/>
        <v>0</v>
      </c>
      <c r="V558">
        <f t="shared" si="299"/>
        <v>1.0202046977163897</v>
      </c>
      <c r="W558" t="str">
        <f t="shared" si="286"/>
        <v/>
      </c>
      <c r="X558">
        <f t="shared" si="300"/>
        <v>0.46802819526988565</v>
      </c>
      <c r="Y558" t="str">
        <f t="shared" si="287"/>
        <v/>
      </c>
      <c r="Z558">
        <f t="shared" si="301"/>
        <v>1.0935250913867376</v>
      </c>
      <c r="AA558">
        <f t="shared" si="302"/>
        <v>1.0260903769230585</v>
      </c>
      <c r="AB558">
        <f t="shared" si="303"/>
        <v>0.21195775363172015</v>
      </c>
      <c r="AC558">
        <f t="shared" si="304"/>
        <v>1.055739774728377</v>
      </c>
      <c r="AD558">
        <f t="shared" si="305"/>
        <v>1.2863850064748228</v>
      </c>
    </row>
    <row r="559" spans="1:30">
      <c r="A559" t="s">
        <v>417</v>
      </c>
      <c r="B559" t="s">
        <v>37</v>
      </c>
      <c r="C559" t="s">
        <v>38</v>
      </c>
      <c r="D559" t="s">
        <v>39</v>
      </c>
      <c r="E559" s="2">
        <v>46113</v>
      </c>
      <c r="F559" t="s">
        <v>40</v>
      </c>
      <c r="G559">
        <v>113.3</v>
      </c>
      <c r="H559">
        <v>82.9</v>
      </c>
      <c r="I559">
        <v>-1957.8</v>
      </c>
      <c r="J559">
        <v>71.3</v>
      </c>
      <c r="K559">
        <v>0</v>
      </c>
      <c r="L559">
        <v>0.9</v>
      </c>
      <c r="M559">
        <v>0</v>
      </c>
      <c r="N559">
        <v>72.2</v>
      </c>
      <c r="O559">
        <v>111.72</v>
      </c>
      <c r="P559">
        <v>113.11</v>
      </c>
      <c r="Q559">
        <v>3.98</v>
      </c>
      <c r="R559">
        <v>4.0999999999999996</v>
      </c>
      <c r="S559">
        <f t="shared" si="297"/>
        <v>0.14804158960857478</v>
      </c>
      <c r="T559">
        <f t="shared" si="298"/>
        <v>0.77236796080067338</v>
      </c>
      <c r="U559">
        <f t="shared" si="285"/>
        <v>0</v>
      </c>
      <c r="V559">
        <f t="shared" si="299"/>
        <v>1.0202046977163897</v>
      </c>
      <c r="W559" t="str">
        <f t="shared" si="286"/>
        <v/>
      </c>
      <c r="X559">
        <f t="shared" si="300"/>
        <v>0.39660436842409758</v>
      </c>
      <c r="Y559" t="str">
        <f t="shared" si="287"/>
        <v/>
      </c>
      <c r="Z559">
        <f t="shared" si="301"/>
        <v>1.1390704376998912</v>
      </c>
      <c r="AA559">
        <f t="shared" si="302"/>
        <v>1.0654178619557007</v>
      </c>
      <c r="AB559">
        <f t="shared" si="303"/>
        <v>1.5820094282509007</v>
      </c>
      <c r="AC559">
        <f t="shared" si="304"/>
        <v>1.055739774728377</v>
      </c>
      <c r="AD559">
        <f t="shared" si="305"/>
        <v>1.6053418898833223</v>
      </c>
    </row>
    <row r="560" spans="1:30">
      <c r="A560" t="s">
        <v>418</v>
      </c>
      <c r="B560" t="s">
        <v>37</v>
      </c>
      <c r="C560" t="s">
        <v>38</v>
      </c>
      <c r="D560" t="s">
        <v>39</v>
      </c>
      <c r="E560" s="2">
        <v>46118</v>
      </c>
      <c r="F560" t="s">
        <v>40</v>
      </c>
      <c r="G560">
        <v>112</v>
      </c>
      <c r="H560">
        <v>80.2</v>
      </c>
      <c r="I560">
        <v>-1957.8</v>
      </c>
      <c r="J560">
        <v>68.599999999999994</v>
      </c>
      <c r="K560">
        <v>0</v>
      </c>
      <c r="L560">
        <v>1.1000000000000001</v>
      </c>
      <c r="M560">
        <v>0</v>
      </c>
      <c r="N560">
        <v>69.7</v>
      </c>
      <c r="O560">
        <v>112.3</v>
      </c>
      <c r="P560">
        <v>116.48</v>
      </c>
      <c r="Q560">
        <v>3.64</v>
      </c>
      <c r="R560">
        <v>3.66</v>
      </c>
      <c r="S560">
        <f t="shared" si="297"/>
        <v>0.11269070310875053</v>
      </c>
      <c r="T560">
        <f t="shared" si="298"/>
        <v>0.18450845435752589</v>
      </c>
      <c r="U560">
        <f t="shared" si="285"/>
        <v>0</v>
      </c>
      <c r="V560">
        <f t="shared" si="299"/>
        <v>0.39143157694411324</v>
      </c>
      <c r="W560" t="str">
        <f t="shared" si="286"/>
        <v/>
      </c>
      <c r="X560">
        <f t="shared" si="300"/>
        <v>0.25375671473252137</v>
      </c>
      <c r="Y560" t="str">
        <f t="shared" si="287"/>
        <v/>
      </c>
      <c r="Z560">
        <f t="shared" si="301"/>
        <v>4.3677987114712057E-4</v>
      </c>
      <c r="AA560">
        <f t="shared" si="302"/>
        <v>0.72079434532226938</v>
      </c>
      <c r="AB560">
        <f t="shared" si="303"/>
        <v>0.83530687722902242</v>
      </c>
      <c r="AC560">
        <f t="shared" si="304"/>
        <v>1.2036216234176165</v>
      </c>
      <c r="AD560">
        <f t="shared" si="305"/>
        <v>1.2014786841114817</v>
      </c>
    </row>
    <row r="561" spans="1:30">
      <c r="A561" t="s">
        <v>419</v>
      </c>
      <c r="B561" t="s">
        <v>37</v>
      </c>
      <c r="C561" t="s">
        <v>38</v>
      </c>
      <c r="D561" t="s">
        <v>39</v>
      </c>
      <c r="E561" s="2">
        <v>46118</v>
      </c>
      <c r="F561" t="s">
        <v>40</v>
      </c>
      <c r="G561">
        <v>111.5</v>
      </c>
      <c r="H561">
        <v>79.8</v>
      </c>
      <c r="I561">
        <v>-1957.8</v>
      </c>
      <c r="J561">
        <v>68.599999999999994</v>
      </c>
      <c r="K561">
        <v>0</v>
      </c>
      <c r="L561">
        <v>0.2</v>
      </c>
      <c r="M561">
        <v>0</v>
      </c>
      <c r="N561">
        <v>68.8</v>
      </c>
      <c r="O561">
        <v>115.68</v>
      </c>
      <c r="P561">
        <v>117.14</v>
      </c>
      <c r="Q561">
        <v>3.66</v>
      </c>
      <c r="R561">
        <v>3.71</v>
      </c>
      <c r="S561">
        <f t="shared" si="297"/>
        <v>0.21297235415387586</v>
      </c>
      <c r="T561">
        <f t="shared" si="298"/>
        <v>0.3262679232698536</v>
      </c>
      <c r="U561">
        <f t="shared" si="285"/>
        <v>0</v>
      </c>
      <c r="V561">
        <f t="shared" si="299"/>
        <v>0.39143157694411324</v>
      </c>
      <c r="W561" t="str">
        <f t="shared" si="286"/>
        <v/>
      </c>
      <c r="X561">
        <f t="shared" si="300"/>
        <v>0.89657115634461437</v>
      </c>
      <c r="Y561" t="str">
        <f t="shared" si="287"/>
        <v/>
      </c>
      <c r="Z561">
        <f t="shared" si="301"/>
        <v>0.40947133694720333</v>
      </c>
      <c r="AA561">
        <f t="shared" si="302"/>
        <v>1.2875289067829108</v>
      </c>
      <c r="AB561">
        <f t="shared" si="303"/>
        <v>1.3087278747414077</v>
      </c>
      <c r="AC561">
        <f t="shared" si="304"/>
        <v>1.0707180117619697</v>
      </c>
      <c r="AD561">
        <f t="shared" si="305"/>
        <v>0.88252180070298192</v>
      </c>
    </row>
    <row r="562" spans="1:30">
      <c r="A562" t="s">
        <v>420</v>
      </c>
      <c r="B562" t="s">
        <v>37</v>
      </c>
      <c r="C562" t="s">
        <v>38</v>
      </c>
      <c r="D562" t="s">
        <v>39</v>
      </c>
      <c r="E562" s="2">
        <v>46118</v>
      </c>
      <c r="F562" t="s">
        <v>40</v>
      </c>
      <c r="G562">
        <v>111.1</v>
      </c>
      <c r="H562">
        <v>78.900000000000006</v>
      </c>
      <c r="I562">
        <v>-1957.8</v>
      </c>
      <c r="J562">
        <v>68.2</v>
      </c>
      <c r="K562">
        <v>0</v>
      </c>
      <c r="L562">
        <v>0.9</v>
      </c>
      <c r="M562">
        <v>0</v>
      </c>
      <c r="N562">
        <v>69.099999999999994</v>
      </c>
      <c r="O562">
        <v>115.24</v>
      </c>
      <c r="P562">
        <v>115.24</v>
      </c>
      <c r="Q562">
        <v>3.91</v>
      </c>
      <c r="R562">
        <v>4.03</v>
      </c>
      <c r="S562">
        <f t="shared" si="297"/>
        <v>0.29319767498997729</v>
      </c>
      <c r="T562">
        <f t="shared" si="298"/>
        <v>0.64522672832258332</v>
      </c>
      <c r="U562">
        <f t="shared" si="285"/>
        <v>0</v>
      </c>
      <c r="V562">
        <f t="shared" si="299"/>
        <v>0.60056287689381271</v>
      </c>
      <c r="W562" t="str">
        <f t="shared" si="286"/>
        <v/>
      </c>
      <c r="X562">
        <f t="shared" si="300"/>
        <v>0.39660436842409758</v>
      </c>
      <c r="Y562" t="str">
        <f t="shared" si="287"/>
        <v/>
      </c>
      <c r="Z562">
        <f t="shared" si="301"/>
        <v>0.27283529800775536</v>
      </c>
      <c r="AA562">
        <f t="shared" si="302"/>
        <v>1.0260903769230585</v>
      </c>
      <c r="AB562">
        <f t="shared" si="303"/>
        <v>5.4150754460924995E-2</v>
      </c>
      <c r="AC562">
        <f t="shared" si="304"/>
        <v>0.59057713393361444</v>
      </c>
      <c r="AD562">
        <f t="shared" si="305"/>
        <v>1.158802253111425</v>
      </c>
    </row>
    <row r="563" spans="1:30">
      <c r="A563" t="s">
        <v>421</v>
      </c>
      <c r="B563" t="s">
        <v>37</v>
      </c>
      <c r="C563" t="s">
        <v>38</v>
      </c>
      <c r="D563" t="s">
        <v>39</v>
      </c>
      <c r="E563" s="2">
        <v>46119</v>
      </c>
      <c r="F563" t="s">
        <v>34</v>
      </c>
      <c r="G563">
        <v>78</v>
      </c>
      <c r="H563">
        <v>54</v>
      </c>
      <c r="I563">
        <v>-1957.8</v>
      </c>
      <c r="J563">
        <v>66.400000000000006</v>
      </c>
      <c r="K563">
        <v>0</v>
      </c>
      <c r="L563">
        <v>0.8</v>
      </c>
      <c r="M563">
        <v>0</v>
      </c>
      <c r="N563">
        <v>67.2</v>
      </c>
      <c r="O563">
        <v>116.63</v>
      </c>
      <c r="P563">
        <v>113.4</v>
      </c>
      <c r="Q563">
        <v>2.34</v>
      </c>
      <c r="R563">
        <v>2.0499999999999998</v>
      </c>
      <c r="S563">
        <f t="shared" si="297"/>
        <v>6.9318429741772736</v>
      </c>
      <c r="T563">
        <f t="shared" si="298"/>
        <v>9.4697536681148584</v>
      </c>
      <c r="U563">
        <f t="shared" si="285"/>
        <v>0</v>
      </c>
      <c r="V563">
        <f t="shared" si="299"/>
        <v>1.5416537266674788</v>
      </c>
      <c r="W563" t="str">
        <f t="shared" si="286"/>
        <v/>
      </c>
      <c r="X563">
        <f t="shared" si="300"/>
        <v>0.46802819526988565</v>
      </c>
      <c r="Y563" t="str">
        <f t="shared" si="287"/>
        <v/>
      </c>
      <c r="Z563">
        <f t="shared" si="301"/>
        <v>1.1381968779575968</v>
      </c>
      <c r="AA563">
        <f t="shared" si="302"/>
        <v>1.8519984598893879</v>
      </c>
      <c r="AB563">
        <f t="shared" si="303"/>
        <v>1.3739911111621199</v>
      </c>
      <c r="AC563">
        <f t="shared" si="304"/>
        <v>9.8423563810346568</v>
      </c>
      <c r="AD563">
        <f t="shared" si="305"/>
        <v>11.471890329865209</v>
      </c>
    </row>
    <row r="564" spans="1:30">
      <c r="A564" t="s">
        <v>421</v>
      </c>
      <c r="B564" t="s">
        <v>37</v>
      </c>
      <c r="C564" t="s">
        <v>38</v>
      </c>
      <c r="D564" t="s">
        <v>39</v>
      </c>
      <c r="E564" s="2">
        <v>46119</v>
      </c>
      <c r="F564" t="s">
        <v>34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tr">
        <f t="shared" si="297"/>
        <v/>
      </c>
      <c r="T564" t="str">
        <f t="shared" si="298"/>
        <v/>
      </c>
      <c r="U564" t="str">
        <f t="shared" si="285"/>
        <v/>
      </c>
      <c r="V564" t="str">
        <f t="shared" si="299"/>
        <v/>
      </c>
      <c r="W564" t="str">
        <f t="shared" si="286"/>
        <v/>
      </c>
      <c r="X564" t="str">
        <f t="shared" si="300"/>
        <v/>
      </c>
      <c r="Y564" t="str">
        <f t="shared" si="287"/>
        <v/>
      </c>
      <c r="Z564" t="str">
        <f t="shared" si="301"/>
        <v/>
      </c>
      <c r="AA564" t="str">
        <f t="shared" si="302"/>
        <v/>
      </c>
      <c r="AB564" t="str">
        <f t="shared" si="303"/>
        <v/>
      </c>
      <c r="AC564" t="str">
        <f t="shared" si="304"/>
        <v/>
      </c>
      <c r="AD564" t="str">
        <f t="shared" si="305"/>
        <v/>
      </c>
    </row>
    <row r="565" spans="1:30">
      <c r="A565" t="s">
        <v>422</v>
      </c>
      <c r="B565" t="s">
        <v>37</v>
      </c>
      <c r="C565" t="s">
        <v>38</v>
      </c>
      <c r="D565" t="s">
        <v>39</v>
      </c>
      <c r="E565" s="2">
        <v>46119</v>
      </c>
      <c r="F565" t="s">
        <v>40</v>
      </c>
      <c r="G565">
        <v>111.1</v>
      </c>
      <c r="H565">
        <v>77.900000000000006</v>
      </c>
      <c r="I565">
        <v>-1957.8</v>
      </c>
      <c r="J565">
        <v>67.3</v>
      </c>
      <c r="K565">
        <v>0</v>
      </c>
      <c r="L565">
        <v>0.8</v>
      </c>
      <c r="M565">
        <v>0</v>
      </c>
      <c r="N565">
        <v>68.099999999999994</v>
      </c>
      <c r="O565">
        <v>112.01</v>
      </c>
      <c r="P565">
        <v>116.85</v>
      </c>
      <c r="Q565">
        <v>3.83</v>
      </c>
      <c r="R565">
        <v>3.81</v>
      </c>
      <c r="S565">
        <f t="shared" si="297"/>
        <v>0.29319767498997729</v>
      </c>
      <c r="T565">
        <f t="shared" si="298"/>
        <v>0.99962540060339755</v>
      </c>
      <c r="U565">
        <f t="shared" si="285"/>
        <v>0</v>
      </c>
      <c r="V565">
        <f t="shared" si="299"/>
        <v>1.0711083017806495</v>
      </c>
      <c r="W565" t="str">
        <f t="shared" si="286"/>
        <v/>
      </c>
      <c r="X565">
        <f t="shared" si="300"/>
        <v>0.46802819526988565</v>
      </c>
      <c r="Y565" t="str">
        <f t="shared" si="287"/>
        <v/>
      </c>
      <c r="Z565">
        <f t="shared" si="301"/>
        <v>0.728288761139253</v>
      </c>
      <c r="AA565">
        <f t="shared" si="302"/>
        <v>0.8931061036389808</v>
      </c>
      <c r="AB565">
        <f t="shared" si="303"/>
        <v>1.1007095576526269</v>
      </c>
      <c r="AC565">
        <f t="shared" si="304"/>
        <v>5.8962687311027065E-2</v>
      </c>
      <c r="AD565">
        <f t="shared" si="305"/>
        <v>0.24460803388597974</v>
      </c>
    </row>
    <row r="566" spans="1:30">
      <c r="A566" t="s">
        <v>423</v>
      </c>
      <c r="B566" t="s">
        <v>37</v>
      </c>
      <c r="C566" t="s">
        <v>38</v>
      </c>
      <c r="D566" t="s">
        <v>39</v>
      </c>
      <c r="E566" s="2">
        <v>46119</v>
      </c>
      <c r="F566" t="s">
        <v>40</v>
      </c>
      <c r="G566">
        <v>112</v>
      </c>
      <c r="H566">
        <v>77.5</v>
      </c>
      <c r="I566">
        <v>-1957.8</v>
      </c>
      <c r="J566">
        <v>67.3</v>
      </c>
      <c r="K566">
        <v>0</v>
      </c>
      <c r="L566">
        <v>0.2</v>
      </c>
      <c r="M566">
        <v>0</v>
      </c>
      <c r="N566">
        <v>67.099999999999994</v>
      </c>
      <c r="O566">
        <v>115.38</v>
      </c>
      <c r="P566">
        <v>115.31</v>
      </c>
      <c r="Q566">
        <v>3.76</v>
      </c>
      <c r="R566">
        <v>3.86</v>
      </c>
      <c r="S566">
        <f t="shared" si="297"/>
        <v>0.11269070310875053</v>
      </c>
      <c r="T566">
        <f t="shared" si="298"/>
        <v>1.1413848695157252</v>
      </c>
      <c r="U566">
        <f t="shared" si="285"/>
        <v>0</v>
      </c>
      <c r="V566">
        <f t="shared" si="299"/>
        <v>1.0711083017806495</v>
      </c>
      <c r="W566" t="str">
        <f t="shared" si="286"/>
        <v/>
      </c>
      <c r="X566">
        <f t="shared" si="300"/>
        <v>0.89657115634461437</v>
      </c>
      <c r="Y566" t="str">
        <f t="shared" si="287"/>
        <v/>
      </c>
      <c r="Z566">
        <f t="shared" si="301"/>
        <v>1.1837422242707505</v>
      </c>
      <c r="AA566">
        <f t="shared" si="302"/>
        <v>1.1092753636966459</v>
      </c>
      <c r="AB566">
        <f t="shared" si="303"/>
        <v>3.9394365429391608E-3</v>
      </c>
      <c r="AC566">
        <f t="shared" si="304"/>
        <v>0.40619995348373839</v>
      </c>
      <c r="AD566">
        <f t="shared" si="305"/>
        <v>7.4348849522519939E-2</v>
      </c>
    </row>
    <row r="567" spans="1:30">
      <c r="A567" t="s">
        <v>424</v>
      </c>
      <c r="B567" t="s">
        <v>37</v>
      </c>
      <c r="C567" t="s">
        <v>38</v>
      </c>
      <c r="D567" t="s">
        <v>39</v>
      </c>
      <c r="E567" s="2">
        <v>46119</v>
      </c>
      <c r="F567" t="s">
        <v>34</v>
      </c>
      <c r="G567">
        <v>111.1</v>
      </c>
      <c r="H567">
        <v>73.400000000000006</v>
      </c>
      <c r="I567">
        <v>-1957.8</v>
      </c>
      <c r="J567">
        <v>67.3</v>
      </c>
      <c r="K567">
        <v>0</v>
      </c>
      <c r="L567">
        <v>0.4</v>
      </c>
      <c r="M567">
        <v>0</v>
      </c>
      <c r="N567">
        <v>67.7</v>
      </c>
      <c r="O567">
        <v>112.16</v>
      </c>
      <c r="P567">
        <v>116.7</v>
      </c>
      <c r="Q567">
        <v>3.42</v>
      </c>
      <c r="R567">
        <v>3.44</v>
      </c>
      <c r="S567">
        <f t="shared" si="297"/>
        <v>0.29319767498997729</v>
      </c>
      <c r="T567">
        <f t="shared" si="298"/>
        <v>2.5944194258670614</v>
      </c>
      <c r="U567">
        <f t="shared" si="285"/>
        <v>0</v>
      </c>
      <c r="V567">
        <f t="shared" si="299"/>
        <v>1.0711083017806495</v>
      </c>
      <c r="W567" t="str">
        <f t="shared" si="286"/>
        <v/>
      </c>
      <c r="X567">
        <f t="shared" si="300"/>
        <v>0.75372350265303822</v>
      </c>
      <c r="Y567" t="str">
        <f t="shared" si="287"/>
        <v/>
      </c>
      <c r="Z567">
        <f t="shared" si="301"/>
        <v>0.91047014639184809</v>
      </c>
      <c r="AA567">
        <f t="shared" si="302"/>
        <v>0.80397933209585692</v>
      </c>
      <c r="AB567">
        <f t="shared" si="303"/>
        <v>0.99311387639981752</v>
      </c>
      <c r="AC567">
        <f t="shared" si="304"/>
        <v>2.6655613516297318</v>
      </c>
      <c r="AD567">
        <f t="shared" si="305"/>
        <v>2.6048889711088865</v>
      </c>
    </row>
    <row r="568" spans="1:30">
      <c r="A568" t="s">
        <v>424</v>
      </c>
      <c r="B568" t="s">
        <v>37</v>
      </c>
      <c r="C568" t="s">
        <v>38</v>
      </c>
      <c r="D568" t="s">
        <v>39</v>
      </c>
      <c r="E568" s="2">
        <v>46119</v>
      </c>
      <c r="F568" t="s">
        <v>34</v>
      </c>
      <c r="G568">
        <v>113.3</v>
      </c>
      <c r="H568">
        <v>71.599999999999994</v>
      </c>
      <c r="I568">
        <v>-1957.8</v>
      </c>
      <c r="J568">
        <v>66.8</v>
      </c>
      <c r="K568">
        <v>0</v>
      </c>
      <c r="L568">
        <v>0.8</v>
      </c>
      <c r="M568">
        <v>0</v>
      </c>
      <c r="N568">
        <v>66</v>
      </c>
      <c r="O568">
        <v>115.31</v>
      </c>
      <c r="P568">
        <v>115.53</v>
      </c>
      <c r="Q568">
        <v>3.44</v>
      </c>
      <c r="R568">
        <v>3.47</v>
      </c>
      <c r="S568">
        <f t="shared" si="297"/>
        <v>0.14804158960857478</v>
      </c>
      <c r="T568">
        <f t="shared" si="298"/>
        <v>3.232337035972531</v>
      </c>
      <c r="U568">
        <f t="shared" si="285"/>
        <v>0</v>
      </c>
      <c r="V568">
        <f t="shared" si="299"/>
        <v>1.3325224267177793</v>
      </c>
      <c r="W568" t="str">
        <f t="shared" si="286"/>
        <v/>
      </c>
      <c r="X568">
        <f t="shared" si="300"/>
        <v>0.46802819526988565</v>
      </c>
      <c r="Y568" t="str">
        <f t="shared" si="287"/>
        <v/>
      </c>
      <c r="Z568">
        <f t="shared" si="301"/>
        <v>1.6847410337153954</v>
      </c>
      <c r="AA568">
        <f t="shared" si="302"/>
        <v>1.0676828703098564</v>
      </c>
      <c r="AB568">
        <f t="shared" si="303"/>
        <v>0.15386756262785597</v>
      </c>
      <c r="AC568">
        <f t="shared" si="304"/>
        <v>2.5326577399740851</v>
      </c>
      <c r="AD568">
        <f t="shared" si="305"/>
        <v>2.4135148410637846</v>
      </c>
    </row>
    <row r="569" spans="1:30">
      <c r="A569" t="s">
        <v>425</v>
      </c>
      <c r="B569" t="s">
        <v>37</v>
      </c>
      <c r="C569" t="s">
        <v>38</v>
      </c>
      <c r="D569" t="s">
        <v>39</v>
      </c>
      <c r="E569" s="2">
        <v>46119</v>
      </c>
      <c r="F569" t="s">
        <v>40</v>
      </c>
      <c r="G569">
        <v>112</v>
      </c>
      <c r="H569">
        <v>75.7</v>
      </c>
      <c r="I569">
        <v>-1957.8</v>
      </c>
      <c r="J569">
        <v>66.8</v>
      </c>
      <c r="K569">
        <v>0</v>
      </c>
      <c r="L569">
        <v>1.1000000000000001</v>
      </c>
      <c r="M569">
        <v>0</v>
      </c>
      <c r="N569">
        <v>67.900000000000006</v>
      </c>
      <c r="O569">
        <v>115.53</v>
      </c>
      <c r="P569">
        <v>117.07</v>
      </c>
      <c r="Q569">
        <v>3.71</v>
      </c>
      <c r="R569">
        <v>3.71</v>
      </c>
      <c r="S569">
        <f t="shared" si="297"/>
        <v>0.11269070310875053</v>
      </c>
      <c r="T569">
        <f t="shared" si="298"/>
        <v>1.7793024796211898</v>
      </c>
      <c r="U569">
        <f t="shared" si="285"/>
        <v>0</v>
      </c>
      <c r="V569">
        <f t="shared" si="299"/>
        <v>1.3325224267177793</v>
      </c>
      <c r="W569" t="str">
        <f t="shared" si="286"/>
        <v/>
      </c>
      <c r="X569">
        <f t="shared" si="300"/>
        <v>0.25375671473252137</v>
      </c>
      <c r="Y569" t="str">
        <f t="shared" si="287"/>
        <v/>
      </c>
      <c r="Z569">
        <f t="shared" si="301"/>
        <v>0.81937945376554733</v>
      </c>
      <c r="AA569">
        <f t="shared" si="302"/>
        <v>1.1984021352397782</v>
      </c>
      <c r="AB569">
        <f t="shared" si="303"/>
        <v>1.258516556823422</v>
      </c>
      <c r="AC569">
        <f t="shared" si="304"/>
        <v>0.73845898262285403</v>
      </c>
      <c r="AD569">
        <f t="shared" si="305"/>
        <v>0.88252180070298192</v>
      </c>
    </row>
    <row r="570" spans="1:30">
      <c r="A570" t="s">
        <v>426</v>
      </c>
      <c r="B570" t="s">
        <v>37</v>
      </c>
      <c r="C570" t="s">
        <v>38</v>
      </c>
      <c r="D570" t="s">
        <v>39</v>
      </c>
      <c r="E570" s="2">
        <v>46119</v>
      </c>
      <c r="F570" t="s">
        <v>34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tr">
        <f t="shared" si="297"/>
        <v/>
      </c>
      <c r="T570" t="str">
        <f t="shared" si="298"/>
        <v/>
      </c>
      <c r="U570" t="str">
        <f t="shared" si="285"/>
        <v/>
      </c>
      <c r="V570" t="str">
        <f t="shared" si="299"/>
        <v/>
      </c>
      <c r="W570" t="str">
        <f t="shared" si="286"/>
        <v/>
      </c>
      <c r="X570" t="str">
        <f t="shared" si="300"/>
        <v/>
      </c>
      <c r="Y570" t="str">
        <f t="shared" si="287"/>
        <v/>
      </c>
      <c r="Z570" t="str">
        <f t="shared" si="301"/>
        <v/>
      </c>
      <c r="AA570" t="str">
        <f t="shared" si="302"/>
        <v/>
      </c>
      <c r="AB570" t="str">
        <f t="shared" si="303"/>
        <v/>
      </c>
      <c r="AC570" t="str">
        <f t="shared" si="304"/>
        <v/>
      </c>
      <c r="AD570" t="str">
        <f t="shared" si="305"/>
        <v/>
      </c>
    </row>
    <row r="571" spans="1:30">
      <c r="A571" t="s">
        <v>426</v>
      </c>
      <c r="B571" t="s">
        <v>37</v>
      </c>
      <c r="C571" t="s">
        <v>38</v>
      </c>
      <c r="D571" t="s">
        <v>39</v>
      </c>
      <c r="E571" s="2">
        <v>46119</v>
      </c>
      <c r="F571" t="s">
        <v>34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tr">
        <f t="shared" si="297"/>
        <v/>
      </c>
      <c r="T571" t="str">
        <f t="shared" si="298"/>
        <v/>
      </c>
      <c r="U571" t="str">
        <f t="shared" si="285"/>
        <v/>
      </c>
      <c r="V571" t="str">
        <f t="shared" si="299"/>
        <v/>
      </c>
      <c r="W571" t="str">
        <f t="shared" si="286"/>
        <v/>
      </c>
      <c r="X571" t="str">
        <f t="shared" si="300"/>
        <v/>
      </c>
      <c r="Y571" t="str">
        <f t="shared" si="287"/>
        <v/>
      </c>
      <c r="Z571" t="str">
        <f t="shared" si="301"/>
        <v/>
      </c>
      <c r="AA571" t="str">
        <f t="shared" si="302"/>
        <v/>
      </c>
      <c r="AB571" t="str">
        <f t="shared" si="303"/>
        <v/>
      </c>
      <c r="AC571" t="str">
        <f t="shared" si="304"/>
        <v/>
      </c>
      <c r="AD571" t="str">
        <f t="shared" si="305"/>
        <v/>
      </c>
    </row>
    <row r="572" spans="1:30">
      <c r="A572" t="s">
        <v>426</v>
      </c>
      <c r="B572" t="s">
        <v>37</v>
      </c>
      <c r="C572" t="s">
        <v>38</v>
      </c>
      <c r="D572" t="s">
        <v>39</v>
      </c>
      <c r="E572" s="2">
        <v>46119</v>
      </c>
      <c r="F572" t="s">
        <v>40</v>
      </c>
      <c r="G572">
        <v>111.5</v>
      </c>
      <c r="H572">
        <v>78.400000000000006</v>
      </c>
      <c r="I572">
        <v>-1957.8</v>
      </c>
      <c r="J572">
        <v>67.3</v>
      </c>
      <c r="K572">
        <v>0</v>
      </c>
      <c r="L572">
        <v>4</v>
      </c>
      <c r="M572">
        <v>0</v>
      </c>
      <c r="N572">
        <v>71.3</v>
      </c>
      <c r="O572">
        <v>111.94</v>
      </c>
      <c r="P572">
        <v>113.62</v>
      </c>
      <c r="Q572">
        <v>3.74</v>
      </c>
      <c r="R572">
        <v>3.78</v>
      </c>
      <c r="S572">
        <f t="shared" si="297"/>
        <v>0.21297235415387586</v>
      </c>
      <c r="T572">
        <f t="shared" si="298"/>
        <v>0.82242606446299038</v>
      </c>
      <c r="U572">
        <f t="shared" si="285"/>
        <v>0</v>
      </c>
      <c r="V572">
        <f t="shared" si="299"/>
        <v>1.0711083017806495</v>
      </c>
      <c r="W572" t="str">
        <f t="shared" si="286"/>
        <v/>
      </c>
      <c r="X572">
        <f t="shared" si="300"/>
        <v>1.8175342637953336</v>
      </c>
      <c r="Y572" t="str">
        <f t="shared" si="287"/>
        <v/>
      </c>
      <c r="Z572">
        <f t="shared" si="301"/>
        <v>0.72916232088154076</v>
      </c>
      <c r="AA572">
        <f t="shared" si="302"/>
        <v>0.93469859702577884</v>
      </c>
      <c r="AB572">
        <f t="shared" si="303"/>
        <v>1.2161841119913246</v>
      </c>
      <c r="AC572">
        <f t="shared" si="304"/>
        <v>0.53910356513938229</v>
      </c>
      <c r="AD572">
        <f t="shared" si="305"/>
        <v>0.4359821639310818</v>
      </c>
    </row>
    <row r="573" spans="1:30">
      <c r="A573" t="s">
        <v>427</v>
      </c>
      <c r="B573" t="s">
        <v>37</v>
      </c>
      <c r="C573" t="s">
        <v>38</v>
      </c>
      <c r="D573" t="s">
        <v>39</v>
      </c>
      <c r="E573" s="2">
        <v>46119</v>
      </c>
      <c r="F573" t="s">
        <v>40</v>
      </c>
      <c r="G573">
        <v>113.3</v>
      </c>
      <c r="H573">
        <v>80.2</v>
      </c>
      <c r="I573">
        <v>-1957.8</v>
      </c>
      <c r="J573">
        <v>68.599999999999994</v>
      </c>
      <c r="K573">
        <v>0</v>
      </c>
      <c r="L573">
        <v>3.4</v>
      </c>
      <c r="M573">
        <v>0</v>
      </c>
      <c r="N573">
        <v>72</v>
      </c>
      <c r="O573">
        <v>112.3</v>
      </c>
      <c r="P573">
        <v>116.78</v>
      </c>
      <c r="Q573">
        <v>3.83</v>
      </c>
      <c r="R573">
        <v>3.83</v>
      </c>
      <c r="S573">
        <f t="shared" si="297"/>
        <v>0.14804158960857478</v>
      </c>
      <c r="T573">
        <f t="shared" si="298"/>
        <v>0.18450845435752589</v>
      </c>
      <c r="U573">
        <f t="shared" si="285"/>
        <v>0</v>
      </c>
      <c r="V573">
        <f t="shared" si="299"/>
        <v>0.39143157694411324</v>
      </c>
      <c r="W573" t="str">
        <f t="shared" si="286"/>
        <v/>
      </c>
      <c r="X573">
        <f t="shared" si="300"/>
        <v>1.3889913027206049</v>
      </c>
      <c r="Y573" t="str">
        <f t="shared" si="287"/>
        <v/>
      </c>
      <c r="Z573">
        <f t="shared" si="301"/>
        <v>1.0479797450735904</v>
      </c>
      <c r="AA573">
        <f t="shared" si="302"/>
        <v>0.72079434532226938</v>
      </c>
      <c r="AB573">
        <f t="shared" si="303"/>
        <v>1.0504982397346512</v>
      </c>
      <c r="AC573">
        <f t="shared" si="304"/>
        <v>5.8962687311027065E-2</v>
      </c>
      <c r="AD573">
        <f t="shared" si="305"/>
        <v>0.11702528052257931</v>
      </c>
    </row>
    <row r="574" spans="1:30">
      <c r="A574" t="s">
        <v>428</v>
      </c>
      <c r="B574" t="s">
        <v>37</v>
      </c>
      <c r="C574" t="s">
        <v>38</v>
      </c>
      <c r="D574" t="s">
        <v>39</v>
      </c>
      <c r="E574" s="2">
        <v>46119</v>
      </c>
      <c r="F574" t="s">
        <v>40</v>
      </c>
      <c r="G574">
        <v>104.4</v>
      </c>
      <c r="H574">
        <v>80.2</v>
      </c>
      <c r="I574">
        <v>-1957.8</v>
      </c>
      <c r="J574">
        <v>68.599999999999994</v>
      </c>
      <c r="K574">
        <v>0</v>
      </c>
      <c r="L574">
        <v>0.7</v>
      </c>
      <c r="M574">
        <v>0</v>
      </c>
      <c r="N574">
        <v>69.3</v>
      </c>
      <c r="O574">
        <v>112.38</v>
      </c>
      <c r="P574">
        <v>116.85</v>
      </c>
      <c r="Q574">
        <v>3.66</v>
      </c>
      <c r="R574">
        <v>3.69</v>
      </c>
      <c r="S574">
        <f t="shared" si="297"/>
        <v>1.6369717989946546</v>
      </c>
      <c r="T574">
        <f t="shared" si="298"/>
        <v>0.18450845435752589</v>
      </c>
      <c r="U574">
        <f t="shared" si="285"/>
        <v>0</v>
      </c>
      <c r="V574">
        <f t="shared" si="299"/>
        <v>0.39143157694411324</v>
      </c>
      <c r="W574" t="str">
        <f t="shared" si="286"/>
        <v/>
      </c>
      <c r="X574">
        <f t="shared" si="300"/>
        <v>0.53945202211567389</v>
      </c>
      <c r="Y574" t="str">
        <f t="shared" si="287"/>
        <v/>
      </c>
      <c r="Z574">
        <f t="shared" si="301"/>
        <v>0.18174460538145451</v>
      </c>
      <c r="AA574">
        <f t="shared" si="302"/>
        <v>0.67326006716593501</v>
      </c>
      <c r="AB574">
        <f t="shared" si="303"/>
        <v>1.1007095576526269</v>
      </c>
      <c r="AC574">
        <f t="shared" si="304"/>
        <v>1.0707180117619697</v>
      </c>
      <c r="AD574">
        <f t="shared" si="305"/>
        <v>1.0101045540663824</v>
      </c>
    </row>
    <row r="575" spans="1:30">
      <c r="A575" t="s">
        <v>429</v>
      </c>
      <c r="B575" t="s">
        <v>37</v>
      </c>
      <c r="C575" t="s">
        <v>38</v>
      </c>
      <c r="D575" t="s">
        <v>39</v>
      </c>
      <c r="E575" s="2">
        <v>46119</v>
      </c>
      <c r="F575" t="s">
        <v>34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tr">
        <f t="shared" si="297"/>
        <v/>
      </c>
      <c r="T575" t="str">
        <f t="shared" si="298"/>
        <v/>
      </c>
      <c r="U575" t="str">
        <f t="shared" si="285"/>
        <v/>
      </c>
      <c r="V575" t="str">
        <f t="shared" si="299"/>
        <v/>
      </c>
      <c r="W575" t="str">
        <f t="shared" si="286"/>
        <v/>
      </c>
      <c r="X575" t="str">
        <f t="shared" si="300"/>
        <v/>
      </c>
      <c r="Y575" t="str">
        <f t="shared" si="287"/>
        <v/>
      </c>
      <c r="Z575" t="str">
        <f t="shared" si="301"/>
        <v/>
      </c>
      <c r="AA575" t="str">
        <f t="shared" si="302"/>
        <v/>
      </c>
      <c r="AB575" t="str">
        <f t="shared" si="303"/>
        <v/>
      </c>
      <c r="AC575" t="str">
        <f t="shared" si="304"/>
        <v/>
      </c>
      <c r="AD575" t="str">
        <f t="shared" si="305"/>
        <v/>
      </c>
    </row>
    <row r="576" spans="1:30">
      <c r="A576" t="s">
        <v>429</v>
      </c>
      <c r="B576" t="s">
        <v>37</v>
      </c>
      <c r="C576" t="s">
        <v>38</v>
      </c>
      <c r="D576" t="s">
        <v>39</v>
      </c>
      <c r="E576" s="2">
        <v>46119</v>
      </c>
      <c r="F576" t="s">
        <v>40</v>
      </c>
      <c r="G576">
        <v>114.2</v>
      </c>
      <c r="H576">
        <v>80.2</v>
      </c>
      <c r="I576">
        <v>-1957.8</v>
      </c>
      <c r="J576">
        <v>69.099999999999994</v>
      </c>
      <c r="K576">
        <v>0</v>
      </c>
      <c r="L576">
        <v>1.4</v>
      </c>
      <c r="M576">
        <v>0</v>
      </c>
      <c r="N576">
        <v>70.5</v>
      </c>
      <c r="O576">
        <v>112.45</v>
      </c>
      <c r="P576">
        <v>116.78</v>
      </c>
      <c r="Q576">
        <v>3.83</v>
      </c>
      <c r="R576">
        <v>3.83</v>
      </c>
      <c r="S576">
        <f t="shared" si="297"/>
        <v>0.32854856148980155</v>
      </c>
      <c r="T576">
        <f t="shared" si="298"/>
        <v>0.18450845435752589</v>
      </c>
      <c r="U576">
        <f t="shared" si="285"/>
        <v>0</v>
      </c>
      <c r="V576">
        <f t="shared" si="299"/>
        <v>0.13001745200698331</v>
      </c>
      <c r="W576" t="str">
        <f t="shared" si="286"/>
        <v/>
      </c>
      <c r="X576">
        <f t="shared" si="300"/>
        <v>3.9485234195157176E-2</v>
      </c>
      <c r="Y576" t="str">
        <f t="shared" si="287"/>
        <v/>
      </c>
      <c r="Z576">
        <f t="shared" si="301"/>
        <v>0.36479955037634393</v>
      </c>
      <c r="AA576">
        <f t="shared" si="302"/>
        <v>0.63166757377913696</v>
      </c>
      <c r="AB576">
        <f t="shared" si="303"/>
        <v>1.0504982397346512</v>
      </c>
      <c r="AC576">
        <f t="shared" si="304"/>
        <v>5.8962687311027065E-2</v>
      </c>
      <c r="AD576">
        <f t="shared" si="305"/>
        <v>0.11702528052257931</v>
      </c>
    </row>
    <row r="577" spans="1:30">
      <c r="A577" t="s">
        <v>430</v>
      </c>
      <c r="B577" t="s">
        <v>37</v>
      </c>
      <c r="C577" t="s">
        <v>38</v>
      </c>
      <c r="D577" t="s">
        <v>39</v>
      </c>
      <c r="E577" s="2">
        <v>46119</v>
      </c>
      <c r="F577" t="s">
        <v>40</v>
      </c>
      <c r="G577">
        <v>113.7</v>
      </c>
      <c r="H577">
        <v>79.3</v>
      </c>
      <c r="I577">
        <v>-1957.8</v>
      </c>
      <c r="J577">
        <v>69.099999999999994</v>
      </c>
      <c r="K577">
        <v>0</v>
      </c>
      <c r="L577">
        <v>0.6</v>
      </c>
      <c r="M577">
        <v>0</v>
      </c>
      <c r="N577">
        <v>68.5</v>
      </c>
      <c r="O577">
        <v>111.79</v>
      </c>
      <c r="P577">
        <v>116.19</v>
      </c>
      <c r="Q577">
        <v>3.76</v>
      </c>
      <c r="R577">
        <v>3.74</v>
      </c>
      <c r="S577">
        <f t="shared" si="297"/>
        <v>0.2282669104446762</v>
      </c>
      <c r="T577">
        <f t="shared" si="298"/>
        <v>0.50346725941026071</v>
      </c>
      <c r="U577">
        <f t="shared" si="285"/>
        <v>0</v>
      </c>
      <c r="V577">
        <f t="shared" si="299"/>
        <v>0.13001745200698331</v>
      </c>
      <c r="W577" t="str">
        <f t="shared" si="286"/>
        <v/>
      </c>
      <c r="X577">
        <f t="shared" si="300"/>
        <v>0.61087584896146196</v>
      </c>
      <c r="Y577" t="str">
        <f t="shared" si="287"/>
        <v/>
      </c>
      <c r="Z577">
        <f t="shared" si="301"/>
        <v>0.54610737588665137</v>
      </c>
      <c r="AA577">
        <f t="shared" si="302"/>
        <v>1.0238253685689027</v>
      </c>
      <c r="AB577">
        <f t="shared" si="303"/>
        <v>0.62728856014024137</v>
      </c>
      <c r="AC577">
        <f t="shared" si="304"/>
        <v>0.40619995348373839</v>
      </c>
      <c r="AD577">
        <f t="shared" si="305"/>
        <v>0.69114767065787985</v>
      </c>
    </row>
    <row r="578" spans="1:30">
      <c r="A578" t="s">
        <v>431</v>
      </c>
      <c r="B578" t="s">
        <v>37</v>
      </c>
      <c r="C578" t="s">
        <v>38</v>
      </c>
      <c r="D578" t="s">
        <v>39</v>
      </c>
      <c r="E578" s="2">
        <v>46119</v>
      </c>
      <c r="F578" t="s">
        <v>40</v>
      </c>
      <c r="G578">
        <v>115.5</v>
      </c>
      <c r="H578">
        <v>79.8</v>
      </c>
      <c r="I578">
        <v>-1957.8</v>
      </c>
      <c r="J578">
        <v>68.2</v>
      </c>
      <c r="K578">
        <v>0</v>
      </c>
      <c r="L578">
        <v>0.6</v>
      </c>
      <c r="M578">
        <v>0</v>
      </c>
      <c r="N578">
        <v>68.8</v>
      </c>
      <c r="O578">
        <v>115.38</v>
      </c>
      <c r="P578">
        <v>115.31</v>
      </c>
      <c r="Q578">
        <v>3.66</v>
      </c>
      <c r="R578">
        <v>3.74</v>
      </c>
      <c r="S578">
        <f t="shared" si="297"/>
        <v>0.58928085420712684</v>
      </c>
      <c r="T578">
        <f t="shared" si="298"/>
        <v>0.3262679232698536</v>
      </c>
      <c r="U578">
        <f t="shared" ref="U578:U641" si="306">IF(OR(I578=0,I578=""),"",ABS((I578--1957.8)/1))</f>
        <v>0</v>
      </c>
      <c r="V578">
        <f t="shared" si="299"/>
        <v>0.60056287689381271</v>
      </c>
      <c r="W578" t="str">
        <f t="shared" ref="W578:W641" si="307">IF(OR(K578=0,K578=""),"",ABS((K578-0)/1))</f>
        <v/>
      </c>
      <c r="X578">
        <f t="shared" si="300"/>
        <v>0.61087584896146196</v>
      </c>
      <c r="Y578" t="str">
        <f t="shared" ref="Y578:Y641" si="308">IF(OR(M578=0,M578=""),"",ABS((M578-0)/1))</f>
        <v/>
      </c>
      <c r="Z578">
        <f t="shared" si="301"/>
        <v>0.40947133694720333</v>
      </c>
      <c r="AA578">
        <f t="shared" si="302"/>
        <v>1.1092753636966459</v>
      </c>
      <c r="AB578">
        <f t="shared" si="303"/>
        <v>3.9394365429391608E-3</v>
      </c>
      <c r="AC578">
        <f t="shared" si="304"/>
        <v>1.0707180117619697</v>
      </c>
      <c r="AD578">
        <f t="shared" si="305"/>
        <v>0.69114767065787985</v>
      </c>
    </row>
    <row r="579" spans="1:30">
      <c r="A579" t="s">
        <v>432</v>
      </c>
      <c r="B579" t="s">
        <v>37</v>
      </c>
      <c r="C579" t="s">
        <v>38</v>
      </c>
      <c r="D579" t="s">
        <v>39</v>
      </c>
      <c r="E579" s="2">
        <v>46119</v>
      </c>
      <c r="F579" t="s">
        <v>40</v>
      </c>
      <c r="G579">
        <v>111.5</v>
      </c>
      <c r="H579">
        <v>78.900000000000006</v>
      </c>
      <c r="I579">
        <v>-1957.8</v>
      </c>
      <c r="J579">
        <v>69.099999999999994</v>
      </c>
      <c r="K579">
        <v>0</v>
      </c>
      <c r="L579">
        <v>0.9</v>
      </c>
      <c r="M579">
        <v>0</v>
      </c>
      <c r="N579">
        <v>70</v>
      </c>
      <c r="O579">
        <v>111.86</v>
      </c>
      <c r="P579">
        <v>113.26</v>
      </c>
      <c r="Q579">
        <v>3.91</v>
      </c>
      <c r="R579">
        <v>3.93</v>
      </c>
      <c r="S579">
        <f t="shared" si="297"/>
        <v>0.21297235415387586</v>
      </c>
      <c r="T579">
        <f t="shared" si="298"/>
        <v>0.64522672832258332</v>
      </c>
      <c r="U579">
        <f t="shared" si="306"/>
        <v>0</v>
      </c>
      <c r="V579">
        <f t="shared" si="299"/>
        <v>0.13001745200698331</v>
      </c>
      <c r="W579" t="str">
        <f t="shared" si="307"/>
        <v/>
      </c>
      <c r="X579">
        <f t="shared" si="300"/>
        <v>0.39660436842409758</v>
      </c>
      <c r="Y579" t="str">
        <f t="shared" si="308"/>
        <v/>
      </c>
      <c r="Z579">
        <f t="shared" si="301"/>
        <v>0.1370728188105951</v>
      </c>
      <c r="AA579">
        <f t="shared" si="302"/>
        <v>0.98223287518211322</v>
      </c>
      <c r="AB579">
        <f t="shared" si="303"/>
        <v>1.4744137469980814</v>
      </c>
      <c r="AC579">
        <f t="shared" si="304"/>
        <v>0.59057713393361444</v>
      </c>
      <c r="AD579">
        <f t="shared" si="305"/>
        <v>0.52088848629442286</v>
      </c>
    </row>
    <row r="580" spans="1:30">
      <c r="A580" t="s">
        <v>433</v>
      </c>
      <c r="B580" t="s">
        <v>37</v>
      </c>
      <c r="C580" t="s">
        <v>38</v>
      </c>
      <c r="D580" t="s">
        <v>39</v>
      </c>
      <c r="E580" s="2">
        <v>46119</v>
      </c>
      <c r="F580" t="s">
        <v>40</v>
      </c>
      <c r="G580">
        <v>116.4</v>
      </c>
      <c r="H580">
        <v>79.8</v>
      </c>
      <c r="I580">
        <v>-1957.8</v>
      </c>
      <c r="J580">
        <v>69.099999999999994</v>
      </c>
      <c r="K580">
        <v>0</v>
      </c>
      <c r="L580">
        <v>0.3</v>
      </c>
      <c r="M580">
        <v>0</v>
      </c>
      <c r="N580">
        <v>69.400000000000006</v>
      </c>
      <c r="O580">
        <v>115.24</v>
      </c>
      <c r="P580">
        <v>115.24</v>
      </c>
      <c r="Q580">
        <v>3.61</v>
      </c>
      <c r="R580">
        <v>3.69</v>
      </c>
      <c r="S580">
        <f t="shared" si="297"/>
        <v>0.76978782608835361</v>
      </c>
      <c r="T580">
        <f t="shared" si="298"/>
        <v>0.3262679232698536</v>
      </c>
      <c r="U580">
        <f t="shared" si="306"/>
        <v>0</v>
      </c>
      <c r="V580">
        <f t="shared" si="299"/>
        <v>0.13001745200698331</v>
      </c>
      <c r="W580" t="str">
        <f t="shared" si="307"/>
        <v/>
      </c>
      <c r="X580">
        <f t="shared" si="300"/>
        <v>0.82514732949882619</v>
      </c>
      <c r="Y580" t="str">
        <f t="shared" si="308"/>
        <v/>
      </c>
      <c r="Z580">
        <f t="shared" si="301"/>
        <v>0.13619925906830088</v>
      </c>
      <c r="AA580">
        <f t="shared" si="302"/>
        <v>1.0260903769230585</v>
      </c>
      <c r="AB580">
        <f t="shared" si="303"/>
        <v>5.4150754460924995E-2</v>
      </c>
      <c r="AC580">
        <f t="shared" si="304"/>
        <v>1.4029770409010882</v>
      </c>
      <c r="AD580">
        <f t="shared" si="305"/>
        <v>1.0101045540663824</v>
      </c>
    </row>
    <row r="581" spans="1:30">
      <c r="A581" t="s">
        <v>434</v>
      </c>
      <c r="B581" t="s">
        <v>37</v>
      </c>
      <c r="C581" t="s">
        <v>38</v>
      </c>
      <c r="D581" t="s">
        <v>39</v>
      </c>
      <c r="E581" s="2">
        <v>46119</v>
      </c>
      <c r="F581" t="s">
        <v>40</v>
      </c>
      <c r="G581">
        <v>120</v>
      </c>
      <c r="H581">
        <v>81.599999999999994</v>
      </c>
      <c r="I581">
        <v>-1957.8</v>
      </c>
      <c r="J581">
        <v>70.400000000000006</v>
      </c>
      <c r="K581">
        <v>0</v>
      </c>
      <c r="L581">
        <v>1.4</v>
      </c>
      <c r="M581">
        <v>0</v>
      </c>
      <c r="N581">
        <v>71.8</v>
      </c>
      <c r="O581">
        <v>112.01</v>
      </c>
      <c r="P581">
        <v>113.04</v>
      </c>
      <c r="Q581">
        <v>4.03</v>
      </c>
      <c r="R581">
        <v>4.05</v>
      </c>
      <c r="S581">
        <f t="shared" si="297"/>
        <v>1.4918157136132548</v>
      </c>
      <c r="T581">
        <f t="shared" si="298"/>
        <v>0.31164968683561095</v>
      </c>
      <c r="U581">
        <f t="shared" si="306"/>
        <v>0</v>
      </c>
      <c r="V581">
        <f t="shared" si="299"/>
        <v>0.5496592728295604</v>
      </c>
      <c r="W581" t="str">
        <f t="shared" si="307"/>
        <v/>
      </c>
      <c r="X581">
        <f t="shared" si="300"/>
        <v>3.9485234195157176E-2</v>
      </c>
      <c r="Y581" t="str">
        <f t="shared" si="308"/>
        <v/>
      </c>
      <c r="Z581">
        <f t="shared" si="301"/>
        <v>0.9568890524472895</v>
      </c>
      <c r="AA581">
        <f t="shared" si="302"/>
        <v>0.8931061036389808</v>
      </c>
      <c r="AB581">
        <f t="shared" si="303"/>
        <v>1.6322207461688765</v>
      </c>
      <c r="AC581">
        <f t="shared" si="304"/>
        <v>1.3879988038674955</v>
      </c>
      <c r="AD581">
        <f t="shared" si="305"/>
        <v>1.2863850064748228</v>
      </c>
    </row>
    <row r="582" spans="1:30">
      <c r="A582" t="s">
        <v>435</v>
      </c>
      <c r="B582" t="s">
        <v>37</v>
      </c>
      <c r="C582" t="s">
        <v>38</v>
      </c>
      <c r="D582" t="s">
        <v>39</v>
      </c>
      <c r="E582" s="2">
        <v>46119</v>
      </c>
      <c r="F582" t="s">
        <v>40</v>
      </c>
      <c r="G582">
        <v>116.9</v>
      </c>
      <c r="H582">
        <v>78.900000000000006</v>
      </c>
      <c r="I582">
        <v>-1957.8</v>
      </c>
      <c r="J582">
        <v>70</v>
      </c>
      <c r="K582">
        <v>0</v>
      </c>
      <c r="L582">
        <v>3.5</v>
      </c>
      <c r="M582">
        <v>0</v>
      </c>
      <c r="N582">
        <v>73.5</v>
      </c>
      <c r="O582">
        <v>111.28</v>
      </c>
      <c r="P582">
        <v>113.18</v>
      </c>
      <c r="Q582">
        <v>3.86</v>
      </c>
      <c r="R582">
        <v>3.93</v>
      </c>
      <c r="S582">
        <f t="shared" si="297"/>
        <v>0.87006947713347893</v>
      </c>
      <c r="T582">
        <f t="shared" si="298"/>
        <v>0.64522672832258332</v>
      </c>
      <c r="U582">
        <f t="shared" si="306"/>
        <v>0</v>
      </c>
      <c r="V582">
        <f t="shared" si="299"/>
        <v>0.34052797287985348</v>
      </c>
      <c r="W582" t="str">
        <f t="shared" si="307"/>
        <v/>
      </c>
      <c r="X582">
        <f t="shared" si="300"/>
        <v>1.460415129566393</v>
      </c>
      <c r="Y582" t="str">
        <f t="shared" si="308"/>
        <v/>
      </c>
      <c r="Z582">
        <f t="shared" si="301"/>
        <v>1.7311599397708368</v>
      </c>
      <c r="AA582">
        <f t="shared" si="302"/>
        <v>1.3268563918155445</v>
      </c>
      <c r="AB582">
        <f t="shared" si="303"/>
        <v>1.531798110332915</v>
      </c>
      <c r="AC582">
        <f t="shared" si="304"/>
        <v>0.25831810479449585</v>
      </c>
      <c r="AD582">
        <f t="shared" si="305"/>
        <v>0.52088848629442286</v>
      </c>
    </row>
    <row r="583" spans="1:30">
      <c r="A583" t="s">
        <v>436</v>
      </c>
      <c r="B583" t="s">
        <v>37</v>
      </c>
      <c r="C583" t="s">
        <v>38</v>
      </c>
      <c r="D583" t="s">
        <v>39</v>
      </c>
      <c r="E583" s="2">
        <v>46119</v>
      </c>
      <c r="F583" t="s">
        <v>40</v>
      </c>
      <c r="G583">
        <v>107</v>
      </c>
      <c r="H583">
        <v>80.2</v>
      </c>
      <c r="I583">
        <v>-1957.8</v>
      </c>
      <c r="J583">
        <v>70</v>
      </c>
      <c r="K583">
        <v>0</v>
      </c>
      <c r="L583">
        <v>1.1000000000000001</v>
      </c>
      <c r="M583">
        <v>0</v>
      </c>
      <c r="N583">
        <v>71.099999999999994</v>
      </c>
      <c r="O583">
        <v>111.79</v>
      </c>
      <c r="P583">
        <v>113.26</v>
      </c>
      <c r="Q583">
        <v>3.96</v>
      </c>
      <c r="R583">
        <v>4</v>
      </c>
      <c r="S583">
        <f t="shared" si="297"/>
        <v>1.1155072135600039</v>
      </c>
      <c r="T583">
        <f t="shared" si="298"/>
        <v>0.18450845435752589</v>
      </c>
      <c r="U583">
        <f t="shared" si="306"/>
        <v>0</v>
      </c>
      <c r="V583">
        <f t="shared" si="299"/>
        <v>0.34052797287985348</v>
      </c>
      <c r="W583" t="str">
        <f t="shared" si="307"/>
        <v/>
      </c>
      <c r="X583">
        <f t="shared" si="300"/>
        <v>0.25375671473252137</v>
      </c>
      <c r="Y583" t="str">
        <f t="shared" si="308"/>
        <v/>
      </c>
      <c r="Z583">
        <f t="shared" si="301"/>
        <v>0.63807162825523989</v>
      </c>
      <c r="AA583">
        <f t="shared" si="302"/>
        <v>1.0238253685689027</v>
      </c>
      <c r="AB583">
        <f t="shared" si="303"/>
        <v>1.4744137469980814</v>
      </c>
      <c r="AC583">
        <f t="shared" si="304"/>
        <v>0.92283616307273009</v>
      </c>
      <c r="AD583">
        <f t="shared" si="305"/>
        <v>0.96742812306632298</v>
      </c>
    </row>
    <row r="584" spans="1:30">
      <c r="A584" t="s">
        <v>437</v>
      </c>
      <c r="B584" t="s">
        <v>37</v>
      </c>
      <c r="C584" t="s">
        <v>38</v>
      </c>
      <c r="D584" t="s">
        <v>39</v>
      </c>
      <c r="E584" s="2">
        <v>46119</v>
      </c>
      <c r="F584" t="s">
        <v>40</v>
      </c>
      <c r="G584">
        <v>116.9</v>
      </c>
      <c r="H584">
        <v>81.099999999999994</v>
      </c>
      <c r="I584">
        <v>-1957.8</v>
      </c>
      <c r="J584">
        <v>70.400000000000006</v>
      </c>
      <c r="K584">
        <v>0</v>
      </c>
      <c r="L584">
        <v>2.1</v>
      </c>
      <c r="M584">
        <v>0</v>
      </c>
      <c r="N584">
        <v>72.5</v>
      </c>
      <c r="O584">
        <v>111.86</v>
      </c>
      <c r="P584">
        <v>113.4</v>
      </c>
      <c r="Q584">
        <v>3.83</v>
      </c>
      <c r="R584">
        <v>3.86</v>
      </c>
      <c r="S584">
        <f t="shared" si="297"/>
        <v>0.87006947713347893</v>
      </c>
      <c r="T584">
        <f t="shared" si="298"/>
        <v>0.13445035069520386</v>
      </c>
      <c r="U584">
        <f t="shared" si="306"/>
        <v>0</v>
      </c>
      <c r="V584">
        <f t="shared" si="299"/>
        <v>0.5496592728295604</v>
      </c>
      <c r="W584" t="str">
        <f t="shared" si="307"/>
        <v/>
      </c>
      <c r="X584">
        <f t="shared" si="300"/>
        <v>0.46048155372535965</v>
      </c>
      <c r="Y584" t="str">
        <f t="shared" si="308"/>
        <v/>
      </c>
      <c r="Z584">
        <f t="shared" si="301"/>
        <v>1.2757064766393391</v>
      </c>
      <c r="AA584">
        <f t="shared" si="302"/>
        <v>0.98223287518211322</v>
      </c>
      <c r="AB584">
        <f t="shared" si="303"/>
        <v>1.3739911111621199</v>
      </c>
      <c r="AC584">
        <f t="shared" si="304"/>
        <v>5.8962687311027065E-2</v>
      </c>
      <c r="AD584">
        <f t="shared" si="305"/>
        <v>7.4348849522519939E-2</v>
      </c>
    </row>
    <row r="585" spans="1:30">
      <c r="A585" t="s">
        <v>438</v>
      </c>
      <c r="B585" t="s">
        <v>37</v>
      </c>
      <c r="C585" t="s">
        <v>38</v>
      </c>
      <c r="D585" t="s">
        <v>39</v>
      </c>
      <c r="E585" s="2">
        <v>46120</v>
      </c>
      <c r="F585" t="s">
        <v>34</v>
      </c>
      <c r="G585">
        <v>95.9</v>
      </c>
      <c r="H585">
        <v>76.099999999999994</v>
      </c>
      <c r="I585">
        <v>-1957.8</v>
      </c>
      <c r="J585">
        <v>67.3</v>
      </c>
      <c r="K585">
        <v>0</v>
      </c>
      <c r="L585">
        <v>0.4</v>
      </c>
      <c r="M585">
        <v>0</v>
      </c>
      <c r="N585">
        <v>67.7</v>
      </c>
      <c r="O585">
        <v>112.08</v>
      </c>
      <c r="P585">
        <v>116.19</v>
      </c>
      <c r="Q585">
        <v>3.74</v>
      </c>
      <c r="R585">
        <v>3.81</v>
      </c>
      <c r="S585">
        <f t="shared" si="297"/>
        <v>3.3417598667617852</v>
      </c>
      <c r="T585">
        <f t="shared" si="298"/>
        <v>1.6375430107088671</v>
      </c>
      <c r="U585">
        <f t="shared" si="306"/>
        <v>0</v>
      </c>
      <c r="V585">
        <f t="shared" si="299"/>
        <v>1.0711083017806495</v>
      </c>
      <c r="W585" t="str">
        <f t="shared" si="307"/>
        <v/>
      </c>
      <c r="X585">
        <f t="shared" si="300"/>
        <v>0.75372350265303822</v>
      </c>
      <c r="Y585" t="str">
        <f t="shared" si="308"/>
        <v/>
      </c>
      <c r="Z585">
        <f t="shared" si="301"/>
        <v>0.91047014639184809</v>
      </c>
      <c r="AA585">
        <f t="shared" si="302"/>
        <v>0.8515136102521913</v>
      </c>
      <c r="AB585">
        <f t="shared" si="303"/>
        <v>0.62728856014024137</v>
      </c>
      <c r="AC585">
        <f t="shared" si="304"/>
        <v>0.53910356513938229</v>
      </c>
      <c r="AD585">
        <f t="shared" si="305"/>
        <v>0.24460803388597974</v>
      </c>
    </row>
    <row r="586" spans="1:30">
      <c r="A586" t="s">
        <v>438</v>
      </c>
      <c r="B586" t="s">
        <v>37</v>
      </c>
      <c r="C586" t="s">
        <v>38</v>
      </c>
      <c r="D586" t="s">
        <v>39</v>
      </c>
      <c r="E586" s="2">
        <v>46120</v>
      </c>
      <c r="F586" t="s">
        <v>34</v>
      </c>
      <c r="G586">
        <v>112.9</v>
      </c>
      <c r="H586">
        <v>70.7</v>
      </c>
      <c r="I586">
        <v>-1957.8</v>
      </c>
      <c r="J586">
        <v>67.3</v>
      </c>
      <c r="K586">
        <v>0</v>
      </c>
      <c r="L586">
        <v>0.9</v>
      </c>
      <c r="M586">
        <v>0</v>
      </c>
      <c r="N586">
        <v>68.2</v>
      </c>
      <c r="O586">
        <v>112.01</v>
      </c>
      <c r="P586">
        <v>113.4</v>
      </c>
      <c r="Q586">
        <v>3.83</v>
      </c>
      <c r="R586">
        <v>3.91</v>
      </c>
      <c r="S586">
        <f t="shared" ref="S586:S594" si="309">IF(OR(G586=0,G586=""),"",ABS((G586-112.561871)/4.985957))</f>
        <v>6.7816268772476221E-2</v>
      </c>
      <c r="T586">
        <f t="shared" ref="T586:T594" si="310">IF(OR(H586=0,H586=""),"",ABS((H586-80.720624)/2.821681))</f>
        <v>3.5512958410252606</v>
      </c>
      <c r="U586">
        <f t="shared" si="306"/>
        <v>0</v>
      </c>
      <c r="V586">
        <f t="shared" ref="V586:V594" si="311">IF(OR(J586=0,J586=""),"",ABS((J586-69.348681)/1.912674))</f>
        <v>1.0711083017806495</v>
      </c>
      <c r="W586" t="str">
        <f t="shared" si="307"/>
        <v/>
      </c>
      <c r="X586">
        <f t="shared" ref="X586:X594" si="312">IF(OR(L586=0,L586=""),"",ABS((L586-1.455283)/1.400093))</f>
        <v>0.39660436842409758</v>
      </c>
      <c r="Y586" t="str">
        <f t="shared" si="308"/>
        <v/>
      </c>
      <c r="Z586">
        <f t="shared" ref="Z586:Z594" si="313">IF(OR(N586=0,N586=""),"",ABS((N586-69.699041)/2.195614))</f>
        <v>0.68274341482609935</v>
      </c>
      <c r="AA586">
        <f t="shared" ref="AA586:AA594" si="314">IF(OR(O586=0,O586=""),"",ABS((O586-113.513094)/1.682996))</f>
        <v>0.8931061036389808</v>
      </c>
      <c r="AB586">
        <f t="shared" ref="AB586:AB594" si="315">IF(OR(P586=0,P586=""),"",ABS((P586-115.315492)/1.394108))</f>
        <v>1.3739911111621199</v>
      </c>
      <c r="AC586">
        <f t="shared" ref="AC586:AC594" si="316">IF(OR(Q586=0,Q586=""),"",ABS((Q586-3.821127)/0.150485))</f>
        <v>5.8962687311027065E-2</v>
      </c>
      <c r="AD586">
        <f t="shared" ref="AD586:AD594" si="317">IF(OR(R586=0,R586=""),"",ABS((R586-3.848345)/0.156761))</f>
        <v>0.39330573293102244</v>
      </c>
    </row>
    <row r="587" spans="1:30">
      <c r="A587" t="s">
        <v>438</v>
      </c>
      <c r="B587" t="s">
        <v>37</v>
      </c>
      <c r="C587" t="s">
        <v>38</v>
      </c>
      <c r="D587" t="s">
        <v>39</v>
      </c>
      <c r="E587" s="2">
        <v>46120</v>
      </c>
      <c r="F587" t="s">
        <v>40</v>
      </c>
      <c r="G587">
        <v>115.5</v>
      </c>
      <c r="H587">
        <v>77.5</v>
      </c>
      <c r="I587">
        <v>-1957.8</v>
      </c>
      <c r="J587">
        <v>67.3</v>
      </c>
      <c r="K587">
        <v>0</v>
      </c>
      <c r="L587">
        <v>0.9</v>
      </c>
      <c r="M587">
        <v>0</v>
      </c>
      <c r="N587">
        <v>68.2</v>
      </c>
      <c r="O587">
        <v>111.72</v>
      </c>
      <c r="P587">
        <v>113.26</v>
      </c>
      <c r="Q587">
        <v>3.98</v>
      </c>
      <c r="R587">
        <v>3.98</v>
      </c>
      <c r="S587">
        <f t="shared" si="309"/>
        <v>0.58928085420712684</v>
      </c>
      <c r="T587">
        <f t="shared" si="310"/>
        <v>1.1413848695157252</v>
      </c>
      <c r="U587">
        <f t="shared" si="306"/>
        <v>0</v>
      </c>
      <c r="V587">
        <f t="shared" si="311"/>
        <v>1.0711083017806495</v>
      </c>
      <c r="W587" t="str">
        <f t="shared" si="307"/>
        <v/>
      </c>
      <c r="X587">
        <f t="shared" si="312"/>
        <v>0.39660436842409758</v>
      </c>
      <c r="Y587" t="str">
        <f t="shared" si="308"/>
        <v/>
      </c>
      <c r="Z587">
        <f t="shared" si="313"/>
        <v>0.68274341482609935</v>
      </c>
      <c r="AA587">
        <f t="shared" si="314"/>
        <v>1.0654178619557007</v>
      </c>
      <c r="AB587">
        <f t="shared" si="315"/>
        <v>1.4744137469980814</v>
      </c>
      <c r="AC587">
        <f t="shared" si="316"/>
        <v>1.055739774728377</v>
      </c>
      <c r="AD587">
        <f t="shared" si="317"/>
        <v>0.83984536970292256</v>
      </c>
    </row>
    <row r="588" spans="1:30">
      <c r="A588" t="s">
        <v>439</v>
      </c>
      <c r="B588" t="s">
        <v>37</v>
      </c>
      <c r="C588" t="s">
        <v>38</v>
      </c>
      <c r="D588" t="s">
        <v>39</v>
      </c>
      <c r="E588" s="2">
        <v>46120</v>
      </c>
      <c r="F588" t="s">
        <v>40</v>
      </c>
      <c r="G588">
        <v>112</v>
      </c>
      <c r="H588">
        <v>77.900000000000006</v>
      </c>
      <c r="I588">
        <v>-1957.8</v>
      </c>
      <c r="J588">
        <v>67.7</v>
      </c>
      <c r="K588">
        <v>0</v>
      </c>
      <c r="L588">
        <v>1.9</v>
      </c>
      <c r="M588">
        <v>0</v>
      </c>
      <c r="N588">
        <v>69.599999999999994</v>
      </c>
      <c r="O588">
        <v>111.5</v>
      </c>
      <c r="P588">
        <v>117.95</v>
      </c>
      <c r="Q588">
        <v>3.93</v>
      </c>
      <c r="R588">
        <v>3.86</v>
      </c>
      <c r="S588">
        <f t="shared" si="309"/>
        <v>0.11269070310875053</v>
      </c>
      <c r="T588">
        <f t="shared" si="310"/>
        <v>0.99962540060339755</v>
      </c>
      <c r="U588">
        <f t="shared" si="306"/>
        <v>0</v>
      </c>
      <c r="V588">
        <f t="shared" si="311"/>
        <v>0.86197700183094261</v>
      </c>
      <c r="W588" t="str">
        <f t="shared" si="307"/>
        <v/>
      </c>
      <c r="X588">
        <f t="shared" si="312"/>
        <v>0.31763390003378333</v>
      </c>
      <c r="Y588" t="str">
        <f t="shared" si="308"/>
        <v/>
      </c>
      <c r="Z588">
        <f t="shared" si="313"/>
        <v>4.5108566442006524E-2</v>
      </c>
      <c r="AA588">
        <f t="shared" si="314"/>
        <v>1.1961371268856227</v>
      </c>
      <c r="AB588">
        <f t="shared" si="315"/>
        <v>1.8897445535066129</v>
      </c>
      <c r="AC588">
        <f t="shared" si="316"/>
        <v>0.72348074558926134</v>
      </c>
      <c r="AD588">
        <f t="shared" si="317"/>
        <v>7.4348849522519939E-2</v>
      </c>
    </row>
    <row r="589" spans="1:30">
      <c r="A589" t="s">
        <v>439</v>
      </c>
      <c r="B589" t="s">
        <v>37</v>
      </c>
      <c r="C589" t="s">
        <v>38</v>
      </c>
      <c r="D589" t="s">
        <v>39</v>
      </c>
      <c r="E589" s="2">
        <v>46120</v>
      </c>
      <c r="F589" t="s">
        <v>40</v>
      </c>
      <c r="G589">
        <v>117.3</v>
      </c>
      <c r="H589">
        <v>77</v>
      </c>
      <c r="I589">
        <v>-1957.8</v>
      </c>
      <c r="J589">
        <v>68.2</v>
      </c>
      <c r="K589">
        <v>0</v>
      </c>
      <c r="L589">
        <v>0.4</v>
      </c>
      <c r="M589">
        <v>0</v>
      </c>
      <c r="N589">
        <v>68.599999999999994</v>
      </c>
      <c r="O589">
        <v>112.01</v>
      </c>
      <c r="P589">
        <v>116.7</v>
      </c>
      <c r="Q589">
        <v>3.91</v>
      </c>
      <c r="R589">
        <v>3.86</v>
      </c>
      <c r="S589">
        <f t="shared" si="309"/>
        <v>0.9502947979695775</v>
      </c>
      <c r="T589">
        <f t="shared" si="310"/>
        <v>1.3185842056561323</v>
      </c>
      <c r="U589">
        <f t="shared" si="306"/>
        <v>0</v>
      </c>
      <c r="V589">
        <f t="shared" si="311"/>
        <v>0.60056287689381271</v>
      </c>
      <c r="W589" t="str">
        <f t="shared" si="307"/>
        <v/>
      </c>
      <c r="X589">
        <f t="shared" si="312"/>
        <v>0.75372350265303822</v>
      </c>
      <c r="Y589" t="str">
        <f t="shared" si="308"/>
        <v/>
      </c>
      <c r="Z589">
        <f t="shared" si="313"/>
        <v>0.50056202957350415</v>
      </c>
      <c r="AA589">
        <f t="shared" si="314"/>
        <v>0.8931061036389808</v>
      </c>
      <c r="AB589">
        <f t="shared" si="315"/>
        <v>0.99311387639981752</v>
      </c>
      <c r="AC589">
        <f t="shared" si="316"/>
        <v>0.59057713393361444</v>
      </c>
      <c r="AD589">
        <f t="shared" si="317"/>
        <v>7.4348849522519939E-2</v>
      </c>
    </row>
    <row r="590" spans="1:30">
      <c r="A590" t="s">
        <v>440</v>
      </c>
      <c r="B590" t="s">
        <v>37</v>
      </c>
      <c r="C590" t="s">
        <v>38</v>
      </c>
      <c r="D590" t="s">
        <v>39</v>
      </c>
      <c r="E590" s="2">
        <v>46120</v>
      </c>
      <c r="F590" t="s">
        <v>40</v>
      </c>
      <c r="G590">
        <v>110.6</v>
      </c>
      <c r="H590">
        <v>77</v>
      </c>
      <c r="I590">
        <v>-1957.8</v>
      </c>
      <c r="J590">
        <v>68.2</v>
      </c>
      <c r="K590">
        <v>0</v>
      </c>
      <c r="L590">
        <v>0.2</v>
      </c>
      <c r="M590">
        <v>0</v>
      </c>
      <c r="N590">
        <v>68</v>
      </c>
      <c r="O590">
        <v>112.38</v>
      </c>
      <c r="P590">
        <v>116.56</v>
      </c>
      <c r="Q590">
        <v>3.71</v>
      </c>
      <c r="R590">
        <v>3.71</v>
      </c>
      <c r="S590">
        <f t="shared" si="309"/>
        <v>0.39347932603510261</v>
      </c>
      <c r="T590">
        <f t="shared" si="310"/>
        <v>1.3185842056561323</v>
      </c>
      <c r="U590">
        <f t="shared" si="306"/>
        <v>0</v>
      </c>
      <c r="V590">
        <f t="shared" si="311"/>
        <v>0.60056287689381271</v>
      </c>
      <c r="W590" t="str">
        <f t="shared" si="307"/>
        <v/>
      </c>
      <c r="X590">
        <f t="shared" si="312"/>
        <v>0.89657115634461437</v>
      </c>
      <c r="Y590" t="str">
        <f t="shared" si="308"/>
        <v/>
      </c>
      <c r="Z590">
        <f t="shared" si="313"/>
        <v>0.77383410745240011</v>
      </c>
      <c r="AA590">
        <f t="shared" si="314"/>
        <v>0.67326006716593501</v>
      </c>
      <c r="AB590">
        <f t="shared" si="315"/>
        <v>0.89269124056385607</v>
      </c>
      <c r="AC590">
        <f t="shared" si="316"/>
        <v>0.73845898262285403</v>
      </c>
      <c r="AD590">
        <f t="shared" si="317"/>
        <v>0.88252180070298192</v>
      </c>
    </row>
    <row r="591" spans="1:30">
      <c r="A591" t="s">
        <v>441</v>
      </c>
      <c r="B591" t="s">
        <v>37</v>
      </c>
      <c r="C591" t="s">
        <v>38</v>
      </c>
      <c r="D591" t="s">
        <v>39</v>
      </c>
      <c r="E591" s="2">
        <v>46120</v>
      </c>
      <c r="F591" t="s">
        <v>34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tr">
        <f t="shared" si="309"/>
        <v/>
      </c>
      <c r="T591" t="str">
        <f t="shared" si="310"/>
        <v/>
      </c>
      <c r="U591" t="str">
        <f t="shared" si="306"/>
        <v/>
      </c>
      <c r="V591" t="str">
        <f t="shared" si="311"/>
        <v/>
      </c>
      <c r="W591" t="str">
        <f t="shared" si="307"/>
        <v/>
      </c>
      <c r="X591" t="str">
        <f t="shared" si="312"/>
        <v/>
      </c>
      <c r="Y591" t="str">
        <f t="shared" si="308"/>
        <v/>
      </c>
      <c r="Z591" t="str">
        <f t="shared" si="313"/>
        <v/>
      </c>
      <c r="AA591" t="str">
        <f t="shared" si="314"/>
        <v/>
      </c>
      <c r="AB591" t="str">
        <f t="shared" si="315"/>
        <v/>
      </c>
      <c r="AC591" t="str">
        <f t="shared" si="316"/>
        <v/>
      </c>
      <c r="AD591" t="str">
        <f t="shared" si="317"/>
        <v/>
      </c>
    </row>
    <row r="592" spans="1:30">
      <c r="A592" t="s">
        <v>441</v>
      </c>
      <c r="B592" t="s">
        <v>37</v>
      </c>
      <c r="C592" t="s">
        <v>38</v>
      </c>
      <c r="D592" t="s">
        <v>39</v>
      </c>
      <c r="E592" s="2">
        <v>46120</v>
      </c>
      <c r="F592" t="s">
        <v>40</v>
      </c>
      <c r="G592">
        <v>113.7</v>
      </c>
      <c r="H592">
        <v>78.400000000000006</v>
      </c>
      <c r="I592">
        <v>-1957.8</v>
      </c>
      <c r="J592">
        <v>67.3</v>
      </c>
      <c r="K592">
        <v>0</v>
      </c>
      <c r="L592">
        <v>0.9</v>
      </c>
      <c r="M592">
        <v>0</v>
      </c>
      <c r="N592">
        <v>68.2</v>
      </c>
      <c r="O592">
        <v>115.16</v>
      </c>
      <c r="P592">
        <v>115.16</v>
      </c>
      <c r="Q592">
        <v>3.78</v>
      </c>
      <c r="R592">
        <v>3.83</v>
      </c>
      <c r="S592">
        <f t="shared" si="309"/>
        <v>0.2282669104446762</v>
      </c>
      <c r="T592">
        <f t="shared" si="310"/>
        <v>0.82242606446299038</v>
      </c>
      <c r="U592">
        <f t="shared" si="306"/>
        <v>0</v>
      </c>
      <c r="V592">
        <f t="shared" si="311"/>
        <v>1.0711083017806495</v>
      </c>
      <c r="W592" t="str">
        <f t="shared" si="307"/>
        <v/>
      </c>
      <c r="X592">
        <f t="shared" si="312"/>
        <v>0.39660436842409758</v>
      </c>
      <c r="Y592" t="str">
        <f t="shared" si="308"/>
        <v/>
      </c>
      <c r="Z592">
        <f t="shared" si="313"/>
        <v>0.68274341482609935</v>
      </c>
      <c r="AA592">
        <f t="shared" si="314"/>
        <v>0.978556098766724</v>
      </c>
      <c r="AB592">
        <f t="shared" si="315"/>
        <v>0.11153511779575867</v>
      </c>
      <c r="AC592">
        <f t="shared" si="316"/>
        <v>0.27329634182809154</v>
      </c>
      <c r="AD592">
        <f t="shared" si="317"/>
        <v>0.11702528052257931</v>
      </c>
    </row>
    <row r="593" spans="1:30">
      <c r="A593" t="s">
        <v>442</v>
      </c>
      <c r="B593" t="s">
        <v>37</v>
      </c>
      <c r="C593" t="s">
        <v>38</v>
      </c>
      <c r="D593" t="s">
        <v>39</v>
      </c>
      <c r="E593" s="2">
        <v>46120</v>
      </c>
      <c r="F593" t="s">
        <v>40</v>
      </c>
      <c r="G593">
        <v>114.2</v>
      </c>
      <c r="H593">
        <v>80.7</v>
      </c>
      <c r="I593">
        <v>-1957.8</v>
      </c>
      <c r="J593">
        <v>67.7</v>
      </c>
      <c r="K593">
        <v>0</v>
      </c>
      <c r="L593">
        <v>2.2000000000000002</v>
      </c>
      <c r="M593">
        <v>0</v>
      </c>
      <c r="N593">
        <v>69.900000000000006</v>
      </c>
      <c r="O593">
        <v>115.09</v>
      </c>
      <c r="P593">
        <v>115.09</v>
      </c>
      <c r="Q593">
        <v>3.78</v>
      </c>
      <c r="R593">
        <v>3.83</v>
      </c>
      <c r="S593">
        <f t="shared" si="309"/>
        <v>0.32854856148980155</v>
      </c>
      <c r="T593">
        <f t="shared" si="310"/>
        <v>7.309118217118795E-3</v>
      </c>
      <c r="U593">
        <f t="shared" si="306"/>
        <v>0</v>
      </c>
      <c r="V593">
        <f t="shared" si="311"/>
        <v>0.86197700183094261</v>
      </c>
      <c r="W593" t="str">
        <f t="shared" si="307"/>
        <v/>
      </c>
      <c r="X593">
        <f t="shared" si="312"/>
        <v>0.53190538057114778</v>
      </c>
      <c r="Y593" t="str">
        <f t="shared" si="308"/>
        <v/>
      </c>
      <c r="Z593">
        <f t="shared" si="313"/>
        <v>9.1527472497447943E-2</v>
      </c>
      <c r="AA593">
        <f t="shared" si="314"/>
        <v>0.93696360537993451</v>
      </c>
      <c r="AB593">
        <f t="shared" si="315"/>
        <v>0.16174643571373432</v>
      </c>
      <c r="AC593">
        <f t="shared" si="316"/>
        <v>0.27329634182809154</v>
      </c>
      <c r="AD593">
        <f t="shared" si="317"/>
        <v>0.11702528052257931</v>
      </c>
    </row>
    <row r="594" spans="1:30">
      <c r="A594" t="s">
        <v>443</v>
      </c>
      <c r="B594" t="s">
        <v>37</v>
      </c>
      <c r="C594" t="s">
        <v>38</v>
      </c>
      <c r="D594" t="s">
        <v>39</v>
      </c>
      <c r="E594" s="2">
        <v>46120</v>
      </c>
      <c r="F594" t="s">
        <v>40</v>
      </c>
      <c r="G594">
        <v>115.1</v>
      </c>
      <c r="H594">
        <v>77.900000000000006</v>
      </c>
      <c r="I594">
        <v>-1957.8</v>
      </c>
      <c r="J594">
        <v>68.2</v>
      </c>
      <c r="K594">
        <v>0</v>
      </c>
      <c r="L594">
        <v>1.3</v>
      </c>
      <c r="M594">
        <v>0</v>
      </c>
      <c r="N594">
        <v>69.5</v>
      </c>
      <c r="O594">
        <v>111.94</v>
      </c>
      <c r="P594">
        <v>113.48</v>
      </c>
      <c r="Q594">
        <v>3.91</v>
      </c>
      <c r="R594">
        <v>3.96</v>
      </c>
      <c r="S594">
        <f t="shared" si="309"/>
        <v>0.50905553337102538</v>
      </c>
      <c r="T594">
        <f t="shared" si="310"/>
        <v>0.99962540060339755</v>
      </c>
      <c r="U594">
        <f t="shared" si="306"/>
        <v>0</v>
      </c>
      <c r="V594">
        <f t="shared" si="311"/>
        <v>0.60056287689381271</v>
      </c>
      <c r="W594" t="str">
        <f t="shared" si="307"/>
        <v/>
      </c>
      <c r="X594">
        <f t="shared" si="312"/>
        <v>0.11090906104094518</v>
      </c>
      <c r="Y594" t="str">
        <f t="shared" si="308"/>
        <v/>
      </c>
      <c r="Z594">
        <f t="shared" si="313"/>
        <v>9.0653912755153693E-2</v>
      </c>
      <c r="AA594">
        <f t="shared" si="314"/>
        <v>0.93469859702577884</v>
      </c>
      <c r="AB594">
        <f t="shared" si="315"/>
        <v>1.3166067478272863</v>
      </c>
      <c r="AC594">
        <f t="shared" si="316"/>
        <v>0.59057713393361444</v>
      </c>
      <c r="AD594">
        <f t="shared" si="317"/>
        <v>0.71226261633952215</v>
      </c>
    </row>
    <row r="595" spans="1:30">
      <c r="A595" t="s">
        <v>163</v>
      </c>
      <c r="B595" t="s">
        <v>31</v>
      </c>
      <c r="C595" t="s">
        <v>32</v>
      </c>
      <c r="D595" t="s">
        <v>33</v>
      </c>
      <c r="E595" s="2">
        <v>46120</v>
      </c>
      <c r="F595" t="s">
        <v>34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tr">
        <f>IF(OR(G595=0,G595=""),"",ABS((G595-152.740594)/5.729485))</f>
        <v/>
      </c>
      <c r="T595" t="str">
        <f>IF(OR(H595=0,H595=""),"",ABS((H595-96.426733)/5.037499))</f>
        <v/>
      </c>
      <c r="U595" t="str">
        <f t="shared" si="306"/>
        <v/>
      </c>
      <c r="V595" t="str">
        <f>IF(OR(J595=0,J595=""),"",ABS((J595-69.40099)/2.222902))</f>
        <v/>
      </c>
      <c r="W595" t="str">
        <f t="shared" si="307"/>
        <v/>
      </c>
      <c r="X595" t="str">
        <f>IF(OR(L595=0,L595=""),"",ABS((L595-1.849749)/1.393269))</f>
        <v/>
      </c>
      <c r="Y595" t="str">
        <f t="shared" si="308"/>
        <v/>
      </c>
      <c r="Z595" t="str">
        <f>IF(OR(N595=0,N595=""),"",ABS((N595-69.231188)/2.519549))</f>
        <v/>
      </c>
      <c r="AA595" t="str">
        <f>IF(OR(O595=0,O595=""),"",ABS((O595-113.18)/1.73698))</f>
        <v/>
      </c>
      <c r="AB595" t="str">
        <f>IF(OR(P595=0,P595=""),"",ABS((P595-114.765594)/1.645198))</f>
        <v/>
      </c>
      <c r="AC595" t="str">
        <f>IF(OR(Q595=0,Q595=""),"",ABS((Q595-8.040149)/0.55663))</f>
        <v/>
      </c>
      <c r="AD595" t="str">
        <f>IF(OR(R595=0,R595=""),"",ABS((R595-7.915297)/0.399795))</f>
        <v/>
      </c>
    </row>
    <row r="596" spans="1:30">
      <c r="A596" t="s">
        <v>444</v>
      </c>
      <c r="B596" t="s">
        <v>37</v>
      </c>
      <c r="C596" t="s">
        <v>38</v>
      </c>
      <c r="D596" t="s">
        <v>39</v>
      </c>
      <c r="E596" s="2">
        <v>46120</v>
      </c>
      <c r="F596" t="s">
        <v>40</v>
      </c>
      <c r="G596">
        <v>117.3</v>
      </c>
      <c r="H596">
        <v>79.3</v>
      </c>
      <c r="I596">
        <v>-1957.8</v>
      </c>
      <c r="J596">
        <v>68.599999999999994</v>
      </c>
      <c r="K596">
        <v>0</v>
      </c>
      <c r="L596">
        <v>2.8</v>
      </c>
      <c r="M596">
        <v>0</v>
      </c>
      <c r="N596">
        <v>71.400000000000006</v>
      </c>
      <c r="O596">
        <v>112.16</v>
      </c>
      <c r="P596">
        <v>116.26</v>
      </c>
      <c r="Q596">
        <v>4</v>
      </c>
      <c r="R596">
        <v>4</v>
      </c>
      <c r="S596">
        <f t="shared" ref="S596:S608" si="318">IF(OR(G596=0,G596=""),"",ABS((G596-112.561871)/4.985957))</f>
        <v>0.9502947979695775</v>
      </c>
      <c r="T596">
        <f t="shared" ref="T596:T608" si="319">IF(OR(H596=0,H596=""),"",ABS((H596-80.720624)/2.821681))</f>
        <v>0.50346725941026071</v>
      </c>
      <c r="U596">
        <f t="shared" si="306"/>
        <v>0</v>
      </c>
      <c r="V596">
        <f t="shared" ref="V596:V608" si="320">IF(OR(J596=0,J596=""),"",ABS((J596-69.348681)/1.912674))</f>
        <v>0.39143157694411324</v>
      </c>
      <c r="W596" t="str">
        <f t="shared" si="307"/>
        <v/>
      </c>
      <c r="X596">
        <f t="shared" ref="X596:X608" si="321">IF(OR(L596=0,L596=""),"",ABS((L596-1.455283)/1.400093))</f>
        <v>0.96044834164587611</v>
      </c>
      <c r="Y596" t="str">
        <f t="shared" si="308"/>
        <v/>
      </c>
      <c r="Z596">
        <f t="shared" ref="Z596:Z608" si="322">IF(OR(N596=0,N596=""),"",ABS((N596-69.699041)/2.195614))</f>
        <v>0.77470766719469442</v>
      </c>
      <c r="AA596">
        <f t="shared" ref="AA596:AA608" si="323">IF(OR(O596=0,O596=""),"",ABS((O596-113.513094)/1.682996))</f>
        <v>0.80397933209585692</v>
      </c>
      <c r="AB596">
        <f t="shared" ref="AB596:AB608" si="324">IF(OR(P596=0,P596=""),"",ABS((P596-115.315492)/1.394108))</f>
        <v>0.6774998780582272</v>
      </c>
      <c r="AC596">
        <f t="shared" ref="AC596:AC608" si="325">IF(OR(Q596=0,Q596=""),"",ABS((Q596-3.821127)/0.150485))</f>
        <v>1.1886433863840238</v>
      </c>
      <c r="AD596">
        <f t="shared" ref="AD596:AD608" si="326">IF(OR(R596=0,R596=""),"",ABS((R596-3.848345)/0.156761))</f>
        <v>0.96742812306632298</v>
      </c>
    </row>
    <row r="597" spans="1:30">
      <c r="A597" t="s">
        <v>445</v>
      </c>
      <c r="B597" t="s">
        <v>37</v>
      </c>
      <c r="C597" t="s">
        <v>38</v>
      </c>
      <c r="D597" t="s">
        <v>39</v>
      </c>
      <c r="E597" s="2">
        <v>46120</v>
      </c>
      <c r="F597" t="s">
        <v>40</v>
      </c>
      <c r="G597">
        <v>117.8</v>
      </c>
      <c r="H597">
        <v>77.900000000000006</v>
      </c>
      <c r="I597">
        <v>-1957.8</v>
      </c>
      <c r="J597">
        <v>69.5</v>
      </c>
      <c r="K597">
        <v>0</v>
      </c>
      <c r="L597">
        <v>2.2999999999999998</v>
      </c>
      <c r="M597">
        <v>0</v>
      </c>
      <c r="N597">
        <v>71.8</v>
      </c>
      <c r="O597">
        <v>115.24</v>
      </c>
      <c r="P597">
        <v>115.09</v>
      </c>
      <c r="Q597">
        <v>3.98</v>
      </c>
      <c r="R597">
        <v>4.05</v>
      </c>
      <c r="S597">
        <f t="shared" si="318"/>
        <v>1.0505764490147029</v>
      </c>
      <c r="T597">
        <f t="shared" si="319"/>
        <v>0.99962540060339755</v>
      </c>
      <c r="U597">
        <f t="shared" si="306"/>
        <v>0</v>
      </c>
      <c r="V597">
        <f t="shared" si="320"/>
        <v>7.9113847942723581E-2</v>
      </c>
      <c r="W597" t="str">
        <f t="shared" si="307"/>
        <v/>
      </c>
      <c r="X597">
        <f t="shared" si="321"/>
        <v>0.60332920741693563</v>
      </c>
      <c r="Y597" t="str">
        <f t="shared" si="308"/>
        <v/>
      </c>
      <c r="Z597">
        <f t="shared" si="322"/>
        <v>0.9568890524472895</v>
      </c>
      <c r="AA597">
        <f t="shared" si="323"/>
        <v>1.0260903769230585</v>
      </c>
      <c r="AB597">
        <f t="shared" si="324"/>
        <v>0.16174643571373432</v>
      </c>
      <c r="AC597">
        <f t="shared" si="325"/>
        <v>1.055739774728377</v>
      </c>
      <c r="AD597">
        <f t="shared" si="326"/>
        <v>1.2863850064748228</v>
      </c>
    </row>
    <row r="598" spans="1:30">
      <c r="A598" t="s">
        <v>446</v>
      </c>
      <c r="B598" t="s">
        <v>37</v>
      </c>
      <c r="C598" t="s">
        <v>38</v>
      </c>
      <c r="D598" t="s">
        <v>39</v>
      </c>
      <c r="E598" s="2">
        <v>46120</v>
      </c>
      <c r="F598" t="s">
        <v>40</v>
      </c>
      <c r="G598">
        <v>115.1</v>
      </c>
      <c r="H598">
        <v>82</v>
      </c>
      <c r="I598">
        <v>-1957.8</v>
      </c>
      <c r="J598">
        <v>70</v>
      </c>
      <c r="K598">
        <v>0</v>
      </c>
      <c r="L598">
        <v>3.1</v>
      </c>
      <c r="M598">
        <v>0</v>
      </c>
      <c r="N598">
        <v>73.099999999999994</v>
      </c>
      <c r="O598">
        <v>112.08</v>
      </c>
      <c r="P598">
        <v>113.55</v>
      </c>
      <c r="Q598">
        <v>4</v>
      </c>
      <c r="R598">
        <v>4.08</v>
      </c>
      <c r="S598">
        <f t="shared" si="318"/>
        <v>0.50905553337102538</v>
      </c>
      <c r="T598">
        <f t="shared" si="319"/>
        <v>0.45340915574793861</v>
      </c>
      <c r="U598">
        <f t="shared" si="306"/>
        <v>0</v>
      </c>
      <c r="V598">
        <f t="shared" si="320"/>
        <v>0.34052797287985348</v>
      </c>
      <c r="W598" t="str">
        <f t="shared" si="307"/>
        <v/>
      </c>
      <c r="X598">
        <f t="shared" si="321"/>
        <v>1.1747198221832407</v>
      </c>
      <c r="Y598" t="str">
        <f t="shared" si="308"/>
        <v/>
      </c>
      <c r="Z598">
        <f t="shared" si="322"/>
        <v>1.5489785545182351</v>
      </c>
      <c r="AA598">
        <f t="shared" si="323"/>
        <v>0.8515136102521913</v>
      </c>
      <c r="AB598">
        <f t="shared" si="324"/>
        <v>1.2663954299093105</v>
      </c>
      <c r="AC598">
        <f t="shared" si="325"/>
        <v>1.1886433863840238</v>
      </c>
      <c r="AD598">
        <f t="shared" si="326"/>
        <v>1.4777591365199247</v>
      </c>
    </row>
    <row r="599" spans="1:30">
      <c r="A599" t="s">
        <v>447</v>
      </c>
      <c r="B599" t="s">
        <v>37</v>
      </c>
      <c r="C599" t="s">
        <v>38</v>
      </c>
      <c r="D599" t="s">
        <v>39</v>
      </c>
      <c r="E599" s="2">
        <v>46120</v>
      </c>
      <c r="F599" t="s">
        <v>40</v>
      </c>
      <c r="G599">
        <v>118.7</v>
      </c>
      <c r="H599">
        <v>79.8</v>
      </c>
      <c r="I599">
        <v>-1957.8</v>
      </c>
      <c r="J599">
        <v>70</v>
      </c>
      <c r="K599">
        <v>0</v>
      </c>
      <c r="L599">
        <v>1.7</v>
      </c>
      <c r="M599">
        <v>0</v>
      </c>
      <c r="N599">
        <v>71.7</v>
      </c>
      <c r="O599">
        <v>115.16</v>
      </c>
      <c r="P599">
        <v>115.09</v>
      </c>
      <c r="Q599">
        <v>3.88</v>
      </c>
      <c r="R599">
        <v>3.98</v>
      </c>
      <c r="S599">
        <f t="shared" si="318"/>
        <v>1.2310834208959296</v>
      </c>
      <c r="T599">
        <f t="shared" si="319"/>
        <v>0.3262679232698536</v>
      </c>
      <c r="U599">
        <f t="shared" si="306"/>
        <v>0</v>
      </c>
      <c r="V599">
        <f t="shared" si="320"/>
        <v>0.34052797287985348</v>
      </c>
      <c r="W599" t="str">
        <f t="shared" si="307"/>
        <v/>
      </c>
      <c r="X599">
        <f t="shared" si="321"/>
        <v>0.17478624634220716</v>
      </c>
      <c r="Y599" t="str">
        <f t="shared" si="308"/>
        <v/>
      </c>
      <c r="Z599">
        <f t="shared" si="322"/>
        <v>0.9113437061341424</v>
      </c>
      <c r="AA599">
        <f t="shared" si="323"/>
        <v>0.978556098766724</v>
      </c>
      <c r="AB599">
        <f t="shared" si="324"/>
        <v>0.16174643571373432</v>
      </c>
      <c r="AC599">
        <f t="shared" si="325"/>
        <v>0.39122171645014275</v>
      </c>
      <c r="AD599">
        <f t="shared" si="326"/>
        <v>0.83984536970292256</v>
      </c>
    </row>
    <row r="600" spans="1:30">
      <c r="A600" t="s">
        <v>448</v>
      </c>
      <c r="B600" t="s">
        <v>37</v>
      </c>
      <c r="C600" t="s">
        <v>38</v>
      </c>
      <c r="D600" t="s">
        <v>39</v>
      </c>
      <c r="E600" s="2">
        <v>46120</v>
      </c>
      <c r="F600" t="s">
        <v>34</v>
      </c>
      <c r="G600">
        <v>91.4</v>
      </c>
      <c r="H600">
        <v>86.1</v>
      </c>
      <c r="I600">
        <v>-1957.8</v>
      </c>
      <c r="J600">
        <v>70.8</v>
      </c>
      <c r="K600">
        <v>0</v>
      </c>
      <c r="L600">
        <v>3.8</v>
      </c>
      <c r="M600">
        <v>0</v>
      </c>
      <c r="N600">
        <v>74.599999999999994</v>
      </c>
      <c r="O600">
        <v>111.79</v>
      </c>
      <c r="P600">
        <v>113.26</v>
      </c>
      <c r="Q600">
        <v>4.0999999999999996</v>
      </c>
      <c r="R600">
        <v>4.17</v>
      </c>
      <c r="S600">
        <f t="shared" si="318"/>
        <v>4.2442947261679134</v>
      </c>
      <c r="T600">
        <f t="shared" si="319"/>
        <v>1.9064437120992748</v>
      </c>
      <c r="U600">
        <f t="shared" si="306"/>
        <v>0</v>
      </c>
      <c r="V600">
        <f t="shared" si="320"/>
        <v>0.75879057277925988</v>
      </c>
      <c r="W600" t="str">
        <f t="shared" si="307"/>
        <v/>
      </c>
      <c r="X600">
        <f t="shared" si="321"/>
        <v>1.6746866101037572</v>
      </c>
      <c r="Y600" t="str">
        <f t="shared" si="308"/>
        <v/>
      </c>
      <c r="Z600">
        <f t="shared" si="322"/>
        <v>2.2321587492154817</v>
      </c>
      <c r="AA600">
        <f t="shared" si="323"/>
        <v>1.0238253685689027</v>
      </c>
      <c r="AB600">
        <f t="shared" si="324"/>
        <v>1.4744137469980814</v>
      </c>
      <c r="AC600">
        <f t="shared" si="325"/>
        <v>1.8531614446622551</v>
      </c>
      <c r="AD600">
        <f t="shared" si="326"/>
        <v>2.0518815266552255</v>
      </c>
    </row>
    <row r="601" spans="1:30">
      <c r="A601" t="s">
        <v>448</v>
      </c>
      <c r="B601" t="s">
        <v>37</v>
      </c>
      <c r="C601" t="s">
        <v>38</v>
      </c>
      <c r="D601" t="s">
        <v>39</v>
      </c>
      <c r="E601" s="2">
        <v>46120</v>
      </c>
      <c r="F601" t="s">
        <v>40</v>
      </c>
      <c r="G601">
        <v>117.8</v>
      </c>
      <c r="H601">
        <v>82.9</v>
      </c>
      <c r="I601">
        <v>-1957.8</v>
      </c>
      <c r="J601">
        <v>71.3</v>
      </c>
      <c r="K601">
        <v>0</v>
      </c>
      <c r="L601">
        <v>3.3</v>
      </c>
      <c r="M601">
        <v>0</v>
      </c>
      <c r="N601">
        <v>74.599999999999994</v>
      </c>
      <c r="O601">
        <v>111.86</v>
      </c>
      <c r="P601">
        <v>113.18</v>
      </c>
      <c r="Q601">
        <v>4.08</v>
      </c>
      <c r="R601">
        <v>4.05</v>
      </c>
      <c r="S601">
        <f t="shared" si="318"/>
        <v>1.0505764490147029</v>
      </c>
      <c r="T601">
        <f t="shared" si="319"/>
        <v>0.77236796080067338</v>
      </c>
      <c r="U601">
        <f t="shared" si="306"/>
        <v>0</v>
      </c>
      <c r="V601">
        <f t="shared" si="320"/>
        <v>1.0202046977163897</v>
      </c>
      <c r="W601" t="str">
        <f t="shared" si="307"/>
        <v/>
      </c>
      <c r="X601">
        <f t="shared" si="321"/>
        <v>1.3175674758748166</v>
      </c>
      <c r="Y601" t="str">
        <f t="shared" si="308"/>
        <v/>
      </c>
      <c r="Z601">
        <f t="shared" si="322"/>
        <v>2.2321587492154817</v>
      </c>
      <c r="AA601">
        <f t="shared" si="323"/>
        <v>0.98223287518211322</v>
      </c>
      <c r="AB601">
        <f t="shared" si="324"/>
        <v>1.531798110332915</v>
      </c>
      <c r="AC601">
        <f t="shared" si="325"/>
        <v>1.7202578330066112</v>
      </c>
      <c r="AD601">
        <f t="shared" si="326"/>
        <v>1.2863850064748228</v>
      </c>
    </row>
    <row r="602" spans="1:30">
      <c r="A602" t="s">
        <v>449</v>
      </c>
      <c r="B602" t="s">
        <v>37</v>
      </c>
      <c r="C602" t="s">
        <v>38</v>
      </c>
      <c r="D602" t="s">
        <v>39</v>
      </c>
      <c r="E602" s="2">
        <v>46120</v>
      </c>
      <c r="F602" t="s">
        <v>34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tr">
        <f t="shared" si="318"/>
        <v/>
      </c>
      <c r="T602" t="str">
        <f t="shared" si="319"/>
        <v/>
      </c>
      <c r="U602" t="str">
        <f t="shared" si="306"/>
        <v/>
      </c>
      <c r="V602" t="str">
        <f t="shared" si="320"/>
        <v/>
      </c>
      <c r="W602" t="str">
        <f t="shared" si="307"/>
        <v/>
      </c>
      <c r="X602" t="str">
        <f t="shared" si="321"/>
        <v/>
      </c>
      <c r="Y602" t="str">
        <f t="shared" si="308"/>
        <v/>
      </c>
      <c r="Z602" t="str">
        <f t="shared" si="322"/>
        <v/>
      </c>
      <c r="AA602" t="str">
        <f t="shared" si="323"/>
        <v/>
      </c>
      <c r="AB602" t="str">
        <f t="shared" si="324"/>
        <v/>
      </c>
      <c r="AC602" t="str">
        <f t="shared" si="325"/>
        <v/>
      </c>
      <c r="AD602" t="str">
        <f t="shared" si="326"/>
        <v/>
      </c>
    </row>
    <row r="603" spans="1:30">
      <c r="A603" t="s">
        <v>449</v>
      </c>
      <c r="B603" t="s">
        <v>37</v>
      </c>
      <c r="C603" t="s">
        <v>38</v>
      </c>
      <c r="D603" t="s">
        <v>39</v>
      </c>
      <c r="E603" s="2">
        <v>46120</v>
      </c>
      <c r="F603" t="s">
        <v>34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tr">
        <f t="shared" si="318"/>
        <v/>
      </c>
      <c r="T603" t="str">
        <f t="shared" si="319"/>
        <v/>
      </c>
      <c r="U603" t="str">
        <f t="shared" si="306"/>
        <v/>
      </c>
      <c r="V603" t="str">
        <f t="shared" si="320"/>
        <v/>
      </c>
      <c r="W603" t="str">
        <f t="shared" si="307"/>
        <v/>
      </c>
      <c r="X603" t="str">
        <f t="shared" si="321"/>
        <v/>
      </c>
      <c r="Y603" t="str">
        <f t="shared" si="308"/>
        <v/>
      </c>
      <c r="Z603" t="str">
        <f t="shared" si="322"/>
        <v/>
      </c>
      <c r="AA603" t="str">
        <f t="shared" si="323"/>
        <v/>
      </c>
      <c r="AB603" t="str">
        <f t="shared" si="324"/>
        <v/>
      </c>
      <c r="AC603" t="str">
        <f t="shared" si="325"/>
        <v/>
      </c>
      <c r="AD603" t="str">
        <f t="shared" si="326"/>
        <v/>
      </c>
    </row>
    <row r="604" spans="1:30">
      <c r="A604" t="s">
        <v>449</v>
      </c>
      <c r="B604" t="s">
        <v>37</v>
      </c>
      <c r="C604" t="s">
        <v>38</v>
      </c>
      <c r="D604" t="s">
        <v>39</v>
      </c>
      <c r="E604" s="2">
        <v>46120</v>
      </c>
      <c r="F604" t="s">
        <v>34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tr">
        <f t="shared" si="318"/>
        <v/>
      </c>
      <c r="T604" t="str">
        <f t="shared" si="319"/>
        <v/>
      </c>
      <c r="U604" t="str">
        <f t="shared" si="306"/>
        <v/>
      </c>
      <c r="V604" t="str">
        <f t="shared" si="320"/>
        <v/>
      </c>
      <c r="W604" t="str">
        <f t="shared" si="307"/>
        <v/>
      </c>
      <c r="X604" t="str">
        <f t="shared" si="321"/>
        <v/>
      </c>
      <c r="Y604" t="str">
        <f t="shared" si="308"/>
        <v/>
      </c>
      <c r="Z604" t="str">
        <f t="shared" si="322"/>
        <v/>
      </c>
      <c r="AA604" t="str">
        <f t="shared" si="323"/>
        <v/>
      </c>
      <c r="AB604" t="str">
        <f t="shared" si="324"/>
        <v/>
      </c>
      <c r="AC604" t="str">
        <f t="shared" si="325"/>
        <v/>
      </c>
      <c r="AD604" t="str">
        <f t="shared" si="326"/>
        <v/>
      </c>
    </row>
    <row r="605" spans="1:30">
      <c r="A605" t="s">
        <v>449</v>
      </c>
      <c r="B605" t="s">
        <v>37</v>
      </c>
      <c r="C605" t="s">
        <v>38</v>
      </c>
      <c r="D605" t="s">
        <v>39</v>
      </c>
      <c r="E605" s="2">
        <v>46120</v>
      </c>
      <c r="F605" t="s">
        <v>34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tr">
        <f t="shared" si="318"/>
        <v/>
      </c>
      <c r="T605" t="str">
        <f t="shared" si="319"/>
        <v/>
      </c>
      <c r="U605" t="str">
        <f t="shared" si="306"/>
        <v/>
      </c>
      <c r="V605" t="str">
        <f t="shared" si="320"/>
        <v/>
      </c>
      <c r="W605" t="str">
        <f t="shared" si="307"/>
        <v/>
      </c>
      <c r="X605" t="str">
        <f t="shared" si="321"/>
        <v/>
      </c>
      <c r="Y605" t="str">
        <f t="shared" si="308"/>
        <v/>
      </c>
      <c r="Z605" t="str">
        <f t="shared" si="322"/>
        <v/>
      </c>
      <c r="AA605" t="str">
        <f t="shared" si="323"/>
        <v/>
      </c>
      <c r="AB605" t="str">
        <f t="shared" si="324"/>
        <v/>
      </c>
      <c r="AC605" t="str">
        <f t="shared" si="325"/>
        <v/>
      </c>
      <c r="AD605" t="str">
        <f t="shared" si="326"/>
        <v/>
      </c>
    </row>
    <row r="606" spans="1:30">
      <c r="A606" t="s">
        <v>449</v>
      </c>
      <c r="B606" t="s">
        <v>37</v>
      </c>
      <c r="C606" t="s">
        <v>38</v>
      </c>
      <c r="D606" t="s">
        <v>39</v>
      </c>
      <c r="E606" s="2">
        <v>46120</v>
      </c>
      <c r="F606" t="s">
        <v>34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tr">
        <f t="shared" si="318"/>
        <v/>
      </c>
      <c r="T606" t="str">
        <f t="shared" si="319"/>
        <v/>
      </c>
      <c r="U606" t="str">
        <f t="shared" si="306"/>
        <v/>
      </c>
      <c r="V606" t="str">
        <f t="shared" si="320"/>
        <v/>
      </c>
      <c r="W606" t="str">
        <f t="shared" si="307"/>
        <v/>
      </c>
      <c r="X606" t="str">
        <f t="shared" si="321"/>
        <v/>
      </c>
      <c r="Y606" t="str">
        <f t="shared" si="308"/>
        <v/>
      </c>
      <c r="Z606" t="str">
        <f t="shared" si="322"/>
        <v/>
      </c>
      <c r="AA606" t="str">
        <f t="shared" si="323"/>
        <v/>
      </c>
      <c r="AB606" t="str">
        <f t="shared" si="324"/>
        <v/>
      </c>
      <c r="AC606" t="str">
        <f t="shared" si="325"/>
        <v/>
      </c>
      <c r="AD606" t="str">
        <f t="shared" si="326"/>
        <v/>
      </c>
    </row>
    <row r="607" spans="1:30">
      <c r="A607" t="s">
        <v>449</v>
      </c>
      <c r="B607" t="s">
        <v>37</v>
      </c>
      <c r="C607" t="s">
        <v>38</v>
      </c>
      <c r="D607" t="s">
        <v>39</v>
      </c>
      <c r="E607" s="2">
        <v>46120</v>
      </c>
      <c r="F607" t="s">
        <v>40</v>
      </c>
      <c r="G607">
        <v>116.9</v>
      </c>
      <c r="H607">
        <v>76.099999999999994</v>
      </c>
      <c r="I607">
        <v>-1957.8</v>
      </c>
      <c r="J607">
        <v>71.7</v>
      </c>
      <c r="K607">
        <v>0</v>
      </c>
      <c r="L607">
        <v>1.9</v>
      </c>
      <c r="M607">
        <v>0</v>
      </c>
      <c r="N607">
        <v>73.599999999999994</v>
      </c>
      <c r="O607">
        <v>112.3</v>
      </c>
      <c r="P607">
        <v>116.48</v>
      </c>
      <c r="Q607">
        <v>3.98</v>
      </c>
      <c r="R607">
        <v>3.98</v>
      </c>
      <c r="S607">
        <f t="shared" si="318"/>
        <v>0.87006947713347893</v>
      </c>
      <c r="T607">
        <f t="shared" si="319"/>
        <v>1.6375430107088671</v>
      </c>
      <c r="U607">
        <f t="shared" si="306"/>
        <v>0</v>
      </c>
      <c r="V607">
        <f t="shared" si="320"/>
        <v>1.2293359976660967</v>
      </c>
      <c r="W607" t="str">
        <f t="shared" si="307"/>
        <v/>
      </c>
      <c r="X607">
        <f t="shared" si="321"/>
        <v>0.31763390003378333</v>
      </c>
      <c r="Y607" t="str">
        <f t="shared" si="308"/>
        <v/>
      </c>
      <c r="Z607">
        <f t="shared" si="322"/>
        <v>1.776705286083984</v>
      </c>
      <c r="AA607">
        <f t="shared" si="323"/>
        <v>0.72079434532226938</v>
      </c>
      <c r="AB607">
        <f t="shared" si="324"/>
        <v>0.83530687722902242</v>
      </c>
      <c r="AC607">
        <f t="shared" si="325"/>
        <v>1.055739774728377</v>
      </c>
      <c r="AD607">
        <f t="shared" si="326"/>
        <v>0.83984536970292256</v>
      </c>
    </row>
    <row r="608" spans="1:30">
      <c r="A608" t="s">
        <v>450</v>
      </c>
      <c r="B608" t="s">
        <v>37</v>
      </c>
      <c r="C608" t="s">
        <v>38</v>
      </c>
      <c r="D608" t="s">
        <v>39</v>
      </c>
      <c r="E608" s="2">
        <v>46120</v>
      </c>
      <c r="F608" t="s">
        <v>40</v>
      </c>
      <c r="G608">
        <v>118.7</v>
      </c>
      <c r="H608">
        <v>82.9</v>
      </c>
      <c r="I608">
        <v>-1957.8</v>
      </c>
      <c r="J608">
        <v>71.7</v>
      </c>
      <c r="K608">
        <v>0</v>
      </c>
      <c r="L608">
        <v>3</v>
      </c>
      <c r="M608">
        <v>0</v>
      </c>
      <c r="N608">
        <v>74.7</v>
      </c>
      <c r="O608">
        <v>115.31</v>
      </c>
      <c r="P608">
        <v>115.24</v>
      </c>
      <c r="Q608">
        <v>3.93</v>
      </c>
      <c r="R608">
        <v>4</v>
      </c>
      <c r="S608">
        <f t="shared" si="318"/>
        <v>1.2310834208959296</v>
      </c>
      <c r="T608">
        <f t="shared" si="319"/>
        <v>0.77236796080067338</v>
      </c>
      <c r="U608">
        <f t="shared" si="306"/>
        <v>0</v>
      </c>
      <c r="V608">
        <f t="shared" si="320"/>
        <v>1.2293359976660967</v>
      </c>
      <c r="W608" t="str">
        <f t="shared" si="307"/>
        <v/>
      </c>
      <c r="X608">
        <f t="shared" si="321"/>
        <v>1.1032959953374524</v>
      </c>
      <c r="Y608" t="str">
        <f t="shared" si="308"/>
        <v/>
      </c>
      <c r="Z608">
        <f t="shared" si="322"/>
        <v>2.2777040955286352</v>
      </c>
      <c r="AA608">
        <f t="shared" si="323"/>
        <v>1.0676828703098564</v>
      </c>
      <c r="AB608">
        <f t="shared" si="324"/>
        <v>5.4150754460924995E-2</v>
      </c>
      <c r="AC608">
        <f t="shared" si="325"/>
        <v>0.72348074558926134</v>
      </c>
      <c r="AD608">
        <f t="shared" si="326"/>
        <v>0.96742812306632298</v>
      </c>
    </row>
    <row r="609" spans="1:30">
      <c r="A609" t="s">
        <v>163</v>
      </c>
      <c r="B609" t="s">
        <v>31</v>
      </c>
      <c r="C609" t="s">
        <v>32</v>
      </c>
      <c r="D609" t="s">
        <v>33</v>
      </c>
      <c r="E609" s="2">
        <v>46121</v>
      </c>
      <c r="F609" t="s">
        <v>34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tr">
        <f>IF(OR(G609=0,G609=""),"",ABS((G609-152.740594)/5.729485))</f>
        <v/>
      </c>
      <c r="T609" t="str">
        <f>IF(OR(H609=0,H609=""),"",ABS((H609-96.426733)/5.037499))</f>
        <v/>
      </c>
      <c r="U609" t="str">
        <f t="shared" si="306"/>
        <v/>
      </c>
      <c r="V609" t="str">
        <f>IF(OR(J609=0,J609=""),"",ABS((J609-69.40099)/2.222902))</f>
        <v/>
      </c>
      <c r="W609" t="str">
        <f t="shared" si="307"/>
        <v/>
      </c>
      <c r="X609" t="str">
        <f>IF(OR(L609=0,L609=""),"",ABS((L609-1.849749)/1.393269))</f>
        <v/>
      </c>
      <c r="Y609" t="str">
        <f t="shared" si="308"/>
        <v/>
      </c>
      <c r="Z609" t="str">
        <f>IF(OR(N609=0,N609=""),"",ABS((N609-69.231188)/2.519549))</f>
        <v/>
      </c>
      <c r="AA609" t="str">
        <f>IF(OR(O609=0,O609=""),"",ABS((O609-113.18)/1.73698))</f>
        <v/>
      </c>
      <c r="AB609" t="str">
        <f>IF(OR(P609=0,P609=""),"",ABS((P609-114.765594)/1.645198))</f>
        <v/>
      </c>
      <c r="AC609" t="str">
        <f>IF(OR(Q609=0,Q609=""),"",ABS((Q609-8.040149)/0.55663))</f>
        <v/>
      </c>
      <c r="AD609" t="str">
        <f>IF(OR(R609=0,R609=""),"",ABS((R609-7.915297)/0.399795))</f>
        <v/>
      </c>
    </row>
    <row r="610" spans="1:30">
      <c r="A610" t="s">
        <v>451</v>
      </c>
      <c r="B610" t="s">
        <v>31</v>
      </c>
      <c r="C610" t="s">
        <v>32</v>
      </c>
      <c r="D610" t="s">
        <v>33</v>
      </c>
      <c r="E610" s="2">
        <v>46121</v>
      </c>
      <c r="F610" t="s">
        <v>34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tr">
        <f>IF(OR(G610=0,G610=""),"",ABS((G610-152.740594)/5.729485))</f>
        <v/>
      </c>
      <c r="T610" t="str">
        <f>IF(OR(H610=0,H610=""),"",ABS((H610-96.426733)/5.037499))</f>
        <v/>
      </c>
      <c r="U610" t="str">
        <f t="shared" si="306"/>
        <v/>
      </c>
      <c r="V610" t="str">
        <f>IF(OR(J610=0,J610=""),"",ABS((J610-69.40099)/2.222902))</f>
        <v/>
      </c>
      <c r="W610" t="str">
        <f t="shared" si="307"/>
        <v/>
      </c>
      <c r="X610" t="str">
        <f>IF(OR(L610=0,L610=""),"",ABS((L610-1.849749)/1.393269))</f>
        <v/>
      </c>
      <c r="Y610" t="str">
        <f t="shared" si="308"/>
        <v/>
      </c>
      <c r="Z610" t="str">
        <f>IF(OR(N610=0,N610=""),"",ABS((N610-69.231188)/2.519549))</f>
        <v/>
      </c>
      <c r="AA610" t="str">
        <f>IF(OR(O610=0,O610=""),"",ABS((O610-113.18)/1.73698))</f>
        <v/>
      </c>
      <c r="AB610" t="str">
        <f>IF(OR(P610=0,P610=""),"",ABS((P610-114.765594)/1.645198))</f>
        <v/>
      </c>
      <c r="AC610" t="str">
        <f>IF(OR(Q610=0,Q610=""),"",ABS((Q610-8.040149)/0.55663))</f>
        <v/>
      </c>
      <c r="AD610" t="str">
        <f>IF(OR(R610=0,R610=""),"",ABS((R610-7.915297)/0.399795))</f>
        <v/>
      </c>
    </row>
    <row r="611" spans="1:30">
      <c r="A611" t="s">
        <v>452</v>
      </c>
      <c r="B611" t="s">
        <v>37</v>
      </c>
      <c r="C611" t="s">
        <v>38</v>
      </c>
      <c r="D611" t="s">
        <v>39</v>
      </c>
      <c r="E611" s="2">
        <v>46121</v>
      </c>
      <c r="F611" t="s">
        <v>40</v>
      </c>
      <c r="G611">
        <v>116</v>
      </c>
      <c r="H611">
        <v>77.900000000000006</v>
      </c>
      <c r="I611">
        <v>-1957.8</v>
      </c>
      <c r="J611">
        <v>69.5</v>
      </c>
      <c r="K611">
        <v>0</v>
      </c>
      <c r="L611">
        <v>0.4</v>
      </c>
      <c r="M611">
        <v>0</v>
      </c>
      <c r="N611">
        <v>69.900000000000006</v>
      </c>
      <c r="O611">
        <v>112.08</v>
      </c>
      <c r="P611">
        <v>116.26</v>
      </c>
      <c r="Q611">
        <v>3.71</v>
      </c>
      <c r="R611">
        <v>3.71</v>
      </c>
      <c r="S611">
        <f>IF(OR(G611=0,G611=""),"",ABS((G611-112.561871)/4.985957))</f>
        <v>0.68956250525225216</v>
      </c>
      <c r="T611">
        <f>IF(OR(H611=0,H611=""),"",ABS((H611-80.720624)/2.821681))</f>
        <v>0.99962540060339755</v>
      </c>
      <c r="U611">
        <f t="shared" si="306"/>
        <v>0</v>
      </c>
      <c r="V611">
        <f>IF(OR(J611=0,J611=""),"",ABS((J611-69.348681)/1.912674))</f>
        <v>7.9113847942723581E-2</v>
      </c>
      <c r="W611" t="str">
        <f t="shared" si="307"/>
        <v/>
      </c>
      <c r="X611">
        <f>IF(OR(L611=0,L611=""),"",ABS((L611-1.455283)/1.400093))</f>
        <v>0.75372350265303822</v>
      </c>
      <c r="Y611" t="str">
        <f t="shared" si="308"/>
        <v/>
      </c>
      <c r="Z611">
        <f>IF(OR(N611=0,N611=""),"",ABS((N611-69.699041)/2.195614))</f>
        <v>9.1527472497447943E-2</v>
      </c>
      <c r="AA611">
        <f>IF(OR(O611=0,O611=""),"",ABS((O611-113.513094)/1.682996))</f>
        <v>0.8515136102521913</v>
      </c>
      <c r="AB611">
        <f>IF(OR(P611=0,P611=""),"",ABS((P611-115.315492)/1.394108))</f>
        <v>0.6774998780582272</v>
      </c>
      <c r="AC611">
        <f>IF(OR(Q611=0,Q611=""),"",ABS((Q611-3.821127)/0.150485))</f>
        <v>0.73845898262285403</v>
      </c>
      <c r="AD611">
        <f>IF(OR(R611=0,R611=""),"",ABS((R611-3.848345)/0.156761))</f>
        <v>0.88252180070298192</v>
      </c>
    </row>
    <row r="612" spans="1:30">
      <c r="A612" t="s">
        <v>453</v>
      </c>
      <c r="B612" t="s">
        <v>31</v>
      </c>
      <c r="C612" t="s">
        <v>32</v>
      </c>
      <c r="D612" t="s">
        <v>33</v>
      </c>
      <c r="E612" s="2">
        <v>46121</v>
      </c>
      <c r="F612" t="s">
        <v>34</v>
      </c>
      <c r="G612">
        <v>140.5</v>
      </c>
      <c r="H612">
        <v>79.8</v>
      </c>
      <c r="I612">
        <v>-1957.8</v>
      </c>
      <c r="J612">
        <v>70</v>
      </c>
      <c r="K612">
        <v>0</v>
      </c>
      <c r="L612">
        <v>1.9</v>
      </c>
      <c r="M612">
        <v>0</v>
      </c>
      <c r="N612">
        <v>71.900000000000006</v>
      </c>
      <c r="O612">
        <v>114.72</v>
      </c>
      <c r="P612">
        <v>114.8</v>
      </c>
      <c r="Q612">
        <v>8.1300000000000008</v>
      </c>
      <c r="R612">
        <v>7.98</v>
      </c>
      <c r="S612">
        <f t="shared" ref="S612:S633" si="327">IF(OR(G612=0,G612=""),"",ABS((G612-152.740594)/5.729485))</f>
        <v>2.1364213362981115</v>
      </c>
      <c r="T612">
        <f t="shared" ref="T612:T633" si="328">IF(OR(H612=0,H612=""),"",ABS((H612-96.426733)/5.037499))</f>
        <v>3.3005928140134619</v>
      </c>
      <c r="U612">
        <f t="shared" si="306"/>
        <v>0</v>
      </c>
      <c r="V612">
        <f t="shared" ref="V612:V633" si="329">IF(OR(J612=0,J612=""),"",ABS((J612-69.40099)/2.222902))</f>
        <v>0.26947206849425076</v>
      </c>
      <c r="W612" t="str">
        <f t="shared" si="307"/>
        <v/>
      </c>
      <c r="X612">
        <f t="shared" ref="X612:X633" si="330">IF(OR(L612=0,L612=""),"",ABS((L612-1.849749)/1.393269))</f>
        <v>3.6066976298187801E-2</v>
      </c>
      <c r="Y612" t="str">
        <f t="shared" si="308"/>
        <v/>
      </c>
      <c r="Z612">
        <f t="shared" ref="Z612:Z633" si="331">IF(OR(N612=0,N612=""),"",ABS((N612-69.231188)/2.519549))</f>
        <v>1.059241951634996</v>
      </c>
      <c r="AA612">
        <f t="shared" ref="AA612:AA633" si="332">IF(OR(O612=0,O612=""),"",ABS((O612-113.18)/1.73698))</f>
        <v>0.88659627629563498</v>
      </c>
      <c r="AB612">
        <f t="shared" ref="AB612:AB633" si="333">IF(OR(P612=0,P612=""),"",ABS((P612-114.765594)/1.645198))</f>
        <v>2.0912984333803078E-2</v>
      </c>
      <c r="AC612">
        <f t="shared" ref="AC612:AC633" si="334">IF(OR(Q612=0,Q612=""),"",ABS((Q612-8.040149)/0.55663))</f>
        <v>0.16141961446562572</v>
      </c>
      <c r="AD612">
        <f t="shared" ref="AD612:AD633" si="335">IF(OR(R612=0,R612=""),"",ABS((R612-7.915297)/0.399795))</f>
        <v>0.16184044322715546</v>
      </c>
    </row>
    <row r="613" spans="1:30">
      <c r="A613" t="s">
        <v>453</v>
      </c>
      <c r="B613" t="s">
        <v>31</v>
      </c>
      <c r="C613" t="s">
        <v>32</v>
      </c>
      <c r="D613" t="s">
        <v>33</v>
      </c>
      <c r="E613" s="2">
        <v>46121</v>
      </c>
      <c r="F613" t="s">
        <v>40</v>
      </c>
      <c r="G613">
        <v>146.4</v>
      </c>
      <c r="H613">
        <v>103.2</v>
      </c>
      <c r="I613">
        <v>-1957.8</v>
      </c>
      <c r="J613">
        <v>70.400000000000006</v>
      </c>
      <c r="K613">
        <v>0</v>
      </c>
      <c r="L613">
        <v>1.2</v>
      </c>
      <c r="M613">
        <v>0</v>
      </c>
      <c r="N613">
        <v>71.599999999999994</v>
      </c>
      <c r="O613">
        <v>111.57</v>
      </c>
      <c r="P613">
        <v>112.74</v>
      </c>
      <c r="Q613">
        <v>8.11</v>
      </c>
      <c r="R613">
        <v>8.08</v>
      </c>
      <c r="S613">
        <f t="shared" si="327"/>
        <v>1.1066603717437049</v>
      </c>
      <c r="T613">
        <f t="shared" si="328"/>
        <v>1.3445693984256877</v>
      </c>
      <c r="U613">
        <f t="shared" si="306"/>
        <v>0</v>
      </c>
      <c r="V613">
        <f t="shared" si="329"/>
        <v>0.44941702333256828</v>
      </c>
      <c r="W613" t="str">
        <f t="shared" si="307"/>
        <v/>
      </c>
      <c r="X613">
        <f t="shared" si="330"/>
        <v>0.46634856585483497</v>
      </c>
      <c r="Y613" t="str">
        <f t="shared" si="308"/>
        <v/>
      </c>
      <c r="Z613">
        <f t="shared" si="331"/>
        <v>0.94017302302911798</v>
      </c>
      <c r="AA613">
        <f t="shared" si="332"/>
        <v>0.92689610703635827</v>
      </c>
      <c r="AB613">
        <f t="shared" si="333"/>
        <v>1.2312159387502284</v>
      </c>
      <c r="AC613">
        <f t="shared" si="334"/>
        <v>0.12548910407272315</v>
      </c>
      <c r="AD613">
        <f t="shared" si="335"/>
        <v>0.41196863392488714</v>
      </c>
    </row>
    <row r="614" spans="1:30">
      <c r="A614" t="s">
        <v>454</v>
      </c>
      <c r="B614" t="s">
        <v>31</v>
      </c>
      <c r="C614" t="s">
        <v>32</v>
      </c>
      <c r="D614" t="s">
        <v>33</v>
      </c>
      <c r="E614" s="2">
        <v>46121</v>
      </c>
      <c r="F614" t="s">
        <v>34</v>
      </c>
      <c r="G614">
        <v>159.69999999999999</v>
      </c>
      <c r="H614">
        <v>105.5</v>
      </c>
      <c r="I614">
        <v>-1957.8</v>
      </c>
      <c r="J614">
        <v>71.3</v>
      </c>
      <c r="K614">
        <v>0</v>
      </c>
      <c r="L614">
        <v>1.6</v>
      </c>
      <c r="M614">
        <v>0</v>
      </c>
      <c r="N614">
        <v>72.900000000000006</v>
      </c>
      <c r="O614">
        <v>114.8</v>
      </c>
      <c r="P614">
        <v>114.94</v>
      </c>
      <c r="Q614">
        <v>8.5</v>
      </c>
      <c r="R614">
        <v>8.33</v>
      </c>
      <c r="S614">
        <f t="shared" si="327"/>
        <v>1.2146651924213085</v>
      </c>
      <c r="T614">
        <f t="shared" si="328"/>
        <v>1.8011451714432103</v>
      </c>
      <c r="U614">
        <f t="shared" si="306"/>
        <v>0</v>
      </c>
      <c r="V614">
        <f t="shared" si="329"/>
        <v>0.85429317171877306</v>
      </c>
      <c r="W614" t="str">
        <f t="shared" si="307"/>
        <v/>
      </c>
      <c r="X614">
        <f t="shared" si="330"/>
        <v>0.17925397033882184</v>
      </c>
      <c r="Y614" t="str">
        <f t="shared" si="308"/>
        <v/>
      </c>
      <c r="Z614">
        <f t="shared" si="331"/>
        <v>1.4561383803212411</v>
      </c>
      <c r="AA614">
        <f t="shared" si="332"/>
        <v>0.93265322571358933</v>
      </c>
      <c r="AB614">
        <f t="shared" si="333"/>
        <v>0.10600912473757246</v>
      </c>
      <c r="AC614">
        <f t="shared" si="334"/>
        <v>0.82613405673427676</v>
      </c>
      <c r="AD614">
        <f t="shared" si="335"/>
        <v>1.0372891106692186</v>
      </c>
    </row>
    <row r="615" spans="1:30">
      <c r="A615" t="s">
        <v>454</v>
      </c>
      <c r="B615" t="s">
        <v>31</v>
      </c>
      <c r="C615" t="s">
        <v>32</v>
      </c>
      <c r="D615" t="s">
        <v>33</v>
      </c>
      <c r="E615" s="2">
        <v>46121</v>
      </c>
      <c r="F615" t="s">
        <v>40</v>
      </c>
      <c r="G615">
        <v>152.19999999999999</v>
      </c>
      <c r="H615">
        <v>102.3</v>
      </c>
      <c r="I615">
        <v>-1957.8</v>
      </c>
      <c r="J615">
        <v>71.3</v>
      </c>
      <c r="K615">
        <v>0</v>
      </c>
      <c r="L615">
        <v>0.5</v>
      </c>
      <c r="M615">
        <v>0</v>
      </c>
      <c r="N615">
        <v>71.8</v>
      </c>
      <c r="O615">
        <v>115.02</v>
      </c>
      <c r="P615">
        <v>115.02</v>
      </c>
      <c r="Q615">
        <v>8.08</v>
      </c>
      <c r="R615">
        <v>8.18</v>
      </c>
      <c r="S615">
        <f t="shared" si="327"/>
        <v>9.4352982859715773E-2</v>
      </c>
      <c r="T615">
        <f t="shared" si="328"/>
        <v>1.1659093133318732</v>
      </c>
      <c r="U615">
        <f t="shared" si="306"/>
        <v>0</v>
      </c>
      <c r="V615">
        <f t="shared" si="329"/>
        <v>0.85429317171877306</v>
      </c>
      <c r="W615" t="str">
        <f t="shared" si="307"/>
        <v/>
      </c>
      <c r="X615">
        <f t="shared" si="330"/>
        <v>0.96876410800785773</v>
      </c>
      <c r="Y615" t="str">
        <f t="shared" si="308"/>
        <v/>
      </c>
      <c r="Z615">
        <f t="shared" si="331"/>
        <v>1.019552308766368</v>
      </c>
      <c r="AA615">
        <f t="shared" si="332"/>
        <v>1.0593098366129658</v>
      </c>
      <c r="AB615">
        <f t="shared" si="333"/>
        <v>0.15463549068258228</v>
      </c>
      <c r="AC615">
        <f t="shared" si="334"/>
        <v>7.1593338483374111E-2</v>
      </c>
      <c r="AD615">
        <f t="shared" si="335"/>
        <v>0.66209682462261887</v>
      </c>
    </row>
    <row r="616" spans="1:30">
      <c r="A616" t="s">
        <v>455</v>
      </c>
      <c r="B616" t="s">
        <v>31</v>
      </c>
      <c r="C616" t="s">
        <v>32</v>
      </c>
      <c r="D616" t="s">
        <v>33</v>
      </c>
      <c r="E616" s="2">
        <v>46121</v>
      </c>
      <c r="F616" t="s">
        <v>40</v>
      </c>
      <c r="G616">
        <v>162.4</v>
      </c>
      <c r="H616">
        <v>98.7</v>
      </c>
      <c r="I616">
        <v>-1957.8</v>
      </c>
      <c r="J616">
        <v>69.5</v>
      </c>
      <c r="K616">
        <v>0</v>
      </c>
      <c r="L616">
        <v>0.2</v>
      </c>
      <c r="M616">
        <v>0</v>
      </c>
      <c r="N616">
        <v>69.7</v>
      </c>
      <c r="O616">
        <v>114.65</v>
      </c>
      <c r="P616">
        <v>114.65</v>
      </c>
      <c r="Q616">
        <v>8.15</v>
      </c>
      <c r="R616">
        <v>8.08</v>
      </c>
      <c r="S616">
        <f t="shared" si="327"/>
        <v>1.6859117355224802</v>
      </c>
      <c r="T616">
        <f t="shared" si="328"/>
        <v>0.45126897295662072</v>
      </c>
      <c r="U616">
        <f t="shared" si="306"/>
        <v>0</v>
      </c>
      <c r="V616">
        <f t="shared" si="329"/>
        <v>4.4540874946357029E-2</v>
      </c>
      <c r="W616" t="str">
        <f t="shared" si="307"/>
        <v/>
      </c>
      <c r="X616">
        <f t="shared" si="330"/>
        <v>1.1840850546448676</v>
      </c>
      <c r="Y616" t="str">
        <f t="shared" si="308"/>
        <v/>
      </c>
      <c r="Z616">
        <f t="shared" si="331"/>
        <v>0.18606980852525581</v>
      </c>
      <c r="AA616">
        <f t="shared" si="332"/>
        <v>0.846296445554928</v>
      </c>
      <c r="AB616">
        <f t="shared" si="333"/>
        <v>7.0261451813087128E-2</v>
      </c>
      <c r="AC616">
        <f t="shared" si="334"/>
        <v>0.19735012485852507</v>
      </c>
      <c r="AD616">
        <f t="shared" si="335"/>
        <v>0.41196863392488714</v>
      </c>
    </row>
    <row r="617" spans="1:30">
      <c r="A617" t="s">
        <v>456</v>
      </c>
      <c r="B617" t="s">
        <v>31</v>
      </c>
      <c r="C617" t="s">
        <v>32</v>
      </c>
      <c r="D617" t="s">
        <v>33</v>
      </c>
      <c r="E617" s="2">
        <v>46121</v>
      </c>
      <c r="F617" t="s">
        <v>40</v>
      </c>
      <c r="G617">
        <v>158</v>
      </c>
      <c r="H617">
        <v>101</v>
      </c>
      <c r="I617">
        <v>-1957.8</v>
      </c>
      <c r="J617">
        <v>70.400000000000006</v>
      </c>
      <c r="K617">
        <v>0</v>
      </c>
      <c r="L617">
        <v>1.9</v>
      </c>
      <c r="M617">
        <v>0</v>
      </c>
      <c r="N617">
        <v>72.3</v>
      </c>
      <c r="O617">
        <v>110.98</v>
      </c>
      <c r="P617">
        <v>117.73</v>
      </c>
      <c r="Q617">
        <v>8.64</v>
      </c>
      <c r="R617">
        <v>7.93</v>
      </c>
      <c r="S617">
        <f t="shared" si="327"/>
        <v>0.91795440602427836</v>
      </c>
      <c r="T617">
        <f t="shared" si="328"/>
        <v>0.90784474597414333</v>
      </c>
      <c r="U617">
        <f t="shared" si="306"/>
        <v>0</v>
      </c>
      <c r="V617">
        <f t="shared" si="329"/>
        <v>0.44941702333256828</v>
      </c>
      <c r="W617" t="str">
        <f t="shared" si="307"/>
        <v/>
      </c>
      <c r="X617">
        <f t="shared" si="330"/>
        <v>3.6066976298187801E-2</v>
      </c>
      <c r="Y617" t="str">
        <f t="shared" si="308"/>
        <v/>
      </c>
      <c r="Z617">
        <f t="shared" si="331"/>
        <v>1.2180005231094906</v>
      </c>
      <c r="AA617">
        <f t="shared" si="332"/>
        <v>1.2665661089937725</v>
      </c>
      <c r="AB617">
        <f t="shared" si="333"/>
        <v>1.8018536370698306</v>
      </c>
      <c r="AC617">
        <f t="shared" si="334"/>
        <v>1.0776476294845787</v>
      </c>
      <c r="AD617">
        <f t="shared" si="335"/>
        <v>3.6776347878287395E-2</v>
      </c>
    </row>
    <row r="618" spans="1:30">
      <c r="A618" t="s">
        <v>457</v>
      </c>
      <c r="B618" t="s">
        <v>31</v>
      </c>
      <c r="C618" t="s">
        <v>32</v>
      </c>
      <c r="D618" t="s">
        <v>33</v>
      </c>
      <c r="E618" s="2">
        <v>46121</v>
      </c>
      <c r="F618" t="s">
        <v>40</v>
      </c>
      <c r="G618">
        <v>158.9</v>
      </c>
      <c r="H618">
        <v>100.1</v>
      </c>
      <c r="I618">
        <v>-1957.8</v>
      </c>
      <c r="J618">
        <v>70.400000000000006</v>
      </c>
      <c r="K618">
        <v>0</v>
      </c>
      <c r="L618">
        <v>1.6</v>
      </c>
      <c r="M618">
        <v>0</v>
      </c>
      <c r="N618">
        <v>72</v>
      </c>
      <c r="O618">
        <v>110.84</v>
      </c>
      <c r="P618">
        <v>117.51</v>
      </c>
      <c r="Q618">
        <v>8.4</v>
      </c>
      <c r="R618">
        <v>7.69</v>
      </c>
      <c r="S618">
        <f t="shared" si="327"/>
        <v>1.0750365870580023</v>
      </c>
      <c r="T618">
        <f t="shared" si="328"/>
        <v>0.72918466088032874</v>
      </c>
      <c r="U618">
        <f t="shared" si="306"/>
        <v>0</v>
      </c>
      <c r="V618">
        <f t="shared" si="329"/>
        <v>0.44941702333256828</v>
      </c>
      <c r="W618" t="str">
        <f t="shared" si="307"/>
        <v/>
      </c>
      <c r="X618">
        <f t="shared" si="330"/>
        <v>0.17925397033882184</v>
      </c>
      <c r="Y618" t="str">
        <f t="shared" si="308"/>
        <v/>
      </c>
      <c r="Z618">
        <f t="shared" si="331"/>
        <v>1.0989315945036182</v>
      </c>
      <c r="AA618">
        <f t="shared" si="332"/>
        <v>1.3471657704751945</v>
      </c>
      <c r="AB618">
        <f t="shared" si="333"/>
        <v>1.6681311307210513</v>
      </c>
      <c r="AC618">
        <f t="shared" si="334"/>
        <v>0.64648150476977673</v>
      </c>
      <c r="AD618">
        <f t="shared" si="335"/>
        <v>0.56353130979626909</v>
      </c>
    </row>
    <row r="619" spans="1:30">
      <c r="A619" t="s">
        <v>458</v>
      </c>
      <c r="B619" t="s">
        <v>31</v>
      </c>
      <c r="C619" t="s">
        <v>32</v>
      </c>
      <c r="D619" t="s">
        <v>33</v>
      </c>
      <c r="E619" s="2">
        <v>46121</v>
      </c>
      <c r="F619" t="s">
        <v>40</v>
      </c>
      <c r="G619">
        <v>159.69999999999999</v>
      </c>
      <c r="H619">
        <v>101</v>
      </c>
      <c r="I619">
        <v>-1957.8</v>
      </c>
      <c r="J619">
        <v>71.3</v>
      </c>
      <c r="K619">
        <v>0</v>
      </c>
      <c r="L619">
        <v>2.2000000000000002</v>
      </c>
      <c r="M619">
        <v>0</v>
      </c>
      <c r="N619">
        <v>73.5</v>
      </c>
      <c r="O619">
        <v>116.12</v>
      </c>
      <c r="P619">
        <v>117.73</v>
      </c>
      <c r="Q619">
        <v>8.1999999999999993</v>
      </c>
      <c r="R619">
        <v>7.91</v>
      </c>
      <c r="S619">
        <f t="shared" si="327"/>
        <v>1.2146651924213085</v>
      </c>
      <c r="T619">
        <f t="shared" si="328"/>
        <v>0.90784474597414333</v>
      </c>
      <c r="U619">
        <f t="shared" si="306"/>
        <v>0</v>
      </c>
      <c r="V619">
        <f t="shared" si="329"/>
        <v>0.85429317171877306</v>
      </c>
      <c r="W619" t="str">
        <f t="shared" si="307"/>
        <v/>
      </c>
      <c r="X619">
        <f t="shared" si="330"/>
        <v>0.25138792293519779</v>
      </c>
      <c r="Y619" t="str">
        <f t="shared" si="308"/>
        <v/>
      </c>
      <c r="Z619">
        <f t="shared" si="331"/>
        <v>1.6942762375329858</v>
      </c>
      <c r="AA619">
        <f t="shared" si="332"/>
        <v>1.692592891109856</v>
      </c>
      <c r="AB619">
        <f t="shared" si="333"/>
        <v>1.8018536370698306</v>
      </c>
      <c r="AC619">
        <f t="shared" si="334"/>
        <v>0.2871764008407735</v>
      </c>
      <c r="AD619">
        <f t="shared" si="335"/>
        <v>1.3249290261258052E-2</v>
      </c>
    </row>
    <row r="620" spans="1:30">
      <c r="A620" t="s">
        <v>459</v>
      </c>
      <c r="B620" t="s">
        <v>31</v>
      </c>
      <c r="C620" t="s">
        <v>32</v>
      </c>
      <c r="D620" t="s">
        <v>33</v>
      </c>
      <c r="E620" s="2">
        <v>46121</v>
      </c>
      <c r="F620" t="s">
        <v>40</v>
      </c>
      <c r="G620">
        <v>161.5</v>
      </c>
      <c r="H620">
        <v>100.1</v>
      </c>
      <c r="I620">
        <v>-1957.8</v>
      </c>
      <c r="J620">
        <v>70.400000000000006</v>
      </c>
      <c r="K620">
        <v>0</v>
      </c>
      <c r="L620">
        <v>2.2000000000000002</v>
      </c>
      <c r="M620">
        <v>0</v>
      </c>
      <c r="N620">
        <v>72.599999999999994</v>
      </c>
      <c r="O620">
        <v>111.5</v>
      </c>
      <c r="P620">
        <v>113.18</v>
      </c>
      <c r="Q620">
        <v>8.33</v>
      </c>
      <c r="R620">
        <v>8.06</v>
      </c>
      <c r="S620">
        <f t="shared" si="327"/>
        <v>1.5288295544887562</v>
      </c>
      <c r="T620">
        <f t="shared" si="328"/>
        <v>0.72918466088032874</v>
      </c>
      <c r="U620">
        <f t="shared" si="306"/>
        <v>0</v>
      </c>
      <c r="V620">
        <f t="shared" si="329"/>
        <v>0.44941702333256828</v>
      </c>
      <c r="W620" t="str">
        <f t="shared" si="307"/>
        <v/>
      </c>
      <c r="X620">
        <f t="shared" si="330"/>
        <v>0.25138792293519779</v>
      </c>
      <c r="Y620" t="str">
        <f t="shared" si="308"/>
        <v/>
      </c>
      <c r="Z620">
        <f t="shared" si="331"/>
        <v>1.337069451715363</v>
      </c>
      <c r="AA620">
        <f t="shared" si="332"/>
        <v>0.96719593777706525</v>
      </c>
      <c r="AB620">
        <f t="shared" si="333"/>
        <v>0.96377092605266124</v>
      </c>
      <c r="AC620">
        <f t="shared" si="334"/>
        <v>0.52072471839462575</v>
      </c>
      <c r="AD620">
        <f t="shared" si="335"/>
        <v>0.36194299578534173</v>
      </c>
    </row>
    <row r="621" spans="1:30">
      <c r="A621" t="s">
        <v>460</v>
      </c>
      <c r="B621" t="s">
        <v>31</v>
      </c>
      <c r="C621" t="s">
        <v>32</v>
      </c>
      <c r="D621" t="s">
        <v>33</v>
      </c>
      <c r="E621" s="2">
        <v>46121</v>
      </c>
      <c r="F621" t="s">
        <v>40</v>
      </c>
      <c r="G621">
        <v>154.80000000000001</v>
      </c>
      <c r="H621">
        <v>102.8</v>
      </c>
      <c r="I621">
        <v>-1957.8</v>
      </c>
      <c r="J621">
        <v>70.8</v>
      </c>
      <c r="K621">
        <v>0</v>
      </c>
      <c r="L621">
        <v>1.7</v>
      </c>
      <c r="M621">
        <v>0</v>
      </c>
      <c r="N621">
        <v>72.5</v>
      </c>
      <c r="O621">
        <v>114.28</v>
      </c>
      <c r="P621">
        <v>117.66</v>
      </c>
      <c r="Q621">
        <v>8.4700000000000006</v>
      </c>
      <c r="R621">
        <v>8.06</v>
      </c>
      <c r="S621">
        <f t="shared" si="327"/>
        <v>0.35943998457104326</v>
      </c>
      <c r="T621">
        <f t="shared" si="328"/>
        <v>1.2651649161617695</v>
      </c>
      <c r="U621">
        <f t="shared" si="306"/>
        <v>0</v>
      </c>
      <c r="V621">
        <f t="shared" si="329"/>
        <v>0.62936197817087935</v>
      </c>
      <c r="W621" t="str">
        <f t="shared" si="307"/>
        <v/>
      </c>
      <c r="X621">
        <f t="shared" si="330"/>
        <v>0.10748032145981869</v>
      </c>
      <c r="Y621" t="str">
        <f t="shared" si="308"/>
        <v/>
      </c>
      <c r="Z621">
        <f t="shared" si="331"/>
        <v>1.2973798088467408</v>
      </c>
      <c r="AA621">
        <f t="shared" si="332"/>
        <v>0.63328305449688216</v>
      </c>
      <c r="AB621">
        <f t="shared" si="333"/>
        <v>1.7593055668679416</v>
      </c>
      <c r="AC621">
        <f t="shared" si="334"/>
        <v>0.7722382911449277</v>
      </c>
      <c r="AD621">
        <f t="shared" si="335"/>
        <v>0.36194299578534173</v>
      </c>
    </row>
    <row r="622" spans="1:30">
      <c r="A622" t="s">
        <v>461</v>
      </c>
      <c r="B622" t="s">
        <v>31</v>
      </c>
      <c r="C622" t="s">
        <v>32</v>
      </c>
      <c r="D622" t="s">
        <v>33</v>
      </c>
      <c r="E622" s="2">
        <v>46121</v>
      </c>
      <c r="F622" t="s">
        <v>40</v>
      </c>
      <c r="G622">
        <v>146.4</v>
      </c>
      <c r="H622">
        <v>96.9</v>
      </c>
      <c r="I622">
        <v>-1957.8</v>
      </c>
      <c r="J622">
        <v>70.400000000000006</v>
      </c>
      <c r="K622">
        <v>0</v>
      </c>
      <c r="L622">
        <v>0</v>
      </c>
      <c r="M622">
        <v>0</v>
      </c>
      <c r="N622">
        <v>70.400000000000006</v>
      </c>
      <c r="O622">
        <v>111.5</v>
      </c>
      <c r="P622">
        <v>117.88</v>
      </c>
      <c r="Q622">
        <v>8.35</v>
      </c>
      <c r="R622">
        <v>7.84</v>
      </c>
      <c r="S622">
        <f t="shared" si="327"/>
        <v>1.1066603717437049</v>
      </c>
      <c r="T622">
        <f t="shared" si="328"/>
        <v>9.3948802768994491E-2</v>
      </c>
      <c r="U622">
        <f t="shared" si="306"/>
        <v>0</v>
      </c>
      <c r="V622">
        <f t="shared" si="329"/>
        <v>0.44941702333256828</v>
      </c>
      <c r="W622" t="str">
        <f t="shared" si="307"/>
        <v/>
      </c>
      <c r="X622" t="str">
        <f t="shared" si="330"/>
        <v/>
      </c>
      <c r="Y622" t="str">
        <f t="shared" si="308"/>
        <v/>
      </c>
      <c r="Z622">
        <f t="shared" si="331"/>
        <v>0.46389730860562844</v>
      </c>
      <c r="AA622">
        <f t="shared" si="332"/>
        <v>0.96719593777706525</v>
      </c>
      <c r="AB622">
        <f t="shared" si="333"/>
        <v>1.8930280732167208</v>
      </c>
      <c r="AC622">
        <f t="shared" si="334"/>
        <v>0.55665522878752516</v>
      </c>
      <c r="AD622">
        <f t="shared" si="335"/>
        <v>0.18833902374967157</v>
      </c>
    </row>
    <row r="623" spans="1:30">
      <c r="A623" t="s">
        <v>462</v>
      </c>
      <c r="B623" t="s">
        <v>31</v>
      </c>
      <c r="C623" t="s">
        <v>32</v>
      </c>
      <c r="D623" t="s">
        <v>33</v>
      </c>
      <c r="E623" s="2">
        <v>46121</v>
      </c>
      <c r="F623" t="s">
        <v>40</v>
      </c>
      <c r="G623">
        <v>159.30000000000001</v>
      </c>
      <c r="H623">
        <v>91.9</v>
      </c>
      <c r="I623">
        <v>-1957.8</v>
      </c>
      <c r="J623">
        <v>70.8</v>
      </c>
      <c r="K623">
        <v>0</v>
      </c>
      <c r="L623">
        <v>1.7</v>
      </c>
      <c r="M623">
        <v>0</v>
      </c>
      <c r="N623">
        <v>72.5</v>
      </c>
      <c r="O623">
        <v>111.42</v>
      </c>
      <c r="P623">
        <v>117.73</v>
      </c>
      <c r="Q623">
        <v>8.52</v>
      </c>
      <c r="R623">
        <v>7.79</v>
      </c>
      <c r="S623">
        <f t="shared" si="327"/>
        <v>1.1448508897396579</v>
      </c>
      <c r="T623">
        <f t="shared" si="328"/>
        <v>0.89860722552996886</v>
      </c>
      <c r="U623">
        <f t="shared" si="306"/>
        <v>0</v>
      </c>
      <c r="V623">
        <f t="shared" si="329"/>
        <v>0.62936197817087935</v>
      </c>
      <c r="W623" t="str">
        <f t="shared" si="307"/>
        <v/>
      </c>
      <c r="X623">
        <f t="shared" si="330"/>
        <v>0.10748032145981869</v>
      </c>
      <c r="Y623" t="str">
        <f t="shared" si="308"/>
        <v/>
      </c>
      <c r="Z623">
        <f t="shared" si="331"/>
        <v>1.2973798088467408</v>
      </c>
      <c r="AA623">
        <f t="shared" si="332"/>
        <v>1.0132528871950195</v>
      </c>
      <c r="AB623">
        <f t="shared" si="333"/>
        <v>1.8018536370698306</v>
      </c>
      <c r="AC623">
        <f t="shared" si="334"/>
        <v>0.86206456712717616</v>
      </c>
      <c r="AD623">
        <f t="shared" si="335"/>
        <v>0.31340311909853741</v>
      </c>
    </row>
    <row r="624" spans="1:30">
      <c r="A624" t="s">
        <v>463</v>
      </c>
      <c r="B624" t="s">
        <v>31</v>
      </c>
      <c r="C624" t="s">
        <v>32</v>
      </c>
      <c r="D624" t="s">
        <v>33</v>
      </c>
      <c r="E624" s="2">
        <v>46121</v>
      </c>
      <c r="F624" t="s">
        <v>40</v>
      </c>
      <c r="G624">
        <v>151.69999999999999</v>
      </c>
      <c r="H624">
        <v>100.5</v>
      </c>
      <c r="I624">
        <v>-1957.8</v>
      </c>
      <c r="J624">
        <v>71.7</v>
      </c>
      <c r="K624">
        <v>0</v>
      </c>
      <c r="L624">
        <v>3</v>
      </c>
      <c r="M624">
        <v>0</v>
      </c>
      <c r="N624">
        <v>74.7</v>
      </c>
      <c r="O624">
        <v>111.06</v>
      </c>
      <c r="P624">
        <v>112.82</v>
      </c>
      <c r="Q624">
        <v>8.81</v>
      </c>
      <c r="R624">
        <v>8.57</v>
      </c>
      <c r="S624">
        <f t="shared" si="327"/>
        <v>0.18162086121178406</v>
      </c>
      <c r="T624">
        <f t="shared" si="328"/>
        <v>0.80858914314424701</v>
      </c>
      <c r="U624">
        <f t="shared" si="306"/>
        <v>0</v>
      </c>
      <c r="V624">
        <f t="shared" si="329"/>
        <v>1.0342381265570906</v>
      </c>
      <c r="W624" t="str">
        <f t="shared" si="307"/>
        <v/>
      </c>
      <c r="X624">
        <f t="shared" si="330"/>
        <v>0.82557711396722377</v>
      </c>
      <c r="Y624" t="str">
        <f t="shared" si="308"/>
        <v/>
      </c>
      <c r="Z624">
        <f t="shared" si="331"/>
        <v>2.1705519519564809</v>
      </c>
      <c r="AA624">
        <f t="shared" si="332"/>
        <v>1.2205091595758182</v>
      </c>
      <c r="AB624">
        <f t="shared" si="333"/>
        <v>1.1825895728052185</v>
      </c>
      <c r="AC624">
        <f t="shared" si="334"/>
        <v>1.3830569678242297</v>
      </c>
      <c r="AD624">
        <f t="shared" si="335"/>
        <v>1.6375967683437773</v>
      </c>
    </row>
    <row r="625" spans="1:30">
      <c r="A625" t="s">
        <v>464</v>
      </c>
      <c r="B625" t="s">
        <v>31</v>
      </c>
      <c r="C625" t="s">
        <v>32</v>
      </c>
      <c r="D625" t="s">
        <v>33</v>
      </c>
      <c r="E625" s="2">
        <v>46121</v>
      </c>
      <c r="F625" t="s">
        <v>34</v>
      </c>
      <c r="G625">
        <v>155.30000000000001</v>
      </c>
      <c r="H625">
        <v>89.7</v>
      </c>
      <c r="I625">
        <v>-1957.8</v>
      </c>
      <c r="J625">
        <v>72.599999999999994</v>
      </c>
      <c r="K625">
        <v>0</v>
      </c>
      <c r="L625">
        <v>2.5</v>
      </c>
      <c r="M625">
        <v>0</v>
      </c>
      <c r="N625">
        <v>75.099999999999994</v>
      </c>
      <c r="O625">
        <v>110.98</v>
      </c>
      <c r="P625">
        <v>117.73</v>
      </c>
      <c r="Q625">
        <v>8.94</v>
      </c>
      <c r="R625">
        <v>8.15</v>
      </c>
      <c r="S625">
        <f t="shared" si="327"/>
        <v>0.44670786292311154</v>
      </c>
      <c r="T625">
        <f t="shared" si="328"/>
        <v>1.3353318779815133</v>
      </c>
      <c r="U625">
        <f t="shared" si="306"/>
        <v>0</v>
      </c>
      <c r="V625">
        <f t="shared" si="329"/>
        <v>1.4391142749432955</v>
      </c>
      <c r="W625" t="str">
        <f t="shared" si="307"/>
        <v/>
      </c>
      <c r="X625">
        <f t="shared" si="330"/>
        <v>0.46670886957220742</v>
      </c>
      <c r="Y625" t="str">
        <f t="shared" si="308"/>
        <v/>
      </c>
      <c r="Z625">
        <f t="shared" si="331"/>
        <v>2.3293105234309754</v>
      </c>
      <c r="AA625">
        <f t="shared" si="332"/>
        <v>1.2665661089937725</v>
      </c>
      <c r="AB625">
        <f t="shared" si="333"/>
        <v>1.8018536370698306</v>
      </c>
      <c r="AC625">
        <f t="shared" si="334"/>
        <v>1.6166052853780788</v>
      </c>
      <c r="AD625">
        <f t="shared" si="335"/>
        <v>0.58705836741330064</v>
      </c>
    </row>
    <row r="626" spans="1:30">
      <c r="A626" t="s">
        <v>464</v>
      </c>
      <c r="B626" t="s">
        <v>31</v>
      </c>
      <c r="C626" t="s">
        <v>32</v>
      </c>
      <c r="D626" t="s">
        <v>33</v>
      </c>
      <c r="E626" s="2">
        <v>46121</v>
      </c>
      <c r="F626" t="s">
        <v>34</v>
      </c>
      <c r="G626">
        <v>166</v>
      </c>
      <c r="H626">
        <v>95.1</v>
      </c>
      <c r="I626">
        <v>-1957.8</v>
      </c>
      <c r="J626">
        <v>72.599999999999994</v>
      </c>
      <c r="K626">
        <v>0</v>
      </c>
      <c r="L626">
        <v>2.6</v>
      </c>
      <c r="M626">
        <v>0</v>
      </c>
      <c r="N626">
        <v>75.2</v>
      </c>
      <c r="O626">
        <v>111.28</v>
      </c>
      <c r="P626">
        <v>117.58</v>
      </c>
      <c r="Q626">
        <v>8.59</v>
      </c>
      <c r="R626">
        <v>8.2799999999999994</v>
      </c>
      <c r="S626">
        <f t="shared" si="327"/>
        <v>2.3142404596573711</v>
      </c>
      <c r="T626">
        <f t="shared" si="328"/>
        <v>0.26337136741863459</v>
      </c>
      <c r="U626">
        <f t="shared" si="306"/>
        <v>0</v>
      </c>
      <c r="V626">
        <f t="shared" si="329"/>
        <v>1.4391142749432955</v>
      </c>
      <c r="W626" t="str">
        <f t="shared" si="307"/>
        <v/>
      </c>
      <c r="X626">
        <f t="shared" si="330"/>
        <v>0.53848251845121076</v>
      </c>
      <c r="Y626" t="str">
        <f t="shared" si="308"/>
        <v/>
      </c>
      <c r="Z626">
        <f t="shared" si="331"/>
        <v>2.3690001662996036</v>
      </c>
      <c r="AA626">
        <f t="shared" si="332"/>
        <v>1.0938525486764417</v>
      </c>
      <c r="AB626">
        <f t="shared" si="333"/>
        <v>1.7106792009229317</v>
      </c>
      <c r="AC626">
        <f t="shared" si="334"/>
        <v>0.98782135350232714</v>
      </c>
      <c r="AD626">
        <f t="shared" si="335"/>
        <v>0.9122250153203505</v>
      </c>
    </row>
    <row r="627" spans="1:30">
      <c r="A627" t="s">
        <v>464</v>
      </c>
      <c r="B627" t="s">
        <v>31</v>
      </c>
      <c r="C627" t="s">
        <v>32</v>
      </c>
      <c r="D627" t="s">
        <v>33</v>
      </c>
      <c r="E627" s="2">
        <v>46121</v>
      </c>
      <c r="F627" t="s">
        <v>34</v>
      </c>
      <c r="G627">
        <v>158.4</v>
      </c>
      <c r="H627">
        <v>94.6</v>
      </c>
      <c r="I627">
        <v>-1957.8</v>
      </c>
      <c r="J627">
        <v>73.5</v>
      </c>
      <c r="K627">
        <v>0</v>
      </c>
      <c r="L627">
        <v>2.6</v>
      </c>
      <c r="M627">
        <v>0</v>
      </c>
      <c r="N627">
        <v>76.099999999999994</v>
      </c>
      <c r="O627">
        <v>115.24</v>
      </c>
      <c r="P627">
        <v>115.16</v>
      </c>
      <c r="Q627">
        <v>8.3000000000000007</v>
      </c>
      <c r="R627">
        <v>8.4700000000000006</v>
      </c>
      <c r="S627">
        <f t="shared" si="327"/>
        <v>0.98776870870593392</v>
      </c>
      <c r="T627">
        <f t="shared" si="328"/>
        <v>0.36262697024853091</v>
      </c>
      <c r="U627">
        <f t="shared" si="306"/>
        <v>0</v>
      </c>
      <c r="V627">
        <f t="shared" si="329"/>
        <v>1.8439904233295066</v>
      </c>
      <c r="W627" t="str">
        <f t="shared" si="307"/>
        <v/>
      </c>
      <c r="X627">
        <f t="shared" si="330"/>
        <v>0.53848251845121076</v>
      </c>
      <c r="Y627" t="str">
        <f t="shared" si="308"/>
        <v/>
      </c>
      <c r="Z627">
        <f t="shared" si="331"/>
        <v>2.7262069521172205</v>
      </c>
      <c r="AA627">
        <f t="shared" si="332"/>
        <v>1.1859664475123421</v>
      </c>
      <c r="AB627">
        <f t="shared" si="333"/>
        <v>0.23973163108635168</v>
      </c>
      <c r="AC627">
        <f t="shared" si="334"/>
        <v>0.46682895280527675</v>
      </c>
      <c r="AD627">
        <f t="shared" si="335"/>
        <v>1.3874685776460456</v>
      </c>
    </row>
    <row r="628" spans="1:30">
      <c r="A628" t="s">
        <v>464</v>
      </c>
      <c r="B628" t="s">
        <v>31</v>
      </c>
      <c r="C628" t="s">
        <v>32</v>
      </c>
      <c r="D628" t="s">
        <v>33</v>
      </c>
      <c r="E628" s="2">
        <v>46121</v>
      </c>
      <c r="F628" t="s">
        <v>40</v>
      </c>
      <c r="G628">
        <v>163.80000000000001</v>
      </c>
      <c r="H628">
        <v>91.5</v>
      </c>
      <c r="I628">
        <v>-1957.8</v>
      </c>
      <c r="J628">
        <v>74</v>
      </c>
      <c r="K628">
        <v>0</v>
      </c>
      <c r="L628">
        <v>1.3</v>
      </c>
      <c r="M628">
        <v>0</v>
      </c>
      <c r="N628">
        <v>72.7</v>
      </c>
      <c r="O628">
        <v>111.79</v>
      </c>
      <c r="P628">
        <v>113.11</v>
      </c>
      <c r="Q628">
        <v>8.1300000000000008</v>
      </c>
      <c r="R628">
        <v>8.33</v>
      </c>
      <c r="S628">
        <f t="shared" si="327"/>
        <v>1.9302617949082725</v>
      </c>
      <c r="T628">
        <f t="shared" si="328"/>
        <v>0.97801170779388702</v>
      </c>
      <c r="U628">
        <f t="shared" si="306"/>
        <v>0</v>
      </c>
      <c r="V628">
        <f t="shared" si="329"/>
        <v>2.0689216168774003</v>
      </c>
      <c r="W628" t="str">
        <f t="shared" si="307"/>
        <v/>
      </c>
      <c r="X628">
        <f t="shared" si="330"/>
        <v>0.39457491697583169</v>
      </c>
      <c r="Y628" t="str">
        <f t="shared" si="308"/>
        <v/>
      </c>
      <c r="Z628">
        <f t="shared" si="331"/>
        <v>1.3767590945839909</v>
      </c>
      <c r="AA628">
        <f t="shared" si="332"/>
        <v>0.80023949613697376</v>
      </c>
      <c r="AB628">
        <f t="shared" si="333"/>
        <v>1.0063189962545502</v>
      </c>
      <c r="AC628">
        <f t="shared" si="334"/>
        <v>0.16141961446562572</v>
      </c>
      <c r="AD628">
        <f t="shared" si="335"/>
        <v>1.0372891106692186</v>
      </c>
    </row>
    <row r="629" spans="1:30">
      <c r="A629" t="s">
        <v>465</v>
      </c>
      <c r="B629" t="s">
        <v>31</v>
      </c>
      <c r="C629" t="s">
        <v>32</v>
      </c>
      <c r="D629" t="s">
        <v>33</v>
      </c>
      <c r="E629" s="2">
        <v>46121</v>
      </c>
      <c r="F629" t="s">
        <v>40</v>
      </c>
      <c r="G629">
        <v>161.1</v>
      </c>
      <c r="H629">
        <v>102.8</v>
      </c>
      <c r="I629">
        <v>-1957.8</v>
      </c>
      <c r="J629">
        <v>72.599999999999994</v>
      </c>
      <c r="K629">
        <v>0</v>
      </c>
      <c r="L629">
        <v>1.9</v>
      </c>
      <c r="M629">
        <v>0</v>
      </c>
      <c r="N629">
        <v>70.7</v>
      </c>
      <c r="O629">
        <v>114.5</v>
      </c>
      <c r="P629">
        <v>114.58</v>
      </c>
      <c r="Q629">
        <v>8.42</v>
      </c>
      <c r="R629">
        <v>8.3000000000000007</v>
      </c>
      <c r="S629">
        <f t="shared" si="327"/>
        <v>1.4590152518071007</v>
      </c>
      <c r="T629">
        <f t="shared" si="328"/>
        <v>1.2651649161617695</v>
      </c>
      <c r="U629">
        <f t="shared" si="306"/>
        <v>0</v>
      </c>
      <c r="V629">
        <f t="shared" si="329"/>
        <v>1.4391142749432955</v>
      </c>
      <c r="W629" t="str">
        <f t="shared" si="307"/>
        <v/>
      </c>
      <c r="X629">
        <f t="shared" si="330"/>
        <v>3.6066976298187801E-2</v>
      </c>
      <c r="Y629" t="str">
        <f t="shared" si="308"/>
        <v/>
      </c>
      <c r="Z629">
        <f t="shared" si="331"/>
        <v>0.58296623721150087</v>
      </c>
      <c r="AA629">
        <f t="shared" si="332"/>
        <v>0.75993966539625857</v>
      </c>
      <c r="AB629">
        <f t="shared" si="333"/>
        <v>0.11280952201497614</v>
      </c>
      <c r="AC629">
        <f t="shared" si="334"/>
        <v>0.68241201516267613</v>
      </c>
      <c r="AD629">
        <f t="shared" si="335"/>
        <v>0.96225065345990046</v>
      </c>
    </row>
    <row r="630" spans="1:30">
      <c r="A630" t="s">
        <v>163</v>
      </c>
      <c r="B630" t="s">
        <v>31</v>
      </c>
      <c r="C630" t="s">
        <v>32</v>
      </c>
      <c r="D630" t="s">
        <v>33</v>
      </c>
      <c r="E630" s="2">
        <v>46122</v>
      </c>
      <c r="F630" t="s">
        <v>34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tr">
        <f t="shared" si="327"/>
        <v/>
      </c>
      <c r="T630" t="str">
        <f t="shared" si="328"/>
        <v/>
      </c>
      <c r="U630" t="str">
        <f t="shared" si="306"/>
        <v/>
      </c>
      <c r="V630" t="str">
        <f t="shared" si="329"/>
        <v/>
      </c>
      <c r="W630" t="str">
        <f t="shared" si="307"/>
        <v/>
      </c>
      <c r="X630" t="str">
        <f t="shared" si="330"/>
        <v/>
      </c>
      <c r="Y630" t="str">
        <f t="shared" si="308"/>
        <v/>
      </c>
      <c r="Z630" t="str">
        <f t="shared" si="331"/>
        <v/>
      </c>
      <c r="AA630" t="str">
        <f t="shared" si="332"/>
        <v/>
      </c>
      <c r="AB630" t="str">
        <f t="shared" si="333"/>
        <v/>
      </c>
      <c r="AC630" t="str">
        <f t="shared" si="334"/>
        <v/>
      </c>
      <c r="AD630" t="str">
        <f t="shared" si="335"/>
        <v/>
      </c>
    </row>
    <row r="631" spans="1:30">
      <c r="A631" t="s">
        <v>466</v>
      </c>
      <c r="B631" t="s">
        <v>31</v>
      </c>
      <c r="C631" t="s">
        <v>32</v>
      </c>
      <c r="D631" t="s">
        <v>33</v>
      </c>
      <c r="E631" s="2">
        <v>46122</v>
      </c>
      <c r="F631" t="s">
        <v>34</v>
      </c>
      <c r="G631">
        <v>70.400000000000006</v>
      </c>
      <c r="H631">
        <v>129.80000000000001</v>
      </c>
      <c r="I631">
        <v>-1957.8</v>
      </c>
      <c r="J631">
        <v>62.8</v>
      </c>
      <c r="K631">
        <v>0</v>
      </c>
      <c r="L631">
        <v>1</v>
      </c>
      <c r="M631">
        <v>0</v>
      </c>
      <c r="N631">
        <v>63.8</v>
      </c>
      <c r="O631">
        <v>112.3</v>
      </c>
      <c r="P631">
        <v>113.62</v>
      </c>
      <c r="Q631">
        <v>7.15</v>
      </c>
      <c r="R631">
        <v>7.25</v>
      </c>
      <c r="S631">
        <f t="shared" si="327"/>
        <v>14.371377881258084</v>
      </c>
      <c r="T631">
        <f t="shared" si="328"/>
        <v>6.6249674689761742</v>
      </c>
      <c r="U631">
        <f t="shared" si="306"/>
        <v>0</v>
      </c>
      <c r="V631">
        <f t="shared" si="329"/>
        <v>2.96953711859542</v>
      </c>
      <c r="W631" t="str">
        <f t="shared" si="307"/>
        <v/>
      </c>
      <c r="X631">
        <f t="shared" si="330"/>
        <v>0.60989586361284143</v>
      </c>
      <c r="Y631" t="str">
        <f t="shared" si="308"/>
        <v/>
      </c>
      <c r="Z631">
        <f t="shared" si="331"/>
        <v>2.1556191207235922</v>
      </c>
      <c r="AA631">
        <f t="shared" si="332"/>
        <v>0.50662644359751385</v>
      </c>
      <c r="AB631">
        <f t="shared" si="333"/>
        <v>0.69632591335510285</v>
      </c>
      <c r="AC631">
        <f t="shared" si="334"/>
        <v>1.5991753947864815</v>
      </c>
      <c r="AD631">
        <f t="shared" si="335"/>
        <v>1.6640953488662935</v>
      </c>
    </row>
    <row r="632" spans="1:30">
      <c r="A632" t="s">
        <v>466</v>
      </c>
      <c r="B632" t="s">
        <v>31</v>
      </c>
      <c r="C632" t="s">
        <v>32</v>
      </c>
      <c r="D632" t="s">
        <v>33</v>
      </c>
      <c r="E632" s="2">
        <v>46122</v>
      </c>
      <c r="F632" t="s">
        <v>34</v>
      </c>
      <c r="G632">
        <v>157.1</v>
      </c>
      <c r="H632">
        <v>86.1</v>
      </c>
      <c r="I632">
        <v>-1957.8</v>
      </c>
      <c r="J632">
        <v>62.8</v>
      </c>
      <c r="K632">
        <v>0</v>
      </c>
      <c r="L632">
        <v>1.5</v>
      </c>
      <c r="M632">
        <v>0</v>
      </c>
      <c r="N632">
        <v>64.3</v>
      </c>
      <c r="O632">
        <v>112.16</v>
      </c>
      <c r="P632">
        <v>113.62</v>
      </c>
      <c r="Q632">
        <v>7.28</v>
      </c>
      <c r="R632">
        <v>7.57</v>
      </c>
      <c r="S632">
        <f t="shared" si="327"/>
        <v>0.7608722249905544</v>
      </c>
      <c r="T632">
        <f t="shared" si="328"/>
        <v>2.0499722183567686</v>
      </c>
      <c r="U632">
        <f t="shared" si="306"/>
        <v>0</v>
      </c>
      <c r="V632">
        <f t="shared" si="329"/>
        <v>2.96953711859542</v>
      </c>
      <c r="W632" t="str">
        <f t="shared" si="307"/>
        <v/>
      </c>
      <c r="X632">
        <f t="shared" si="330"/>
        <v>0.25102761921782518</v>
      </c>
      <c r="Y632" t="str">
        <f t="shared" si="308"/>
        <v/>
      </c>
      <c r="Z632">
        <f t="shared" si="331"/>
        <v>1.9571709063804696</v>
      </c>
      <c r="AA632">
        <f t="shared" si="332"/>
        <v>0.58722610507893602</v>
      </c>
      <c r="AB632">
        <f t="shared" si="333"/>
        <v>0.69632591335510285</v>
      </c>
      <c r="AC632">
        <f t="shared" si="334"/>
        <v>1.3656270772326309</v>
      </c>
      <c r="AD632">
        <f t="shared" si="335"/>
        <v>0.86368513863354845</v>
      </c>
    </row>
    <row r="633" spans="1:30">
      <c r="A633" t="s">
        <v>466</v>
      </c>
      <c r="B633" t="s">
        <v>31</v>
      </c>
      <c r="C633" t="s">
        <v>32</v>
      </c>
      <c r="D633" t="s">
        <v>33</v>
      </c>
      <c r="E633" s="2">
        <v>46122</v>
      </c>
      <c r="F633" t="s">
        <v>40</v>
      </c>
      <c r="G633">
        <v>158.9</v>
      </c>
      <c r="H633">
        <v>93.3</v>
      </c>
      <c r="I633">
        <v>-1957.8</v>
      </c>
      <c r="J633">
        <v>63.3</v>
      </c>
      <c r="K633">
        <v>0</v>
      </c>
      <c r="L633">
        <v>3.8</v>
      </c>
      <c r="M633">
        <v>0</v>
      </c>
      <c r="N633">
        <v>67.099999999999994</v>
      </c>
      <c r="O633">
        <v>114.72</v>
      </c>
      <c r="P633">
        <v>114.72</v>
      </c>
      <c r="Q633">
        <v>7.64</v>
      </c>
      <c r="R633">
        <v>8.06</v>
      </c>
      <c r="S633">
        <f t="shared" si="327"/>
        <v>1.0750365870580023</v>
      </c>
      <c r="T633">
        <f t="shared" si="328"/>
        <v>0.62069153760626083</v>
      </c>
      <c r="U633">
        <f t="shared" si="306"/>
        <v>0</v>
      </c>
      <c r="V633">
        <f t="shared" si="329"/>
        <v>2.7446059250475261</v>
      </c>
      <c r="W633" t="str">
        <f t="shared" si="307"/>
        <v/>
      </c>
      <c r="X633">
        <f t="shared" si="330"/>
        <v>1.3997663049992497</v>
      </c>
      <c r="Y633" t="str">
        <f t="shared" si="308"/>
        <v/>
      </c>
      <c r="Z633">
        <f t="shared" si="331"/>
        <v>0.84586090605898467</v>
      </c>
      <c r="AA633">
        <f t="shared" si="332"/>
        <v>0.88659627629563498</v>
      </c>
      <c r="AB633">
        <f t="shared" si="333"/>
        <v>2.7713381611206761E-2</v>
      </c>
      <c r="AC633">
        <f t="shared" si="334"/>
        <v>0.71887789016042958</v>
      </c>
      <c r="AD633">
        <f t="shared" si="335"/>
        <v>0.36194299578534173</v>
      </c>
    </row>
    <row r="634" spans="1:30">
      <c r="A634" t="s">
        <v>467</v>
      </c>
      <c r="B634" t="s">
        <v>37</v>
      </c>
      <c r="C634" t="s">
        <v>38</v>
      </c>
      <c r="D634" t="s">
        <v>39</v>
      </c>
      <c r="E634" s="2">
        <v>46122</v>
      </c>
      <c r="F634" t="s">
        <v>40</v>
      </c>
      <c r="G634">
        <v>114.2</v>
      </c>
      <c r="H634">
        <v>77</v>
      </c>
      <c r="I634">
        <v>-1957.8</v>
      </c>
      <c r="J634">
        <v>67.3</v>
      </c>
      <c r="K634">
        <v>0</v>
      </c>
      <c r="L634">
        <v>1.1000000000000001</v>
      </c>
      <c r="M634">
        <v>0</v>
      </c>
      <c r="N634">
        <v>68.400000000000006</v>
      </c>
      <c r="O634">
        <v>115.09</v>
      </c>
      <c r="P634">
        <v>115.16</v>
      </c>
      <c r="Q634">
        <v>3.91</v>
      </c>
      <c r="R634">
        <v>3.96</v>
      </c>
      <c r="S634">
        <f>IF(OR(G634=0,G634=""),"",ABS((G634-112.561871)/4.985957))</f>
        <v>0.32854856148980155</v>
      </c>
      <c r="T634">
        <f>IF(OR(H634=0,H634=""),"",ABS((H634-80.720624)/2.821681))</f>
        <v>1.3185842056561323</v>
      </c>
      <c r="U634">
        <f t="shared" si="306"/>
        <v>0</v>
      </c>
      <c r="V634">
        <f>IF(OR(J634=0,J634=""),"",ABS((J634-69.348681)/1.912674))</f>
        <v>1.0711083017806495</v>
      </c>
      <c r="W634" t="str">
        <f t="shared" si="307"/>
        <v/>
      </c>
      <c r="X634">
        <f>IF(OR(L634=0,L634=""),"",ABS((L634-1.455283)/1.400093))</f>
        <v>0.25375671473252137</v>
      </c>
      <c r="Y634" t="str">
        <f t="shared" si="308"/>
        <v/>
      </c>
      <c r="Z634">
        <f>IF(OR(N634=0,N634=""),"",ABS((N634-69.699041)/2.195614))</f>
        <v>0.59165272219979848</v>
      </c>
      <c r="AA634">
        <f>IF(OR(O634=0,O634=""),"",ABS((O634-113.513094)/1.682996))</f>
        <v>0.93696360537993451</v>
      </c>
      <c r="AB634">
        <f>IF(OR(P634=0,P634=""),"",ABS((P634-115.315492)/1.394108))</f>
        <v>0.11153511779575867</v>
      </c>
      <c r="AC634">
        <f>IF(OR(Q634=0,Q634=""),"",ABS((Q634-3.821127)/0.150485))</f>
        <v>0.59057713393361444</v>
      </c>
      <c r="AD634">
        <f>IF(OR(R634=0,R634=""),"",ABS((R634-3.848345)/0.156761))</f>
        <v>0.71226261633952215</v>
      </c>
    </row>
    <row r="635" spans="1:30">
      <c r="A635" t="s">
        <v>468</v>
      </c>
      <c r="B635" t="s">
        <v>37</v>
      </c>
      <c r="C635" t="s">
        <v>38</v>
      </c>
      <c r="D635" t="s">
        <v>39</v>
      </c>
      <c r="E635" s="2">
        <v>46122</v>
      </c>
      <c r="F635" t="s">
        <v>40</v>
      </c>
      <c r="G635">
        <v>114.6</v>
      </c>
      <c r="H635">
        <v>78.400000000000006</v>
      </c>
      <c r="I635">
        <v>-1957.8</v>
      </c>
      <c r="J635">
        <v>67.3</v>
      </c>
      <c r="K635">
        <v>0</v>
      </c>
      <c r="L635">
        <v>0.7</v>
      </c>
      <c r="M635">
        <v>0</v>
      </c>
      <c r="N635">
        <v>68</v>
      </c>
      <c r="O635">
        <v>115.09</v>
      </c>
      <c r="P635">
        <v>114.8</v>
      </c>
      <c r="Q635">
        <v>3.88</v>
      </c>
      <c r="R635">
        <v>3.98</v>
      </c>
      <c r="S635">
        <f>IF(OR(G635=0,G635=""),"",ABS((G635-112.561871)/4.985957))</f>
        <v>0.40877388232590012</v>
      </c>
      <c r="T635">
        <f>IF(OR(H635=0,H635=""),"",ABS((H635-80.720624)/2.821681))</f>
        <v>0.82242606446299038</v>
      </c>
      <c r="U635">
        <f t="shared" si="306"/>
        <v>0</v>
      </c>
      <c r="V635">
        <f>IF(OR(J635=0,J635=""),"",ABS((J635-69.348681)/1.912674))</f>
        <v>1.0711083017806495</v>
      </c>
      <c r="W635" t="str">
        <f t="shared" si="307"/>
        <v/>
      </c>
      <c r="X635">
        <f>IF(OR(L635=0,L635=""),"",ABS((L635-1.455283)/1.400093))</f>
        <v>0.53945202211567389</v>
      </c>
      <c r="Y635" t="str">
        <f t="shared" si="308"/>
        <v/>
      </c>
      <c r="Z635">
        <f>IF(OR(N635=0,N635=""),"",ABS((N635-69.699041)/2.195614))</f>
        <v>0.77383410745240011</v>
      </c>
      <c r="AA635">
        <f>IF(OR(O635=0,O635=""),"",ABS((O635-113.513094)/1.682996))</f>
        <v>0.93696360537993451</v>
      </c>
      <c r="AB635">
        <f>IF(OR(P635=0,P635=""),"",ABS((P635-115.315492)/1.394108))</f>
        <v>0.36976475280251531</v>
      </c>
      <c r="AC635">
        <f>IF(OR(Q635=0,Q635=""),"",ABS((Q635-3.821127)/0.150485))</f>
        <v>0.39122171645014275</v>
      </c>
      <c r="AD635">
        <f>IF(OR(R635=0,R635=""),"",ABS((R635-3.848345)/0.156761))</f>
        <v>0.83984536970292256</v>
      </c>
    </row>
    <row r="636" spans="1:30">
      <c r="A636" t="s">
        <v>163</v>
      </c>
      <c r="B636" t="s">
        <v>31</v>
      </c>
      <c r="C636" t="s">
        <v>32</v>
      </c>
      <c r="D636" t="s">
        <v>33</v>
      </c>
      <c r="E636" s="2">
        <v>46123</v>
      </c>
      <c r="F636" t="s">
        <v>34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tr">
        <f>IF(OR(G636=0,G636=""),"",ABS((G636-152.740594)/5.729485))</f>
        <v/>
      </c>
      <c r="T636" t="str">
        <f>IF(OR(H636=0,H636=""),"",ABS((H636-96.426733)/5.037499))</f>
        <v/>
      </c>
      <c r="U636" t="str">
        <f t="shared" si="306"/>
        <v/>
      </c>
      <c r="V636" t="str">
        <f>IF(OR(J636=0,J636=""),"",ABS((J636-69.40099)/2.222902))</f>
        <v/>
      </c>
      <c r="W636" t="str">
        <f t="shared" si="307"/>
        <v/>
      </c>
      <c r="X636" t="str">
        <f>IF(OR(L636=0,L636=""),"",ABS((L636-1.849749)/1.393269))</f>
        <v/>
      </c>
      <c r="Y636" t="str">
        <f t="shared" si="308"/>
        <v/>
      </c>
      <c r="Z636" t="str">
        <f>IF(OR(N636=0,N636=""),"",ABS((N636-69.231188)/2.519549))</f>
        <v/>
      </c>
      <c r="AA636" t="str">
        <f>IF(OR(O636=0,O636=""),"",ABS((O636-113.18)/1.73698))</f>
        <v/>
      </c>
      <c r="AB636" t="str">
        <f>IF(OR(P636=0,P636=""),"",ABS((P636-114.765594)/1.645198))</f>
        <v/>
      </c>
      <c r="AC636" t="str">
        <f>IF(OR(Q636=0,Q636=""),"",ABS((Q636-8.040149)/0.55663))</f>
        <v/>
      </c>
      <c r="AD636" t="str">
        <f>IF(OR(R636=0,R636=""),"",ABS((R636-7.915297)/0.399795))</f>
        <v/>
      </c>
    </row>
    <row r="637" spans="1:30">
      <c r="A637" t="s">
        <v>469</v>
      </c>
      <c r="B637" t="s">
        <v>31</v>
      </c>
      <c r="C637" t="s">
        <v>32</v>
      </c>
      <c r="D637" t="s">
        <v>33</v>
      </c>
      <c r="E637" s="2">
        <v>46123</v>
      </c>
      <c r="F637" t="s">
        <v>34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tr">
        <f>IF(OR(G637=0,G637=""),"",ABS((G637-152.740594)/5.729485))</f>
        <v/>
      </c>
      <c r="T637" t="str">
        <f>IF(OR(H637=0,H637=""),"",ABS((H637-96.426733)/5.037499))</f>
        <v/>
      </c>
      <c r="U637" t="str">
        <f t="shared" si="306"/>
        <v/>
      </c>
      <c r="V637" t="str">
        <f>IF(OR(J637=0,J637=""),"",ABS((J637-69.40099)/2.222902))</f>
        <v/>
      </c>
      <c r="W637" t="str">
        <f t="shared" si="307"/>
        <v/>
      </c>
      <c r="X637" t="str">
        <f>IF(OR(L637=0,L637=""),"",ABS((L637-1.849749)/1.393269))</f>
        <v/>
      </c>
      <c r="Y637" t="str">
        <f t="shared" si="308"/>
        <v/>
      </c>
      <c r="Z637" t="str">
        <f>IF(OR(N637=0,N637=""),"",ABS((N637-69.231188)/2.519549))</f>
        <v/>
      </c>
      <c r="AA637" t="str">
        <f>IF(OR(O637=0,O637=""),"",ABS((O637-113.18)/1.73698))</f>
        <v/>
      </c>
      <c r="AB637" t="str">
        <f>IF(OR(P637=0,P637=""),"",ABS((P637-114.765594)/1.645198))</f>
        <v/>
      </c>
      <c r="AC637" t="str">
        <f>IF(OR(Q637=0,Q637=""),"",ABS((Q637-8.040149)/0.55663))</f>
        <v/>
      </c>
      <c r="AD637" t="str">
        <f>IF(OR(R637=0,R637=""),"",ABS((R637-7.915297)/0.399795))</f>
        <v/>
      </c>
    </row>
    <row r="638" spans="1:30">
      <c r="A638" t="s">
        <v>470</v>
      </c>
      <c r="B638" t="s">
        <v>37</v>
      </c>
      <c r="C638" t="s">
        <v>38</v>
      </c>
      <c r="D638" t="s">
        <v>39</v>
      </c>
      <c r="E638" s="2">
        <v>46123</v>
      </c>
      <c r="F638" t="s">
        <v>40</v>
      </c>
      <c r="G638">
        <v>108.8</v>
      </c>
      <c r="H638">
        <v>76.599999999999994</v>
      </c>
      <c r="I638">
        <v>-1957.8</v>
      </c>
      <c r="J638">
        <v>69.5</v>
      </c>
      <c r="K638">
        <v>0</v>
      </c>
      <c r="L638">
        <v>0.5</v>
      </c>
      <c r="M638">
        <v>0</v>
      </c>
      <c r="N638">
        <v>70</v>
      </c>
      <c r="O638">
        <v>115.16</v>
      </c>
      <c r="P638">
        <v>115.09</v>
      </c>
      <c r="Q638">
        <v>3.86</v>
      </c>
      <c r="R638">
        <v>3.93</v>
      </c>
      <c r="S638">
        <f>IF(OR(G638=0,G638=""),"",ABS((G638-112.561871)/4.985957))</f>
        <v>0.75449326979755327</v>
      </c>
      <c r="T638">
        <f>IF(OR(H638=0,H638=""),"",ABS((H638-80.720624)/2.821681))</f>
        <v>1.4603436745684599</v>
      </c>
      <c r="U638">
        <f t="shared" si="306"/>
        <v>0</v>
      </c>
      <c r="V638">
        <f>IF(OR(J638=0,J638=""),"",ABS((J638-69.348681)/1.912674))</f>
        <v>7.9113847942723581E-2</v>
      </c>
      <c r="W638" t="str">
        <f t="shared" si="307"/>
        <v/>
      </c>
      <c r="X638">
        <f>IF(OR(L638=0,L638=""),"",ABS((L638-1.455283)/1.400093))</f>
        <v>0.68229967580725004</v>
      </c>
      <c r="Y638" t="str">
        <f t="shared" si="308"/>
        <v/>
      </c>
      <c r="Z638">
        <f>IF(OR(N638=0,N638=""),"",ABS((N638-69.699041)/2.195614))</f>
        <v>0.1370728188105951</v>
      </c>
      <c r="AA638">
        <f>IF(OR(O638=0,O638=""),"",ABS((O638-113.513094)/1.682996))</f>
        <v>0.978556098766724</v>
      </c>
      <c r="AB638">
        <f>IF(OR(P638=0,P638=""),"",ABS((P638-115.315492)/1.394108))</f>
        <v>0.16174643571373432</v>
      </c>
      <c r="AC638">
        <f>IF(OR(Q638=0,Q638=""),"",ABS((Q638-3.821127)/0.150485))</f>
        <v>0.25831810479449585</v>
      </c>
      <c r="AD638">
        <f>IF(OR(R638=0,R638=""),"",ABS((R638-3.848345)/0.156761))</f>
        <v>0.52088848629442286</v>
      </c>
    </row>
    <row r="639" spans="1:30">
      <c r="A639" t="s">
        <v>469</v>
      </c>
      <c r="B639" t="s">
        <v>31</v>
      </c>
      <c r="C639" t="s">
        <v>32</v>
      </c>
      <c r="D639" t="s">
        <v>33</v>
      </c>
      <c r="E639" s="2">
        <v>46123</v>
      </c>
      <c r="F639" t="s">
        <v>34</v>
      </c>
      <c r="G639">
        <v>139.19999999999999</v>
      </c>
      <c r="H639">
        <v>83.8</v>
      </c>
      <c r="I639">
        <v>-1957.8</v>
      </c>
      <c r="J639">
        <v>70.8</v>
      </c>
      <c r="K639">
        <v>0</v>
      </c>
      <c r="L639">
        <v>3.5</v>
      </c>
      <c r="M639">
        <v>0</v>
      </c>
      <c r="N639">
        <v>74.3</v>
      </c>
      <c r="O639">
        <v>115.16</v>
      </c>
      <c r="P639">
        <v>115.02</v>
      </c>
      <c r="Q639">
        <v>7.18</v>
      </c>
      <c r="R639">
        <v>7.59</v>
      </c>
      <c r="S639">
        <f>IF(OR(G639=0,G639=""),"",ABS((G639-152.740594)/5.729485))</f>
        <v>2.3633178200134912</v>
      </c>
      <c r="T639">
        <f>IF(OR(H639=0,H639=""),"",ABS((H639-96.426733)/5.037499))</f>
        <v>2.5065479913742914</v>
      </c>
      <c r="U639">
        <f t="shared" si="306"/>
        <v>0</v>
      </c>
      <c r="V639">
        <f>IF(OR(J639=0,J639=""),"",ABS((J639-69.40099)/2.222902))</f>
        <v>0.62936197817087935</v>
      </c>
      <c r="W639" t="str">
        <f t="shared" si="307"/>
        <v/>
      </c>
      <c r="X639">
        <f>IF(OR(L639=0,L639=""),"",ABS((L639-1.849749)/1.393269))</f>
        <v>1.1844453583622401</v>
      </c>
      <c r="Y639" t="str">
        <f t="shared" si="308"/>
        <v/>
      </c>
      <c r="Z639">
        <f>IF(OR(N639=0,N639=""),"",ABS((N639-69.231188)/2.519549))</f>
        <v>2.0117933804819805</v>
      </c>
      <c r="AA639">
        <f>IF(OR(O639=0,O639=""),"",ABS((O639-113.18)/1.73698))</f>
        <v>1.1399094980943878</v>
      </c>
      <c r="AB639">
        <f>IF(OR(P639=0,P639=""),"",ABS((P639-114.765594)/1.645198))</f>
        <v>0.15463549068258228</v>
      </c>
      <c r="AC639">
        <f>IF(OR(Q639=0,Q639=""),"",ABS((Q639-8.040149)/0.55663))</f>
        <v>1.5452796291971325</v>
      </c>
      <c r="AD639">
        <f>IF(OR(R639=0,R639=""),"",ABS((R639-7.915297)/0.399795))</f>
        <v>0.81365950049400304</v>
      </c>
    </row>
    <row r="640" spans="1:30">
      <c r="A640" t="s">
        <v>469</v>
      </c>
      <c r="B640" t="s">
        <v>31</v>
      </c>
      <c r="C640" t="s">
        <v>32</v>
      </c>
      <c r="D640" t="s">
        <v>33</v>
      </c>
      <c r="E640" s="2">
        <v>46123</v>
      </c>
      <c r="F640" t="s">
        <v>40</v>
      </c>
      <c r="G640">
        <v>149.5</v>
      </c>
      <c r="H640">
        <v>87.9</v>
      </c>
      <c r="I640">
        <v>-1957.8</v>
      </c>
      <c r="J640">
        <v>71.3</v>
      </c>
      <c r="K640">
        <v>0</v>
      </c>
      <c r="L640">
        <v>3.1</v>
      </c>
      <c r="M640">
        <v>0</v>
      </c>
      <c r="N640">
        <v>74.400000000000006</v>
      </c>
      <c r="O640">
        <v>115.09</v>
      </c>
      <c r="P640">
        <v>115.09</v>
      </c>
      <c r="Q640">
        <v>7.4</v>
      </c>
      <c r="R640">
        <v>7.59</v>
      </c>
      <c r="S640">
        <f>IF(OR(G640=0,G640=""),"",ABS((G640-152.740594)/5.729485))</f>
        <v>0.56559952596088259</v>
      </c>
      <c r="T640">
        <f>IF(OR(H640=0,H640=""),"",ABS((H640-96.426733)/5.037499))</f>
        <v>1.6926520481691396</v>
      </c>
      <c r="U640">
        <f t="shared" si="306"/>
        <v>0</v>
      </c>
      <c r="V640">
        <f>IF(OR(J640=0,J640=""),"",ABS((J640-69.40099)/2.222902))</f>
        <v>0.85429317171877306</v>
      </c>
      <c r="W640" t="str">
        <f t="shared" si="307"/>
        <v/>
      </c>
      <c r="X640">
        <f>IF(OR(L640=0,L640=""),"",ABS((L640-1.849749)/1.393269))</f>
        <v>0.89735076284622706</v>
      </c>
      <c r="Y640" t="str">
        <f t="shared" si="308"/>
        <v/>
      </c>
      <c r="Z640">
        <f>IF(OR(N640=0,N640=""),"",ABS((N640-69.231188)/2.519549))</f>
        <v>2.0514830233506087</v>
      </c>
      <c r="AA640">
        <f>IF(OR(O640=0,O640=""),"",ABS((O640-113.18)/1.73698))</f>
        <v>1.0996096673536808</v>
      </c>
      <c r="AB640">
        <f>IF(OR(P640=0,P640=""),"",ABS((P640-114.765594)/1.645198))</f>
        <v>0.19718356088447131</v>
      </c>
      <c r="AC640">
        <f>IF(OR(Q640=0,Q640=""),"",ABS((Q640-8.040149)/0.55663))</f>
        <v>1.15004401487523</v>
      </c>
      <c r="AD640">
        <f>IF(OR(R640=0,R640=""),"",ABS((R640-7.915297)/0.399795))</f>
        <v>0.81365950049400304</v>
      </c>
    </row>
    <row r="641" spans="1:30">
      <c r="A641" t="s">
        <v>471</v>
      </c>
      <c r="B641" t="s">
        <v>37</v>
      </c>
      <c r="C641" t="s">
        <v>38</v>
      </c>
      <c r="D641" t="s">
        <v>39</v>
      </c>
      <c r="E641" s="2">
        <v>46123</v>
      </c>
      <c r="F641" t="s">
        <v>40</v>
      </c>
      <c r="G641">
        <v>112.4</v>
      </c>
      <c r="H641">
        <v>79.8</v>
      </c>
      <c r="I641">
        <v>-1957.8</v>
      </c>
      <c r="J641">
        <v>71.3</v>
      </c>
      <c r="K641">
        <v>0</v>
      </c>
      <c r="L641">
        <v>1.3</v>
      </c>
      <c r="M641">
        <v>0</v>
      </c>
      <c r="N641">
        <v>70</v>
      </c>
      <c r="O641">
        <v>115.46</v>
      </c>
      <c r="P641">
        <v>115.46</v>
      </c>
      <c r="Q641">
        <v>3.96</v>
      </c>
      <c r="R641">
        <v>3.98</v>
      </c>
      <c r="S641">
        <f t="shared" ref="S641:S649" si="336">IF(OR(G641=0,G641=""),"",ABS((G641-112.561871)/4.985957))</f>
        <v>3.246538227264912E-2</v>
      </c>
      <c r="T641">
        <f t="shared" ref="T641:T649" si="337">IF(OR(H641=0,H641=""),"",ABS((H641-80.720624)/2.821681))</f>
        <v>0.3262679232698536</v>
      </c>
      <c r="U641">
        <f t="shared" si="306"/>
        <v>0</v>
      </c>
      <c r="V641">
        <f t="shared" ref="V641:V649" si="338">IF(OR(J641=0,J641=""),"",ABS((J641-69.348681)/1.912674))</f>
        <v>1.0202046977163897</v>
      </c>
      <c r="W641" t="str">
        <f t="shared" si="307"/>
        <v/>
      </c>
      <c r="X641">
        <f t="shared" ref="X641:X649" si="339">IF(OR(L641=0,L641=""),"",ABS((L641-1.455283)/1.400093))</f>
        <v>0.11090906104094518</v>
      </c>
      <c r="Y641" t="str">
        <f t="shared" si="308"/>
        <v/>
      </c>
      <c r="Z641">
        <f t="shared" ref="Z641:Z649" si="340">IF(OR(N641=0,N641=""),"",ABS((N641-69.699041)/2.195614))</f>
        <v>0.1370728188105951</v>
      </c>
      <c r="AA641">
        <f t="shared" ref="AA641:AA649" si="341">IF(OR(O641=0,O641=""),"",ABS((O641-113.513094)/1.682996))</f>
        <v>1.1568096418529803</v>
      </c>
      <c r="AB641">
        <f t="shared" ref="AB641:AB649" si="342">IF(OR(P641=0,P641=""),"",ABS((P641-115.315492)/1.394108))</f>
        <v>0.10365624470987016</v>
      </c>
      <c r="AC641">
        <f t="shared" ref="AC641:AC649" si="343">IF(OR(Q641=0,Q641=""),"",ABS((Q641-3.821127)/0.150485))</f>
        <v>0.92283616307273009</v>
      </c>
      <c r="AD641">
        <f t="shared" ref="AD641:AD649" si="344">IF(OR(R641=0,R641=""),"",ABS((R641-3.848345)/0.156761))</f>
        <v>0.83984536970292256</v>
      </c>
    </row>
    <row r="642" spans="1:30">
      <c r="A642" t="s">
        <v>472</v>
      </c>
      <c r="B642" t="s">
        <v>37</v>
      </c>
      <c r="C642" t="s">
        <v>38</v>
      </c>
      <c r="D642" t="s">
        <v>39</v>
      </c>
      <c r="E642" s="2">
        <v>46123</v>
      </c>
      <c r="F642" t="s">
        <v>40</v>
      </c>
      <c r="G642">
        <v>116.9</v>
      </c>
      <c r="H642">
        <v>79.3</v>
      </c>
      <c r="I642">
        <v>-1957.8</v>
      </c>
      <c r="J642">
        <v>69.5</v>
      </c>
      <c r="K642">
        <v>0</v>
      </c>
      <c r="L642">
        <v>0.8</v>
      </c>
      <c r="M642">
        <v>0</v>
      </c>
      <c r="N642">
        <v>68.7</v>
      </c>
      <c r="O642">
        <v>112.23</v>
      </c>
      <c r="P642">
        <v>117</v>
      </c>
      <c r="Q642">
        <v>3.78</v>
      </c>
      <c r="R642">
        <v>3.81</v>
      </c>
      <c r="S642">
        <f t="shared" si="336"/>
        <v>0.87006947713347893</v>
      </c>
      <c r="T642">
        <f t="shared" si="337"/>
        <v>0.50346725941026071</v>
      </c>
      <c r="U642">
        <f t="shared" ref="U642:U705" si="345">IF(OR(I642=0,I642=""),"",ABS((I642--1957.8)/1))</f>
        <v>0</v>
      </c>
      <c r="V642">
        <f t="shared" si="338"/>
        <v>7.9113847942723581E-2</v>
      </c>
      <c r="W642" t="str">
        <f t="shared" ref="W642:W705" si="346">IF(OR(K642=0,K642=""),"",ABS((K642-0)/1))</f>
        <v/>
      </c>
      <c r="X642">
        <f t="shared" si="339"/>
        <v>0.46802819526988565</v>
      </c>
      <c r="Y642" t="str">
        <f t="shared" ref="Y642:Y705" si="347">IF(OR(M642=0,M642=""),"",ABS((M642-0)/1))</f>
        <v/>
      </c>
      <c r="Z642">
        <f t="shared" si="340"/>
        <v>0.4550166832603505</v>
      </c>
      <c r="AA642">
        <f t="shared" si="341"/>
        <v>0.76238683870905888</v>
      </c>
      <c r="AB642">
        <f t="shared" si="342"/>
        <v>1.2083052389054463</v>
      </c>
      <c r="AC642">
        <f t="shared" si="343"/>
        <v>0.27329634182809154</v>
      </c>
      <c r="AD642">
        <f t="shared" si="344"/>
        <v>0.24460803388597974</v>
      </c>
    </row>
    <row r="643" spans="1:30">
      <c r="A643" t="s">
        <v>473</v>
      </c>
      <c r="B643" t="s">
        <v>37</v>
      </c>
      <c r="C643" t="s">
        <v>38</v>
      </c>
      <c r="D643" t="s">
        <v>39</v>
      </c>
      <c r="E643" s="2">
        <v>46123</v>
      </c>
      <c r="F643" t="s">
        <v>40</v>
      </c>
      <c r="G643">
        <v>111.1</v>
      </c>
      <c r="H643">
        <v>77.900000000000006</v>
      </c>
      <c r="I643">
        <v>-1957.8</v>
      </c>
      <c r="J643">
        <v>67.7</v>
      </c>
      <c r="K643">
        <v>0</v>
      </c>
      <c r="L643">
        <v>0.5</v>
      </c>
      <c r="M643">
        <v>0</v>
      </c>
      <c r="N643">
        <v>67.2</v>
      </c>
      <c r="O643">
        <v>112.01</v>
      </c>
      <c r="P643">
        <v>113.48</v>
      </c>
      <c r="Q643">
        <v>3.93</v>
      </c>
      <c r="R643">
        <v>3.96</v>
      </c>
      <c r="S643">
        <f t="shared" si="336"/>
        <v>0.29319767498997729</v>
      </c>
      <c r="T643">
        <f t="shared" si="337"/>
        <v>0.99962540060339755</v>
      </c>
      <c r="U643">
        <f t="shared" si="345"/>
        <v>0</v>
      </c>
      <c r="V643">
        <f t="shared" si="338"/>
        <v>0.86197700183094261</v>
      </c>
      <c r="W643" t="str">
        <f t="shared" si="346"/>
        <v/>
      </c>
      <c r="X643">
        <f t="shared" si="339"/>
        <v>0.68229967580725004</v>
      </c>
      <c r="Y643" t="str">
        <f t="shared" si="347"/>
        <v/>
      </c>
      <c r="Z643">
        <f t="shared" si="340"/>
        <v>1.1381968779575968</v>
      </c>
      <c r="AA643">
        <f t="shared" si="341"/>
        <v>0.8931061036389808</v>
      </c>
      <c r="AB643">
        <f t="shared" si="342"/>
        <v>1.3166067478272863</v>
      </c>
      <c r="AC643">
        <f t="shared" si="343"/>
        <v>0.72348074558926134</v>
      </c>
      <c r="AD643">
        <f t="shared" si="344"/>
        <v>0.71226261633952215</v>
      </c>
    </row>
    <row r="644" spans="1:30">
      <c r="A644" t="s">
        <v>474</v>
      </c>
      <c r="B644" t="s">
        <v>37</v>
      </c>
      <c r="C644" t="s">
        <v>38</v>
      </c>
      <c r="D644" t="s">
        <v>39</v>
      </c>
      <c r="E644" s="2">
        <v>46123</v>
      </c>
      <c r="F644" t="s">
        <v>40</v>
      </c>
      <c r="G644">
        <v>113.7</v>
      </c>
      <c r="H644">
        <v>76.099999999999994</v>
      </c>
      <c r="I644">
        <v>-1957.8</v>
      </c>
      <c r="J644">
        <v>67.7</v>
      </c>
      <c r="K644">
        <v>0</v>
      </c>
      <c r="L644">
        <v>0.4</v>
      </c>
      <c r="M644">
        <v>0</v>
      </c>
      <c r="N644">
        <v>68.099999999999994</v>
      </c>
      <c r="O644">
        <v>111.94</v>
      </c>
      <c r="P644">
        <v>116.7</v>
      </c>
      <c r="Q644">
        <v>3.66</v>
      </c>
      <c r="R644">
        <v>3.66</v>
      </c>
      <c r="S644">
        <f t="shared" si="336"/>
        <v>0.2282669104446762</v>
      </c>
      <c r="T644">
        <f t="shared" si="337"/>
        <v>1.6375430107088671</v>
      </c>
      <c r="U644">
        <f t="shared" si="345"/>
        <v>0</v>
      </c>
      <c r="V644">
        <f t="shared" si="338"/>
        <v>0.86197700183094261</v>
      </c>
      <c r="W644" t="str">
        <f t="shared" si="346"/>
        <v/>
      </c>
      <c r="X644">
        <f t="shared" si="339"/>
        <v>0.75372350265303822</v>
      </c>
      <c r="Y644" t="str">
        <f t="shared" si="347"/>
        <v/>
      </c>
      <c r="Z644">
        <f t="shared" si="340"/>
        <v>0.728288761139253</v>
      </c>
      <c r="AA644">
        <f t="shared" si="341"/>
        <v>0.93469859702577884</v>
      </c>
      <c r="AB644">
        <f t="shared" si="342"/>
        <v>0.99311387639981752</v>
      </c>
      <c r="AC644">
        <f t="shared" si="343"/>
        <v>1.0707180117619697</v>
      </c>
      <c r="AD644">
        <f t="shared" si="344"/>
        <v>1.2014786841114817</v>
      </c>
    </row>
    <row r="645" spans="1:30">
      <c r="A645" t="s">
        <v>475</v>
      </c>
      <c r="B645" t="s">
        <v>37</v>
      </c>
      <c r="C645" t="s">
        <v>38</v>
      </c>
      <c r="D645" t="s">
        <v>39</v>
      </c>
      <c r="E645" s="2">
        <v>46123</v>
      </c>
      <c r="F645" t="s">
        <v>40</v>
      </c>
      <c r="G645">
        <v>113.7</v>
      </c>
      <c r="H645">
        <v>78.400000000000006</v>
      </c>
      <c r="I645">
        <v>-1957.8</v>
      </c>
      <c r="J645">
        <v>67.7</v>
      </c>
      <c r="K645">
        <v>0</v>
      </c>
      <c r="L645">
        <v>0.9</v>
      </c>
      <c r="M645">
        <v>0</v>
      </c>
      <c r="N645">
        <v>68.599999999999994</v>
      </c>
      <c r="O645">
        <v>111.5</v>
      </c>
      <c r="P645">
        <v>112.96</v>
      </c>
      <c r="Q645">
        <v>3.88</v>
      </c>
      <c r="R645">
        <v>3.98</v>
      </c>
      <c r="S645">
        <f t="shared" si="336"/>
        <v>0.2282669104446762</v>
      </c>
      <c r="T645">
        <f t="shared" si="337"/>
        <v>0.82242606446299038</v>
      </c>
      <c r="U645">
        <f t="shared" si="345"/>
        <v>0</v>
      </c>
      <c r="V645">
        <f t="shared" si="338"/>
        <v>0.86197700183094261</v>
      </c>
      <c r="W645" t="str">
        <f t="shared" si="346"/>
        <v/>
      </c>
      <c r="X645">
        <f t="shared" si="339"/>
        <v>0.39660436842409758</v>
      </c>
      <c r="Y645" t="str">
        <f t="shared" si="347"/>
        <v/>
      </c>
      <c r="Z645">
        <f t="shared" si="340"/>
        <v>0.50056202957350415</v>
      </c>
      <c r="AA645">
        <f t="shared" si="341"/>
        <v>1.1961371268856227</v>
      </c>
      <c r="AB645">
        <f t="shared" si="342"/>
        <v>1.6896051095037203</v>
      </c>
      <c r="AC645">
        <f t="shared" si="343"/>
        <v>0.39122171645014275</v>
      </c>
      <c r="AD645">
        <f t="shared" si="344"/>
        <v>0.83984536970292256</v>
      </c>
    </row>
    <row r="646" spans="1:30">
      <c r="A646" t="s">
        <v>476</v>
      </c>
      <c r="B646" t="s">
        <v>37</v>
      </c>
      <c r="C646" t="s">
        <v>38</v>
      </c>
      <c r="D646" t="s">
        <v>39</v>
      </c>
      <c r="E646" s="2">
        <v>46123</v>
      </c>
      <c r="F646" t="s">
        <v>40</v>
      </c>
      <c r="G646">
        <v>115.1</v>
      </c>
      <c r="H646">
        <v>76.599999999999994</v>
      </c>
      <c r="I646">
        <v>-1957.8</v>
      </c>
      <c r="J646">
        <v>67.7</v>
      </c>
      <c r="K646">
        <v>0</v>
      </c>
      <c r="L646">
        <v>0.8</v>
      </c>
      <c r="M646">
        <v>0</v>
      </c>
      <c r="N646">
        <v>68.5</v>
      </c>
      <c r="O646">
        <v>112.08</v>
      </c>
      <c r="P646">
        <v>113.4</v>
      </c>
      <c r="Q646">
        <v>4</v>
      </c>
      <c r="R646">
        <v>4.03</v>
      </c>
      <c r="S646">
        <f t="shared" si="336"/>
        <v>0.50905553337102538</v>
      </c>
      <c r="T646">
        <f t="shared" si="337"/>
        <v>1.4603436745684599</v>
      </c>
      <c r="U646">
        <f t="shared" si="345"/>
        <v>0</v>
      </c>
      <c r="V646">
        <f t="shared" si="338"/>
        <v>0.86197700183094261</v>
      </c>
      <c r="W646" t="str">
        <f t="shared" si="346"/>
        <v/>
      </c>
      <c r="X646">
        <f t="shared" si="339"/>
        <v>0.46802819526988565</v>
      </c>
      <c r="Y646" t="str">
        <f t="shared" si="347"/>
        <v/>
      </c>
      <c r="Z646">
        <f t="shared" si="340"/>
        <v>0.54610737588665137</v>
      </c>
      <c r="AA646">
        <f t="shared" si="341"/>
        <v>0.8515136102521913</v>
      </c>
      <c r="AB646">
        <f t="shared" si="342"/>
        <v>1.3739911111621199</v>
      </c>
      <c r="AC646">
        <f t="shared" si="343"/>
        <v>1.1886433863840238</v>
      </c>
      <c r="AD646">
        <f t="shared" si="344"/>
        <v>1.158802253111425</v>
      </c>
    </row>
    <row r="647" spans="1:30">
      <c r="A647" t="s">
        <v>477</v>
      </c>
      <c r="B647" t="s">
        <v>37</v>
      </c>
      <c r="C647" t="s">
        <v>38</v>
      </c>
      <c r="D647" t="s">
        <v>39</v>
      </c>
      <c r="E647" s="2">
        <v>46123</v>
      </c>
      <c r="F647" t="s">
        <v>34</v>
      </c>
      <c r="G647">
        <v>112.4</v>
      </c>
      <c r="H647">
        <v>68.900000000000006</v>
      </c>
      <c r="I647">
        <v>-1957.8</v>
      </c>
      <c r="J647">
        <v>67.7</v>
      </c>
      <c r="K647">
        <v>0</v>
      </c>
      <c r="L647">
        <v>0.1</v>
      </c>
      <c r="M647">
        <v>0</v>
      </c>
      <c r="N647">
        <v>67.8</v>
      </c>
      <c r="O647">
        <v>111.79</v>
      </c>
      <c r="P647">
        <v>117.07</v>
      </c>
      <c r="Q647">
        <v>3.98</v>
      </c>
      <c r="R647">
        <v>3.98</v>
      </c>
      <c r="S647">
        <f t="shared" si="336"/>
        <v>3.246538227264912E-2</v>
      </c>
      <c r="T647">
        <f t="shared" si="337"/>
        <v>4.1892134511307253</v>
      </c>
      <c r="U647">
        <f t="shared" si="345"/>
        <v>0</v>
      </c>
      <c r="V647">
        <f t="shared" si="338"/>
        <v>0.86197700183094261</v>
      </c>
      <c r="W647" t="str">
        <f t="shared" si="346"/>
        <v/>
      </c>
      <c r="X647">
        <f t="shared" si="339"/>
        <v>0.96799498319040234</v>
      </c>
      <c r="Y647" t="str">
        <f t="shared" si="347"/>
        <v/>
      </c>
      <c r="Z647">
        <f t="shared" si="340"/>
        <v>0.86492480007870098</v>
      </c>
      <c r="AA647">
        <f t="shared" si="341"/>
        <v>1.0238253685689027</v>
      </c>
      <c r="AB647">
        <f t="shared" si="342"/>
        <v>1.258516556823422</v>
      </c>
      <c r="AC647">
        <f t="shared" si="343"/>
        <v>1.055739774728377</v>
      </c>
      <c r="AD647">
        <f t="shared" si="344"/>
        <v>0.83984536970292256</v>
      </c>
    </row>
    <row r="648" spans="1:30">
      <c r="A648" t="s">
        <v>477</v>
      </c>
      <c r="B648" t="s">
        <v>37</v>
      </c>
      <c r="C648" t="s">
        <v>38</v>
      </c>
      <c r="D648" t="s">
        <v>39</v>
      </c>
      <c r="E648" s="2">
        <v>46123</v>
      </c>
      <c r="F648" t="s">
        <v>40</v>
      </c>
      <c r="G648">
        <v>117.3</v>
      </c>
      <c r="H648">
        <v>76.099999999999994</v>
      </c>
      <c r="I648">
        <v>-1957.8</v>
      </c>
      <c r="J648">
        <v>67.7</v>
      </c>
      <c r="K648">
        <v>0</v>
      </c>
      <c r="L648">
        <v>0.8</v>
      </c>
      <c r="M648">
        <v>0</v>
      </c>
      <c r="N648">
        <v>68.5</v>
      </c>
      <c r="O648">
        <v>115.38</v>
      </c>
      <c r="P648">
        <v>115.6</v>
      </c>
      <c r="Q648">
        <v>4</v>
      </c>
      <c r="R648">
        <v>3.93</v>
      </c>
      <c r="S648">
        <f t="shared" si="336"/>
        <v>0.9502947979695775</v>
      </c>
      <c r="T648">
        <f t="shared" si="337"/>
        <v>1.6375430107088671</v>
      </c>
      <c r="U648">
        <f t="shared" si="345"/>
        <v>0</v>
      </c>
      <c r="V648">
        <f t="shared" si="338"/>
        <v>0.86197700183094261</v>
      </c>
      <c r="W648" t="str">
        <f t="shared" si="346"/>
        <v/>
      </c>
      <c r="X648">
        <f t="shared" si="339"/>
        <v>0.46802819526988565</v>
      </c>
      <c r="Y648" t="str">
        <f t="shared" si="347"/>
        <v/>
      </c>
      <c r="Z648">
        <f t="shared" si="340"/>
        <v>0.54610737588665137</v>
      </c>
      <c r="AA648">
        <f t="shared" si="341"/>
        <v>1.1092753636966459</v>
      </c>
      <c r="AB648">
        <f t="shared" si="342"/>
        <v>0.20407888054583162</v>
      </c>
      <c r="AC648">
        <f t="shared" si="343"/>
        <v>1.1886433863840238</v>
      </c>
      <c r="AD648">
        <f t="shared" si="344"/>
        <v>0.52088848629442286</v>
      </c>
    </row>
    <row r="649" spans="1:30">
      <c r="A649" t="s">
        <v>478</v>
      </c>
      <c r="B649" t="s">
        <v>37</v>
      </c>
      <c r="C649" t="s">
        <v>38</v>
      </c>
      <c r="D649" t="s">
        <v>39</v>
      </c>
      <c r="E649" s="2">
        <v>46123</v>
      </c>
      <c r="F649" t="s">
        <v>40</v>
      </c>
      <c r="G649">
        <v>115.5</v>
      </c>
      <c r="H649">
        <v>79.8</v>
      </c>
      <c r="I649">
        <v>-1957.8</v>
      </c>
      <c r="J649">
        <v>67.7</v>
      </c>
      <c r="K649">
        <v>0</v>
      </c>
      <c r="L649">
        <v>0.1</v>
      </c>
      <c r="M649">
        <v>0</v>
      </c>
      <c r="N649">
        <v>67.8</v>
      </c>
      <c r="O649">
        <v>115.09</v>
      </c>
      <c r="P649">
        <v>115.16</v>
      </c>
      <c r="Q649">
        <v>3.86</v>
      </c>
      <c r="R649">
        <v>3.98</v>
      </c>
      <c r="S649">
        <f t="shared" si="336"/>
        <v>0.58928085420712684</v>
      </c>
      <c r="T649">
        <f t="shared" si="337"/>
        <v>0.3262679232698536</v>
      </c>
      <c r="U649">
        <f t="shared" si="345"/>
        <v>0</v>
      </c>
      <c r="V649">
        <f t="shared" si="338"/>
        <v>0.86197700183094261</v>
      </c>
      <c r="W649" t="str">
        <f t="shared" si="346"/>
        <v/>
      </c>
      <c r="X649">
        <f t="shared" si="339"/>
        <v>0.96799498319040234</v>
      </c>
      <c r="Y649" t="str">
        <f t="shared" si="347"/>
        <v/>
      </c>
      <c r="Z649">
        <f t="shared" si="340"/>
        <v>0.86492480007870098</v>
      </c>
      <c r="AA649">
        <f t="shared" si="341"/>
        <v>0.93696360537993451</v>
      </c>
      <c r="AB649">
        <f t="shared" si="342"/>
        <v>0.11153511779575867</v>
      </c>
      <c r="AC649">
        <f t="shared" si="343"/>
        <v>0.25831810479449585</v>
      </c>
      <c r="AD649">
        <f t="shared" si="344"/>
        <v>0.83984536970292256</v>
      </c>
    </row>
    <row r="650" spans="1:30">
      <c r="A650" t="s">
        <v>479</v>
      </c>
      <c r="B650" t="s">
        <v>31</v>
      </c>
      <c r="C650" t="s">
        <v>32</v>
      </c>
      <c r="D650" t="s">
        <v>33</v>
      </c>
      <c r="E650" s="2">
        <v>46123</v>
      </c>
      <c r="F650" t="s">
        <v>40</v>
      </c>
      <c r="G650">
        <v>145.5</v>
      </c>
      <c r="H650">
        <v>97.8</v>
      </c>
      <c r="I650">
        <v>-1957.8</v>
      </c>
      <c r="J650">
        <v>67.7</v>
      </c>
      <c r="K650">
        <v>0</v>
      </c>
      <c r="L650">
        <v>0.6</v>
      </c>
      <c r="M650">
        <v>0</v>
      </c>
      <c r="N650">
        <v>68.3</v>
      </c>
      <c r="O650">
        <v>111.72</v>
      </c>
      <c r="P650">
        <v>117.8</v>
      </c>
      <c r="Q650">
        <v>8.06</v>
      </c>
      <c r="R650">
        <v>7.57</v>
      </c>
      <c r="S650">
        <f t="shared" ref="S650:S670" si="348">IF(OR(G650=0,G650=""),"",ABS((G650-152.740594)/5.729485))</f>
        <v>1.2637425527774289</v>
      </c>
      <c r="T650">
        <f t="shared" ref="T650:T670" si="349">IF(OR(H650=0,H650=""),"",ABS((H650-96.426733)/5.037499))</f>
        <v>0.27260888786280618</v>
      </c>
      <c r="U650">
        <f t="shared" si="345"/>
        <v>0</v>
      </c>
      <c r="V650">
        <f t="shared" ref="V650:V670" si="350">IF(OR(J650=0,J650=""),"",ABS((J650-69.40099)/2.222902))</f>
        <v>0.76521142182605906</v>
      </c>
      <c r="W650" t="str">
        <f t="shared" si="346"/>
        <v/>
      </c>
      <c r="X650">
        <f t="shared" ref="X650:X670" si="351">IF(OR(L650=0,L650=""),"",ABS((L650-1.849749)/1.393269))</f>
        <v>0.89699045912885444</v>
      </c>
      <c r="Y650" t="str">
        <f t="shared" si="347"/>
        <v/>
      </c>
      <c r="Z650">
        <f t="shared" ref="Z650:Z670" si="352">IF(OR(N650=0,N650=""),"",ABS((N650-69.231188)/2.519549))</f>
        <v>0.36958519163548947</v>
      </c>
      <c r="AA650">
        <f t="shared" ref="AA650:AA670" si="353">IF(OR(O650=0,O650=""),"",ABS((O650-113.18)/1.73698))</f>
        <v>0.84053932687768884</v>
      </c>
      <c r="AB650">
        <f t="shared" ref="AB650:AB670" si="354">IF(OR(P650=0,P650=""),"",ABS((P650-114.765594)/1.645198))</f>
        <v>1.8444017072717109</v>
      </c>
      <c r="AC650">
        <f t="shared" ref="AC650:AC670" si="355">IF(OR(Q650=0,Q650=""),"",ABS((Q650-8.040149)/0.55663))</f>
        <v>3.5662828090474739E-2</v>
      </c>
      <c r="AD650">
        <f t="shared" ref="AD650:AD670" si="356">IF(OR(R650=0,R650=""),"",ABS((R650-7.915297)/0.399795))</f>
        <v>0.86368513863354845</v>
      </c>
    </row>
    <row r="651" spans="1:30">
      <c r="A651" t="s">
        <v>163</v>
      </c>
      <c r="B651" t="s">
        <v>31</v>
      </c>
      <c r="C651" t="s">
        <v>32</v>
      </c>
      <c r="D651" t="s">
        <v>33</v>
      </c>
      <c r="E651" s="2">
        <v>46125</v>
      </c>
      <c r="F651" t="s">
        <v>34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tr">
        <f t="shared" si="348"/>
        <v/>
      </c>
      <c r="T651" t="str">
        <f t="shared" si="349"/>
        <v/>
      </c>
      <c r="U651" t="str">
        <f t="shared" si="345"/>
        <v/>
      </c>
      <c r="V651" t="str">
        <f t="shared" si="350"/>
        <v/>
      </c>
      <c r="W651" t="str">
        <f t="shared" si="346"/>
        <v/>
      </c>
      <c r="X651" t="str">
        <f t="shared" si="351"/>
        <v/>
      </c>
      <c r="Y651" t="str">
        <f t="shared" si="347"/>
        <v/>
      </c>
      <c r="Z651" t="str">
        <f t="shared" si="352"/>
        <v/>
      </c>
      <c r="AA651" t="str">
        <f t="shared" si="353"/>
        <v/>
      </c>
      <c r="AB651" t="str">
        <f t="shared" si="354"/>
        <v/>
      </c>
      <c r="AC651" t="str">
        <f t="shared" si="355"/>
        <v/>
      </c>
      <c r="AD651" t="str">
        <f t="shared" si="356"/>
        <v/>
      </c>
    </row>
    <row r="652" spans="1:30">
      <c r="A652" t="s">
        <v>480</v>
      </c>
      <c r="B652" t="s">
        <v>31</v>
      </c>
      <c r="C652" t="s">
        <v>32</v>
      </c>
      <c r="D652" t="s">
        <v>33</v>
      </c>
      <c r="E652" s="2">
        <v>46125</v>
      </c>
      <c r="F652" t="s">
        <v>40</v>
      </c>
      <c r="G652">
        <v>158</v>
      </c>
      <c r="H652">
        <v>93.3</v>
      </c>
      <c r="I652">
        <v>-1957.8</v>
      </c>
      <c r="J652">
        <v>67.3</v>
      </c>
      <c r="K652">
        <v>0</v>
      </c>
      <c r="L652">
        <v>0.6</v>
      </c>
      <c r="M652">
        <v>0</v>
      </c>
      <c r="N652">
        <v>67.900000000000006</v>
      </c>
      <c r="O652">
        <v>112.01</v>
      </c>
      <c r="P652">
        <v>113.26</v>
      </c>
      <c r="Q652">
        <v>7.15</v>
      </c>
      <c r="R652">
        <v>7.62</v>
      </c>
      <c r="S652">
        <f t="shared" si="348"/>
        <v>0.91795440602427836</v>
      </c>
      <c r="T652">
        <f t="shared" si="349"/>
        <v>0.62069153760626083</v>
      </c>
      <c r="U652">
        <f t="shared" si="345"/>
        <v>0</v>
      </c>
      <c r="V652">
        <f t="shared" si="350"/>
        <v>0.94515637666437657</v>
      </c>
      <c r="W652" t="str">
        <f t="shared" si="346"/>
        <v/>
      </c>
      <c r="X652">
        <f t="shared" si="351"/>
        <v>0.89699045912885444</v>
      </c>
      <c r="Y652" t="str">
        <f t="shared" si="347"/>
        <v/>
      </c>
      <c r="Z652">
        <f t="shared" si="352"/>
        <v>0.5283437631099841</v>
      </c>
      <c r="AA652">
        <f t="shared" si="353"/>
        <v>0.67358288523759724</v>
      </c>
      <c r="AB652">
        <f t="shared" si="354"/>
        <v>0.91514456010765144</v>
      </c>
      <c r="AC652">
        <f t="shared" si="355"/>
        <v>1.5991753947864815</v>
      </c>
      <c r="AD652">
        <f t="shared" si="356"/>
        <v>0.73862104328468259</v>
      </c>
    </row>
    <row r="653" spans="1:30">
      <c r="A653" t="s">
        <v>481</v>
      </c>
      <c r="B653" t="s">
        <v>31</v>
      </c>
      <c r="C653" t="s">
        <v>32</v>
      </c>
      <c r="D653" t="s">
        <v>33</v>
      </c>
      <c r="E653" s="2">
        <v>46125</v>
      </c>
      <c r="F653" t="s">
        <v>40</v>
      </c>
      <c r="G653">
        <v>153.9</v>
      </c>
      <c r="H653">
        <v>94.2</v>
      </c>
      <c r="I653">
        <v>-1957.8</v>
      </c>
      <c r="J653">
        <v>67.7</v>
      </c>
      <c r="K653">
        <v>0</v>
      </c>
      <c r="L653">
        <v>0.6</v>
      </c>
      <c r="M653">
        <v>0</v>
      </c>
      <c r="N653">
        <v>68.3</v>
      </c>
      <c r="O653">
        <v>115.09</v>
      </c>
      <c r="P653">
        <v>115.16</v>
      </c>
      <c r="Q653">
        <v>8.3699999999999992</v>
      </c>
      <c r="R653">
        <v>8.06</v>
      </c>
      <c r="S653">
        <f t="shared" si="348"/>
        <v>0.20235780353731939</v>
      </c>
      <c r="T653">
        <f t="shared" si="349"/>
        <v>0.4420314525124463</v>
      </c>
      <c r="U653">
        <f t="shared" si="345"/>
        <v>0</v>
      </c>
      <c r="V653">
        <f t="shared" si="350"/>
        <v>0.76521142182605906</v>
      </c>
      <c r="W653" t="str">
        <f t="shared" si="346"/>
        <v/>
      </c>
      <c r="X653">
        <f t="shared" si="351"/>
        <v>0.89699045912885444</v>
      </c>
      <c r="Y653" t="str">
        <f t="shared" si="347"/>
        <v/>
      </c>
      <c r="Z653">
        <f t="shared" si="352"/>
        <v>0.36958519163548947</v>
      </c>
      <c r="AA653">
        <f t="shared" si="353"/>
        <v>1.0996096673536808</v>
      </c>
      <c r="AB653">
        <f t="shared" si="354"/>
        <v>0.23973163108635168</v>
      </c>
      <c r="AC653">
        <f t="shared" si="355"/>
        <v>0.59258573918042456</v>
      </c>
      <c r="AD653">
        <f t="shared" si="356"/>
        <v>0.36194299578534173</v>
      </c>
    </row>
    <row r="654" spans="1:30">
      <c r="A654" t="s">
        <v>482</v>
      </c>
      <c r="B654" t="s">
        <v>31</v>
      </c>
      <c r="C654" t="s">
        <v>32</v>
      </c>
      <c r="D654" t="s">
        <v>33</v>
      </c>
      <c r="E654" s="2">
        <v>46125</v>
      </c>
      <c r="F654" t="s">
        <v>34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tr">
        <f t="shared" si="348"/>
        <v/>
      </c>
      <c r="T654" t="str">
        <f t="shared" si="349"/>
        <v/>
      </c>
      <c r="U654" t="str">
        <f t="shared" si="345"/>
        <v/>
      </c>
      <c r="V654" t="str">
        <f t="shared" si="350"/>
        <v/>
      </c>
      <c r="W654" t="str">
        <f t="shared" si="346"/>
        <v/>
      </c>
      <c r="X654" t="str">
        <f t="shared" si="351"/>
        <v/>
      </c>
      <c r="Y654" t="str">
        <f t="shared" si="347"/>
        <v/>
      </c>
      <c r="Z654" t="str">
        <f t="shared" si="352"/>
        <v/>
      </c>
      <c r="AA654" t="str">
        <f t="shared" si="353"/>
        <v/>
      </c>
      <c r="AB654" t="str">
        <f t="shared" si="354"/>
        <v/>
      </c>
      <c r="AC654" t="str">
        <f t="shared" si="355"/>
        <v/>
      </c>
      <c r="AD654" t="str">
        <f t="shared" si="356"/>
        <v/>
      </c>
    </row>
    <row r="655" spans="1:30">
      <c r="A655" t="s">
        <v>482</v>
      </c>
      <c r="B655" t="s">
        <v>31</v>
      </c>
      <c r="C655" t="s">
        <v>32</v>
      </c>
      <c r="D655" t="s">
        <v>33</v>
      </c>
      <c r="E655" s="2">
        <v>46125</v>
      </c>
      <c r="F655" t="s">
        <v>34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tr">
        <f t="shared" si="348"/>
        <v/>
      </c>
      <c r="T655" t="str">
        <f t="shared" si="349"/>
        <v/>
      </c>
      <c r="U655" t="str">
        <f t="shared" si="345"/>
        <v/>
      </c>
      <c r="V655" t="str">
        <f t="shared" si="350"/>
        <v/>
      </c>
      <c r="W655" t="str">
        <f t="shared" si="346"/>
        <v/>
      </c>
      <c r="X655" t="str">
        <f t="shared" si="351"/>
        <v/>
      </c>
      <c r="Y655" t="str">
        <f t="shared" si="347"/>
        <v/>
      </c>
      <c r="Z655" t="str">
        <f t="shared" si="352"/>
        <v/>
      </c>
      <c r="AA655" t="str">
        <f t="shared" si="353"/>
        <v/>
      </c>
      <c r="AB655" t="str">
        <f t="shared" si="354"/>
        <v/>
      </c>
      <c r="AC655" t="str">
        <f t="shared" si="355"/>
        <v/>
      </c>
      <c r="AD655" t="str">
        <f t="shared" si="356"/>
        <v/>
      </c>
    </row>
    <row r="656" spans="1:30">
      <c r="A656" t="s">
        <v>482</v>
      </c>
      <c r="B656" t="s">
        <v>31</v>
      </c>
      <c r="C656" t="s">
        <v>32</v>
      </c>
      <c r="D656" t="s">
        <v>33</v>
      </c>
      <c r="E656" s="2">
        <v>46125</v>
      </c>
      <c r="F656" t="s">
        <v>34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tr">
        <f t="shared" si="348"/>
        <v/>
      </c>
      <c r="T656" t="str">
        <f t="shared" si="349"/>
        <v/>
      </c>
      <c r="U656" t="str">
        <f t="shared" si="345"/>
        <v/>
      </c>
      <c r="V656" t="str">
        <f t="shared" si="350"/>
        <v/>
      </c>
      <c r="W656" t="str">
        <f t="shared" si="346"/>
        <v/>
      </c>
      <c r="X656" t="str">
        <f t="shared" si="351"/>
        <v/>
      </c>
      <c r="Y656" t="str">
        <f t="shared" si="347"/>
        <v/>
      </c>
      <c r="Z656" t="str">
        <f t="shared" si="352"/>
        <v/>
      </c>
      <c r="AA656" t="str">
        <f t="shared" si="353"/>
        <v/>
      </c>
      <c r="AB656" t="str">
        <f t="shared" si="354"/>
        <v/>
      </c>
      <c r="AC656" t="str">
        <f t="shared" si="355"/>
        <v/>
      </c>
      <c r="AD656" t="str">
        <f t="shared" si="356"/>
        <v/>
      </c>
    </row>
    <row r="657" spans="1:30">
      <c r="A657" t="s">
        <v>482</v>
      </c>
      <c r="B657" t="s">
        <v>31</v>
      </c>
      <c r="C657" t="s">
        <v>32</v>
      </c>
      <c r="D657" t="s">
        <v>33</v>
      </c>
      <c r="E657" s="2">
        <v>46125</v>
      </c>
      <c r="F657" t="s">
        <v>34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tr">
        <f t="shared" si="348"/>
        <v/>
      </c>
      <c r="T657" t="str">
        <f t="shared" si="349"/>
        <v/>
      </c>
      <c r="U657" t="str">
        <f t="shared" si="345"/>
        <v/>
      </c>
      <c r="V657" t="str">
        <f t="shared" si="350"/>
        <v/>
      </c>
      <c r="W657" t="str">
        <f t="shared" si="346"/>
        <v/>
      </c>
      <c r="X657" t="str">
        <f t="shared" si="351"/>
        <v/>
      </c>
      <c r="Y657" t="str">
        <f t="shared" si="347"/>
        <v/>
      </c>
      <c r="Z657" t="str">
        <f t="shared" si="352"/>
        <v/>
      </c>
      <c r="AA657" t="str">
        <f t="shared" si="353"/>
        <v/>
      </c>
      <c r="AB657" t="str">
        <f t="shared" si="354"/>
        <v/>
      </c>
      <c r="AC657" t="str">
        <f t="shared" si="355"/>
        <v/>
      </c>
      <c r="AD657" t="str">
        <f t="shared" si="356"/>
        <v/>
      </c>
    </row>
    <row r="658" spans="1:30">
      <c r="A658" t="s">
        <v>482</v>
      </c>
      <c r="B658" t="s">
        <v>31</v>
      </c>
      <c r="C658" t="s">
        <v>32</v>
      </c>
      <c r="D658" t="s">
        <v>33</v>
      </c>
      <c r="E658" s="2">
        <v>46125</v>
      </c>
      <c r="F658" t="s">
        <v>34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tr">
        <f t="shared" si="348"/>
        <v/>
      </c>
      <c r="T658" t="str">
        <f t="shared" si="349"/>
        <v/>
      </c>
      <c r="U658" t="str">
        <f t="shared" si="345"/>
        <v/>
      </c>
      <c r="V658" t="str">
        <f t="shared" si="350"/>
        <v/>
      </c>
      <c r="W658" t="str">
        <f t="shared" si="346"/>
        <v/>
      </c>
      <c r="X658" t="str">
        <f t="shared" si="351"/>
        <v/>
      </c>
      <c r="Y658" t="str">
        <f t="shared" si="347"/>
        <v/>
      </c>
      <c r="Z658" t="str">
        <f t="shared" si="352"/>
        <v/>
      </c>
      <c r="AA658" t="str">
        <f t="shared" si="353"/>
        <v/>
      </c>
      <c r="AB658" t="str">
        <f t="shared" si="354"/>
        <v/>
      </c>
      <c r="AC658" t="str">
        <f t="shared" si="355"/>
        <v/>
      </c>
      <c r="AD658" t="str">
        <f t="shared" si="356"/>
        <v/>
      </c>
    </row>
    <row r="659" spans="1:30">
      <c r="A659" t="s">
        <v>483</v>
      </c>
      <c r="B659" t="s">
        <v>31</v>
      </c>
      <c r="C659" t="s">
        <v>32</v>
      </c>
      <c r="D659" t="s">
        <v>33</v>
      </c>
      <c r="E659" s="2">
        <v>46125</v>
      </c>
      <c r="F659" t="s">
        <v>34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tr">
        <f t="shared" si="348"/>
        <v/>
      </c>
      <c r="T659" t="str">
        <f t="shared" si="349"/>
        <v/>
      </c>
      <c r="U659" t="str">
        <f t="shared" si="345"/>
        <v/>
      </c>
      <c r="V659" t="str">
        <f t="shared" si="350"/>
        <v/>
      </c>
      <c r="W659" t="str">
        <f t="shared" si="346"/>
        <v/>
      </c>
      <c r="X659" t="str">
        <f t="shared" si="351"/>
        <v/>
      </c>
      <c r="Y659" t="str">
        <f t="shared" si="347"/>
        <v/>
      </c>
      <c r="Z659" t="str">
        <f t="shared" si="352"/>
        <v/>
      </c>
      <c r="AA659" t="str">
        <f t="shared" si="353"/>
        <v/>
      </c>
      <c r="AB659" t="str">
        <f t="shared" si="354"/>
        <v/>
      </c>
      <c r="AC659" t="str">
        <f t="shared" si="355"/>
        <v/>
      </c>
      <c r="AD659" t="str">
        <f t="shared" si="356"/>
        <v/>
      </c>
    </row>
    <row r="660" spans="1:30">
      <c r="A660" t="s">
        <v>483</v>
      </c>
      <c r="B660" t="s">
        <v>31</v>
      </c>
      <c r="C660" t="s">
        <v>32</v>
      </c>
      <c r="D660" t="s">
        <v>33</v>
      </c>
      <c r="E660" s="2">
        <v>46125</v>
      </c>
      <c r="F660" t="s">
        <v>40</v>
      </c>
      <c r="G660">
        <v>157.5</v>
      </c>
      <c r="H660">
        <v>95.5</v>
      </c>
      <c r="I660">
        <v>-1957.8</v>
      </c>
      <c r="J660">
        <v>70</v>
      </c>
      <c r="K660">
        <v>0</v>
      </c>
      <c r="L660">
        <v>0.1</v>
      </c>
      <c r="M660">
        <v>0</v>
      </c>
      <c r="N660">
        <v>69.900000000000006</v>
      </c>
      <c r="O660">
        <v>111.72</v>
      </c>
      <c r="P660">
        <v>113.18</v>
      </c>
      <c r="Q660">
        <v>8.18</v>
      </c>
      <c r="R660">
        <v>8.11</v>
      </c>
      <c r="S660">
        <f t="shared" si="348"/>
        <v>0.83068652767221007</v>
      </c>
      <c r="T660">
        <f t="shared" si="349"/>
        <v>0.18396688515471638</v>
      </c>
      <c r="U660">
        <f t="shared" si="345"/>
        <v>0</v>
      </c>
      <c r="V660">
        <f t="shared" si="350"/>
        <v>0.26947206849425076</v>
      </c>
      <c r="W660" t="str">
        <f t="shared" si="346"/>
        <v/>
      </c>
      <c r="X660">
        <f t="shared" si="351"/>
        <v>1.2558587035238709</v>
      </c>
      <c r="Y660" t="str">
        <f t="shared" si="347"/>
        <v/>
      </c>
      <c r="Z660">
        <f t="shared" si="352"/>
        <v>0.26544909426250596</v>
      </c>
      <c r="AA660">
        <f t="shared" si="353"/>
        <v>0.84053932687768884</v>
      </c>
      <c r="AB660">
        <f t="shared" si="354"/>
        <v>0.96377092605266124</v>
      </c>
      <c r="AC660">
        <f t="shared" si="355"/>
        <v>0.25124589044787415</v>
      </c>
      <c r="AD660">
        <f t="shared" si="356"/>
        <v>0.48700709113420532</v>
      </c>
    </row>
    <row r="661" spans="1:30">
      <c r="A661" t="s">
        <v>484</v>
      </c>
      <c r="B661" t="s">
        <v>31</v>
      </c>
      <c r="C661" t="s">
        <v>32</v>
      </c>
      <c r="D661" t="s">
        <v>33</v>
      </c>
      <c r="E661" s="2">
        <v>46125</v>
      </c>
      <c r="F661" t="s">
        <v>40</v>
      </c>
      <c r="G661">
        <v>162.9</v>
      </c>
      <c r="H661">
        <v>95.1</v>
      </c>
      <c r="I661">
        <v>-1957.8</v>
      </c>
      <c r="J661">
        <v>70</v>
      </c>
      <c r="K661">
        <v>0</v>
      </c>
      <c r="L661">
        <v>0.4</v>
      </c>
      <c r="M661">
        <v>0</v>
      </c>
      <c r="N661">
        <v>69.599999999999994</v>
      </c>
      <c r="O661">
        <v>111.42</v>
      </c>
      <c r="P661">
        <v>113.04</v>
      </c>
      <c r="Q661">
        <v>8.42</v>
      </c>
      <c r="R661">
        <v>8.1300000000000008</v>
      </c>
      <c r="S661">
        <f t="shared" si="348"/>
        <v>1.7731796138745486</v>
      </c>
      <c r="T661">
        <f t="shared" si="349"/>
        <v>0.26337136741863459</v>
      </c>
      <c r="U661">
        <f t="shared" si="345"/>
        <v>0</v>
      </c>
      <c r="V661">
        <f t="shared" si="350"/>
        <v>0.26947206849425076</v>
      </c>
      <c r="W661" t="str">
        <f t="shared" si="346"/>
        <v/>
      </c>
      <c r="X661">
        <f t="shared" si="351"/>
        <v>1.040537756886861</v>
      </c>
      <c r="Y661" t="str">
        <f t="shared" si="347"/>
        <v/>
      </c>
      <c r="Z661">
        <f t="shared" si="352"/>
        <v>0.14638016565662793</v>
      </c>
      <c r="AA661">
        <f t="shared" si="353"/>
        <v>1.0132528871950195</v>
      </c>
      <c r="AB661">
        <f t="shared" si="354"/>
        <v>1.0488670664564306</v>
      </c>
      <c r="AC661">
        <f t="shared" si="355"/>
        <v>0.68241201516267613</v>
      </c>
      <c r="AD661">
        <f t="shared" si="356"/>
        <v>0.53703272927375523</v>
      </c>
    </row>
    <row r="662" spans="1:30">
      <c r="A662" t="s">
        <v>485</v>
      </c>
      <c r="B662" t="s">
        <v>31</v>
      </c>
      <c r="C662" t="s">
        <v>32</v>
      </c>
      <c r="D662" t="s">
        <v>33</v>
      </c>
      <c r="E662" s="2">
        <v>46125</v>
      </c>
      <c r="F662" t="s">
        <v>40</v>
      </c>
      <c r="G662">
        <v>154.80000000000001</v>
      </c>
      <c r="H662">
        <v>95.1</v>
      </c>
      <c r="I662">
        <v>-1957.8</v>
      </c>
      <c r="J662">
        <v>70</v>
      </c>
      <c r="K662">
        <v>0</v>
      </c>
      <c r="L662">
        <v>0.4</v>
      </c>
      <c r="M662">
        <v>0</v>
      </c>
      <c r="N662">
        <v>69.599999999999994</v>
      </c>
      <c r="O662">
        <v>114.58</v>
      </c>
      <c r="P662">
        <v>114.36</v>
      </c>
      <c r="Q662">
        <v>8.08</v>
      </c>
      <c r="R662">
        <v>7.93</v>
      </c>
      <c r="S662">
        <f t="shared" si="348"/>
        <v>0.35943998457104326</v>
      </c>
      <c r="T662">
        <f t="shared" si="349"/>
        <v>0.26337136741863459</v>
      </c>
      <c r="U662">
        <f t="shared" si="345"/>
        <v>0</v>
      </c>
      <c r="V662">
        <f t="shared" si="350"/>
        <v>0.26947206849425076</v>
      </c>
      <c r="W662" t="str">
        <f t="shared" si="346"/>
        <v/>
      </c>
      <c r="X662">
        <f t="shared" si="351"/>
        <v>1.040537756886861</v>
      </c>
      <c r="Y662" t="str">
        <f t="shared" si="347"/>
        <v/>
      </c>
      <c r="Z662">
        <f t="shared" si="352"/>
        <v>0.14638016565662793</v>
      </c>
      <c r="AA662">
        <f t="shared" si="353"/>
        <v>0.80599661481421292</v>
      </c>
      <c r="AB662">
        <f t="shared" si="354"/>
        <v>0.24653202836375535</v>
      </c>
      <c r="AC662">
        <f t="shared" si="355"/>
        <v>7.1593338483374111E-2</v>
      </c>
      <c r="AD662">
        <f t="shared" si="356"/>
        <v>3.6776347878287395E-2</v>
      </c>
    </row>
    <row r="663" spans="1:30">
      <c r="A663" t="s">
        <v>486</v>
      </c>
      <c r="B663" t="s">
        <v>31</v>
      </c>
      <c r="C663" t="s">
        <v>32</v>
      </c>
      <c r="D663" t="s">
        <v>33</v>
      </c>
      <c r="E663" s="2">
        <v>46125</v>
      </c>
      <c r="F663" t="s">
        <v>40</v>
      </c>
      <c r="G663">
        <v>163.80000000000001</v>
      </c>
      <c r="H663">
        <v>91.5</v>
      </c>
      <c r="I663">
        <v>-1957.8</v>
      </c>
      <c r="J663">
        <v>69.5</v>
      </c>
      <c r="K663">
        <v>0</v>
      </c>
      <c r="L663">
        <v>0.4</v>
      </c>
      <c r="M663">
        <v>0</v>
      </c>
      <c r="N663">
        <v>69.900000000000006</v>
      </c>
      <c r="O663">
        <v>111.57</v>
      </c>
      <c r="P663">
        <v>113.11</v>
      </c>
      <c r="Q663">
        <v>8.4700000000000006</v>
      </c>
      <c r="R663">
        <v>8.1300000000000008</v>
      </c>
      <c r="S663">
        <f t="shared" si="348"/>
        <v>1.9302617949082725</v>
      </c>
      <c r="T663">
        <f t="shared" si="349"/>
        <v>0.97801170779388702</v>
      </c>
      <c r="U663">
        <f t="shared" si="345"/>
        <v>0</v>
      </c>
      <c r="V663">
        <f t="shared" si="350"/>
        <v>4.4540874946357029E-2</v>
      </c>
      <c r="W663" t="str">
        <f t="shared" si="346"/>
        <v/>
      </c>
      <c r="X663">
        <f t="shared" si="351"/>
        <v>1.040537756886861</v>
      </c>
      <c r="Y663" t="str">
        <f t="shared" si="347"/>
        <v/>
      </c>
      <c r="Z663">
        <f t="shared" si="352"/>
        <v>0.26544909426250596</v>
      </c>
      <c r="AA663">
        <f t="shared" si="353"/>
        <v>0.92689610703635827</v>
      </c>
      <c r="AB663">
        <f t="shared" si="354"/>
        <v>1.0063189962545502</v>
      </c>
      <c r="AC663">
        <f t="shared" si="355"/>
        <v>0.7722382911449277</v>
      </c>
      <c r="AD663">
        <f t="shared" si="356"/>
        <v>0.53703272927375523</v>
      </c>
    </row>
    <row r="664" spans="1:30">
      <c r="A664" t="s">
        <v>487</v>
      </c>
      <c r="B664" t="s">
        <v>31</v>
      </c>
      <c r="C664" t="s">
        <v>32</v>
      </c>
      <c r="D664" t="s">
        <v>33</v>
      </c>
      <c r="E664" s="2">
        <v>46125</v>
      </c>
      <c r="F664" t="s">
        <v>40</v>
      </c>
      <c r="G664">
        <v>149.5</v>
      </c>
      <c r="H664">
        <v>101.4</v>
      </c>
      <c r="I664">
        <v>-1957.8</v>
      </c>
      <c r="J664">
        <v>69.5</v>
      </c>
      <c r="K664">
        <v>0</v>
      </c>
      <c r="L664">
        <v>0.2</v>
      </c>
      <c r="M664">
        <v>0</v>
      </c>
      <c r="N664">
        <v>69.3</v>
      </c>
      <c r="O664">
        <v>114.87</v>
      </c>
      <c r="P664">
        <v>114.87</v>
      </c>
      <c r="Q664">
        <v>8.42</v>
      </c>
      <c r="R664">
        <v>8.35</v>
      </c>
      <c r="S664">
        <f t="shared" si="348"/>
        <v>0.56559952596088259</v>
      </c>
      <c r="T664">
        <f t="shared" si="349"/>
        <v>0.98724922823806149</v>
      </c>
      <c r="U664">
        <f t="shared" si="345"/>
        <v>0</v>
      </c>
      <c r="V664">
        <f t="shared" si="350"/>
        <v>4.4540874946357029E-2</v>
      </c>
      <c r="W664" t="str">
        <f t="shared" si="346"/>
        <v/>
      </c>
      <c r="X664">
        <f t="shared" si="351"/>
        <v>1.1840850546448676</v>
      </c>
      <c r="Y664" t="str">
        <f t="shared" si="347"/>
        <v/>
      </c>
      <c r="Z664">
        <f t="shared" si="352"/>
        <v>2.7311237050755551E-2</v>
      </c>
      <c r="AA664">
        <f t="shared" si="353"/>
        <v>0.97295305645430441</v>
      </c>
      <c r="AB664">
        <f t="shared" si="354"/>
        <v>6.3461054535692091E-2</v>
      </c>
      <c r="AC664">
        <f t="shared" si="355"/>
        <v>0.68241201516267613</v>
      </c>
      <c r="AD664">
        <f t="shared" si="356"/>
        <v>1.087314748808764</v>
      </c>
    </row>
    <row r="665" spans="1:30">
      <c r="A665" t="s">
        <v>488</v>
      </c>
      <c r="B665" t="s">
        <v>31</v>
      </c>
      <c r="C665" t="s">
        <v>32</v>
      </c>
      <c r="D665" t="s">
        <v>33</v>
      </c>
      <c r="E665" s="2">
        <v>46125</v>
      </c>
      <c r="F665" t="s">
        <v>34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tr">
        <f t="shared" si="348"/>
        <v/>
      </c>
      <c r="T665" t="str">
        <f t="shared" si="349"/>
        <v/>
      </c>
      <c r="U665" t="str">
        <f t="shared" si="345"/>
        <v/>
      </c>
      <c r="V665" t="str">
        <f t="shared" si="350"/>
        <v/>
      </c>
      <c r="W665" t="str">
        <f t="shared" si="346"/>
        <v/>
      </c>
      <c r="X665" t="str">
        <f t="shared" si="351"/>
        <v/>
      </c>
      <c r="Y665" t="str">
        <f t="shared" si="347"/>
        <v/>
      </c>
      <c r="Z665" t="str">
        <f t="shared" si="352"/>
        <v/>
      </c>
      <c r="AA665" t="str">
        <f t="shared" si="353"/>
        <v/>
      </c>
      <c r="AB665" t="str">
        <f t="shared" si="354"/>
        <v/>
      </c>
      <c r="AC665" t="str">
        <f t="shared" si="355"/>
        <v/>
      </c>
      <c r="AD665" t="str">
        <f t="shared" si="356"/>
        <v/>
      </c>
    </row>
    <row r="666" spans="1:30">
      <c r="A666" t="s">
        <v>488</v>
      </c>
      <c r="B666" t="s">
        <v>31</v>
      </c>
      <c r="C666" t="s">
        <v>32</v>
      </c>
      <c r="D666" t="s">
        <v>33</v>
      </c>
      <c r="E666" s="2">
        <v>46125</v>
      </c>
      <c r="F666" t="s">
        <v>40</v>
      </c>
      <c r="G666">
        <v>164.7</v>
      </c>
      <c r="H666">
        <v>96.4</v>
      </c>
      <c r="I666">
        <v>-1957.8</v>
      </c>
      <c r="J666">
        <v>70.400000000000006</v>
      </c>
      <c r="K666">
        <v>0</v>
      </c>
      <c r="L666">
        <v>1</v>
      </c>
      <c r="M666">
        <v>0</v>
      </c>
      <c r="N666">
        <v>71.400000000000006</v>
      </c>
      <c r="O666">
        <v>114.72</v>
      </c>
      <c r="P666">
        <v>114.65</v>
      </c>
      <c r="Q666">
        <v>8.23</v>
      </c>
      <c r="R666">
        <v>8.1300000000000008</v>
      </c>
      <c r="S666">
        <f t="shared" si="348"/>
        <v>2.0873439759419914</v>
      </c>
      <c r="T666">
        <f t="shared" si="349"/>
        <v>5.3068000609018499E-3</v>
      </c>
      <c r="U666">
        <f t="shared" si="345"/>
        <v>0</v>
      </c>
      <c r="V666">
        <f t="shared" si="350"/>
        <v>0.44941702333256828</v>
      </c>
      <c r="W666" t="str">
        <f t="shared" si="346"/>
        <v/>
      </c>
      <c r="X666">
        <f t="shared" si="351"/>
        <v>0.60989586361284143</v>
      </c>
      <c r="Y666" t="str">
        <f t="shared" si="347"/>
        <v/>
      </c>
      <c r="Z666">
        <f t="shared" si="352"/>
        <v>0.86079373729187347</v>
      </c>
      <c r="AA666">
        <f t="shared" si="353"/>
        <v>0.88659627629563498</v>
      </c>
      <c r="AB666">
        <f t="shared" si="354"/>
        <v>7.0261451813087128E-2</v>
      </c>
      <c r="AC666">
        <f t="shared" si="355"/>
        <v>0.34107216643012572</v>
      </c>
      <c r="AD666">
        <f t="shared" si="356"/>
        <v>0.53703272927375523</v>
      </c>
    </row>
    <row r="667" spans="1:30">
      <c r="A667" t="s">
        <v>489</v>
      </c>
      <c r="B667" t="s">
        <v>31</v>
      </c>
      <c r="C667" t="s">
        <v>32</v>
      </c>
      <c r="D667" t="s">
        <v>33</v>
      </c>
      <c r="E667" s="2">
        <v>46125</v>
      </c>
      <c r="F667" t="s">
        <v>40</v>
      </c>
      <c r="G667">
        <v>161.1</v>
      </c>
      <c r="H667">
        <v>96.9</v>
      </c>
      <c r="I667">
        <v>-1957.8</v>
      </c>
      <c r="J667">
        <v>70.400000000000006</v>
      </c>
      <c r="K667">
        <v>0</v>
      </c>
      <c r="L667">
        <v>0.1</v>
      </c>
      <c r="M667">
        <v>0</v>
      </c>
      <c r="N667">
        <v>70.5</v>
      </c>
      <c r="O667">
        <v>114.5</v>
      </c>
      <c r="P667">
        <v>114.5</v>
      </c>
      <c r="Q667">
        <v>8.15</v>
      </c>
      <c r="R667">
        <v>8.08</v>
      </c>
      <c r="S667">
        <f t="shared" si="348"/>
        <v>1.4590152518071007</v>
      </c>
      <c r="T667">
        <f t="shared" si="349"/>
        <v>9.3948802768994491E-2</v>
      </c>
      <c r="U667">
        <f t="shared" si="345"/>
        <v>0</v>
      </c>
      <c r="V667">
        <f t="shared" si="350"/>
        <v>0.44941702333256828</v>
      </c>
      <c r="W667" t="str">
        <f t="shared" si="346"/>
        <v/>
      </c>
      <c r="X667">
        <f t="shared" si="351"/>
        <v>1.2558587035238709</v>
      </c>
      <c r="Y667" t="str">
        <f t="shared" si="347"/>
        <v/>
      </c>
      <c r="Z667">
        <f t="shared" si="352"/>
        <v>0.5035869514742507</v>
      </c>
      <c r="AA667">
        <f t="shared" si="353"/>
        <v>0.75993966539625857</v>
      </c>
      <c r="AB667">
        <f t="shared" si="354"/>
        <v>0.16143588795998598</v>
      </c>
      <c r="AC667">
        <f t="shared" si="355"/>
        <v>0.19735012485852507</v>
      </c>
      <c r="AD667">
        <f t="shared" si="356"/>
        <v>0.41196863392488714</v>
      </c>
    </row>
    <row r="668" spans="1:30">
      <c r="A668" t="s">
        <v>490</v>
      </c>
      <c r="B668" t="s">
        <v>31</v>
      </c>
      <c r="C668" t="s">
        <v>32</v>
      </c>
      <c r="D668" t="s">
        <v>33</v>
      </c>
      <c r="E668" s="2">
        <v>46125</v>
      </c>
      <c r="F668" t="s">
        <v>34</v>
      </c>
      <c r="G668">
        <v>70.400000000000006</v>
      </c>
      <c r="H668">
        <v>68.900000000000006</v>
      </c>
      <c r="I668">
        <v>-1957.8</v>
      </c>
      <c r="J668">
        <v>69.099999999999994</v>
      </c>
      <c r="K668">
        <v>0</v>
      </c>
      <c r="L668">
        <v>0</v>
      </c>
      <c r="M668">
        <v>0</v>
      </c>
      <c r="N668">
        <v>69.099999999999994</v>
      </c>
      <c r="O668">
        <v>112.08</v>
      </c>
      <c r="P668">
        <v>113.48</v>
      </c>
      <c r="Q668">
        <v>2.3199999999999998</v>
      </c>
      <c r="R668">
        <v>2.1</v>
      </c>
      <c r="S668">
        <f t="shared" si="348"/>
        <v>14.371377881258084</v>
      </c>
      <c r="T668">
        <f t="shared" si="349"/>
        <v>5.4643649557052001</v>
      </c>
      <c r="U668">
        <f t="shared" si="345"/>
        <v>0</v>
      </c>
      <c r="V668">
        <f t="shared" si="350"/>
        <v>0.13540407989196049</v>
      </c>
      <c r="W668" t="str">
        <f t="shared" si="346"/>
        <v/>
      </c>
      <c r="X668" t="str">
        <f t="shared" si="351"/>
        <v/>
      </c>
      <c r="Y668" t="str">
        <f t="shared" si="347"/>
        <v/>
      </c>
      <c r="Z668">
        <f t="shared" si="352"/>
        <v>5.2068048686494582E-2</v>
      </c>
      <c r="AA668">
        <f t="shared" si="353"/>
        <v>0.63328305449689037</v>
      </c>
      <c r="AB668">
        <f t="shared" si="354"/>
        <v>0.78142205375887219</v>
      </c>
      <c r="AC668">
        <f t="shared" si="355"/>
        <v>10.276393654671864</v>
      </c>
      <c r="AD668">
        <f t="shared" si="356"/>
        <v>14.545697169799521</v>
      </c>
    </row>
    <row r="669" spans="1:30">
      <c r="A669" t="s">
        <v>490</v>
      </c>
      <c r="B669" t="s">
        <v>31</v>
      </c>
      <c r="C669" t="s">
        <v>32</v>
      </c>
      <c r="D669" t="s">
        <v>33</v>
      </c>
      <c r="E669" s="2">
        <v>46125</v>
      </c>
      <c r="F669" t="s">
        <v>34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tr">
        <f t="shared" si="348"/>
        <v/>
      </c>
      <c r="T669" t="str">
        <f t="shared" si="349"/>
        <v/>
      </c>
      <c r="U669" t="str">
        <f t="shared" si="345"/>
        <v/>
      </c>
      <c r="V669" t="str">
        <f t="shared" si="350"/>
        <v/>
      </c>
      <c r="W669" t="str">
        <f t="shared" si="346"/>
        <v/>
      </c>
      <c r="X669" t="str">
        <f t="shared" si="351"/>
        <v/>
      </c>
      <c r="Y669" t="str">
        <f t="shared" si="347"/>
        <v/>
      </c>
      <c r="Z669" t="str">
        <f t="shared" si="352"/>
        <v/>
      </c>
      <c r="AA669" t="str">
        <f t="shared" si="353"/>
        <v/>
      </c>
      <c r="AB669" t="str">
        <f t="shared" si="354"/>
        <v/>
      </c>
      <c r="AC669" t="str">
        <f t="shared" si="355"/>
        <v/>
      </c>
      <c r="AD669" t="str">
        <f t="shared" si="356"/>
        <v/>
      </c>
    </row>
    <row r="670" spans="1:30">
      <c r="A670" t="s">
        <v>490</v>
      </c>
      <c r="B670" t="s">
        <v>31</v>
      </c>
      <c r="C670" t="s">
        <v>32</v>
      </c>
      <c r="D670" t="s">
        <v>33</v>
      </c>
      <c r="E670" s="2">
        <v>46125</v>
      </c>
      <c r="F670" t="s">
        <v>34</v>
      </c>
      <c r="G670">
        <v>71.3</v>
      </c>
      <c r="H670">
        <v>70.3</v>
      </c>
      <c r="I670">
        <v>-1957.8</v>
      </c>
      <c r="J670">
        <v>70.8</v>
      </c>
      <c r="K670">
        <v>0</v>
      </c>
      <c r="L670">
        <v>0.3</v>
      </c>
      <c r="M670">
        <v>0</v>
      </c>
      <c r="N670">
        <v>70.5</v>
      </c>
      <c r="O670">
        <v>116.48</v>
      </c>
      <c r="P670">
        <v>113.4</v>
      </c>
      <c r="Q670">
        <v>2.17</v>
      </c>
      <c r="R670">
        <v>2.1</v>
      </c>
      <c r="S670">
        <f t="shared" si="348"/>
        <v>14.214295700224364</v>
      </c>
      <c r="T670">
        <f t="shared" si="349"/>
        <v>5.1864492677814926</v>
      </c>
      <c r="U670">
        <f t="shared" si="345"/>
        <v>0</v>
      </c>
      <c r="V670">
        <f t="shared" si="350"/>
        <v>0.62936197817087935</v>
      </c>
      <c r="W670" t="str">
        <f t="shared" si="346"/>
        <v/>
      </c>
      <c r="X670">
        <f t="shared" si="351"/>
        <v>1.1123114057658643</v>
      </c>
      <c r="Y670" t="str">
        <f t="shared" si="347"/>
        <v/>
      </c>
      <c r="Z670">
        <f t="shared" si="352"/>
        <v>0.5035869514742507</v>
      </c>
      <c r="AA670">
        <f t="shared" si="353"/>
        <v>1.8998491634906547</v>
      </c>
      <c r="AB670">
        <f t="shared" si="354"/>
        <v>0.8300484197038821</v>
      </c>
      <c r="AC670">
        <f t="shared" si="355"/>
        <v>10.545872482618616</v>
      </c>
      <c r="AD670">
        <f t="shared" si="356"/>
        <v>14.545697169799521</v>
      </c>
    </row>
    <row r="671" spans="1:30">
      <c r="A671" t="s">
        <v>491</v>
      </c>
      <c r="B671" t="s">
        <v>37</v>
      </c>
      <c r="C671" t="s">
        <v>38</v>
      </c>
      <c r="D671" t="s">
        <v>39</v>
      </c>
      <c r="E671" s="2">
        <v>46125</v>
      </c>
      <c r="F671" t="s">
        <v>40</v>
      </c>
      <c r="G671">
        <v>113.3</v>
      </c>
      <c r="H671">
        <v>76.099999999999994</v>
      </c>
      <c r="I671">
        <v>-1957.8</v>
      </c>
      <c r="J671">
        <v>70.8</v>
      </c>
      <c r="K671">
        <v>0</v>
      </c>
      <c r="L671">
        <v>0.8</v>
      </c>
      <c r="M671">
        <v>0</v>
      </c>
      <c r="N671">
        <v>71.599999999999994</v>
      </c>
      <c r="O671">
        <v>115.24</v>
      </c>
      <c r="P671">
        <v>115.46</v>
      </c>
      <c r="Q671">
        <v>4.05</v>
      </c>
      <c r="R671">
        <v>4.08</v>
      </c>
      <c r="S671">
        <f t="shared" ref="S671:S699" si="357">IF(OR(G671=0,G671=""),"",ABS((G671-112.561871)/4.985957))</f>
        <v>0.14804158960857478</v>
      </c>
      <c r="T671">
        <f t="shared" ref="T671:T699" si="358">IF(OR(H671=0,H671=""),"",ABS((H671-80.720624)/2.821681))</f>
        <v>1.6375430107088671</v>
      </c>
      <c r="U671">
        <f t="shared" si="345"/>
        <v>0</v>
      </c>
      <c r="V671">
        <f t="shared" ref="V671:V699" si="359">IF(OR(J671=0,J671=""),"",ABS((J671-69.348681)/1.912674))</f>
        <v>0.75879057277925988</v>
      </c>
      <c r="W671" t="str">
        <f t="shared" si="346"/>
        <v/>
      </c>
      <c r="X671">
        <f t="shared" ref="X671:X699" si="360">IF(OR(L671=0,L671=""),"",ABS((L671-1.455283)/1.400093))</f>
        <v>0.46802819526988565</v>
      </c>
      <c r="Y671" t="str">
        <f t="shared" si="347"/>
        <v/>
      </c>
      <c r="Z671">
        <f t="shared" ref="Z671:Z699" si="361">IF(OR(N671=0,N671=""),"",ABS((N671-69.699041)/2.195614))</f>
        <v>0.86579835982098874</v>
      </c>
      <c r="AA671">
        <f t="shared" ref="AA671:AA699" si="362">IF(OR(O671=0,O671=""),"",ABS((O671-113.513094)/1.682996))</f>
        <v>1.0260903769230585</v>
      </c>
      <c r="AB671">
        <f t="shared" ref="AB671:AB699" si="363">IF(OR(P671=0,P671=""),"",ABS((P671-115.315492)/1.394108))</f>
        <v>0.10365624470987016</v>
      </c>
      <c r="AC671">
        <f t="shared" ref="AC671:AC699" si="364">IF(OR(Q671=0,Q671=""),"",ABS((Q671-3.821127)/0.150485))</f>
        <v>1.5209024155231394</v>
      </c>
      <c r="AD671">
        <f t="shared" ref="AD671:AD699" si="365">IF(OR(R671=0,R671=""),"",ABS((R671-3.848345)/0.156761))</f>
        <v>1.4777591365199247</v>
      </c>
    </row>
    <row r="672" spans="1:30">
      <c r="A672" t="s">
        <v>492</v>
      </c>
      <c r="B672" t="s">
        <v>37</v>
      </c>
      <c r="C672" t="s">
        <v>38</v>
      </c>
      <c r="D672" t="s">
        <v>39</v>
      </c>
      <c r="E672" s="2">
        <v>46125</v>
      </c>
      <c r="F672" t="s">
        <v>40</v>
      </c>
      <c r="G672">
        <v>110.6</v>
      </c>
      <c r="H672">
        <v>82</v>
      </c>
      <c r="I672">
        <v>-1957.8</v>
      </c>
      <c r="J672">
        <v>70.8</v>
      </c>
      <c r="K672">
        <v>0</v>
      </c>
      <c r="L672">
        <v>0.1</v>
      </c>
      <c r="M672">
        <v>0</v>
      </c>
      <c r="N672">
        <v>70.7</v>
      </c>
      <c r="O672">
        <v>115.75</v>
      </c>
      <c r="P672">
        <v>117.29</v>
      </c>
      <c r="Q672">
        <v>3.83</v>
      </c>
      <c r="R672">
        <v>3.91</v>
      </c>
      <c r="S672">
        <f t="shared" si="357"/>
        <v>0.39347932603510261</v>
      </c>
      <c r="T672">
        <f t="shared" si="358"/>
        <v>0.45340915574793861</v>
      </c>
      <c r="U672">
        <f t="shared" si="345"/>
        <v>0</v>
      </c>
      <c r="V672">
        <f t="shared" si="359"/>
        <v>0.75879057277925988</v>
      </c>
      <c r="W672" t="str">
        <f t="shared" si="346"/>
        <v/>
      </c>
      <c r="X672">
        <f t="shared" si="360"/>
        <v>0.96799498319040234</v>
      </c>
      <c r="Y672" t="str">
        <f t="shared" si="347"/>
        <v/>
      </c>
      <c r="Z672">
        <f t="shared" si="361"/>
        <v>0.45589024300264475</v>
      </c>
      <c r="AA672">
        <f t="shared" si="362"/>
        <v>1.3291214001697003</v>
      </c>
      <c r="AB672">
        <f t="shared" si="363"/>
        <v>1.4163235559942273</v>
      </c>
      <c r="AC672">
        <f t="shared" si="364"/>
        <v>5.8962687311027065E-2</v>
      </c>
      <c r="AD672">
        <f t="shared" si="365"/>
        <v>0.39330573293102244</v>
      </c>
    </row>
    <row r="673" spans="1:30">
      <c r="A673" t="s">
        <v>493</v>
      </c>
      <c r="B673" t="s">
        <v>37</v>
      </c>
      <c r="C673" t="s">
        <v>38</v>
      </c>
      <c r="D673" t="s">
        <v>39</v>
      </c>
      <c r="E673" s="2">
        <v>46125</v>
      </c>
      <c r="F673" t="s">
        <v>40</v>
      </c>
      <c r="G673">
        <v>113.7</v>
      </c>
      <c r="H673">
        <v>79.3</v>
      </c>
      <c r="I673">
        <v>-1957.8</v>
      </c>
      <c r="J673">
        <v>70.400000000000006</v>
      </c>
      <c r="K673">
        <v>0</v>
      </c>
      <c r="L673">
        <v>0.4</v>
      </c>
      <c r="M673">
        <v>0</v>
      </c>
      <c r="N673">
        <v>70</v>
      </c>
      <c r="O673">
        <v>115.75</v>
      </c>
      <c r="P673">
        <v>117.22</v>
      </c>
      <c r="Q673">
        <v>4.0999999999999996</v>
      </c>
      <c r="R673">
        <v>4.13</v>
      </c>
      <c r="S673">
        <f t="shared" si="357"/>
        <v>0.2282669104446762</v>
      </c>
      <c r="T673">
        <f t="shared" si="358"/>
        <v>0.50346725941026071</v>
      </c>
      <c r="U673">
        <f t="shared" si="345"/>
        <v>0</v>
      </c>
      <c r="V673">
        <f t="shared" si="359"/>
        <v>0.5496592728295604</v>
      </c>
      <c r="W673" t="str">
        <f t="shared" si="346"/>
        <v/>
      </c>
      <c r="X673">
        <f t="shared" si="360"/>
        <v>0.75372350265303822</v>
      </c>
      <c r="Y673" t="str">
        <f t="shared" si="347"/>
        <v/>
      </c>
      <c r="Z673">
        <f t="shared" si="361"/>
        <v>0.1370728188105951</v>
      </c>
      <c r="AA673">
        <f t="shared" si="362"/>
        <v>1.3291214001697003</v>
      </c>
      <c r="AB673">
        <f t="shared" si="363"/>
        <v>1.3661122380762416</v>
      </c>
      <c r="AC673">
        <f t="shared" si="364"/>
        <v>1.8531614446622551</v>
      </c>
      <c r="AD673">
        <f t="shared" si="365"/>
        <v>1.7967160199284244</v>
      </c>
    </row>
    <row r="674" spans="1:30">
      <c r="A674" t="s">
        <v>494</v>
      </c>
      <c r="B674" t="s">
        <v>37</v>
      </c>
      <c r="C674" t="s">
        <v>38</v>
      </c>
      <c r="D674" t="s">
        <v>39</v>
      </c>
      <c r="E674" s="2">
        <v>46125</v>
      </c>
      <c r="F674" t="s">
        <v>40</v>
      </c>
      <c r="G674">
        <v>110.2</v>
      </c>
      <c r="H674">
        <v>82.5</v>
      </c>
      <c r="I674">
        <v>-1957.8</v>
      </c>
      <c r="J674">
        <v>70.400000000000006</v>
      </c>
      <c r="K674">
        <v>0</v>
      </c>
      <c r="L674">
        <v>0.4</v>
      </c>
      <c r="M674">
        <v>0</v>
      </c>
      <c r="N674">
        <v>70</v>
      </c>
      <c r="O674">
        <v>112.01</v>
      </c>
      <c r="P674">
        <v>116.78</v>
      </c>
      <c r="Q674">
        <v>4.0999999999999996</v>
      </c>
      <c r="R674">
        <v>4.03</v>
      </c>
      <c r="S674">
        <f t="shared" si="357"/>
        <v>0.47370464687120117</v>
      </c>
      <c r="T674">
        <f t="shared" si="358"/>
        <v>0.63060849188834578</v>
      </c>
      <c r="U674">
        <f t="shared" si="345"/>
        <v>0</v>
      </c>
      <c r="V674">
        <f t="shared" si="359"/>
        <v>0.5496592728295604</v>
      </c>
      <c r="W674" t="str">
        <f t="shared" si="346"/>
        <v/>
      </c>
      <c r="X674">
        <f t="shared" si="360"/>
        <v>0.75372350265303822</v>
      </c>
      <c r="Y674" t="str">
        <f t="shared" si="347"/>
        <v/>
      </c>
      <c r="Z674">
        <f t="shared" si="361"/>
        <v>0.1370728188105951</v>
      </c>
      <c r="AA674">
        <f t="shared" si="362"/>
        <v>0.8931061036389808</v>
      </c>
      <c r="AB674">
        <f t="shared" si="363"/>
        <v>1.0504982397346512</v>
      </c>
      <c r="AC674">
        <f t="shared" si="364"/>
        <v>1.8531614446622551</v>
      </c>
      <c r="AD674">
        <f t="shared" si="365"/>
        <v>1.158802253111425</v>
      </c>
    </row>
    <row r="675" spans="1:30">
      <c r="A675" t="s">
        <v>495</v>
      </c>
      <c r="B675" t="s">
        <v>37</v>
      </c>
      <c r="C675" t="s">
        <v>38</v>
      </c>
      <c r="D675" t="s">
        <v>39</v>
      </c>
      <c r="E675" s="2">
        <v>46125</v>
      </c>
      <c r="F675" t="s">
        <v>40</v>
      </c>
      <c r="G675">
        <v>112.4</v>
      </c>
      <c r="H675">
        <v>83.8</v>
      </c>
      <c r="I675">
        <v>-1957.8</v>
      </c>
      <c r="J675">
        <v>70.400000000000006</v>
      </c>
      <c r="K675">
        <v>0</v>
      </c>
      <c r="L675">
        <v>0.3</v>
      </c>
      <c r="M675">
        <v>0</v>
      </c>
      <c r="N675">
        <v>70.7</v>
      </c>
      <c r="O675">
        <v>111.94</v>
      </c>
      <c r="P675">
        <v>113.62</v>
      </c>
      <c r="Q675">
        <v>3.98</v>
      </c>
      <c r="R675">
        <v>4</v>
      </c>
      <c r="S675">
        <f t="shared" si="357"/>
        <v>3.246538227264912E-2</v>
      </c>
      <c r="T675">
        <f t="shared" si="358"/>
        <v>1.0913267658534032</v>
      </c>
      <c r="U675">
        <f t="shared" si="345"/>
        <v>0</v>
      </c>
      <c r="V675">
        <f t="shared" si="359"/>
        <v>0.5496592728295604</v>
      </c>
      <c r="W675" t="str">
        <f t="shared" si="346"/>
        <v/>
      </c>
      <c r="X675">
        <f t="shared" si="360"/>
        <v>0.82514732949882619</v>
      </c>
      <c r="Y675" t="str">
        <f t="shared" si="347"/>
        <v/>
      </c>
      <c r="Z675">
        <f t="shared" si="361"/>
        <v>0.45589024300264475</v>
      </c>
      <c r="AA675">
        <f t="shared" si="362"/>
        <v>0.93469859702577884</v>
      </c>
      <c r="AB675">
        <f t="shared" si="363"/>
        <v>1.2161841119913246</v>
      </c>
      <c r="AC675">
        <f t="shared" si="364"/>
        <v>1.055739774728377</v>
      </c>
      <c r="AD675">
        <f t="shared" si="365"/>
        <v>0.96742812306632298</v>
      </c>
    </row>
    <row r="676" spans="1:30">
      <c r="A676" t="s">
        <v>496</v>
      </c>
      <c r="B676" t="s">
        <v>37</v>
      </c>
      <c r="C676" t="s">
        <v>38</v>
      </c>
      <c r="D676" t="s">
        <v>39</v>
      </c>
      <c r="E676" s="2">
        <v>46125</v>
      </c>
      <c r="F676" t="s">
        <v>40</v>
      </c>
      <c r="G676">
        <v>115.1</v>
      </c>
      <c r="H676">
        <v>80.7</v>
      </c>
      <c r="I676">
        <v>-1957.8</v>
      </c>
      <c r="J676">
        <v>70.400000000000006</v>
      </c>
      <c r="K676">
        <v>0</v>
      </c>
      <c r="L676">
        <v>0.2</v>
      </c>
      <c r="M676">
        <v>0</v>
      </c>
      <c r="N676">
        <v>70.599999999999994</v>
      </c>
      <c r="O676">
        <v>115.68</v>
      </c>
      <c r="P676">
        <v>117.22</v>
      </c>
      <c r="Q676">
        <v>3.86</v>
      </c>
      <c r="R676">
        <v>3.93</v>
      </c>
      <c r="S676">
        <f t="shared" si="357"/>
        <v>0.50905553337102538</v>
      </c>
      <c r="T676">
        <f t="shared" si="358"/>
        <v>7.309118217118795E-3</v>
      </c>
      <c r="U676">
        <f t="shared" si="345"/>
        <v>0</v>
      </c>
      <c r="V676">
        <f t="shared" si="359"/>
        <v>0.5496592728295604</v>
      </c>
      <c r="W676" t="str">
        <f t="shared" si="346"/>
        <v/>
      </c>
      <c r="X676">
        <f t="shared" si="360"/>
        <v>0.89657115634461437</v>
      </c>
      <c r="Y676" t="str">
        <f t="shared" si="347"/>
        <v/>
      </c>
      <c r="Z676">
        <f t="shared" si="361"/>
        <v>0.41034489668949109</v>
      </c>
      <c r="AA676">
        <f t="shared" si="362"/>
        <v>1.2875289067829108</v>
      </c>
      <c r="AB676">
        <f t="shared" si="363"/>
        <v>1.3661122380762416</v>
      </c>
      <c r="AC676">
        <f t="shared" si="364"/>
        <v>0.25831810479449585</v>
      </c>
      <c r="AD676">
        <f t="shared" si="365"/>
        <v>0.52088848629442286</v>
      </c>
    </row>
    <row r="677" spans="1:30">
      <c r="A677" t="s">
        <v>497</v>
      </c>
      <c r="B677" t="s">
        <v>37</v>
      </c>
      <c r="C677" t="s">
        <v>38</v>
      </c>
      <c r="D677" t="s">
        <v>39</v>
      </c>
      <c r="E677" s="2">
        <v>46125</v>
      </c>
      <c r="F677" t="s">
        <v>40</v>
      </c>
      <c r="G677">
        <v>113.3</v>
      </c>
      <c r="H677">
        <v>81.099999999999994</v>
      </c>
      <c r="I677">
        <v>-1957.8</v>
      </c>
      <c r="J677">
        <v>70.400000000000006</v>
      </c>
      <c r="K677">
        <v>0</v>
      </c>
      <c r="L677">
        <v>0.1</v>
      </c>
      <c r="M677">
        <v>0</v>
      </c>
      <c r="N677">
        <v>70.5</v>
      </c>
      <c r="O677">
        <v>112.08</v>
      </c>
      <c r="P677">
        <v>116.92</v>
      </c>
      <c r="Q677">
        <v>4.13</v>
      </c>
      <c r="R677">
        <v>4.08</v>
      </c>
      <c r="S677">
        <f t="shared" si="357"/>
        <v>0.14804158960857478</v>
      </c>
      <c r="T677">
        <f t="shared" si="358"/>
        <v>0.13445035069520386</v>
      </c>
      <c r="U677">
        <f t="shared" si="345"/>
        <v>0</v>
      </c>
      <c r="V677">
        <f t="shared" si="359"/>
        <v>0.5496592728295604</v>
      </c>
      <c r="W677" t="str">
        <f t="shared" si="346"/>
        <v/>
      </c>
      <c r="X677">
        <f t="shared" si="360"/>
        <v>0.96799498319040234</v>
      </c>
      <c r="Y677" t="str">
        <f t="shared" si="347"/>
        <v/>
      </c>
      <c r="Z677">
        <f t="shared" si="361"/>
        <v>0.36479955037634393</v>
      </c>
      <c r="AA677">
        <f t="shared" si="362"/>
        <v>0.8515136102521913</v>
      </c>
      <c r="AB677">
        <f t="shared" si="363"/>
        <v>1.1509208755706126</v>
      </c>
      <c r="AC677">
        <f t="shared" si="364"/>
        <v>2.052516862145727</v>
      </c>
      <c r="AD677">
        <f t="shared" si="365"/>
        <v>1.4777591365199247</v>
      </c>
    </row>
    <row r="678" spans="1:30">
      <c r="A678" t="s">
        <v>498</v>
      </c>
      <c r="B678" t="s">
        <v>37</v>
      </c>
      <c r="C678" t="s">
        <v>38</v>
      </c>
      <c r="D678" t="s">
        <v>39</v>
      </c>
      <c r="E678" s="2">
        <v>46125</v>
      </c>
      <c r="F678" t="s">
        <v>34</v>
      </c>
      <c r="G678">
        <v>70.900000000000006</v>
      </c>
      <c r="H678">
        <v>69.400000000000006</v>
      </c>
      <c r="I678">
        <v>-1957.8</v>
      </c>
      <c r="J678">
        <v>70.8</v>
      </c>
      <c r="K678">
        <v>0</v>
      </c>
      <c r="L678">
        <v>0.4</v>
      </c>
      <c r="M678">
        <v>0</v>
      </c>
      <c r="N678">
        <v>71.2</v>
      </c>
      <c r="O678">
        <v>115.38</v>
      </c>
      <c r="P678">
        <v>115.38</v>
      </c>
      <c r="Q678">
        <v>3.98</v>
      </c>
      <c r="R678">
        <v>4.03</v>
      </c>
      <c r="S678">
        <f t="shared" si="357"/>
        <v>8.3558424190180531</v>
      </c>
      <c r="T678">
        <f t="shared" si="358"/>
        <v>4.0120141149903183</v>
      </c>
      <c r="U678">
        <f t="shared" si="345"/>
        <v>0</v>
      </c>
      <c r="V678">
        <f t="shared" si="359"/>
        <v>0.75879057277925988</v>
      </c>
      <c r="W678" t="str">
        <f t="shared" si="346"/>
        <v/>
      </c>
      <c r="X678">
        <f t="shared" si="360"/>
        <v>0.75372350265303822</v>
      </c>
      <c r="Y678" t="str">
        <f t="shared" si="347"/>
        <v/>
      </c>
      <c r="Z678">
        <f t="shared" si="361"/>
        <v>0.68361697456839354</v>
      </c>
      <c r="AA678">
        <f t="shared" si="362"/>
        <v>1.1092753636966459</v>
      </c>
      <c r="AB678">
        <f t="shared" si="363"/>
        <v>4.6271881375036482E-2</v>
      </c>
      <c r="AC678">
        <f t="shared" si="364"/>
        <v>1.055739774728377</v>
      </c>
      <c r="AD678">
        <f t="shared" si="365"/>
        <v>1.158802253111425</v>
      </c>
    </row>
    <row r="679" spans="1:30">
      <c r="A679" t="s">
        <v>498</v>
      </c>
      <c r="B679" t="s">
        <v>37</v>
      </c>
      <c r="C679" t="s">
        <v>38</v>
      </c>
      <c r="D679" t="s">
        <v>39</v>
      </c>
      <c r="E679" s="2">
        <v>46125</v>
      </c>
      <c r="F679" t="s">
        <v>40</v>
      </c>
      <c r="G679">
        <v>113.3</v>
      </c>
      <c r="H679">
        <v>82.5</v>
      </c>
      <c r="I679">
        <v>-1957.8</v>
      </c>
      <c r="J679">
        <v>70.400000000000006</v>
      </c>
      <c r="K679">
        <v>0</v>
      </c>
      <c r="L679">
        <v>0.3</v>
      </c>
      <c r="M679">
        <v>0</v>
      </c>
      <c r="N679">
        <v>70.7</v>
      </c>
      <c r="O679">
        <v>112.08</v>
      </c>
      <c r="P679">
        <v>116.85</v>
      </c>
      <c r="Q679">
        <v>4.08</v>
      </c>
      <c r="R679">
        <v>4.05</v>
      </c>
      <c r="S679">
        <f t="shared" si="357"/>
        <v>0.14804158960857478</v>
      </c>
      <c r="T679">
        <f t="shared" si="358"/>
        <v>0.63060849188834578</v>
      </c>
      <c r="U679">
        <f t="shared" si="345"/>
        <v>0</v>
      </c>
      <c r="V679">
        <f t="shared" si="359"/>
        <v>0.5496592728295604</v>
      </c>
      <c r="W679" t="str">
        <f t="shared" si="346"/>
        <v/>
      </c>
      <c r="X679">
        <f t="shared" si="360"/>
        <v>0.82514732949882619</v>
      </c>
      <c r="Y679" t="str">
        <f t="shared" si="347"/>
        <v/>
      </c>
      <c r="Z679">
        <f t="shared" si="361"/>
        <v>0.45589024300264475</v>
      </c>
      <c r="AA679">
        <f t="shared" si="362"/>
        <v>0.8515136102521913</v>
      </c>
      <c r="AB679">
        <f t="shared" si="363"/>
        <v>1.1007095576526269</v>
      </c>
      <c r="AC679">
        <f t="shared" si="364"/>
        <v>1.7202578330066112</v>
      </c>
      <c r="AD679">
        <f t="shared" si="365"/>
        <v>1.2863850064748228</v>
      </c>
    </row>
    <row r="680" spans="1:30">
      <c r="A680" t="s">
        <v>499</v>
      </c>
      <c r="B680" t="s">
        <v>37</v>
      </c>
      <c r="C680" t="s">
        <v>38</v>
      </c>
      <c r="D680" t="s">
        <v>39</v>
      </c>
      <c r="E680" s="2">
        <v>46125</v>
      </c>
      <c r="F680" t="s">
        <v>40</v>
      </c>
      <c r="G680">
        <v>114.2</v>
      </c>
      <c r="H680">
        <v>82</v>
      </c>
      <c r="I680">
        <v>-1957.8</v>
      </c>
      <c r="J680">
        <v>71.3</v>
      </c>
      <c r="K680">
        <v>0</v>
      </c>
      <c r="L680">
        <v>0.5</v>
      </c>
      <c r="M680">
        <v>0</v>
      </c>
      <c r="N680">
        <v>70.8</v>
      </c>
      <c r="O680">
        <v>112.01</v>
      </c>
      <c r="P680">
        <v>113.48</v>
      </c>
      <c r="Q680">
        <v>3.96</v>
      </c>
      <c r="R680">
        <v>3.98</v>
      </c>
      <c r="S680">
        <f t="shared" si="357"/>
        <v>0.32854856148980155</v>
      </c>
      <c r="T680">
        <f t="shared" si="358"/>
        <v>0.45340915574793861</v>
      </c>
      <c r="U680">
        <f t="shared" si="345"/>
        <v>0</v>
      </c>
      <c r="V680">
        <f t="shared" si="359"/>
        <v>1.0202046977163897</v>
      </c>
      <c r="W680" t="str">
        <f t="shared" si="346"/>
        <v/>
      </c>
      <c r="X680">
        <f t="shared" si="360"/>
        <v>0.68229967580725004</v>
      </c>
      <c r="Y680" t="str">
        <f t="shared" si="347"/>
        <v/>
      </c>
      <c r="Z680">
        <f t="shared" si="361"/>
        <v>0.50143558931579191</v>
      </c>
      <c r="AA680">
        <f t="shared" si="362"/>
        <v>0.8931061036389808</v>
      </c>
      <c r="AB680">
        <f t="shared" si="363"/>
        <v>1.3166067478272863</v>
      </c>
      <c r="AC680">
        <f t="shared" si="364"/>
        <v>0.92283616307273009</v>
      </c>
      <c r="AD680">
        <f t="shared" si="365"/>
        <v>0.83984536970292256</v>
      </c>
    </row>
    <row r="681" spans="1:30">
      <c r="A681" t="s">
        <v>500</v>
      </c>
      <c r="B681" t="s">
        <v>37</v>
      </c>
      <c r="C681" t="s">
        <v>38</v>
      </c>
      <c r="D681" t="s">
        <v>39</v>
      </c>
      <c r="E681" s="2">
        <v>46126</v>
      </c>
      <c r="F681" t="s">
        <v>40</v>
      </c>
      <c r="G681">
        <v>105.7</v>
      </c>
      <c r="H681">
        <v>77.5</v>
      </c>
      <c r="I681">
        <v>-1957.8</v>
      </c>
      <c r="J681">
        <v>68.2</v>
      </c>
      <c r="K681">
        <v>0</v>
      </c>
      <c r="L681">
        <v>1.1000000000000001</v>
      </c>
      <c r="M681">
        <v>0</v>
      </c>
      <c r="N681">
        <v>69.3</v>
      </c>
      <c r="O681">
        <v>115.09</v>
      </c>
      <c r="P681">
        <v>114.87</v>
      </c>
      <c r="Q681">
        <v>3.64</v>
      </c>
      <c r="R681">
        <v>3.78</v>
      </c>
      <c r="S681">
        <f t="shared" si="357"/>
        <v>1.3762395062773292</v>
      </c>
      <c r="T681">
        <f t="shared" si="358"/>
        <v>1.1413848695157252</v>
      </c>
      <c r="U681">
        <f t="shared" si="345"/>
        <v>0</v>
      </c>
      <c r="V681">
        <f t="shared" si="359"/>
        <v>0.60056287689381271</v>
      </c>
      <c r="W681" t="str">
        <f t="shared" si="346"/>
        <v/>
      </c>
      <c r="X681">
        <f t="shared" si="360"/>
        <v>0.25375671473252137</v>
      </c>
      <c r="Y681" t="str">
        <f t="shared" si="347"/>
        <v/>
      </c>
      <c r="Z681">
        <f t="shared" si="361"/>
        <v>0.18174460538145451</v>
      </c>
      <c r="AA681">
        <f t="shared" si="362"/>
        <v>0.93696360537993451</v>
      </c>
      <c r="AB681">
        <f t="shared" si="363"/>
        <v>0.31955343488452947</v>
      </c>
      <c r="AC681">
        <f t="shared" si="364"/>
        <v>1.2036216234176165</v>
      </c>
      <c r="AD681">
        <f t="shared" si="365"/>
        <v>0.4359821639310818</v>
      </c>
    </row>
    <row r="682" spans="1:30">
      <c r="A682" t="s">
        <v>501</v>
      </c>
      <c r="B682" t="s">
        <v>37</v>
      </c>
      <c r="C682" t="s">
        <v>38</v>
      </c>
      <c r="D682" t="s">
        <v>39</v>
      </c>
      <c r="E682" s="2">
        <v>46126</v>
      </c>
      <c r="F682" t="s">
        <v>40</v>
      </c>
      <c r="G682">
        <v>102.1</v>
      </c>
      <c r="H682">
        <v>80.2</v>
      </c>
      <c r="I682">
        <v>-1957.8</v>
      </c>
      <c r="J682">
        <v>69.5</v>
      </c>
      <c r="K682">
        <v>0</v>
      </c>
      <c r="L682">
        <v>1.2</v>
      </c>
      <c r="M682">
        <v>0</v>
      </c>
      <c r="N682">
        <v>70.7</v>
      </c>
      <c r="O682">
        <v>112.16</v>
      </c>
      <c r="P682">
        <v>113.48</v>
      </c>
      <c r="Q682">
        <v>3.74</v>
      </c>
      <c r="R682">
        <v>3.83</v>
      </c>
      <c r="S682">
        <f t="shared" si="357"/>
        <v>2.0982673938022334</v>
      </c>
      <c r="T682">
        <f t="shared" si="358"/>
        <v>0.18450845435752589</v>
      </c>
      <c r="U682">
        <f t="shared" si="345"/>
        <v>0</v>
      </c>
      <c r="V682">
        <f t="shared" si="359"/>
        <v>7.9113847942723581E-2</v>
      </c>
      <c r="W682" t="str">
        <f t="shared" si="346"/>
        <v/>
      </c>
      <c r="X682">
        <f t="shared" si="360"/>
        <v>0.18233288788673335</v>
      </c>
      <c r="Y682" t="str">
        <f t="shared" si="347"/>
        <v/>
      </c>
      <c r="Z682">
        <f t="shared" si="361"/>
        <v>0.45589024300264475</v>
      </c>
      <c r="AA682">
        <f t="shared" si="362"/>
        <v>0.80397933209585692</v>
      </c>
      <c r="AB682">
        <f t="shared" si="363"/>
        <v>1.3166067478272863</v>
      </c>
      <c r="AC682">
        <f t="shared" si="364"/>
        <v>0.53910356513938229</v>
      </c>
      <c r="AD682">
        <f t="shared" si="365"/>
        <v>0.11702528052257931</v>
      </c>
    </row>
    <row r="683" spans="1:30">
      <c r="A683" t="s">
        <v>502</v>
      </c>
      <c r="B683" t="s">
        <v>37</v>
      </c>
      <c r="C683" t="s">
        <v>38</v>
      </c>
      <c r="D683" t="s">
        <v>39</v>
      </c>
      <c r="E683" s="2">
        <v>46126</v>
      </c>
      <c r="F683" t="s">
        <v>40</v>
      </c>
      <c r="G683">
        <v>115.1</v>
      </c>
      <c r="H683">
        <v>76.099999999999994</v>
      </c>
      <c r="I683">
        <v>-1957.8</v>
      </c>
      <c r="J683">
        <v>69.5</v>
      </c>
      <c r="K683">
        <v>0</v>
      </c>
      <c r="L683">
        <v>0.3</v>
      </c>
      <c r="M683">
        <v>0</v>
      </c>
      <c r="N683">
        <v>69.2</v>
      </c>
      <c r="O683">
        <v>112.23</v>
      </c>
      <c r="P683">
        <v>116.56</v>
      </c>
      <c r="Q683">
        <v>3.93</v>
      </c>
      <c r="R683">
        <v>3.98</v>
      </c>
      <c r="S683">
        <f t="shared" si="357"/>
        <v>0.50905553337102538</v>
      </c>
      <c r="T683">
        <f t="shared" si="358"/>
        <v>1.6375430107088671</v>
      </c>
      <c r="U683">
        <f t="shared" si="345"/>
        <v>0</v>
      </c>
      <c r="V683">
        <f t="shared" si="359"/>
        <v>7.9113847942723581E-2</v>
      </c>
      <c r="W683" t="str">
        <f t="shared" si="346"/>
        <v/>
      </c>
      <c r="X683">
        <f t="shared" si="360"/>
        <v>0.82514732949882619</v>
      </c>
      <c r="Y683" t="str">
        <f t="shared" si="347"/>
        <v/>
      </c>
      <c r="Z683">
        <f t="shared" si="361"/>
        <v>0.2272899516946017</v>
      </c>
      <c r="AA683">
        <f t="shared" si="362"/>
        <v>0.76238683870905888</v>
      </c>
      <c r="AB683">
        <f t="shared" si="363"/>
        <v>0.89269124056385607</v>
      </c>
      <c r="AC683">
        <f t="shared" si="364"/>
        <v>0.72348074558926134</v>
      </c>
      <c r="AD683">
        <f t="shared" si="365"/>
        <v>0.83984536970292256</v>
      </c>
    </row>
    <row r="684" spans="1:30">
      <c r="A684" t="s">
        <v>503</v>
      </c>
      <c r="B684" t="s">
        <v>37</v>
      </c>
      <c r="C684" t="s">
        <v>38</v>
      </c>
      <c r="D684" t="s">
        <v>39</v>
      </c>
      <c r="E684" s="2">
        <v>46126</v>
      </c>
      <c r="F684" t="s">
        <v>40</v>
      </c>
      <c r="G684">
        <v>112.9</v>
      </c>
      <c r="H684">
        <v>81.599999999999994</v>
      </c>
      <c r="I684">
        <v>-1957.8</v>
      </c>
      <c r="J684">
        <v>69.5</v>
      </c>
      <c r="K684">
        <v>0</v>
      </c>
      <c r="L684">
        <v>0.5</v>
      </c>
      <c r="M684">
        <v>0</v>
      </c>
      <c r="N684">
        <v>70</v>
      </c>
      <c r="O684">
        <v>112.23</v>
      </c>
      <c r="P684">
        <v>116.78</v>
      </c>
      <c r="Q684">
        <v>3.88</v>
      </c>
      <c r="R684">
        <v>3.93</v>
      </c>
      <c r="S684">
        <f t="shared" si="357"/>
        <v>6.7816268772476221E-2</v>
      </c>
      <c r="T684">
        <f t="shared" si="358"/>
        <v>0.31164968683561095</v>
      </c>
      <c r="U684">
        <f t="shared" si="345"/>
        <v>0</v>
      </c>
      <c r="V684">
        <f t="shared" si="359"/>
        <v>7.9113847942723581E-2</v>
      </c>
      <c r="W684" t="str">
        <f t="shared" si="346"/>
        <v/>
      </c>
      <c r="X684">
        <f t="shared" si="360"/>
        <v>0.68229967580725004</v>
      </c>
      <c r="Y684" t="str">
        <f t="shared" si="347"/>
        <v/>
      </c>
      <c r="Z684">
        <f t="shared" si="361"/>
        <v>0.1370728188105951</v>
      </c>
      <c r="AA684">
        <f t="shared" si="362"/>
        <v>0.76238683870905888</v>
      </c>
      <c r="AB684">
        <f t="shared" si="363"/>
        <v>1.0504982397346512</v>
      </c>
      <c r="AC684">
        <f t="shared" si="364"/>
        <v>0.39122171645014275</v>
      </c>
      <c r="AD684">
        <f t="shared" si="365"/>
        <v>0.52088848629442286</v>
      </c>
    </row>
    <row r="685" spans="1:30">
      <c r="A685" t="s">
        <v>504</v>
      </c>
      <c r="B685" t="s">
        <v>37</v>
      </c>
      <c r="C685" t="s">
        <v>38</v>
      </c>
      <c r="D685" t="s">
        <v>39</v>
      </c>
      <c r="E685" s="2">
        <v>46126</v>
      </c>
      <c r="F685" t="s">
        <v>40</v>
      </c>
      <c r="G685">
        <v>112.9</v>
      </c>
      <c r="H685">
        <v>80.7</v>
      </c>
      <c r="I685">
        <v>-1957.8</v>
      </c>
      <c r="J685">
        <v>70</v>
      </c>
      <c r="K685">
        <v>0</v>
      </c>
      <c r="L685">
        <v>0.1</v>
      </c>
      <c r="M685">
        <v>0</v>
      </c>
      <c r="N685">
        <v>70.099999999999994</v>
      </c>
      <c r="O685">
        <v>115.09</v>
      </c>
      <c r="P685">
        <v>115.09</v>
      </c>
      <c r="Q685">
        <v>3.93</v>
      </c>
      <c r="R685">
        <v>3.98</v>
      </c>
      <c r="S685">
        <f t="shared" si="357"/>
        <v>6.7816268772476221E-2</v>
      </c>
      <c r="T685">
        <f t="shared" si="358"/>
        <v>7.309118217118795E-3</v>
      </c>
      <c r="U685">
        <f t="shared" si="345"/>
        <v>0</v>
      </c>
      <c r="V685">
        <f t="shared" si="359"/>
        <v>0.34052797287985348</v>
      </c>
      <c r="W685" t="str">
        <f t="shared" si="346"/>
        <v/>
      </c>
      <c r="X685">
        <f t="shared" si="360"/>
        <v>0.96799498319040234</v>
      </c>
      <c r="Y685" t="str">
        <f t="shared" si="347"/>
        <v/>
      </c>
      <c r="Z685">
        <f t="shared" si="361"/>
        <v>0.18261816512374229</v>
      </c>
      <c r="AA685">
        <f t="shared" si="362"/>
        <v>0.93696360537993451</v>
      </c>
      <c r="AB685">
        <f t="shared" si="363"/>
        <v>0.16174643571373432</v>
      </c>
      <c r="AC685">
        <f t="shared" si="364"/>
        <v>0.72348074558926134</v>
      </c>
      <c r="AD685">
        <f t="shared" si="365"/>
        <v>0.83984536970292256</v>
      </c>
    </row>
    <row r="686" spans="1:30">
      <c r="A686" t="s">
        <v>505</v>
      </c>
      <c r="B686" t="s">
        <v>37</v>
      </c>
      <c r="C686" t="s">
        <v>38</v>
      </c>
      <c r="D686" t="s">
        <v>39</v>
      </c>
      <c r="E686" s="2">
        <v>46126</v>
      </c>
      <c r="F686" t="s">
        <v>40</v>
      </c>
      <c r="G686">
        <v>115.1</v>
      </c>
      <c r="H686">
        <v>80.7</v>
      </c>
      <c r="I686">
        <v>-1957.8</v>
      </c>
      <c r="J686">
        <v>70</v>
      </c>
      <c r="K686">
        <v>0</v>
      </c>
      <c r="L686">
        <v>0.3</v>
      </c>
      <c r="M686">
        <v>0</v>
      </c>
      <c r="N686">
        <v>69.7</v>
      </c>
      <c r="O686">
        <v>115.16</v>
      </c>
      <c r="P686">
        <v>115.09</v>
      </c>
      <c r="Q686">
        <v>3.64</v>
      </c>
      <c r="R686">
        <v>3.71</v>
      </c>
      <c r="S686">
        <f t="shared" si="357"/>
        <v>0.50905553337102538</v>
      </c>
      <c r="T686">
        <f t="shared" si="358"/>
        <v>7.309118217118795E-3</v>
      </c>
      <c r="U686">
        <f t="shared" si="345"/>
        <v>0</v>
      </c>
      <c r="V686">
        <f t="shared" si="359"/>
        <v>0.34052797287985348</v>
      </c>
      <c r="W686" t="str">
        <f t="shared" si="346"/>
        <v/>
      </c>
      <c r="X686">
        <f t="shared" si="360"/>
        <v>0.82514732949882619</v>
      </c>
      <c r="Y686" t="str">
        <f t="shared" si="347"/>
        <v/>
      </c>
      <c r="Z686">
        <f t="shared" si="361"/>
        <v>4.3677987114712057E-4</v>
      </c>
      <c r="AA686">
        <f t="shared" si="362"/>
        <v>0.978556098766724</v>
      </c>
      <c r="AB686">
        <f t="shared" si="363"/>
        <v>0.16174643571373432</v>
      </c>
      <c r="AC686">
        <f t="shared" si="364"/>
        <v>1.2036216234176165</v>
      </c>
      <c r="AD686">
        <f t="shared" si="365"/>
        <v>0.88252180070298192</v>
      </c>
    </row>
    <row r="687" spans="1:30">
      <c r="A687" t="s">
        <v>506</v>
      </c>
      <c r="B687" t="s">
        <v>37</v>
      </c>
      <c r="C687" t="s">
        <v>38</v>
      </c>
      <c r="D687" t="s">
        <v>39</v>
      </c>
      <c r="E687" s="2">
        <v>46126</v>
      </c>
      <c r="F687" t="s">
        <v>40</v>
      </c>
      <c r="G687">
        <v>101.7</v>
      </c>
      <c r="H687">
        <v>80.7</v>
      </c>
      <c r="I687">
        <v>-1957.8</v>
      </c>
      <c r="J687">
        <v>70</v>
      </c>
      <c r="K687">
        <v>0</v>
      </c>
      <c r="L687">
        <v>0.6</v>
      </c>
      <c r="M687">
        <v>0</v>
      </c>
      <c r="N687">
        <v>70.599999999999994</v>
      </c>
      <c r="O687">
        <v>115.24</v>
      </c>
      <c r="P687">
        <v>115.24</v>
      </c>
      <c r="Q687">
        <v>3.78</v>
      </c>
      <c r="R687">
        <v>3.86</v>
      </c>
      <c r="S687">
        <f t="shared" si="357"/>
        <v>2.1784927146383319</v>
      </c>
      <c r="T687">
        <f t="shared" si="358"/>
        <v>7.309118217118795E-3</v>
      </c>
      <c r="U687">
        <f t="shared" si="345"/>
        <v>0</v>
      </c>
      <c r="V687">
        <f t="shared" si="359"/>
        <v>0.34052797287985348</v>
      </c>
      <c r="W687" t="str">
        <f t="shared" si="346"/>
        <v/>
      </c>
      <c r="X687">
        <f t="shared" si="360"/>
        <v>0.61087584896146196</v>
      </c>
      <c r="Y687" t="str">
        <f t="shared" si="347"/>
        <v/>
      </c>
      <c r="Z687">
        <f t="shared" si="361"/>
        <v>0.41034489668949109</v>
      </c>
      <c r="AA687">
        <f t="shared" si="362"/>
        <v>1.0260903769230585</v>
      </c>
      <c r="AB687">
        <f t="shared" si="363"/>
        <v>5.4150754460924995E-2</v>
      </c>
      <c r="AC687">
        <f t="shared" si="364"/>
        <v>0.27329634182809154</v>
      </c>
      <c r="AD687">
        <f t="shared" si="365"/>
        <v>7.4348849522519939E-2</v>
      </c>
    </row>
    <row r="688" spans="1:30">
      <c r="A688" t="s">
        <v>507</v>
      </c>
      <c r="B688" t="s">
        <v>37</v>
      </c>
      <c r="C688" t="s">
        <v>38</v>
      </c>
      <c r="D688" t="s">
        <v>39</v>
      </c>
      <c r="E688" s="2">
        <v>46126</v>
      </c>
      <c r="F688" t="s">
        <v>40</v>
      </c>
      <c r="G688">
        <v>118.7</v>
      </c>
      <c r="H688">
        <v>83.4</v>
      </c>
      <c r="I688">
        <v>-1957.8</v>
      </c>
      <c r="J688">
        <v>70.400000000000006</v>
      </c>
      <c r="K688">
        <v>0</v>
      </c>
      <c r="L688">
        <v>1.7</v>
      </c>
      <c r="M688">
        <v>0</v>
      </c>
      <c r="N688">
        <v>72.099999999999994</v>
      </c>
      <c r="O688">
        <v>115.09</v>
      </c>
      <c r="P688">
        <v>115.09</v>
      </c>
      <c r="Q688">
        <v>3.96</v>
      </c>
      <c r="R688">
        <v>4.03</v>
      </c>
      <c r="S688">
        <f t="shared" si="357"/>
        <v>1.2310834208959296</v>
      </c>
      <c r="T688">
        <f t="shared" si="358"/>
        <v>0.94956729694108055</v>
      </c>
      <c r="U688">
        <f t="shared" si="345"/>
        <v>0</v>
      </c>
      <c r="V688">
        <f t="shared" si="359"/>
        <v>0.5496592728295604</v>
      </c>
      <c r="W688" t="str">
        <f t="shared" si="346"/>
        <v/>
      </c>
      <c r="X688">
        <f t="shared" si="360"/>
        <v>0.17478624634220716</v>
      </c>
      <c r="Y688" t="str">
        <f t="shared" si="347"/>
        <v/>
      </c>
      <c r="Z688">
        <f t="shared" si="361"/>
        <v>1.0935250913867376</v>
      </c>
      <c r="AA688">
        <f t="shared" si="362"/>
        <v>0.93696360537993451</v>
      </c>
      <c r="AB688">
        <f t="shared" si="363"/>
        <v>0.16174643571373432</v>
      </c>
      <c r="AC688">
        <f t="shared" si="364"/>
        <v>0.92283616307273009</v>
      </c>
      <c r="AD688">
        <f t="shared" si="365"/>
        <v>1.158802253111425</v>
      </c>
    </row>
    <row r="689" spans="1:30">
      <c r="A689" t="s">
        <v>508</v>
      </c>
      <c r="B689" t="s">
        <v>37</v>
      </c>
      <c r="C689" t="s">
        <v>38</v>
      </c>
      <c r="D689" t="s">
        <v>39</v>
      </c>
      <c r="E689" s="2">
        <v>46126</v>
      </c>
      <c r="F689" t="s">
        <v>40</v>
      </c>
      <c r="G689">
        <v>115.5</v>
      </c>
      <c r="H689">
        <v>78.400000000000006</v>
      </c>
      <c r="I689">
        <v>-1957.8</v>
      </c>
      <c r="J689">
        <v>70.400000000000006</v>
      </c>
      <c r="K689">
        <v>0</v>
      </c>
      <c r="L689">
        <v>0.6</v>
      </c>
      <c r="M689">
        <v>0</v>
      </c>
      <c r="N689">
        <v>71</v>
      </c>
      <c r="O689">
        <v>112.3</v>
      </c>
      <c r="P689">
        <v>116.48</v>
      </c>
      <c r="Q689">
        <v>3.61</v>
      </c>
      <c r="R689">
        <v>3.66</v>
      </c>
      <c r="S689">
        <f t="shared" si="357"/>
        <v>0.58928085420712684</v>
      </c>
      <c r="T689">
        <f t="shared" si="358"/>
        <v>0.82242606446299038</v>
      </c>
      <c r="U689">
        <f t="shared" si="345"/>
        <v>0</v>
      </c>
      <c r="V689">
        <f t="shared" si="359"/>
        <v>0.5496592728295604</v>
      </c>
      <c r="W689" t="str">
        <f t="shared" si="346"/>
        <v/>
      </c>
      <c r="X689">
        <f t="shared" si="360"/>
        <v>0.61087584896146196</v>
      </c>
      <c r="Y689" t="str">
        <f t="shared" si="347"/>
        <v/>
      </c>
      <c r="Z689">
        <f t="shared" si="361"/>
        <v>0.59252628194209278</v>
      </c>
      <c r="AA689">
        <f t="shared" si="362"/>
        <v>0.72079434532226938</v>
      </c>
      <c r="AB689">
        <f t="shared" si="363"/>
        <v>0.83530687722902242</v>
      </c>
      <c r="AC689">
        <f t="shared" si="364"/>
        <v>1.4029770409010882</v>
      </c>
      <c r="AD689">
        <f t="shared" si="365"/>
        <v>1.2014786841114817</v>
      </c>
    </row>
    <row r="690" spans="1:30">
      <c r="A690" t="s">
        <v>509</v>
      </c>
      <c r="B690" t="s">
        <v>37</v>
      </c>
      <c r="C690" t="s">
        <v>38</v>
      </c>
      <c r="D690" t="s">
        <v>39</v>
      </c>
      <c r="E690" s="2">
        <v>46126</v>
      </c>
      <c r="F690" t="s">
        <v>40</v>
      </c>
      <c r="G690">
        <v>116</v>
      </c>
      <c r="H690">
        <v>77</v>
      </c>
      <c r="I690">
        <v>-1957.8</v>
      </c>
      <c r="J690">
        <v>70.400000000000006</v>
      </c>
      <c r="K690">
        <v>0</v>
      </c>
      <c r="L690">
        <v>0.9</v>
      </c>
      <c r="M690">
        <v>0</v>
      </c>
      <c r="N690">
        <v>69.5</v>
      </c>
      <c r="O690">
        <v>112.16</v>
      </c>
      <c r="P690">
        <v>113.55</v>
      </c>
      <c r="Q690">
        <v>3.86</v>
      </c>
      <c r="R690">
        <v>3.93</v>
      </c>
      <c r="S690">
        <f t="shared" si="357"/>
        <v>0.68956250525225216</v>
      </c>
      <c r="T690">
        <f t="shared" si="358"/>
        <v>1.3185842056561323</v>
      </c>
      <c r="U690">
        <f t="shared" si="345"/>
        <v>0</v>
      </c>
      <c r="V690">
        <f t="shared" si="359"/>
        <v>0.5496592728295604</v>
      </c>
      <c r="W690" t="str">
        <f t="shared" si="346"/>
        <v/>
      </c>
      <c r="X690">
        <f t="shared" si="360"/>
        <v>0.39660436842409758</v>
      </c>
      <c r="Y690" t="str">
        <f t="shared" si="347"/>
        <v/>
      </c>
      <c r="Z690">
        <f t="shared" si="361"/>
        <v>9.0653912755153693E-2</v>
      </c>
      <c r="AA690">
        <f t="shared" si="362"/>
        <v>0.80397933209585692</v>
      </c>
      <c r="AB690">
        <f t="shared" si="363"/>
        <v>1.2663954299093105</v>
      </c>
      <c r="AC690">
        <f t="shared" si="364"/>
        <v>0.25831810479449585</v>
      </c>
      <c r="AD690">
        <f t="shared" si="365"/>
        <v>0.52088848629442286</v>
      </c>
    </row>
    <row r="691" spans="1:30">
      <c r="A691" t="s">
        <v>510</v>
      </c>
      <c r="B691" t="s">
        <v>37</v>
      </c>
      <c r="C691" t="s">
        <v>38</v>
      </c>
      <c r="D691" t="s">
        <v>39</v>
      </c>
      <c r="E691" s="2">
        <v>46126</v>
      </c>
      <c r="F691" t="s">
        <v>40</v>
      </c>
      <c r="G691">
        <v>121.3</v>
      </c>
      <c r="H691">
        <v>84.7</v>
      </c>
      <c r="I691">
        <v>-1957.8</v>
      </c>
      <c r="J691">
        <v>70.8</v>
      </c>
      <c r="K691">
        <v>0</v>
      </c>
      <c r="L691">
        <v>0.1</v>
      </c>
      <c r="M691">
        <v>0</v>
      </c>
      <c r="N691">
        <v>70.7</v>
      </c>
      <c r="O691">
        <v>111.2</v>
      </c>
      <c r="P691">
        <v>117.36</v>
      </c>
      <c r="Q691">
        <v>4.0999999999999996</v>
      </c>
      <c r="R691">
        <v>4.03</v>
      </c>
      <c r="S691">
        <f t="shared" si="357"/>
        <v>1.7525480063305803</v>
      </c>
      <c r="T691">
        <f t="shared" si="358"/>
        <v>1.4102855709061379</v>
      </c>
      <c r="U691">
        <f t="shared" si="345"/>
        <v>0</v>
      </c>
      <c r="V691">
        <f t="shared" si="359"/>
        <v>0.75879057277925988</v>
      </c>
      <c r="W691" t="str">
        <f t="shared" si="346"/>
        <v/>
      </c>
      <c r="X691">
        <f t="shared" si="360"/>
        <v>0.96799498319040234</v>
      </c>
      <c r="Y691" t="str">
        <f t="shared" si="347"/>
        <v/>
      </c>
      <c r="Z691">
        <f t="shared" si="361"/>
        <v>0.45589024300264475</v>
      </c>
      <c r="AA691">
        <f t="shared" si="362"/>
        <v>1.3743906699718791</v>
      </c>
      <c r="AB691">
        <f t="shared" si="363"/>
        <v>1.4665348739122031</v>
      </c>
      <c r="AC691">
        <f t="shared" si="364"/>
        <v>1.8531614446622551</v>
      </c>
      <c r="AD691">
        <f t="shared" si="365"/>
        <v>1.158802253111425</v>
      </c>
    </row>
    <row r="692" spans="1:30">
      <c r="A692" t="s">
        <v>511</v>
      </c>
      <c r="B692" t="s">
        <v>37</v>
      </c>
      <c r="C692" t="s">
        <v>38</v>
      </c>
      <c r="D692" t="s">
        <v>39</v>
      </c>
      <c r="E692" s="2">
        <v>46126</v>
      </c>
      <c r="F692" t="s">
        <v>34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tr">
        <f t="shared" si="357"/>
        <v/>
      </c>
      <c r="T692" t="str">
        <f t="shared" si="358"/>
        <v/>
      </c>
      <c r="U692" t="str">
        <f t="shared" si="345"/>
        <v/>
      </c>
      <c r="V692" t="str">
        <f t="shared" si="359"/>
        <v/>
      </c>
      <c r="W692" t="str">
        <f t="shared" si="346"/>
        <v/>
      </c>
      <c r="X692" t="str">
        <f t="shared" si="360"/>
        <v/>
      </c>
      <c r="Y692" t="str">
        <f t="shared" si="347"/>
        <v/>
      </c>
      <c r="Z692" t="str">
        <f t="shared" si="361"/>
        <v/>
      </c>
      <c r="AA692" t="str">
        <f t="shared" si="362"/>
        <v/>
      </c>
      <c r="AB692" t="str">
        <f t="shared" si="363"/>
        <v/>
      </c>
      <c r="AC692" t="str">
        <f t="shared" si="364"/>
        <v/>
      </c>
      <c r="AD692" t="str">
        <f t="shared" si="365"/>
        <v/>
      </c>
    </row>
    <row r="693" spans="1:30">
      <c r="A693" t="s">
        <v>511</v>
      </c>
      <c r="B693" t="s">
        <v>37</v>
      </c>
      <c r="C693" t="s">
        <v>38</v>
      </c>
      <c r="D693" t="s">
        <v>39</v>
      </c>
      <c r="E693" s="2">
        <v>46126</v>
      </c>
      <c r="F693" t="s">
        <v>34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tr">
        <f t="shared" si="357"/>
        <v/>
      </c>
      <c r="T693" t="str">
        <f t="shared" si="358"/>
        <v/>
      </c>
      <c r="U693" t="str">
        <f t="shared" si="345"/>
        <v/>
      </c>
      <c r="V693" t="str">
        <f t="shared" si="359"/>
        <v/>
      </c>
      <c r="W693" t="str">
        <f t="shared" si="346"/>
        <v/>
      </c>
      <c r="X693" t="str">
        <f t="shared" si="360"/>
        <v/>
      </c>
      <c r="Y693" t="str">
        <f t="shared" si="347"/>
        <v/>
      </c>
      <c r="Z693" t="str">
        <f t="shared" si="361"/>
        <v/>
      </c>
      <c r="AA693" t="str">
        <f t="shared" si="362"/>
        <v/>
      </c>
      <c r="AB693" t="str">
        <f t="shared" si="363"/>
        <v/>
      </c>
      <c r="AC693" t="str">
        <f t="shared" si="364"/>
        <v/>
      </c>
      <c r="AD693" t="str">
        <f t="shared" si="365"/>
        <v/>
      </c>
    </row>
    <row r="694" spans="1:30">
      <c r="A694" t="s">
        <v>512</v>
      </c>
      <c r="B694" t="s">
        <v>37</v>
      </c>
      <c r="C694" t="s">
        <v>38</v>
      </c>
      <c r="D694" t="s">
        <v>39</v>
      </c>
      <c r="E694" s="2">
        <v>46126</v>
      </c>
      <c r="F694" t="s">
        <v>40</v>
      </c>
      <c r="G694">
        <v>116</v>
      </c>
      <c r="H694">
        <v>78.900000000000006</v>
      </c>
      <c r="I694">
        <v>-1957.8</v>
      </c>
      <c r="J694">
        <v>71.3</v>
      </c>
      <c r="K694">
        <v>0</v>
      </c>
      <c r="L694">
        <v>0.4</v>
      </c>
      <c r="M694">
        <v>0</v>
      </c>
      <c r="N694">
        <v>70.900000000000006</v>
      </c>
      <c r="O694">
        <v>115.24</v>
      </c>
      <c r="P694">
        <v>115.09</v>
      </c>
      <c r="Q694">
        <v>4.13</v>
      </c>
      <c r="R694">
        <v>4.2</v>
      </c>
      <c r="S694">
        <f t="shared" si="357"/>
        <v>0.68956250525225216</v>
      </c>
      <c r="T694">
        <f t="shared" si="358"/>
        <v>0.64522672832258332</v>
      </c>
      <c r="U694">
        <f t="shared" si="345"/>
        <v>0</v>
      </c>
      <c r="V694">
        <f t="shared" si="359"/>
        <v>1.0202046977163897</v>
      </c>
      <c r="W694" t="str">
        <f t="shared" si="346"/>
        <v/>
      </c>
      <c r="X694">
        <f t="shared" si="360"/>
        <v>0.75372350265303822</v>
      </c>
      <c r="Y694" t="str">
        <f t="shared" si="347"/>
        <v/>
      </c>
      <c r="Z694">
        <f t="shared" si="361"/>
        <v>0.54698093562894556</v>
      </c>
      <c r="AA694">
        <f t="shared" si="362"/>
        <v>1.0260903769230585</v>
      </c>
      <c r="AB694">
        <f t="shared" si="363"/>
        <v>0.16174643571373432</v>
      </c>
      <c r="AC694">
        <f t="shared" si="364"/>
        <v>2.052516862145727</v>
      </c>
      <c r="AD694">
        <f t="shared" si="365"/>
        <v>2.2432556567003274</v>
      </c>
    </row>
    <row r="695" spans="1:30">
      <c r="A695" t="s">
        <v>513</v>
      </c>
      <c r="B695" t="s">
        <v>37</v>
      </c>
      <c r="C695" t="s">
        <v>38</v>
      </c>
      <c r="D695" t="s">
        <v>39</v>
      </c>
      <c r="E695" s="2">
        <v>46126</v>
      </c>
      <c r="F695" t="s">
        <v>40</v>
      </c>
      <c r="G695">
        <v>119.1</v>
      </c>
      <c r="H695">
        <v>85.2</v>
      </c>
      <c r="I695">
        <v>-1957.8</v>
      </c>
      <c r="J695">
        <v>71.3</v>
      </c>
      <c r="K695">
        <v>0</v>
      </c>
      <c r="L695">
        <v>0.5</v>
      </c>
      <c r="M695">
        <v>0</v>
      </c>
      <c r="N695">
        <v>70.8</v>
      </c>
      <c r="O695">
        <v>112.16</v>
      </c>
      <c r="P695">
        <v>116.78</v>
      </c>
      <c r="Q695">
        <v>4</v>
      </c>
      <c r="R695">
        <v>3.96</v>
      </c>
      <c r="S695">
        <f t="shared" si="357"/>
        <v>1.3113087417320282</v>
      </c>
      <c r="T695">
        <f t="shared" si="358"/>
        <v>1.5874849070465451</v>
      </c>
      <c r="U695">
        <f t="shared" si="345"/>
        <v>0</v>
      </c>
      <c r="V695">
        <f t="shared" si="359"/>
        <v>1.0202046977163897</v>
      </c>
      <c r="W695" t="str">
        <f t="shared" si="346"/>
        <v/>
      </c>
      <c r="X695">
        <f t="shared" si="360"/>
        <v>0.68229967580725004</v>
      </c>
      <c r="Y695" t="str">
        <f t="shared" si="347"/>
        <v/>
      </c>
      <c r="Z695">
        <f t="shared" si="361"/>
        <v>0.50143558931579191</v>
      </c>
      <c r="AA695">
        <f t="shared" si="362"/>
        <v>0.80397933209585692</v>
      </c>
      <c r="AB695">
        <f t="shared" si="363"/>
        <v>1.0504982397346512</v>
      </c>
      <c r="AC695">
        <f t="shared" si="364"/>
        <v>1.1886433863840238</v>
      </c>
      <c r="AD695">
        <f t="shared" si="365"/>
        <v>0.71226261633952215</v>
      </c>
    </row>
    <row r="696" spans="1:30">
      <c r="A696" t="s">
        <v>514</v>
      </c>
      <c r="B696" t="s">
        <v>37</v>
      </c>
      <c r="C696" t="s">
        <v>38</v>
      </c>
      <c r="D696" t="s">
        <v>39</v>
      </c>
      <c r="E696" s="2">
        <v>46126</v>
      </c>
      <c r="F696" t="s">
        <v>40</v>
      </c>
      <c r="G696">
        <v>117.8</v>
      </c>
      <c r="H696">
        <v>82.9</v>
      </c>
      <c r="I696">
        <v>-1957.8</v>
      </c>
      <c r="J696">
        <v>70.8</v>
      </c>
      <c r="K696">
        <v>0</v>
      </c>
      <c r="L696">
        <v>0.7</v>
      </c>
      <c r="M696">
        <v>0</v>
      </c>
      <c r="N696">
        <v>71.5</v>
      </c>
      <c r="O696">
        <v>111.94</v>
      </c>
      <c r="P696">
        <v>113.33</v>
      </c>
      <c r="Q696">
        <v>4</v>
      </c>
      <c r="R696">
        <v>4.05</v>
      </c>
      <c r="S696">
        <f t="shared" si="357"/>
        <v>1.0505764490147029</v>
      </c>
      <c r="T696">
        <f t="shared" si="358"/>
        <v>0.77236796080067338</v>
      </c>
      <c r="U696">
        <f t="shared" si="345"/>
        <v>0</v>
      </c>
      <c r="V696">
        <f t="shared" si="359"/>
        <v>0.75879057277925988</v>
      </c>
      <c r="W696" t="str">
        <f t="shared" si="346"/>
        <v/>
      </c>
      <c r="X696">
        <f t="shared" si="360"/>
        <v>0.53945202211567389</v>
      </c>
      <c r="Y696" t="str">
        <f t="shared" si="347"/>
        <v/>
      </c>
      <c r="Z696">
        <f t="shared" si="361"/>
        <v>0.82025301350784152</v>
      </c>
      <c r="AA696">
        <f t="shared" si="362"/>
        <v>0.93469859702577884</v>
      </c>
      <c r="AB696">
        <f t="shared" si="363"/>
        <v>1.4242024290801056</v>
      </c>
      <c r="AC696">
        <f t="shared" si="364"/>
        <v>1.1886433863840238</v>
      </c>
      <c r="AD696">
        <f t="shared" si="365"/>
        <v>1.2863850064748228</v>
      </c>
    </row>
    <row r="697" spans="1:30">
      <c r="A697" t="s">
        <v>515</v>
      </c>
      <c r="B697" t="s">
        <v>37</v>
      </c>
      <c r="C697" t="s">
        <v>38</v>
      </c>
      <c r="D697" t="s">
        <v>39</v>
      </c>
      <c r="E697" s="2">
        <v>46126</v>
      </c>
      <c r="F697" t="s">
        <v>40</v>
      </c>
      <c r="G697">
        <v>100.8</v>
      </c>
      <c r="H697">
        <v>83.4</v>
      </c>
      <c r="I697">
        <v>-1957.8</v>
      </c>
      <c r="J697">
        <v>71.3</v>
      </c>
      <c r="K697">
        <v>0</v>
      </c>
      <c r="L697">
        <v>0.1</v>
      </c>
      <c r="M697">
        <v>0</v>
      </c>
      <c r="N697">
        <v>71.2</v>
      </c>
      <c r="O697">
        <v>111.35</v>
      </c>
      <c r="P697">
        <v>112.89</v>
      </c>
      <c r="Q697">
        <v>3.98</v>
      </c>
      <c r="R697">
        <v>4</v>
      </c>
      <c r="S697">
        <f t="shared" si="357"/>
        <v>2.3589996865195588</v>
      </c>
      <c r="T697">
        <f t="shared" si="358"/>
        <v>0.94956729694108055</v>
      </c>
      <c r="U697">
        <f t="shared" si="345"/>
        <v>0</v>
      </c>
      <c r="V697">
        <f t="shared" si="359"/>
        <v>1.0202046977163897</v>
      </c>
      <c r="W697" t="str">
        <f t="shared" si="346"/>
        <v/>
      </c>
      <c r="X697">
        <f t="shared" si="360"/>
        <v>0.96799498319040234</v>
      </c>
      <c r="Y697" t="str">
        <f t="shared" si="347"/>
        <v/>
      </c>
      <c r="Z697">
        <f t="shared" si="361"/>
        <v>0.68361697456839354</v>
      </c>
      <c r="AA697">
        <f t="shared" si="362"/>
        <v>1.285263898428755</v>
      </c>
      <c r="AB697">
        <f t="shared" si="363"/>
        <v>1.7398164274216958</v>
      </c>
      <c r="AC697">
        <f t="shared" si="364"/>
        <v>1.055739774728377</v>
      </c>
      <c r="AD697">
        <f t="shared" si="365"/>
        <v>0.96742812306632298</v>
      </c>
    </row>
    <row r="698" spans="1:30">
      <c r="A698" t="s">
        <v>516</v>
      </c>
      <c r="B698" t="s">
        <v>37</v>
      </c>
      <c r="C698" t="s">
        <v>38</v>
      </c>
      <c r="D698" t="s">
        <v>39</v>
      </c>
      <c r="E698" s="2">
        <v>46126</v>
      </c>
      <c r="F698" t="s">
        <v>40</v>
      </c>
      <c r="G698">
        <v>116.9</v>
      </c>
      <c r="H698">
        <v>83.8</v>
      </c>
      <c r="I698">
        <v>-1957.8</v>
      </c>
      <c r="J698">
        <v>71.7</v>
      </c>
      <c r="K698">
        <v>0</v>
      </c>
      <c r="L698">
        <v>0.8</v>
      </c>
      <c r="M698">
        <v>0</v>
      </c>
      <c r="N698">
        <v>72.5</v>
      </c>
      <c r="O698">
        <v>111.64</v>
      </c>
      <c r="P698">
        <v>113.04</v>
      </c>
      <c r="Q698">
        <v>4.25</v>
      </c>
      <c r="R698">
        <v>4.2699999999999996</v>
      </c>
      <c r="S698">
        <f t="shared" si="357"/>
        <v>0.87006947713347893</v>
      </c>
      <c r="T698">
        <f t="shared" si="358"/>
        <v>1.0913267658534032</v>
      </c>
      <c r="U698">
        <f t="shared" si="345"/>
        <v>0</v>
      </c>
      <c r="V698">
        <f t="shared" si="359"/>
        <v>1.2293359976660967</v>
      </c>
      <c r="W698" t="str">
        <f t="shared" si="346"/>
        <v/>
      </c>
      <c r="X698">
        <f t="shared" si="360"/>
        <v>0.46802819526988565</v>
      </c>
      <c r="Y698" t="str">
        <f t="shared" si="347"/>
        <v/>
      </c>
      <c r="Z698">
        <f t="shared" si="361"/>
        <v>1.2757064766393391</v>
      </c>
      <c r="AA698">
        <f t="shared" si="362"/>
        <v>1.1129521401120352</v>
      </c>
      <c r="AB698">
        <f t="shared" si="363"/>
        <v>1.6322207461688765</v>
      </c>
      <c r="AC698">
        <f t="shared" si="364"/>
        <v>2.8499385320796082</v>
      </c>
      <c r="AD698">
        <f t="shared" si="365"/>
        <v>2.6897952934722249</v>
      </c>
    </row>
    <row r="699" spans="1:30">
      <c r="A699" t="s">
        <v>397</v>
      </c>
      <c r="B699" t="s">
        <v>37</v>
      </c>
      <c r="C699" t="s">
        <v>38</v>
      </c>
      <c r="D699" t="s">
        <v>39</v>
      </c>
      <c r="E699" s="2">
        <v>46126</v>
      </c>
      <c r="F699" t="s">
        <v>34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tr">
        <f t="shared" si="357"/>
        <v/>
      </c>
      <c r="T699" t="str">
        <f t="shared" si="358"/>
        <v/>
      </c>
      <c r="U699" t="str">
        <f t="shared" si="345"/>
        <v/>
      </c>
      <c r="V699" t="str">
        <f t="shared" si="359"/>
        <v/>
      </c>
      <c r="W699" t="str">
        <f t="shared" si="346"/>
        <v/>
      </c>
      <c r="X699" t="str">
        <f t="shared" si="360"/>
        <v/>
      </c>
      <c r="Y699" t="str">
        <f t="shared" si="347"/>
        <v/>
      </c>
      <c r="Z699" t="str">
        <f t="shared" si="361"/>
        <v/>
      </c>
      <c r="AA699" t="str">
        <f t="shared" si="362"/>
        <v/>
      </c>
      <c r="AB699" t="str">
        <f t="shared" si="363"/>
        <v/>
      </c>
      <c r="AC699" t="str">
        <f t="shared" si="364"/>
        <v/>
      </c>
      <c r="AD699" t="str">
        <f t="shared" si="365"/>
        <v/>
      </c>
    </row>
    <row r="700" spans="1:30">
      <c r="A700" t="s">
        <v>354</v>
      </c>
      <c r="B700" t="s">
        <v>31</v>
      </c>
      <c r="C700" t="s">
        <v>32</v>
      </c>
      <c r="D700" t="s">
        <v>33</v>
      </c>
      <c r="E700" s="2">
        <v>46126</v>
      </c>
      <c r="F700" t="s">
        <v>34</v>
      </c>
      <c r="G700">
        <v>100.3</v>
      </c>
      <c r="H700">
        <v>73.900000000000006</v>
      </c>
      <c r="I700">
        <v>-1957.8</v>
      </c>
      <c r="J700">
        <v>73.5</v>
      </c>
      <c r="K700">
        <v>0</v>
      </c>
      <c r="L700">
        <v>1.4</v>
      </c>
      <c r="M700">
        <v>0</v>
      </c>
      <c r="N700">
        <v>74.900000000000006</v>
      </c>
      <c r="O700">
        <v>112.6</v>
      </c>
      <c r="P700">
        <v>117.36</v>
      </c>
      <c r="Q700">
        <v>3.64</v>
      </c>
      <c r="R700">
        <v>3.32</v>
      </c>
      <c r="S700">
        <f>IF(OR(G700=0,G700=""),"",ABS((G700-152.740594)/5.729485))</f>
        <v>9.1527587558044026</v>
      </c>
      <c r="T700">
        <f>IF(OR(H700=0,H700=""),"",ABS((H700-96.426733)/5.037499))</f>
        <v>4.4718089274062374</v>
      </c>
      <c r="U700">
        <f t="shared" si="345"/>
        <v>0</v>
      </c>
      <c r="V700">
        <f>IF(OR(J700=0,J700=""),"",ABS((J700-69.40099)/2.222902))</f>
        <v>1.8439904233295066</v>
      </c>
      <c r="W700" t="str">
        <f t="shared" si="346"/>
        <v/>
      </c>
      <c r="X700">
        <f>IF(OR(L700=0,L700=""),"",ABS((L700-1.849749)/1.393269))</f>
        <v>0.32280126809682852</v>
      </c>
      <c r="Y700" t="str">
        <f t="shared" si="347"/>
        <v/>
      </c>
      <c r="Z700">
        <f>IF(OR(N700=0,N700=""),"",ABS((N700-69.231188)/2.519549))</f>
        <v>2.249931237693731</v>
      </c>
      <c r="AA700">
        <f>IF(OR(O700=0,O700=""),"",ABS((O700-113.18)/1.73698))</f>
        <v>0.33391288328018315</v>
      </c>
      <c r="AB700">
        <f>IF(OR(P700=0,P700=""),"",ABS((P700-114.765594)/1.645198))</f>
        <v>1.5769566945741524</v>
      </c>
      <c r="AC700">
        <f>IF(OR(Q700=0,Q700=""),"",ABS((Q700-8.040149)/0.55663))</f>
        <v>7.9049799687404549</v>
      </c>
      <c r="AD700">
        <f>IF(OR(R700=0,R700=""),"",ABS((R700-7.915297)/0.399795))</f>
        <v>11.494133243287186</v>
      </c>
    </row>
    <row r="701" spans="1:30">
      <c r="A701" t="s">
        <v>353</v>
      </c>
      <c r="B701" t="s">
        <v>31</v>
      </c>
      <c r="C701" t="s">
        <v>32</v>
      </c>
      <c r="D701" t="s">
        <v>33</v>
      </c>
      <c r="E701" s="2">
        <v>46126</v>
      </c>
      <c r="F701" t="s">
        <v>34</v>
      </c>
      <c r="G701">
        <v>103.9</v>
      </c>
      <c r="H701">
        <v>73</v>
      </c>
      <c r="I701">
        <v>-1957.8</v>
      </c>
      <c r="J701">
        <v>73.5</v>
      </c>
      <c r="K701">
        <v>0</v>
      </c>
      <c r="L701">
        <v>0.6</v>
      </c>
      <c r="M701">
        <v>0</v>
      </c>
      <c r="N701">
        <v>72.900000000000006</v>
      </c>
      <c r="O701">
        <v>116.48</v>
      </c>
      <c r="P701">
        <v>112.6</v>
      </c>
      <c r="Q701">
        <v>3.66</v>
      </c>
      <c r="R701">
        <v>3.56</v>
      </c>
      <c r="S701">
        <f>IF(OR(G701=0,G701=""),"",ABS((G701-152.740594)/5.729485))</f>
        <v>8.5244300316695085</v>
      </c>
      <c r="T701">
        <f>IF(OR(H701=0,H701=""),"",ABS((H701-96.426733)/5.037499))</f>
        <v>4.6504690125000518</v>
      </c>
      <c r="U701">
        <f t="shared" si="345"/>
        <v>0</v>
      </c>
      <c r="V701">
        <f>IF(OR(J701=0,J701=""),"",ABS((J701-69.40099)/2.222902))</f>
        <v>1.8439904233295066</v>
      </c>
      <c r="W701" t="str">
        <f t="shared" si="346"/>
        <v/>
      </c>
      <c r="X701">
        <f>IF(OR(L701=0,L701=""),"",ABS((L701-1.849749)/1.393269))</f>
        <v>0.89699045912885444</v>
      </c>
      <c r="Y701" t="str">
        <f t="shared" si="347"/>
        <v/>
      </c>
      <c r="Z701">
        <f>IF(OR(N701=0,N701=""),"",ABS((N701-69.231188)/2.519549))</f>
        <v>1.4561383803212411</v>
      </c>
      <c r="AA701">
        <f>IF(OR(O701=0,O701=""),"",ABS((O701-113.18)/1.73698))</f>
        <v>1.8998491634906547</v>
      </c>
      <c r="AB701">
        <f>IF(OR(P701=0,P701=""),"",ABS((P701-114.765594)/1.645198))</f>
        <v>1.3163120791539977</v>
      </c>
      <c r="AC701">
        <f>IF(OR(Q701=0,Q701=""),"",ABS((Q701-8.040149)/0.55663))</f>
        <v>7.869049458347555</v>
      </c>
      <c r="AD701">
        <f>IF(OR(R701=0,R701=""),"",ABS((R701-7.915297)/0.399795))</f>
        <v>10.893825585612626</v>
      </c>
    </row>
    <row r="702" spans="1:30">
      <c r="A702" t="s">
        <v>364</v>
      </c>
      <c r="B702" t="s">
        <v>37</v>
      </c>
      <c r="C702" t="s">
        <v>38</v>
      </c>
      <c r="D702" t="s">
        <v>39</v>
      </c>
      <c r="E702" s="2">
        <v>46126</v>
      </c>
      <c r="F702" t="s">
        <v>34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tr">
        <f t="shared" ref="S702:S733" si="366">IF(OR(G702=0,G702=""),"",ABS((G702-112.561871)/4.985957))</f>
        <v/>
      </c>
      <c r="T702" t="str">
        <f t="shared" ref="T702:T733" si="367">IF(OR(H702=0,H702=""),"",ABS((H702-80.720624)/2.821681))</f>
        <v/>
      </c>
      <c r="U702" t="str">
        <f t="shared" si="345"/>
        <v/>
      </c>
      <c r="V702" t="str">
        <f t="shared" ref="V702:V733" si="368">IF(OR(J702=0,J702=""),"",ABS((J702-69.348681)/1.912674))</f>
        <v/>
      </c>
      <c r="W702" t="str">
        <f t="shared" si="346"/>
        <v/>
      </c>
      <c r="X702" t="str">
        <f t="shared" ref="X702:X733" si="369">IF(OR(L702=0,L702=""),"",ABS((L702-1.455283)/1.400093))</f>
        <v/>
      </c>
      <c r="Y702" t="str">
        <f t="shared" si="347"/>
        <v/>
      </c>
      <c r="Z702" t="str">
        <f t="shared" ref="Z702:Z733" si="370">IF(OR(N702=0,N702=""),"",ABS((N702-69.699041)/2.195614))</f>
        <v/>
      </c>
      <c r="AA702" t="str">
        <f t="shared" ref="AA702:AA733" si="371">IF(OR(O702=0,O702=""),"",ABS((O702-113.513094)/1.682996))</f>
        <v/>
      </c>
      <c r="AB702" t="str">
        <f t="shared" ref="AB702:AB733" si="372">IF(OR(P702=0,P702=""),"",ABS((P702-115.315492)/1.394108))</f>
        <v/>
      </c>
      <c r="AC702" t="str">
        <f t="shared" ref="AC702:AC733" si="373">IF(OR(Q702=0,Q702=""),"",ABS((Q702-3.821127)/0.150485))</f>
        <v/>
      </c>
      <c r="AD702" t="str">
        <f t="shared" ref="AD702:AD733" si="374">IF(OR(R702=0,R702=""),"",ABS((R702-3.848345)/0.156761))</f>
        <v/>
      </c>
    </row>
    <row r="703" spans="1:30">
      <c r="A703" t="s">
        <v>517</v>
      </c>
      <c r="B703" t="s">
        <v>37</v>
      </c>
      <c r="C703" t="s">
        <v>38</v>
      </c>
      <c r="D703" t="s">
        <v>39</v>
      </c>
      <c r="E703" s="2">
        <v>46126</v>
      </c>
      <c r="F703" t="s">
        <v>40</v>
      </c>
      <c r="G703">
        <v>113.7</v>
      </c>
      <c r="H703">
        <v>83.8</v>
      </c>
      <c r="I703">
        <v>-1957.8</v>
      </c>
      <c r="J703">
        <v>73.5</v>
      </c>
      <c r="K703">
        <v>0</v>
      </c>
      <c r="L703">
        <v>0.5</v>
      </c>
      <c r="M703">
        <v>0</v>
      </c>
      <c r="N703">
        <v>74</v>
      </c>
      <c r="O703">
        <v>115.38</v>
      </c>
      <c r="P703">
        <v>115.38</v>
      </c>
      <c r="Q703">
        <v>3.98</v>
      </c>
      <c r="R703">
        <v>4.13</v>
      </c>
      <c r="S703">
        <f t="shared" si="366"/>
        <v>0.2282669104446762</v>
      </c>
      <c r="T703">
        <f t="shared" si="367"/>
        <v>1.0913267658534032</v>
      </c>
      <c r="U703">
        <f t="shared" si="345"/>
        <v>0</v>
      </c>
      <c r="V703">
        <f t="shared" si="368"/>
        <v>2.1704268474397628</v>
      </c>
      <c r="W703" t="str">
        <f t="shared" si="346"/>
        <v/>
      </c>
      <c r="X703">
        <f t="shared" si="369"/>
        <v>0.68229967580725004</v>
      </c>
      <c r="Y703" t="str">
        <f t="shared" si="347"/>
        <v/>
      </c>
      <c r="Z703">
        <f t="shared" si="370"/>
        <v>1.9588866713365856</v>
      </c>
      <c r="AA703">
        <f t="shared" si="371"/>
        <v>1.1092753636966459</v>
      </c>
      <c r="AB703">
        <f t="shared" si="372"/>
        <v>4.6271881375036482E-2</v>
      </c>
      <c r="AC703">
        <f t="shared" si="373"/>
        <v>1.055739774728377</v>
      </c>
      <c r="AD703">
        <f t="shared" si="374"/>
        <v>1.7967160199284244</v>
      </c>
    </row>
    <row r="704" spans="1:30">
      <c r="A704" t="s">
        <v>518</v>
      </c>
      <c r="B704" t="s">
        <v>37</v>
      </c>
      <c r="C704" t="s">
        <v>38</v>
      </c>
      <c r="D704" t="s">
        <v>39</v>
      </c>
      <c r="E704" s="2">
        <v>46126</v>
      </c>
      <c r="F704" t="s">
        <v>40</v>
      </c>
      <c r="G704">
        <v>116.4</v>
      </c>
      <c r="H704">
        <v>84.3</v>
      </c>
      <c r="I704">
        <v>-1957.8</v>
      </c>
      <c r="J704">
        <v>73.5</v>
      </c>
      <c r="K704">
        <v>0</v>
      </c>
      <c r="L704">
        <v>1.1000000000000001</v>
      </c>
      <c r="M704">
        <v>0</v>
      </c>
      <c r="N704">
        <v>72.400000000000006</v>
      </c>
      <c r="O704">
        <v>115.24</v>
      </c>
      <c r="P704">
        <v>115.31</v>
      </c>
      <c r="Q704">
        <v>3.93</v>
      </c>
      <c r="R704">
        <v>4.05</v>
      </c>
      <c r="S704">
        <f t="shared" si="366"/>
        <v>0.76978782608835361</v>
      </c>
      <c r="T704">
        <f t="shared" si="367"/>
        <v>1.2685261019938103</v>
      </c>
      <c r="U704">
        <f t="shared" si="345"/>
        <v>0</v>
      </c>
      <c r="V704">
        <f t="shared" si="368"/>
        <v>2.1704268474397628</v>
      </c>
      <c r="W704" t="str">
        <f t="shared" si="346"/>
        <v/>
      </c>
      <c r="X704">
        <f t="shared" si="369"/>
        <v>0.25375671473252137</v>
      </c>
      <c r="Y704" t="str">
        <f t="shared" si="347"/>
        <v/>
      </c>
      <c r="Z704">
        <f t="shared" si="370"/>
        <v>1.2301611303261919</v>
      </c>
      <c r="AA704">
        <f t="shared" si="371"/>
        <v>1.0260903769230585</v>
      </c>
      <c r="AB704">
        <f t="shared" si="372"/>
        <v>3.9394365429391608E-3</v>
      </c>
      <c r="AC704">
        <f t="shared" si="373"/>
        <v>0.72348074558926134</v>
      </c>
      <c r="AD704">
        <f t="shared" si="374"/>
        <v>1.2863850064748228</v>
      </c>
    </row>
    <row r="705" spans="1:30">
      <c r="A705" t="s">
        <v>519</v>
      </c>
      <c r="B705" t="s">
        <v>37</v>
      </c>
      <c r="C705" t="s">
        <v>38</v>
      </c>
      <c r="D705" t="s">
        <v>39</v>
      </c>
      <c r="E705" s="2">
        <v>46126</v>
      </c>
      <c r="F705" t="s">
        <v>40</v>
      </c>
      <c r="G705">
        <v>120</v>
      </c>
      <c r="H705">
        <v>84.3</v>
      </c>
      <c r="I705">
        <v>-1957.8</v>
      </c>
      <c r="J705">
        <v>73.099999999999994</v>
      </c>
      <c r="K705">
        <v>0</v>
      </c>
      <c r="L705">
        <v>0</v>
      </c>
      <c r="M705">
        <v>0</v>
      </c>
      <c r="N705">
        <v>73.099999999999994</v>
      </c>
      <c r="O705">
        <v>111.79</v>
      </c>
      <c r="P705">
        <v>113.4</v>
      </c>
      <c r="Q705">
        <v>4.13</v>
      </c>
      <c r="R705">
        <v>4.17</v>
      </c>
      <c r="S705">
        <f t="shared" si="366"/>
        <v>1.4918157136132548</v>
      </c>
      <c r="T705">
        <f t="shared" si="367"/>
        <v>1.2685261019938103</v>
      </c>
      <c r="U705">
        <f t="shared" si="345"/>
        <v>0</v>
      </c>
      <c r="V705">
        <f t="shared" si="368"/>
        <v>1.961295547490056</v>
      </c>
      <c r="W705" t="str">
        <f t="shared" si="346"/>
        <v/>
      </c>
      <c r="X705" t="str">
        <f t="shared" si="369"/>
        <v/>
      </c>
      <c r="Y705" t="str">
        <f t="shared" si="347"/>
        <v/>
      </c>
      <c r="Z705">
        <f t="shared" si="370"/>
        <v>1.5489785545182351</v>
      </c>
      <c r="AA705">
        <f t="shared" si="371"/>
        <v>1.0238253685689027</v>
      </c>
      <c r="AB705">
        <f t="shared" si="372"/>
        <v>1.3739911111621199</v>
      </c>
      <c r="AC705">
        <f t="shared" si="373"/>
        <v>2.052516862145727</v>
      </c>
      <c r="AD705">
        <f t="shared" si="374"/>
        <v>2.0518815266552255</v>
      </c>
    </row>
    <row r="706" spans="1:30">
      <c r="A706" t="s">
        <v>520</v>
      </c>
      <c r="B706" t="s">
        <v>37</v>
      </c>
      <c r="C706" t="s">
        <v>38</v>
      </c>
      <c r="D706" t="s">
        <v>39</v>
      </c>
      <c r="E706" s="2">
        <v>46127</v>
      </c>
      <c r="F706" t="s">
        <v>40</v>
      </c>
      <c r="G706">
        <v>103.9</v>
      </c>
      <c r="H706">
        <v>77.900000000000006</v>
      </c>
      <c r="I706">
        <v>-1957.8</v>
      </c>
      <c r="J706">
        <v>68.599999999999994</v>
      </c>
      <c r="K706">
        <v>0</v>
      </c>
      <c r="L706">
        <v>0.4</v>
      </c>
      <c r="M706">
        <v>0</v>
      </c>
      <c r="N706">
        <v>69</v>
      </c>
      <c r="O706">
        <v>112.45</v>
      </c>
      <c r="P706">
        <v>116.56</v>
      </c>
      <c r="Q706">
        <v>3.74</v>
      </c>
      <c r="R706">
        <v>3.81</v>
      </c>
      <c r="S706">
        <f t="shared" si="366"/>
        <v>1.7372534500397798</v>
      </c>
      <c r="T706">
        <f t="shared" si="367"/>
        <v>0.99962540060339755</v>
      </c>
      <c r="U706">
        <f t="shared" ref="U706:U769" si="375">IF(OR(I706=0,I706=""),"",ABS((I706--1957.8)/1))</f>
        <v>0</v>
      </c>
      <c r="V706">
        <f t="shared" si="368"/>
        <v>0.39143157694411324</v>
      </c>
      <c r="W706" t="str">
        <f t="shared" ref="W706:W769" si="376">IF(OR(K706=0,K706=""),"",ABS((K706-0)/1))</f>
        <v/>
      </c>
      <c r="X706">
        <f t="shared" si="369"/>
        <v>0.75372350265303822</v>
      </c>
      <c r="Y706" t="str">
        <f t="shared" ref="Y706:Y769" si="377">IF(OR(M706=0,M706=""),"",ABS((M706-0)/1))</f>
        <v/>
      </c>
      <c r="Z706">
        <f t="shared" si="370"/>
        <v>0.31838064432090252</v>
      </c>
      <c r="AA706">
        <f t="shared" si="371"/>
        <v>0.63166757377913696</v>
      </c>
      <c r="AB706">
        <f t="shared" si="372"/>
        <v>0.89269124056385607</v>
      </c>
      <c r="AC706">
        <f t="shared" si="373"/>
        <v>0.53910356513938229</v>
      </c>
      <c r="AD706">
        <f t="shared" si="374"/>
        <v>0.24460803388597974</v>
      </c>
    </row>
    <row r="707" spans="1:30">
      <c r="A707" t="s">
        <v>521</v>
      </c>
      <c r="B707" t="s">
        <v>37</v>
      </c>
      <c r="C707" t="s">
        <v>38</v>
      </c>
      <c r="D707" t="s">
        <v>39</v>
      </c>
      <c r="E707" s="2">
        <v>46127</v>
      </c>
      <c r="F707" t="s">
        <v>34</v>
      </c>
      <c r="G707">
        <v>103</v>
      </c>
      <c r="H707">
        <v>69.400000000000006</v>
      </c>
      <c r="I707">
        <v>-1957.8</v>
      </c>
      <c r="J707">
        <v>69.099999999999994</v>
      </c>
      <c r="K707">
        <v>0</v>
      </c>
      <c r="L707">
        <v>1</v>
      </c>
      <c r="M707">
        <v>0</v>
      </c>
      <c r="N707">
        <v>68.099999999999994</v>
      </c>
      <c r="O707">
        <v>112.38</v>
      </c>
      <c r="P707">
        <v>116.63</v>
      </c>
      <c r="Q707">
        <v>2.86</v>
      </c>
      <c r="R707">
        <v>2.93</v>
      </c>
      <c r="S707">
        <f t="shared" si="366"/>
        <v>1.9177604219210067</v>
      </c>
      <c r="T707">
        <f t="shared" si="367"/>
        <v>4.0120141149903183</v>
      </c>
      <c r="U707">
        <f t="shared" si="375"/>
        <v>0</v>
      </c>
      <c r="V707">
        <f t="shared" si="368"/>
        <v>0.13001745200698331</v>
      </c>
      <c r="W707" t="str">
        <f t="shared" si="376"/>
        <v/>
      </c>
      <c r="X707">
        <f t="shared" si="369"/>
        <v>0.3251805415783095</v>
      </c>
      <c r="Y707" t="str">
        <f t="shared" si="377"/>
        <v/>
      </c>
      <c r="Z707">
        <f t="shared" si="370"/>
        <v>0.728288761139253</v>
      </c>
      <c r="AA707">
        <f t="shared" si="371"/>
        <v>0.67326006716593501</v>
      </c>
      <c r="AB707">
        <f t="shared" si="372"/>
        <v>0.94290255848183169</v>
      </c>
      <c r="AC707">
        <f t="shared" si="373"/>
        <v>6.3868624779878411</v>
      </c>
      <c r="AD707">
        <f t="shared" si="374"/>
        <v>5.8582491818755935</v>
      </c>
    </row>
    <row r="708" spans="1:30">
      <c r="A708" t="s">
        <v>521</v>
      </c>
      <c r="B708" t="s">
        <v>37</v>
      </c>
      <c r="C708" t="s">
        <v>38</v>
      </c>
      <c r="D708" t="s">
        <v>39</v>
      </c>
      <c r="E708" s="2">
        <v>46127</v>
      </c>
      <c r="F708" t="s">
        <v>34</v>
      </c>
      <c r="G708">
        <v>109.3</v>
      </c>
      <c r="H708">
        <v>70.3</v>
      </c>
      <c r="I708">
        <v>-1957.8</v>
      </c>
      <c r="J708">
        <v>69.5</v>
      </c>
      <c r="K708">
        <v>0</v>
      </c>
      <c r="L708">
        <v>0.1</v>
      </c>
      <c r="M708">
        <v>0</v>
      </c>
      <c r="N708">
        <v>69.400000000000006</v>
      </c>
      <c r="O708">
        <v>112.45</v>
      </c>
      <c r="P708">
        <v>116.7</v>
      </c>
      <c r="Q708">
        <v>2.91</v>
      </c>
      <c r="R708">
        <v>2.95</v>
      </c>
      <c r="S708">
        <f t="shared" si="366"/>
        <v>0.65421161875242795</v>
      </c>
      <c r="T708">
        <f t="shared" si="367"/>
        <v>3.6930553099375882</v>
      </c>
      <c r="U708">
        <f t="shared" si="375"/>
        <v>0</v>
      </c>
      <c r="V708">
        <f t="shared" si="368"/>
        <v>7.9113847942723581E-2</v>
      </c>
      <c r="W708" t="str">
        <f t="shared" si="376"/>
        <v/>
      </c>
      <c r="X708">
        <f t="shared" si="369"/>
        <v>0.96799498319040234</v>
      </c>
      <c r="Y708" t="str">
        <f t="shared" si="377"/>
        <v/>
      </c>
      <c r="Z708">
        <f t="shared" si="370"/>
        <v>0.13619925906830088</v>
      </c>
      <c r="AA708">
        <f t="shared" si="371"/>
        <v>0.63166757377913696</v>
      </c>
      <c r="AB708">
        <f t="shared" si="372"/>
        <v>0.99311387639981752</v>
      </c>
      <c r="AC708">
        <f t="shared" si="373"/>
        <v>6.0546034488487219</v>
      </c>
      <c r="AD708">
        <f t="shared" si="374"/>
        <v>5.7306664285121931</v>
      </c>
    </row>
    <row r="709" spans="1:30">
      <c r="A709" t="s">
        <v>522</v>
      </c>
      <c r="B709" t="s">
        <v>37</v>
      </c>
      <c r="C709" t="s">
        <v>38</v>
      </c>
      <c r="D709" t="s">
        <v>39</v>
      </c>
      <c r="E709" s="2">
        <v>46127</v>
      </c>
      <c r="F709" t="s">
        <v>40</v>
      </c>
      <c r="G709">
        <v>106.6</v>
      </c>
      <c r="H709">
        <v>79.8</v>
      </c>
      <c r="I709">
        <v>-1957.8</v>
      </c>
      <c r="J709">
        <v>70</v>
      </c>
      <c r="K709">
        <v>0</v>
      </c>
      <c r="L709">
        <v>0.3</v>
      </c>
      <c r="M709">
        <v>0</v>
      </c>
      <c r="N709">
        <v>69.7</v>
      </c>
      <c r="O709">
        <v>112.08</v>
      </c>
      <c r="P709">
        <v>113.4</v>
      </c>
      <c r="Q709">
        <v>3.83</v>
      </c>
      <c r="R709">
        <v>3.93</v>
      </c>
      <c r="S709">
        <f t="shared" si="366"/>
        <v>1.1957325343961054</v>
      </c>
      <c r="T709">
        <f t="shared" si="367"/>
        <v>0.3262679232698536</v>
      </c>
      <c r="U709">
        <f t="shared" si="375"/>
        <v>0</v>
      </c>
      <c r="V709">
        <f t="shared" si="368"/>
        <v>0.34052797287985348</v>
      </c>
      <c r="W709" t="str">
        <f t="shared" si="376"/>
        <v/>
      </c>
      <c r="X709">
        <f t="shared" si="369"/>
        <v>0.82514732949882619</v>
      </c>
      <c r="Y709" t="str">
        <f t="shared" si="377"/>
        <v/>
      </c>
      <c r="Z709">
        <f t="shared" si="370"/>
        <v>4.3677987114712057E-4</v>
      </c>
      <c r="AA709">
        <f t="shared" si="371"/>
        <v>0.8515136102521913</v>
      </c>
      <c r="AB709">
        <f t="shared" si="372"/>
        <v>1.3739911111621199</v>
      </c>
      <c r="AC709">
        <f t="shared" si="373"/>
        <v>5.8962687311027065E-2</v>
      </c>
      <c r="AD709">
        <f t="shared" si="374"/>
        <v>0.52088848629442286</v>
      </c>
    </row>
    <row r="710" spans="1:30">
      <c r="A710" t="s">
        <v>523</v>
      </c>
      <c r="B710" t="s">
        <v>37</v>
      </c>
      <c r="C710" t="s">
        <v>38</v>
      </c>
      <c r="D710" t="s">
        <v>39</v>
      </c>
      <c r="E710" s="2">
        <v>46127</v>
      </c>
      <c r="F710" t="s">
        <v>40</v>
      </c>
      <c r="G710">
        <v>105.7</v>
      </c>
      <c r="H710">
        <v>78.900000000000006</v>
      </c>
      <c r="I710">
        <v>-1957.8</v>
      </c>
      <c r="J710">
        <v>70.400000000000006</v>
      </c>
      <c r="K710">
        <v>0</v>
      </c>
      <c r="L710">
        <v>0.1</v>
      </c>
      <c r="M710">
        <v>0</v>
      </c>
      <c r="N710">
        <v>70.3</v>
      </c>
      <c r="O710">
        <v>111.86</v>
      </c>
      <c r="P710">
        <v>112.89</v>
      </c>
      <c r="Q710">
        <v>4.08</v>
      </c>
      <c r="R710">
        <v>4.13</v>
      </c>
      <c r="S710">
        <f t="shared" si="366"/>
        <v>1.3762395062773292</v>
      </c>
      <c r="T710">
        <f t="shared" si="367"/>
        <v>0.64522672832258332</v>
      </c>
      <c r="U710">
        <f t="shared" si="375"/>
        <v>0</v>
      </c>
      <c r="V710">
        <f t="shared" si="368"/>
        <v>0.5496592728295604</v>
      </c>
      <c r="W710" t="str">
        <f t="shared" si="376"/>
        <v/>
      </c>
      <c r="X710">
        <f t="shared" si="369"/>
        <v>0.96799498319040234</v>
      </c>
      <c r="Y710" t="str">
        <f t="shared" si="377"/>
        <v/>
      </c>
      <c r="Z710">
        <f t="shared" si="370"/>
        <v>0.27370885775004311</v>
      </c>
      <c r="AA710">
        <f t="shared" si="371"/>
        <v>0.98223287518211322</v>
      </c>
      <c r="AB710">
        <f t="shared" si="372"/>
        <v>1.7398164274216958</v>
      </c>
      <c r="AC710">
        <f t="shared" si="373"/>
        <v>1.7202578330066112</v>
      </c>
      <c r="AD710">
        <f t="shared" si="374"/>
        <v>1.7967160199284244</v>
      </c>
    </row>
    <row r="711" spans="1:30">
      <c r="A711" t="s">
        <v>524</v>
      </c>
      <c r="B711" t="s">
        <v>37</v>
      </c>
      <c r="C711" t="s">
        <v>38</v>
      </c>
      <c r="D711" t="s">
        <v>39</v>
      </c>
      <c r="E711" s="2">
        <v>46127</v>
      </c>
      <c r="F711" t="s">
        <v>40</v>
      </c>
      <c r="G711">
        <v>114.2</v>
      </c>
      <c r="H711">
        <v>80.7</v>
      </c>
      <c r="I711">
        <v>-1957.8</v>
      </c>
      <c r="J711">
        <v>70.400000000000006</v>
      </c>
      <c r="K711">
        <v>0</v>
      </c>
      <c r="L711">
        <v>0.2</v>
      </c>
      <c r="M711">
        <v>0</v>
      </c>
      <c r="N711">
        <v>70.2</v>
      </c>
      <c r="O711">
        <v>112.08</v>
      </c>
      <c r="P711">
        <v>116.26</v>
      </c>
      <c r="Q711">
        <v>3.93</v>
      </c>
      <c r="R711">
        <v>3.86</v>
      </c>
      <c r="S711">
        <f t="shared" si="366"/>
        <v>0.32854856148980155</v>
      </c>
      <c r="T711">
        <f t="shared" si="367"/>
        <v>7.309118217118795E-3</v>
      </c>
      <c r="U711">
        <f t="shared" si="375"/>
        <v>0</v>
      </c>
      <c r="V711">
        <f t="shared" si="368"/>
        <v>0.5496592728295604</v>
      </c>
      <c r="W711" t="str">
        <f t="shared" si="376"/>
        <v/>
      </c>
      <c r="X711">
        <f t="shared" si="369"/>
        <v>0.89657115634461437</v>
      </c>
      <c r="Y711" t="str">
        <f t="shared" si="377"/>
        <v/>
      </c>
      <c r="Z711">
        <f t="shared" si="370"/>
        <v>0.22816351143689592</v>
      </c>
      <c r="AA711">
        <f t="shared" si="371"/>
        <v>0.8515136102521913</v>
      </c>
      <c r="AB711">
        <f t="shared" si="372"/>
        <v>0.6774998780582272</v>
      </c>
      <c r="AC711">
        <f t="shared" si="373"/>
        <v>0.72348074558926134</v>
      </c>
      <c r="AD711">
        <f t="shared" si="374"/>
        <v>7.4348849522519939E-2</v>
      </c>
    </row>
    <row r="712" spans="1:30">
      <c r="A712" t="s">
        <v>525</v>
      </c>
      <c r="B712" t="s">
        <v>37</v>
      </c>
      <c r="C712" t="s">
        <v>38</v>
      </c>
      <c r="D712" t="s">
        <v>39</v>
      </c>
      <c r="E712" s="2">
        <v>46127</v>
      </c>
      <c r="F712" t="s">
        <v>40</v>
      </c>
      <c r="G712">
        <v>107</v>
      </c>
      <c r="H712">
        <v>78.900000000000006</v>
      </c>
      <c r="I712">
        <v>-1957.8</v>
      </c>
      <c r="J712">
        <v>70</v>
      </c>
      <c r="K712">
        <v>0</v>
      </c>
      <c r="L712">
        <v>0.1</v>
      </c>
      <c r="M712">
        <v>0</v>
      </c>
      <c r="N712">
        <v>70.099999999999994</v>
      </c>
      <c r="O712">
        <v>110.47</v>
      </c>
      <c r="P712">
        <v>117.36</v>
      </c>
      <c r="Q712">
        <v>4.05</v>
      </c>
      <c r="R712">
        <v>3.93</v>
      </c>
      <c r="S712">
        <f t="shared" si="366"/>
        <v>1.1155072135600039</v>
      </c>
      <c r="T712">
        <f t="shared" si="367"/>
        <v>0.64522672832258332</v>
      </c>
      <c r="U712">
        <f t="shared" si="375"/>
        <v>0</v>
      </c>
      <c r="V712">
        <f t="shared" si="368"/>
        <v>0.34052797287985348</v>
      </c>
      <c r="W712" t="str">
        <f t="shared" si="376"/>
        <v/>
      </c>
      <c r="X712">
        <f t="shared" si="369"/>
        <v>0.96799498319040234</v>
      </c>
      <c r="Y712" t="str">
        <f t="shared" si="377"/>
        <v/>
      </c>
      <c r="Z712">
        <f t="shared" si="370"/>
        <v>0.18261816512374229</v>
      </c>
      <c r="AA712">
        <f t="shared" si="371"/>
        <v>1.8081409581484427</v>
      </c>
      <c r="AB712">
        <f t="shared" si="372"/>
        <v>1.4665348739122031</v>
      </c>
      <c r="AC712">
        <f t="shared" si="373"/>
        <v>1.5209024155231394</v>
      </c>
      <c r="AD712">
        <f t="shared" si="374"/>
        <v>0.52088848629442286</v>
      </c>
    </row>
    <row r="713" spans="1:30">
      <c r="A713" t="s">
        <v>525</v>
      </c>
      <c r="B713" t="s">
        <v>37</v>
      </c>
      <c r="C713" t="s">
        <v>38</v>
      </c>
      <c r="D713" t="s">
        <v>39</v>
      </c>
      <c r="E713" s="2">
        <v>46127</v>
      </c>
      <c r="F713" t="s">
        <v>34</v>
      </c>
      <c r="G713">
        <v>113.3</v>
      </c>
      <c r="H713">
        <v>71.2</v>
      </c>
      <c r="I713">
        <v>-1957.8</v>
      </c>
      <c r="J713">
        <v>70.400000000000006</v>
      </c>
      <c r="K713">
        <v>0</v>
      </c>
      <c r="L713">
        <v>0.5</v>
      </c>
      <c r="M713">
        <v>0</v>
      </c>
      <c r="N713">
        <v>69.900000000000006</v>
      </c>
      <c r="O713">
        <v>115.68</v>
      </c>
      <c r="P713">
        <v>112.6</v>
      </c>
      <c r="Q713">
        <v>3.08</v>
      </c>
      <c r="R713">
        <v>3.15</v>
      </c>
      <c r="S713">
        <f t="shared" si="366"/>
        <v>0.14804158960857478</v>
      </c>
      <c r="T713">
        <f t="shared" si="367"/>
        <v>3.3740965048848537</v>
      </c>
      <c r="U713">
        <f t="shared" si="375"/>
        <v>0</v>
      </c>
      <c r="V713">
        <f t="shared" si="368"/>
        <v>0.5496592728295604</v>
      </c>
      <c r="W713" t="str">
        <f t="shared" si="376"/>
        <v/>
      </c>
      <c r="X713">
        <f t="shared" si="369"/>
        <v>0.68229967580725004</v>
      </c>
      <c r="Y713" t="str">
        <f t="shared" si="377"/>
        <v/>
      </c>
      <c r="Z713">
        <f t="shared" si="370"/>
        <v>9.1527472497447943E-2</v>
      </c>
      <c r="AA713">
        <f t="shared" si="371"/>
        <v>1.2875289067829108</v>
      </c>
      <c r="AB713">
        <f t="shared" si="372"/>
        <v>1.9478347445104769</v>
      </c>
      <c r="AC713">
        <f t="shared" si="373"/>
        <v>4.9249227497757255</v>
      </c>
      <c r="AD713">
        <f t="shared" si="374"/>
        <v>4.4548388948781916</v>
      </c>
    </row>
    <row r="714" spans="1:30">
      <c r="A714" t="s">
        <v>526</v>
      </c>
      <c r="B714" t="s">
        <v>37</v>
      </c>
      <c r="C714" t="s">
        <v>38</v>
      </c>
      <c r="D714" t="s">
        <v>39</v>
      </c>
      <c r="E714" s="2">
        <v>46127</v>
      </c>
      <c r="F714" t="s">
        <v>40</v>
      </c>
      <c r="G714">
        <v>107</v>
      </c>
      <c r="H714">
        <v>79.3</v>
      </c>
      <c r="I714">
        <v>-1957.8</v>
      </c>
      <c r="J714">
        <v>70</v>
      </c>
      <c r="K714">
        <v>0</v>
      </c>
      <c r="L714">
        <v>1.1000000000000001</v>
      </c>
      <c r="M714">
        <v>0</v>
      </c>
      <c r="N714">
        <v>68.900000000000006</v>
      </c>
      <c r="O714">
        <v>115.24</v>
      </c>
      <c r="P714">
        <v>115.24</v>
      </c>
      <c r="Q714">
        <v>3.86</v>
      </c>
      <c r="R714">
        <v>3.93</v>
      </c>
      <c r="S714">
        <f t="shared" si="366"/>
        <v>1.1155072135600039</v>
      </c>
      <c r="T714">
        <f t="shared" si="367"/>
        <v>0.50346725941026071</v>
      </c>
      <c r="U714">
        <f t="shared" si="375"/>
        <v>0</v>
      </c>
      <c r="V714">
        <f t="shared" si="368"/>
        <v>0.34052797287985348</v>
      </c>
      <c r="W714" t="str">
        <f t="shared" si="376"/>
        <v/>
      </c>
      <c r="X714">
        <f t="shared" si="369"/>
        <v>0.25375671473252137</v>
      </c>
      <c r="Y714" t="str">
        <f t="shared" si="377"/>
        <v/>
      </c>
      <c r="Z714">
        <f t="shared" si="370"/>
        <v>0.36392599063404968</v>
      </c>
      <c r="AA714">
        <f t="shared" si="371"/>
        <v>1.0260903769230585</v>
      </c>
      <c r="AB714">
        <f t="shared" si="372"/>
        <v>5.4150754460924995E-2</v>
      </c>
      <c r="AC714">
        <f t="shared" si="373"/>
        <v>0.25831810479449585</v>
      </c>
      <c r="AD714">
        <f t="shared" si="374"/>
        <v>0.52088848629442286</v>
      </c>
    </row>
    <row r="715" spans="1:30">
      <c r="A715" t="s">
        <v>527</v>
      </c>
      <c r="B715" t="s">
        <v>37</v>
      </c>
      <c r="C715" t="s">
        <v>38</v>
      </c>
      <c r="D715" t="s">
        <v>39</v>
      </c>
      <c r="E715" s="2">
        <v>46127</v>
      </c>
      <c r="F715" t="s">
        <v>40</v>
      </c>
      <c r="G715">
        <v>119.1</v>
      </c>
      <c r="H715">
        <v>81.599999999999994</v>
      </c>
      <c r="I715">
        <v>-1957.8</v>
      </c>
      <c r="J715">
        <v>70</v>
      </c>
      <c r="K715">
        <v>0</v>
      </c>
      <c r="L715">
        <v>0.5</v>
      </c>
      <c r="M715">
        <v>0</v>
      </c>
      <c r="N715">
        <v>69.5</v>
      </c>
      <c r="O715">
        <v>112.08</v>
      </c>
      <c r="P715">
        <v>113.55</v>
      </c>
      <c r="Q715">
        <v>4</v>
      </c>
      <c r="R715">
        <v>4</v>
      </c>
      <c r="S715">
        <f t="shared" si="366"/>
        <v>1.3113087417320282</v>
      </c>
      <c r="T715">
        <f t="shared" si="367"/>
        <v>0.31164968683561095</v>
      </c>
      <c r="U715">
        <f t="shared" si="375"/>
        <v>0</v>
      </c>
      <c r="V715">
        <f t="shared" si="368"/>
        <v>0.34052797287985348</v>
      </c>
      <c r="W715" t="str">
        <f t="shared" si="376"/>
        <v/>
      </c>
      <c r="X715">
        <f t="shared" si="369"/>
        <v>0.68229967580725004</v>
      </c>
      <c r="Y715" t="str">
        <f t="shared" si="377"/>
        <v/>
      </c>
      <c r="Z715">
        <f t="shared" si="370"/>
        <v>9.0653912755153693E-2</v>
      </c>
      <c r="AA715">
        <f t="shared" si="371"/>
        <v>0.8515136102521913</v>
      </c>
      <c r="AB715">
        <f t="shared" si="372"/>
        <v>1.2663954299093105</v>
      </c>
      <c r="AC715">
        <f t="shared" si="373"/>
        <v>1.1886433863840238</v>
      </c>
      <c r="AD715">
        <f t="shared" si="374"/>
        <v>0.96742812306632298</v>
      </c>
    </row>
    <row r="716" spans="1:30">
      <c r="A716" t="s">
        <v>528</v>
      </c>
      <c r="B716" t="s">
        <v>37</v>
      </c>
      <c r="C716" t="s">
        <v>38</v>
      </c>
      <c r="D716" t="s">
        <v>39</v>
      </c>
      <c r="E716" s="2">
        <v>46127</v>
      </c>
      <c r="F716" t="s">
        <v>40</v>
      </c>
      <c r="G716">
        <v>114.2</v>
      </c>
      <c r="H716">
        <v>82.5</v>
      </c>
      <c r="I716">
        <v>-1957.8</v>
      </c>
      <c r="J716">
        <v>70</v>
      </c>
      <c r="K716">
        <v>0</v>
      </c>
      <c r="L716">
        <v>1.3</v>
      </c>
      <c r="M716">
        <v>0</v>
      </c>
      <c r="N716">
        <v>68.7</v>
      </c>
      <c r="O716">
        <v>115.09</v>
      </c>
      <c r="P716">
        <v>115.02</v>
      </c>
      <c r="Q716">
        <v>3.83</v>
      </c>
      <c r="R716">
        <v>4.03</v>
      </c>
      <c r="S716">
        <f t="shared" si="366"/>
        <v>0.32854856148980155</v>
      </c>
      <c r="T716">
        <f t="shared" si="367"/>
        <v>0.63060849188834578</v>
      </c>
      <c r="U716">
        <f t="shared" si="375"/>
        <v>0</v>
      </c>
      <c r="V716">
        <f t="shared" si="368"/>
        <v>0.34052797287985348</v>
      </c>
      <c r="W716" t="str">
        <f t="shared" si="376"/>
        <v/>
      </c>
      <c r="X716">
        <f t="shared" si="369"/>
        <v>0.11090906104094518</v>
      </c>
      <c r="Y716" t="str">
        <f t="shared" si="377"/>
        <v/>
      </c>
      <c r="Z716">
        <f t="shared" si="370"/>
        <v>0.4550166832603505</v>
      </c>
      <c r="AA716">
        <f t="shared" si="371"/>
        <v>0.93696360537993451</v>
      </c>
      <c r="AB716">
        <f t="shared" si="372"/>
        <v>0.21195775363172015</v>
      </c>
      <c r="AC716">
        <f t="shared" si="373"/>
        <v>5.8962687311027065E-2</v>
      </c>
      <c r="AD716">
        <f t="shared" si="374"/>
        <v>1.158802253111425</v>
      </c>
    </row>
    <row r="717" spans="1:30">
      <c r="A717" t="s">
        <v>529</v>
      </c>
      <c r="B717" t="s">
        <v>37</v>
      </c>
      <c r="C717" t="s">
        <v>38</v>
      </c>
      <c r="D717" t="s">
        <v>39</v>
      </c>
      <c r="E717" s="2">
        <v>46127</v>
      </c>
      <c r="F717" t="s">
        <v>40</v>
      </c>
      <c r="G717">
        <v>99.9</v>
      </c>
      <c r="H717">
        <v>84.7</v>
      </c>
      <c r="I717">
        <v>-1957.8</v>
      </c>
      <c r="J717">
        <v>70.400000000000006</v>
      </c>
      <c r="K717">
        <v>0</v>
      </c>
      <c r="L717">
        <v>0.2</v>
      </c>
      <c r="M717">
        <v>0</v>
      </c>
      <c r="N717">
        <v>70.599999999999994</v>
      </c>
      <c r="O717">
        <v>115.02</v>
      </c>
      <c r="P717">
        <v>115.09</v>
      </c>
      <c r="Q717">
        <v>4.08</v>
      </c>
      <c r="R717">
        <v>4.1500000000000004</v>
      </c>
      <c r="S717">
        <f t="shared" si="366"/>
        <v>2.5395066584007826</v>
      </c>
      <c r="T717">
        <f t="shared" si="367"/>
        <v>1.4102855709061379</v>
      </c>
      <c r="U717">
        <f t="shared" si="375"/>
        <v>0</v>
      </c>
      <c r="V717">
        <f t="shared" si="368"/>
        <v>0.5496592728295604</v>
      </c>
      <c r="W717" t="str">
        <f t="shared" si="376"/>
        <v/>
      </c>
      <c r="X717">
        <f t="shared" si="369"/>
        <v>0.89657115634461437</v>
      </c>
      <c r="Y717" t="str">
        <f t="shared" si="377"/>
        <v/>
      </c>
      <c r="Z717">
        <f t="shared" si="370"/>
        <v>0.41034489668949109</v>
      </c>
      <c r="AA717">
        <f t="shared" si="371"/>
        <v>0.89537111199313657</v>
      </c>
      <c r="AB717">
        <f t="shared" si="372"/>
        <v>0.16174643571373432</v>
      </c>
      <c r="AC717">
        <f t="shared" si="373"/>
        <v>1.7202578330066112</v>
      </c>
      <c r="AD717">
        <f t="shared" si="374"/>
        <v>1.9242987732918277</v>
      </c>
    </row>
    <row r="718" spans="1:30">
      <c r="A718" t="s">
        <v>530</v>
      </c>
      <c r="B718" t="s">
        <v>37</v>
      </c>
      <c r="C718" t="s">
        <v>38</v>
      </c>
      <c r="D718" t="s">
        <v>39</v>
      </c>
      <c r="E718" s="2">
        <v>46127</v>
      </c>
      <c r="F718" t="s">
        <v>40</v>
      </c>
      <c r="G718">
        <v>117.8</v>
      </c>
      <c r="H718">
        <v>82.9</v>
      </c>
      <c r="I718">
        <v>-1957.8</v>
      </c>
      <c r="J718">
        <v>70.400000000000006</v>
      </c>
      <c r="K718">
        <v>0</v>
      </c>
      <c r="L718">
        <v>0.1</v>
      </c>
      <c r="M718">
        <v>0</v>
      </c>
      <c r="N718">
        <v>70.5</v>
      </c>
      <c r="O718">
        <v>110.91</v>
      </c>
      <c r="P718">
        <v>117.51</v>
      </c>
      <c r="Q718">
        <v>3.96</v>
      </c>
      <c r="R718">
        <v>3.86</v>
      </c>
      <c r="S718">
        <f t="shared" si="366"/>
        <v>1.0505764490147029</v>
      </c>
      <c r="T718">
        <f t="shared" si="367"/>
        <v>0.77236796080067338</v>
      </c>
      <c r="U718">
        <f t="shared" si="375"/>
        <v>0</v>
      </c>
      <c r="V718">
        <f t="shared" si="368"/>
        <v>0.5496592728295604</v>
      </c>
      <c r="W718" t="str">
        <f t="shared" si="376"/>
        <v/>
      </c>
      <c r="X718">
        <f t="shared" si="369"/>
        <v>0.96799498319040234</v>
      </c>
      <c r="Y718" t="str">
        <f t="shared" si="377"/>
        <v/>
      </c>
      <c r="Z718">
        <f t="shared" si="370"/>
        <v>0.36479955037634393</v>
      </c>
      <c r="AA718">
        <f t="shared" si="371"/>
        <v>1.5467024282885988</v>
      </c>
      <c r="AB718">
        <f t="shared" si="372"/>
        <v>1.5741305551650224</v>
      </c>
      <c r="AC718">
        <f t="shared" si="373"/>
        <v>0.92283616307273009</v>
      </c>
      <c r="AD718">
        <f t="shared" si="374"/>
        <v>7.4348849522519939E-2</v>
      </c>
    </row>
    <row r="719" spans="1:30">
      <c r="A719" t="s">
        <v>531</v>
      </c>
      <c r="B719" t="s">
        <v>37</v>
      </c>
      <c r="C719" t="s">
        <v>38</v>
      </c>
      <c r="D719" t="s">
        <v>39</v>
      </c>
      <c r="E719" s="2">
        <v>46127</v>
      </c>
      <c r="F719" t="s">
        <v>40</v>
      </c>
      <c r="G719">
        <v>99</v>
      </c>
      <c r="H719">
        <v>83.4</v>
      </c>
      <c r="I719">
        <v>-1957.8</v>
      </c>
      <c r="J719">
        <v>70.400000000000006</v>
      </c>
      <c r="K719">
        <v>0</v>
      </c>
      <c r="L719">
        <v>0.4</v>
      </c>
      <c r="M719">
        <v>0</v>
      </c>
      <c r="N719">
        <v>70</v>
      </c>
      <c r="O719">
        <v>115.75</v>
      </c>
      <c r="P719">
        <v>117.36</v>
      </c>
      <c r="Q719">
        <v>3.91</v>
      </c>
      <c r="R719">
        <v>3.98</v>
      </c>
      <c r="S719">
        <f t="shared" si="366"/>
        <v>2.7200136302820095</v>
      </c>
      <c r="T719">
        <f t="shared" si="367"/>
        <v>0.94956729694108055</v>
      </c>
      <c r="U719">
        <f t="shared" si="375"/>
        <v>0</v>
      </c>
      <c r="V719">
        <f t="shared" si="368"/>
        <v>0.5496592728295604</v>
      </c>
      <c r="W719" t="str">
        <f t="shared" si="376"/>
        <v/>
      </c>
      <c r="X719">
        <f t="shared" si="369"/>
        <v>0.75372350265303822</v>
      </c>
      <c r="Y719" t="str">
        <f t="shared" si="377"/>
        <v/>
      </c>
      <c r="Z719">
        <f t="shared" si="370"/>
        <v>0.1370728188105951</v>
      </c>
      <c r="AA719">
        <f t="shared" si="371"/>
        <v>1.3291214001697003</v>
      </c>
      <c r="AB719">
        <f t="shared" si="372"/>
        <v>1.4665348739122031</v>
      </c>
      <c r="AC719">
        <f t="shared" si="373"/>
        <v>0.59057713393361444</v>
      </c>
      <c r="AD719">
        <f t="shared" si="374"/>
        <v>0.83984536970292256</v>
      </c>
    </row>
    <row r="720" spans="1:30">
      <c r="A720" t="s">
        <v>532</v>
      </c>
      <c r="B720" t="s">
        <v>37</v>
      </c>
      <c r="C720" t="s">
        <v>38</v>
      </c>
      <c r="D720" t="s">
        <v>39</v>
      </c>
      <c r="E720" s="2">
        <v>46127</v>
      </c>
      <c r="F720" t="s">
        <v>34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tr">
        <f t="shared" si="366"/>
        <v/>
      </c>
      <c r="T720" t="str">
        <f t="shared" si="367"/>
        <v/>
      </c>
      <c r="U720" t="str">
        <f t="shared" si="375"/>
        <v/>
      </c>
      <c r="V720" t="str">
        <f t="shared" si="368"/>
        <v/>
      </c>
      <c r="W720" t="str">
        <f t="shared" si="376"/>
        <v/>
      </c>
      <c r="X720" t="str">
        <f t="shared" si="369"/>
        <v/>
      </c>
      <c r="Y720" t="str">
        <f t="shared" si="377"/>
        <v/>
      </c>
      <c r="Z720" t="str">
        <f t="shared" si="370"/>
        <v/>
      </c>
      <c r="AA720" t="str">
        <f t="shared" si="371"/>
        <v/>
      </c>
      <c r="AB720" t="str">
        <f t="shared" si="372"/>
        <v/>
      </c>
      <c r="AC720" t="str">
        <f t="shared" si="373"/>
        <v/>
      </c>
      <c r="AD720" t="str">
        <f t="shared" si="374"/>
        <v/>
      </c>
    </row>
    <row r="721" spans="1:30">
      <c r="A721" t="s">
        <v>532</v>
      </c>
      <c r="B721" t="s">
        <v>37</v>
      </c>
      <c r="C721" t="s">
        <v>38</v>
      </c>
      <c r="D721" t="s">
        <v>39</v>
      </c>
      <c r="E721" s="2">
        <v>46127</v>
      </c>
      <c r="F721" t="s">
        <v>34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tr">
        <f t="shared" si="366"/>
        <v/>
      </c>
      <c r="T721" t="str">
        <f t="shared" si="367"/>
        <v/>
      </c>
      <c r="U721" t="str">
        <f t="shared" si="375"/>
        <v/>
      </c>
      <c r="V721" t="str">
        <f t="shared" si="368"/>
        <v/>
      </c>
      <c r="W721" t="str">
        <f t="shared" si="376"/>
        <v/>
      </c>
      <c r="X721" t="str">
        <f t="shared" si="369"/>
        <v/>
      </c>
      <c r="Y721" t="str">
        <f t="shared" si="377"/>
        <v/>
      </c>
      <c r="Z721" t="str">
        <f t="shared" si="370"/>
        <v/>
      </c>
      <c r="AA721" t="str">
        <f t="shared" si="371"/>
        <v/>
      </c>
      <c r="AB721" t="str">
        <f t="shared" si="372"/>
        <v/>
      </c>
      <c r="AC721" t="str">
        <f t="shared" si="373"/>
        <v/>
      </c>
      <c r="AD721" t="str">
        <f t="shared" si="374"/>
        <v/>
      </c>
    </row>
    <row r="722" spans="1:30">
      <c r="A722" t="s">
        <v>532</v>
      </c>
      <c r="B722" t="s">
        <v>37</v>
      </c>
      <c r="C722" t="s">
        <v>38</v>
      </c>
      <c r="D722" t="s">
        <v>39</v>
      </c>
      <c r="E722" s="2">
        <v>46127</v>
      </c>
      <c r="F722" t="s">
        <v>34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tr">
        <f t="shared" si="366"/>
        <v/>
      </c>
      <c r="T722" t="str">
        <f t="shared" si="367"/>
        <v/>
      </c>
      <c r="U722" t="str">
        <f t="shared" si="375"/>
        <v/>
      </c>
      <c r="V722" t="str">
        <f t="shared" si="368"/>
        <v/>
      </c>
      <c r="W722" t="str">
        <f t="shared" si="376"/>
        <v/>
      </c>
      <c r="X722" t="str">
        <f t="shared" si="369"/>
        <v/>
      </c>
      <c r="Y722" t="str">
        <f t="shared" si="377"/>
        <v/>
      </c>
      <c r="Z722" t="str">
        <f t="shared" si="370"/>
        <v/>
      </c>
      <c r="AA722" t="str">
        <f t="shared" si="371"/>
        <v/>
      </c>
      <c r="AB722" t="str">
        <f t="shared" si="372"/>
        <v/>
      </c>
      <c r="AC722" t="str">
        <f t="shared" si="373"/>
        <v/>
      </c>
      <c r="AD722" t="str">
        <f t="shared" si="374"/>
        <v/>
      </c>
    </row>
    <row r="723" spans="1:30">
      <c r="A723" t="s">
        <v>532</v>
      </c>
      <c r="B723" t="s">
        <v>37</v>
      </c>
      <c r="C723" t="s">
        <v>38</v>
      </c>
      <c r="D723" t="s">
        <v>39</v>
      </c>
      <c r="E723" s="2">
        <v>46127</v>
      </c>
      <c r="F723" t="s">
        <v>34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tr">
        <f t="shared" si="366"/>
        <v/>
      </c>
      <c r="T723" t="str">
        <f t="shared" si="367"/>
        <v/>
      </c>
      <c r="U723" t="str">
        <f t="shared" si="375"/>
        <v/>
      </c>
      <c r="V723" t="str">
        <f t="shared" si="368"/>
        <v/>
      </c>
      <c r="W723" t="str">
        <f t="shared" si="376"/>
        <v/>
      </c>
      <c r="X723" t="str">
        <f t="shared" si="369"/>
        <v/>
      </c>
      <c r="Y723" t="str">
        <f t="shared" si="377"/>
        <v/>
      </c>
      <c r="Z723" t="str">
        <f t="shared" si="370"/>
        <v/>
      </c>
      <c r="AA723" t="str">
        <f t="shared" si="371"/>
        <v/>
      </c>
      <c r="AB723" t="str">
        <f t="shared" si="372"/>
        <v/>
      </c>
      <c r="AC723" t="str">
        <f t="shared" si="373"/>
        <v/>
      </c>
      <c r="AD723" t="str">
        <f t="shared" si="374"/>
        <v/>
      </c>
    </row>
    <row r="724" spans="1:30">
      <c r="A724" t="s">
        <v>532</v>
      </c>
      <c r="B724" t="s">
        <v>37</v>
      </c>
      <c r="C724" t="s">
        <v>38</v>
      </c>
      <c r="D724" t="s">
        <v>39</v>
      </c>
      <c r="E724" s="2">
        <v>46127</v>
      </c>
      <c r="F724" t="s">
        <v>40</v>
      </c>
      <c r="G724">
        <v>116.9</v>
      </c>
      <c r="H724">
        <v>84.3</v>
      </c>
      <c r="I724">
        <v>-1957.8</v>
      </c>
      <c r="J724">
        <v>71.7</v>
      </c>
      <c r="K724">
        <v>0</v>
      </c>
      <c r="L724">
        <v>0.2</v>
      </c>
      <c r="M724">
        <v>0</v>
      </c>
      <c r="N724">
        <v>71.900000000000006</v>
      </c>
      <c r="O724">
        <v>110.76</v>
      </c>
      <c r="P724">
        <v>117.22</v>
      </c>
      <c r="Q724">
        <v>4.13</v>
      </c>
      <c r="R724">
        <v>4.05</v>
      </c>
      <c r="S724">
        <f t="shared" si="366"/>
        <v>0.87006947713347893</v>
      </c>
      <c r="T724">
        <f t="shared" si="367"/>
        <v>1.2685261019938103</v>
      </c>
      <c r="U724">
        <f t="shared" si="375"/>
        <v>0</v>
      </c>
      <c r="V724">
        <f t="shared" si="368"/>
        <v>1.2293359976660967</v>
      </c>
      <c r="W724" t="str">
        <f t="shared" si="376"/>
        <v/>
      </c>
      <c r="X724">
        <f t="shared" si="369"/>
        <v>0.89657115634461437</v>
      </c>
      <c r="Y724" t="str">
        <f t="shared" si="377"/>
        <v/>
      </c>
      <c r="Z724">
        <f t="shared" si="370"/>
        <v>1.0024343987604432</v>
      </c>
      <c r="AA724">
        <f t="shared" si="371"/>
        <v>1.6358291998317229</v>
      </c>
      <c r="AB724">
        <f t="shared" si="372"/>
        <v>1.3661122380762416</v>
      </c>
      <c r="AC724">
        <f t="shared" si="373"/>
        <v>2.052516862145727</v>
      </c>
      <c r="AD724">
        <f t="shared" si="374"/>
        <v>1.2863850064748228</v>
      </c>
    </row>
    <row r="725" spans="1:30">
      <c r="A725" t="s">
        <v>533</v>
      </c>
      <c r="B725" t="s">
        <v>37</v>
      </c>
      <c r="C725" t="s">
        <v>38</v>
      </c>
      <c r="D725" t="s">
        <v>39</v>
      </c>
      <c r="E725" s="2">
        <v>46127</v>
      </c>
      <c r="F725" t="s">
        <v>40</v>
      </c>
      <c r="G725">
        <v>114.6</v>
      </c>
      <c r="H725">
        <v>80.7</v>
      </c>
      <c r="I725">
        <v>-1957.8</v>
      </c>
      <c r="J725">
        <v>70.8</v>
      </c>
      <c r="K725">
        <v>0</v>
      </c>
      <c r="L725">
        <v>0.2</v>
      </c>
      <c r="M725">
        <v>0</v>
      </c>
      <c r="N725">
        <v>71</v>
      </c>
      <c r="O725">
        <v>115.46</v>
      </c>
      <c r="P725">
        <v>115.24</v>
      </c>
      <c r="Q725">
        <v>3.98</v>
      </c>
      <c r="R725">
        <v>4.05</v>
      </c>
      <c r="S725">
        <f t="shared" si="366"/>
        <v>0.40877388232590012</v>
      </c>
      <c r="T725">
        <f t="shared" si="367"/>
        <v>7.309118217118795E-3</v>
      </c>
      <c r="U725">
        <f t="shared" si="375"/>
        <v>0</v>
      </c>
      <c r="V725">
        <f t="shared" si="368"/>
        <v>0.75879057277925988</v>
      </c>
      <c r="W725" t="str">
        <f t="shared" si="376"/>
        <v/>
      </c>
      <c r="X725">
        <f t="shared" si="369"/>
        <v>0.89657115634461437</v>
      </c>
      <c r="Y725" t="str">
        <f t="shared" si="377"/>
        <v/>
      </c>
      <c r="Z725">
        <f t="shared" si="370"/>
        <v>0.59252628194209278</v>
      </c>
      <c r="AA725">
        <f t="shared" si="371"/>
        <v>1.1568096418529803</v>
      </c>
      <c r="AB725">
        <f t="shared" si="372"/>
        <v>5.4150754460924995E-2</v>
      </c>
      <c r="AC725">
        <f t="shared" si="373"/>
        <v>1.055739774728377</v>
      </c>
      <c r="AD725">
        <f t="shared" si="374"/>
        <v>1.2863850064748228</v>
      </c>
    </row>
    <row r="726" spans="1:30">
      <c r="A726" t="s">
        <v>534</v>
      </c>
      <c r="B726" t="s">
        <v>37</v>
      </c>
      <c r="C726" t="s">
        <v>38</v>
      </c>
      <c r="D726" t="s">
        <v>39</v>
      </c>
      <c r="E726" s="2">
        <v>46127</v>
      </c>
      <c r="F726" t="s">
        <v>40</v>
      </c>
      <c r="G726">
        <v>117.8</v>
      </c>
      <c r="H726">
        <v>83.8</v>
      </c>
      <c r="I726">
        <v>-1957.8</v>
      </c>
      <c r="J726">
        <v>70.8</v>
      </c>
      <c r="K726">
        <v>0</v>
      </c>
      <c r="L726">
        <v>0.1</v>
      </c>
      <c r="M726">
        <v>0</v>
      </c>
      <c r="N726">
        <v>70.900000000000006</v>
      </c>
      <c r="O726">
        <v>112.3</v>
      </c>
      <c r="P726">
        <v>116.85</v>
      </c>
      <c r="Q726">
        <v>3.96</v>
      </c>
      <c r="R726">
        <v>3.98</v>
      </c>
      <c r="S726">
        <f t="shared" si="366"/>
        <v>1.0505764490147029</v>
      </c>
      <c r="T726">
        <f t="shared" si="367"/>
        <v>1.0913267658534032</v>
      </c>
      <c r="U726">
        <f t="shared" si="375"/>
        <v>0</v>
      </c>
      <c r="V726">
        <f t="shared" si="368"/>
        <v>0.75879057277925988</v>
      </c>
      <c r="W726" t="str">
        <f t="shared" si="376"/>
        <v/>
      </c>
      <c r="X726">
        <f t="shared" si="369"/>
        <v>0.96799498319040234</v>
      </c>
      <c r="Y726" t="str">
        <f t="shared" si="377"/>
        <v/>
      </c>
      <c r="Z726">
        <f t="shared" si="370"/>
        <v>0.54698093562894556</v>
      </c>
      <c r="AA726">
        <f t="shared" si="371"/>
        <v>0.72079434532226938</v>
      </c>
      <c r="AB726">
        <f t="shared" si="372"/>
        <v>1.1007095576526269</v>
      </c>
      <c r="AC726">
        <f t="shared" si="373"/>
        <v>0.92283616307273009</v>
      </c>
      <c r="AD726">
        <f t="shared" si="374"/>
        <v>0.83984536970292256</v>
      </c>
    </row>
    <row r="727" spans="1:30">
      <c r="A727" t="s">
        <v>535</v>
      </c>
      <c r="B727" t="s">
        <v>37</v>
      </c>
      <c r="C727" t="s">
        <v>38</v>
      </c>
      <c r="D727" t="s">
        <v>39</v>
      </c>
      <c r="E727" s="2">
        <v>46127</v>
      </c>
      <c r="F727" t="s">
        <v>40</v>
      </c>
      <c r="G727">
        <v>115.1</v>
      </c>
      <c r="H727">
        <v>82.5</v>
      </c>
      <c r="I727">
        <v>-1957.8</v>
      </c>
      <c r="J727">
        <v>71.3</v>
      </c>
      <c r="K727">
        <v>0</v>
      </c>
      <c r="L727">
        <v>1.1000000000000001</v>
      </c>
      <c r="M727">
        <v>0</v>
      </c>
      <c r="N727">
        <v>70.2</v>
      </c>
      <c r="O727">
        <v>112.23</v>
      </c>
      <c r="P727">
        <v>116.34</v>
      </c>
      <c r="Q727">
        <v>3.93</v>
      </c>
      <c r="R727">
        <v>3.98</v>
      </c>
      <c r="S727">
        <f t="shared" si="366"/>
        <v>0.50905553337102538</v>
      </c>
      <c r="T727">
        <f t="shared" si="367"/>
        <v>0.63060849188834578</v>
      </c>
      <c r="U727">
        <f t="shared" si="375"/>
        <v>0</v>
      </c>
      <c r="V727">
        <f t="shared" si="368"/>
        <v>1.0202046977163897</v>
      </c>
      <c r="W727" t="str">
        <f t="shared" si="376"/>
        <v/>
      </c>
      <c r="X727">
        <f t="shared" si="369"/>
        <v>0.25375671473252137</v>
      </c>
      <c r="Y727" t="str">
        <f t="shared" si="377"/>
        <v/>
      </c>
      <c r="Z727">
        <f t="shared" si="370"/>
        <v>0.22816351143689592</v>
      </c>
      <c r="AA727">
        <f t="shared" si="371"/>
        <v>0.76238683870905888</v>
      </c>
      <c r="AB727">
        <f t="shared" si="372"/>
        <v>0.73488424139306097</v>
      </c>
      <c r="AC727">
        <f t="shared" si="373"/>
        <v>0.72348074558926134</v>
      </c>
      <c r="AD727">
        <f t="shared" si="374"/>
        <v>0.83984536970292256</v>
      </c>
    </row>
    <row r="728" spans="1:30">
      <c r="A728" t="s">
        <v>536</v>
      </c>
      <c r="B728" t="s">
        <v>37</v>
      </c>
      <c r="C728" t="s">
        <v>38</v>
      </c>
      <c r="D728" t="s">
        <v>39</v>
      </c>
      <c r="E728" s="2">
        <v>46127</v>
      </c>
      <c r="F728" t="s">
        <v>40</v>
      </c>
      <c r="G728">
        <v>117.3</v>
      </c>
      <c r="H728">
        <v>85.6</v>
      </c>
      <c r="I728">
        <v>-1957.8</v>
      </c>
      <c r="J728">
        <v>71.3</v>
      </c>
      <c r="K728">
        <v>0</v>
      </c>
      <c r="L728">
        <v>0.3</v>
      </c>
      <c r="M728">
        <v>0</v>
      </c>
      <c r="N728">
        <v>71</v>
      </c>
      <c r="O728">
        <v>111.57</v>
      </c>
      <c r="P728">
        <v>113.4</v>
      </c>
      <c r="Q728">
        <v>4.03</v>
      </c>
      <c r="R728">
        <v>4.08</v>
      </c>
      <c r="S728">
        <f t="shared" si="366"/>
        <v>0.9502947979695775</v>
      </c>
      <c r="T728">
        <f t="shared" si="367"/>
        <v>1.7292443759588676</v>
      </c>
      <c r="U728">
        <f t="shared" si="375"/>
        <v>0</v>
      </c>
      <c r="V728">
        <f t="shared" si="368"/>
        <v>1.0202046977163897</v>
      </c>
      <c r="W728" t="str">
        <f t="shared" si="376"/>
        <v/>
      </c>
      <c r="X728">
        <f t="shared" si="369"/>
        <v>0.82514732949882619</v>
      </c>
      <c r="Y728" t="str">
        <f t="shared" si="377"/>
        <v/>
      </c>
      <c r="Z728">
        <f t="shared" si="370"/>
        <v>0.59252628194209278</v>
      </c>
      <c r="AA728">
        <f t="shared" si="371"/>
        <v>1.1545446334988332</v>
      </c>
      <c r="AB728">
        <f t="shared" si="372"/>
        <v>1.3739911111621199</v>
      </c>
      <c r="AC728">
        <f t="shared" si="373"/>
        <v>1.3879988038674955</v>
      </c>
      <c r="AD728">
        <f t="shared" si="374"/>
        <v>1.4777591365199247</v>
      </c>
    </row>
    <row r="729" spans="1:30">
      <c r="A729" t="s">
        <v>537</v>
      </c>
      <c r="B729" t="s">
        <v>37</v>
      </c>
      <c r="C729" t="s">
        <v>38</v>
      </c>
      <c r="D729" t="s">
        <v>39</v>
      </c>
      <c r="E729" s="2">
        <v>46127</v>
      </c>
      <c r="F729" t="s">
        <v>34</v>
      </c>
      <c r="G729">
        <v>71.8</v>
      </c>
      <c r="H729">
        <v>84.3</v>
      </c>
      <c r="I729">
        <v>-1957.8</v>
      </c>
      <c r="J729">
        <v>71.7</v>
      </c>
      <c r="K729">
        <v>0</v>
      </c>
      <c r="L729">
        <v>0.3</v>
      </c>
      <c r="M729">
        <v>0</v>
      </c>
      <c r="N729">
        <v>71.400000000000006</v>
      </c>
      <c r="O729">
        <v>111.94</v>
      </c>
      <c r="P729">
        <v>113.33</v>
      </c>
      <c r="Q729">
        <v>3.96</v>
      </c>
      <c r="R729">
        <v>3.96</v>
      </c>
      <c r="S729">
        <f t="shared" si="366"/>
        <v>8.1753354471368276</v>
      </c>
      <c r="T729">
        <f t="shared" si="367"/>
        <v>1.2685261019938103</v>
      </c>
      <c r="U729">
        <f t="shared" si="375"/>
        <v>0</v>
      </c>
      <c r="V729">
        <f t="shared" si="368"/>
        <v>1.2293359976660967</v>
      </c>
      <c r="W729" t="str">
        <f t="shared" si="376"/>
        <v/>
      </c>
      <c r="X729">
        <f t="shared" si="369"/>
        <v>0.82514732949882619</v>
      </c>
      <c r="Y729" t="str">
        <f t="shared" si="377"/>
        <v/>
      </c>
      <c r="Z729">
        <f t="shared" si="370"/>
        <v>0.77470766719469442</v>
      </c>
      <c r="AA729">
        <f t="shared" si="371"/>
        <v>0.93469859702577884</v>
      </c>
      <c r="AB729">
        <f t="shared" si="372"/>
        <v>1.4242024290801056</v>
      </c>
      <c r="AC729">
        <f t="shared" si="373"/>
        <v>0.92283616307273009</v>
      </c>
      <c r="AD729">
        <f t="shared" si="374"/>
        <v>0.71226261633952215</v>
      </c>
    </row>
    <row r="730" spans="1:30">
      <c r="A730" t="s">
        <v>537</v>
      </c>
      <c r="B730" t="s">
        <v>37</v>
      </c>
      <c r="C730" t="s">
        <v>38</v>
      </c>
      <c r="D730" t="s">
        <v>39</v>
      </c>
      <c r="E730" s="2">
        <v>46127</v>
      </c>
      <c r="F730" t="s">
        <v>40</v>
      </c>
      <c r="G730">
        <v>120</v>
      </c>
      <c r="H730">
        <v>83.8</v>
      </c>
      <c r="I730">
        <v>-1957.8</v>
      </c>
      <c r="J730">
        <v>71.7</v>
      </c>
      <c r="K730">
        <v>0</v>
      </c>
      <c r="L730">
        <v>0.8</v>
      </c>
      <c r="M730">
        <v>0</v>
      </c>
      <c r="N730">
        <v>70.900000000000006</v>
      </c>
      <c r="O730">
        <v>111.94</v>
      </c>
      <c r="P730">
        <v>113.4</v>
      </c>
      <c r="Q730">
        <v>3.98</v>
      </c>
      <c r="R730">
        <v>3.98</v>
      </c>
      <c r="S730">
        <f t="shared" si="366"/>
        <v>1.4918157136132548</v>
      </c>
      <c r="T730">
        <f t="shared" si="367"/>
        <v>1.0913267658534032</v>
      </c>
      <c r="U730">
        <f t="shared" si="375"/>
        <v>0</v>
      </c>
      <c r="V730">
        <f t="shared" si="368"/>
        <v>1.2293359976660967</v>
      </c>
      <c r="W730" t="str">
        <f t="shared" si="376"/>
        <v/>
      </c>
      <c r="X730">
        <f t="shared" si="369"/>
        <v>0.46802819526988565</v>
      </c>
      <c r="Y730" t="str">
        <f t="shared" si="377"/>
        <v/>
      </c>
      <c r="Z730">
        <f t="shared" si="370"/>
        <v>0.54698093562894556</v>
      </c>
      <c r="AA730">
        <f t="shared" si="371"/>
        <v>0.93469859702577884</v>
      </c>
      <c r="AB730">
        <f t="shared" si="372"/>
        <v>1.3739911111621199</v>
      </c>
      <c r="AC730">
        <f t="shared" si="373"/>
        <v>1.055739774728377</v>
      </c>
      <c r="AD730">
        <f t="shared" si="374"/>
        <v>0.83984536970292256</v>
      </c>
    </row>
    <row r="731" spans="1:30">
      <c r="A731" t="s">
        <v>538</v>
      </c>
      <c r="B731" t="s">
        <v>37</v>
      </c>
      <c r="C731" t="s">
        <v>38</v>
      </c>
      <c r="D731" t="s">
        <v>39</v>
      </c>
      <c r="E731" s="2">
        <v>46127</v>
      </c>
      <c r="F731" t="s">
        <v>40</v>
      </c>
      <c r="G731">
        <v>113.3</v>
      </c>
      <c r="H731">
        <v>82.5</v>
      </c>
      <c r="I731">
        <v>-1957.8</v>
      </c>
      <c r="J731">
        <v>72.2</v>
      </c>
      <c r="K731">
        <v>0</v>
      </c>
      <c r="L731">
        <v>0.8</v>
      </c>
      <c r="M731">
        <v>0</v>
      </c>
      <c r="N731">
        <v>71.400000000000006</v>
      </c>
      <c r="O731">
        <v>111.94</v>
      </c>
      <c r="P731">
        <v>113.55</v>
      </c>
      <c r="Q731">
        <v>4.0999999999999996</v>
      </c>
      <c r="R731">
        <v>4.13</v>
      </c>
      <c r="S731">
        <f t="shared" si="366"/>
        <v>0.14804158960857478</v>
      </c>
      <c r="T731">
        <f t="shared" si="367"/>
        <v>0.63060849188834578</v>
      </c>
      <c r="U731">
        <f t="shared" si="375"/>
        <v>0</v>
      </c>
      <c r="V731">
        <f t="shared" si="368"/>
        <v>1.4907501226032265</v>
      </c>
      <c r="W731" t="str">
        <f t="shared" si="376"/>
        <v/>
      </c>
      <c r="X731">
        <f t="shared" si="369"/>
        <v>0.46802819526988565</v>
      </c>
      <c r="Y731" t="str">
        <f t="shared" si="377"/>
        <v/>
      </c>
      <c r="Z731">
        <f t="shared" si="370"/>
        <v>0.77470766719469442</v>
      </c>
      <c r="AA731">
        <f t="shared" si="371"/>
        <v>0.93469859702577884</v>
      </c>
      <c r="AB731">
        <f t="shared" si="372"/>
        <v>1.2663954299093105</v>
      </c>
      <c r="AC731">
        <f t="shared" si="373"/>
        <v>1.8531614446622551</v>
      </c>
      <c r="AD731">
        <f t="shared" si="374"/>
        <v>1.7967160199284244</v>
      </c>
    </row>
    <row r="732" spans="1:30">
      <c r="A732" t="s">
        <v>539</v>
      </c>
      <c r="B732" t="s">
        <v>37</v>
      </c>
      <c r="C732" t="s">
        <v>38</v>
      </c>
      <c r="D732" t="s">
        <v>39</v>
      </c>
      <c r="E732" s="2">
        <v>46127</v>
      </c>
      <c r="F732" t="s">
        <v>40</v>
      </c>
      <c r="G732">
        <v>109.3</v>
      </c>
      <c r="H732">
        <v>82.9</v>
      </c>
      <c r="I732">
        <v>-1957.8</v>
      </c>
      <c r="J732">
        <v>72.2</v>
      </c>
      <c r="K732">
        <v>0</v>
      </c>
      <c r="L732">
        <v>0.4</v>
      </c>
      <c r="M732">
        <v>0</v>
      </c>
      <c r="N732">
        <v>71.8</v>
      </c>
      <c r="O732">
        <v>115.09</v>
      </c>
      <c r="P732">
        <v>115.16</v>
      </c>
      <c r="Q732">
        <v>4.05</v>
      </c>
      <c r="R732">
        <v>4.0999999999999996</v>
      </c>
      <c r="S732">
        <f t="shared" si="366"/>
        <v>0.65421161875242795</v>
      </c>
      <c r="T732">
        <f t="shared" si="367"/>
        <v>0.77236796080067338</v>
      </c>
      <c r="U732">
        <f t="shared" si="375"/>
        <v>0</v>
      </c>
      <c r="V732">
        <f t="shared" si="368"/>
        <v>1.4907501226032265</v>
      </c>
      <c r="W732" t="str">
        <f t="shared" si="376"/>
        <v/>
      </c>
      <c r="X732">
        <f t="shared" si="369"/>
        <v>0.75372350265303822</v>
      </c>
      <c r="Y732" t="str">
        <f t="shared" si="377"/>
        <v/>
      </c>
      <c r="Z732">
        <f t="shared" si="370"/>
        <v>0.9568890524472895</v>
      </c>
      <c r="AA732">
        <f t="shared" si="371"/>
        <v>0.93696360537993451</v>
      </c>
      <c r="AB732">
        <f t="shared" si="372"/>
        <v>0.11153511779575867</v>
      </c>
      <c r="AC732">
        <f t="shared" si="373"/>
        <v>1.5209024155231394</v>
      </c>
      <c r="AD732">
        <f t="shared" si="374"/>
        <v>1.6053418898833223</v>
      </c>
    </row>
    <row r="733" spans="1:30">
      <c r="A733" t="s">
        <v>540</v>
      </c>
      <c r="B733" t="s">
        <v>37</v>
      </c>
      <c r="C733" t="s">
        <v>38</v>
      </c>
      <c r="D733" t="s">
        <v>39</v>
      </c>
      <c r="E733" s="2">
        <v>46127</v>
      </c>
      <c r="F733" t="s">
        <v>34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tr">
        <f t="shared" si="366"/>
        <v/>
      </c>
      <c r="T733" t="str">
        <f t="shared" si="367"/>
        <v/>
      </c>
      <c r="U733" t="str">
        <f t="shared" si="375"/>
        <v/>
      </c>
      <c r="V733" t="str">
        <f t="shared" si="368"/>
        <v/>
      </c>
      <c r="W733" t="str">
        <f t="shared" si="376"/>
        <v/>
      </c>
      <c r="X733" t="str">
        <f t="shared" si="369"/>
        <v/>
      </c>
      <c r="Y733" t="str">
        <f t="shared" si="377"/>
        <v/>
      </c>
      <c r="Z733" t="str">
        <f t="shared" si="370"/>
        <v/>
      </c>
      <c r="AA733" t="str">
        <f t="shared" si="371"/>
        <v/>
      </c>
      <c r="AB733" t="str">
        <f t="shared" si="372"/>
        <v/>
      </c>
      <c r="AC733" t="str">
        <f t="shared" si="373"/>
        <v/>
      </c>
      <c r="AD733" t="str">
        <f t="shared" si="374"/>
        <v/>
      </c>
    </row>
    <row r="734" spans="1:30">
      <c r="A734" t="s">
        <v>540</v>
      </c>
      <c r="B734" t="s">
        <v>37</v>
      </c>
      <c r="C734" t="s">
        <v>38</v>
      </c>
      <c r="D734" t="s">
        <v>39</v>
      </c>
      <c r="E734" s="2">
        <v>46127</v>
      </c>
      <c r="F734" t="s">
        <v>34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tr">
        <f t="shared" ref="S734:S763" si="378">IF(OR(G734=0,G734=""),"",ABS((G734-112.561871)/4.985957))</f>
        <v/>
      </c>
      <c r="T734" t="str">
        <f t="shared" ref="T734:T763" si="379">IF(OR(H734=0,H734=""),"",ABS((H734-80.720624)/2.821681))</f>
        <v/>
      </c>
      <c r="U734" t="str">
        <f t="shared" si="375"/>
        <v/>
      </c>
      <c r="V734" t="str">
        <f t="shared" ref="V734:V763" si="380">IF(OR(J734=0,J734=""),"",ABS((J734-69.348681)/1.912674))</f>
        <v/>
      </c>
      <c r="W734" t="str">
        <f t="shared" si="376"/>
        <v/>
      </c>
      <c r="X734" t="str">
        <f t="shared" ref="X734:X763" si="381">IF(OR(L734=0,L734=""),"",ABS((L734-1.455283)/1.400093))</f>
        <v/>
      </c>
      <c r="Y734" t="str">
        <f t="shared" si="377"/>
        <v/>
      </c>
      <c r="Z734" t="str">
        <f t="shared" ref="Z734:Z763" si="382">IF(OR(N734=0,N734=""),"",ABS((N734-69.699041)/2.195614))</f>
        <v/>
      </c>
      <c r="AA734" t="str">
        <f t="shared" ref="AA734:AA763" si="383">IF(OR(O734=0,O734=""),"",ABS((O734-113.513094)/1.682996))</f>
        <v/>
      </c>
      <c r="AB734" t="str">
        <f t="shared" ref="AB734:AB763" si="384">IF(OR(P734=0,P734=""),"",ABS((P734-115.315492)/1.394108))</f>
        <v/>
      </c>
      <c r="AC734" t="str">
        <f t="shared" ref="AC734:AC763" si="385">IF(OR(Q734=0,Q734=""),"",ABS((Q734-3.821127)/0.150485))</f>
        <v/>
      </c>
      <c r="AD734" t="str">
        <f t="shared" ref="AD734:AD763" si="386">IF(OR(R734=0,R734=""),"",ABS((R734-3.848345)/0.156761))</f>
        <v/>
      </c>
    </row>
    <row r="735" spans="1:30">
      <c r="A735" t="s">
        <v>540</v>
      </c>
      <c r="B735" t="s">
        <v>37</v>
      </c>
      <c r="C735" t="s">
        <v>38</v>
      </c>
      <c r="D735" t="s">
        <v>39</v>
      </c>
      <c r="E735" s="2">
        <v>46127</v>
      </c>
      <c r="F735" t="s">
        <v>34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tr">
        <f t="shared" si="378"/>
        <v/>
      </c>
      <c r="T735" t="str">
        <f t="shared" si="379"/>
        <v/>
      </c>
      <c r="U735" t="str">
        <f t="shared" si="375"/>
        <v/>
      </c>
      <c r="V735" t="str">
        <f t="shared" si="380"/>
        <v/>
      </c>
      <c r="W735" t="str">
        <f t="shared" si="376"/>
        <v/>
      </c>
      <c r="X735" t="str">
        <f t="shared" si="381"/>
        <v/>
      </c>
      <c r="Y735" t="str">
        <f t="shared" si="377"/>
        <v/>
      </c>
      <c r="Z735" t="str">
        <f t="shared" si="382"/>
        <v/>
      </c>
      <c r="AA735" t="str">
        <f t="shared" si="383"/>
        <v/>
      </c>
      <c r="AB735" t="str">
        <f t="shared" si="384"/>
        <v/>
      </c>
      <c r="AC735" t="str">
        <f t="shared" si="385"/>
        <v/>
      </c>
      <c r="AD735" t="str">
        <f t="shared" si="386"/>
        <v/>
      </c>
    </row>
    <row r="736" spans="1:30">
      <c r="A736" t="s">
        <v>541</v>
      </c>
      <c r="B736" t="s">
        <v>37</v>
      </c>
      <c r="C736" t="s">
        <v>38</v>
      </c>
      <c r="D736" t="s">
        <v>39</v>
      </c>
      <c r="E736" s="2">
        <v>46127</v>
      </c>
      <c r="F736" t="s">
        <v>34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tr">
        <f t="shared" si="378"/>
        <v/>
      </c>
      <c r="T736" t="str">
        <f t="shared" si="379"/>
        <v/>
      </c>
      <c r="U736" t="str">
        <f t="shared" si="375"/>
        <v/>
      </c>
      <c r="V736" t="str">
        <f t="shared" si="380"/>
        <v/>
      </c>
      <c r="W736" t="str">
        <f t="shared" si="376"/>
        <v/>
      </c>
      <c r="X736" t="str">
        <f t="shared" si="381"/>
        <v/>
      </c>
      <c r="Y736" t="str">
        <f t="shared" si="377"/>
        <v/>
      </c>
      <c r="Z736" t="str">
        <f t="shared" si="382"/>
        <v/>
      </c>
      <c r="AA736" t="str">
        <f t="shared" si="383"/>
        <v/>
      </c>
      <c r="AB736" t="str">
        <f t="shared" si="384"/>
        <v/>
      </c>
      <c r="AC736" t="str">
        <f t="shared" si="385"/>
        <v/>
      </c>
      <c r="AD736" t="str">
        <f t="shared" si="386"/>
        <v/>
      </c>
    </row>
    <row r="737" spans="1:30">
      <c r="A737" t="s">
        <v>541</v>
      </c>
      <c r="B737" t="s">
        <v>37</v>
      </c>
      <c r="C737" t="s">
        <v>38</v>
      </c>
      <c r="D737" t="s">
        <v>39</v>
      </c>
      <c r="E737" s="2">
        <v>46127</v>
      </c>
      <c r="F737" t="s">
        <v>34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tr">
        <f t="shared" si="378"/>
        <v/>
      </c>
      <c r="T737" t="str">
        <f t="shared" si="379"/>
        <v/>
      </c>
      <c r="U737" t="str">
        <f t="shared" si="375"/>
        <v/>
      </c>
      <c r="V737" t="str">
        <f t="shared" si="380"/>
        <v/>
      </c>
      <c r="W737" t="str">
        <f t="shared" si="376"/>
        <v/>
      </c>
      <c r="X737" t="str">
        <f t="shared" si="381"/>
        <v/>
      </c>
      <c r="Y737" t="str">
        <f t="shared" si="377"/>
        <v/>
      </c>
      <c r="Z737" t="str">
        <f t="shared" si="382"/>
        <v/>
      </c>
      <c r="AA737" t="str">
        <f t="shared" si="383"/>
        <v/>
      </c>
      <c r="AB737" t="str">
        <f t="shared" si="384"/>
        <v/>
      </c>
      <c r="AC737" t="str">
        <f t="shared" si="385"/>
        <v/>
      </c>
      <c r="AD737" t="str">
        <f t="shared" si="386"/>
        <v/>
      </c>
    </row>
    <row r="738" spans="1:30">
      <c r="A738" t="s">
        <v>541</v>
      </c>
      <c r="B738" t="s">
        <v>37</v>
      </c>
      <c r="C738" t="s">
        <v>38</v>
      </c>
      <c r="D738" t="s">
        <v>39</v>
      </c>
      <c r="E738" s="2">
        <v>46127</v>
      </c>
      <c r="F738" t="s">
        <v>34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tr">
        <f t="shared" si="378"/>
        <v/>
      </c>
      <c r="T738" t="str">
        <f t="shared" si="379"/>
        <v/>
      </c>
      <c r="U738" t="str">
        <f t="shared" si="375"/>
        <v/>
      </c>
      <c r="V738" t="str">
        <f t="shared" si="380"/>
        <v/>
      </c>
      <c r="W738" t="str">
        <f t="shared" si="376"/>
        <v/>
      </c>
      <c r="X738" t="str">
        <f t="shared" si="381"/>
        <v/>
      </c>
      <c r="Y738" t="str">
        <f t="shared" si="377"/>
        <v/>
      </c>
      <c r="Z738" t="str">
        <f t="shared" si="382"/>
        <v/>
      </c>
      <c r="AA738" t="str">
        <f t="shared" si="383"/>
        <v/>
      </c>
      <c r="AB738" t="str">
        <f t="shared" si="384"/>
        <v/>
      </c>
      <c r="AC738" t="str">
        <f t="shared" si="385"/>
        <v/>
      </c>
      <c r="AD738" t="str">
        <f t="shared" si="386"/>
        <v/>
      </c>
    </row>
    <row r="739" spans="1:30">
      <c r="A739" t="s">
        <v>540</v>
      </c>
      <c r="B739" t="s">
        <v>37</v>
      </c>
      <c r="C739" t="s">
        <v>38</v>
      </c>
      <c r="D739" t="s">
        <v>39</v>
      </c>
      <c r="E739" s="2">
        <v>46128</v>
      </c>
      <c r="F739" t="s">
        <v>34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tr">
        <f t="shared" si="378"/>
        <v/>
      </c>
      <c r="T739" t="str">
        <f t="shared" si="379"/>
        <v/>
      </c>
      <c r="U739" t="str">
        <f t="shared" si="375"/>
        <v/>
      </c>
      <c r="V739" t="str">
        <f t="shared" si="380"/>
        <v/>
      </c>
      <c r="W739" t="str">
        <f t="shared" si="376"/>
        <v/>
      </c>
      <c r="X739" t="str">
        <f t="shared" si="381"/>
        <v/>
      </c>
      <c r="Y739" t="str">
        <f t="shared" si="377"/>
        <v/>
      </c>
      <c r="Z739" t="str">
        <f t="shared" si="382"/>
        <v/>
      </c>
      <c r="AA739" t="str">
        <f t="shared" si="383"/>
        <v/>
      </c>
      <c r="AB739" t="str">
        <f t="shared" si="384"/>
        <v/>
      </c>
      <c r="AC739" t="str">
        <f t="shared" si="385"/>
        <v/>
      </c>
      <c r="AD739" t="str">
        <f t="shared" si="386"/>
        <v/>
      </c>
    </row>
    <row r="740" spans="1:30">
      <c r="A740" t="s">
        <v>540</v>
      </c>
      <c r="B740" t="s">
        <v>37</v>
      </c>
      <c r="C740" t="s">
        <v>38</v>
      </c>
      <c r="D740" t="s">
        <v>39</v>
      </c>
      <c r="E740" s="2">
        <v>46128</v>
      </c>
      <c r="F740" t="s">
        <v>34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tr">
        <f t="shared" si="378"/>
        <v/>
      </c>
      <c r="T740" t="str">
        <f t="shared" si="379"/>
        <v/>
      </c>
      <c r="U740" t="str">
        <f t="shared" si="375"/>
        <v/>
      </c>
      <c r="V740" t="str">
        <f t="shared" si="380"/>
        <v/>
      </c>
      <c r="W740" t="str">
        <f t="shared" si="376"/>
        <v/>
      </c>
      <c r="X740" t="str">
        <f t="shared" si="381"/>
        <v/>
      </c>
      <c r="Y740" t="str">
        <f t="shared" si="377"/>
        <v/>
      </c>
      <c r="Z740" t="str">
        <f t="shared" si="382"/>
        <v/>
      </c>
      <c r="AA740" t="str">
        <f t="shared" si="383"/>
        <v/>
      </c>
      <c r="AB740" t="str">
        <f t="shared" si="384"/>
        <v/>
      </c>
      <c r="AC740" t="str">
        <f t="shared" si="385"/>
        <v/>
      </c>
      <c r="AD740" t="str">
        <f t="shared" si="386"/>
        <v/>
      </c>
    </row>
    <row r="741" spans="1:30">
      <c r="A741" t="s">
        <v>540</v>
      </c>
      <c r="B741" t="s">
        <v>37</v>
      </c>
      <c r="C741" t="s">
        <v>38</v>
      </c>
      <c r="D741" t="s">
        <v>39</v>
      </c>
      <c r="E741" s="2">
        <v>46128</v>
      </c>
      <c r="F741" t="s">
        <v>40</v>
      </c>
      <c r="G741">
        <v>106.2</v>
      </c>
      <c r="H741">
        <v>79.3</v>
      </c>
      <c r="I741">
        <v>-1957.8</v>
      </c>
      <c r="J741">
        <v>70.400000000000006</v>
      </c>
      <c r="K741">
        <v>0</v>
      </c>
      <c r="L741">
        <v>0.4</v>
      </c>
      <c r="M741">
        <v>0</v>
      </c>
      <c r="N741">
        <v>70</v>
      </c>
      <c r="O741">
        <v>111.72</v>
      </c>
      <c r="P741">
        <v>113.26</v>
      </c>
      <c r="Q741">
        <v>3.78</v>
      </c>
      <c r="R741">
        <v>3.93</v>
      </c>
      <c r="S741">
        <f t="shared" si="378"/>
        <v>1.275957855232204</v>
      </c>
      <c r="T741">
        <f t="shared" si="379"/>
        <v>0.50346725941026071</v>
      </c>
      <c r="U741">
        <f t="shared" si="375"/>
        <v>0</v>
      </c>
      <c r="V741">
        <f t="shared" si="380"/>
        <v>0.5496592728295604</v>
      </c>
      <c r="W741" t="str">
        <f t="shared" si="376"/>
        <v/>
      </c>
      <c r="X741">
        <f t="shared" si="381"/>
        <v>0.75372350265303822</v>
      </c>
      <c r="Y741" t="str">
        <f t="shared" si="377"/>
        <v/>
      </c>
      <c r="Z741">
        <f t="shared" si="382"/>
        <v>0.1370728188105951</v>
      </c>
      <c r="AA741">
        <f t="shared" si="383"/>
        <v>1.0654178619557007</v>
      </c>
      <c r="AB741">
        <f t="shared" si="384"/>
        <v>1.4744137469980814</v>
      </c>
      <c r="AC741">
        <f t="shared" si="385"/>
        <v>0.27329634182809154</v>
      </c>
      <c r="AD741">
        <f t="shared" si="386"/>
        <v>0.52088848629442286</v>
      </c>
    </row>
    <row r="742" spans="1:30">
      <c r="A742" t="s">
        <v>541</v>
      </c>
      <c r="B742" t="s">
        <v>37</v>
      </c>
      <c r="C742" t="s">
        <v>38</v>
      </c>
      <c r="D742" t="s">
        <v>39</v>
      </c>
      <c r="E742" s="2">
        <v>46128</v>
      </c>
      <c r="F742" t="s">
        <v>40</v>
      </c>
      <c r="G742">
        <v>107</v>
      </c>
      <c r="H742">
        <v>81.099999999999994</v>
      </c>
      <c r="I742">
        <v>-1957.8</v>
      </c>
      <c r="J742">
        <v>70.8</v>
      </c>
      <c r="K742">
        <v>0</v>
      </c>
      <c r="L742">
        <v>0.1</v>
      </c>
      <c r="M742">
        <v>0</v>
      </c>
      <c r="N742">
        <v>70.900000000000006</v>
      </c>
      <c r="O742">
        <v>111.86</v>
      </c>
      <c r="P742">
        <v>112.82</v>
      </c>
      <c r="Q742">
        <v>3.74</v>
      </c>
      <c r="R742">
        <v>3.83</v>
      </c>
      <c r="S742">
        <f t="shared" si="378"/>
        <v>1.1155072135600039</v>
      </c>
      <c r="T742">
        <f t="shared" si="379"/>
        <v>0.13445035069520386</v>
      </c>
      <c r="U742">
        <f t="shared" si="375"/>
        <v>0</v>
      </c>
      <c r="V742">
        <f t="shared" si="380"/>
        <v>0.75879057277925988</v>
      </c>
      <c r="W742" t="str">
        <f t="shared" si="376"/>
        <v/>
      </c>
      <c r="X742">
        <f t="shared" si="381"/>
        <v>0.96799498319040234</v>
      </c>
      <c r="Y742" t="str">
        <f t="shared" si="377"/>
        <v/>
      </c>
      <c r="Z742">
        <f t="shared" si="382"/>
        <v>0.54698093562894556</v>
      </c>
      <c r="AA742">
        <f t="shared" si="383"/>
        <v>0.98223287518211322</v>
      </c>
      <c r="AB742">
        <f t="shared" si="384"/>
        <v>1.7900277453396818</v>
      </c>
      <c r="AC742">
        <f t="shared" si="385"/>
        <v>0.53910356513938229</v>
      </c>
      <c r="AD742">
        <f t="shared" si="386"/>
        <v>0.11702528052257931</v>
      </c>
    </row>
    <row r="743" spans="1:30">
      <c r="A743" t="s">
        <v>542</v>
      </c>
      <c r="B743" t="s">
        <v>37</v>
      </c>
      <c r="C743" t="s">
        <v>38</v>
      </c>
      <c r="D743" t="s">
        <v>39</v>
      </c>
      <c r="E743" s="2">
        <v>46128</v>
      </c>
      <c r="F743" t="s">
        <v>40</v>
      </c>
      <c r="G743">
        <v>101.2</v>
      </c>
      <c r="H743">
        <v>81.099999999999994</v>
      </c>
      <c r="I743">
        <v>-1957.8</v>
      </c>
      <c r="J743">
        <v>71.3</v>
      </c>
      <c r="K743">
        <v>0</v>
      </c>
      <c r="L743">
        <v>0</v>
      </c>
      <c r="M743">
        <v>0</v>
      </c>
      <c r="N743">
        <v>71.3</v>
      </c>
      <c r="O743">
        <v>115.31</v>
      </c>
      <c r="P743">
        <v>115.24</v>
      </c>
      <c r="Q743">
        <v>3.83</v>
      </c>
      <c r="R743">
        <v>3.88</v>
      </c>
      <c r="S743">
        <f t="shared" si="378"/>
        <v>2.2787743656834571</v>
      </c>
      <c r="T743">
        <f t="shared" si="379"/>
        <v>0.13445035069520386</v>
      </c>
      <c r="U743">
        <f t="shared" si="375"/>
        <v>0</v>
      </c>
      <c r="V743">
        <f t="shared" si="380"/>
        <v>1.0202046977163897</v>
      </c>
      <c r="W743" t="str">
        <f t="shared" si="376"/>
        <v/>
      </c>
      <c r="X743" t="str">
        <f t="shared" si="381"/>
        <v/>
      </c>
      <c r="Y743" t="str">
        <f t="shared" si="377"/>
        <v/>
      </c>
      <c r="Z743">
        <f t="shared" si="382"/>
        <v>0.72916232088154076</v>
      </c>
      <c r="AA743">
        <f t="shared" si="383"/>
        <v>1.0676828703098564</v>
      </c>
      <c r="AB743">
        <f t="shared" si="384"/>
        <v>5.4150754460924995E-2</v>
      </c>
      <c r="AC743">
        <f t="shared" si="385"/>
        <v>5.8962687311027065E-2</v>
      </c>
      <c r="AD743">
        <f t="shared" si="386"/>
        <v>0.20193160288592038</v>
      </c>
    </row>
    <row r="744" spans="1:30">
      <c r="A744" t="s">
        <v>543</v>
      </c>
      <c r="B744" t="s">
        <v>37</v>
      </c>
      <c r="C744" t="s">
        <v>38</v>
      </c>
      <c r="D744" t="s">
        <v>39</v>
      </c>
      <c r="E744" s="2">
        <v>46128</v>
      </c>
      <c r="F744" t="s">
        <v>40</v>
      </c>
      <c r="G744">
        <v>107.9</v>
      </c>
      <c r="H744">
        <v>83.4</v>
      </c>
      <c r="I744">
        <v>-1957.8</v>
      </c>
      <c r="J744">
        <v>71.3</v>
      </c>
      <c r="K744">
        <v>0</v>
      </c>
      <c r="L744">
        <v>0.8</v>
      </c>
      <c r="M744">
        <v>0</v>
      </c>
      <c r="N744">
        <v>70.5</v>
      </c>
      <c r="O744">
        <v>115.46</v>
      </c>
      <c r="P744">
        <v>115.24</v>
      </c>
      <c r="Q744">
        <v>3.74</v>
      </c>
      <c r="R744">
        <v>3.88</v>
      </c>
      <c r="S744">
        <f t="shared" si="378"/>
        <v>0.93500024167877716</v>
      </c>
      <c r="T744">
        <f t="shared" si="379"/>
        <v>0.94956729694108055</v>
      </c>
      <c r="U744">
        <f t="shared" si="375"/>
        <v>0</v>
      </c>
      <c r="V744">
        <f t="shared" si="380"/>
        <v>1.0202046977163897</v>
      </c>
      <c r="W744" t="str">
        <f t="shared" si="376"/>
        <v/>
      </c>
      <c r="X744">
        <f t="shared" si="381"/>
        <v>0.46802819526988565</v>
      </c>
      <c r="Y744" t="str">
        <f t="shared" si="377"/>
        <v/>
      </c>
      <c r="Z744">
        <f t="shared" si="382"/>
        <v>0.36479955037634393</v>
      </c>
      <c r="AA744">
        <f t="shared" si="383"/>
        <v>1.1568096418529803</v>
      </c>
      <c r="AB744">
        <f t="shared" si="384"/>
        <v>5.4150754460924995E-2</v>
      </c>
      <c r="AC744">
        <f t="shared" si="385"/>
        <v>0.53910356513938229</v>
      </c>
      <c r="AD744">
        <f t="shared" si="386"/>
        <v>0.20193160288592038</v>
      </c>
    </row>
    <row r="745" spans="1:30">
      <c r="A745" t="s">
        <v>544</v>
      </c>
      <c r="B745" t="s">
        <v>37</v>
      </c>
      <c r="C745" t="s">
        <v>38</v>
      </c>
      <c r="D745" t="s">
        <v>39</v>
      </c>
      <c r="E745" s="2">
        <v>46128</v>
      </c>
      <c r="F745" t="s">
        <v>40</v>
      </c>
      <c r="G745">
        <v>114.6</v>
      </c>
      <c r="H745">
        <v>82.9</v>
      </c>
      <c r="I745">
        <v>-1957.8</v>
      </c>
      <c r="J745">
        <v>71.3</v>
      </c>
      <c r="K745">
        <v>0</v>
      </c>
      <c r="L745">
        <v>1</v>
      </c>
      <c r="M745">
        <v>0</v>
      </c>
      <c r="N745">
        <v>70.3</v>
      </c>
      <c r="O745">
        <v>112.08</v>
      </c>
      <c r="P745">
        <v>113.77</v>
      </c>
      <c r="Q745">
        <v>4.08</v>
      </c>
      <c r="R745">
        <v>4.1500000000000004</v>
      </c>
      <c r="S745">
        <f t="shared" si="378"/>
        <v>0.40877388232590012</v>
      </c>
      <c r="T745">
        <f t="shared" si="379"/>
        <v>0.77236796080067338</v>
      </c>
      <c r="U745">
        <f t="shared" si="375"/>
        <v>0</v>
      </c>
      <c r="V745">
        <f t="shared" si="380"/>
        <v>1.0202046977163897</v>
      </c>
      <c r="W745" t="str">
        <f t="shared" si="376"/>
        <v/>
      </c>
      <c r="X745">
        <f t="shared" si="381"/>
        <v>0.3251805415783095</v>
      </c>
      <c r="Y745" t="str">
        <f t="shared" si="377"/>
        <v/>
      </c>
      <c r="Z745">
        <f t="shared" si="382"/>
        <v>0.27370885775004311</v>
      </c>
      <c r="AA745">
        <f t="shared" si="383"/>
        <v>0.8515136102521913</v>
      </c>
      <c r="AB745">
        <f t="shared" si="384"/>
        <v>1.1085884307385154</v>
      </c>
      <c r="AC745">
        <f t="shared" si="385"/>
        <v>1.7202578330066112</v>
      </c>
      <c r="AD745">
        <f t="shared" si="386"/>
        <v>1.9242987732918277</v>
      </c>
    </row>
    <row r="746" spans="1:30">
      <c r="A746" t="s">
        <v>545</v>
      </c>
      <c r="B746" t="s">
        <v>37</v>
      </c>
      <c r="C746" t="s">
        <v>38</v>
      </c>
      <c r="D746" t="s">
        <v>39</v>
      </c>
      <c r="E746" s="2">
        <v>46128</v>
      </c>
      <c r="F746" t="s">
        <v>40</v>
      </c>
      <c r="G746">
        <v>103</v>
      </c>
      <c r="H746">
        <v>86.1</v>
      </c>
      <c r="I746">
        <v>-1957.8</v>
      </c>
      <c r="J746">
        <v>71.3</v>
      </c>
      <c r="K746">
        <v>0</v>
      </c>
      <c r="L746">
        <v>0.1</v>
      </c>
      <c r="M746">
        <v>0</v>
      </c>
      <c r="N746">
        <v>71.400000000000006</v>
      </c>
      <c r="O746">
        <v>113.62</v>
      </c>
      <c r="P746">
        <v>116.41</v>
      </c>
      <c r="Q746">
        <v>3.83</v>
      </c>
      <c r="R746">
        <v>3.86</v>
      </c>
      <c r="S746">
        <f t="shared" si="378"/>
        <v>1.9177604219210067</v>
      </c>
      <c r="T746">
        <f t="shared" si="379"/>
        <v>1.9064437120992748</v>
      </c>
      <c r="U746">
        <f t="shared" si="375"/>
        <v>0</v>
      </c>
      <c r="V746">
        <f t="shared" si="380"/>
        <v>1.0202046977163897</v>
      </c>
      <c r="W746" t="str">
        <f t="shared" si="376"/>
        <v/>
      </c>
      <c r="X746">
        <f t="shared" si="381"/>
        <v>0.96799498319040234</v>
      </c>
      <c r="Y746" t="str">
        <f t="shared" si="377"/>
        <v/>
      </c>
      <c r="Z746">
        <f t="shared" si="382"/>
        <v>0.77470766719469442</v>
      </c>
      <c r="AA746">
        <f t="shared" si="383"/>
        <v>6.3521244257270529E-2</v>
      </c>
      <c r="AB746">
        <f t="shared" si="384"/>
        <v>0.78509555931103658</v>
      </c>
      <c r="AC746">
        <f t="shared" si="385"/>
        <v>5.8962687311027065E-2</v>
      </c>
      <c r="AD746">
        <f t="shared" si="386"/>
        <v>7.4348849522519939E-2</v>
      </c>
    </row>
    <row r="747" spans="1:30">
      <c r="A747" t="s">
        <v>546</v>
      </c>
      <c r="B747" t="s">
        <v>37</v>
      </c>
      <c r="C747" t="s">
        <v>38</v>
      </c>
      <c r="D747" t="s">
        <v>39</v>
      </c>
      <c r="E747" s="2">
        <v>46128</v>
      </c>
      <c r="F747" t="s">
        <v>40</v>
      </c>
      <c r="G747">
        <v>113.7</v>
      </c>
      <c r="H747">
        <v>83.8</v>
      </c>
      <c r="I747">
        <v>-1957.8</v>
      </c>
      <c r="J747">
        <v>71.7</v>
      </c>
      <c r="K747">
        <v>0</v>
      </c>
      <c r="L747">
        <v>0.1</v>
      </c>
      <c r="M747">
        <v>0</v>
      </c>
      <c r="N747">
        <v>71.599999999999994</v>
      </c>
      <c r="O747">
        <v>114.72</v>
      </c>
      <c r="P747">
        <v>114.72</v>
      </c>
      <c r="Q747">
        <v>3.96</v>
      </c>
      <c r="R747">
        <v>4.03</v>
      </c>
      <c r="S747">
        <f t="shared" si="378"/>
        <v>0.2282669104446762</v>
      </c>
      <c r="T747">
        <f t="shared" si="379"/>
        <v>1.0913267658534032</v>
      </c>
      <c r="U747">
        <f t="shared" si="375"/>
        <v>0</v>
      </c>
      <c r="V747">
        <f t="shared" si="380"/>
        <v>1.2293359976660967</v>
      </c>
      <c r="W747" t="str">
        <f t="shared" si="376"/>
        <v/>
      </c>
      <c r="X747">
        <f t="shared" si="381"/>
        <v>0.96799498319040234</v>
      </c>
      <c r="Y747" t="str">
        <f t="shared" si="377"/>
        <v/>
      </c>
      <c r="Z747">
        <f t="shared" si="382"/>
        <v>0.86579835982098874</v>
      </c>
      <c r="AA747">
        <f t="shared" si="383"/>
        <v>0.71711756890688017</v>
      </c>
      <c r="AB747">
        <f t="shared" si="384"/>
        <v>0.42714911613734896</v>
      </c>
      <c r="AC747">
        <f t="shared" si="385"/>
        <v>0.92283616307273009</v>
      </c>
      <c r="AD747">
        <f t="shared" si="386"/>
        <v>1.158802253111425</v>
      </c>
    </row>
    <row r="748" spans="1:30">
      <c r="A748" t="s">
        <v>547</v>
      </c>
      <c r="B748" t="s">
        <v>37</v>
      </c>
      <c r="C748" t="s">
        <v>38</v>
      </c>
      <c r="D748" t="s">
        <v>39</v>
      </c>
      <c r="E748" s="2">
        <v>46128</v>
      </c>
      <c r="F748" t="s">
        <v>40</v>
      </c>
      <c r="G748">
        <v>113.7</v>
      </c>
      <c r="H748">
        <v>83.8</v>
      </c>
      <c r="I748">
        <v>-1957.8</v>
      </c>
      <c r="J748">
        <v>71.3</v>
      </c>
      <c r="K748">
        <v>0</v>
      </c>
      <c r="L748">
        <v>0.2</v>
      </c>
      <c r="M748">
        <v>0</v>
      </c>
      <c r="N748">
        <v>71.099999999999994</v>
      </c>
      <c r="O748">
        <v>112.3</v>
      </c>
      <c r="P748">
        <v>113.62</v>
      </c>
      <c r="Q748">
        <v>4.3</v>
      </c>
      <c r="R748">
        <v>4.32</v>
      </c>
      <c r="S748">
        <f t="shared" si="378"/>
        <v>0.2282669104446762</v>
      </c>
      <c r="T748">
        <f t="shared" si="379"/>
        <v>1.0913267658534032</v>
      </c>
      <c r="U748">
        <f t="shared" si="375"/>
        <v>0</v>
      </c>
      <c r="V748">
        <f t="shared" si="380"/>
        <v>1.0202046977163897</v>
      </c>
      <c r="W748" t="str">
        <f t="shared" si="376"/>
        <v/>
      </c>
      <c r="X748">
        <f t="shared" si="381"/>
        <v>0.89657115634461437</v>
      </c>
      <c r="Y748" t="str">
        <f t="shared" si="377"/>
        <v/>
      </c>
      <c r="Z748">
        <f t="shared" si="382"/>
        <v>0.63807162825523989</v>
      </c>
      <c r="AA748">
        <f t="shared" si="383"/>
        <v>0.72079434532226938</v>
      </c>
      <c r="AB748">
        <f t="shared" si="384"/>
        <v>1.2161841119913246</v>
      </c>
      <c r="AC748">
        <f t="shared" si="385"/>
        <v>3.1821975612187239</v>
      </c>
      <c r="AD748">
        <f t="shared" si="386"/>
        <v>3.0087521768807299</v>
      </c>
    </row>
    <row r="749" spans="1:30">
      <c r="A749" t="s">
        <v>548</v>
      </c>
      <c r="B749" t="s">
        <v>37</v>
      </c>
      <c r="C749" t="s">
        <v>38</v>
      </c>
      <c r="D749" t="s">
        <v>39</v>
      </c>
      <c r="E749" s="2">
        <v>46128</v>
      </c>
      <c r="F749" t="s">
        <v>34</v>
      </c>
      <c r="G749">
        <v>80.7</v>
      </c>
      <c r="H749">
        <v>124.4</v>
      </c>
      <c r="I749">
        <v>-1957.8</v>
      </c>
      <c r="J749">
        <v>71.3</v>
      </c>
      <c r="K749">
        <v>0</v>
      </c>
      <c r="L749">
        <v>0.7</v>
      </c>
      <c r="M749">
        <v>0</v>
      </c>
      <c r="N749">
        <v>70.599999999999994</v>
      </c>
      <c r="O749">
        <v>115.31</v>
      </c>
      <c r="P749">
        <v>115.09</v>
      </c>
      <c r="Q749">
        <v>3.96</v>
      </c>
      <c r="R749">
        <v>4.0999999999999996</v>
      </c>
      <c r="S749">
        <f t="shared" si="378"/>
        <v>6.390322058533596</v>
      </c>
      <c r="T749">
        <f t="shared" si="379"/>
        <v>15.479912860454462</v>
      </c>
      <c r="U749">
        <f t="shared" si="375"/>
        <v>0</v>
      </c>
      <c r="V749">
        <f t="shared" si="380"/>
        <v>1.0202046977163897</v>
      </c>
      <c r="W749" t="str">
        <f t="shared" si="376"/>
        <v/>
      </c>
      <c r="X749">
        <f t="shared" si="381"/>
        <v>0.53945202211567389</v>
      </c>
      <c r="Y749" t="str">
        <f t="shared" si="377"/>
        <v/>
      </c>
      <c r="Z749">
        <f t="shared" si="382"/>
        <v>0.41034489668949109</v>
      </c>
      <c r="AA749">
        <f t="shared" si="383"/>
        <v>1.0676828703098564</v>
      </c>
      <c r="AB749">
        <f t="shared" si="384"/>
        <v>0.16174643571373432</v>
      </c>
      <c r="AC749">
        <f t="shared" si="385"/>
        <v>0.92283616307273009</v>
      </c>
      <c r="AD749">
        <f t="shared" si="386"/>
        <v>1.6053418898833223</v>
      </c>
    </row>
    <row r="750" spans="1:30">
      <c r="A750" t="s">
        <v>548</v>
      </c>
      <c r="B750" t="s">
        <v>37</v>
      </c>
      <c r="C750" t="s">
        <v>38</v>
      </c>
      <c r="D750" t="s">
        <v>39</v>
      </c>
      <c r="E750" s="2">
        <v>46128</v>
      </c>
      <c r="F750" t="s">
        <v>34</v>
      </c>
      <c r="G750">
        <v>101.2</v>
      </c>
      <c r="H750">
        <v>66.7</v>
      </c>
      <c r="I750">
        <v>-1957.8</v>
      </c>
      <c r="J750">
        <v>71.7</v>
      </c>
      <c r="K750">
        <v>0</v>
      </c>
      <c r="L750">
        <v>0.4</v>
      </c>
      <c r="M750">
        <v>0</v>
      </c>
      <c r="N750">
        <v>71.3</v>
      </c>
      <c r="O750">
        <v>112.38</v>
      </c>
      <c r="P750">
        <v>118.46</v>
      </c>
      <c r="Q750">
        <v>4.13</v>
      </c>
      <c r="R750">
        <v>0</v>
      </c>
      <c r="S750">
        <f t="shared" si="378"/>
        <v>2.2787743656834571</v>
      </c>
      <c r="T750">
        <f t="shared" si="379"/>
        <v>4.9688905301485171</v>
      </c>
      <c r="U750">
        <f t="shared" si="375"/>
        <v>0</v>
      </c>
      <c r="V750">
        <f t="shared" si="380"/>
        <v>1.2293359976660967</v>
      </c>
      <c r="W750" t="str">
        <f t="shared" si="376"/>
        <v/>
      </c>
      <c r="X750">
        <f t="shared" si="381"/>
        <v>0.75372350265303822</v>
      </c>
      <c r="Y750" t="str">
        <f t="shared" si="377"/>
        <v/>
      </c>
      <c r="Z750">
        <f t="shared" si="382"/>
        <v>0.72916232088154076</v>
      </c>
      <c r="AA750">
        <f t="shared" si="383"/>
        <v>0.67326006716593501</v>
      </c>
      <c r="AB750">
        <f t="shared" si="384"/>
        <v>2.2555698697661786</v>
      </c>
      <c r="AC750">
        <f t="shared" si="385"/>
        <v>2.052516862145727</v>
      </c>
      <c r="AD750" t="str">
        <f t="shared" si="386"/>
        <v/>
      </c>
    </row>
    <row r="751" spans="1:30">
      <c r="A751" t="s">
        <v>548</v>
      </c>
      <c r="B751" t="s">
        <v>37</v>
      </c>
      <c r="C751" t="s">
        <v>38</v>
      </c>
      <c r="D751" t="s">
        <v>39</v>
      </c>
      <c r="E751" s="2">
        <v>46128</v>
      </c>
      <c r="F751" t="s">
        <v>34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tr">
        <f t="shared" si="378"/>
        <v/>
      </c>
      <c r="T751" t="str">
        <f t="shared" si="379"/>
        <v/>
      </c>
      <c r="U751" t="str">
        <f t="shared" si="375"/>
        <v/>
      </c>
      <c r="V751" t="str">
        <f t="shared" si="380"/>
        <v/>
      </c>
      <c r="W751" t="str">
        <f t="shared" si="376"/>
        <v/>
      </c>
      <c r="X751" t="str">
        <f t="shared" si="381"/>
        <v/>
      </c>
      <c r="Y751" t="str">
        <f t="shared" si="377"/>
        <v/>
      </c>
      <c r="Z751" t="str">
        <f t="shared" si="382"/>
        <v/>
      </c>
      <c r="AA751" t="str">
        <f t="shared" si="383"/>
        <v/>
      </c>
      <c r="AB751" t="str">
        <f t="shared" si="384"/>
        <v/>
      </c>
      <c r="AC751" t="str">
        <f t="shared" si="385"/>
        <v/>
      </c>
      <c r="AD751" t="str">
        <f t="shared" si="386"/>
        <v/>
      </c>
    </row>
    <row r="752" spans="1:30">
      <c r="A752" t="s">
        <v>549</v>
      </c>
      <c r="B752" t="s">
        <v>37</v>
      </c>
      <c r="C752" t="s">
        <v>38</v>
      </c>
      <c r="D752" t="s">
        <v>39</v>
      </c>
      <c r="E752" s="2">
        <v>46128</v>
      </c>
      <c r="F752" t="s">
        <v>40</v>
      </c>
      <c r="G752">
        <v>111.1</v>
      </c>
      <c r="H752">
        <v>81.099999999999994</v>
      </c>
      <c r="I752">
        <v>-1957.8</v>
      </c>
      <c r="J752">
        <v>71.3</v>
      </c>
      <c r="K752">
        <v>0</v>
      </c>
      <c r="L752">
        <v>0</v>
      </c>
      <c r="M752">
        <v>0</v>
      </c>
      <c r="N752">
        <v>71.3</v>
      </c>
      <c r="O752">
        <v>114.87</v>
      </c>
      <c r="P752">
        <v>114.8</v>
      </c>
      <c r="Q752">
        <v>3.88</v>
      </c>
      <c r="R752">
        <v>4.03</v>
      </c>
      <c r="S752">
        <f t="shared" si="378"/>
        <v>0.29319767498997729</v>
      </c>
      <c r="T752">
        <f t="shared" si="379"/>
        <v>0.13445035069520386</v>
      </c>
      <c r="U752">
        <f t="shared" si="375"/>
        <v>0</v>
      </c>
      <c r="V752">
        <f t="shared" si="380"/>
        <v>1.0202046977163897</v>
      </c>
      <c r="W752" t="str">
        <f t="shared" si="376"/>
        <v/>
      </c>
      <c r="X752" t="str">
        <f t="shared" si="381"/>
        <v/>
      </c>
      <c r="Y752" t="str">
        <f t="shared" si="377"/>
        <v/>
      </c>
      <c r="Z752">
        <f t="shared" si="382"/>
        <v>0.72916232088154076</v>
      </c>
      <c r="AA752">
        <f t="shared" si="383"/>
        <v>0.80624434045001259</v>
      </c>
      <c r="AB752">
        <f t="shared" si="384"/>
        <v>0.36976475280251531</v>
      </c>
      <c r="AC752">
        <f t="shared" si="385"/>
        <v>0.39122171645014275</v>
      </c>
      <c r="AD752">
        <f t="shared" si="386"/>
        <v>1.158802253111425</v>
      </c>
    </row>
    <row r="753" spans="1:30">
      <c r="A753" t="s">
        <v>550</v>
      </c>
      <c r="B753" t="s">
        <v>37</v>
      </c>
      <c r="C753" t="s">
        <v>38</v>
      </c>
      <c r="D753" t="s">
        <v>39</v>
      </c>
      <c r="E753" s="2">
        <v>46128</v>
      </c>
      <c r="F753" t="s">
        <v>40</v>
      </c>
      <c r="G753">
        <v>117.3</v>
      </c>
      <c r="H753">
        <v>85.2</v>
      </c>
      <c r="I753">
        <v>-1957.8</v>
      </c>
      <c r="J753">
        <v>71.3</v>
      </c>
      <c r="K753">
        <v>0</v>
      </c>
      <c r="L753">
        <v>1</v>
      </c>
      <c r="M753">
        <v>0</v>
      </c>
      <c r="N753">
        <v>70.3</v>
      </c>
      <c r="O753">
        <v>111.57</v>
      </c>
      <c r="P753">
        <v>113.7</v>
      </c>
      <c r="Q753">
        <v>4.13</v>
      </c>
      <c r="R753">
        <v>4.17</v>
      </c>
      <c r="S753">
        <f t="shared" si="378"/>
        <v>0.9502947979695775</v>
      </c>
      <c r="T753">
        <f t="shared" si="379"/>
        <v>1.5874849070465451</v>
      </c>
      <c r="U753">
        <f t="shared" si="375"/>
        <v>0</v>
      </c>
      <c r="V753">
        <f t="shared" si="380"/>
        <v>1.0202046977163897</v>
      </c>
      <c r="W753" t="str">
        <f t="shared" si="376"/>
        <v/>
      </c>
      <c r="X753">
        <f t="shared" si="381"/>
        <v>0.3251805415783095</v>
      </c>
      <c r="Y753" t="str">
        <f t="shared" si="377"/>
        <v/>
      </c>
      <c r="Z753">
        <f t="shared" si="382"/>
        <v>0.27370885775004311</v>
      </c>
      <c r="AA753">
        <f t="shared" si="383"/>
        <v>1.1545446334988332</v>
      </c>
      <c r="AB753">
        <f t="shared" si="384"/>
        <v>1.1587997486564909</v>
      </c>
      <c r="AC753">
        <f t="shared" si="385"/>
        <v>2.052516862145727</v>
      </c>
      <c r="AD753">
        <f t="shared" si="386"/>
        <v>2.0518815266552255</v>
      </c>
    </row>
    <row r="754" spans="1:30">
      <c r="A754" t="s">
        <v>551</v>
      </c>
      <c r="B754" t="s">
        <v>37</v>
      </c>
      <c r="C754" t="s">
        <v>38</v>
      </c>
      <c r="D754" t="s">
        <v>39</v>
      </c>
      <c r="E754" s="2">
        <v>46128</v>
      </c>
      <c r="F754" t="s">
        <v>40</v>
      </c>
      <c r="G754">
        <v>107.9</v>
      </c>
      <c r="H754">
        <v>83.8</v>
      </c>
      <c r="I754">
        <v>-1957.8</v>
      </c>
      <c r="J754">
        <v>71.3</v>
      </c>
      <c r="K754">
        <v>0</v>
      </c>
      <c r="L754">
        <v>0.3</v>
      </c>
      <c r="M754">
        <v>0</v>
      </c>
      <c r="N754">
        <v>71.599999999999994</v>
      </c>
      <c r="O754">
        <v>115.38</v>
      </c>
      <c r="P754">
        <v>115.68</v>
      </c>
      <c r="Q754">
        <v>4.03</v>
      </c>
      <c r="R754">
        <v>4.0999999999999996</v>
      </c>
      <c r="S754">
        <f t="shared" si="378"/>
        <v>0.93500024167877716</v>
      </c>
      <c r="T754">
        <f t="shared" si="379"/>
        <v>1.0913267658534032</v>
      </c>
      <c r="U754">
        <f t="shared" si="375"/>
        <v>0</v>
      </c>
      <c r="V754">
        <f t="shared" si="380"/>
        <v>1.0202046977163897</v>
      </c>
      <c r="W754" t="str">
        <f t="shared" si="376"/>
        <v/>
      </c>
      <c r="X754">
        <f t="shared" si="381"/>
        <v>0.82514732949882619</v>
      </c>
      <c r="Y754" t="str">
        <f t="shared" si="377"/>
        <v/>
      </c>
      <c r="Z754">
        <f t="shared" si="382"/>
        <v>0.86579835982098874</v>
      </c>
      <c r="AA754">
        <f t="shared" si="383"/>
        <v>1.1092753636966459</v>
      </c>
      <c r="AB754">
        <f t="shared" si="384"/>
        <v>0.26146324388067549</v>
      </c>
      <c r="AC754">
        <f t="shared" si="385"/>
        <v>1.3879988038674955</v>
      </c>
      <c r="AD754">
        <f t="shared" si="386"/>
        <v>1.6053418898833223</v>
      </c>
    </row>
    <row r="755" spans="1:30">
      <c r="A755" t="s">
        <v>552</v>
      </c>
      <c r="B755" t="s">
        <v>37</v>
      </c>
      <c r="C755" t="s">
        <v>38</v>
      </c>
      <c r="D755" t="s">
        <v>39</v>
      </c>
      <c r="E755" s="2">
        <v>46128</v>
      </c>
      <c r="F755" t="s">
        <v>40</v>
      </c>
      <c r="G755">
        <v>115.1</v>
      </c>
      <c r="H755">
        <v>84.3</v>
      </c>
      <c r="I755">
        <v>-1957.8</v>
      </c>
      <c r="J755">
        <v>71.7</v>
      </c>
      <c r="K755">
        <v>0</v>
      </c>
      <c r="L755">
        <v>0.3</v>
      </c>
      <c r="M755">
        <v>0</v>
      </c>
      <c r="N755">
        <v>71.400000000000006</v>
      </c>
      <c r="O755">
        <v>115.75</v>
      </c>
      <c r="P755">
        <v>117</v>
      </c>
      <c r="Q755">
        <v>3.93</v>
      </c>
      <c r="R755">
        <v>4</v>
      </c>
      <c r="S755">
        <f t="shared" si="378"/>
        <v>0.50905553337102538</v>
      </c>
      <c r="T755">
        <f t="shared" si="379"/>
        <v>1.2685261019938103</v>
      </c>
      <c r="U755">
        <f t="shared" si="375"/>
        <v>0</v>
      </c>
      <c r="V755">
        <f t="shared" si="380"/>
        <v>1.2293359976660967</v>
      </c>
      <c r="W755" t="str">
        <f t="shared" si="376"/>
        <v/>
      </c>
      <c r="X755">
        <f t="shared" si="381"/>
        <v>0.82514732949882619</v>
      </c>
      <c r="Y755" t="str">
        <f t="shared" si="377"/>
        <v/>
      </c>
      <c r="Z755">
        <f t="shared" si="382"/>
        <v>0.77470766719469442</v>
      </c>
      <c r="AA755">
        <f t="shared" si="383"/>
        <v>1.3291214001697003</v>
      </c>
      <c r="AB755">
        <f t="shared" si="384"/>
        <v>1.2083052389054463</v>
      </c>
      <c r="AC755">
        <f t="shared" si="385"/>
        <v>0.72348074558926134</v>
      </c>
      <c r="AD755">
        <f t="shared" si="386"/>
        <v>0.96742812306632298</v>
      </c>
    </row>
    <row r="756" spans="1:30">
      <c r="A756" t="s">
        <v>553</v>
      </c>
      <c r="B756" t="s">
        <v>37</v>
      </c>
      <c r="C756" t="s">
        <v>38</v>
      </c>
      <c r="D756" t="s">
        <v>39</v>
      </c>
      <c r="E756" s="2">
        <v>46128</v>
      </c>
      <c r="F756" t="s">
        <v>40</v>
      </c>
      <c r="G756">
        <v>120.4</v>
      </c>
      <c r="H756">
        <v>84.3</v>
      </c>
      <c r="I756">
        <v>-1957.8</v>
      </c>
      <c r="J756">
        <v>71.7</v>
      </c>
      <c r="K756">
        <v>0</v>
      </c>
      <c r="L756">
        <v>0.2</v>
      </c>
      <c r="M756">
        <v>0</v>
      </c>
      <c r="N756">
        <v>71.900000000000006</v>
      </c>
      <c r="O756">
        <v>112.3</v>
      </c>
      <c r="P756">
        <v>116.85</v>
      </c>
      <c r="Q756">
        <v>3.96</v>
      </c>
      <c r="R756">
        <v>3.96</v>
      </c>
      <c r="S756">
        <f t="shared" si="378"/>
        <v>1.5720410344493563</v>
      </c>
      <c r="T756">
        <f t="shared" si="379"/>
        <v>1.2685261019938103</v>
      </c>
      <c r="U756">
        <f t="shared" si="375"/>
        <v>0</v>
      </c>
      <c r="V756">
        <f t="shared" si="380"/>
        <v>1.2293359976660967</v>
      </c>
      <c r="W756" t="str">
        <f t="shared" si="376"/>
        <v/>
      </c>
      <c r="X756">
        <f t="shared" si="381"/>
        <v>0.89657115634461437</v>
      </c>
      <c r="Y756" t="str">
        <f t="shared" si="377"/>
        <v/>
      </c>
      <c r="Z756">
        <f t="shared" si="382"/>
        <v>1.0024343987604432</v>
      </c>
      <c r="AA756">
        <f t="shared" si="383"/>
        <v>0.72079434532226938</v>
      </c>
      <c r="AB756">
        <f t="shared" si="384"/>
        <v>1.1007095576526269</v>
      </c>
      <c r="AC756">
        <f t="shared" si="385"/>
        <v>0.92283616307273009</v>
      </c>
      <c r="AD756">
        <f t="shared" si="386"/>
        <v>0.71226261633952215</v>
      </c>
    </row>
    <row r="757" spans="1:30">
      <c r="A757" t="s">
        <v>554</v>
      </c>
      <c r="B757" t="s">
        <v>37</v>
      </c>
      <c r="C757" t="s">
        <v>38</v>
      </c>
      <c r="D757" t="s">
        <v>39</v>
      </c>
      <c r="E757" s="2">
        <v>46128</v>
      </c>
      <c r="F757" t="s">
        <v>34</v>
      </c>
      <c r="G757">
        <v>82.9</v>
      </c>
      <c r="H757">
        <v>72.5</v>
      </c>
      <c r="I757">
        <v>-1957.8</v>
      </c>
      <c r="J757">
        <v>71.7</v>
      </c>
      <c r="K757">
        <v>0</v>
      </c>
      <c r="L757">
        <v>1</v>
      </c>
      <c r="M757">
        <v>0</v>
      </c>
      <c r="N757">
        <v>70.7</v>
      </c>
      <c r="O757">
        <v>112.38</v>
      </c>
      <c r="P757">
        <v>116.56</v>
      </c>
      <c r="Q757">
        <v>4.05</v>
      </c>
      <c r="R757">
        <v>4.0999999999999996</v>
      </c>
      <c r="S757">
        <f t="shared" si="378"/>
        <v>5.9490827939350446</v>
      </c>
      <c r="T757">
        <f t="shared" si="379"/>
        <v>2.913378230919796</v>
      </c>
      <c r="U757">
        <f t="shared" si="375"/>
        <v>0</v>
      </c>
      <c r="V757">
        <f t="shared" si="380"/>
        <v>1.2293359976660967</v>
      </c>
      <c r="W757" t="str">
        <f t="shared" si="376"/>
        <v/>
      </c>
      <c r="X757">
        <f t="shared" si="381"/>
        <v>0.3251805415783095</v>
      </c>
      <c r="Y757" t="str">
        <f t="shared" si="377"/>
        <v/>
      </c>
      <c r="Z757">
        <f t="shared" si="382"/>
        <v>0.45589024300264475</v>
      </c>
      <c r="AA757">
        <f t="shared" si="383"/>
        <v>0.67326006716593501</v>
      </c>
      <c r="AB757">
        <f t="shared" si="384"/>
        <v>0.89269124056385607</v>
      </c>
      <c r="AC757">
        <f t="shared" si="385"/>
        <v>1.5209024155231394</v>
      </c>
      <c r="AD757">
        <f t="shared" si="386"/>
        <v>1.6053418898833223</v>
      </c>
    </row>
    <row r="758" spans="1:30">
      <c r="A758" t="s">
        <v>554</v>
      </c>
      <c r="B758" t="s">
        <v>37</v>
      </c>
      <c r="C758" t="s">
        <v>38</v>
      </c>
      <c r="D758" t="s">
        <v>39</v>
      </c>
      <c r="E758" s="2">
        <v>46128</v>
      </c>
      <c r="F758" t="s">
        <v>40</v>
      </c>
      <c r="G758">
        <v>110.6</v>
      </c>
      <c r="H758">
        <v>85.2</v>
      </c>
      <c r="I758">
        <v>-1957.8</v>
      </c>
      <c r="J758">
        <v>71.7</v>
      </c>
      <c r="K758">
        <v>0</v>
      </c>
      <c r="L758">
        <v>0.1</v>
      </c>
      <c r="M758">
        <v>0</v>
      </c>
      <c r="N758">
        <v>71.8</v>
      </c>
      <c r="O758">
        <v>115.16</v>
      </c>
      <c r="P758">
        <v>114.8</v>
      </c>
      <c r="Q758">
        <v>4.13</v>
      </c>
      <c r="R758">
        <v>4.13</v>
      </c>
      <c r="S758">
        <f t="shared" si="378"/>
        <v>0.39347932603510261</v>
      </c>
      <c r="T758">
        <f t="shared" si="379"/>
        <v>1.5874849070465451</v>
      </c>
      <c r="U758">
        <f t="shared" si="375"/>
        <v>0</v>
      </c>
      <c r="V758">
        <f t="shared" si="380"/>
        <v>1.2293359976660967</v>
      </c>
      <c r="W758" t="str">
        <f t="shared" si="376"/>
        <v/>
      </c>
      <c r="X758">
        <f t="shared" si="381"/>
        <v>0.96799498319040234</v>
      </c>
      <c r="Y758" t="str">
        <f t="shared" si="377"/>
        <v/>
      </c>
      <c r="Z758">
        <f t="shared" si="382"/>
        <v>0.9568890524472895</v>
      </c>
      <c r="AA758">
        <f t="shared" si="383"/>
        <v>0.978556098766724</v>
      </c>
      <c r="AB758">
        <f t="shared" si="384"/>
        <v>0.36976475280251531</v>
      </c>
      <c r="AC758">
        <f t="shared" si="385"/>
        <v>2.052516862145727</v>
      </c>
      <c r="AD758">
        <f t="shared" si="386"/>
        <v>1.7967160199284244</v>
      </c>
    </row>
    <row r="759" spans="1:30">
      <c r="A759" t="s">
        <v>555</v>
      </c>
      <c r="B759" t="s">
        <v>37</v>
      </c>
      <c r="C759" t="s">
        <v>38</v>
      </c>
      <c r="D759" t="s">
        <v>39</v>
      </c>
      <c r="E759" s="2">
        <v>46128</v>
      </c>
      <c r="F759" t="s">
        <v>40</v>
      </c>
      <c r="G759">
        <v>109.7</v>
      </c>
      <c r="H759">
        <v>85.6</v>
      </c>
      <c r="I759">
        <v>-1957.8</v>
      </c>
      <c r="J759">
        <v>71.7</v>
      </c>
      <c r="K759">
        <v>0</v>
      </c>
      <c r="L759">
        <v>0.7</v>
      </c>
      <c r="M759">
        <v>0</v>
      </c>
      <c r="N759">
        <v>71</v>
      </c>
      <c r="O759">
        <v>111.72</v>
      </c>
      <c r="P759">
        <v>113.55</v>
      </c>
      <c r="Q759">
        <v>4.08</v>
      </c>
      <c r="R759">
        <v>4.13</v>
      </c>
      <c r="S759">
        <f t="shared" si="378"/>
        <v>0.57398629791632649</v>
      </c>
      <c r="T759">
        <f t="shared" si="379"/>
        <v>1.7292443759588676</v>
      </c>
      <c r="U759">
        <f t="shared" si="375"/>
        <v>0</v>
      </c>
      <c r="V759">
        <f t="shared" si="380"/>
        <v>1.2293359976660967</v>
      </c>
      <c r="W759" t="str">
        <f t="shared" si="376"/>
        <v/>
      </c>
      <c r="X759">
        <f t="shared" si="381"/>
        <v>0.53945202211567389</v>
      </c>
      <c r="Y759" t="str">
        <f t="shared" si="377"/>
        <v/>
      </c>
      <c r="Z759">
        <f t="shared" si="382"/>
        <v>0.59252628194209278</v>
      </c>
      <c r="AA759">
        <f t="shared" si="383"/>
        <v>1.0654178619557007</v>
      </c>
      <c r="AB759">
        <f t="shared" si="384"/>
        <v>1.2663954299093105</v>
      </c>
      <c r="AC759">
        <f t="shared" si="385"/>
        <v>1.7202578330066112</v>
      </c>
      <c r="AD759">
        <f t="shared" si="386"/>
        <v>1.7967160199284244</v>
      </c>
    </row>
    <row r="760" spans="1:30">
      <c r="A760" t="s">
        <v>556</v>
      </c>
      <c r="B760" t="s">
        <v>37</v>
      </c>
      <c r="C760" t="s">
        <v>38</v>
      </c>
      <c r="D760" t="s">
        <v>39</v>
      </c>
      <c r="E760" s="2">
        <v>46128</v>
      </c>
      <c r="F760" t="s">
        <v>40</v>
      </c>
      <c r="G760">
        <v>119.6</v>
      </c>
      <c r="H760">
        <v>85.2</v>
      </c>
      <c r="I760">
        <v>-1957.8</v>
      </c>
      <c r="J760">
        <v>72.2</v>
      </c>
      <c r="K760">
        <v>0</v>
      </c>
      <c r="L760">
        <v>0.8</v>
      </c>
      <c r="M760">
        <v>0</v>
      </c>
      <c r="N760">
        <v>71.400000000000006</v>
      </c>
      <c r="O760">
        <v>111.94</v>
      </c>
      <c r="P760">
        <v>113.11</v>
      </c>
      <c r="Q760">
        <v>4.05</v>
      </c>
      <c r="R760">
        <v>4.05</v>
      </c>
      <c r="S760">
        <f t="shared" si="378"/>
        <v>1.4115903927771536</v>
      </c>
      <c r="T760">
        <f t="shared" si="379"/>
        <v>1.5874849070465451</v>
      </c>
      <c r="U760">
        <f t="shared" si="375"/>
        <v>0</v>
      </c>
      <c r="V760">
        <f t="shared" si="380"/>
        <v>1.4907501226032265</v>
      </c>
      <c r="W760" t="str">
        <f t="shared" si="376"/>
        <v/>
      </c>
      <c r="X760">
        <f t="shared" si="381"/>
        <v>0.46802819526988565</v>
      </c>
      <c r="Y760" t="str">
        <f t="shared" si="377"/>
        <v/>
      </c>
      <c r="Z760">
        <f t="shared" si="382"/>
        <v>0.77470766719469442</v>
      </c>
      <c r="AA760">
        <f t="shared" si="383"/>
        <v>0.93469859702577884</v>
      </c>
      <c r="AB760">
        <f t="shared" si="384"/>
        <v>1.5820094282509007</v>
      </c>
      <c r="AC760">
        <f t="shared" si="385"/>
        <v>1.5209024155231394</v>
      </c>
      <c r="AD760">
        <f t="shared" si="386"/>
        <v>1.2863850064748228</v>
      </c>
    </row>
    <row r="761" spans="1:30">
      <c r="A761" t="s">
        <v>557</v>
      </c>
      <c r="B761" t="s">
        <v>37</v>
      </c>
      <c r="C761" t="s">
        <v>38</v>
      </c>
      <c r="D761" t="s">
        <v>39</v>
      </c>
      <c r="E761" s="2">
        <v>46128</v>
      </c>
      <c r="F761" t="s">
        <v>34</v>
      </c>
      <c r="G761">
        <v>118.7</v>
      </c>
      <c r="H761">
        <v>87.4</v>
      </c>
      <c r="I761">
        <v>-1957.8</v>
      </c>
      <c r="J761">
        <v>72.599999999999994</v>
      </c>
      <c r="K761">
        <v>0</v>
      </c>
      <c r="L761">
        <v>0.6</v>
      </c>
      <c r="M761">
        <v>0</v>
      </c>
      <c r="N761">
        <v>72</v>
      </c>
      <c r="O761">
        <v>115.09</v>
      </c>
      <c r="P761">
        <v>114.94</v>
      </c>
      <c r="Q761">
        <v>3.96</v>
      </c>
      <c r="R761">
        <v>4.03</v>
      </c>
      <c r="S761">
        <f t="shared" si="378"/>
        <v>1.2310834208959296</v>
      </c>
      <c r="T761">
        <f t="shared" si="379"/>
        <v>2.3671619860643371</v>
      </c>
      <c r="U761">
        <f t="shared" si="375"/>
        <v>0</v>
      </c>
      <c r="V761">
        <f t="shared" si="380"/>
        <v>1.699881422552926</v>
      </c>
      <c r="W761" t="str">
        <f t="shared" si="376"/>
        <v/>
      </c>
      <c r="X761">
        <f t="shared" si="381"/>
        <v>0.61087584896146196</v>
      </c>
      <c r="Y761" t="str">
        <f t="shared" si="377"/>
        <v/>
      </c>
      <c r="Z761">
        <f t="shared" si="382"/>
        <v>1.0479797450735904</v>
      </c>
      <c r="AA761">
        <f t="shared" si="383"/>
        <v>0.93696360537993451</v>
      </c>
      <c r="AB761">
        <f t="shared" si="384"/>
        <v>0.2693421169665538</v>
      </c>
      <c r="AC761">
        <f t="shared" si="385"/>
        <v>0.92283616307273009</v>
      </c>
      <c r="AD761">
        <f t="shared" si="386"/>
        <v>1.158802253111425</v>
      </c>
    </row>
    <row r="762" spans="1:30">
      <c r="A762" t="s">
        <v>557</v>
      </c>
      <c r="B762" t="s">
        <v>37</v>
      </c>
      <c r="C762" t="s">
        <v>38</v>
      </c>
      <c r="D762" t="s">
        <v>39</v>
      </c>
      <c r="E762" s="2">
        <v>46128</v>
      </c>
      <c r="F762" t="s">
        <v>34</v>
      </c>
      <c r="G762">
        <v>102.1</v>
      </c>
      <c r="H762">
        <v>87.9</v>
      </c>
      <c r="I762">
        <v>-1957.8</v>
      </c>
      <c r="J762">
        <v>72.599999999999994</v>
      </c>
      <c r="K762">
        <v>0</v>
      </c>
      <c r="L762">
        <v>0.4</v>
      </c>
      <c r="M762">
        <v>0</v>
      </c>
      <c r="N762">
        <v>73</v>
      </c>
      <c r="O762">
        <v>111.94</v>
      </c>
      <c r="P762">
        <v>113.26</v>
      </c>
      <c r="Q762">
        <v>4.08</v>
      </c>
      <c r="R762">
        <v>4.0999999999999996</v>
      </c>
      <c r="S762">
        <f t="shared" si="378"/>
        <v>2.0982673938022334</v>
      </c>
      <c r="T762">
        <f t="shared" si="379"/>
        <v>2.5443613222047445</v>
      </c>
      <c r="U762">
        <f t="shared" si="375"/>
        <v>0</v>
      </c>
      <c r="V762">
        <f t="shared" si="380"/>
        <v>1.699881422552926</v>
      </c>
      <c r="W762" t="str">
        <f t="shared" si="376"/>
        <v/>
      </c>
      <c r="X762">
        <f t="shared" si="381"/>
        <v>0.75372350265303822</v>
      </c>
      <c r="Y762" t="str">
        <f t="shared" si="377"/>
        <v/>
      </c>
      <c r="Z762">
        <f t="shared" si="382"/>
        <v>1.5034332082050881</v>
      </c>
      <c r="AA762">
        <f t="shared" si="383"/>
        <v>0.93469859702577884</v>
      </c>
      <c r="AB762">
        <f t="shared" si="384"/>
        <v>1.4744137469980814</v>
      </c>
      <c r="AC762">
        <f t="shared" si="385"/>
        <v>1.7202578330066112</v>
      </c>
      <c r="AD762">
        <f t="shared" si="386"/>
        <v>1.6053418898833223</v>
      </c>
    </row>
    <row r="763" spans="1:30">
      <c r="A763" t="s">
        <v>558</v>
      </c>
      <c r="B763" t="s">
        <v>37</v>
      </c>
      <c r="C763" t="s">
        <v>38</v>
      </c>
      <c r="D763" t="s">
        <v>39</v>
      </c>
      <c r="E763" s="2">
        <v>46128</v>
      </c>
      <c r="F763" t="s">
        <v>40</v>
      </c>
      <c r="G763">
        <v>119.6</v>
      </c>
      <c r="H763">
        <v>85.6</v>
      </c>
      <c r="I763">
        <v>-1957.8</v>
      </c>
      <c r="J763">
        <v>73.099999999999994</v>
      </c>
      <c r="K763">
        <v>0</v>
      </c>
      <c r="L763">
        <v>0.7</v>
      </c>
      <c r="M763">
        <v>0</v>
      </c>
      <c r="N763">
        <v>72.400000000000006</v>
      </c>
      <c r="O763">
        <v>115.02</v>
      </c>
      <c r="P763">
        <v>114.87</v>
      </c>
      <c r="Q763">
        <v>3.98</v>
      </c>
      <c r="R763">
        <v>4.05</v>
      </c>
      <c r="S763">
        <f t="shared" si="378"/>
        <v>1.4115903927771536</v>
      </c>
      <c r="T763">
        <f t="shared" si="379"/>
        <v>1.7292443759588676</v>
      </c>
      <c r="U763">
        <f t="shared" si="375"/>
        <v>0</v>
      </c>
      <c r="V763">
        <f t="shared" si="380"/>
        <v>1.961295547490056</v>
      </c>
      <c r="W763" t="str">
        <f t="shared" si="376"/>
        <v/>
      </c>
      <c r="X763">
        <f t="shared" si="381"/>
        <v>0.53945202211567389</v>
      </c>
      <c r="Y763" t="str">
        <f t="shared" si="377"/>
        <v/>
      </c>
      <c r="Z763">
        <f t="shared" si="382"/>
        <v>1.2301611303261919</v>
      </c>
      <c r="AA763">
        <f t="shared" si="383"/>
        <v>0.89537111199313657</v>
      </c>
      <c r="AB763">
        <f t="shared" si="384"/>
        <v>0.31955343488452947</v>
      </c>
      <c r="AC763">
        <f t="shared" si="385"/>
        <v>1.055739774728377</v>
      </c>
      <c r="AD763">
        <f t="shared" si="386"/>
        <v>1.2863850064748228</v>
      </c>
    </row>
    <row r="764" spans="1:30">
      <c r="A764" t="s">
        <v>559</v>
      </c>
      <c r="B764" t="s">
        <v>31</v>
      </c>
      <c r="C764" t="s">
        <v>32</v>
      </c>
      <c r="D764" t="s">
        <v>33</v>
      </c>
      <c r="E764" s="2">
        <v>46129</v>
      </c>
      <c r="F764" t="s">
        <v>34</v>
      </c>
      <c r="G764">
        <v>134.69999999999999</v>
      </c>
      <c r="H764">
        <v>69.8</v>
      </c>
      <c r="I764">
        <v>-1957.8</v>
      </c>
      <c r="J764">
        <v>73.099999999999994</v>
      </c>
      <c r="K764">
        <v>0</v>
      </c>
      <c r="L764">
        <v>0.2</v>
      </c>
      <c r="M764">
        <v>0</v>
      </c>
      <c r="N764">
        <v>72.900000000000006</v>
      </c>
      <c r="O764">
        <v>110.69</v>
      </c>
      <c r="P764">
        <v>117</v>
      </c>
      <c r="Q764">
        <v>6.52</v>
      </c>
      <c r="R764">
        <v>6.42</v>
      </c>
      <c r="S764">
        <f t="shared" ref="S764:S798" si="387">IF(OR(G764=0,G764=""),"",ABS((G764-152.740594)/5.729485))</f>
        <v>3.1487287251821057</v>
      </c>
      <c r="T764">
        <f t="shared" ref="T764:T798" si="388">IF(OR(H764=0,H764=""),"",ABS((H764-96.426733)/5.037499))</f>
        <v>5.2857048706113883</v>
      </c>
      <c r="U764">
        <f t="shared" si="375"/>
        <v>0</v>
      </c>
      <c r="V764">
        <f t="shared" ref="V764:V798" si="389">IF(OR(J764=0,J764=""),"",ABS((J764-69.40099)/2.222902))</f>
        <v>1.6640454684911892</v>
      </c>
      <c r="W764" t="str">
        <f t="shared" si="376"/>
        <v/>
      </c>
      <c r="X764">
        <f t="shared" ref="X764:X798" si="390">IF(OR(L764=0,L764=""),"",ABS((L764-1.849749)/1.393269))</f>
        <v>1.1840850546448676</v>
      </c>
      <c r="Y764" t="str">
        <f t="shared" si="377"/>
        <v/>
      </c>
      <c r="Z764">
        <f t="shared" ref="Z764:Z798" si="391">IF(OR(N764=0,N764=""),"",ABS((N764-69.231188)/2.519549))</f>
        <v>1.4561383803212411</v>
      </c>
      <c r="AA764">
        <f t="shared" ref="AA764:AA798" si="392">IF(OR(O764=0,O764=""),"",ABS((O764-113.18)/1.73698))</f>
        <v>1.433522550633864</v>
      </c>
      <c r="AB764">
        <f t="shared" ref="AB764:AB798" si="393">IF(OR(P764=0,P764=""),"",ABS((P764-114.765594)/1.645198))</f>
        <v>1.3581380478216039</v>
      </c>
      <c r="AC764">
        <f t="shared" ref="AC764:AC798" si="394">IF(OR(Q764=0,Q764=""),"",ABS((Q764-8.040149)/0.55663))</f>
        <v>2.7309864721628374</v>
      </c>
      <c r="AD764">
        <f t="shared" ref="AD764:AD798" si="395">IF(OR(R764=0,R764=""),"",ABS((R764-7.915297)/0.399795))</f>
        <v>3.7401593316574742</v>
      </c>
    </row>
    <row r="765" spans="1:30">
      <c r="A765" t="s">
        <v>559</v>
      </c>
      <c r="B765" t="s">
        <v>31</v>
      </c>
      <c r="C765" t="s">
        <v>32</v>
      </c>
      <c r="D765" t="s">
        <v>33</v>
      </c>
      <c r="E765" s="2">
        <v>46129</v>
      </c>
      <c r="F765" t="s">
        <v>34</v>
      </c>
      <c r="G765">
        <v>135.19999999999999</v>
      </c>
      <c r="H765">
        <v>69.400000000000006</v>
      </c>
      <c r="I765">
        <v>-1957.8</v>
      </c>
      <c r="J765">
        <v>74</v>
      </c>
      <c r="K765">
        <v>0</v>
      </c>
      <c r="L765">
        <v>0.3</v>
      </c>
      <c r="M765">
        <v>0</v>
      </c>
      <c r="N765">
        <v>73.7</v>
      </c>
      <c r="O765">
        <v>115.68</v>
      </c>
      <c r="P765">
        <v>116.78</v>
      </c>
      <c r="Q765">
        <v>6.42</v>
      </c>
      <c r="R765">
        <v>6.67</v>
      </c>
      <c r="S765">
        <f t="shared" si="387"/>
        <v>3.0614608468300375</v>
      </c>
      <c r="T765">
        <f t="shared" si="388"/>
        <v>5.3651093528753035</v>
      </c>
      <c r="U765">
        <f t="shared" si="375"/>
        <v>0</v>
      </c>
      <c r="V765">
        <f t="shared" si="389"/>
        <v>2.0689216168774003</v>
      </c>
      <c r="W765" t="str">
        <f t="shared" si="376"/>
        <v/>
      </c>
      <c r="X765">
        <f t="shared" si="390"/>
        <v>1.1123114057658643</v>
      </c>
      <c r="Y765" t="str">
        <f t="shared" si="377"/>
        <v/>
      </c>
      <c r="Z765">
        <f t="shared" si="391"/>
        <v>1.773655523270236</v>
      </c>
      <c r="AA765">
        <f t="shared" si="392"/>
        <v>1.4392796693111032</v>
      </c>
      <c r="AB765">
        <f t="shared" si="393"/>
        <v>1.2244155414728246</v>
      </c>
      <c r="AC765">
        <f t="shared" si="394"/>
        <v>2.9106390241273372</v>
      </c>
      <c r="AD765">
        <f t="shared" si="395"/>
        <v>3.1148388549131427</v>
      </c>
    </row>
    <row r="766" spans="1:30">
      <c r="A766" t="s">
        <v>482</v>
      </c>
      <c r="B766" t="s">
        <v>31</v>
      </c>
      <c r="C766" t="s">
        <v>32</v>
      </c>
      <c r="D766" t="s">
        <v>33</v>
      </c>
      <c r="E766" s="2">
        <v>46129</v>
      </c>
      <c r="F766" t="s">
        <v>40</v>
      </c>
      <c r="G766">
        <v>158.4</v>
      </c>
      <c r="H766">
        <v>106.8</v>
      </c>
      <c r="I766">
        <v>-1957.8</v>
      </c>
      <c r="J766">
        <v>76.7</v>
      </c>
      <c r="K766">
        <v>0</v>
      </c>
      <c r="L766">
        <v>1.8</v>
      </c>
      <c r="M766">
        <v>0</v>
      </c>
      <c r="N766">
        <v>74.900000000000006</v>
      </c>
      <c r="O766">
        <v>115.09</v>
      </c>
      <c r="P766">
        <v>114.87</v>
      </c>
      <c r="Q766">
        <v>7.74</v>
      </c>
      <c r="R766">
        <v>8.2799999999999994</v>
      </c>
      <c r="S766">
        <f t="shared" si="387"/>
        <v>0.98776870870593392</v>
      </c>
      <c r="T766">
        <f t="shared" si="388"/>
        <v>2.05920973880094</v>
      </c>
      <c r="U766">
        <f t="shared" si="375"/>
        <v>0</v>
      </c>
      <c r="V766">
        <f t="shared" si="389"/>
        <v>3.2835500620360278</v>
      </c>
      <c r="W766" t="str">
        <f t="shared" si="376"/>
        <v/>
      </c>
      <c r="X766">
        <f t="shared" si="390"/>
        <v>3.5706672580815363E-2</v>
      </c>
      <c r="Y766" t="str">
        <f t="shared" si="377"/>
        <v/>
      </c>
      <c r="Z766">
        <f t="shared" si="391"/>
        <v>2.249931237693731</v>
      </c>
      <c r="AA766">
        <f t="shared" si="392"/>
        <v>1.0996096673536808</v>
      </c>
      <c r="AB766">
        <f t="shared" si="393"/>
        <v>6.3461054535692091E-2</v>
      </c>
      <c r="AC766">
        <f t="shared" si="394"/>
        <v>0.53922533819592788</v>
      </c>
      <c r="AD766">
        <f t="shared" si="395"/>
        <v>0.9122250153203505</v>
      </c>
    </row>
    <row r="767" spans="1:30">
      <c r="A767" t="s">
        <v>559</v>
      </c>
      <c r="B767" t="s">
        <v>31</v>
      </c>
      <c r="C767" t="s">
        <v>32</v>
      </c>
      <c r="D767" t="s">
        <v>33</v>
      </c>
      <c r="E767" s="2">
        <v>46129</v>
      </c>
      <c r="F767" t="s">
        <v>40</v>
      </c>
      <c r="G767">
        <v>162.9</v>
      </c>
      <c r="H767">
        <v>102.8</v>
      </c>
      <c r="I767">
        <v>-1957.8</v>
      </c>
      <c r="J767">
        <v>77.099999999999994</v>
      </c>
      <c r="K767">
        <v>0</v>
      </c>
      <c r="L767">
        <v>2.1</v>
      </c>
      <c r="M767">
        <v>0</v>
      </c>
      <c r="N767">
        <v>75</v>
      </c>
      <c r="O767">
        <v>112.16</v>
      </c>
      <c r="P767">
        <v>113.62</v>
      </c>
      <c r="Q767">
        <v>6.64</v>
      </c>
      <c r="R767">
        <v>7.01</v>
      </c>
      <c r="S767">
        <f t="shared" si="387"/>
        <v>1.7731796138745486</v>
      </c>
      <c r="T767">
        <f t="shared" si="388"/>
        <v>1.2651649161617695</v>
      </c>
      <c r="U767">
        <f t="shared" si="375"/>
        <v>0</v>
      </c>
      <c r="V767">
        <f t="shared" si="389"/>
        <v>3.4634950168743388</v>
      </c>
      <c r="W767" t="str">
        <f t="shared" si="376"/>
        <v/>
      </c>
      <c r="X767">
        <f t="shared" si="390"/>
        <v>0.17961427405619446</v>
      </c>
      <c r="Y767" t="str">
        <f t="shared" si="377"/>
        <v/>
      </c>
      <c r="Z767">
        <f t="shared" si="391"/>
        <v>2.2896208805623535</v>
      </c>
      <c r="AA767">
        <f t="shared" si="392"/>
        <v>0.58722610507893602</v>
      </c>
      <c r="AB767">
        <f t="shared" si="393"/>
        <v>0.69632591335510285</v>
      </c>
      <c r="AC767">
        <f t="shared" si="394"/>
        <v>2.5154034098054363</v>
      </c>
      <c r="AD767">
        <f t="shared" si="395"/>
        <v>2.264403006540852</v>
      </c>
    </row>
    <row r="768" spans="1:30">
      <c r="A768" t="s">
        <v>338</v>
      </c>
      <c r="B768" t="s">
        <v>31</v>
      </c>
      <c r="C768" t="s">
        <v>32</v>
      </c>
      <c r="D768" t="s">
        <v>33</v>
      </c>
      <c r="E768" s="2">
        <v>46129</v>
      </c>
      <c r="F768" t="s">
        <v>34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tr">
        <f t="shared" si="387"/>
        <v/>
      </c>
      <c r="T768" t="str">
        <f t="shared" si="388"/>
        <v/>
      </c>
      <c r="U768" t="str">
        <f t="shared" si="375"/>
        <v/>
      </c>
      <c r="V768" t="str">
        <f t="shared" si="389"/>
        <v/>
      </c>
      <c r="W768" t="str">
        <f t="shared" si="376"/>
        <v/>
      </c>
      <c r="X768" t="str">
        <f t="shared" si="390"/>
        <v/>
      </c>
      <c r="Y768" t="str">
        <f t="shared" si="377"/>
        <v/>
      </c>
      <c r="Z768" t="str">
        <f t="shared" si="391"/>
        <v/>
      </c>
      <c r="AA768" t="str">
        <f t="shared" si="392"/>
        <v/>
      </c>
      <c r="AB768" t="str">
        <f t="shared" si="393"/>
        <v/>
      </c>
      <c r="AC768" t="str">
        <f t="shared" si="394"/>
        <v/>
      </c>
      <c r="AD768" t="str">
        <f t="shared" si="395"/>
        <v/>
      </c>
    </row>
    <row r="769" spans="1:30">
      <c r="A769" t="s">
        <v>338</v>
      </c>
      <c r="B769" t="s">
        <v>31</v>
      </c>
      <c r="C769" t="s">
        <v>32</v>
      </c>
      <c r="D769" t="s">
        <v>33</v>
      </c>
      <c r="E769" s="2">
        <v>46129</v>
      </c>
      <c r="F769" t="s">
        <v>34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tr">
        <f t="shared" si="387"/>
        <v/>
      </c>
      <c r="T769" t="str">
        <f t="shared" si="388"/>
        <v/>
      </c>
      <c r="U769" t="str">
        <f t="shared" si="375"/>
        <v/>
      </c>
      <c r="V769" t="str">
        <f t="shared" si="389"/>
        <v/>
      </c>
      <c r="W769" t="str">
        <f t="shared" si="376"/>
        <v/>
      </c>
      <c r="X769" t="str">
        <f t="shared" si="390"/>
        <v/>
      </c>
      <c r="Y769" t="str">
        <f t="shared" si="377"/>
        <v/>
      </c>
      <c r="Z769" t="str">
        <f t="shared" si="391"/>
        <v/>
      </c>
      <c r="AA769" t="str">
        <f t="shared" si="392"/>
        <v/>
      </c>
      <c r="AB769" t="str">
        <f t="shared" si="393"/>
        <v/>
      </c>
      <c r="AC769" t="str">
        <f t="shared" si="394"/>
        <v/>
      </c>
      <c r="AD769" t="str">
        <f t="shared" si="395"/>
        <v/>
      </c>
    </row>
    <row r="770" spans="1:30">
      <c r="A770" t="s">
        <v>338</v>
      </c>
      <c r="B770" t="s">
        <v>31</v>
      </c>
      <c r="C770" t="s">
        <v>32</v>
      </c>
      <c r="D770" t="s">
        <v>33</v>
      </c>
      <c r="E770" s="2">
        <v>46129</v>
      </c>
      <c r="F770" t="s">
        <v>34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tr">
        <f t="shared" si="387"/>
        <v/>
      </c>
      <c r="T770" t="str">
        <f t="shared" si="388"/>
        <v/>
      </c>
      <c r="U770" t="str">
        <f t="shared" ref="U770:U833" si="396">IF(OR(I770=0,I770=""),"",ABS((I770--1957.8)/1))</f>
        <v/>
      </c>
      <c r="V770" t="str">
        <f t="shared" si="389"/>
        <v/>
      </c>
      <c r="W770" t="str">
        <f t="shared" ref="W770:W833" si="397">IF(OR(K770=0,K770=""),"",ABS((K770-0)/1))</f>
        <v/>
      </c>
      <c r="X770" t="str">
        <f t="shared" si="390"/>
        <v/>
      </c>
      <c r="Y770" t="str">
        <f t="shared" ref="Y770:Y833" si="398">IF(OR(M770=0,M770=""),"",ABS((M770-0)/1))</f>
        <v/>
      </c>
      <c r="Z770" t="str">
        <f t="shared" si="391"/>
        <v/>
      </c>
      <c r="AA770" t="str">
        <f t="shared" si="392"/>
        <v/>
      </c>
      <c r="AB770" t="str">
        <f t="shared" si="393"/>
        <v/>
      </c>
      <c r="AC770" t="str">
        <f t="shared" si="394"/>
        <v/>
      </c>
      <c r="AD770" t="str">
        <f t="shared" si="395"/>
        <v/>
      </c>
    </row>
    <row r="771" spans="1:30">
      <c r="A771" t="s">
        <v>338</v>
      </c>
      <c r="B771" t="s">
        <v>31</v>
      </c>
      <c r="C771" t="s">
        <v>32</v>
      </c>
      <c r="D771" t="s">
        <v>33</v>
      </c>
      <c r="E771" s="2">
        <v>46130</v>
      </c>
      <c r="F771" t="s">
        <v>34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tr">
        <f t="shared" si="387"/>
        <v/>
      </c>
      <c r="T771" t="str">
        <f t="shared" si="388"/>
        <v/>
      </c>
      <c r="U771" t="str">
        <f t="shared" si="396"/>
        <v/>
      </c>
      <c r="V771" t="str">
        <f t="shared" si="389"/>
        <v/>
      </c>
      <c r="W771" t="str">
        <f t="shared" si="397"/>
        <v/>
      </c>
      <c r="X771" t="str">
        <f t="shared" si="390"/>
        <v/>
      </c>
      <c r="Y771" t="str">
        <f t="shared" si="398"/>
        <v/>
      </c>
      <c r="Z771" t="str">
        <f t="shared" si="391"/>
        <v/>
      </c>
      <c r="AA771" t="str">
        <f t="shared" si="392"/>
        <v/>
      </c>
      <c r="AB771" t="str">
        <f t="shared" si="393"/>
        <v/>
      </c>
      <c r="AC771" t="str">
        <f t="shared" si="394"/>
        <v/>
      </c>
      <c r="AD771" t="str">
        <f t="shared" si="395"/>
        <v/>
      </c>
    </row>
    <row r="772" spans="1:30">
      <c r="A772" t="s">
        <v>338</v>
      </c>
      <c r="B772" t="s">
        <v>31</v>
      </c>
      <c r="C772" t="s">
        <v>32</v>
      </c>
      <c r="D772" t="s">
        <v>33</v>
      </c>
      <c r="E772" s="2">
        <v>46130</v>
      </c>
      <c r="F772" t="s">
        <v>34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tr">
        <f t="shared" si="387"/>
        <v/>
      </c>
      <c r="T772" t="str">
        <f t="shared" si="388"/>
        <v/>
      </c>
      <c r="U772" t="str">
        <f t="shared" si="396"/>
        <v/>
      </c>
      <c r="V772" t="str">
        <f t="shared" si="389"/>
        <v/>
      </c>
      <c r="W772" t="str">
        <f t="shared" si="397"/>
        <v/>
      </c>
      <c r="X772" t="str">
        <f t="shared" si="390"/>
        <v/>
      </c>
      <c r="Y772" t="str">
        <f t="shared" si="398"/>
        <v/>
      </c>
      <c r="Z772" t="str">
        <f t="shared" si="391"/>
        <v/>
      </c>
      <c r="AA772" t="str">
        <f t="shared" si="392"/>
        <v/>
      </c>
      <c r="AB772" t="str">
        <f t="shared" si="393"/>
        <v/>
      </c>
      <c r="AC772" t="str">
        <f t="shared" si="394"/>
        <v/>
      </c>
      <c r="AD772" t="str">
        <f t="shared" si="395"/>
        <v/>
      </c>
    </row>
    <row r="773" spans="1:30">
      <c r="A773" t="s">
        <v>344</v>
      </c>
      <c r="B773" t="s">
        <v>31</v>
      </c>
      <c r="C773" t="s">
        <v>32</v>
      </c>
      <c r="D773" t="s">
        <v>33</v>
      </c>
      <c r="E773" s="2">
        <v>46130</v>
      </c>
      <c r="F773" t="s">
        <v>34</v>
      </c>
      <c r="G773">
        <v>73.5</v>
      </c>
      <c r="H773">
        <v>71.2</v>
      </c>
      <c r="I773">
        <v>-1957.8</v>
      </c>
      <c r="J773">
        <v>71.7</v>
      </c>
      <c r="K773">
        <v>0</v>
      </c>
      <c r="L773">
        <v>1.4</v>
      </c>
      <c r="M773">
        <v>0</v>
      </c>
      <c r="N773">
        <v>70.3</v>
      </c>
      <c r="O773">
        <v>117.88</v>
      </c>
      <c r="P773">
        <v>112.82</v>
      </c>
      <c r="Q773">
        <v>0</v>
      </c>
      <c r="R773">
        <v>0</v>
      </c>
      <c r="S773">
        <f t="shared" si="387"/>
        <v>13.830317035475263</v>
      </c>
      <c r="T773">
        <f t="shared" si="388"/>
        <v>5.0077891826876781</v>
      </c>
      <c r="U773">
        <f t="shared" si="396"/>
        <v>0</v>
      </c>
      <c r="V773">
        <f t="shared" si="389"/>
        <v>1.0342381265570906</v>
      </c>
      <c r="W773" t="str">
        <f t="shared" si="397"/>
        <v/>
      </c>
      <c r="X773">
        <f t="shared" si="390"/>
        <v>0.32280126809682852</v>
      </c>
      <c r="Y773" t="str">
        <f t="shared" si="398"/>
        <v/>
      </c>
      <c r="Z773">
        <f t="shared" si="391"/>
        <v>0.42420766573700058</v>
      </c>
      <c r="AA773">
        <f t="shared" si="392"/>
        <v>2.7058457783048673</v>
      </c>
      <c r="AB773">
        <f t="shared" si="393"/>
        <v>1.1825895728052185</v>
      </c>
      <c r="AC773" t="str">
        <f t="shared" si="394"/>
        <v/>
      </c>
      <c r="AD773" t="str">
        <f t="shared" si="395"/>
        <v/>
      </c>
    </row>
    <row r="774" spans="1:30">
      <c r="A774" t="s">
        <v>344</v>
      </c>
      <c r="B774" t="s">
        <v>31</v>
      </c>
      <c r="C774" t="s">
        <v>32</v>
      </c>
      <c r="D774" t="s">
        <v>33</v>
      </c>
      <c r="E774" s="2">
        <v>46130</v>
      </c>
      <c r="F774" t="s">
        <v>34</v>
      </c>
      <c r="G774">
        <v>126.3</v>
      </c>
      <c r="H774">
        <v>77</v>
      </c>
      <c r="I774">
        <v>-1957.8</v>
      </c>
      <c r="J774">
        <v>72.2</v>
      </c>
      <c r="K774">
        <v>0</v>
      </c>
      <c r="L774">
        <v>0.3</v>
      </c>
      <c r="M774">
        <v>0</v>
      </c>
      <c r="N774">
        <v>71.900000000000006</v>
      </c>
      <c r="O774">
        <v>112.67</v>
      </c>
      <c r="P774">
        <v>117.29</v>
      </c>
      <c r="Q774">
        <v>4.76</v>
      </c>
      <c r="R774">
        <v>4.83</v>
      </c>
      <c r="S774">
        <f t="shared" si="387"/>
        <v>4.6148290814968513</v>
      </c>
      <c r="T774">
        <f t="shared" si="388"/>
        <v>3.8564241898608809</v>
      </c>
      <c r="U774">
        <f t="shared" si="396"/>
        <v>0</v>
      </c>
      <c r="V774">
        <f t="shared" si="389"/>
        <v>1.2591693201049843</v>
      </c>
      <c r="W774" t="str">
        <f t="shared" si="397"/>
        <v/>
      </c>
      <c r="X774">
        <f t="shared" si="390"/>
        <v>1.1123114057658643</v>
      </c>
      <c r="Y774" t="str">
        <f t="shared" si="398"/>
        <v/>
      </c>
      <c r="Z774">
        <f t="shared" si="391"/>
        <v>1.059241951634996</v>
      </c>
      <c r="AA774">
        <f t="shared" si="392"/>
        <v>0.29361305253946801</v>
      </c>
      <c r="AB774">
        <f t="shared" si="393"/>
        <v>1.5344086243722721</v>
      </c>
      <c r="AC774">
        <f t="shared" si="394"/>
        <v>5.8928713867380482</v>
      </c>
      <c r="AD774">
        <f t="shared" si="395"/>
        <v>7.7171975637514221</v>
      </c>
    </row>
    <row r="775" spans="1:30">
      <c r="A775" t="s">
        <v>344</v>
      </c>
      <c r="B775" t="s">
        <v>31</v>
      </c>
      <c r="C775" t="s">
        <v>32</v>
      </c>
      <c r="D775" t="s">
        <v>33</v>
      </c>
      <c r="E775" s="2">
        <v>46130</v>
      </c>
      <c r="F775" t="s">
        <v>34</v>
      </c>
      <c r="G775">
        <v>128.5</v>
      </c>
      <c r="H775">
        <v>78.900000000000006</v>
      </c>
      <c r="I775">
        <v>-1957.8</v>
      </c>
      <c r="J775">
        <v>72.599999999999994</v>
      </c>
      <c r="K775">
        <v>0</v>
      </c>
      <c r="L775">
        <v>1.1000000000000001</v>
      </c>
      <c r="M775">
        <v>0</v>
      </c>
      <c r="N775">
        <v>71.5</v>
      </c>
      <c r="O775">
        <v>115.6</v>
      </c>
      <c r="P775">
        <v>117</v>
      </c>
      <c r="Q775">
        <v>4.93</v>
      </c>
      <c r="R775">
        <v>4.9800000000000004</v>
      </c>
      <c r="S775">
        <f t="shared" si="387"/>
        <v>4.2308504167477503</v>
      </c>
      <c r="T775">
        <f t="shared" si="388"/>
        <v>3.4792528991072738</v>
      </c>
      <c r="U775">
        <f t="shared" si="396"/>
        <v>0</v>
      </c>
      <c r="V775">
        <f t="shared" si="389"/>
        <v>1.4391142749432955</v>
      </c>
      <c r="W775" t="str">
        <f t="shared" si="397"/>
        <v/>
      </c>
      <c r="X775">
        <f t="shared" si="390"/>
        <v>0.53812221473383814</v>
      </c>
      <c r="Y775" t="str">
        <f t="shared" si="398"/>
        <v/>
      </c>
      <c r="Z775">
        <f t="shared" si="391"/>
        <v>0.90048338016049578</v>
      </c>
      <c r="AA775">
        <f t="shared" si="392"/>
        <v>1.3932227198931406</v>
      </c>
      <c r="AB775">
        <f t="shared" si="393"/>
        <v>1.3581380478216039</v>
      </c>
      <c r="AC775">
        <f t="shared" si="394"/>
        <v>5.5874620483983977</v>
      </c>
      <c r="AD775">
        <f t="shared" si="395"/>
        <v>7.3420052777048221</v>
      </c>
    </row>
    <row r="776" spans="1:30">
      <c r="A776" t="s">
        <v>344</v>
      </c>
      <c r="B776" t="s">
        <v>31</v>
      </c>
      <c r="C776" t="s">
        <v>32</v>
      </c>
      <c r="D776" t="s">
        <v>33</v>
      </c>
      <c r="E776" s="2">
        <v>46130</v>
      </c>
      <c r="F776" t="s">
        <v>34</v>
      </c>
      <c r="G776">
        <v>120.4</v>
      </c>
      <c r="H776">
        <v>77.900000000000006</v>
      </c>
      <c r="I776">
        <v>-1957.8</v>
      </c>
      <c r="J776">
        <v>71.3</v>
      </c>
      <c r="K776">
        <v>0</v>
      </c>
      <c r="L776">
        <v>0.9</v>
      </c>
      <c r="M776">
        <v>0</v>
      </c>
      <c r="N776">
        <v>70.400000000000006</v>
      </c>
      <c r="O776">
        <v>115.75</v>
      </c>
      <c r="P776">
        <v>117.29</v>
      </c>
      <c r="Q776">
        <v>4.91</v>
      </c>
      <c r="R776">
        <v>4.96</v>
      </c>
      <c r="S776">
        <f t="shared" si="387"/>
        <v>5.6445900460512561</v>
      </c>
      <c r="T776">
        <f t="shared" si="388"/>
        <v>3.6777641047670664</v>
      </c>
      <c r="U776">
        <f t="shared" si="396"/>
        <v>0</v>
      </c>
      <c r="V776">
        <f t="shared" si="389"/>
        <v>0.85429317171877306</v>
      </c>
      <c r="W776" t="str">
        <f t="shared" si="397"/>
        <v/>
      </c>
      <c r="X776">
        <f t="shared" si="390"/>
        <v>0.68166951249184471</v>
      </c>
      <c r="Y776" t="str">
        <f t="shared" si="398"/>
        <v/>
      </c>
      <c r="Z776">
        <f t="shared" si="391"/>
        <v>0.46389730860562844</v>
      </c>
      <c r="AA776">
        <f t="shared" si="392"/>
        <v>1.4795795000518102</v>
      </c>
      <c r="AB776">
        <f t="shared" si="393"/>
        <v>1.5344086243722721</v>
      </c>
      <c r="AC776">
        <f t="shared" si="394"/>
        <v>5.6233925587912967</v>
      </c>
      <c r="AD776">
        <f t="shared" si="395"/>
        <v>7.3920309158443693</v>
      </c>
    </row>
    <row r="777" spans="1:30">
      <c r="A777" t="s">
        <v>560</v>
      </c>
      <c r="B777" t="s">
        <v>31</v>
      </c>
      <c r="C777" t="s">
        <v>32</v>
      </c>
      <c r="D777" t="s">
        <v>33</v>
      </c>
      <c r="E777" s="2">
        <v>46130</v>
      </c>
      <c r="F777" t="s">
        <v>34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tr">
        <f t="shared" si="387"/>
        <v/>
      </c>
      <c r="T777" t="str">
        <f t="shared" si="388"/>
        <v/>
      </c>
      <c r="U777" t="str">
        <f t="shared" si="396"/>
        <v/>
      </c>
      <c r="V777" t="str">
        <f t="shared" si="389"/>
        <v/>
      </c>
      <c r="W777" t="str">
        <f t="shared" si="397"/>
        <v/>
      </c>
      <c r="X777" t="str">
        <f t="shared" si="390"/>
        <v/>
      </c>
      <c r="Y777" t="str">
        <f t="shared" si="398"/>
        <v/>
      </c>
      <c r="Z777" t="str">
        <f t="shared" si="391"/>
        <v/>
      </c>
      <c r="AA777" t="str">
        <f t="shared" si="392"/>
        <v/>
      </c>
      <c r="AB777" t="str">
        <f t="shared" si="393"/>
        <v/>
      </c>
      <c r="AC777" t="str">
        <f t="shared" si="394"/>
        <v/>
      </c>
      <c r="AD777" t="str">
        <f t="shared" si="395"/>
        <v/>
      </c>
    </row>
    <row r="778" spans="1:30">
      <c r="A778" t="s">
        <v>560</v>
      </c>
      <c r="B778" t="s">
        <v>31</v>
      </c>
      <c r="C778" t="s">
        <v>32</v>
      </c>
      <c r="D778" t="s">
        <v>33</v>
      </c>
      <c r="E778" s="2">
        <v>46130</v>
      </c>
      <c r="F778" t="s">
        <v>34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tr">
        <f t="shared" si="387"/>
        <v/>
      </c>
      <c r="T778" t="str">
        <f t="shared" si="388"/>
        <v/>
      </c>
      <c r="U778" t="str">
        <f t="shared" si="396"/>
        <v/>
      </c>
      <c r="V778" t="str">
        <f t="shared" si="389"/>
        <v/>
      </c>
      <c r="W778" t="str">
        <f t="shared" si="397"/>
        <v/>
      </c>
      <c r="X778" t="str">
        <f t="shared" si="390"/>
        <v/>
      </c>
      <c r="Y778" t="str">
        <f t="shared" si="398"/>
        <v/>
      </c>
      <c r="Z778" t="str">
        <f t="shared" si="391"/>
        <v/>
      </c>
      <c r="AA778" t="str">
        <f t="shared" si="392"/>
        <v/>
      </c>
      <c r="AB778" t="str">
        <f t="shared" si="393"/>
        <v/>
      </c>
      <c r="AC778" t="str">
        <f t="shared" si="394"/>
        <v/>
      </c>
      <c r="AD778" t="str">
        <f t="shared" si="395"/>
        <v/>
      </c>
    </row>
    <row r="779" spans="1:30">
      <c r="A779" t="s">
        <v>560</v>
      </c>
      <c r="B779" t="s">
        <v>31</v>
      </c>
      <c r="C779" t="s">
        <v>32</v>
      </c>
      <c r="D779" t="s">
        <v>33</v>
      </c>
      <c r="E779" s="2">
        <v>46130</v>
      </c>
      <c r="F779" t="s">
        <v>34</v>
      </c>
      <c r="G779">
        <v>126.7</v>
      </c>
      <c r="H779">
        <v>82.9</v>
      </c>
      <c r="I779">
        <v>-1957.8</v>
      </c>
      <c r="J779">
        <v>71.7</v>
      </c>
      <c r="K779">
        <v>0</v>
      </c>
      <c r="L779">
        <v>0.6</v>
      </c>
      <c r="M779">
        <v>0</v>
      </c>
      <c r="N779">
        <v>71.099999999999994</v>
      </c>
      <c r="O779">
        <v>114.72</v>
      </c>
      <c r="P779">
        <v>114.8</v>
      </c>
      <c r="Q779">
        <v>7.08</v>
      </c>
      <c r="R779">
        <v>7.28</v>
      </c>
      <c r="S779">
        <f t="shared" si="387"/>
        <v>4.5450147788151956</v>
      </c>
      <c r="T779">
        <f t="shared" si="388"/>
        <v>2.6852080764681028</v>
      </c>
      <c r="U779">
        <f t="shared" si="396"/>
        <v>0</v>
      </c>
      <c r="V779">
        <f t="shared" si="389"/>
        <v>1.0342381265570906</v>
      </c>
      <c r="W779" t="str">
        <f t="shared" si="397"/>
        <v/>
      </c>
      <c r="X779">
        <f t="shared" si="390"/>
        <v>0.89699045912885444</v>
      </c>
      <c r="Y779" t="str">
        <f t="shared" si="398"/>
        <v/>
      </c>
      <c r="Z779">
        <f t="shared" si="391"/>
        <v>0.74172480868599544</v>
      </c>
      <c r="AA779">
        <f t="shared" si="392"/>
        <v>0.88659627629563498</v>
      </c>
      <c r="AB779">
        <f t="shared" si="393"/>
        <v>2.0912984333803078E-2</v>
      </c>
      <c r="AC779">
        <f t="shared" si="394"/>
        <v>1.7249321811616325</v>
      </c>
      <c r="AD779">
        <f t="shared" si="395"/>
        <v>1.5890568916569729</v>
      </c>
    </row>
    <row r="780" spans="1:30">
      <c r="A780" t="s">
        <v>560</v>
      </c>
      <c r="B780" t="s">
        <v>31</v>
      </c>
      <c r="C780" t="s">
        <v>32</v>
      </c>
      <c r="D780" t="s">
        <v>33</v>
      </c>
      <c r="E780" s="2">
        <v>46130</v>
      </c>
      <c r="F780" t="s">
        <v>34</v>
      </c>
      <c r="G780">
        <v>166.9</v>
      </c>
      <c r="H780">
        <v>87.4</v>
      </c>
      <c r="I780">
        <v>-1957.8</v>
      </c>
      <c r="J780">
        <v>72.2</v>
      </c>
      <c r="K780">
        <v>0</v>
      </c>
      <c r="L780">
        <v>0.9</v>
      </c>
      <c r="M780">
        <v>0</v>
      </c>
      <c r="N780">
        <v>71.3</v>
      </c>
      <c r="O780">
        <v>114.87</v>
      </c>
      <c r="P780">
        <v>114.58</v>
      </c>
      <c r="Q780">
        <v>7.18</v>
      </c>
      <c r="R780">
        <v>7.47</v>
      </c>
      <c r="S780">
        <f t="shared" si="387"/>
        <v>2.4713226406910946</v>
      </c>
      <c r="T780">
        <f t="shared" si="388"/>
        <v>1.7919076509990359</v>
      </c>
      <c r="U780">
        <f t="shared" si="396"/>
        <v>0</v>
      </c>
      <c r="V780">
        <f t="shared" si="389"/>
        <v>1.2591693201049843</v>
      </c>
      <c r="W780" t="str">
        <f t="shared" si="397"/>
        <v/>
      </c>
      <c r="X780">
        <f t="shared" si="390"/>
        <v>0.68166951249184471</v>
      </c>
      <c r="Y780" t="str">
        <f t="shared" si="398"/>
        <v/>
      </c>
      <c r="Z780">
        <f t="shared" si="391"/>
        <v>0.82110409442324561</v>
      </c>
      <c r="AA780">
        <f t="shared" si="392"/>
        <v>0.97295305645430441</v>
      </c>
      <c r="AB780">
        <f t="shared" si="393"/>
        <v>0.11280952201497614</v>
      </c>
      <c r="AC780">
        <f t="shared" si="394"/>
        <v>1.5452796291971325</v>
      </c>
      <c r="AD780">
        <f t="shared" si="395"/>
        <v>1.1138133293312824</v>
      </c>
    </row>
    <row r="781" spans="1:30">
      <c r="A781" t="s">
        <v>561</v>
      </c>
      <c r="B781" t="s">
        <v>31</v>
      </c>
      <c r="C781" t="s">
        <v>32</v>
      </c>
      <c r="D781" t="s">
        <v>33</v>
      </c>
      <c r="E781" s="2">
        <v>46130</v>
      </c>
      <c r="F781" t="s">
        <v>40</v>
      </c>
      <c r="G781">
        <v>161.1</v>
      </c>
      <c r="H781">
        <v>101</v>
      </c>
      <c r="I781">
        <v>-1957.8</v>
      </c>
      <c r="J781">
        <v>72.2</v>
      </c>
      <c r="K781">
        <v>0</v>
      </c>
      <c r="L781">
        <v>2.1</v>
      </c>
      <c r="M781">
        <v>0</v>
      </c>
      <c r="N781">
        <v>70.099999999999994</v>
      </c>
      <c r="O781">
        <v>114.65</v>
      </c>
      <c r="P781">
        <v>114.58</v>
      </c>
      <c r="Q781">
        <v>7.84</v>
      </c>
      <c r="R781">
        <v>7.79</v>
      </c>
      <c r="S781">
        <f t="shared" si="387"/>
        <v>1.4590152518071007</v>
      </c>
      <c r="T781">
        <f t="shared" si="388"/>
        <v>0.90784474597414333</v>
      </c>
      <c r="U781">
        <f t="shared" si="396"/>
        <v>0</v>
      </c>
      <c r="V781">
        <f t="shared" si="389"/>
        <v>1.2591693201049843</v>
      </c>
      <c r="W781" t="str">
        <f t="shared" si="397"/>
        <v/>
      </c>
      <c r="X781">
        <f t="shared" si="390"/>
        <v>0.17961427405619446</v>
      </c>
      <c r="Y781" t="str">
        <f t="shared" si="398"/>
        <v/>
      </c>
      <c r="Z781">
        <f t="shared" si="391"/>
        <v>0.34482837999975047</v>
      </c>
      <c r="AA781">
        <f t="shared" si="392"/>
        <v>0.846296445554928</v>
      </c>
      <c r="AB781">
        <f t="shared" si="393"/>
        <v>0.11280952201497614</v>
      </c>
      <c r="AC781">
        <f t="shared" si="394"/>
        <v>0.35957278623142791</v>
      </c>
      <c r="AD781">
        <f t="shared" si="395"/>
        <v>0.31340311909853741</v>
      </c>
    </row>
    <row r="782" spans="1:30">
      <c r="A782" t="s">
        <v>560</v>
      </c>
      <c r="B782" t="s">
        <v>31</v>
      </c>
      <c r="C782" t="s">
        <v>32</v>
      </c>
      <c r="D782" t="s">
        <v>33</v>
      </c>
      <c r="E782" s="2">
        <v>46130</v>
      </c>
      <c r="F782" t="s">
        <v>40</v>
      </c>
      <c r="G782">
        <v>145</v>
      </c>
      <c r="H782">
        <v>101</v>
      </c>
      <c r="I782">
        <v>-1957.8</v>
      </c>
      <c r="J782">
        <v>72.2</v>
      </c>
      <c r="K782">
        <v>0</v>
      </c>
      <c r="L782">
        <v>0.6</v>
      </c>
      <c r="M782">
        <v>0</v>
      </c>
      <c r="N782">
        <v>71.599999999999994</v>
      </c>
      <c r="O782">
        <v>114.8</v>
      </c>
      <c r="P782">
        <v>114.65</v>
      </c>
      <c r="Q782">
        <v>7.03</v>
      </c>
      <c r="R782">
        <v>7.4</v>
      </c>
      <c r="S782">
        <f t="shared" si="387"/>
        <v>1.351010431129497</v>
      </c>
      <c r="T782">
        <f t="shared" si="388"/>
        <v>0.90784474597414333</v>
      </c>
      <c r="U782">
        <f t="shared" si="396"/>
        <v>0</v>
      </c>
      <c r="V782">
        <f t="shared" si="389"/>
        <v>1.2591693201049843</v>
      </c>
      <c r="W782" t="str">
        <f t="shared" si="397"/>
        <v/>
      </c>
      <c r="X782">
        <f t="shared" si="390"/>
        <v>0.89699045912885444</v>
      </c>
      <c r="Y782" t="str">
        <f t="shared" si="398"/>
        <v/>
      </c>
      <c r="Z782">
        <f t="shared" si="391"/>
        <v>0.94017302302911798</v>
      </c>
      <c r="AA782">
        <f t="shared" si="392"/>
        <v>0.93265322571358933</v>
      </c>
      <c r="AB782">
        <f t="shared" si="393"/>
        <v>7.0261451813087128E-2</v>
      </c>
      <c r="AC782">
        <f t="shared" si="394"/>
        <v>1.8147584571438826</v>
      </c>
      <c r="AD782">
        <f t="shared" si="395"/>
        <v>1.2889030628196936</v>
      </c>
    </row>
    <row r="783" spans="1:30">
      <c r="A783" t="s">
        <v>562</v>
      </c>
      <c r="B783" t="s">
        <v>31</v>
      </c>
      <c r="C783" t="s">
        <v>32</v>
      </c>
      <c r="D783" t="s">
        <v>33</v>
      </c>
      <c r="E783" s="2">
        <v>46130</v>
      </c>
      <c r="F783" t="s">
        <v>34</v>
      </c>
      <c r="G783">
        <v>90.1</v>
      </c>
      <c r="H783">
        <v>101.4</v>
      </c>
      <c r="I783">
        <v>-1957.8</v>
      </c>
      <c r="J783">
        <v>72.599999999999994</v>
      </c>
      <c r="K783">
        <v>0</v>
      </c>
      <c r="L783">
        <v>1.6</v>
      </c>
      <c r="M783">
        <v>0</v>
      </c>
      <c r="N783">
        <v>71</v>
      </c>
      <c r="O783">
        <v>111.64</v>
      </c>
      <c r="P783">
        <v>113.18</v>
      </c>
      <c r="Q783">
        <v>8.1999999999999993</v>
      </c>
      <c r="R783">
        <v>8.0299999999999994</v>
      </c>
      <c r="S783">
        <f t="shared" si="387"/>
        <v>10.933023474186596</v>
      </c>
      <c r="T783">
        <f t="shared" si="388"/>
        <v>0.98724922823806149</v>
      </c>
      <c r="U783">
        <f t="shared" si="396"/>
        <v>0</v>
      </c>
      <c r="V783">
        <f t="shared" si="389"/>
        <v>1.4391142749432955</v>
      </c>
      <c r="W783" t="str">
        <f t="shared" si="397"/>
        <v/>
      </c>
      <c r="X783">
        <f t="shared" si="390"/>
        <v>0.17925397033882184</v>
      </c>
      <c r="Y783" t="str">
        <f t="shared" si="398"/>
        <v/>
      </c>
      <c r="Z783">
        <f t="shared" si="391"/>
        <v>0.70203516581737324</v>
      </c>
      <c r="AA783">
        <f t="shared" si="392"/>
        <v>0.88659627629564319</v>
      </c>
      <c r="AB783">
        <f t="shared" si="393"/>
        <v>0.96377092605266124</v>
      </c>
      <c r="AC783">
        <f t="shared" si="394"/>
        <v>0.2871764008407735</v>
      </c>
      <c r="AD783">
        <f t="shared" si="395"/>
        <v>0.28690453857601911</v>
      </c>
    </row>
    <row r="784" spans="1:30">
      <c r="A784" t="s">
        <v>562</v>
      </c>
      <c r="B784" t="s">
        <v>31</v>
      </c>
      <c r="C784" t="s">
        <v>32</v>
      </c>
      <c r="D784" t="s">
        <v>33</v>
      </c>
      <c r="E784" s="2">
        <v>46130</v>
      </c>
      <c r="F784" t="s">
        <v>40</v>
      </c>
      <c r="G784">
        <v>162.9</v>
      </c>
      <c r="H784">
        <v>101.9</v>
      </c>
      <c r="I784">
        <v>-1957.8</v>
      </c>
      <c r="J784">
        <v>72.599999999999994</v>
      </c>
      <c r="K784">
        <v>0</v>
      </c>
      <c r="L784">
        <v>1.3</v>
      </c>
      <c r="M784">
        <v>0</v>
      </c>
      <c r="N784">
        <v>71.3</v>
      </c>
      <c r="O784">
        <v>111.79</v>
      </c>
      <c r="P784">
        <v>113.4</v>
      </c>
      <c r="Q784">
        <v>7.93</v>
      </c>
      <c r="R784">
        <v>7.98</v>
      </c>
      <c r="S784">
        <f t="shared" si="387"/>
        <v>1.7731796138745486</v>
      </c>
      <c r="T784">
        <f t="shared" si="388"/>
        <v>1.0865048310679579</v>
      </c>
      <c r="U784">
        <f t="shared" si="396"/>
        <v>0</v>
      </c>
      <c r="V784">
        <f t="shared" si="389"/>
        <v>1.4391142749432955</v>
      </c>
      <c r="W784" t="str">
        <f t="shared" si="397"/>
        <v/>
      </c>
      <c r="X784">
        <f t="shared" si="390"/>
        <v>0.39457491697583169</v>
      </c>
      <c r="Y784" t="str">
        <f t="shared" si="398"/>
        <v/>
      </c>
      <c r="Z784">
        <f t="shared" si="391"/>
        <v>0.82110409442324561</v>
      </c>
      <c r="AA784">
        <f t="shared" si="392"/>
        <v>0.80023949613697376</v>
      </c>
      <c r="AB784">
        <f t="shared" si="393"/>
        <v>0.8300484197038821</v>
      </c>
      <c r="AC784">
        <f t="shared" si="394"/>
        <v>0.19788548946337753</v>
      </c>
      <c r="AD784">
        <f t="shared" si="395"/>
        <v>0.16184044322715546</v>
      </c>
    </row>
    <row r="785" spans="1:30">
      <c r="A785" t="s">
        <v>563</v>
      </c>
      <c r="B785" t="s">
        <v>31</v>
      </c>
      <c r="C785" t="s">
        <v>32</v>
      </c>
      <c r="D785" t="s">
        <v>33</v>
      </c>
      <c r="E785" s="2">
        <v>46130</v>
      </c>
      <c r="F785" t="s">
        <v>40</v>
      </c>
      <c r="G785">
        <v>159.69999999999999</v>
      </c>
      <c r="H785">
        <v>100.1</v>
      </c>
      <c r="I785">
        <v>-1957.8</v>
      </c>
      <c r="J785">
        <v>71.7</v>
      </c>
      <c r="K785">
        <v>0</v>
      </c>
      <c r="L785">
        <v>1.6</v>
      </c>
      <c r="M785">
        <v>0</v>
      </c>
      <c r="N785">
        <v>70.099999999999994</v>
      </c>
      <c r="O785">
        <v>111.5</v>
      </c>
      <c r="P785">
        <v>112.96</v>
      </c>
      <c r="Q785">
        <v>8.33</v>
      </c>
      <c r="R785">
        <v>8.01</v>
      </c>
      <c r="S785">
        <f t="shared" si="387"/>
        <v>1.2146651924213085</v>
      </c>
      <c r="T785">
        <f t="shared" si="388"/>
        <v>0.72918466088032874</v>
      </c>
      <c r="U785">
        <f t="shared" si="396"/>
        <v>0</v>
      </c>
      <c r="V785">
        <f t="shared" si="389"/>
        <v>1.0342381265570906</v>
      </c>
      <c r="W785" t="str">
        <f t="shared" si="397"/>
        <v/>
      </c>
      <c r="X785">
        <f t="shared" si="390"/>
        <v>0.17925397033882184</v>
      </c>
      <c r="Y785" t="str">
        <f t="shared" si="398"/>
        <v/>
      </c>
      <c r="Z785">
        <f t="shared" si="391"/>
        <v>0.34482837999975047</v>
      </c>
      <c r="AA785">
        <f t="shared" si="392"/>
        <v>0.96719593777706525</v>
      </c>
      <c r="AB785">
        <f t="shared" si="393"/>
        <v>1.0974934324014491</v>
      </c>
      <c r="AC785">
        <f t="shared" si="394"/>
        <v>0.52072471839462575</v>
      </c>
      <c r="AD785">
        <f t="shared" si="395"/>
        <v>0.23687890043647364</v>
      </c>
    </row>
    <row r="786" spans="1:30">
      <c r="A786" t="s">
        <v>564</v>
      </c>
      <c r="B786" t="s">
        <v>31</v>
      </c>
      <c r="C786" t="s">
        <v>32</v>
      </c>
      <c r="D786" t="s">
        <v>33</v>
      </c>
      <c r="E786" s="2">
        <v>46130</v>
      </c>
      <c r="F786" t="s">
        <v>34</v>
      </c>
      <c r="G786">
        <v>169.6</v>
      </c>
      <c r="H786">
        <v>98.7</v>
      </c>
      <c r="I786">
        <v>-1957.8</v>
      </c>
      <c r="J786">
        <v>71.7</v>
      </c>
      <c r="K786">
        <v>0</v>
      </c>
      <c r="L786">
        <v>1.2</v>
      </c>
      <c r="M786">
        <v>0</v>
      </c>
      <c r="N786">
        <v>70.5</v>
      </c>
      <c r="O786">
        <v>111.35</v>
      </c>
      <c r="P786">
        <v>112.96</v>
      </c>
      <c r="Q786">
        <v>8.3000000000000007</v>
      </c>
      <c r="R786">
        <v>8.0299999999999994</v>
      </c>
      <c r="S786">
        <f t="shared" si="387"/>
        <v>2.9425691837922616</v>
      </c>
      <c r="T786">
        <f t="shared" si="388"/>
        <v>0.45126897295662072</v>
      </c>
      <c r="U786">
        <f t="shared" si="396"/>
        <v>0</v>
      </c>
      <c r="V786">
        <f t="shared" si="389"/>
        <v>1.0342381265570906</v>
      </c>
      <c r="W786" t="str">
        <f t="shared" si="397"/>
        <v/>
      </c>
      <c r="X786">
        <f t="shared" si="390"/>
        <v>0.46634856585483497</v>
      </c>
      <c r="Y786" t="str">
        <f t="shared" si="398"/>
        <v/>
      </c>
      <c r="Z786">
        <f t="shared" si="391"/>
        <v>0.5035869514742507</v>
      </c>
      <c r="AA786">
        <f t="shared" si="392"/>
        <v>1.0535527179357347</v>
      </c>
      <c r="AB786">
        <f t="shared" si="393"/>
        <v>1.0974934324014491</v>
      </c>
      <c r="AC786">
        <f t="shared" si="394"/>
        <v>0.46682895280527675</v>
      </c>
      <c r="AD786">
        <f t="shared" si="395"/>
        <v>0.28690453857601911</v>
      </c>
    </row>
    <row r="787" spans="1:30">
      <c r="A787" t="s">
        <v>564</v>
      </c>
      <c r="B787" t="s">
        <v>31</v>
      </c>
      <c r="C787" t="s">
        <v>32</v>
      </c>
      <c r="D787" t="s">
        <v>33</v>
      </c>
      <c r="E787" s="2">
        <v>46130</v>
      </c>
      <c r="F787" t="s">
        <v>34</v>
      </c>
      <c r="G787">
        <v>143.69999999999999</v>
      </c>
      <c r="H787">
        <v>101.4</v>
      </c>
      <c r="I787">
        <v>-1957.8</v>
      </c>
      <c r="J787">
        <v>72.2</v>
      </c>
      <c r="K787">
        <v>0</v>
      </c>
      <c r="L787">
        <v>1.2</v>
      </c>
      <c r="M787">
        <v>0</v>
      </c>
      <c r="N787">
        <v>71</v>
      </c>
      <c r="O787">
        <v>114.94</v>
      </c>
      <c r="P787">
        <v>114.8</v>
      </c>
      <c r="Q787">
        <v>7.69</v>
      </c>
      <c r="R787">
        <v>7.76</v>
      </c>
      <c r="S787">
        <f t="shared" si="387"/>
        <v>1.5779069148448766</v>
      </c>
      <c r="T787">
        <f t="shared" si="388"/>
        <v>0.98724922823806149</v>
      </c>
      <c r="U787">
        <f t="shared" si="396"/>
        <v>0</v>
      </c>
      <c r="V787">
        <f t="shared" si="389"/>
        <v>1.2591693201049843</v>
      </c>
      <c r="W787" t="str">
        <f t="shared" si="397"/>
        <v/>
      </c>
      <c r="X787">
        <f t="shared" si="390"/>
        <v>0.46634856585483497</v>
      </c>
      <c r="Y787" t="str">
        <f t="shared" si="398"/>
        <v/>
      </c>
      <c r="Z787">
        <f t="shared" si="391"/>
        <v>0.70203516581737324</v>
      </c>
      <c r="AA787">
        <f t="shared" si="392"/>
        <v>1.0132528871950115</v>
      </c>
      <c r="AB787">
        <f t="shared" si="393"/>
        <v>2.0912984333803078E-2</v>
      </c>
      <c r="AC787">
        <f t="shared" si="394"/>
        <v>0.6290516141781779</v>
      </c>
      <c r="AD787">
        <f t="shared" si="395"/>
        <v>0.38844157630785781</v>
      </c>
    </row>
    <row r="788" spans="1:30">
      <c r="A788" t="s">
        <v>565</v>
      </c>
      <c r="B788" t="s">
        <v>31</v>
      </c>
      <c r="C788" t="s">
        <v>32</v>
      </c>
      <c r="D788" t="s">
        <v>33</v>
      </c>
      <c r="E788" s="2">
        <v>46130</v>
      </c>
      <c r="F788" t="s">
        <v>34</v>
      </c>
      <c r="G788">
        <v>176.3</v>
      </c>
      <c r="H788">
        <v>100.5</v>
      </c>
      <c r="I788">
        <v>-1957.8</v>
      </c>
      <c r="J788">
        <v>72.599999999999994</v>
      </c>
      <c r="K788">
        <v>0</v>
      </c>
      <c r="L788">
        <v>1.7</v>
      </c>
      <c r="M788">
        <v>0</v>
      </c>
      <c r="N788">
        <v>70.900000000000006</v>
      </c>
      <c r="O788">
        <v>111.64</v>
      </c>
      <c r="P788">
        <v>113.4</v>
      </c>
      <c r="Q788">
        <v>8.5</v>
      </c>
      <c r="R788">
        <v>8.06</v>
      </c>
      <c r="S788">
        <f t="shared" si="387"/>
        <v>4.1119587537099793</v>
      </c>
      <c r="T788">
        <f t="shared" si="388"/>
        <v>0.80858914314424701</v>
      </c>
      <c r="U788">
        <f t="shared" si="396"/>
        <v>0</v>
      </c>
      <c r="V788">
        <f t="shared" si="389"/>
        <v>1.4391142749432955</v>
      </c>
      <c r="W788" t="str">
        <f t="shared" si="397"/>
        <v/>
      </c>
      <c r="X788">
        <f t="shared" si="390"/>
        <v>0.10748032145981869</v>
      </c>
      <c r="Y788" t="str">
        <f t="shared" si="398"/>
        <v/>
      </c>
      <c r="Z788">
        <f t="shared" si="391"/>
        <v>0.66234552294875104</v>
      </c>
      <c r="AA788">
        <f t="shared" si="392"/>
        <v>0.88659627629564319</v>
      </c>
      <c r="AB788">
        <f t="shared" si="393"/>
        <v>0.8300484197038821</v>
      </c>
      <c r="AC788">
        <f t="shared" si="394"/>
        <v>0.82613405673427676</v>
      </c>
      <c r="AD788">
        <f t="shared" si="395"/>
        <v>0.36194299578534173</v>
      </c>
    </row>
    <row r="789" spans="1:30">
      <c r="A789" t="s">
        <v>565</v>
      </c>
      <c r="B789" t="s">
        <v>31</v>
      </c>
      <c r="C789" t="s">
        <v>32</v>
      </c>
      <c r="D789" t="s">
        <v>33</v>
      </c>
      <c r="E789" s="2">
        <v>46130</v>
      </c>
      <c r="F789" t="s">
        <v>34</v>
      </c>
      <c r="G789">
        <v>174.5</v>
      </c>
      <c r="H789">
        <v>103.2</v>
      </c>
      <c r="I789">
        <v>-1957.8</v>
      </c>
      <c r="J789">
        <v>72.599999999999994</v>
      </c>
      <c r="K789">
        <v>0</v>
      </c>
      <c r="L789">
        <v>1.5</v>
      </c>
      <c r="M789">
        <v>0</v>
      </c>
      <c r="N789">
        <v>71.099999999999994</v>
      </c>
      <c r="O789">
        <v>112.01</v>
      </c>
      <c r="P789">
        <v>113.33</v>
      </c>
      <c r="Q789">
        <v>8.1300000000000008</v>
      </c>
      <c r="R789">
        <v>8.18</v>
      </c>
      <c r="S789">
        <f t="shared" si="387"/>
        <v>3.7977943916425319</v>
      </c>
      <c r="T789">
        <f t="shared" si="388"/>
        <v>1.3445693984256877</v>
      </c>
      <c r="U789">
        <f t="shared" si="396"/>
        <v>0</v>
      </c>
      <c r="V789">
        <f t="shared" si="389"/>
        <v>1.4391142749432955</v>
      </c>
      <c r="W789" t="str">
        <f t="shared" si="397"/>
        <v/>
      </c>
      <c r="X789">
        <f t="shared" si="390"/>
        <v>0.25102761921782518</v>
      </c>
      <c r="Y789" t="str">
        <f t="shared" si="398"/>
        <v/>
      </c>
      <c r="Z789">
        <f t="shared" si="391"/>
        <v>0.74172480868599544</v>
      </c>
      <c r="AA789">
        <f t="shared" si="392"/>
        <v>0.67358288523759724</v>
      </c>
      <c r="AB789">
        <f t="shared" si="393"/>
        <v>0.8725964899057711</v>
      </c>
      <c r="AC789">
        <f t="shared" si="394"/>
        <v>0.16141961446562572</v>
      </c>
      <c r="AD789">
        <f t="shared" si="395"/>
        <v>0.66209682462261887</v>
      </c>
    </row>
    <row r="790" spans="1:30">
      <c r="A790" t="s">
        <v>564</v>
      </c>
      <c r="B790" t="s">
        <v>31</v>
      </c>
      <c r="C790" t="s">
        <v>32</v>
      </c>
      <c r="D790" t="s">
        <v>33</v>
      </c>
      <c r="E790" s="2">
        <v>46130</v>
      </c>
      <c r="F790" t="s">
        <v>34</v>
      </c>
      <c r="G790">
        <v>173.6</v>
      </c>
      <c r="H790">
        <v>103.2</v>
      </c>
      <c r="I790">
        <v>-1957.8</v>
      </c>
      <c r="J790">
        <v>72.599999999999994</v>
      </c>
      <c r="K790">
        <v>0</v>
      </c>
      <c r="L790">
        <v>1.1000000000000001</v>
      </c>
      <c r="M790">
        <v>0</v>
      </c>
      <c r="N790">
        <v>71.5</v>
      </c>
      <c r="O790">
        <v>115.02</v>
      </c>
      <c r="P790">
        <v>115.02</v>
      </c>
      <c r="Q790">
        <v>7.57</v>
      </c>
      <c r="R790">
        <v>7.76</v>
      </c>
      <c r="S790">
        <f t="shared" si="387"/>
        <v>3.6407122106088079</v>
      </c>
      <c r="T790">
        <f t="shared" si="388"/>
        <v>1.3445693984256877</v>
      </c>
      <c r="U790">
        <f t="shared" si="396"/>
        <v>0</v>
      </c>
      <c r="V790">
        <f t="shared" si="389"/>
        <v>1.4391142749432955</v>
      </c>
      <c r="W790" t="str">
        <f t="shared" si="397"/>
        <v/>
      </c>
      <c r="X790">
        <f t="shared" si="390"/>
        <v>0.53812221473383814</v>
      </c>
      <c r="Y790" t="str">
        <f t="shared" si="398"/>
        <v/>
      </c>
      <c r="Z790">
        <f t="shared" si="391"/>
        <v>0.90048338016049578</v>
      </c>
      <c r="AA790">
        <f t="shared" si="392"/>
        <v>1.0593098366129658</v>
      </c>
      <c r="AB790">
        <f t="shared" si="393"/>
        <v>0.15463549068258228</v>
      </c>
      <c r="AC790">
        <f t="shared" si="394"/>
        <v>0.84463467653557889</v>
      </c>
      <c r="AD790">
        <f t="shared" si="395"/>
        <v>0.38844157630785781</v>
      </c>
    </row>
    <row r="791" spans="1:30">
      <c r="A791" t="s">
        <v>564</v>
      </c>
      <c r="B791" t="s">
        <v>31</v>
      </c>
      <c r="C791" t="s">
        <v>32</v>
      </c>
      <c r="D791" t="s">
        <v>33</v>
      </c>
      <c r="E791" s="2">
        <v>46130</v>
      </c>
      <c r="F791" t="s">
        <v>40</v>
      </c>
      <c r="G791">
        <v>157.1</v>
      </c>
      <c r="H791">
        <v>105.9</v>
      </c>
      <c r="I791">
        <v>-1957.8</v>
      </c>
      <c r="J791">
        <v>73.5</v>
      </c>
      <c r="K791">
        <v>0</v>
      </c>
      <c r="L791">
        <v>1.5</v>
      </c>
      <c r="M791">
        <v>0</v>
      </c>
      <c r="N791">
        <v>72</v>
      </c>
      <c r="O791">
        <v>114.8</v>
      </c>
      <c r="P791">
        <v>114.72</v>
      </c>
      <c r="Q791">
        <v>7.84</v>
      </c>
      <c r="R791">
        <v>8.0299999999999994</v>
      </c>
      <c r="S791">
        <f t="shared" si="387"/>
        <v>0.7608722249905544</v>
      </c>
      <c r="T791">
        <f t="shared" si="388"/>
        <v>1.8805496537071285</v>
      </c>
      <c r="U791">
        <f t="shared" si="396"/>
        <v>0</v>
      </c>
      <c r="V791">
        <f t="shared" si="389"/>
        <v>1.8439904233295066</v>
      </c>
      <c r="W791" t="str">
        <f t="shared" si="397"/>
        <v/>
      </c>
      <c r="X791">
        <f t="shared" si="390"/>
        <v>0.25102761921782518</v>
      </c>
      <c r="Y791" t="str">
        <f t="shared" si="398"/>
        <v/>
      </c>
      <c r="Z791">
        <f t="shared" si="391"/>
        <v>1.0989315945036182</v>
      </c>
      <c r="AA791">
        <f t="shared" si="392"/>
        <v>0.93265322571358933</v>
      </c>
      <c r="AB791">
        <f t="shared" si="393"/>
        <v>2.7713381611206761E-2</v>
      </c>
      <c r="AC791">
        <f t="shared" si="394"/>
        <v>0.35957278623142791</v>
      </c>
      <c r="AD791">
        <f t="shared" si="395"/>
        <v>0.28690453857601911</v>
      </c>
    </row>
    <row r="792" spans="1:30">
      <c r="A792" t="s">
        <v>565</v>
      </c>
      <c r="B792" t="s">
        <v>31</v>
      </c>
      <c r="C792" t="s">
        <v>32</v>
      </c>
      <c r="D792" t="s">
        <v>33</v>
      </c>
      <c r="E792" s="2">
        <v>46130</v>
      </c>
      <c r="F792" t="s">
        <v>34</v>
      </c>
      <c r="G792">
        <v>172.3</v>
      </c>
      <c r="H792">
        <v>103.2</v>
      </c>
      <c r="I792">
        <v>-1957.8</v>
      </c>
      <c r="J792">
        <v>74</v>
      </c>
      <c r="K792">
        <v>0</v>
      </c>
      <c r="L792">
        <v>2</v>
      </c>
      <c r="M792">
        <v>0</v>
      </c>
      <c r="N792">
        <v>72</v>
      </c>
      <c r="O792">
        <v>111.57</v>
      </c>
      <c r="P792">
        <v>112.96</v>
      </c>
      <c r="Q792">
        <v>7.96</v>
      </c>
      <c r="R792">
        <v>8.11</v>
      </c>
      <c r="S792">
        <f t="shared" si="387"/>
        <v>3.4138157268934335</v>
      </c>
      <c r="T792">
        <f t="shared" si="388"/>
        <v>1.3445693984256877</v>
      </c>
      <c r="U792">
        <f t="shared" si="396"/>
        <v>0</v>
      </c>
      <c r="V792">
        <f t="shared" si="389"/>
        <v>2.0689216168774003</v>
      </c>
      <c r="W792" t="str">
        <f t="shared" si="397"/>
        <v/>
      </c>
      <c r="X792">
        <f t="shared" si="390"/>
        <v>0.10784062517719113</v>
      </c>
      <c r="Y792" t="str">
        <f t="shared" si="398"/>
        <v/>
      </c>
      <c r="Z792">
        <f t="shared" si="391"/>
        <v>1.0989315945036182</v>
      </c>
      <c r="AA792">
        <f t="shared" si="392"/>
        <v>0.92689610703635827</v>
      </c>
      <c r="AB792">
        <f t="shared" si="393"/>
        <v>1.0974934324014491</v>
      </c>
      <c r="AC792">
        <f t="shared" si="394"/>
        <v>0.14398972387402689</v>
      </c>
      <c r="AD792">
        <f t="shared" si="395"/>
        <v>0.48700709113420532</v>
      </c>
    </row>
    <row r="793" spans="1:30">
      <c r="A793" t="s">
        <v>565</v>
      </c>
      <c r="B793" t="s">
        <v>31</v>
      </c>
      <c r="C793" t="s">
        <v>32</v>
      </c>
      <c r="D793" t="s">
        <v>33</v>
      </c>
      <c r="E793" s="2">
        <v>46130</v>
      </c>
      <c r="F793" t="s">
        <v>34</v>
      </c>
      <c r="G793">
        <v>182.5</v>
      </c>
      <c r="H793">
        <v>104.1</v>
      </c>
      <c r="I793">
        <v>-1957.8</v>
      </c>
      <c r="J793">
        <v>73.5</v>
      </c>
      <c r="K793">
        <v>0</v>
      </c>
      <c r="L793">
        <v>2</v>
      </c>
      <c r="M793">
        <v>0</v>
      </c>
      <c r="N793">
        <v>71.5</v>
      </c>
      <c r="O793">
        <v>111.5</v>
      </c>
      <c r="P793">
        <v>112.67</v>
      </c>
      <c r="Q793">
        <v>8.08</v>
      </c>
      <c r="R793">
        <v>8.23</v>
      </c>
      <c r="S793">
        <f t="shared" si="387"/>
        <v>5.194080445275624</v>
      </c>
      <c r="T793">
        <f t="shared" si="388"/>
        <v>1.5232294835194995</v>
      </c>
      <c r="U793">
        <f t="shared" si="396"/>
        <v>0</v>
      </c>
      <c r="V793">
        <f t="shared" si="389"/>
        <v>1.8439904233295066</v>
      </c>
      <c r="W793" t="str">
        <f t="shared" si="397"/>
        <v/>
      </c>
      <c r="X793">
        <f t="shared" si="390"/>
        <v>0.10784062517719113</v>
      </c>
      <c r="Y793" t="str">
        <f t="shared" si="398"/>
        <v/>
      </c>
      <c r="Z793">
        <f t="shared" si="391"/>
        <v>0.90048338016049578</v>
      </c>
      <c r="AA793">
        <f t="shared" si="392"/>
        <v>0.96719593777706525</v>
      </c>
      <c r="AB793">
        <f t="shared" si="393"/>
        <v>1.2737640089521087</v>
      </c>
      <c r="AC793">
        <f t="shared" si="394"/>
        <v>7.1593338483374111E-2</v>
      </c>
      <c r="AD793">
        <f t="shared" si="395"/>
        <v>0.78716091997148696</v>
      </c>
    </row>
    <row r="794" spans="1:30">
      <c r="A794" t="s">
        <v>566</v>
      </c>
      <c r="B794" t="s">
        <v>31</v>
      </c>
      <c r="C794" t="s">
        <v>32</v>
      </c>
      <c r="D794" t="s">
        <v>33</v>
      </c>
      <c r="E794" s="2">
        <v>46130</v>
      </c>
      <c r="F794" t="s">
        <v>40</v>
      </c>
      <c r="G794">
        <v>158.4</v>
      </c>
      <c r="H794">
        <v>96.9</v>
      </c>
      <c r="I794">
        <v>-1957.8</v>
      </c>
      <c r="J794">
        <v>73.099999999999994</v>
      </c>
      <c r="K794">
        <v>0</v>
      </c>
      <c r="L794">
        <v>2.4</v>
      </c>
      <c r="M794">
        <v>0</v>
      </c>
      <c r="N794">
        <v>70.7</v>
      </c>
      <c r="O794">
        <v>114.72</v>
      </c>
      <c r="P794">
        <v>114.8</v>
      </c>
      <c r="Q794">
        <v>8.06</v>
      </c>
      <c r="R794">
        <v>7.98</v>
      </c>
      <c r="S794">
        <f t="shared" si="387"/>
        <v>0.98776870870593392</v>
      </c>
      <c r="T794">
        <f t="shared" si="388"/>
        <v>9.3948802768994491E-2</v>
      </c>
      <c r="U794">
        <f t="shared" si="396"/>
        <v>0</v>
      </c>
      <c r="V794">
        <f t="shared" si="389"/>
        <v>1.6640454684911892</v>
      </c>
      <c r="W794" t="str">
        <f t="shared" si="397"/>
        <v/>
      </c>
      <c r="X794">
        <f t="shared" si="390"/>
        <v>0.39493522069320408</v>
      </c>
      <c r="Y794" t="str">
        <f t="shared" si="398"/>
        <v/>
      </c>
      <c r="Z794">
        <f t="shared" si="391"/>
        <v>0.58296623721150087</v>
      </c>
      <c r="AA794">
        <f t="shared" si="392"/>
        <v>0.88659627629563498</v>
      </c>
      <c r="AB794">
        <f t="shared" si="393"/>
        <v>2.0912984333803078E-2</v>
      </c>
      <c r="AC794">
        <f t="shared" si="394"/>
        <v>3.5662828090474739E-2</v>
      </c>
      <c r="AD794">
        <f t="shared" si="395"/>
        <v>0.16184044322715546</v>
      </c>
    </row>
    <row r="795" spans="1:30">
      <c r="A795" t="s">
        <v>565</v>
      </c>
      <c r="B795" t="s">
        <v>31</v>
      </c>
      <c r="C795" t="s">
        <v>32</v>
      </c>
      <c r="D795" t="s">
        <v>33</v>
      </c>
      <c r="E795" s="2">
        <v>46130</v>
      </c>
      <c r="F795" t="s">
        <v>40</v>
      </c>
      <c r="G795">
        <v>149.9</v>
      </c>
      <c r="H795">
        <v>105.9</v>
      </c>
      <c r="I795">
        <v>-1957.8</v>
      </c>
      <c r="J795">
        <v>73.5</v>
      </c>
      <c r="K795">
        <v>0</v>
      </c>
      <c r="L795">
        <v>1.2</v>
      </c>
      <c r="M795">
        <v>0</v>
      </c>
      <c r="N795">
        <v>72.3</v>
      </c>
      <c r="O795">
        <v>111.64</v>
      </c>
      <c r="P795">
        <v>113.26</v>
      </c>
      <c r="Q795">
        <v>7.91</v>
      </c>
      <c r="R795">
        <v>8.1999999999999993</v>
      </c>
      <c r="S795">
        <f t="shared" si="387"/>
        <v>0.49578522327922692</v>
      </c>
      <c r="T795">
        <f t="shared" si="388"/>
        <v>1.8805496537071285</v>
      </c>
      <c r="U795">
        <f t="shared" si="396"/>
        <v>0</v>
      </c>
      <c r="V795">
        <f t="shared" si="389"/>
        <v>1.8439904233295066</v>
      </c>
      <c r="W795" t="str">
        <f t="shared" si="397"/>
        <v/>
      </c>
      <c r="X795">
        <f t="shared" si="390"/>
        <v>0.46634856585483497</v>
      </c>
      <c r="Y795" t="str">
        <f t="shared" si="398"/>
        <v/>
      </c>
      <c r="Z795">
        <f t="shared" si="391"/>
        <v>1.2180005231094906</v>
      </c>
      <c r="AA795">
        <f t="shared" si="392"/>
        <v>0.88659627629564319</v>
      </c>
      <c r="AB795">
        <f t="shared" si="393"/>
        <v>0.91514456010765144</v>
      </c>
      <c r="AC795">
        <f t="shared" si="394"/>
        <v>0.23381599985627691</v>
      </c>
      <c r="AD795">
        <f t="shared" si="395"/>
        <v>0.71212246276216429</v>
      </c>
    </row>
    <row r="796" spans="1:30">
      <c r="A796" t="s">
        <v>567</v>
      </c>
      <c r="B796" t="s">
        <v>31</v>
      </c>
      <c r="C796" t="s">
        <v>32</v>
      </c>
      <c r="D796" t="s">
        <v>33</v>
      </c>
      <c r="E796" s="2">
        <v>46130</v>
      </c>
      <c r="F796" t="s">
        <v>34</v>
      </c>
      <c r="G796">
        <v>167.8</v>
      </c>
      <c r="H796">
        <v>105</v>
      </c>
      <c r="I796">
        <v>-1957.8</v>
      </c>
      <c r="J796">
        <v>73.099999999999994</v>
      </c>
      <c r="K796">
        <v>0</v>
      </c>
      <c r="L796">
        <v>1.9</v>
      </c>
      <c r="M796">
        <v>0</v>
      </c>
      <c r="N796">
        <v>71.2</v>
      </c>
      <c r="O796">
        <v>111.57</v>
      </c>
      <c r="P796">
        <v>113.26</v>
      </c>
      <c r="Q796">
        <v>8.64</v>
      </c>
      <c r="R796">
        <v>8.4700000000000006</v>
      </c>
      <c r="S796">
        <f t="shared" si="387"/>
        <v>2.6284048217248186</v>
      </c>
      <c r="T796">
        <f t="shared" si="388"/>
        <v>1.701889568613314</v>
      </c>
      <c r="U796">
        <f t="shared" si="396"/>
        <v>0</v>
      </c>
      <c r="V796">
        <f t="shared" si="389"/>
        <v>1.6640454684911892</v>
      </c>
      <c r="W796" t="str">
        <f t="shared" si="397"/>
        <v/>
      </c>
      <c r="X796">
        <f t="shared" si="390"/>
        <v>3.6066976298187801E-2</v>
      </c>
      <c r="Y796" t="str">
        <f t="shared" si="398"/>
        <v/>
      </c>
      <c r="Z796">
        <f t="shared" si="391"/>
        <v>0.78141445155462341</v>
      </c>
      <c r="AA796">
        <f t="shared" si="392"/>
        <v>0.92689610703635827</v>
      </c>
      <c r="AB796">
        <f t="shared" si="393"/>
        <v>0.91514456010765144</v>
      </c>
      <c r="AC796">
        <f t="shared" si="394"/>
        <v>1.0776476294845787</v>
      </c>
      <c r="AD796">
        <f t="shared" si="395"/>
        <v>1.3874685776460456</v>
      </c>
    </row>
    <row r="797" spans="1:30">
      <c r="A797" t="s">
        <v>567</v>
      </c>
      <c r="B797" t="s">
        <v>31</v>
      </c>
      <c r="C797" t="s">
        <v>32</v>
      </c>
      <c r="D797" t="s">
        <v>33</v>
      </c>
      <c r="E797" s="2">
        <v>46130</v>
      </c>
      <c r="F797" t="s">
        <v>40</v>
      </c>
      <c r="G797">
        <v>158.9</v>
      </c>
      <c r="H797">
        <v>101.4</v>
      </c>
      <c r="I797">
        <v>-1957.8</v>
      </c>
      <c r="J797">
        <v>73.099999999999994</v>
      </c>
      <c r="K797">
        <v>0</v>
      </c>
      <c r="L797">
        <v>1.1000000000000001</v>
      </c>
      <c r="M797">
        <v>0</v>
      </c>
      <c r="N797">
        <v>72</v>
      </c>
      <c r="O797">
        <v>111.42</v>
      </c>
      <c r="P797">
        <v>112.89</v>
      </c>
      <c r="Q797">
        <v>8.08</v>
      </c>
      <c r="R797">
        <v>8.01</v>
      </c>
      <c r="S797">
        <f t="shared" si="387"/>
        <v>1.0750365870580023</v>
      </c>
      <c r="T797">
        <f t="shared" si="388"/>
        <v>0.98724922823806149</v>
      </c>
      <c r="U797">
        <f t="shared" si="396"/>
        <v>0</v>
      </c>
      <c r="V797">
        <f t="shared" si="389"/>
        <v>1.6640454684911892</v>
      </c>
      <c r="W797" t="str">
        <f t="shared" si="397"/>
        <v/>
      </c>
      <c r="X797">
        <f t="shared" si="390"/>
        <v>0.53812221473383814</v>
      </c>
      <c r="Y797" t="str">
        <f t="shared" si="398"/>
        <v/>
      </c>
      <c r="Z797">
        <f t="shared" si="391"/>
        <v>1.0989315945036182</v>
      </c>
      <c r="AA797">
        <f t="shared" si="392"/>
        <v>1.0132528871950195</v>
      </c>
      <c r="AB797">
        <f t="shared" si="393"/>
        <v>1.1400415026033295</v>
      </c>
      <c r="AC797">
        <f t="shared" si="394"/>
        <v>7.1593338483374111E-2</v>
      </c>
      <c r="AD797">
        <f t="shared" si="395"/>
        <v>0.23687890043647364</v>
      </c>
    </row>
    <row r="798" spans="1:30">
      <c r="A798" t="s">
        <v>353</v>
      </c>
      <c r="B798" t="s">
        <v>31</v>
      </c>
      <c r="C798" t="s">
        <v>32</v>
      </c>
      <c r="D798" t="s">
        <v>33</v>
      </c>
      <c r="E798" s="2">
        <v>46132</v>
      </c>
      <c r="F798" t="s">
        <v>40</v>
      </c>
      <c r="G798">
        <v>145.9</v>
      </c>
      <c r="H798">
        <v>84.7</v>
      </c>
      <c r="I798">
        <v>-1957.8</v>
      </c>
      <c r="J798">
        <v>67.3</v>
      </c>
      <c r="K798">
        <v>0</v>
      </c>
      <c r="L798">
        <v>0.5</v>
      </c>
      <c r="M798">
        <v>0</v>
      </c>
      <c r="N798">
        <v>66.8</v>
      </c>
      <c r="O798">
        <v>115.24</v>
      </c>
      <c r="P798">
        <v>115.24</v>
      </c>
      <c r="Q798">
        <v>6.42</v>
      </c>
      <c r="R798">
        <v>6.2</v>
      </c>
      <c r="S798">
        <f t="shared" si="387"/>
        <v>1.1939282500957733</v>
      </c>
      <c r="T798">
        <f t="shared" si="388"/>
        <v>2.3278879062804765</v>
      </c>
      <c r="U798">
        <f t="shared" si="396"/>
        <v>0</v>
      </c>
      <c r="V798">
        <f t="shared" si="389"/>
        <v>0.94515637666437657</v>
      </c>
      <c r="W798" t="str">
        <f t="shared" si="397"/>
        <v/>
      </c>
      <c r="X798">
        <f t="shared" si="390"/>
        <v>0.96876410800785773</v>
      </c>
      <c r="Y798" t="str">
        <f t="shared" si="398"/>
        <v/>
      </c>
      <c r="Z798">
        <f t="shared" si="391"/>
        <v>0.96492983466485704</v>
      </c>
      <c r="AA798">
        <f t="shared" si="392"/>
        <v>1.1859664475123421</v>
      </c>
      <c r="AB798">
        <f t="shared" si="393"/>
        <v>0.2883579970313615</v>
      </c>
      <c r="AC798">
        <f t="shared" si="394"/>
        <v>2.9106390241273372</v>
      </c>
      <c r="AD798">
        <f t="shared" si="395"/>
        <v>4.2904413511924853</v>
      </c>
    </row>
    <row r="799" spans="1:30">
      <c r="A799" t="s">
        <v>364</v>
      </c>
      <c r="B799" t="s">
        <v>37</v>
      </c>
      <c r="C799" t="s">
        <v>38</v>
      </c>
      <c r="D799" t="s">
        <v>39</v>
      </c>
      <c r="E799" s="2">
        <v>46132</v>
      </c>
      <c r="F799" t="s">
        <v>40</v>
      </c>
      <c r="G799">
        <v>106.6</v>
      </c>
      <c r="H799">
        <v>77</v>
      </c>
      <c r="I799">
        <v>-1957.8</v>
      </c>
      <c r="J799">
        <v>67.3</v>
      </c>
      <c r="K799">
        <v>0</v>
      </c>
      <c r="L799">
        <v>1</v>
      </c>
      <c r="M799">
        <v>0</v>
      </c>
      <c r="N799">
        <v>66.3</v>
      </c>
      <c r="O799">
        <v>112.3</v>
      </c>
      <c r="P799">
        <v>117.07</v>
      </c>
      <c r="Q799">
        <v>3.64</v>
      </c>
      <c r="R799">
        <v>3.54</v>
      </c>
      <c r="S799">
        <f t="shared" ref="S799:S830" si="399">IF(OR(G799=0,G799=""),"",ABS((G799-112.561871)/4.985957))</f>
        <v>1.1957325343961054</v>
      </c>
      <c r="T799">
        <f t="shared" ref="T799:T830" si="400">IF(OR(H799=0,H799=""),"",ABS((H799-80.720624)/2.821681))</f>
        <v>1.3185842056561323</v>
      </c>
      <c r="U799">
        <f t="shared" si="396"/>
        <v>0</v>
      </c>
      <c r="V799">
        <f t="shared" ref="V799:V830" si="401">IF(OR(J799=0,J799=""),"",ABS((J799-69.348681)/1.912674))</f>
        <v>1.0711083017806495</v>
      </c>
      <c r="W799" t="str">
        <f t="shared" si="397"/>
        <v/>
      </c>
      <c r="X799">
        <f t="shared" ref="X799:X830" si="402">IF(OR(L799=0,L799=""),"",ABS((L799-1.455283)/1.400093))</f>
        <v>0.3251805415783095</v>
      </c>
      <c r="Y799" t="str">
        <f t="shared" si="398"/>
        <v/>
      </c>
      <c r="Z799">
        <f t="shared" ref="Z799:Z830" si="403">IF(OR(N799=0,N799=""),"",ABS((N799-69.699041)/2.195614))</f>
        <v>1.5481049947759473</v>
      </c>
      <c r="AA799">
        <f t="shared" ref="AA799:AA830" si="404">IF(OR(O799=0,O799=""),"",ABS((O799-113.513094)/1.682996))</f>
        <v>0.72079434532226938</v>
      </c>
      <c r="AB799">
        <f t="shared" ref="AB799:AB830" si="405">IF(OR(P799=0,P799=""),"",ABS((P799-115.315492)/1.394108))</f>
        <v>1.258516556823422</v>
      </c>
      <c r="AC799">
        <f t="shared" ref="AC799:AC830" si="406">IF(OR(Q799=0,Q799=""),"",ABS((Q799-3.821127)/0.150485))</f>
        <v>1.2036216234176165</v>
      </c>
      <c r="AD799">
        <f t="shared" ref="AD799:AD830" si="407">IF(OR(R799=0,R799=""),"",ABS((R799-3.848345)/0.156761))</f>
        <v>1.9669752042918842</v>
      </c>
    </row>
    <row r="800" spans="1:30">
      <c r="A800" t="s">
        <v>542</v>
      </c>
      <c r="B800" t="s">
        <v>37</v>
      </c>
      <c r="C800" t="s">
        <v>38</v>
      </c>
      <c r="D800" t="s">
        <v>39</v>
      </c>
      <c r="E800" s="2">
        <v>46133</v>
      </c>
      <c r="F800" t="s">
        <v>40</v>
      </c>
      <c r="G800">
        <v>101.7</v>
      </c>
      <c r="H800">
        <v>75.2</v>
      </c>
      <c r="I800">
        <v>-1957.8</v>
      </c>
      <c r="J800">
        <v>67.3</v>
      </c>
      <c r="K800">
        <v>0</v>
      </c>
      <c r="L800">
        <v>0.5</v>
      </c>
      <c r="M800">
        <v>0</v>
      </c>
      <c r="N800">
        <v>66.8</v>
      </c>
      <c r="O800">
        <v>112.08</v>
      </c>
      <c r="P800">
        <v>113.62</v>
      </c>
      <c r="Q800">
        <v>3.61</v>
      </c>
      <c r="R800">
        <v>3.61</v>
      </c>
      <c r="S800">
        <f t="shared" si="399"/>
        <v>2.1784927146383319</v>
      </c>
      <c r="T800">
        <f t="shared" si="400"/>
        <v>1.9565018157615968</v>
      </c>
      <c r="U800">
        <f t="shared" si="396"/>
        <v>0</v>
      </c>
      <c r="V800">
        <f t="shared" si="401"/>
        <v>1.0711083017806495</v>
      </c>
      <c r="W800" t="str">
        <f t="shared" si="397"/>
        <v/>
      </c>
      <c r="X800">
        <f t="shared" si="402"/>
        <v>0.68229967580725004</v>
      </c>
      <c r="Y800" t="str">
        <f t="shared" si="398"/>
        <v/>
      </c>
      <c r="Z800">
        <f t="shared" si="403"/>
        <v>1.3203782632101986</v>
      </c>
      <c r="AA800">
        <f t="shared" si="404"/>
        <v>0.8515136102521913</v>
      </c>
      <c r="AB800">
        <f t="shared" si="405"/>
        <v>1.2161841119913246</v>
      </c>
      <c r="AC800">
        <f t="shared" si="406"/>
        <v>1.4029770409010882</v>
      </c>
      <c r="AD800">
        <f t="shared" si="407"/>
        <v>1.5204355675199841</v>
      </c>
    </row>
    <row r="801" spans="1:30">
      <c r="A801" t="s">
        <v>541</v>
      </c>
      <c r="B801" t="s">
        <v>37</v>
      </c>
      <c r="C801" t="s">
        <v>38</v>
      </c>
      <c r="D801" t="s">
        <v>39</v>
      </c>
      <c r="E801" s="2">
        <v>46133</v>
      </c>
      <c r="F801" t="s">
        <v>40</v>
      </c>
      <c r="G801">
        <v>109.3</v>
      </c>
      <c r="H801">
        <v>77.5</v>
      </c>
      <c r="I801">
        <v>-1957.8</v>
      </c>
      <c r="J801">
        <v>67.3</v>
      </c>
      <c r="K801">
        <v>0</v>
      </c>
      <c r="L801">
        <v>1.1000000000000001</v>
      </c>
      <c r="M801">
        <v>0</v>
      </c>
      <c r="N801">
        <v>66.2</v>
      </c>
      <c r="O801">
        <v>111.94</v>
      </c>
      <c r="P801">
        <v>113.4</v>
      </c>
      <c r="Q801">
        <v>3.61</v>
      </c>
      <c r="R801">
        <v>3.59</v>
      </c>
      <c r="S801">
        <f t="shared" si="399"/>
        <v>0.65421161875242795</v>
      </c>
      <c r="T801">
        <f t="shared" si="400"/>
        <v>1.1413848695157252</v>
      </c>
      <c r="U801">
        <f t="shared" si="396"/>
        <v>0</v>
      </c>
      <c r="V801">
        <f t="shared" si="401"/>
        <v>1.0711083017806495</v>
      </c>
      <c r="W801" t="str">
        <f t="shared" si="397"/>
        <v/>
      </c>
      <c r="X801">
        <f t="shared" si="402"/>
        <v>0.25375671473252137</v>
      </c>
      <c r="Y801" t="str">
        <f t="shared" si="398"/>
        <v/>
      </c>
      <c r="Z801">
        <f t="shared" si="403"/>
        <v>1.5936503410890945</v>
      </c>
      <c r="AA801">
        <f t="shared" si="404"/>
        <v>0.93469859702577884</v>
      </c>
      <c r="AB801">
        <f t="shared" si="405"/>
        <v>1.3739911111621199</v>
      </c>
      <c r="AC801">
        <f t="shared" si="406"/>
        <v>1.4029770409010882</v>
      </c>
      <c r="AD801">
        <f t="shared" si="407"/>
        <v>1.6480183208833845</v>
      </c>
    </row>
    <row r="802" spans="1:30">
      <c r="A802" t="s">
        <v>544</v>
      </c>
      <c r="B802" t="s">
        <v>37</v>
      </c>
      <c r="C802" t="s">
        <v>38</v>
      </c>
      <c r="D802" t="s">
        <v>39</v>
      </c>
      <c r="E802" s="2">
        <v>46133</v>
      </c>
      <c r="F802" t="s">
        <v>40</v>
      </c>
      <c r="G802">
        <v>97.7</v>
      </c>
      <c r="H802">
        <v>76.099999999999994</v>
      </c>
      <c r="I802">
        <v>-1957.8</v>
      </c>
      <c r="J802">
        <v>67.3</v>
      </c>
      <c r="K802">
        <v>0</v>
      </c>
      <c r="L802">
        <v>0.9</v>
      </c>
      <c r="M802">
        <v>0</v>
      </c>
      <c r="N802">
        <v>66.400000000000006</v>
      </c>
      <c r="O802">
        <v>111.86</v>
      </c>
      <c r="P802">
        <v>113.33</v>
      </c>
      <c r="Q802">
        <v>3.83</v>
      </c>
      <c r="R802">
        <v>3.74</v>
      </c>
      <c r="S802">
        <f t="shared" si="399"/>
        <v>2.9807459229993345</v>
      </c>
      <c r="T802">
        <f t="shared" si="400"/>
        <v>1.6375430107088671</v>
      </c>
      <c r="U802">
        <f t="shared" si="396"/>
        <v>0</v>
      </c>
      <c r="V802">
        <f t="shared" si="401"/>
        <v>1.0711083017806495</v>
      </c>
      <c r="W802" t="str">
        <f t="shared" si="397"/>
        <v/>
      </c>
      <c r="X802">
        <f t="shared" si="402"/>
        <v>0.39660436842409758</v>
      </c>
      <c r="Y802" t="str">
        <f t="shared" si="398"/>
        <v/>
      </c>
      <c r="Z802">
        <f t="shared" si="403"/>
        <v>1.5025596484627937</v>
      </c>
      <c r="AA802">
        <f t="shared" si="404"/>
        <v>0.98223287518211322</v>
      </c>
      <c r="AB802">
        <f t="shared" si="405"/>
        <v>1.4242024290801056</v>
      </c>
      <c r="AC802">
        <f t="shared" si="406"/>
        <v>5.8962687311027065E-2</v>
      </c>
      <c r="AD802">
        <f t="shared" si="407"/>
        <v>0.69114767065787985</v>
      </c>
    </row>
    <row r="803" spans="1:30">
      <c r="A803" t="s">
        <v>537</v>
      </c>
      <c r="B803" t="s">
        <v>37</v>
      </c>
      <c r="C803" t="s">
        <v>38</v>
      </c>
      <c r="D803" t="s">
        <v>39</v>
      </c>
      <c r="E803" s="2">
        <v>46133</v>
      </c>
      <c r="F803" t="s">
        <v>34</v>
      </c>
      <c r="G803">
        <v>99.5</v>
      </c>
      <c r="H803">
        <v>61.7</v>
      </c>
      <c r="I803">
        <v>-1957.8</v>
      </c>
      <c r="J803">
        <v>67.3</v>
      </c>
      <c r="K803">
        <v>0</v>
      </c>
      <c r="L803">
        <v>0.5</v>
      </c>
      <c r="M803">
        <v>0</v>
      </c>
      <c r="N803">
        <v>66.8</v>
      </c>
      <c r="O803">
        <v>115.38</v>
      </c>
      <c r="P803">
        <v>116.63</v>
      </c>
      <c r="Q803">
        <v>3.61</v>
      </c>
      <c r="R803">
        <v>0</v>
      </c>
      <c r="S803">
        <f t="shared" si="399"/>
        <v>2.6197319792368838</v>
      </c>
      <c r="T803">
        <f t="shared" si="400"/>
        <v>6.7408838915525884</v>
      </c>
      <c r="U803">
        <f t="shared" si="396"/>
        <v>0</v>
      </c>
      <c r="V803">
        <f t="shared" si="401"/>
        <v>1.0711083017806495</v>
      </c>
      <c r="W803" t="str">
        <f t="shared" si="397"/>
        <v/>
      </c>
      <c r="X803">
        <f t="shared" si="402"/>
        <v>0.68229967580725004</v>
      </c>
      <c r="Y803" t="str">
        <f t="shared" si="398"/>
        <v/>
      </c>
      <c r="Z803">
        <f t="shared" si="403"/>
        <v>1.3203782632101986</v>
      </c>
      <c r="AA803">
        <f t="shared" si="404"/>
        <v>1.1092753636966459</v>
      </c>
      <c r="AB803">
        <f t="shared" si="405"/>
        <v>0.94290255848183169</v>
      </c>
      <c r="AC803">
        <f t="shared" si="406"/>
        <v>1.4029770409010882</v>
      </c>
      <c r="AD803" t="str">
        <f t="shared" si="407"/>
        <v/>
      </c>
    </row>
    <row r="804" spans="1:30">
      <c r="A804" t="s">
        <v>537</v>
      </c>
      <c r="B804" t="s">
        <v>37</v>
      </c>
      <c r="C804" t="s">
        <v>38</v>
      </c>
      <c r="D804" t="s">
        <v>39</v>
      </c>
      <c r="E804" s="2">
        <v>46133</v>
      </c>
      <c r="F804" t="s">
        <v>40</v>
      </c>
      <c r="G804">
        <v>108.4</v>
      </c>
      <c r="H804">
        <v>75.2</v>
      </c>
      <c r="I804">
        <v>-1957.8</v>
      </c>
      <c r="J804">
        <v>67.3</v>
      </c>
      <c r="K804">
        <v>0</v>
      </c>
      <c r="L804">
        <v>0.7</v>
      </c>
      <c r="M804">
        <v>0</v>
      </c>
      <c r="N804">
        <v>66.599999999999994</v>
      </c>
      <c r="O804">
        <v>111.72</v>
      </c>
      <c r="P804">
        <v>113.7</v>
      </c>
      <c r="Q804">
        <v>3.59</v>
      </c>
      <c r="R804">
        <v>3.52</v>
      </c>
      <c r="S804">
        <f t="shared" si="399"/>
        <v>0.83471859063365184</v>
      </c>
      <c r="T804">
        <f t="shared" si="400"/>
        <v>1.9565018157615968</v>
      </c>
      <c r="U804">
        <f t="shared" si="396"/>
        <v>0</v>
      </c>
      <c r="V804">
        <f t="shared" si="401"/>
        <v>1.0711083017806495</v>
      </c>
      <c r="W804" t="str">
        <f t="shared" si="397"/>
        <v/>
      </c>
      <c r="X804">
        <f t="shared" si="402"/>
        <v>0.53945202211567389</v>
      </c>
      <c r="Y804" t="str">
        <f t="shared" si="398"/>
        <v/>
      </c>
      <c r="Z804">
        <f t="shared" si="403"/>
        <v>1.4114689558364995</v>
      </c>
      <c r="AA804">
        <f t="shared" si="404"/>
        <v>1.0654178619557007</v>
      </c>
      <c r="AB804">
        <f t="shared" si="405"/>
        <v>1.1587997486564909</v>
      </c>
      <c r="AC804">
        <f t="shared" si="406"/>
        <v>1.5358806525567352</v>
      </c>
      <c r="AD804">
        <f t="shared" si="407"/>
        <v>2.0945579576552849</v>
      </c>
    </row>
    <row r="805" spans="1:30">
      <c r="A805" t="s">
        <v>539</v>
      </c>
      <c r="B805" t="s">
        <v>37</v>
      </c>
      <c r="C805" t="s">
        <v>38</v>
      </c>
      <c r="D805" t="s">
        <v>39</v>
      </c>
      <c r="E805" s="2">
        <v>46133</v>
      </c>
      <c r="F805" t="s">
        <v>40</v>
      </c>
      <c r="G805">
        <v>103.9</v>
      </c>
      <c r="H805">
        <v>76.599999999999994</v>
      </c>
      <c r="I805">
        <v>-1957.8</v>
      </c>
      <c r="J805">
        <v>67.3</v>
      </c>
      <c r="K805">
        <v>0</v>
      </c>
      <c r="L805">
        <v>0.9</v>
      </c>
      <c r="M805">
        <v>0</v>
      </c>
      <c r="N805">
        <v>68.2</v>
      </c>
      <c r="O805">
        <v>115.38</v>
      </c>
      <c r="P805">
        <v>115.31</v>
      </c>
      <c r="Q805">
        <v>3.69</v>
      </c>
      <c r="R805">
        <v>3.66</v>
      </c>
      <c r="S805">
        <f t="shared" si="399"/>
        <v>1.7372534500397798</v>
      </c>
      <c r="T805">
        <f t="shared" si="400"/>
        <v>1.4603436745684599</v>
      </c>
      <c r="U805">
        <f t="shared" si="396"/>
        <v>0</v>
      </c>
      <c r="V805">
        <f t="shared" si="401"/>
        <v>1.0711083017806495</v>
      </c>
      <c r="W805" t="str">
        <f t="shared" si="397"/>
        <v/>
      </c>
      <c r="X805">
        <f t="shared" si="402"/>
        <v>0.39660436842409758</v>
      </c>
      <c r="Y805" t="str">
        <f t="shared" si="398"/>
        <v/>
      </c>
      <c r="Z805">
        <f t="shared" si="403"/>
        <v>0.68274341482609935</v>
      </c>
      <c r="AA805">
        <f t="shared" si="404"/>
        <v>1.1092753636966459</v>
      </c>
      <c r="AB805">
        <f t="shared" si="405"/>
        <v>3.9394365429391608E-3</v>
      </c>
      <c r="AC805">
        <f t="shared" si="406"/>
        <v>0.87136259427850093</v>
      </c>
      <c r="AD805">
        <f t="shared" si="407"/>
        <v>1.2014786841114817</v>
      </c>
    </row>
    <row r="806" spans="1:30">
      <c r="A806" t="s">
        <v>538</v>
      </c>
      <c r="B806" t="s">
        <v>37</v>
      </c>
      <c r="C806" t="s">
        <v>38</v>
      </c>
      <c r="D806" t="s">
        <v>39</v>
      </c>
      <c r="E806" s="2">
        <v>46133</v>
      </c>
      <c r="F806" t="s">
        <v>40</v>
      </c>
      <c r="G806">
        <v>104.4</v>
      </c>
      <c r="H806">
        <v>75.2</v>
      </c>
      <c r="I806">
        <v>-1957.8</v>
      </c>
      <c r="J806">
        <v>67.3</v>
      </c>
      <c r="K806">
        <v>0</v>
      </c>
      <c r="L806">
        <v>0.8</v>
      </c>
      <c r="M806">
        <v>0</v>
      </c>
      <c r="N806">
        <v>66.5</v>
      </c>
      <c r="O806">
        <v>112.3</v>
      </c>
      <c r="P806">
        <v>116.56</v>
      </c>
      <c r="Q806">
        <v>3.76</v>
      </c>
      <c r="R806">
        <v>3.61</v>
      </c>
      <c r="S806">
        <f t="shared" si="399"/>
        <v>1.6369717989946546</v>
      </c>
      <c r="T806">
        <f t="shared" si="400"/>
        <v>1.9565018157615968</v>
      </c>
      <c r="U806">
        <f t="shared" si="396"/>
        <v>0</v>
      </c>
      <c r="V806">
        <f t="shared" si="401"/>
        <v>1.0711083017806495</v>
      </c>
      <c r="W806" t="str">
        <f t="shared" si="397"/>
        <v/>
      </c>
      <c r="X806">
        <f t="shared" si="402"/>
        <v>0.46802819526988565</v>
      </c>
      <c r="Y806" t="str">
        <f t="shared" si="398"/>
        <v/>
      </c>
      <c r="Z806">
        <f t="shared" si="403"/>
        <v>1.4570143021496467</v>
      </c>
      <c r="AA806">
        <f t="shared" si="404"/>
        <v>0.72079434532226938</v>
      </c>
      <c r="AB806">
        <f t="shared" si="405"/>
        <v>0.89269124056385607</v>
      </c>
      <c r="AC806">
        <f t="shared" si="406"/>
        <v>0.40619995348373839</v>
      </c>
      <c r="AD806">
        <f t="shared" si="407"/>
        <v>1.5204355675199841</v>
      </c>
    </row>
    <row r="807" spans="1:30">
      <c r="A807" t="s">
        <v>535</v>
      </c>
      <c r="B807" t="s">
        <v>37</v>
      </c>
      <c r="C807" t="s">
        <v>38</v>
      </c>
      <c r="D807" t="s">
        <v>39</v>
      </c>
      <c r="E807" s="2">
        <v>46133</v>
      </c>
      <c r="F807" t="s">
        <v>40</v>
      </c>
      <c r="G807">
        <v>106.2</v>
      </c>
      <c r="H807">
        <v>76.099999999999994</v>
      </c>
      <c r="I807">
        <v>-1957.8</v>
      </c>
      <c r="J807">
        <v>67.3</v>
      </c>
      <c r="K807">
        <v>0</v>
      </c>
      <c r="L807">
        <v>0.6</v>
      </c>
      <c r="M807">
        <v>0</v>
      </c>
      <c r="N807">
        <v>66.7</v>
      </c>
      <c r="O807">
        <v>112.23</v>
      </c>
      <c r="P807">
        <v>116.26</v>
      </c>
      <c r="Q807">
        <v>3.59</v>
      </c>
      <c r="R807">
        <v>3.59</v>
      </c>
      <c r="S807">
        <f t="shared" si="399"/>
        <v>1.275957855232204</v>
      </c>
      <c r="T807">
        <f t="shared" si="400"/>
        <v>1.6375430107088671</v>
      </c>
      <c r="U807">
        <f t="shared" si="396"/>
        <v>0</v>
      </c>
      <c r="V807">
        <f t="shared" si="401"/>
        <v>1.0711083017806495</v>
      </c>
      <c r="W807" t="str">
        <f t="shared" si="397"/>
        <v/>
      </c>
      <c r="X807">
        <f t="shared" si="402"/>
        <v>0.61087584896146196</v>
      </c>
      <c r="Y807" t="str">
        <f t="shared" si="398"/>
        <v/>
      </c>
      <c r="Z807">
        <f t="shared" si="403"/>
        <v>1.3659236095233458</v>
      </c>
      <c r="AA807">
        <f t="shared" si="404"/>
        <v>0.76238683870905888</v>
      </c>
      <c r="AB807">
        <f t="shared" si="405"/>
        <v>0.6774998780582272</v>
      </c>
      <c r="AC807">
        <f t="shared" si="406"/>
        <v>1.5358806525567352</v>
      </c>
      <c r="AD807">
        <f t="shared" si="407"/>
        <v>1.6480183208833845</v>
      </c>
    </row>
    <row r="808" spans="1:30">
      <c r="A808" t="s">
        <v>536</v>
      </c>
      <c r="B808" t="s">
        <v>37</v>
      </c>
      <c r="C808" t="s">
        <v>38</v>
      </c>
      <c r="D808" t="s">
        <v>39</v>
      </c>
      <c r="E808" s="2">
        <v>46133</v>
      </c>
      <c r="F808" t="s">
        <v>40</v>
      </c>
      <c r="G808">
        <v>112.4</v>
      </c>
      <c r="H808">
        <v>77.5</v>
      </c>
      <c r="I808">
        <v>-1957.8</v>
      </c>
      <c r="J808">
        <v>67.7</v>
      </c>
      <c r="K808">
        <v>0</v>
      </c>
      <c r="L808">
        <v>1.2</v>
      </c>
      <c r="M808">
        <v>0</v>
      </c>
      <c r="N808">
        <v>66.5</v>
      </c>
      <c r="O808">
        <v>112.3</v>
      </c>
      <c r="P808">
        <v>116.56</v>
      </c>
      <c r="Q808">
        <v>3.64</v>
      </c>
      <c r="R808">
        <v>3.54</v>
      </c>
      <c r="S808">
        <f t="shared" si="399"/>
        <v>3.246538227264912E-2</v>
      </c>
      <c r="T808">
        <f t="shared" si="400"/>
        <v>1.1413848695157252</v>
      </c>
      <c r="U808">
        <f t="shared" si="396"/>
        <v>0</v>
      </c>
      <c r="V808">
        <f t="shared" si="401"/>
        <v>0.86197700183094261</v>
      </c>
      <c r="W808" t="str">
        <f t="shared" si="397"/>
        <v/>
      </c>
      <c r="X808">
        <f t="shared" si="402"/>
        <v>0.18233288788673335</v>
      </c>
      <c r="Y808" t="str">
        <f t="shared" si="398"/>
        <v/>
      </c>
      <c r="Z808">
        <f t="shared" si="403"/>
        <v>1.4570143021496467</v>
      </c>
      <c r="AA808">
        <f t="shared" si="404"/>
        <v>0.72079434532226938</v>
      </c>
      <c r="AB808">
        <f t="shared" si="405"/>
        <v>0.89269124056385607</v>
      </c>
      <c r="AC808">
        <f t="shared" si="406"/>
        <v>1.2036216234176165</v>
      </c>
      <c r="AD808">
        <f t="shared" si="407"/>
        <v>1.9669752042918842</v>
      </c>
    </row>
    <row r="809" spans="1:30">
      <c r="A809" t="s">
        <v>517</v>
      </c>
      <c r="B809" t="s">
        <v>37</v>
      </c>
      <c r="C809" t="s">
        <v>38</v>
      </c>
      <c r="D809" t="s">
        <v>39</v>
      </c>
      <c r="E809" s="2">
        <v>46133</v>
      </c>
      <c r="F809" t="s">
        <v>34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tr">
        <f t="shared" si="399"/>
        <v/>
      </c>
      <c r="T809" t="str">
        <f t="shared" si="400"/>
        <v/>
      </c>
      <c r="U809" t="str">
        <f t="shared" si="396"/>
        <v/>
      </c>
      <c r="V809" t="str">
        <f t="shared" si="401"/>
        <v/>
      </c>
      <c r="W809" t="str">
        <f t="shared" si="397"/>
        <v/>
      </c>
      <c r="X809" t="str">
        <f t="shared" si="402"/>
        <v/>
      </c>
      <c r="Y809" t="str">
        <f t="shared" si="398"/>
        <v/>
      </c>
      <c r="Z809" t="str">
        <f t="shared" si="403"/>
        <v/>
      </c>
      <c r="AA809" t="str">
        <f t="shared" si="404"/>
        <v/>
      </c>
      <c r="AB809" t="str">
        <f t="shared" si="405"/>
        <v/>
      </c>
      <c r="AC809" t="str">
        <f t="shared" si="406"/>
        <v/>
      </c>
      <c r="AD809" t="str">
        <f t="shared" si="407"/>
        <v/>
      </c>
    </row>
    <row r="810" spans="1:30">
      <c r="A810" t="s">
        <v>517</v>
      </c>
      <c r="B810" t="s">
        <v>37</v>
      </c>
      <c r="C810" t="s">
        <v>38</v>
      </c>
      <c r="D810" t="s">
        <v>39</v>
      </c>
      <c r="E810" s="2">
        <v>46133</v>
      </c>
      <c r="F810" t="s">
        <v>40</v>
      </c>
      <c r="G810">
        <v>102.1</v>
      </c>
      <c r="H810">
        <v>75.7</v>
      </c>
      <c r="I810">
        <v>-1957.8</v>
      </c>
      <c r="J810">
        <v>67.3</v>
      </c>
      <c r="K810">
        <v>0</v>
      </c>
      <c r="L810">
        <v>0.6</v>
      </c>
      <c r="M810">
        <v>0</v>
      </c>
      <c r="N810">
        <v>66.7</v>
      </c>
      <c r="O810">
        <v>112.38</v>
      </c>
      <c r="P810">
        <v>116.63</v>
      </c>
      <c r="Q810">
        <v>3.69</v>
      </c>
      <c r="R810">
        <v>3.69</v>
      </c>
      <c r="S810">
        <f t="shared" si="399"/>
        <v>2.0982673938022334</v>
      </c>
      <c r="T810">
        <f t="shared" si="400"/>
        <v>1.7793024796211898</v>
      </c>
      <c r="U810">
        <f t="shared" si="396"/>
        <v>0</v>
      </c>
      <c r="V810">
        <f t="shared" si="401"/>
        <v>1.0711083017806495</v>
      </c>
      <c r="W810" t="str">
        <f t="shared" si="397"/>
        <v/>
      </c>
      <c r="X810">
        <f t="shared" si="402"/>
        <v>0.61087584896146196</v>
      </c>
      <c r="Y810" t="str">
        <f t="shared" si="398"/>
        <v/>
      </c>
      <c r="Z810">
        <f t="shared" si="403"/>
        <v>1.3659236095233458</v>
      </c>
      <c r="AA810">
        <f t="shared" si="404"/>
        <v>0.67326006716593501</v>
      </c>
      <c r="AB810">
        <f t="shared" si="405"/>
        <v>0.94290255848183169</v>
      </c>
      <c r="AC810">
        <f t="shared" si="406"/>
        <v>0.87136259427850093</v>
      </c>
      <c r="AD810">
        <f t="shared" si="407"/>
        <v>1.0101045540663824</v>
      </c>
    </row>
    <row r="811" spans="1:30">
      <c r="A811" t="s">
        <v>556</v>
      </c>
      <c r="B811" t="s">
        <v>37</v>
      </c>
      <c r="C811" t="s">
        <v>38</v>
      </c>
      <c r="D811" t="s">
        <v>39</v>
      </c>
      <c r="E811" s="2">
        <v>46133</v>
      </c>
      <c r="F811" t="s">
        <v>40</v>
      </c>
      <c r="G811">
        <v>110.6</v>
      </c>
      <c r="H811">
        <v>77.900000000000006</v>
      </c>
      <c r="I811">
        <v>-1957.8</v>
      </c>
      <c r="J811">
        <v>68.2</v>
      </c>
      <c r="K811">
        <v>0</v>
      </c>
      <c r="L811">
        <v>0</v>
      </c>
      <c r="M811">
        <v>0</v>
      </c>
      <c r="N811">
        <v>68.2</v>
      </c>
      <c r="O811">
        <v>115.46</v>
      </c>
      <c r="P811">
        <v>115.46</v>
      </c>
      <c r="Q811">
        <v>3.59</v>
      </c>
      <c r="R811">
        <v>3.61</v>
      </c>
      <c r="S811">
        <f t="shared" si="399"/>
        <v>0.39347932603510261</v>
      </c>
      <c r="T811">
        <f t="shared" si="400"/>
        <v>0.99962540060339755</v>
      </c>
      <c r="U811">
        <f t="shared" si="396"/>
        <v>0</v>
      </c>
      <c r="V811">
        <f t="shared" si="401"/>
        <v>0.60056287689381271</v>
      </c>
      <c r="W811" t="str">
        <f t="shared" si="397"/>
        <v/>
      </c>
      <c r="X811" t="str">
        <f t="shared" si="402"/>
        <v/>
      </c>
      <c r="Y811" t="str">
        <f t="shared" si="398"/>
        <v/>
      </c>
      <c r="Z811">
        <f t="shared" si="403"/>
        <v>0.68274341482609935</v>
      </c>
      <c r="AA811">
        <f t="shared" si="404"/>
        <v>1.1568096418529803</v>
      </c>
      <c r="AB811">
        <f t="shared" si="405"/>
        <v>0.10365624470987016</v>
      </c>
      <c r="AC811">
        <f t="shared" si="406"/>
        <v>1.5358806525567352</v>
      </c>
      <c r="AD811">
        <f t="shared" si="407"/>
        <v>1.5204355675199841</v>
      </c>
    </row>
    <row r="812" spans="1:30">
      <c r="A812" t="s">
        <v>550</v>
      </c>
      <c r="B812" t="s">
        <v>37</v>
      </c>
      <c r="C812" t="s">
        <v>38</v>
      </c>
      <c r="D812" t="s">
        <v>39</v>
      </c>
      <c r="E812" s="2">
        <v>46133</v>
      </c>
      <c r="F812" t="s">
        <v>34</v>
      </c>
      <c r="G812">
        <v>86.9</v>
      </c>
      <c r="H812">
        <v>78.900000000000006</v>
      </c>
      <c r="I812">
        <v>-1957.8</v>
      </c>
      <c r="J812">
        <v>68.2</v>
      </c>
      <c r="K812">
        <v>0</v>
      </c>
      <c r="L812">
        <v>0.2</v>
      </c>
      <c r="M812">
        <v>0</v>
      </c>
      <c r="N812">
        <v>68</v>
      </c>
      <c r="O812">
        <v>115.46</v>
      </c>
      <c r="P812">
        <v>115.46</v>
      </c>
      <c r="Q812">
        <v>3.69</v>
      </c>
      <c r="R812">
        <v>3.66</v>
      </c>
      <c r="S812">
        <f t="shared" si="399"/>
        <v>5.1468295855740411</v>
      </c>
      <c r="T812">
        <f t="shared" si="400"/>
        <v>0.64522672832258332</v>
      </c>
      <c r="U812">
        <f t="shared" si="396"/>
        <v>0</v>
      </c>
      <c r="V812">
        <f t="shared" si="401"/>
        <v>0.60056287689381271</v>
      </c>
      <c r="W812" t="str">
        <f t="shared" si="397"/>
        <v/>
      </c>
      <c r="X812">
        <f t="shared" si="402"/>
        <v>0.89657115634461437</v>
      </c>
      <c r="Y812" t="str">
        <f t="shared" si="398"/>
        <v/>
      </c>
      <c r="Z812">
        <f t="shared" si="403"/>
        <v>0.77383410745240011</v>
      </c>
      <c r="AA812">
        <f t="shared" si="404"/>
        <v>1.1568096418529803</v>
      </c>
      <c r="AB812">
        <f t="shared" si="405"/>
        <v>0.10365624470987016</v>
      </c>
      <c r="AC812">
        <f t="shared" si="406"/>
        <v>0.87136259427850093</v>
      </c>
      <c r="AD812">
        <f t="shared" si="407"/>
        <v>1.2014786841114817</v>
      </c>
    </row>
    <row r="813" spans="1:30">
      <c r="A813" t="s">
        <v>550</v>
      </c>
      <c r="B813" t="s">
        <v>37</v>
      </c>
      <c r="C813" t="s">
        <v>38</v>
      </c>
      <c r="D813" t="s">
        <v>39</v>
      </c>
      <c r="E813" s="2">
        <v>46133</v>
      </c>
      <c r="F813" t="s">
        <v>40</v>
      </c>
      <c r="G813">
        <v>107</v>
      </c>
      <c r="H813">
        <v>78.400000000000006</v>
      </c>
      <c r="I813">
        <v>-1957.8</v>
      </c>
      <c r="J813">
        <v>68.599999999999994</v>
      </c>
      <c r="K813">
        <v>0</v>
      </c>
      <c r="L813">
        <v>0.5</v>
      </c>
      <c r="M813">
        <v>0</v>
      </c>
      <c r="N813">
        <v>68.099999999999994</v>
      </c>
      <c r="O813">
        <v>115.09</v>
      </c>
      <c r="P813">
        <v>115.09</v>
      </c>
      <c r="Q813">
        <v>3.64</v>
      </c>
      <c r="R813">
        <v>3.59</v>
      </c>
      <c r="S813">
        <f t="shared" si="399"/>
        <v>1.1155072135600039</v>
      </c>
      <c r="T813">
        <f t="shared" si="400"/>
        <v>0.82242606446299038</v>
      </c>
      <c r="U813">
        <f t="shared" si="396"/>
        <v>0</v>
      </c>
      <c r="V813">
        <f t="shared" si="401"/>
        <v>0.39143157694411324</v>
      </c>
      <c r="W813" t="str">
        <f t="shared" si="397"/>
        <v/>
      </c>
      <c r="X813">
        <f t="shared" si="402"/>
        <v>0.68229967580725004</v>
      </c>
      <c r="Y813" t="str">
        <f t="shared" si="398"/>
        <v/>
      </c>
      <c r="Z813">
        <f t="shared" si="403"/>
        <v>0.728288761139253</v>
      </c>
      <c r="AA813">
        <f t="shared" si="404"/>
        <v>0.93696360537993451</v>
      </c>
      <c r="AB813">
        <f t="shared" si="405"/>
        <v>0.16174643571373432</v>
      </c>
      <c r="AC813">
        <f t="shared" si="406"/>
        <v>1.2036216234176165</v>
      </c>
      <c r="AD813">
        <f t="shared" si="407"/>
        <v>1.6480183208833845</v>
      </c>
    </row>
    <row r="814" spans="1:30">
      <c r="A814" t="s">
        <v>549</v>
      </c>
      <c r="B814" t="s">
        <v>37</v>
      </c>
      <c r="C814" t="s">
        <v>38</v>
      </c>
      <c r="D814" t="s">
        <v>39</v>
      </c>
      <c r="E814" s="2">
        <v>46133</v>
      </c>
      <c r="F814" t="s">
        <v>40</v>
      </c>
      <c r="G814">
        <v>113.3</v>
      </c>
      <c r="H814">
        <v>78.400000000000006</v>
      </c>
      <c r="I814">
        <v>-1957.8</v>
      </c>
      <c r="J814">
        <v>69.5</v>
      </c>
      <c r="K814">
        <v>0</v>
      </c>
      <c r="L814">
        <v>1.5</v>
      </c>
      <c r="M814">
        <v>0</v>
      </c>
      <c r="N814">
        <v>68</v>
      </c>
      <c r="O814">
        <v>115.16</v>
      </c>
      <c r="P814">
        <v>115.24</v>
      </c>
      <c r="Q814">
        <v>3.69</v>
      </c>
      <c r="R814">
        <v>3.66</v>
      </c>
      <c r="S814">
        <f t="shared" si="399"/>
        <v>0.14804158960857478</v>
      </c>
      <c r="T814">
        <f t="shared" si="400"/>
        <v>0.82242606446299038</v>
      </c>
      <c r="U814">
        <f t="shared" si="396"/>
        <v>0</v>
      </c>
      <c r="V814">
        <f t="shared" si="401"/>
        <v>7.9113847942723581E-2</v>
      </c>
      <c r="W814" t="str">
        <f t="shared" si="397"/>
        <v/>
      </c>
      <c r="X814">
        <f t="shared" si="402"/>
        <v>3.1938592650630988E-2</v>
      </c>
      <c r="Y814" t="str">
        <f t="shared" si="398"/>
        <v/>
      </c>
      <c r="Z814">
        <f t="shared" si="403"/>
        <v>0.77383410745240011</v>
      </c>
      <c r="AA814">
        <f t="shared" si="404"/>
        <v>0.978556098766724</v>
      </c>
      <c r="AB814">
        <f t="shared" si="405"/>
        <v>5.4150754460924995E-2</v>
      </c>
      <c r="AC814">
        <f t="shared" si="406"/>
        <v>0.87136259427850093</v>
      </c>
      <c r="AD814">
        <f t="shared" si="407"/>
        <v>1.2014786841114817</v>
      </c>
    </row>
    <row r="815" spans="1:30">
      <c r="A815" t="s">
        <v>540</v>
      </c>
      <c r="B815" t="s">
        <v>37</v>
      </c>
      <c r="C815" t="s">
        <v>38</v>
      </c>
      <c r="D815" t="s">
        <v>39</v>
      </c>
      <c r="E815" s="2">
        <v>46133</v>
      </c>
      <c r="F815" t="s">
        <v>40</v>
      </c>
      <c r="G815">
        <v>111.1</v>
      </c>
      <c r="H815">
        <v>78.400000000000006</v>
      </c>
      <c r="I815">
        <v>-1957.8</v>
      </c>
      <c r="J815">
        <v>69.099999999999994</v>
      </c>
      <c r="K815">
        <v>0</v>
      </c>
      <c r="L815">
        <v>0.7</v>
      </c>
      <c r="M815">
        <v>0</v>
      </c>
      <c r="N815">
        <v>68.400000000000006</v>
      </c>
      <c r="O815">
        <v>112.6</v>
      </c>
      <c r="P815">
        <v>116.92</v>
      </c>
      <c r="Q815">
        <v>3.74</v>
      </c>
      <c r="R815">
        <v>3.66</v>
      </c>
      <c r="S815">
        <f t="shared" si="399"/>
        <v>0.29319767498997729</v>
      </c>
      <c r="T815">
        <f t="shared" si="400"/>
        <v>0.82242606446299038</v>
      </c>
      <c r="U815">
        <f t="shared" si="396"/>
        <v>0</v>
      </c>
      <c r="V815">
        <f t="shared" si="401"/>
        <v>0.13001745200698331</v>
      </c>
      <c r="W815" t="str">
        <f t="shared" si="397"/>
        <v/>
      </c>
      <c r="X815">
        <f t="shared" si="402"/>
        <v>0.53945202211567389</v>
      </c>
      <c r="Y815" t="str">
        <f t="shared" si="398"/>
        <v/>
      </c>
      <c r="Z815">
        <f t="shared" si="403"/>
        <v>0.59165272219979848</v>
      </c>
      <c r="AA815">
        <f t="shared" si="404"/>
        <v>0.54254080223601309</v>
      </c>
      <c r="AB815">
        <f t="shared" si="405"/>
        <v>1.1509208755706126</v>
      </c>
      <c r="AC815">
        <f t="shared" si="406"/>
        <v>0.53910356513938229</v>
      </c>
      <c r="AD815">
        <f t="shared" si="407"/>
        <v>1.2014786841114817</v>
      </c>
    </row>
    <row r="816" spans="1:30">
      <c r="A816" t="s">
        <v>552</v>
      </c>
      <c r="B816" t="s">
        <v>37</v>
      </c>
      <c r="C816" t="s">
        <v>38</v>
      </c>
      <c r="D816" t="s">
        <v>39</v>
      </c>
      <c r="E816" s="2">
        <v>46133</v>
      </c>
      <c r="F816" t="s">
        <v>40</v>
      </c>
      <c r="G816">
        <v>107.9</v>
      </c>
      <c r="H816">
        <v>79.3</v>
      </c>
      <c r="I816">
        <v>-1957.8</v>
      </c>
      <c r="J816">
        <v>69.5</v>
      </c>
      <c r="K816">
        <v>0</v>
      </c>
      <c r="L816">
        <v>0.8</v>
      </c>
      <c r="M816">
        <v>0</v>
      </c>
      <c r="N816">
        <v>68.7</v>
      </c>
      <c r="O816">
        <v>112.45</v>
      </c>
      <c r="P816">
        <v>116.7</v>
      </c>
      <c r="Q816">
        <v>3.74</v>
      </c>
      <c r="R816">
        <v>3.66</v>
      </c>
      <c r="S816">
        <f t="shared" si="399"/>
        <v>0.93500024167877716</v>
      </c>
      <c r="T816">
        <f t="shared" si="400"/>
        <v>0.50346725941026071</v>
      </c>
      <c r="U816">
        <f t="shared" si="396"/>
        <v>0</v>
      </c>
      <c r="V816">
        <f t="shared" si="401"/>
        <v>7.9113847942723581E-2</v>
      </c>
      <c r="W816" t="str">
        <f t="shared" si="397"/>
        <v/>
      </c>
      <c r="X816">
        <f t="shared" si="402"/>
        <v>0.46802819526988565</v>
      </c>
      <c r="Y816" t="str">
        <f t="shared" si="398"/>
        <v/>
      </c>
      <c r="Z816">
        <f t="shared" si="403"/>
        <v>0.4550166832603505</v>
      </c>
      <c r="AA816">
        <f t="shared" si="404"/>
        <v>0.63166757377913696</v>
      </c>
      <c r="AB816">
        <f t="shared" si="405"/>
        <v>0.99311387639981752</v>
      </c>
      <c r="AC816">
        <f t="shared" si="406"/>
        <v>0.53910356513938229</v>
      </c>
      <c r="AD816">
        <f t="shared" si="407"/>
        <v>1.2014786841114817</v>
      </c>
    </row>
    <row r="817" spans="1:30">
      <c r="A817" t="s">
        <v>555</v>
      </c>
      <c r="B817" t="s">
        <v>37</v>
      </c>
      <c r="C817" t="s">
        <v>38</v>
      </c>
      <c r="D817" t="s">
        <v>39</v>
      </c>
      <c r="E817" s="2">
        <v>46133</v>
      </c>
      <c r="F817" t="s">
        <v>40</v>
      </c>
      <c r="G817">
        <v>112.4</v>
      </c>
      <c r="H817">
        <v>78.400000000000006</v>
      </c>
      <c r="I817">
        <v>-1957.8</v>
      </c>
      <c r="J817">
        <v>69.5</v>
      </c>
      <c r="K817">
        <v>0</v>
      </c>
      <c r="L817">
        <v>0.7</v>
      </c>
      <c r="M817">
        <v>0</v>
      </c>
      <c r="N817">
        <v>68.8</v>
      </c>
      <c r="O817">
        <v>115.46</v>
      </c>
      <c r="P817">
        <v>113.99</v>
      </c>
      <c r="Q817">
        <v>3.66</v>
      </c>
      <c r="R817">
        <v>3.66</v>
      </c>
      <c r="S817">
        <f t="shared" si="399"/>
        <v>3.246538227264912E-2</v>
      </c>
      <c r="T817">
        <f t="shared" si="400"/>
        <v>0.82242606446299038</v>
      </c>
      <c r="U817">
        <f t="shared" si="396"/>
        <v>0</v>
      </c>
      <c r="V817">
        <f t="shared" si="401"/>
        <v>7.9113847942723581E-2</v>
      </c>
      <c r="W817" t="str">
        <f t="shared" si="397"/>
        <v/>
      </c>
      <c r="X817">
        <f t="shared" si="402"/>
        <v>0.53945202211567389</v>
      </c>
      <c r="Y817" t="str">
        <f t="shared" si="398"/>
        <v/>
      </c>
      <c r="Z817">
        <f t="shared" si="403"/>
        <v>0.40947133694720333</v>
      </c>
      <c r="AA817">
        <f t="shared" si="404"/>
        <v>1.1568096418529803</v>
      </c>
      <c r="AB817">
        <f t="shared" si="405"/>
        <v>0.95078143156772021</v>
      </c>
      <c r="AC817">
        <f t="shared" si="406"/>
        <v>1.0707180117619697</v>
      </c>
      <c r="AD817">
        <f t="shared" si="407"/>
        <v>1.2014786841114817</v>
      </c>
    </row>
    <row r="818" spans="1:30">
      <c r="A818" t="s">
        <v>532</v>
      </c>
      <c r="B818" t="s">
        <v>37</v>
      </c>
      <c r="C818" t="s">
        <v>38</v>
      </c>
      <c r="D818" t="s">
        <v>39</v>
      </c>
      <c r="E818" s="2">
        <v>46133</v>
      </c>
      <c r="F818" t="s">
        <v>40</v>
      </c>
      <c r="G818">
        <v>112.4</v>
      </c>
      <c r="H818">
        <v>76.099999999999994</v>
      </c>
      <c r="I818">
        <v>-1957.8</v>
      </c>
      <c r="J818">
        <v>69.5</v>
      </c>
      <c r="K818">
        <v>0</v>
      </c>
      <c r="L818">
        <v>1</v>
      </c>
      <c r="M818">
        <v>0</v>
      </c>
      <c r="N818">
        <v>68.5</v>
      </c>
      <c r="O818">
        <v>115.31</v>
      </c>
      <c r="P818">
        <v>115.24</v>
      </c>
      <c r="Q818">
        <v>3.71</v>
      </c>
      <c r="R818">
        <v>3.66</v>
      </c>
      <c r="S818">
        <f t="shared" si="399"/>
        <v>3.246538227264912E-2</v>
      </c>
      <c r="T818">
        <f t="shared" si="400"/>
        <v>1.6375430107088671</v>
      </c>
      <c r="U818">
        <f t="shared" si="396"/>
        <v>0</v>
      </c>
      <c r="V818">
        <f t="shared" si="401"/>
        <v>7.9113847942723581E-2</v>
      </c>
      <c r="W818" t="str">
        <f t="shared" si="397"/>
        <v/>
      </c>
      <c r="X818">
        <f t="shared" si="402"/>
        <v>0.3251805415783095</v>
      </c>
      <c r="Y818" t="str">
        <f t="shared" si="398"/>
        <v/>
      </c>
      <c r="Z818">
        <f t="shared" si="403"/>
        <v>0.54610737588665137</v>
      </c>
      <c r="AA818">
        <f t="shared" si="404"/>
        <v>1.0676828703098564</v>
      </c>
      <c r="AB818">
        <f t="shared" si="405"/>
        <v>5.4150754460924995E-2</v>
      </c>
      <c r="AC818">
        <f t="shared" si="406"/>
        <v>0.73845898262285403</v>
      </c>
      <c r="AD818">
        <f t="shared" si="407"/>
        <v>1.2014786841114817</v>
      </c>
    </row>
    <row r="819" spans="1:30">
      <c r="A819" t="s">
        <v>554</v>
      </c>
      <c r="B819" t="s">
        <v>37</v>
      </c>
      <c r="C819" t="s">
        <v>38</v>
      </c>
      <c r="D819" t="s">
        <v>39</v>
      </c>
      <c r="E819" s="2">
        <v>46133</v>
      </c>
      <c r="F819" t="s">
        <v>34</v>
      </c>
      <c r="G819">
        <v>90.1</v>
      </c>
      <c r="H819">
        <v>76.599999999999994</v>
      </c>
      <c r="I819">
        <v>-1957.8</v>
      </c>
      <c r="J819">
        <v>69.5</v>
      </c>
      <c r="K819">
        <v>0</v>
      </c>
      <c r="L819">
        <v>1.6</v>
      </c>
      <c r="M819">
        <v>0</v>
      </c>
      <c r="N819">
        <v>67.900000000000006</v>
      </c>
      <c r="O819">
        <v>112.16</v>
      </c>
      <c r="P819">
        <v>117</v>
      </c>
      <c r="Q819">
        <v>3.81</v>
      </c>
      <c r="R819">
        <v>3.69</v>
      </c>
      <c r="S819">
        <f t="shared" si="399"/>
        <v>4.5050270188852419</v>
      </c>
      <c r="T819">
        <f t="shared" si="400"/>
        <v>1.4603436745684599</v>
      </c>
      <c r="U819">
        <f t="shared" si="396"/>
        <v>0</v>
      </c>
      <c r="V819">
        <f t="shared" si="401"/>
        <v>7.9113847942723581E-2</v>
      </c>
      <c r="W819" t="str">
        <f t="shared" si="397"/>
        <v/>
      </c>
      <c r="X819">
        <f t="shared" si="402"/>
        <v>0.10336241949641915</v>
      </c>
      <c r="Y819" t="str">
        <f t="shared" si="398"/>
        <v/>
      </c>
      <c r="Z819">
        <f t="shared" si="403"/>
        <v>0.81937945376554733</v>
      </c>
      <c r="AA819">
        <f t="shared" si="404"/>
        <v>0.80397933209585692</v>
      </c>
      <c r="AB819">
        <f t="shared" si="405"/>
        <v>1.2083052389054463</v>
      </c>
      <c r="AC819">
        <f t="shared" si="406"/>
        <v>7.3940924344619782E-2</v>
      </c>
      <c r="AD819">
        <f t="shared" si="407"/>
        <v>1.0101045540663824</v>
      </c>
    </row>
    <row r="820" spans="1:30">
      <c r="A820" t="s">
        <v>554</v>
      </c>
      <c r="B820" t="s">
        <v>37</v>
      </c>
      <c r="C820" t="s">
        <v>38</v>
      </c>
      <c r="D820" t="s">
        <v>39</v>
      </c>
      <c r="E820" s="2">
        <v>46133</v>
      </c>
      <c r="F820" t="s">
        <v>40</v>
      </c>
      <c r="G820">
        <v>110.2</v>
      </c>
      <c r="H820">
        <v>77.900000000000006</v>
      </c>
      <c r="I820">
        <v>-1957.8</v>
      </c>
      <c r="J820">
        <v>69.5</v>
      </c>
      <c r="K820">
        <v>0</v>
      </c>
      <c r="L820">
        <v>1.4</v>
      </c>
      <c r="M820">
        <v>0</v>
      </c>
      <c r="N820">
        <v>68.099999999999994</v>
      </c>
      <c r="O820">
        <v>115.38</v>
      </c>
      <c r="P820">
        <v>115.09</v>
      </c>
      <c r="Q820">
        <v>3.69</v>
      </c>
      <c r="R820">
        <v>3.59</v>
      </c>
      <c r="S820">
        <f t="shared" si="399"/>
        <v>0.47370464687120117</v>
      </c>
      <c r="T820">
        <f t="shared" si="400"/>
        <v>0.99962540060339755</v>
      </c>
      <c r="U820">
        <f t="shared" si="396"/>
        <v>0</v>
      </c>
      <c r="V820">
        <f t="shared" si="401"/>
        <v>7.9113847942723581E-2</v>
      </c>
      <c r="W820" t="str">
        <f t="shared" si="397"/>
        <v/>
      </c>
      <c r="X820">
        <f t="shared" si="402"/>
        <v>3.9485234195157176E-2</v>
      </c>
      <c r="Y820" t="str">
        <f t="shared" si="398"/>
        <v/>
      </c>
      <c r="Z820">
        <f t="shared" si="403"/>
        <v>0.728288761139253</v>
      </c>
      <c r="AA820">
        <f t="shared" si="404"/>
        <v>1.1092753636966459</v>
      </c>
      <c r="AB820">
        <f t="shared" si="405"/>
        <v>0.16174643571373432</v>
      </c>
      <c r="AC820">
        <f t="shared" si="406"/>
        <v>0.87136259427850093</v>
      </c>
      <c r="AD820">
        <f t="shared" si="407"/>
        <v>1.6480183208833845</v>
      </c>
    </row>
    <row r="821" spans="1:30">
      <c r="A821" t="s">
        <v>553</v>
      </c>
      <c r="B821" t="s">
        <v>37</v>
      </c>
      <c r="C821" t="s">
        <v>38</v>
      </c>
      <c r="D821" t="s">
        <v>39</v>
      </c>
      <c r="E821" s="2">
        <v>46133</v>
      </c>
      <c r="F821" t="s">
        <v>34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tr">
        <f t="shared" si="399"/>
        <v/>
      </c>
      <c r="T821" t="str">
        <f t="shared" si="400"/>
        <v/>
      </c>
      <c r="U821" t="str">
        <f t="shared" si="396"/>
        <v/>
      </c>
      <c r="V821" t="str">
        <f t="shared" si="401"/>
        <v/>
      </c>
      <c r="W821" t="str">
        <f t="shared" si="397"/>
        <v/>
      </c>
      <c r="X821" t="str">
        <f t="shared" si="402"/>
        <v/>
      </c>
      <c r="Y821" t="str">
        <f t="shared" si="398"/>
        <v/>
      </c>
      <c r="Z821" t="str">
        <f t="shared" si="403"/>
        <v/>
      </c>
      <c r="AA821" t="str">
        <f t="shared" si="404"/>
        <v/>
      </c>
      <c r="AB821" t="str">
        <f t="shared" si="405"/>
        <v/>
      </c>
      <c r="AC821" t="str">
        <f t="shared" si="406"/>
        <v/>
      </c>
      <c r="AD821" t="str">
        <f t="shared" si="407"/>
        <v/>
      </c>
    </row>
    <row r="822" spans="1:30">
      <c r="A822" t="s">
        <v>553</v>
      </c>
      <c r="B822" t="s">
        <v>37</v>
      </c>
      <c r="C822" t="s">
        <v>38</v>
      </c>
      <c r="D822" t="s">
        <v>39</v>
      </c>
      <c r="E822" s="2">
        <v>46133</v>
      </c>
      <c r="F822" t="s">
        <v>34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tr">
        <f t="shared" si="399"/>
        <v/>
      </c>
      <c r="T822" t="str">
        <f t="shared" si="400"/>
        <v/>
      </c>
      <c r="U822" t="str">
        <f t="shared" si="396"/>
        <v/>
      </c>
      <c r="V822" t="str">
        <f t="shared" si="401"/>
        <v/>
      </c>
      <c r="W822" t="str">
        <f t="shared" si="397"/>
        <v/>
      </c>
      <c r="X822" t="str">
        <f t="shared" si="402"/>
        <v/>
      </c>
      <c r="Y822" t="str">
        <f t="shared" si="398"/>
        <v/>
      </c>
      <c r="Z822" t="str">
        <f t="shared" si="403"/>
        <v/>
      </c>
      <c r="AA822" t="str">
        <f t="shared" si="404"/>
        <v/>
      </c>
      <c r="AB822" t="str">
        <f t="shared" si="405"/>
        <v/>
      </c>
      <c r="AC822" t="str">
        <f t="shared" si="406"/>
        <v/>
      </c>
      <c r="AD822" t="str">
        <f t="shared" si="407"/>
        <v/>
      </c>
    </row>
    <row r="823" spans="1:30">
      <c r="A823" t="s">
        <v>553</v>
      </c>
      <c r="B823" t="s">
        <v>37</v>
      </c>
      <c r="C823" t="s">
        <v>38</v>
      </c>
      <c r="D823" t="s">
        <v>39</v>
      </c>
      <c r="E823" s="2">
        <v>46133</v>
      </c>
      <c r="F823" t="s">
        <v>40</v>
      </c>
      <c r="G823">
        <v>99</v>
      </c>
      <c r="H823">
        <v>79.3</v>
      </c>
      <c r="I823">
        <v>-1957.8</v>
      </c>
      <c r="J823">
        <v>70</v>
      </c>
      <c r="K823">
        <v>0</v>
      </c>
      <c r="L823">
        <v>0.5</v>
      </c>
      <c r="M823">
        <v>0</v>
      </c>
      <c r="N823">
        <v>69.5</v>
      </c>
      <c r="O823">
        <v>115.68</v>
      </c>
      <c r="P823">
        <v>117.14</v>
      </c>
      <c r="Q823">
        <v>3.66</v>
      </c>
      <c r="R823">
        <v>3.61</v>
      </c>
      <c r="S823">
        <f t="shared" si="399"/>
        <v>2.7200136302820095</v>
      </c>
      <c r="T823">
        <f t="shared" si="400"/>
        <v>0.50346725941026071</v>
      </c>
      <c r="U823">
        <f t="shared" si="396"/>
        <v>0</v>
      </c>
      <c r="V823">
        <f t="shared" si="401"/>
        <v>0.34052797287985348</v>
      </c>
      <c r="W823" t="str">
        <f t="shared" si="397"/>
        <v/>
      </c>
      <c r="X823">
        <f t="shared" si="402"/>
        <v>0.68229967580725004</v>
      </c>
      <c r="Y823" t="str">
        <f t="shared" si="398"/>
        <v/>
      </c>
      <c r="Z823">
        <f t="shared" si="403"/>
        <v>9.0653912755153693E-2</v>
      </c>
      <c r="AA823">
        <f t="shared" si="404"/>
        <v>1.2875289067829108</v>
      </c>
      <c r="AB823">
        <f t="shared" si="405"/>
        <v>1.3087278747414077</v>
      </c>
      <c r="AC823">
        <f t="shared" si="406"/>
        <v>1.0707180117619697</v>
      </c>
      <c r="AD823">
        <f t="shared" si="407"/>
        <v>1.5204355675199841</v>
      </c>
    </row>
    <row r="824" spans="1:30">
      <c r="A824" t="s">
        <v>551</v>
      </c>
      <c r="B824" t="s">
        <v>37</v>
      </c>
      <c r="C824" t="s">
        <v>38</v>
      </c>
      <c r="D824" t="s">
        <v>39</v>
      </c>
      <c r="E824" s="2">
        <v>46133</v>
      </c>
      <c r="F824" t="s">
        <v>40</v>
      </c>
      <c r="G824">
        <v>107.5</v>
      </c>
      <c r="H824">
        <v>79.3</v>
      </c>
      <c r="I824">
        <v>-1957.8</v>
      </c>
      <c r="J824">
        <v>70.400000000000006</v>
      </c>
      <c r="K824">
        <v>0</v>
      </c>
      <c r="L824">
        <v>0.9</v>
      </c>
      <c r="M824">
        <v>0</v>
      </c>
      <c r="N824">
        <v>69.5</v>
      </c>
      <c r="O824">
        <v>115.6</v>
      </c>
      <c r="P824">
        <v>113.84</v>
      </c>
      <c r="Q824">
        <v>3.71</v>
      </c>
      <c r="R824">
        <v>3.74</v>
      </c>
      <c r="S824">
        <f t="shared" si="399"/>
        <v>1.0152255625148785</v>
      </c>
      <c r="T824">
        <f t="shared" si="400"/>
        <v>0.50346725941026071</v>
      </c>
      <c r="U824">
        <f t="shared" si="396"/>
        <v>0</v>
      </c>
      <c r="V824">
        <f t="shared" si="401"/>
        <v>0.5496592728295604</v>
      </c>
      <c r="W824" t="str">
        <f t="shared" si="397"/>
        <v/>
      </c>
      <c r="X824">
        <f t="shared" si="402"/>
        <v>0.39660436842409758</v>
      </c>
      <c r="Y824" t="str">
        <f t="shared" si="398"/>
        <v/>
      </c>
      <c r="Z824">
        <f t="shared" si="403"/>
        <v>9.0653912755153693E-2</v>
      </c>
      <c r="AA824">
        <f t="shared" si="404"/>
        <v>1.2399946286265677</v>
      </c>
      <c r="AB824">
        <f t="shared" si="405"/>
        <v>1.0583771128205295</v>
      </c>
      <c r="AC824">
        <f t="shared" si="406"/>
        <v>0.73845898262285403</v>
      </c>
      <c r="AD824">
        <f t="shared" si="407"/>
        <v>0.69114767065787985</v>
      </c>
    </row>
    <row r="825" spans="1:30">
      <c r="A825" t="s">
        <v>531</v>
      </c>
      <c r="B825" t="s">
        <v>37</v>
      </c>
      <c r="C825" t="s">
        <v>38</v>
      </c>
      <c r="D825" t="s">
        <v>39</v>
      </c>
      <c r="E825" s="2">
        <v>46133</v>
      </c>
      <c r="F825" t="s">
        <v>34</v>
      </c>
      <c r="G825">
        <v>113.3</v>
      </c>
      <c r="H825">
        <v>80.2</v>
      </c>
      <c r="I825">
        <v>-1957.8</v>
      </c>
      <c r="J825">
        <v>70</v>
      </c>
      <c r="K825">
        <v>0</v>
      </c>
      <c r="L825">
        <v>1.2</v>
      </c>
      <c r="M825">
        <v>0</v>
      </c>
      <c r="N825">
        <v>68.8</v>
      </c>
      <c r="O825">
        <v>115.38</v>
      </c>
      <c r="P825">
        <v>115.38</v>
      </c>
      <c r="Q825">
        <v>3.71</v>
      </c>
      <c r="R825">
        <v>3.81</v>
      </c>
      <c r="S825">
        <f t="shared" si="399"/>
        <v>0.14804158960857478</v>
      </c>
      <c r="T825">
        <f t="shared" si="400"/>
        <v>0.18450845435752589</v>
      </c>
      <c r="U825">
        <f t="shared" si="396"/>
        <v>0</v>
      </c>
      <c r="V825">
        <f t="shared" si="401"/>
        <v>0.34052797287985348</v>
      </c>
      <c r="W825" t="str">
        <f t="shared" si="397"/>
        <v/>
      </c>
      <c r="X825">
        <f t="shared" si="402"/>
        <v>0.18233288788673335</v>
      </c>
      <c r="Y825" t="str">
        <f t="shared" si="398"/>
        <v/>
      </c>
      <c r="Z825">
        <f t="shared" si="403"/>
        <v>0.40947133694720333</v>
      </c>
      <c r="AA825">
        <f t="shared" si="404"/>
        <v>1.1092753636966459</v>
      </c>
      <c r="AB825">
        <f t="shared" si="405"/>
        <v>4.6271881375036482E-2</v>
      </c>
      <c r="AC825">
        <f t="shared" si="406"/>
        <v>0.73845898262285403</v>
      </c>
      <c r="AD825">
        <f t="shared" si="407"/>
        <v>0.24460803388597974</v>
      </c>
    </row>
    <row r="826" spans="1:30">
      <c r="A826" t="s">
        <v>531</v>
      </c>
      <c r="B826" t="s">
        <v>37</v>
      </c>
      <c r="C826" t="s">
        <v>38</v>
      </c>
      <c r="D826" t="s">
        <v>39</v>
      </c>
      <c r="E826" s="2">
        <v>46133</v>
      </c>
      <c r="F826" t="s">
        <v>40</v>
      </c>
      <c r="G826">
        <v>109.3</v>
      </c>
      <c r="H826">
        <v>81.099999999999994</v>
      </c>
      <c r="I826">
        <v>-1957.8</v>
      </c>
      <c r="J826">
        <v>69.099999999999994</v>
      </c>
      <c r="K826">
        <v>0</v>
      </c>
      <c r="L826">
        <v>0.3</v>
      </c>
      <c r="M826">
        <v>0</v>
      </c>
      <c r="N826">
        <v>68.8</v>
      </c>
      <c r="O826">
        <v>112.16</v>
      </c>
      <c r="P826">
        <v>116.63</v>
      </c>
      <c r="Q826">
        <v>3.83</v>
      </c>
      <c r="R826">
        <v>3.81</v>
      </c>
      <c r="S826">
        <f t="shared" si="399"/>
        <v>0.65421161875242795</v>
      </c>
      <c r="T826">
        <f t="shared" si="400"/>
        <v>0.13445035069520386</v>
      </c>
      <c r="U826">
        <f t="shared" si="396"/>
        <v>0</v>
      </c>
      <c r="V826">
        <f t="shared" si="401"/>
        <v>0.13001745200698331</v>
      </c>
      <c r="W826" t="str">
        <f t="shared" si="397"/>
        <v/>
      </c>
      <c r="X826">
        <f t="shared" si="402"/>
        <v>0.82514732949882619</v>
      </c>
      <c r="Y826" t="str">
        <f t="shared" si="398"/>
        <v/>
      </c>
      <c r="Z826">
        <f t="shared" si="403"/>
        <v>0.40947133694720333</v>
      </c>
      <c r="AA826">
        <f t="shared" si="404"/>
        <v>0.80397933209585692</v>
      </c>
      <c r="AB826">
        <f t="shared" si="405"/>
        <v>0.94290255848183169</v>
      </c>
      <c r="AC826">
        <f t="shared" si="406"/>
        <v>5.8962687311027065E-2</v>
      </c>
      <c r="AD826">
        <f t="shared" si="407"/>
        <v>0.24460803388597974</v>
      </c>
    </row>
    <row r="827" spans="1:30">
      <c r="A827" t="s">
        <v>530</v>
      </c>
      <c r="B827" t="s">
        <v>37</v>
      </c>
      <c r="C827" t="s">
        <v>38</v>
      </c>
      <c r="D827" t="s">
        <v>39</v>
      </c>
      <c r="E827" s="2">
        <v>46133</v>
      </c>
      <c r="F827" t="s">
        <v>40</v>
      </c>
      <c r="G827">
        <v>119.6</v>
      </c>
      <c r="H827">
        <v>81.099999999999994</v>
      </c>
      <c r="I827">
        <v>-1957.8</v>
      </c>
      <c r="J827">
        <v>69.099999999999994</v>
      </c>
      <c r="K827">
        <v>0</v>
      </c>
      <c r="L827">
        <v>0.7</v>
      </c>
      <c r="M827">
        <v>0</v>
      </c>
      <c r="N827">
        <v>68.400000000000006</v>
      </c>
      <c r="O827">
        <v>115.16</v>
      </c>
      <c r="P827">
        <v>115.24</v>
      </c>
      <c r="Q827">
        <v>3.66</v>
      </c>
      <c r="R827">
        <v>3.78</v>
      </c>
      <c r="S827">
        <f t="shared" si="399"/>
        <v>1.4115903927771536</v>
      </c>
      <c r="T827">
        <f t="shared" si="400"/>
        <v>0.13445035069520386</v>
      </c>
      <c r="U827">
        <f t="shared" si="396"/>
        <v>0</v>
      </c>
      <c r="V827">
        <f t="shared" si="401"/>
        <v>0.13001745200698331</v>
      </c>
      <c r="W827" t="str">
        <f t="shared" si="397"/>
        <v/>
      </c>
      <c r="X827">
        <f t="shared" si="402"/>
        <v>0.53945202211567389</v>
      </c>
      <c r="Y827" t="str">
        <f t="shared" si="398"/>
        <v/>
      </c>
      <c r="Z827">
        <f t="shared" si="403"/>
        <v>0.59165272219979848</v>
      </c>
      <c r="AA827">
        <f t="shared" si="404"/>
        <v>0.978556098766724</v>
      </c>
      <c r="AB827">
        <f t="shared" si="405"/>
        <v>5.4150754460924995E-2</v>
      </c>
      <c r="AC827">
        <f t="shared" si="406"/>
        <v>1.0707180117619697</v>
      </c>
      <c r="AD827">
        <f t="shared" si="407"/>
        <v>0.4359821639310818</v>
      </c>
    </row>
    <row r="828" spans="1:30">
      <c r="A828" t="s">
        <v>547</v>
      </c>
      <c r="B828" t="s">
        <v>37</v>
      </c>
      <c r="C828" t="s">
        <v>38</v>
      </c>
      <c r="D828" t="s">
        <v>39</v>
      </c>
      <c r="E828" s="2">
        <v>46133</v>
      </c>
      <c r="F828" t="s">
        <v>40</v>
      </c>
      <c r="G828">
        <v>116.4</v>
      </c>
      <c r="H828">
        <v>79.3</v>
      </c>
      <c r="I828">
        <v>-1957.8</v>
      </c>
      <c r="J828">
        <v>70</v>
      </c>
      <c r="K828">
        <v>0</v>
      </c>
      <c r="L828">
        <v>1.4</v>
      </c>
      <c r="M828">
        <v>0</v>
      </c>
      <c r="N828">
        <v>68.599999999999994</v>
      </c>
      <c r="O828">
        <v>115.46</v>
      </c>
      <c r="P828">
        <v>115.46</v>
      </c>
      <c r="Q828">
        <v>3.83</v>
      </c>
      <c r="R828">
        <v>3.81</v>
      </c>
      <c r="S828">
        <f t="shared" si="399"/>
        <v>0.76978782608835361</v>
      </c>
      <c r="T828">
        <f t="shared" si="400"/>
        <v>0.50346725941026071</v>
      </c>
      <c r="U828">
        <f t="shared" si="396"/>
        <v>0</v>
      </c>
      <c r="V828">
        <f t="shared" si="401"/>
        <v>0.34052797287985348</v>
      </c>
      <c r="W828" t="str">
        <f t="shared" si="397"/>
        <v/>
      </c>
      <c r="X828">
        <f t="shared" si="402"/>
        <v>3.9485234195157176E-2</v>
      </c>
      <c r="Y828" t="str">
        <f t="shared" si="398"/>
        <v/>
      </c>
      <c r="Z828">
        <f t="shared" si="403"/>
        <v>0.50056202957350415</v>
      </c>
      <c r="AA828">
        <f t="shared" si="404"/>
        <v>1.1568096418529803</v>
      </c>
      <c r="AB828">
        <f t="shared" si="405"/>
        <v>0.10365624470987016</v>
      </c>
      <c r="AC828">
        <f t="shared" si="406"/>
        <v>5.8962687311027065E-2</v>
      </c>
      <c r="AD828">
        <f t="shared" si="407"/>
        <v>0.24460803388597974</v>
      </c>
    </row>
    <row r="829" spans="1:30">
      <c r="A829" t="s">
        <v>546</v>
      </c>
      <c r="B829" t="s">
        <v>37</v>
      </c>
      <c r="C829" t="s">
        <v>38</v>
      </c>
      <c r="D829" t="s">
        <v>39</v>
      </c>
      <c r="E829" s="2">
        <v>46133</v>
      </c>
      <c r="F829" t="s">
        <v>40</v>
      </c>
      <c r="G829">
        <v>115.5</v>
      </c>
      <c r="H829">
        <v>80.2</v>
      </c>
      <c r="I829">
        <v>-1957.8</v>
      </c>
      <c r="J829">
        <v>70</v>
      </c>
      <c r="K829">
        <v>0</v>
      </c>
      <c r="L829">
        <v>0.9</v>
      </c>
      <c r="M829">
        <v>0</v>
      </c>
      <c r="N829">
        <v>69.099999999999994</v>
      </c>
      <c r="O829">
        <v>112.3</v>
      </c>
      <c r="P829">
        <v>116.85</v>
      </c>
      <c r="Q829">
        <v>3.78</v>
      </c>
      <c r="R829">
        <v>3.69</v>
      </c>
      <c r="S829">
        <f t="shared" si="399"/>
        <v>0.58928085420712684</v>
      </c>
      <c r="T829">
        <f t="shared" si="400"/>
        <v>0.18450845435752589</v>
      </c>
      <c r="U829">
        <f t="shared" si="396"/>
        <v>0</v>
      </c>
      <c r="V829">
        <f t="shared" si="401"/>
        <v>0.34052797287985348</v>
      </c>
      <c r="W829" t="str">
        <f t="shared" si="397"/>
        <v/>
      </c>
      <c r="X829">
        <f t="shared" si="402"/>
        <v>0.39660436842409758</v>
      </c>
      <c r="Y829" t="str">
        <f t="shared" si="398"/>
        <v/>
      </c>
      <c r="Z829">
        <f t="shared" si="403"/>
        <v>0.27283529800775536</v>
      </c>
      <c r="AA829">
        <f t="shared" si="404"/>
        <v>0.72079434532226938</v>
      </c>
      <c r="AB829">
        <f t="shared" si="405"/>
        <v>1.1007095576526269</v>
      </c>
      <c r="AC829">
        <f t="shared" si="406"/>
        <v>0.27329634182809154</v>
      </c>
      <c r="AD829">
        <f t="shared" si="407"/>
        <v>1.0101045540663824</v>
      </c>
    </row>
    <row r="830" spans="1:30">
      <c r="A830" t="s">
        <v>513</v>
      </c>
      <c r="B830" t="s">
        <v>37</v>
      </c>
      <c r="C830" t="s">
        <v>38</v>
      </c>
      <c r="D830" t="s">
        <v>39</v>
      </c>
      <c r="E830" s="2">
        <v>46133</v>
      </c>
      <c r="F830" t="s">
        <v>34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tr">
        <f t="shared" si="399"/>
        <v/>
      </c>
      <c r="T830" t="str">
        <f t="shared" si="400"/>
        <v/>
      </c>
      <c r="U830" t="str">
        <f t="shared" si="396"/>
        <v/>
      </c>
      <c r="V830" t="str">
        <f t="shared" si="401"/>
        <v/>
      </c>
      <c r="W830" t="str">
        <f t="shared" si="397"/>
        <v/>
      </c>
      <c r="X830" t="str">
        <f t="shared" si="402"/>
        <v/>
      </c>
      <c r="Y830" t="str">
        <f t="shared" si="398"/>
        <v/>
      </c>
      <c r="Z830" t="str">
        <f t="shared" si="403"/>
        <v/>
      </c>
      <c r="AA830" t="str">
        <f t="shared" si="404"/>
        <v/>
      </c>
      <c r="AB830" t="str">
        <f t="shared" si="405"/>
        <v/>
      </c>
      <c r="AC830" t="str">
        <f t="shared" si="406"/>
        <v/>
      </c>
      <c r="AD830" t="str">
        <f t="shared" si="407"/>
        <v/>
      </c>
    </row>
    <row r="831" spans="1:30">
      <c r="A831" t="s">
        <v>513</v>
      </c>
      <c r="B831" t="s">
        <v>37</v>
      </c>
      <c r="C831" t="s">
        <v>38</v>
      </c>
      <c r="D831" t="s">
        <v>39</v>
      </c>
      <c r="E831" s="2">
        <v>46133</v>
      </c>
      <c r="F831" t="s">
        <v>34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tr">
        <f t="shared" ref="S831:S866" si="408">IF(OR(G831=0,G831=""),"",ABS((G831-112.561871)/4.985957))</f>
        <v/>
      </c>
      <c r="T831" t="str">
        <f t="shared" ref="T831:T866" si="409">IF(OR(H831=0,H831=""),"",ABS((H831-80.720624)/2.821681))</f>
        <v/>
      </c>
      <c r="U831" t="str">
        <f t="shared" si="396"/>
        <v/>
      </c>
      <c r="V831" t="str">
        <f t="shared" ref="V831:V866" si="410">IF(OR(J831=0,J831=""),"",ABS((J831-69.348681)/1.912674))</f>
        <v/>
      </c>
      <c r="W831" t="str">
        <f t="shared" si="397"/>
        <v/>
      </c>
      <c r="X831" t="str">
        <f t="shared" ref="X831:X866" si="411">IF(OR(L831=0,L831=""),"",ABS((L831-1.455283)/1.400093))</f>
        <v/>
      </c>
      <c r="Y831" t="str">
        <f t="shared" si="398"/>
        <v/>
      </c>
      <c r="Z831" t="str">
        <f t="shared" ref="Z831:Z866" si="412">IF(OR(N831=0,N831=""),"",ABS((N831-69.699041)/2.195614))</f>
        <v/>
      </c>
      <c r="AA831" t="str">
        <f t="shared" ref="AA831:AA866" si="413">IF(OR(O831=0,O831=""),"",ABS((O831-113.513094)/1.682996))</f>
        <v/>
      </c>
      <c r="AB831" t="str">
        <f t="shared" ref="AB831:AB866" si="414">IF(OR(P831=0,P831=""),"",ABS((P831-115.315492)/1.394108))</f>
        <v/>
      </c>
      <c r="AC831" t="str">
        <f t="shared" ref="AC831:AC866" si="415">IF(OR(Q831=0,Q831=""),"",ABS((Q831-3.821127)/0.150485))</f>
        <v/>
      </c>
      <c r="AD831" t="str">
        <f t="shared" ref="AD831:AD866" si="416">IF(OR(R831=0,R831=""),"",ABS((R831-3.848345)/0.156761))</f>
        <v/>
      </c>
    </row>
    <row r="832" spans="1:30">
      <c r="A832" t="s">
        <v>513</v>
      </c>
      <c r="B832" t="s">
        <v>37</v>
      </c>
      <c r="C832" t="s">
        <v>38</v>
      </c>
      <c r="D832" t="s">
        <v>39</v>
      </c>
      <c r="E832" s="2">
        <v>46133</v>
      </c>
      <c r="F832" t="s">
        <v>34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tr">
        <f t="shared" si="408"/>
        <v/>
      </c>
      <c r="T832" t="str">
        <f t="shared" si="409"/>
        <v/>
      </c>
      <c r="U832" t="str">
        <f t="shared" si="396"/>
        <v/>
      </c>
      <c r="V832" t="str">
        <f t="shared" si="410"/>
        <v/>
      </c>
      <c r="W832" t="str">
        <f t="shared" si="397"/>
        <v/>
      </c>
      <c r="X832" t="str">
        <f t="shared" si="411"/>
        <v/>
      </c>
      <c r="Y832" t="str">
        <f t="shared" si="398"/>
        <v/>
      </c>
      <c r="Z832" t="str">
        <f t="shared" si="412"/>
        <v/>
      </c>
      <c r="AA832" t="str">
        <f t="shared" si="413"/>
        <v/>
      </c>
      <c r="AB832" t="str">
        <f t="shared" si="414"/>
        <v/>
      </c>
      <c r="AC832" t="str">
        <f t="shared" si="415"/>
        <v/>
      </c>
      <c r="AD832" t="str">
        <f t="shared" si="416"/>
        <v/>
      </c>
    </row>
    <row r="833" spans="1:30">
      <c r="A833" t="s">
        <v>513</v>
      </c>
      <c r="B833" t="s">
        <v>37</v>
      </c>
      <c r="C833" t="s">
        <v>38</v>
      </c>
      <c r="D833" t="s">
        <v>39</v>
      </c>
      <c r="E833" s="2">
        <v>46133</v>
      </c>
      <c r="F833" t="s">
        <v>34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tr">
        <f t="shared" si="408"/>
        <v/>
      </c>
      <c r="T833" t="str">
        <f t="shared" si="409"/>
        <v/>
      </c>
      <c r="U833" t="str">
        <f t="shared" si="396"/>
        <v/>
      </c>
      <c r="V833" t="str">
        <f t="shared" si="410"/>
        <v/>
      </c>
      <c r="W833" t="str">
        <f t="shared" si="397"/>
        <v/>
      </c>
      <c r="X833" t="str">
        <f t="shared" si="411"/>
        <v/>
      </c>
      <c r="Y833" t="str">
        <f t="shared" si="398"/>
        <v/>
      </c>
      <c r="Z833" t="str">
        <f t="shared" si="412"/>
        <v/>
      </c>
      <c r="AA833" t="str">
        <f t="shared" si="413"/>
        <v/>
      </c>
      <c r="AB833" t="str">
        <f t="shared" si="414"/>
        <v/>
      </c>
      <c r="AC833" t="str">
        <f t="shared" si="415"/>
        <v/>
      </c>
      <c r="AD833" t="str">
        <f t="shared" si="416"/>
        <v/>
      </c>
    </row>
    <row r="834" spans="1:30">
      <c r="A834" t="s">
        <v>524</v>
      </c>
      <c r="B834" t="s">
        <v>37</v>
      </c>
      <c r="C834" t="s">
        <v>38</v>
      </c>
      <c r="D834" t="s">
        <v>39</v>
      </c>
      <c r="E834" s="2">
        <v>46133</v>
      </c>
      <c r="F834" t="s">
        <v>40</v>
      </c>
      <c r="G834">
        <v>114.2</v>
      </c>
      <c r="H834">
        <v>78.400000000000006</v>
      </c>
      <c r="I834">
        <v>-1957.8</v>
      </c>
      <c r="J834">
        <v>70.400000000000006</v>
      </c>
      <c r="K834">
        <v>0</v>
      </c>
      <c r="L834">
        <v>0.1</v>
      </c>
      <c r="M834">
        <v>0</v>
      </c>
      <c r="N834">
        <v>70.3</v>
      </c>
      <c r="O834">
        <v>112.23</v>
      </c>
      <c r="P834">
        <v>116.48</v>
      </c>
      <c r="Q834">
        <v>3.71</v>
      </c>
      <c r="R834">
        <v>3.61</v>
      </c>
      <c r="S834">
        <f t="shared" si="408"/>
        <v>0.32854856148980155</v>
      </c>
      <c r="T834">
        <f t="shared" si="409"/>
        <v>0.82242606446299038</v>
      </c>
      <c r="U834">
        <f t="shared" ref="U834:U897" si="417">IF(OR(I834=0,I834=""),"",ABS((I834--1957.8)/1))</f>
        <v>0</v>
      </c>
      <c r="V834">
        <f t="shared" si="410"/>
        <v>0.5496592728295604</v>
      </c>
      <c r="W834" t="str">
        <f t="shared" ref="W834:W897" si="418">IF(OR(K834=0,K834=""),"",ABS((K834-0)/1))</f>
        <v/>
      </c>
      <c r="X834">
        <f t="shared" si="411"/>
        <v>0.96799498319040234</v>
      </c>
      <c r="Y834" t="str">
        <f t="shared" ref="Y834:Y897" si="419">IF(OR(M834=0,M834=""),"",ABS((M834-0)/1))</f>
        <v/>
      </c>
      <c r="Z834">
        <f t="shared" si="412"/>
        <v>0.27370885775004311</v>
      </c>
      <c r="AA834">
        <f t="shared" si="413"/>
        <v>0.76238683870905888</v>
      </c>
      <c r="AB834">
        <f t="shared" si="414"/>
        <v>0.83530687722902242</v>
      </c>
      <c r="AC834">
        <f t="shared" si="415"/>
        <v>0.73845898262285403</v>
      </c>
      <c r="AD834">
        <f t="shared" si="416"/>
        <v>1.5204355675199841</v>
      </c>
    </row>
    <row r="835" spans="1:30">
      <c r="A835" t="s">
        <v>519</v>
      </c>
      <c r="B835" t="s">
        <v>37</v>
      </c>
      <c r="C835" t="s">
        <v>38</v>
      </c>
      <c r="D835" t="s">
        <v>39</v>
      </c>
      <c r="E835" s="2">
        <v>46133</v>
      </c>
      <c r="F835" t="s">
        <v>40</v>
      </c>
      <c r="G835">
        <v>115.5</v>
      </c>
      <c r="H835">
        <v>78.400000000000006</v>
      </c>
      <c r="I835">
        <v>-1957.8</v>
      </c>
      <c r="J835">
        <v>70.400000000000006</v>
      </c>
      <c r="K835">
        <v>0</v>
      </c>
      <c r="L835">
        <v>0.9</v>
      </c>
      <c r="M835">
        <v>0</v>
      </c>
      <c r="N835">
        <v>69.5</v>
      </c>
      <c r="O835">
        <v>112.01</v>
      </c>
      <c r="P835">
        <v>116.7</v>
      </c>
      <c r="Q835">
        <v>3.74</v>
      </c>
      <c r="R835">
        <v>3.66</v>
      </c>
      <c r="S835">
        <f t="shared" si="408"/>
        <v>0.58928085420712684</v>
      </c>
      <c r="T835">
        <f t="shared" si="409"/>
        <v>0.82242606446299038</v>
      </c>
      <c r="U835">
        <f t="shared" si="417"/>
        <v>0</v>
      </c>
      <c r="V835">
        <f t="shared" si="410"/>
        <v>0.5496592728295604</v>
      </c>
      <c r="W835" t="str">
        <f t="shared" si="418"/>
        <v/>
      </c>
      <c r="X835">
        <f t="shared" si="411"/>
        <v>0.39660436842409758</v>
      </c>
      <c r="Y835" t="str">
        <f t="shared" si="419"/>
        <v/>
      </c>
      <c r="Z835">
        <f t="shared" si="412"/>
        <v>9.0653912755153693E-2</v>
      </c>
      <c r="AA835">
        <f t="shared" si="413"/>
        <v>0.8931061036389808</v>
      </c>
      <c r="AB835">
        <f t="shared" si="414"/>
        <v>0.99311387639981752</v>
      </c>
      <c r="AC835">
        <f t="shared" si="415"/>
        <v>0.53910356513938229</v>
      </c>
      <c r="AD835">
        <f t="shared" si="416"/>
        <v>1.2014786841114817</v>
      </c>
    </row>
    <row r="836" spans="1:30">
      <c r="A836" t="s">
        <v>520</v>
      </c>
      <c r="B836" t="s">
        <v>37</v>
      </c>
      <c r="C836" t="s">
        <v>38</v>
      </c>
      <c r="D836" t="s">
        <v>39</v>
      </c>
      <c r="E836" s="2">
        <v>46133</v>
      </c>
      <c r="F836" t="s">
        <v>40</v>
      </c>
      <c r="G836">
        <v>111.1</v>
      </c>
      <c r="H836">
        <v>80.2</v>
      </c>
      <c r="I836">
        <v>-1957.8</v>
      </c>
      <c r="J836">
        <v>70.400000000000006</v>
      </c>
      <c r="K836">
        <v>0</v>
      </c>
      <c r="L836">
        <v>0.5</v>
      </c>
      <c r="M836">
        <v>0</v>
      </c>
      <c r="N836">
        <v>69.900000000000006</v>
      </c>
      <c r="O836">
        <v>111.86</v>
      </c>
      <c r="P836">
        <v>116.85</v>
      </c>
      <c r="Q836">
        <v>3.78</v>
      </c>
      <c r="R836">
        <v>3.71</v>
      </c>
      <c r="S836">
        <f t="shared" si="408"/>
        <v>0.29319767498997729</v>
      </c>
      <c r="T836">
        <f t="shared" si="409"/>
        <v>0.18450845435752589</v>
      </c>
      <c r="U836">
        <f t="shared" si="417"/>
        <v>0</v>
      </c>
      <c r="V836">
        <f t="shared" si="410"/>
        <v>0.5496592728295604</v>
      </c>
      <c r="W836" t="str">
        <f t="shared" si="418"/>
        <v/>
      </c>
      <c r="X836">
        <f t="shared" si="411"/>
        <v>0.68229967580725004</v>
      </c>
      <c r="Y836" t="str">
        <f t="shared" si="419"/>
        <v/>
      </c>
      <c r="Z836">
        <f t="shared" si="412"/>
        <v>9.1527472497447943E-2</v>
      </c>
      <c r="AA836">
        <f t="shared" si="413"/>
        <v>0.98223287518211322</v>
      </c>
      <c r="AB836">
        <f t="shared" si="414"/>
        <v>1.1007095576526269</v>
      </c>
      <c r="AC836">
        <f t="shared" si="415"/>
        <v>0.27329634182809154</v>
      </c>
      <c r="AD836">
        <f t="shared" si="416"/>
        <v>0.88252180070298192</v>
      </c>
    </row>
    <row r="837" spans="1:30">
      <c r="A837" t="s">
        <v>516</v>
      </c>
      <c r="B837" t="s">
        <v>37</v>
      </c>
      <c r="C837" t="s">
        <v>38</v>
      </c>
      <c r="D837" t="s">
        <v>39</v>
      </c>
      <c r="E837" s="2">
        <v>46133</v>
      </c>
      <c r="F837" t="s">
        <v>40</v>
      </c>
      <c r="G837">
        <v>104.4</v>
      </c>
      <c r="H837">
        <v>76.099999999999994</v>
      </c>
      <c r="I837">
        <v>-1957.8</v>
      </c>
      <c r="J837">
        <v>70.400000000000006</v>
      </c>
      <c r="K837">
        <v>0</v>
      </c>
      <c r="L837">
        <v>0.3</v>
      </c>
      <c r="M837">
        <v>0</v>
      </c>
      <c r="N837">
        <v>70.099999999999994</v>
      </c>
      <c r="O837">
        <v>112.01</v>
      </c>
      <c r="P837">
        <v>116.78</v>
      </c>
      <c r="Q837">
        <v>3.81</v>
      </c>
      <c r="R837">
        <v>3.71</v>
      </c>
      <c r="S837">
        <f t="shared" si="408"/>
        <v>1.6369717989946546</v>
      </c>
      <c r="T837">
        <f t="shared" si="409"/>
        <v>1.6375430107088671</v>
      </c>
      <c r="U837">
        <f t="shared" si="417"/>
        <v>0</v>
      </c>
      <c r="V837">
        <f t="shared" si="410"/>
        <v>0.5496592728295604</v>
      </c>
      <c r="W837" t="str">
        <f t="shared" si="418"/>
        <v/>
      </c>
      <c r="X837">
        <f t="shared" si="411"/>
        <v>0.82514732949882619</v>
      </c>
      <c r="Y837" t="str">
        <f t="shared" si="419"/>
        <v/>
      </c>
      <c r="Z837">
        <f t="shared" si="412"/>
        <v>0.18261816512374229</v>
      </c>
      <c r="AA837">
        <f t="shared" si="413"/>
        <v>0.8931061036389808</v>
      </c>
      <c r="AB837">
        <f t="shared" si="414"/>
        <v>1.0504982397346512</v>
      </c>
      <c r="AC837">
        <f t="shared" si="415"/>
        <v>7.3940924344619782E-2</v>
      </c>
      <c r="AD837">
        <f t="shared" si="416"/>
        <v>0.88252180070298192</v>
      </c>
    </row>
    <row r="838" spans="1:30">
      <c r="A838" t="s">
        <v>533</v>
      </c>
      <c r="B838" t="s">
        <v>37</v>
      </c>
      <c r="C838" t="s">
        <v>38</v>
      </c>
      <c r="D838" t="s">
        <v>39</v>
      </c>
      <c r="E838" s="2">
        <v>46134</v>
      </c>
      <c r="F838" t="s">
        <v>40</v>
      </c>
      <c r="G838">
        <v>109.3</v>
      </c>
      <c r="H838">
        <v>76.599999999999994</v>
      </c>
      <c r="I838">
        <v>-1957.8</v>
      </c>
      <c r="J838">
        <v>67.7</v>
      </c>
      <c r="K838">
        <v>0</v>
      </c>
      <c r="L838">
        <v>1.1000000000000001</v>
      </c>
      <c r="M838">
        <v>0</v>
      </c>
      <c r="N838">
        <v>66.599999999999994</v>
      </c>
      <c r="O838">
        <v>111.72</v>
      </c>
      <c r="P838">
        <v>113.26</v>
      </c>
      <c r="Q838">
        <v>3.74</v>
      </c>
      <c r="R838">
        <v>3.74</v>
      </c>
      <c r="S838">
        <f t="shared" si="408"/>
        <v>0.65421161875242795</v>
      </c>
      <c r="T838">
        <f t="shared" si="409"/>
        <v>1.4603436745684599</v>
      </c>
      <c r="U838">
        <f t="shared" si="417"/>
        <v>0</v>
      </c>
      <c r="V838">
        <f t="shared" si="410"/>
        <v>0.86197700183094261</v>
      </c>
      <c r="W838" t="str">
        <f t="shared" si="418"/>
        <v/>
      </c>
      <c r="X838">
        <f t="shared" si="411"/>
        <v>0.25375671473252137</v>
      </c>
      <c r="Y838" t="str">
        <f t="shared" si="419"/>
        <v/>
      </c>
      <c r="Z838">
        <f t="shared" si="412"/>
        <v>1.4114689558364995</v>
      </c>
      <c r="AA838">
        <f t="shared" si="413"/>
        <v>1.0654178619557007</v>
      </c>
      <c r="AB838">
        <f t="shared" si="414"/>
        <v>1.4744137469980814</v>
      </c>
      <c r="AC838">
        <f t="shared" si="415"/>
        <v>0.53910356513938229</v>
      </c>
      <c r="AD838">
        <f t="shared" si="416"/>
        <v>0.69114767065787985</v>
      </c>
    </row>
    <row r="839" spans="1:30">
      <c r="A839" t="s">
        <v>515</v>
      </c>
      <c r="B839" t="s">
        <v>37</v>
      </c>
      <c r="C839" t="s">
        <v>38</v>
      </c>
      <c r="D839" t="s">
        <v>39</v>
      </c>
      <c r="E839" s="2">
        <v>46134</v>
      </c>
      <c r="F839" t="s">
        <v>40</v>
      </c>
      <c r="G839">
        <v>105.7</v>
      </c>
      <c r="H839">
        <v>76.099999999999994</v>
      </c>
      <c r="I839">
        <v>-1957.8</v>
      </c>
      <c r="J839">
        <v>67.7</v>
      </c>
      <c r="K839">
        <v>0</v>
      </c>
      <c r="L839">
        <v>0.2</v>
      </c>
      <c r="M839">
        <v>0</v>
      </c>
      <c r="N839">
        <v>67.5</v>
      </c>
      <c r="O839">
        <v>115.31</v>
      </c>
      <c r="P839">
        <v>115.38</v>
      </c>
      <c r="Q839">
        <v>3.59</v>
      </c>
      <c r="R839">
        <v>3.59</v>
      </c>
      <c r="S839">
        <f t="shared" si="408"/>
        <v>1.3762395062773292</v>
      </c>
      <c r="T839">
        <f t="shared" si="409"/>
        <v>1.6375430107088671</v>
      </c>
      <c r="U839">
        <f t="shared" si="417"/>
        <v>0</v>
      </c>
      <c r="V839">
        <f t="shared" si="410"/>
        <v>0.86197700183094261</v>
      </c>
      <c r="W839" t="str">
        <f t="shared" si="418"/>
        <v/>
      </c>
      <c r="X839">
        <f t="shared" si="411"/>
        <v>0.89657115634461437</v>
      </c>
      <c r="Y839" t="str">
        <f t="shared" si="419"/>
        <v/>
      </c>
      <c r="Z839">
        <f t="shared" si="412"/>
        <v>1.001560839018149</v>
      </c>
      <c r="AA839">
        <f t="shared" si="413"/>
        <v>1.0676828703098564</v>
      </c>
      <c r="AB839">
        <f t="shared" si="414"/>
        <v>4.6271881375036482E-2</v>
      </c>
      <c r="AC839">
        <f t="shared" si="415"/>
        <v>1.5358806525567352</v>
      </c>
      <c r="AD839">
        <f t="shared" si="416"/>
        <v>1.6480183208833845</v>
      </c>
    </row>
    <row r="840" spans="1:30">
      <c r="A840" t="s">
        <v>512</v>
      </c>
      <c r="B840" t="s">
        <v>37</v>
      </c>
      <c r="C840" t="s">
        <v>38</v>
      </c>
      <c r="D840" t="s">
        <v>39</v>
      </c>
      <c r="E840" s="2">
        <v>46134</v>
      </c>
      <c r="F840" t="s">
        <v>40</v>
      </c>
      <c r="G840">
        <v>107</v>
      </c>
      <c r="H840">
        <v>75.7</v>
      </c>
      <c r="I840">
        <v>-1957.8</v>
      </c>
      <c r="J840">
        <v>67.7</v>
      </c>
      <c r="K840">
        <v>0</v>
      </c>
      <c r="L840">
        <v>0.6</v>
      </c>
      <c r="M840">
        <v>0</v>
      </c>
      <c r="N840">
        <v>67.099999999999994</v>
      </c>
      <c r="O840">
        <v>112.16</v>
      </c>
      <c r="P840">
        <v>117</v>
      </c>
      <c r="Q840">
        <v>3.78</v>
      </c>
      <c r="R840">
        <v>3.71</v>
      </c>
      <c r="S840">
        <f t="shared" si="408"/>
        <v>1.1155072135600039</v>
      </c>
      <c r="T840">
        <f t="shared" si="409"/>
        <v>1.7793024796211898</v>
      </c>
      <c r="U840">
        <f t="shared" si="417"/>
        <v>0</v>
      </c>
      <c r="V840">
        <f t="shared" si="410"/>
        <v>0.86197700183094261</v>
      </c>
      <c r="W840" t="str">
        <f t="shared" si="418"/>
        <v/>
      </c>
      <c r="X840">
        <f t="shared" si="411"/>
        <v>0.61087584896146196</v>
      </c>
      <c r="Y840" t="str">
        <f t="shared" si="419"/>
        <v/>
      </c>
      <c r="Z840">
        <f t="shared" si="412"/>
        <v>1.1837422242707505</v>
      </c>
      <c r="AA840">
        <f t="shared" si="413"/>
        <v>0.80397933209585692</v>
      </c>
      <c r="AB840">
        <f t="shared" si="414"/>
        <v>1.2083052389054463</v>
      </c>
      <c r="AC840">
        <f t="shared" si="415"/>
        <v>0.27329634182809154</v>
      </c>
      <c r="AD840">
        <f t="shared" si="416"/>
        <v>0.88252180070298192</v>
      </c>
    </row>
    <row r="841" spans="1:30">
      <c r="A841" t="s">
        <v>507</v>
      </c>
      <c r="B841" t="s">
        <v>37</v>
      </c>
      <c r="C841" t="s">
        <v>38</v>
      </c>
      <c r="D841" t="s">
        <v>39</v>
      </c>
      <c r="E841" s="2">
        <v>46134</v>
      </c>
      <c r="F841" t="s">
        <v>40</v>
      </c>
      <c r="G841">
        <v>108.8</v>
      </c>
      <c r="H841">
        <v>76.599999999999994</v>
      </c>
      <c r="I841">
        <v>-1957.8</v>
      </c>
      <c r="J841">
        <v>67.7</v>
      </c>
      <c r="K841">
        <v>0</v>
      </c>
      <c r="L841">
        <v>0.6</v>
      </c>
      <c r="M841">
        <v>0</v>
      </c>
      <c r="N841">
        <v>67.099999999999994</v>
      </c>
      <c r="O841">
        <v>115.53</v>
      </c>
      <c r="P841">
        <v>113.99</v>
      </c>
      <c r="Q841">
        <v>3.61</v>
      </c>
      <c r="R841">
        <v>3.64</v>
      </c>
      <c r="S841">
        <f t="shared" si="408"/>
        <v>0.75449326979755327</v>
      </c>
      <c r="T841">
        <f t="shared" si="409"/>
        <v>1.4603436745684599</v>
      </c>
      <c r="U841">
        <f t="shared" si="417"/>
        <v>0</v>
      </c>
      <c r="V841">
        <f t="shared" si="410"/>
        <v>0.86197700183094261</v>
      </c>
      <c r="W841" t="str">
        <f t="shared" si="418"/>
        <v/>
      </c>
      <c r="X841">
        <f t="shared" si="411"/>
        <v>0.61087584896146196</v>
      </c>
      <c r="Y841" t="str">
        <f t="shared" si="419"/>
        <v/>
      </c>
      <c r="Z841">
        <f t="shared" si="412"/>
        <v>1.1837422242707505</v>
      </c>
      <c r="AA841">
        <f t="shared" si="413"/>
        <v>1.1984021352397782</v>
      </c>
      <c r="AB841">
        <f t="shared" si="414"/>
        <v>0.95078143156772021</v>
      </c>
      <c r="AC841">
        <f t="shared" si="415"/>
        <v>1.4029770409010882</v>
      </c>
      <c r="AD841">
        <f t="shared" si="416"/>
        <v>1.3290614374748821</v>
      </c>
    </row>
    <row r="842" spans="1:30">
      <c r="A842" t="s">
        <v>504</v>
      </c>
      <c r="B842" t="s">
        <v>37</v>
      </c>
      <c r="C842" t="s">
        <v>38</v>
      </c>
      <c r="D842" t="s">
        <v>39</v>
      </c>
      <c r="E842" s="2">
        <v>46134</v>
      </c>
      <c r="F842" t="s">
        <v>40</v>
      </c>
      <c r="G842">
        <v>111.5</v>
      </c>
      <c r="H842">
        <v>77.900000000000006</v>
      </c>
      <c r="I842">
        <v>-1957.8</v>
      </c>
      <c r="J842">
        <v>68.2</v>
      </c>
      <c r="K842">
        <v>0</v>
      </c>
      <c r="L842">
        <v>0.1</v>
      </c>
      <c r="M842">
        <v>0</v>
      </c>
      <c r="N842">
        <v>68.099999999999994</v>
      </c>
      <c r="O842">
        <v>115.46</v>
      </c>
      <c r="P842">
        <v>115.6</v>
      </c>
      <c r="Q842">
        <v>3.66</v>
      </c>
      <c r="R842">
        <v>3.64</v>
      </c>
      <c r="S842">
        <f t="shared" si="408"/>
        <v>0.21297235415387586</v>
      </c>
      <c r="T842">
        <f t="shared" si="409"/>
        <v>0.99962540060339755</v>
      </c>
      <c r="U842">
        <f t="shared" si="417"/>
        <v>0</v>
      </c>
      <c r="V842">
        <f t="shared" si="410"/>
        <v>0.60056287689381271</v>
      </c>
      <c r="W842" t="str">
        <f t="shared" si="418"/>
        <v/>
      </c>
      <c r="X842">
        <f t="shared" si="411"/>
        <v>0.96799498319040234</v>
      </c>
      <c r="Y842" t="str">
        <f t="shared" si="419"/>
        <v/>
      </c>
      <c r="Z842">
        <f t="shared" si="412"/>
        <v>0.728288761139253</v>
      </c>
      <c r="AA842">
        <f t="shared" si="413"/>
        <v>1.1568096418529803</v>
      </c>
      <c r="AB842">
        <f t="shared" si="414"/>
        <v>0.20407888054583162</v>
      </c>
      <c r="AC842">
        <f t="shared" si="415"/>
        <v>1.0707180117619697</v>
      </c>
      <c r="AD842">
        <f t="shared" si="416"/>
        <v>1.3290614374748821</v>
      </c>
    </row>
    <row r="843" spans="1:30">
      <c r="A843" t="s">
        <v>526</v>
      </c>
      <c r="B843" t="s">
        <v>37</v>
      </c>
      <c r="C843" t="s">
        <v>38</v>
      </c>
      <c r="D843" t="s">
        <v>39</v>
      </c>
      <c r="E843" s="2">
        <v>46134</v>
      </c>
      <c r="F843" t="s">
        <v>40</v>
      </c>
      <c r="G843">
        <v>112.4</v>
      </c>
      <c r="H843">
        <v>75.2</v>
      </c>
      <c r="I843">
        <v>-1957.8</v>
      </c>
      <c r="J843">
        <v>68.2</v>
      </c>
      <c r="K843">
        <v>0</v>
      </c>
      <c r="L843">
        <v>0.1</v>
      </c>
      <c r="M843">
        <v>0</v>
      </c>
      <c r="N843">
        <v>68.099999999999994</v>
      </c>
      <c r="O843">
        <v>111.94</v>
      </c>
      <c r="P843">
        <v>116.48</v>
      </c>
      <c r="Q843">
        <v>3.74</v>
      </c>
      <c r="R843">
        <v>3.64</v>
      </c>
      <c r="S843">
        <f t="shared" si="408"/>
        <v>3.246538227264912E-2</v>
      </c>
      <c r="T843">
        <f t="shared" si="409"/>
        <v>1.9565018157615968</v>
      </c>
      <c r="U843">
        <f t="shared" si="417"/>
        <v>0</v>
      </c>
      <c r="V843">
        <f t="shared" si="410"/>
        <v>0.60056287689381271</v>
      </c>
      <c r="W843" t="str">
        <f t="shared" si="418"/>
        <v/>
      </c>
      <c r="X843">
        <f t="shared" si="411"/>
        <v>0.96799498319040234</v>
      </c>
      <c r="Y843" t="str">
        <f t="shared" si="419"/>
        <v/>
      </c>
      <c r="Z843">
        <f t="shared" si="412"/>
        <v>0.728288761139253</v>
      </c>
      <c r="AA843">
        <f t="shared" si="413"/>
        <v>0.93469859702577884</v>
      </c>
      <c r="AB843">
        <f t="shared" si="414"/>
        <v>0.83530687722902242</v>
      </c>
      <c r="AC843">
        <f t="shared" si="415"/>
        <v>0.53910356513938229</v>
      </c>
      <c r="AD843">
        <f t="shared" si="416"/>
        <v>1.3290614374748821</v>
      </c>
    </row>
    <row r="844" spans="1:30">
      <c r="A844" t="s">
        <v>502</v>
      </c>
      <c r="B844" t="s">
        <v>37</v>
      </c>
      <c r="C844" t="s">
        <v>38</v>
      </c>
      <c r="D844" t="s">
        <v>39</v>
      </c>
      <c r="E844" s="2">
        <v>46134</v>
      </c>
      <c r="F844" t="s">
        <v>34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tr">
        <f t="shared" si="408"/>
        <v/>
      </c>
      <c r="T844" t="str">
        <f t="shared" si="409"/>
        <v/>
      </c>
      <c r="U844" t="str">
        <f t="shared" si="417"/>
        <v/>
      </c>
      <c r="V844" t="str">
        <f t="shared" si="410"/>
        <v/>
      </c>
      <c r="W844" t="str">
        <f t="shared" si="418"/>
        <v/>
      </c>
      <c r="X844" t="str">
        <f t="shared" si="411"/>
        <v/>
      </c>
      <c r="Y844" t="str">
        <f t="shared" si="419"/>
        <v/>
      </c>
      <c r="Z844" t="str">
        <f t="shared" si="412"/>
        <v/>
      </c>
      <c r="AA844" t="str">
        <f t="shared" si="413"/>
        <v/>
      </c>
      <c r="AB844" t="str">
        <f t="shared" si="414"/>
        <v/>
      </c>
      <c r="AC844" t="str">
        <f t="shared" si="415"/>
        <v/>
      </c>
      <c r="AD844" t="str">
        <f t="shared" si="416"/>
        <v/>
      </c>
    </row>
    <row r="845" spans="1:30">
      <c r="A845" t="s">
        <v>502</v>
      </c>
      <c r="B845" t="s">
        <v>37</v>
      </c>
      <c r="C845" t="s">
        <v>38</v>
      </c>
      <c r="D845" t="s">
        <v>39</v>
      </c>
      <c r="E845" s="2">
        <v>46134</v>
      </c>
      <c r="F845" t="s">
        <v>40</v>
      </c>
      <c r="G845">
        <v>112.9</v>
      </c>
      <c r="H845">
        <v>75.7</v>
      </c>
      <c r="I845">
        <v>-1957.8</v>
      </c>
      <c r="J845">
        <v>68.2</v>
      </c>
      <c r="K845">
        <v>0</v>
      </c>
      <c r="L845">
        <v>0.3</v>
      </c>
      <c r="M845">
        <v>0</v>
      </c>
      <c r="N845">
        <v>67.900000000000006</v>
      </c>
      <c r="O845">
        <v>111.86</v>
      </c>
      <c r="P845">
        <v>116.56</v>
      </c>
      <c r="Q845">
        <v>3.74</v>
      </c>
      <c r="R845">
        <v>3.69</v>
      </c>
      <c r="S845">
        <f t="shared" si="408"/>
        <v>6.7816268772476221E-2</v>
      </c>
      <c r="T845">
        <f t="shared" si="409"/>
        <v>1.7793024796211898</v>
      </c>
      <c r="U845">
        <f t="shared" si="417"/>
        <v>0</v>
      </c>
      <c r="V845">
        <f t="shared" si="410"/>
        <v>0.60056287689381271</v>
      </c>
      <c r="W845" t="str">
        <f t="shared" si="418"/>
        <v/>
      </c>
      <c r="X845">
        <f t="shared" si="411"/>
        <v>0.82514732949882619</v>
      </c>
      <c r="Y845" t="str">
        <f t="shared" si="419"/>
        <v/>
      </c>
      <c r="Z845">
        <f t="shared" si="412"/>
        <v>0.81937945376554733</v>
      </c>
      <c r="AA845">
        <f t="shared" si="413"/>
        <v>0.98223287518211322</v>
      </c>
      <c r="AB845">
        <f t="shared" si="414"/>
        <v>0.89269124056385607</v>
      </c>
      <c r="AC845">
        <f t="shared" si="415"/>
        <v>0.53910356513938229</v>
      </c>
      <c r="AD845">
        <f t="shared" si="416"/>
        <v>1.0101045540663824</v>
      </c>
    </row>
    <row r="846" spans="1:30">
      <c r="A846" t="s">
        <v>528</v>
      </c>
      <c r="B846" t="s">
        <v>37</v>
      </c>
      <c r="C846" t="s">
        <v>38</v>
      </c>
      <c r="D846" t="s">
        <v>39</v>
      </c>
      <c r="E846" s="2">
        <v>46134</v>
      </c>
      <c r="F846" t="s">
        <v>34</v>
      </c>
      <c r="G846">
        <v>110.2</v>
      </c>
      <c r="H846">
        <v>73.900000000000006</v>
      </c>
      <c r="I846">
        <v>-1957.8</v>
      </c>
      <c r="J846">
        <v>68.2</v>
      </c>
      <c r="K846">
        <v>0</v>
      </c>
      <c r="L846">
        <v>0.2</v>
      </c>
      <c r="M846">
        <v>0</v>
      </c>
      <c r="N846">
        <v>68</v>
      </c>
      <c r="O846">
        <v>112.01</v>
      </c>
      <c r="P846">
        <v>116.7</v>
      </c>
      <c r="Q846">
        <v>3.66</v>
      </c>
      <c r="R846">
        <v>3.59</v>
      </c>
      <c r="S846">
        <f t="shared" si="408"/>
        <v>0.47370464687120117</v>
      </c>
      <c r="T846">
        <f t="shared" si="409"/>
        <v>2.417220089726654</v>
      </c>
      <c r="U846">
        <f t="shared" si="417"/>
        <v>0</v>
      </c>
      <c r="V846">
        <f t="shared" si="410"/>
        <v>0.60056287689381271</v>
      </c>
      <c r="W846" t="str">
        <f t="shared" si="418"/>
        <v/>
      </c>
      <c r="X846">
        <f t="shared" si="411"/>
        <v>0.89657115634461437</v>
      </c>
      <c r="Y846" t="str">
        <f t="shared" si="419"/>
        <v/>
      </c>
      <c r="Z846">
        <f t="shared" si="412"/>
        <v>0.77383410745240011</v>
      </c>
      <c r="AA846">
        <f t="shared" si="413"/>
        <v>0.8931061036389808</v>
      </c>
      <c r="AB846">
        <f t="shared" si="414"/>
        <v>0.99311387639981752</v>
      </c>
      <c r="AC846">
        <f t="shared" si="415"/>
        <v>1.0707180117619697</v>
      </c>
      <c r="AD846">
        <f t="shared" si="416"/>
        <v>1.6480183208833845</v>
      </c>
    </row>
    <row r="847" spans="1:30">
      <c r="A847" t="s">
        <v>528</v>
      </c>
      <c r="B847" t="s">
        <v>37</v>
      </c>
      <c r="C847" t="s">
        <v>38</v>
      </c>
      <c r="D847" t="s">
        <v>39</v>
      </c>
      <c r="E847" s="2">
        <v>46134</v>
      </c>
      <c r="F847" t="s">
        <v>34</v>
      </c>
      <c r="G847">
        <v>109.3</v>
      </c>
      <c r="H847">
        <v>74.8</v>
      </c>
      <c r="I847">
        <v>-1957.8</v>
      </c>
      <c r="J847">
        <v>68.2</v>
      </c>
      <c r="K847">
        <v>0</v>
      </c>
      <c r="L847">
        <v>1.3</v>
      </c>
      <c r="M847">
        <v>0</v>
      </c>
      <c r="N847">
        <v>66.900000000000006</v>
      </c>
      <c r="O847">
        <v>112.16</v>
      </c>
      <c r="P847">
        <v>113.62</v>
      </c>
      <c r="Q847">
        <v>3.59</v>
      </c>
      <c r="R847">
        <v>3.52</v>
      </c>
      <c r="S847">
        <f t="shared" si="408"/>
        <v>0.65421161875242795</v>
      </c>
      <c r="T847">
        <f t="shared" si="409"/>
        <v>2.0982612846739244</v>
      </c>
      <c r="U847">
        <f t="shared" si="417"/>
        <v>0</v>
      </c>
      <c r="V847">
        <f t="shared" si="410"/>
        <v>0.60056287689381271</v>
      </c>
      <c r="W847" t="str">
        <f t="shared" si="418"/>
        <v/>
      </c>
      <c r="X847">
        <f t="shared" si="411"/>
        <v>0.11090906104094518</v>
      </c>
      <c r="Y847" t="str">
        <f t="shared" si="419"/>
        <v/>
      </c>
      <c r="Z847">
        <f t="shared" si="412"/>
        <v>1.2748329168970449</v>
      </c>
      <c r="AA847">
        <f t="shared" si="413"/>
        <v>0.80397933209585692</v>
      </c>
      <c r="AB847">
        <f t="shared" si="414"/>
        <v>1.2161841119913246</v>
      </c>
      <c r="AC847">
        <f t="shared" si="415"/>
        <v>1.5358806525567352</v>
      </c>
      <c r="AD847">
        <f t="shared" si="416"/>
        <v>2.0945579576552849</v>
      </c>
    </row>
    <row r="848" spans="1:30">
      <c r="A848" t="s">
        <v>528</v>
      </c>
      <c r="B848" t="s">
        <v>37</v>
      </c>
      <c r="C848" t="s">
        <v>38</v>
      </c>
      <c r="D848" t="s">
        <v>39</v>
      </c>
      <c r="E848" s="2">
        <v>46134</v>
      </c>
      <c r="F848" t="s">
        <v>40</v>
      </c>
      <c r="G848">
        <v>105.7</v>
      </c>
      <c r="H848">
        <v>75.7</v>
      </c>
      <c r="I848">
        <v>-1957.8</v>
      </c>
      <c r="J848">
        <v>68.599999999999994</v>
      </c>
      <c r="K848">
        <v>0</v>
      </c>
      <c r="L848">
        <v>0.7</v>
      </c>
      <c r="M848">
        <v>0</v>
      </c>
      <c r="N848">
        <v>67.900000000000006</v>
      </c>
      <c r="O848">
        <v>115.46</v>
      </c>
      <c r="P848">
        <v>115.31</v>
      </c>
      <c r="Q848">
        <v>3.49</v>
      </c>
      <c r="R848">
        <v>3.44</v>
      </c>
      <c r="S848">
        <f t="shared" si="408"/>
        <v>1.3762395062773292</v>
      </c>
      <c r="T848">
        <f t="shared" si="409"/>
        <v>1.7793024796211898</v>
      </c>
      <c r="U848">
        <f t="shared" si="417"/>
        <v>0</v>
      </c>
      <c r="V848">
        <f t="shared" si="410"/>
        <v>0.39143157694411324</v>
      </c>
      <c r="W848" t="str">
        <f t="shared" si="418"/>
        <v/>
      </c>
      <c r="X848">
        <f t="shared" si="411"/>
        <v>0.53945202211567389</v>
      </c>
      <c r="Y848" t="str">
        <f t="shared" si="419"/>
        <v/>
      </c>
      <c r="Z848">
        <f t="shared" si="412"/>
        <v>0.81937945376554733</v>
      </c>
      <c r="AA848">
        <f t="shared" si="413"/>
        <v>1.1568096418529803</v>
      </c>
      <c r="AB848">
        <f t="shared" si="414"/>
        <v>3.9394365429391608E-3</v>
      </c>
      <c r="AC848">
        <f t="shared" si="415"/>
        <v>2.2003987108349663</v>
      </c>
      <c r="AD848">
        <f t="shared" si="416"/>
        <v>2.6048889711088865</v>
      </c>
    </row>
    <row r="849" spans="1:30">
      <c r="A849" t="s">
        <v>494</v>
      </c>
      <c r="B849" t="s">
        <v>37</v>
      </c>
      <c r="C849" t="s">
        <v>38</v>
      </c>
      <c r="D849" t="s">
        <v>39</v>
      </c>
      <c r="E849" s="2">
        <v>46134</v>
      </c>
      <c r="F849" t="s">
        <v>34</v>
      </c>
      <c r="G849">
        <v>111.5</v>
      </c>
      <c r="H849">
        <v>74.8</v>
      </c>
      <c r="I849">
        <v>-1957.8</v>
      </c>
      <c r="J849">
        <v>68.599999999999994</v>
      </c>
      <c r="K849">
        <v>0</v>
      </c>
      <c r="L849">
        <v>0.7</v>
      </c>
      <c r="M849">
        <v>0</v>
      </c>
      <c r="N849">
        <v>67.900000000000006</v>
      </c>
      <c r="O849">
        <v>112.16</v>
      </c>
      <c r="P849">
        <v>117</v>
      </c>
      <c r="Q849">
        <v>3.78</v>
      </c>
      <c r="R849">
        <v>3.64</v>
      </c>
      <c r="S849">
        <f t="shared" si="408"/>
        <v>0.21297235415387586</v>
      </c>
      <c r="T849">
        <f t="shared" si="409"/>
        <v>2.0982612846739244</v>
      </c>
      <c r="U849">
        <f t="shared" si="417"/>
        <v>0</v>
      </c>
      <c r="V849">
        <f t="shared" si="410"/>
        <v>0.39143157694411324</v>
      </c>
      <c r="W849" t="str">
        <f t="shared" si="418"/>
        <v/>
      </c>
      <c r="X849">
        <f t="shared" si="411"/>
        <v>0.53945202211567389</v>
      </c>
      <c r="Y849" t="str">
        <f t="shared" si="419"/>
        <v/>
      </c>
      <c r="Z849">
        <f t="shared" si="412"/>
        <v>0.81937945376554733</v>
      </c>
      <c r="AA849">
        <f t="shared" si="413"/>
        <v>0.80397933209585692</v>
      </c>
      <c r="AB849">
        <f t="shared" si="414"/>
        <v>1.2083052389054463</v>
      </c>
      <c r="AC849">
        <f t="shared" si="415"/>
        <v>0.27329634182809154</v>
      </c>
      <c r="AD849">
        <f t="shared" si="416"/>
        <v>1.3290614374748821</v>
      </c>
    </row>
    <row r="850" spans="1:30">
      <c r="A850" t="s">
        <v>494</v>
      </c>
      <c r="B850" t="s">
        <v>37</v>
      </c>
      <c r="C850" t="s">
        <v>38</v>
      </c>
      <c r="D850" t="s">
        <v>39</v>
      </c>
      <c r="E850" s="2">
        <v>46134</v>
      </c>
      <c r="F850" t="s">
        <v>40</v>
      </c>
      <c r="G850">
        <v>112.4</v>
      </c>
      <c r="H850">
        <v>75.2</v>
      </c>
      <c r="I850">
        <v>-1957.8</v>
      </c>
      <c r="J850">
        <v>68.599999999999994</v>
      </c>
      <c r="K850">
        <v>0</v>
      </c>
      <c r="L850">
        <v>1.2</v>
      </c>
      <c r="M850">
        <v>0</v>
      </c>
      <c r="N850">
        <v>67.400000000000006</v>
      </c>
      <c r="O850">
        <v>112.23</v>
      </c>
      <c r="P850">
        <v>116.92</v>
      </c>
      <c r="Q850">
        <v>3.69</v>
      </c>
      <c r="R850">
        <v>3.56</v>
      </c>
      <c r="S850">
        <f t="shared" si="408"/>
        <v>3.246538227264912E-2</v>
      </c>
      <c r="T850">
        <f t="shared" si="409"/>
        <v>1.9565018157615968</v>
      </c>
      <c r="U850">
        <f t="shared" si="417"/>
        <v>0</v>
      </c>
      <c r="V850">
        <f t="shared" si="410"/>
        <v>0.39143157694411324</v>
      </c>
      <c r="W850" t="str">
        <f t="shared" si="418"/>
        <v/>
      </c>
      <c r="X850">
        <f t="shared" si="411"/>
        <v>0.18233288788673335</v>
      </c>
      <c r="Y850" t="str">
        <f t="shared" si="419"/>
        <v/>
      </c>
      <c r="Z850">
        <f t="shared" si="412"/>
        <v>1.0471061853312962</v>
      </c>
      <c r="AA850">
        <f t="shared" si="413"/>
        <v>0.76238683870905888</v>
      </c>
      <c r="AB850">
        <f t="shared" si="414"/>
        <v>1.1509208755706126</v>
      </c>
      <c r="AC850">
        <f t="shared" si="415"/>
        <v>0.87136259427850093</v>
      </c>
      <c r="AD850">
        <f t="shared" si="416"/>
        <v>1.8393924509284838</v>
      </c>
    </row>
    <row r="851" spans="1:30">
      <c r="A851" t="s">
        <v>505</v>
      </c>
      <c r="B851" t="s">
        <v>37</v>
      </c>
      <c r="C851" t="s">
        <v>38</v>
      </c>
      <c r="D851" t="s">
        <v>39</v>
      </c>
      <c r="E851" s="2">
        <v>46134</v>
      </c>
      <c r="F851" t="s">
        <v>34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tr">
        <f t="shared" si="408"/>
        <v/>
      </c>
      <c r="T851" t="str">
        <f t="shared" si="409"/>
        <v/>
      </c>
      <c r="U851" t="str">
        <f t="shared" si="417"/>
        <v/>
      </c>
      <c r="V851" t="str">
        <f t="shared" si="410"/>
        <v/>
      </c>
      <c r="W851" t="str">
        <f t="shared" si="418"/>
        <v/>
      </c>
      <c r="X851" t="str">
        <f t="shared" si="411"/>
        <v/>
      </c>
      <c r="Y851" t="str">
        <f t="shared" si="419"/>
        <v/>
      </c>
      <c r="Z851" t="str">
        <f t="shared" si="412"/>
        <v/>
      </c>
      <c r="AA851" t="str">
        <f t="shared" si="413"/>
        <v/>
      </c>
      <c r="AB851" t="str">
        <f t="shared" si="414"/>
        <v/>
      </c>
      <c r="AC851" t="str">
        <f t="shared" si="415"/>
        <v/>
      </c>
      <c r="AD851" t="str">
        <f t="shared" si="416"/>
        <v/>
      </c>
    </row>
    <row r="852" spans="1:30">
      <c r="A852" t="s">
        <v>505</v>
      </c>
      <c r="B852" t="s">
        <v>37</v>
      </c>
      <c r="C852" t="s">
        <v>38</v>
      </c>
      <c r="D852" t="s">
        <v>39</v>
      </c>
      <c r="E852" s="2">
        <v>46134</v>
      </c>
      <c r="F852" t="s">
        <v>34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tr">
        <f t="shared" si="408"/>
        <v/>
      </c>
      <c r="T852" t="str">
        <f t="shared" si="409"/>
        <v/>
      </c>
      <c r="U852" t="str">
        <f t="shared" si="417"/>
        <v/>
      </c>
      <c r="V852" t="str">
        <f t="shared" si="410"/>
        <v/>
      </c>
      <c r="W852" t="str">
        <f t="shared" si="418"/>
        <v/>
      </c>
      <c r="X852" t="str">
        <f t="shared" si="411"/>
        <v/>
      </c>
      <c r="Y852" t="str">
        <f t="shared" si="419"/>
        <v/>
      </c>
      <c r="Z852" t="str">
        <f t="shared" si="412"/>
        <v/>
      </c>
      <c r="AA852" t="str">
        <f t="shared" si="413"/>
        <v/>
      </c>
      <c r="AB852" t="str">
        <f t="shared" si="414"/>
        <v/>
      </c>
      <c r="AC852" t="str">
        <f t="shared" si="415"/>
        <v/>
      </c>
      <c r="AD852" t="str">
        <f t="shared" si="416"/>
        <v/>
      </c>
    </row>
    <row r="853" spans="1:30">
      <c r="A853" t="s">
        <v>505</v>
      </c>
      <c r="B853" t="s">
        <v>37</v>
      </c>
      <c r="C853" t="s">
        <v>38</v>
      </c>
      <c r="D853" t="s">
        <v>39</v>
      </c>
      <c r="E853" s="2">
        <v>46134</v>
      </c>
      <c r="F853" t="s">
        <v>34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tr">
        <f t="shared" si="408"/>
        <v/>
      </c>
      <c r="T853" t="str">
        <f t="shared" si="409"/>
        <v/>
      </c>
      <c r="U853" t="str">
        <f t="shared" si="417"/>
        <v/>
      </c>
      <c r="V853" t="str">
        <f t="shared" si="410"/>
        <v/>
      </c>
      <c r="W853" t="str">
        <f t="shared" si="418"/>
        <v/>
      </c>
      <c r="X853" t="str">
        <f t="shared" si="411"/>
        <v/>
      </c>
      <c r="Y853" t="str">
        <f t="shared" si="419"/>
        <v/>
      </c>
      <c r="Z853" t="str">
        <f t="shared" si="412"/>
        <v/>
      </c>
      <c r="AA853" t="str">
        <f t="shared" si="413"/>
        <v/>
      </c>
      <c r="AB853" t="str">
        <f t="shared" si="414"/>
        <v/>
      </c>
      <c r="AC853" t="str">
        <f t="shared" si="415"/>
        <v/>
      </c>
      <c r="AD853" t="str">
        <f t="shared" si="416"/>
        <v/>
      </c>
    </row>
    <row r="854" spans="1:30">
      <c r="A854" t="s">
        <v>505</v>
      </c>
      <c r="B854" t="s">
        <v>37</v>
      </c>
      <c r="C854" t="s">
        <v>38</v>
      </c>
      <c r="D854" t="s">
        <v>39</v>
      </c>
      <c r="E854" s="2">
        <v>46134</v>
      </c>
      <c r="F854" t="s">
        <v>34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tr">
        <f t="shared" si="408"/>
        <v/>
      </c>
      <c r="T854" t="str">
        <f t="shared" si="409"/>
        <v/>
      </c>
      <c r="U854" t="str">
        <f t="shared" si="417"/>
        <v/>
      </c>
      <c r="V854" t="str">
        <f t="shared" si="410"/>
        <v/>
      </c>
      <c r="W854" t="str">
        <f t="shared" si="418"/>
        <v/>
      </c>
      <c r="X854" t="str">
        <f t="shared" si="411"/>
        <v/>
      </c>
      <c r="Y854" t="str">
        <f t="shared" si="419"/>
        <v/>
      </c>
      <c r="Z854" t="str">
        <f t="shared" si="412"/>
        <v/>
      </c>
      <c r="AA854" t="str">
        <f t="shared" si="413"/>
        <v/>
      </c>
      <c r="AB854" t="str">
        <f t="shared" si="414"/>
        <v/>
      </c>
      <c r="AC854" t="str">
        <f t="shared" si="415"/>
        <v/>
      </c>
      <c r="AD854" t="str">
        <f t="shared" si="416"/>
        <v/>
      </c>
    </row>
    <row r="855" spans="1:30">
      <c r="A855" t="s">
        <v>506</v>
      </c>
      <c r="B855" t="s">
        <v>37</v>
      </c>
      <c r="C855" t="s">
        <v>38</v>
      </c>
      <c r="D855" t="s">
        <v>39</v>
      </c>
      <c r="E855" s="2">
        <v>46134</v>
      </c>
      <c r="F855" t="s">
        <v>34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tr">
        <f t="shared" si="408"/>
        <v/>
      </c>
      <c r="T855" t="str">
        <f t="shared" si="409"/>
        <v/>
      </c>
      <c r="U855" t="str">
        <f t="shared" si="417"/>
        <v/>
      </c>
      <c r="V855" t="str">
        <f t="shared" si="410"/>
        <v/>
      </c>
      <c r="W855" t="str">
        <f t="shared" si="418"/>
        <v/>
      </c>
      <c r="X855" t="str">
        <f t="shared" si="411"/>
        <v/>
      </c>
      <c r="Y855" t="str">
        <f t="shared" si="419"/>
        <v/>
      </c>
      <c r="Z855" t="str">
        <f t="shared" si="412"/>
        <v/>
      </c>
      <c r="AA855" t="str">
        <f t="shared" si="413"/>
        <v/>
      </c>
      <c r="AB855" t="str">
        <f t="shared" si="414"/>
        <v/>
      </c>
      <c r="AC855" t="str">
        <f t="shared" si="415"/>
        <v/>
      </c>
      <c r="AD855" t="str">
        <f t="shared" si="416"/>
        <v/>
      </c>
    </row>
    <row r="856" spans="1:30">
      <c r="A856" t="s">
        <v>503</v>
      </c>
      <c r="B856" t="s">
        <v>37</v>
      </c>
      <c r="C856" t="s">
        <v>38</v>
      </c>
      <c r="D856" t="s">
        <v>39</v>
      </c>
      <c r="E856" s="2">
        <v>46134</v>
      </c>
      <c r="F856" t="s">
        <v>40</v>
      </c>
      <c r="G856">
        <v>112.4</v>
      </c>
      <c r="H856">
        <v>77</v>
      </c>
      <c r="I856">
        <v>-1957.8</v>
      </c>
      <c r="J856">
        <v>69.099999999999994</v>
      </c>
      <c r="K856">
        <v>0</v>
      </c>
      <c r="L856">
        <v>1</v>
      </c>
      <c r="M856">
        <v>0</v>
      </c>
      <c r="N856">
        <v>68.099999999999994</v>
      </c>
      <c r="O856">
        <v>115.24</v>
      </c>
      <c r="P856">
        <v>115.38</v>
      </c>
      <c r="Q856">
        <v>3.61</v>
      </c>
      <c r="R856">
        <v>3.66</v>
      </c>
      <c r="S856">
        <f t="shared" si="408"/>
        <v>3.246538227264912E-2</v>
      </c>
      <c r="T856">
        <f t="shared" si="409"/>
        <v>1.3185842056561323</v>
      </c>
      <c r="U856">
        <f t="shared" si="417"/>
        <v>0</v>
      </c>
      <c r="V856">
        <f t="shared" si="410"/>
        <v>0.13001745200698331</v>
      </c>
      <c r="W856" t="str">
        <f t="shared" si="418"/>
        <v/>
      </c>
      <c r="X856">
        <f t="shared" si="411"/>
        <v>0.3251805415783095</v>
      </c>
      <c r="Y856" t="str">
        <f t="shared" si="419"/>
        <v/>
      </c>
      <c r="Z856">
        <f t="shared" si="412"/>
        <v>0.728288761139253</v>
      </c>
      <c r="AA856">
        <f t="shared" si="413"/>
        <v>1.0260903769230585</v>
      </c>
      <c r="AB856">
        <f t="shared" si="414"/>
        <v>4.6271881375036482E-2</v>
      </c>
      <c r="AC856">
        <f t="shared" si="415"/>
        <v>1.4029770409010882</v>
      </c>
      <c r="AD856">
        <f t="shared" si="416"/>
        <v>1.2014786841114817</v>
      </c>
    </row>
    <row r="857" spans="1:30">
      <c r="A857" t="s">
        <v>529</v>
      </c>
      <c r="B857" t="s">
        <v>37</v>
      </c>
      <c r="C857" t="s">
        <v>38</v>
      </c>
      <c r="D857" t="s">
        <v>39</v>
      </c>
      <c r="E857" s="2">
        <v>46134</v>
      </c>
      <c r="F857" t="s">
        <v>40</v>
      </c>
      <c r="G857">
        <v>110.6</v>
      </c>
      <c r="H857">
        <v>77.5</v>
      </c>
      <c r="I857">
        <v>-1957.8</v>
      </c>
      <c r="J857">
        <v>68.599999999999994</v>
      </c>
      <c r="K857">
        <v>0</v>
      </c>
      <c r="L857">
        <v>0.7</v>
      </c>
      <c r="M857">
        <v>0</v>
      </c>
      <c r="N857">
        <v>67.900000000000006</v>
      </c>
      <c r="O857">
        <v>115.24</v>
      </c>
      <c r="P857">
        <v>115.31</v>
      </c>
      <c r="Q857">
        <v>3.69</v>
      </c>
      <c r="R857">
        <v>3.69</v>
      </c>
      <c r="S857">
        <f t="shared" si="408"/>
        <v>0.39347932603510261</v>
      </c>
      <c r="T857">
        <f t="shared" si="409"/>
        <v>1.1413848695157252</v>
      </c>
      <c r="U857">
        <f t="shared" si="417"/>
        <v>0</v>
      </c>
      <c r="V857">
        <f t="shared" si="410"/>
        <v>0.39143157694411324</v>
      </c>
      <c r="W857" t="str">
        <f t="shared" si="418"/>
        <v/>
      </c>
      <c r="X857">
        <f t="shared" si="411"/>
        <v>0.53945202211567389</v>
      </c>
      <c r="Y857" t="str">
        <f t="shared" si="419"/>
        <v/>
      </c>
      <c r="Z857">
        <f t="shared" si="412"/>
        <v>0.81937945376554733</v>
      </c>
      <c r="AA857">
        <f t="shared" si="413"/>
        <v>1.0260903769230585</v>
      </c>
      <c r="AB857">
        <f t="shared" si="414"/>
        <v>3.9394365429391608E-3</v>
      </c>
      <c r="AC857">
        <f t="shared" si="415"/>
        <v>0.87136259427850093</v>
      </c>
      <c r="AD857">
        <f t="shared" si="416"/>
        <v>1.0101045540663824</v>
      </c>
    </row>
    <row r="858" spans="1:30">
      <c r="A858" t="s">
        <v>527</v>
      </c>
      <c r="B858" t="s">
        <v>37</v>
      </c>
      <c r="C858" t="s">
        <v>38</v>
      </c>
      <c r="D858" t="s">
        <v>39</v>
      </c>
      <c r="E858" s="2">
        <v>46134</v>
      </c>
      <c r="F858" t="s">
        <v>40</v>
      </c>
      <c r="G858">
        <v>101.7</v>
      </c>
      <c r="H858">
        <v>77.900000000000006</v>
      </c>
      <c r="I858">
        <v>-1957.8</v>
      </c>
      <c r="J858">
        <v>68.599999999999994</v>
      </c>
      <c r="K858">
        <v>0</v>
      </c>
      <c r="L858">
        <v>0</v>
      </c>
      <c r="M858">
        <v>0</v>
      </c>
      <c r="N858">
        <v>68.599999999999994</v>
      </c>
      <c r="O858">
        <v>115.31</v>
      </c>
      <c r="P858">
        <v>115.16</v>
      </c>
      <c r="Q858">
        <v>3.64</v>
      </c>
      <c r="R858">
        <v>3.64</v>
      </c>
      <c r="S858">
        <f t="shared" si="408"/>
        <v>2.1784927146383319</v>
      </c>
      <c r="T858">
        <f t="shared" si="409"/>
        <v>0.99962540060339755</v>
      </c>
      <c r="U858">
        <f t="shared" si="417"/>
        <v>0</v>
      </c>
      <c r="V858">
        <f t="shared" si="410"/>
        <v>0.39143157694411324</v>
      </c>
      <c r="W858" t="str">
        <f t="shared" si="418"/>
        <v/>
      </c>
      <c r="X858" t="str">
        <f t="shared" si="411"/>
        <v/>
      </c>
      <c r="Y858" t="str">
        <f t="shared" si="419"/>
        <v/>
      </c>
      <c r="Z858">
        <f t="shared" si="412"/>
        <v>0.50056202957350415</v>
      </c>
      <c r="AA858">
        <f t="shared" si="413"/>
        <v>1.0676828703098564</v>
      </c>
      <c r="AB858">
        <f t="shared" si="414"/>
        <v>0.11153511779575867</v>
      </c>
      <c r="AC858">
        <f t="shared" si="415"/>
        <v>1.2036216234176165</v>
      </c>
      <c r="AD858">
        <f t="shared" si="416"/>
        <v>1.3290614374748821</v>
      </c>
    </row>
    <row r="859" spans="1:30">
      <c r="A859" t="s">
        <v>522</v>
      </c>
      <c r="B859" t="s">
        <v>37</v>
      </c>
      <c r="C859" t="s">
        <v>38</v>
      </c>
      <c r="D859" t="s">
        <v>39</v>
      </c>
      <c r="E859" s="2">
        <v>46134</v>
      </c>
      <c r="F859" t="s">
        <v>40</v>
      </c>
      <c r="G859">
        <v>109.7</v>
      </c>
      <c r="H859">
        <v>77.5</v>
      </c>
      <c r="I859">
        <v>-1957.8</v>
      </c>
      <c r="J859">
        <v>68.599999999999994</v>
      </c>
      <c r="K859">
        <v>0</v>
      </c>
      <c r="L859">
        <v>0.7</v>
      </c>
      <c r="M859">
        <v>0</v>
      </c>
      <c r="N859">
        <v>67.900000000000006</v>
      </c>
      <c r="O859">
        <v>111.72</v>
      </c>
      <c r="P859">
        <v>113.18</v>
      </c>
      <c r="Q859">
        <v>3.74</v>
      </c>
      <c r="R859">
        <v>3.69</v>
      </c>
      <c r="S859">
        <f t="shared" si="408"/>
        <v>0.57398629791632649</v>
      </c>
      <c r="T859">
        <f t="shared" si="409"/>
        <v>1.1413848695157252</v>
      </c>
      <c r="U859">
        <f t="shared" si="417"/>
        <v>0</v>
      </c>
      <c r="V859">
        <f t="shared" si="410"/>
        <v>0.39143157694411324</v>
      </c>
      <c r="W859" t="str">
        <f t="shared" si="418"/>
        <v/>
      </c>
      <c r="X859">
        <f t="shared" si="411"/>
        <v>0.53945202211567389</v>
      </c>
      <c r="Y859" t="str">
        <f t="shared" si="419"/>
        <v/>
      </c>
      <c r="Z859">
        <f t="shared" si="412"/>
        <v>0.81937945376554733</v>
      </c>
      <c r="AA859">
        <f t="shared" si="413"/>
        <v>1.0654178619557007</v>
      </c>
      <c r="AB859">
        <f t="shared" si="414"/>
        <v>1.531798110332915</v>
      </c>
      <c r="AC859">
        <f t="shared" si="415"/>
        <v>0.53910356513938229</v>
      </c>
      <c r="AD859">
        <f t="shared" si="416"/>
        <v>1.0101045540663824</v>
      </c>
    </row>
    <row r="860" spans="1:30">
      <c r="A860" t="s">
        <v>534</v>
      </c>
      <c r="B860" t="s">
        <v>37</v>
      </c>
      <c r="C860" t="s">
        <v>38</v>
      </c>
      <c r="D860" t="s">
        <v>39</v>
      </c>
      <c r="E860" s="2">
        <v>46134</v>
      </c>
      <c r="F860" t="s">
        <v>40</v>
      </c>
      <c r="G860">
        <v>115.1</v>
      </c>
      <c r="H860">
        <v>79.8</v>
      </c>
      <c r="I860">
        <v>-1957.8</v>
      </c>
      <c r="J860">
        <v>68.2</v>
      </c>
      <c r="K860">
        <v>0</v>
      </c>
      <c r="L860">
        <v>0.7</v>
      </c>
      <c r="M860">
        <v>0</v>
      </c>
      <c r="N860">
        <v>67.5</v>
      </c>
      <c r="O860">
        <v>112.01</v>
      </c>
      <c r="P860">
        <v>117.22</v>
      </c>
      <c r="Q860">
        <v>3.74</v>
      </c>
      <c r="R860">
        <v>3.78</v>
      </c>
      <c r="S860">
        <f t="shared" si="408"/>
        <v>0.50905553337102538</v>
      </c>
      <c r="T860">
        <f t="shared" si="409"/>
        <v>0.3262679232698536</v>
      </c>
      <c r="U860">
        <f t="shared" si="417"/>
        <v>0</v>
      </c>
      <c r="V860">
        <f t="shared" si="410"/>
        <v>0.60056287689381271</v>
      </c>
      <c r="W860" t="str">
        <f t="shared" si="418"/>
        <v/>
      </c>
      <c r="X860">
        <f t="shared" si="411"/>
        <v>0.53945202211567389</v>
      </c>
      <c r="Y860" t="str">
        <f t="shared" si="419"/>
        <v/>
      </c>
      <c r="Z860">
        <f t="shared" si="412"/>
        <v>1.001560839018149</v>
      </c>
      <c r="AA860">
        <f t="shared" si="413"/>
        <v>0.8931061036389808</v>
      </c>
      <c r="AB860">
        <f t="shared" si="414"/>
        <v>1.3661122380762416</v>
      </c>
      <c r="AC860">
        <f t="shared" si="415"/>
        <v>0.53910356513938229</v>
      </c>
      <c r="AD860">
        <f t="shared" si="416"/>
        <v>0.4359821639310818</v>
      </c>
    </row>
    <row r="861" spans="1:30">
      <c r="A861" t="s">
        <v>558</v>
      </c>
      <c r="B861" t="s">
        <v>37</v>
      </c>
      <c r="C861" t="s">
        <v>38</v>
      </c>
      <c r="D861" t="s">
        <v>39</v>
      </c>
      <c r="E861" s="2">
        <v>46134</v>
      </c>
      <c r="F861" t="s">
        <v>34</v>
      </c>
      <c r="G861">
        <v>113.7</v>
      </c>
      <c r="H861">
        <v>78.400000000000006</v>
      </c>
      <c r="I861">
        <v>-1957.8</v>
      </c>
      <c r="J861">
        <v>68.599999999999994</v>
      </c>
      <c r="K861">
        <v>0</v>
      </c>
      <c r="L861">
        <v>0.1</v>
      </c>
      <c r="M861">
        <v>0</v>
      </c>
      <c r="N861">
        <v>68.5</v>
      </c>
      <c r="O861">
        <v>115.53</v>
      </c>
      <c r="P861">
        <v>113.77</v>
      </c>
      <c r="Q861">
        <v>3.64</v>
      </c>
      <c r="R861">
        <v>3.66</v>
      </c>
      <c r="S861">
        <f t="shared" si="408"/>
        <v>0.2282669104446762</v>
      </c>
      <c r="T861">
        <f t="shared" si="409"/>
        <v>0.82242606446299038</v>
      </c>
      <c r="U861">
        <f t="shared" si="417"/>
        <v>0</v>
      </c>
      <c r="V861">
        <f t="shared" si="410"/>
        <v>0.39143157694411324</v>
      </c>
      <c r="W861" t="str">
        <f t="shared" si="418"/>
        <v/>
      </c>
      <c r="X861">
        <f t="shared" si="411"/>
        <v>0.96799498319040234</v>
      </c>
      <c r="Y861" t="str">
        <f t="shared" si="419"/>
        <v/>
      </c>
      <c r="Z861">
        <f t="shared" si="412"/>
        <v>0.54610737588665137</v>
      </c>
      <c r="AA861">
        <f t="shared" si="413"/>
        <v>1.1984021352397782</v>
      </c>
      <c r="AB861">
        <f t="shared" si="414"/>
        <v>1.1085884307385154</v>
      </c>
      <c r="AC861">
        <f t="shared" si="415"/>
        <v>1.2036216234176165</v>
      </c>
      <c r="AD861">
        <f t="shared" si="416"/>
        <v>1.2014786841114817</v>
      </c>
    </row>
    <row r="862" spans="1:30">
      <c r="A862" t="s">
        <v>558</v>
      </c>
      <c r="B862" t="s">
        <v>37</v>
      </c>
      <c r="C862" t="s">
        <v>38</v>
      </c>
      <c r="D862" t="s">
        <v>39</v>
      </c>
      <c r="E862" s="2">
        <v>46134</v>
      </c>
      <c r="F862" t="s">
        <v>40</v>
      </c>
      <c r="G862">
        <v>114.2</v>
      </c>
      <c r="H862">
        <v>78.400000000000006</v>
      </c>
      <c r="I862">
        <v>-1957.8</v>
      </c>
      <c r="J862">
        <v>68.599999999999994</v>
      </c>
      <c r="K862">
        <v>0</v>
      </c>
      <c r="L862">
        <v>0</v>
      </c>
      <c r="M862">
        <v>0</v>
      </c>
      <c r="N862">
        <v>68.599999999999994</v>
      </c>
      <c r="O862">
        <v>112.3</v>
      </c>
      <c r="P862">
        <v>116.41</v>
      </c>
      <c r="Q862">
        <v>3.69</v>
      </c>
      <c r="R862">
        <v>3.56</v>
      </c>
      <c r="S862">
        <f t="shared" si="408"/>
        <v>0.32854856148980155</v>
      </c>
      <c r="T862">
        <f t="shared" si="409"/>
        <v>0.82242606446299038</v>
      </c>
      <c r="U862">
        <f t="shared" si="417"/>
        <v>0</v>
      </c>
      <c r="V862">
        <f t="shared" si="410"/>
        <v>0.39143157694411324</v>
      </c>
      <c r="W862" t="str">
        <f t="shared" si="418"/>
        <v/>
      </c>
      <c r="X862" t="str">
        <f t="shared" si="411"/>
        <v/>
      </c>
      <c r="Y862" t="str">
        <f t="shared" si="419"/>
        <v/>
      </c>
      <c r="Z862">
        <f t="shared" si="412"/>
        <v>0.50056202957350415</v>
      </c>
      <c r="AA862">
        <f t="shared" si="413"/>
        <v>0.72079434532226938</v>
      </c>
      <c r="AB862">
        <f t="shared" si="414"/>
        <v>0.78509555931103658</v>
      </c>
      <c r="AC862">
        <f t="shared" si="415"/>
        <v>0.87136259427850093</v>
      </c>
      <c r="AD862">
        <f t="shared" si="416"/>
        <v>1.8393924509284838</v>
      </c>
    </row>
    <row r="863" spans="1:30">
      <c r="A863" t="s">
        <v>545</v>
      </c>
      <c r="B863" t="s">
        <v>37</v>
      </c>
      <c r="C863" t="s">
        <v>38</v>
      </c>
      <c r="D863" t="s">
        <v>39</v>
      </c>
      <c r="E863" s="2">
        <v>46134</v>
      </c>
      <c r="F863" t="s">
        <v>40</v>
      </c>
      <c r="G863">
        <v>112.4</v>
      </c>
      <c r="H863">
        <v>79.3</v>
      </c>
      <c r="I863">
        <v>-1957.8</v>
      </c>
      <c r="J863">
        <v>69.099999999999994</v>
      </c>
      <c r="K863">
        <v>0</v>
      </c>
      <c r="L863">
        <v>0.3</v>
      </c>
      <c r="M863">
        <v>0</v>
      </c>
      <c r="N863">
        <v>68.8</v>
      </c>
      <c r="O863">
        <v>115.31</v>
      </c>
      <c r="P863">
        <v>115.38</v>
      </c>
      <c r="Q863">
        <v>3.61</v>
      </c>
      <c r="R863">
        <v>3.59</v>
      </c>
      <c r="S863">
        <f t="shared" si="408"/>
        <v>3.246538227264912E-2</v>
      </c>
      <c r="T863">
        <f t="shared" si="409"/>
        <v>0.50346725941026071</v>
      </c>
      <c r="U863">
        <f t="shared" si="417"/>
        <v>0</v>
      </c>
      <c r="V863">
        <f t="shared" si="410"/>
        <v>0.13001745200698331</v>
      </c>
      <c r="W863" t="str">
        <f t="shared" si="418"/>
        <v/>
      </c>
      <c r="X863">
        <f t="shared" si="411"/>
        <v>0.82514732949882619</v>
      </c>
      <c r="Y863" t="str">
        <f t="shared" si="419"/>
        <v/>
      </c>
      <c r="Z863">
        <f t="shared" si="412"/>
        <v>0.40947133694720333</v>
      </c>
      <c r="AA863">
        <f t="shared" si="413"/>
        <v>1.0676828703098564</v>
      </c>
      <c r="AB863">
        <f t="shared" si="414"/>
        <v>4.6271881375036482E-2</v>
      </c>
      <c r="AC863">
        <f t="shared" si="415"/>
        <v>1.4029770409010882</v>
      </c>
      <c r="AD863">
        <f t="shared" si="416"/>
        <v>1.6480183208833845</v>
      </c>
    </row>
    <row r="864" spans="1:30">
      <c r="A864" t="s">
        <v>543</v>
      </c>
      <c r="B864" t="s">
        <v>37</v>
      </c>
      <c r="C864" t="s">
        <v>38</v>
      </c>
      <c r="D864" t="s">
        <v>39</v>
      </c>
      <c r="E864" s="2">
        <v>46134</v>
      </c>
      <c r="F864" t="s">
        <v>40</v>
      </c>
      <c r="G864">
        <v>114.2</v>
      </c>
      <c r="H864">
        <v>80.2</v>
      </c>
      <c r="I864">
        <v>-1957.8</v>
      </c>
      <c r="J864">
        <v>69.099999999999994</v>
      </c>
      <c r="K864">
        <v>0</v>
      </c>
      <c r="L864">
        <v>0</v>
      </c>
      <c r="M864">
        <v>0</v>
      </c>
      <c r="N864">
        <v>69.099999999999994</v>
      </c>
      <c r="O864">
        <v>115.46</v>
      </c>
      <c r="P864">
        <v>115.38</v>
      </c>
      <c r="Q864">
        <v>3.66</v>
      </c>
      <c r="R864">
        <v>3.69</v>
      </c>
      <c r="S864">
        <f t="shared" si="408"/>
        <v>0.32854856148980155</v>
      </c>
      <c r="T864">
        <f t="shared" si="409"/>
        <v>0.18450845435752589</v>
      </c>
      <c r="U864">
        <f t="shared" si="417"/>
        <v>0</v>
      </c>
      <c r="V864">
        <f t="shared" si="410"/>
        <v>0.13001745200698331</v>
      </c>
      <c r="W864" t="str">
        <f t="shared" si="418"/>
        <v/>
      </c>
      <c r="X864" t="str">
        <f t="shared" si="411"/>
        <v/>
      </c>
      <c r="Y864" t="str">
        <f t="shared" si="419"/>
        <v/>
      </c>
      <c r="Z864">
        <f t="shared" si="412"/>
        <v>0.27283529800775536</v>
      </c>
      <c r="AA864">
        <f t="shared" si="413"/>
        <v>1.1568096418529803</v>
      </c>
      <c r="AB864">
        <f t="shared" si="414"/>
        <v>4.6271881375036482E-2</v>
      </c>
      <c r="AC864">
        <f t="shared" si="415"/>
        <v>1.0707180117619697</v>
      </c>
      <c r="AD864">
        <f t="shared" si="416"/>
        <v>1.0101045540663824</v>
      </c>
    </row>
    <row r="865" spans="1:30">
      <c r="A865" t="s">
        <v>518</v>
      </c>
      <c r="B865" t="s">
        <v>37</v>
      </c>
      <c r="C865" t="s">
        <v>38</v>
      </c>
      <c r="D865" t="s">
        <v>39</v>
      </c>
      <c r="E865" s="2">
        <v>46134</v>
      </c>
      <c r="F865" t="s">
        <v>34</v>
      </c>
      <c r="G865">
        <v>92.8</v>
      </c>
      <c r="H865">
        <v>79.3</v>
      </c>
      <c r="I865">
        <v>-1957.8</v>
      </c>
      <c r="J865">
        <v>68.2</v>
      </c>
      <c r="K865">
        <v>0</v>
      </c>
      <c r="L865">
        <v>0.4</v>
      </c>
      <c r="M865">
        <v>0</v>
      </c>
      <c r="N865">
        <v>68.599999999999994</v>
      </c>
      <c r="O865">
        <v>115.75</v>
      </c>
      <c r="P865">
        <v>117</v>
      </c>
      <c r="Q865">
        <v>3.71</v>
      </c>
      <c r="R865">
        <v>3.66</v>
      </c>
      <c r="S865">
        <f t="shared" si="408"/>
        <v>3.9635061032415639</v>
      </c>
      <c r="T865">
        <f t="shared" si="409"/>
        <v>0.50346725941026071</v>
      </c>
      <c r="U865">
        <f t="shared" si="417"/>
        <v>0</v>
      </c>
      <c r="V865">
        <f t="shared" si="410"/>
        <v>0.60056287689381271</v>
      </c>
      <c r="W865" t="str">
        <f t="shared" si="418"/>
        <v/>
      </c>
      <c r="X865">
        <f t="shared" si="411"/>
        <v>0.75372350265303822</v>
      </c>
      <c r="Y865" t="str">
        <f t="shared" si="419"/>
        <v/>
      </c>
      <c r="Z865">
        <f t="shared" si="412"/>
        <v>0.50056202957350415</v>
      </c>
      <c r="AA865">
        <f t="shared" si="413"/>
        <v>1.3291214001697003</v>
      </c>
      <c r="AB865">
        <f t="shared" si="414"/>
        <v>1.2083052389054463</v>
      </c>
      <c r="AC865">
        <f t="shared" si="415"/>
        <v>0.73845898262285403</v>
      </c>
      <c r="AD865">
        <f t="shared" si="416"/>
        <v>1.2014786841114817</v>
      </c>
    </row>
    <row r="866" spans="1:30">
      <c r="A866" t="s">
        <v>518</v>
      </c>
      <c r="B866" t="s">
        <v>37</v>
      </c>
      <c r="C866" t="s">
        <v>38</v>
      </c>
      <c r="D866" t="s">
        <v>39</v>
      </c>
      <c r="E866" s="2">
        <v>46134</v>
      </c>
      <c r="F866" t="s">
        <v>40</v>
      </c>
      <c r="G866">
        <v>112.9</v>
      </c>
      <c r="H866">
        <v>76.599999999999994</v>
      </c>
      <c r="I866">
        <v>-1957.8</v>
      </c>
      <c r="J866">
        <v>68.2</v>
      </c>
      <c r="K866">
        <v>0</v>
      </c>
      <c r="L866">
        <v>0.2</v>
      </c>
      <c r="M866">
        <v>0</v>
      </c>
      <c r="N866">
        <v>68</v>
      </c>
      <c r="O866">
        <v>115.53</v>
      </c>
      <c r="P866">
        <v>113.7</v>
      </c>
      <c r="Q866">
        <v>3.61</v>
      </c>
      <c r="R866">
        <v>3.59</v>
      </c>
      <c r="S866">
        <f t="shared" si="408"/>
        <v>6.7816268772476221E-2</v>
      </c>
      <c r="T866">
        <f t="shared" si="409"/>
        <v>1.4603436745684599</v>
      </c>
      <c r="U866">
        <f t="shared" si="417"/>
        <v>0</v>
      </c>
      <c r="V866">
        <f t="shared" si="410"/>
        <v>0.60056287689381271</v>
      </c>
      <c r="W866" t="str">
        <f t="shared" si="418"/>
        <v/>
      </c>
      <c r="X866">
        <f t="shared" si="411"/>
        <v>0.89657115634461437</v>
      </c>
      <c r="Y866" t="str">
        <f t="shared" si="419"/>
        <v/>
      </c>
      <c r="Z866">
        <f t="shared" si="412"/>
        <v>0.77383410745240011</v>
      </c>
      <c r="AA866">
        <f t="shared" si="413"/>
        <v>1.1984021352397782</v>
      </c>
      <c r="AB866">
        <f t="shared" si="414"/>
        <v>1.1587997486564909</v>
      </c>
      <c r="AC866">
        <f t="shared" si="415"/>
        <v>1.4029770409010882</v>
      </c>
      <c r="AD866">
        <f t="shared" si="416"/>
        <v>1.6480183208833845</v>
      </c>
    </row>
    <row r="867" spans="1:30">
      <c r="A867" t="s">
        <v>344</v>
      </c>
      <c r="B867" t="s">
        <v>31</v>
      </c>
      <c r="C867" t="s">
        <v>32</v>
      </c>
      <c r="D867" t="s">
        <v>33</v>
      </c>
      <c r="E867" s="2">
        <v>46134</v>
      </c>
      <c r="F867" t="s">
        <v>40</v>
      </c>
      <c r="G867">
        <v>164.2</v>
      </c>
      <c r="H867">
        <v>97.3</v>
      </c>
      <c r="I867">
        <v>-1957.8</v>
      </c>
      <c r="J867">
        <v>68.599999999999994</v>
      </c>
      <c r="K867">
        <v>0</v>
      </c>
      <c r="L867">
        <v>0.3</v>
      </c>
      <c r="M867">
        <v>0</v>
      </c>
      <c r="N867">
        <v>68.900000000000006</v>
      </c>
      <c r="O867">
        <v>111.13</v>
      </c>
      <c r="P867">
        <v>117.51</v>
      </c>
      <c r="Q867">
        <v>8.94</v>
      </c>
      <c r="R867">
        <v>8.11</v>
      </c>
      <c r="S867">
        <f>IF(OR(G867=0,G867=""),"",ABS((G867-152.740594)/5.729485))</f>
        <v>2.0000760975899232</v>
      </c>
      <c r="T867">
        <f>IF(OR(H867=0,H867=""),"",ABS((H867-96.426733)/5.037499))</f>
        <v>0.17335328503290987</v>
      </c>
      <c r="U867">
        <f t="shared" si="417"/>
        <v>0</v>
      </c>
      <c r="V867">
        <f>IF(OR(J867=0,J867=""),"",ABS((J867-69.40099)/2.222902))</f>
        <v>0.36033527343985422</v>
      </c>
      <c r="W867" t="str">
        <f t="shared" si="418"/>
        <v/>
      </c>
      <c r="X867">
        <f>IF(OR(L867=0,L867=""),"",ABS((L867-1.849749)/1.393269))</f>
        <v>1.1123114057658643</v>
      </c>
      <c r="Y867" t="str">
        <f t="shared" si="419"/>
        <v/>
      </c>
      <c r="Z867">
        <f>IF(OR(N867=0,N867=""),"",ABS((N867-69.231188)/2.519549))</f>
        <v>0.13144733442373907</v>
      </c>
      <c r="AA867">
        <f>IF(OR(O867=0,O867=""),"",ABS((O867-113.18)/1.73698))</f>
        <v>1.1802093288351112</v>
      </c>
      <c r="AB867">
        <f>IF(OR(P867=0,P867=""),"",ABS((P867-114.765594)/1.645198))</f>
        <v>1.6681311307210513</v>
      </c>
      <c r="AC867">
        <f>IF(OR(Q867=0,Q867=""),"",ABS((Q867-8.040149)/0.55663))</f>
        <v>1.6166052853780788</v>
      </c>
      <c r="AD867">
        <f>IF(OR(R867=0,R867=""),"",ABS((R867-7.915297)/0.399795))</f>
        <v>0.48700709113420532</v>
      </c>
    </row>
    <row r="868" spans="1:30">
      <c r="A868" t="s">
        <v>523</v>
      </c>
      <c r="B868" t="s">
        <v>37</v>
      </c>
      <c r="C868" t="s">
        <v>38</v>
      </c>
      <c r="D868" t="s">
        <v>39</v>
      </c>
      <c r="E868" s="2">
        <v>46134</v>
      </c>
      <c r="F868" t="s">
        <v>40</v>
      </c>
      <c r="G868">
        <v>114.6</v>
      </c>
      <c r="H868">
        <v>78.400000000000006</v>
      </c>
      <c r="I868">
        <v>-1957.8</v>
      </c>
      <c r="J868">
        <v>69.099999999999994</v>
      </c>
      <c r="K868">
        <v>0</v>
      </c>
      <c r="L868">
        <v>0.5</v>
      </c>
      <c r="M868">
        <v>0</v>
      </c>
      <c r="N868">
        <v>69.599999999999994</v>
      </c>
      <c r="O868">
        <v>115.53</v>
      </c>
      <c r="P868">
        <v>117</v>
      </c>
      <c r="Q868">
        <v>3.83</v>
      </c>
      <c r="R868">
        <v>3.78</v>
      </c>
      <c r="S868">
        <f t="shared" ref="S868:S877" si="420">IF(OR(G868=0,G868=""),"",ABS((G868-112.561871)/4.985957))</f>
        <v>0.40877388232590012</v>
      </c>
      <c r="T868">
        <f t="shared" ref="T868:T877" si="421">IF(OR(H868=0,H868=""),"",ABS((H868-80.720624)/2.821681))</f>
        <v>0.82242606446299038</v>
      </c>
      <c r="U868">
        <f t="shared" si="417"/>
        <v>0</v>
      </c>
      <c r="V868">
        <f t="shared" ref="V868:V877" si="422">IF(OR(J868=0,J868=""),"",ABS((J868-69.348681)/1.912674))</f>
        <v>0.13001745200698331</v>
      </c>
      <c r="W868" t="str">
        <f t="shared" si="418"/>
        <v/>
      </c>
      <c r="X868">
        <f t="shared" ref="X868:X877" si="423">IF(OR(L868=0,L868=""),"",ABS((L868-1.455283)/1.400093))</f>
        <v>0.68229967580725004</v>
      </c>
      <c r="Y868" t="str">
        <f t="shared" si="419"/>
        <v/>
      </c>
      <c r="Z868">
        <f t="shared" ref="Z868:Z877" si="424">IF(OR(N868=0,N868=""),"",ABS((N868-69.699041)/2.195614))</f>
        <v>4.5108566442006524E-2</v>
      </c>
      <c r="AA868">
        <f t="shared" ref="AA868:AA877" si="425">IF(OR(O868=0,O868=""),"",ABS((O868-113.513094)/1.682996))</f>
        <v>1.1984021352397782</v>
      </c>
      <c r="AB868">
        <f t="shared" ref="AB868:AB877" si="426">IF(OR(P868=0,P868=""),"",ABS((P868-115.315492)/1.394108))</f>
        <v>1.2083052389054463</v>
      </c>
      <c r="AC868">
        <f t="shared" ref="AC868:AC877" si="427">IF(OR(Q868=0,Q868=""),"",ABS((Q868-3.821127)/0.150485))</f>
        <v>5.8962687311027065E-2</v>
      </c>
      <c r="AD868">
        <f t="shared" ref="AD868:AD877" si="428">IF(OR(R868=0,R868=""),"",ABS((R868-3.848345)/0.156761))</f>
        <v>0.4359821639310818</v>
      </c>
    </row>
    <row r="869" spans="1:30">
      <c r="A869" t="s">
        <v>513</v>
      </c>
      <c r="B869" t="s">
        <v>37</v>
      </c>
      <c r="C869" t="s">
        <v>38</v>
      </c>
      <c r="D869" t="s">
        <v>39</v>
      </c>
      <c r="E869" s="2">
        <v>46134</v>
      </c>
      <c r="F869" t="s">
        <v>40</v>
      </c>
      <c r="G869">
        <v>117.8</v>
      </c>
      <c r="H869">
        <v>80.7</v>
      </c>
      <c r="I869">
        <v>-1957.8</v>
      </c>
      <c r="J869">
        <v>69.099999999999994</v>
      </c>
      <c r="K869">
        <v>0</v>
      </c>
      <c r="L869">
        <v>0.5</v>
      </c>
      <c r="M869">
        <v>0</v>
      </c>
      <c r="N869">
        <v>69.599999999999994</v>
      </c>
      <c r="O869">
        <v>112.3</v>
      </c>
      <c r="P869">
        <v>116.56</v>
      </c>
      <c r="Q869">
        <v>3.71</v>
      </c>
      <c r="R869">
        <v>3.56</v>
      </c>
      <c r="S869">
        <f t="shared" si="420"/>
        <v>1.0505764490147029</v>
      </c>
      <c r="T869">
        <f t="shared" si="421"/>
        <v>7.309118217118795E-3</v>
      </c>
      <c r="U869">
        <f t="shared" si="417"/>
        <v>0</v>
      </c>
      <c r="V869">
        <f t="shared" si="422"/>
        <v>0.13001745200698331</v>
      </c>
      <c r="W869" t="str">
        <f t="shared" si="418"/>
        <v/>
      </c>
      <c r="X869">
        <f t="shared" si="423"/>
        <v>0.68229967580725004</v>
      </c>
      <c r="Y869" t="str">
        <f t="shared" si="419"/>
        <v/>
      </c>
      <c r="Z869">
        <f t="shared" si="424"/>
        <v>4.5108566442006524E-2</v>
      </c>
      <c r="AA869">
        <f t="shared" si="425"/>
        <v>0.72079434532226938</v>
      </c>
      <c r="AB869">
        <f t="shared" si="426"/>
        <v>0.89269124056385607</v>
      </c>
      <c r="AC869">
        <f t="shared" si="427"/>
        <v>0.73845898262285403</v>
      </c>
      <c r="AD869">
        <f t="shared" si="428"/>
        <v>1.8393924509284838</v>
      </c>
    </row>
    <row r="870" spans="1:30">
      <c r="A870" t="s">
        <v>547</v>
      </c>
      <c r="B870" t="s">
        <v>37</v>
      </c>
      <c r="C870" t="s">
        <v>38</v>
      </c>
      <c r="D870" t="s">
        <v>39</v>
      </c>
      <c r="E870" s="2">
        <v>46134</v>
      </c>
      <c r="F870" t="s">
        <v>40</v>
      </c>
      <c r="G870">
        <v>115.1</v>
      </c>
      <c r="H870">
        <v>79.3</v>
      </c>
      <c r="I870">
        <v>-1957.8</v>
      </c>
      <c r="J870">
        <v>69.099999999999994</v>
      </c>
      <c r="K870">
        <v>0</v>
      </c>
      <c r="L870">
        <v>0.1</v>
      </c>
      <c r="M870">
        <v>0</v>
      </c>
      <c r="N870">
        <v>69</v>
      </c>
      <c r="O870">
        <v>115.31</v>
      </c>
      <c r="P870">
        <v>115.38</v>
      </c>
      <c r="Q870">
        <v>3.76</v>
      </c>
      <c r="R870">
        <v>3.76</v>
      </c>
      <c r="S870">
        <f t="shared" si="420"/>
        <v>0.50905553337102538</v>
      </c>
      <c r="T870">
        <f t="shared" si="421"/>
        <v>0.50346725941026071</v>
      </c>
      <c r="U870">
        <f t="shared" si="417"/>
        <v>0</v>
      </c>
      <c r="V870">
        <f t="shared" si="422"/>
        <v>0.13001745200698331</v>
      </c>
      <c r="W870" t="str">
        <f t="shared" si="418"/>
        <v/>
      </c>
      <c r="X870">
        <f t="shared" si="423"/>
        <v>0.96799498319040234</v>
      </c>
      <c r="Y870" t="str">
        <f t="shared" si="419"/>
        <v/>
      </c>
      <c r="Z870">
        <f t="shared" si="424"/>
        <v>0.31838064432090252</v>
      </c>
      <c r="AA870">
        <f t="shared" si="425"/>
        <v>1.0676828703098564</v>
      </c>
      <c r="AB870">
        <f t="shared" si="426"/>
        <v>4.6271881375036482E-2</v>
      </c>
      <c r="AC870">
        <f t="shared" si="427"/>
        <v>0.40619995348373839</v>
      </c>
      <c r="AD870">
        <f t="shared" si="428"/>
        <v>0.56356491729448221</v>
      </c>
    </row>
    <row r="871" spans="1:30">
      <c r="A871" t="s">
        <v>521</v>
      </c>
      <c r="B871" t="s">
        <v>37</v>
      </c>
      <c r="C871" t="s">
        <v>38</v>
      </c>
      <c r="D871" t="s">
        <v>39</v>
      </c>
      <c r="E871" s="2">
        <v>46134</v>
      </c>
      <c r="F871" t="s">
        <v>40</v>
      </c>
      <c r="G871">
        <v>121.3</v>
      </c>
      <c r="H871">
        <v>81.099999999999994</v>
      </c>
      <c r="I871">
        <v>-1957.8</v>
      </c>
      <c r="J871">
        <v>69.099999999999994</v>
      </c>
      <c r="K871">
        <v>0</v>
      </c>
      <c r="L871">
        <v>0.3</v>
      </c>
      <c r="M871">
        <v>0</v>
      </c>
      <c r="N871">
        <v>68.8</v>
      </c>
      <c r="O871">
        <v>115.82</v>
      </c>
      <c r="P871">
        <v>117.44</v>
      </c>
      <c r="Q871">
        <v>3.76</v>
      </c>
      <c r="R871">
        <v>3.83</v>
      </c>
      <c r="S871">
        <f t="shared" si="420"/>
        <v>1.7525480063305803</v>
      </c>
      <c r="T871">
        <f t="shared" si="421"/>
        <v>0.13445035069520386</v>
      </c>
      <c r="U871">
        <f t="shared" si="417"/>
        <v>0</v>
      </c>
      <c r="V871">
        <f t="shared" si="422"/>
        <v>0.13001745200698331</v>
      </c>
      <c r="W871" t="str">
        <f t="shared" si="418"/>
        <v/>
      </c>
      <c r="X871">
        <f t="shared" si="423"/>
        <v>0.82514732949882619</v>
      </c>
      <c r="Y871" t="str">
        <f t="shared" si="419"/>
        <v/>
      </c>
      <c r="Z871">
        <f t="shared" si="424"/>
        <v>0.40947133694720333</v>
      </c>
      <c r="AA871">
        <f t="shared" si="425"/>
        <v>1.3707138935564898</v>
      </c>
      <c r="AB871">
        <f t="shared" si="426"/>
        <v>1.5239192372470367</v>
      </c>
      <c r="AC871">
        <f t="shared" si="427"/>
        <v>0.40619995348373839</v>
      </c>
      <c r="AD871">
        <f t="shared" si="428"/>
        <v>0.11702528052257931</v>
      </c>
    </row>
    <row r="872" spans="1:30">
      <c r="A872" t="s">
        <v>506</v>
      </c>
      <c r="B872" t="s">
        <v>37</v>
      </c>
      <c r="C872" t="s">
        <v>38</v>
      </c>
      <c r="D872" t="s">
        <v>39</v>
      </c>
      <c r="E872" s="2">
        <v>46134</v>
      </c>
      <c r="F872" t="s">
        <v>40</v>
      </c>
      <c r="G872">
        <v>112.9</v>
      </c>
      <c r="H872">
        <v>80.2</v>
      </c>
      <c r="I872">
        <v>-1957.8</v>
      </c>
      <c r="J872">
        <v>69.099999999999994</v>
      </c>
      <c r="K872">
        <v>0</v>
      </c>
      <c r="L872">
        <v>0.6</v>
      </c>
      <c r="M872">
        <v>0</v>
      </c>
      <c r="N872">
        <v>68.5</v>
      </c>
      <c r="O872">
        <v>112.08</v>
      </c>
      <c r="P872">
        <v>116.56</v>
      </c>
      <c r="Q872">
        <v>3.76</v>
      </c>
      <c r="R872">
        <v>3.64</v>
      </c>
      <c r="S872">
        <f t="shared" si="420"/>
        <v>6.7816268772476221E-2</v>
      </c>
      <c r="T872">
        <f t="shared" si="421"/>
        <v>0.18450845435752589</v>
      </c>
      <c r="U872">
        <f t="shared" si="417"/>
        <v>0</v>
      </c>
      <c r="V872">
        <f t="shared" si="422"/>
        <v>0.13001745200698331</v>
      </c>
      <c r="W872" t="str">
        <f t="shared" si="418"/>
        <v/>
      </c>
      <c r="X872">
        <f t="shared" si="423"/>
        <v>0.61087584896146196</v>
      </c>
      <c r="Y872" t="str">
        <f t="shared" si="419"/>
        <v/>
      </c>
      <c r="Z872">
        <f t="shared" si="424"/>
        <v>0.54610737588665137</v>
      </c>
      <c r="AA872">
        <f t="shared" si="425"/>
        <v>0.8515136102521913</v>
      </c>
      <c r="AB872">
        <f t="shared" si="426"/>
        <v>0.89269124056385607</v>
      </c>
      <c r="AC872">
        <f t="shared" si="427"/>
        <v>0.40619995348373839</v>
      </c>
      <c r="AD872">
        <f t="shared" si="428"/>
        <v>1.3290614374748821</v>
      </c>
    </row>
    <row r="873" spans="1:30">
      <c r="A873" t="s">
        <v>568</v>
      </c>
      <c r="B873" t="s">
        <v>37</v>
      </c>
      <c r="C873" t="s">
        <v>38</v>
      </c>
      <c r="D873" t="s">
        <v>39</v>
      </c>
      <c r="E873" s="2">
        <v>46134</v>
      </c>
      <c r="F873" t="s">
        <v>40</v>
      </c>
      <c r="G873">
        <v>113.7</v>
      </c>
      <c r="H873">
        <v>79.3</v>
      </c>
      <c r="I873">
        <v>-1957.8</v>
      </c>
      <c r="J873">
        <v>69.5</v>
      </c>
      <c r="K873">
        <v>0</v>
      </c>
      <c r="L873">
        <v>0.1</v>
      </c>
      <c r="M873">
        <v>0</v>
      </c>
      <c r="N873">
        <v>69.599999999999994</v>
      </c>
      <c r="O873">
        <v>111.94</v>
      </c>
      <c r="P873">
        <v>116.63</v>
      </c>
      <c r="Q873">
        <v>3.78</v>
      </c>
      <c r="R873">
        <v>3.66</v>
      </c>
      <c r="S873">
        <f t="shared" si="420"/>
        <v>0.2282669104446762</v>
      </c>
      <c r="T873">
        <f t="shared" si="421"/>
        <v>0.50346725941026071</v>
      </c>
      <c r="U873">
        <f t="shared" si="417"/>
        <v>0</v>
      </c>
      <c r="V873">
        <f t="shared" si="422"/>
        <v>7.9113847942723581E-2</v>
      </c>
      <c r="W873" t="str">
        <f t="shared" si="418"/>
        <v/>
      </c>
      <c r="X873">
        <f t="shared" si="423"/>
        <v>0.96799498319040234</v>
      </c>
      <c r="Y873" t="str">
        <f t="shared" si="419"/>
        <v/>
      </c>
      <c r="Z873">
        <f t="shared" si="424"/>
        <v>4.5108566442006524E-2</v>
      </c>
      <c r="AA873">
        <f t="shared" si="425"/>
        <v>0.93469859702577884</v>
      </c>
      <c r="AB873">
        <f t="shared" si="426"/>
        <v>0.94290255848183169</v>
      </c>
      <c r="AC873">
        <f t="shared" si="427"/>
        <v>0.27329634182809154</v>
      </c>
      <c r="AD873">
        <f t="shared" si="428"/>
        <v>1.2014786841114817</v>
      </c>
    </row>
    <row r="874" spans="1:30">
      <c r="A874" t="s">
        <v>505</v>
      </c>
      <c r="B874" t="s">
        <v>37</v>
      </c>
      <c r="C874" t="s">
        <v>38</v>
      </c>
      <c r="D874" t="s">
        <v>39</v>
      </c>
      <c r="E874" s="2">
        <v>46134</v>
      </c>
      <c r="F874" t="s">
        <v>34</v>
      </c>
      <c r="G874">
        <v>93.6</v>
      </c>
      <c r="H874">
        <v>80.2</v>
      </c>
      <c r="I874">
        <v>-1957.8</v>
      </c>
      <c r="J874">
        <v>69.5</v>
      </c>
      <c r="K874">
        <v>0</v>
      </c>
      <c r="L874">
        <v>0.4</v>
      </c>
      <c r="M874">
        <v>0</v>
      </c>
      <c r="N874">
        <v>69.099999999999994</v>
      </c>
      <c r="O874">
        <v>115.38</v>
      </c>
      <c r="P874">
        <v>115.38</v>
      </c>
      <c r="Q874">
        <v>3.69</v>
      </c>
      <c r="R874">
        <v>3.64</v>
      </c>
      <c r="S874">
        <f t="shared" si="420"/>
        <v>3.8030554615693641</v>
      </c>
      <c r="T874">
        <f t="shared" si="421"/>
        <v>0.18450845435752589</v>
      </c>
      <c r="U874">
        <f t="shared" si="417"/>
        <v>0</v>
      </c>
      <c r="V874">
        <f t="shared" si="422"/>
        <v>7.9113847942723581E-2</v>
      </c>
      <c r="W874" t="str">
        <f t="shared" si="418"/>
        <v/>
      </c>
      <c r="X874">
        <f t="shared" si="423"/>
        <v>0.75372350265303822</v>
      </c>
      <c r="Y874" t="str">
        <f t="shared" si="419"/>
        <v/>
      </c>
      <c r="Z874">
        <f t="shared" si="424"/>
        <v>0.27283529800775536</v>
      </c>
      <c r="AA874">
        <f t="shared" si="425"/>
        <v>1.1092753636966459</v>
      </c>
      <c r="AB874">
        <f t="shared" si="426"/>
        <v>4.6271881375036482E-2</v>
      </c>
      <c r="AC874">
        <f t="shared" si="427"/>
        <v>0.87136259427850093</v>
      </c>
      <c r="AD874">
        <f t="shared" si="428"/>
        <v>1.3290614374748821</v>
      </c>
    </row>
    <row r="875" spans="1:30">
      <c r="A875" t="s">
        <v>505</v>
      </c>
      <c r="B875" t="s">
        <v>37</v>
      </c>
      <c r="C875" t="s">
        <v>38</v>
      </c>
      <c r="D875" t="s">
        <v>39</v>
      </c>
      <c r="E875" s="2">
        <v>46134</v>
      </c>
      <c r="F875" t="s">
        <v>34</v>
      </c>
      <c r="G875">
        <v>95.9</v>
      </c>
      <c r="H875">
        <v>78.900000000000006</v>
      </c>
      <c r="I875">
        <v>-1957.8</v>
      </c>
      <c r="J875">
        <v>69.5</v>
      </c>
      <c r="K875">
        <v>0</v>
      </c>
      <c r="L875">
        <v>0.1</v>
      </c>
      <c r="M875">
        <v>0</v>
      </c>
      <c r="N875">
        <v>69.400000000000006</v>
      </c>
      <c r="O875">
        <v>115.31</v>
      </c>
      <c r="P875">
        <v>115.31</v>
      </c>
      <c r="Q875">
        <v>3.61</v>
      </c>
      <c r="R875">
        <v>3.54</v>
      </c>
      <c r="S875">
        <f t="shared" si="420"/>
        <v>3.3417598667617852</v>
      </c>
      <c r="T875">
        <f t="shared" si="421"/>
        <v>0.64522672832258332</v>
      </c>
      <c r="U875">
        <f t="shared" si="417"/>
        <v>0</v>
      </c>
      <c r="V875">
        <f t="shared" si="422"/>
        <v>7.9113847942723581E-2</v>
      </c>
      <c r="W875" t="str">
        <f t="shared" si="418"/>
        <v/>
      </c>
      <c r="X875">
        <f t="shared" si="423"/>
        <v>0.96799498319040234</v>
      </c>
      <c r="Y875" t="str">
        <f t="shared" si="419"/>
        <v/>
      </c>
      <c r="Z875">
        <f t="shared" si="424"/>
        <v>0.13619925906830088</v>
      </c>
      <c r="AA875">
        <f t="shared" si="425"/>
        <v>1.0676828703098564</v>
      </c>
      <c r="AB875">
        <f t="shared" si="426"/>
        <v>3.9394365429391608E-3</v>
      </c>
      <c r="AC875">
        <f t="shared" si="427"/>
        <v>1.4029770409010882</v>
      </c>
      <c r="AD875">
        <f t="shared" si="428"/>
        <v>1.9669752042918842</v>
      </c>
    </row>
    <row r="876" spans="1:30">
      <c r="A876" t="s">
        <v>505</v>
      </c>
      <c r="B876" t="s">
        <v>37</v>
      </c>
      <c r="C876" t="s">
        <v>38</v>
      </c>
      <c r="D876" t="s">
        <v>39</v>
      </c>
      <c r="E876" s="2">
        <v>46134</v>
      </c>
      <c r="F876" t="s">
        <v>40</v>
      </c>
      <c r="G876">
        <v>112.9</v>
      </c>
      <c r="H876">
        <v>78.400000000000006</v>
      </c>
      <c r="I876">
        <v>-1957.8</v>
      </c>
      <c r="J876">
        <v>69.5</v>
      </c>
      <c r="K876">
        <v>0</v>
      </c>
      <c r="L876">
        <v>0.2</v>
      </c>
      <c r="M876">
        <v>0</v>
      </c>
      <c r="N876">
        <v>69.7</v>
      </c>
      <c r="O876">
        <v>115.31</v>
      </c>
      <c r="P876">
        <v>115.31</v>
      </c>
      <c r="Q876">
        <v>3.56</v>
      </c>
      <c r="R876">
        <v>3.47</v>
      </c>
      <c r="S876">
        <f t="shared" si="420"/>
        <v>6.7816268772476221E-2</v>
      </c>
      <c r="T876">
        <f t="shared" si="421"/>
        <v>0.82242606446299038</v>
      </c>
      <c r="U876">
        <f t="shared" si="417"/>
        <v>0</v>
      </c>
      <c r="V876">
        <f t="shared" si="422"/>
        <v>7.9113847942723581E-2</v>
      </c>
      <c r="W876" t="str">
        <f t="shared" si="418"/>
        <v/>
      </c>
      <c r="X876">
        <f t="shared" si="423"/>
        <v>0.89657115634461437</v>
      </c>
      <c r="Y876" t="str">
        <f t="shared" si="419"/>
        <v/>
      </c>
      <c r="Z876">
        <f t="shared" si="424"/>
        <v>4.3677987114712057E-4</v>
      </c>
      <c r="AA876">
        <f t="shared" si="425"/>
        <v>1.0676828703098564</v>
      </c>
      <c r="AB876">
        <f t="shared" si="426"/>
        <v>3.9394365429391608E-3</v>
      </c>
      <c r="AC876">
        <f t="shared" si="427"/>
        <v>1.7352360700402041</v>
      </c>
      <c r="AD876">
        <f t="shared" si="428"/>
        <v>2.4135148410637846</v>
      </c>
    </row>
    <row r="877" spans="1:30">
      <c r="A877" t="s">
        <v>548</v>
      </c>
      <c r="B877" t="s">
        <v>37</v>
      </c>
      <c r="C877" t="s">
        <v>38</v>
      </c>
      <c r="D877" t="s">
        <v>39</v>
      </c>
      <c r="E877" s="2">
        <v>46134</v>
      </c>
      <c r="F877" t="s">
        <v>40</v>
      </c>
      <c r="G877">
        <v>113.3</v>
      </c>
      <c r="H877">
        <v>81.099999999999994</v>
      </c>
      <c r="I877">
        <v>-1957.8</v>
      </c>
      <c r="J877">
        <v>69.5</v>
      </c>
      <c r="K877">
        <v>0</v>
      </c>
      <c r="L877">
        <v>0.3</v>
      </c>
      <c r="M877">
        <v>0</v>
      </c>
      <c r="N877">
        <v>69.2</v>
      </c>
      <c r="O877">
        <v>111.94</v>
      </c>
      <c r="P877">
        <v>113.55</v>
      </c>
      <c r="Q877">
        <v>3.88</v>
      </c>
      <c r="R877">
        <v>3.98</v>
      </c>
      <c r="S877">
        <f t="shared" si="420"/>
        <v>0.14804158960857478</v>
      </c>
      <c r="T877">
        <f t="shared" si="421"/>
        <v>0.13445035069520386</v>
      </c>
      <c r="U877">
        <f t="shared" si="417"/>
        <v>0</v>
      </c>
      <c r="V877">
        <f t="shared" si="422"/>
        <v>7.9113847942723581E-2</v>
      </c>
      <c r="W877" t="str">
        <f t="shared" si="418"/>
        <v/>
      </c>
      <c r="X877">
        <f t="shared" si="423"/>
        <v>0.82514732949882619</v>
      </c>
      <c r="Y877" t="str">
        <f t="shared" si="419"/>
        <v/>
      </c>
      <c r="Z877">
        <f t="shared" si="424"/>
        <v>0.2272899516946017</v>
      </c>
      <c r="AA877">
        <f t="shared" si="425"/>
        <v>0.93469859702577884</v>
      </c>
      <c r="AB877">
        <f t="shared" si="426"/>
        <v>1.2663954299093105</v>
      </c>
      <c r="AC877">
        <f t="shared" si="427"/>
        <v>0.39122171645014275</v>
      </c>
      <c r="AD877">
        <f t="shared" si="428"/>
        <v>0.83984536970292256</v>
      </c>
    </row>
    <row r="878" spans="1:30">
      <c r="A878" t="s">
        <v>338</v>
      </c>
      <c r="B878" t="s">
        <v>31</v>
      </c>
      <c r="C878" t="s">
        <v>32</v>
      </c>
      <c r="D878" t="s">
        <v>33</v>
      </c>
      <c r="E878" s="2">
        <v>46134</v>
      </c>
      <c r="F878" t="s">
        <v>34</v>
      </c>
      <c r="G878">
        <v>128.9</v>
      </c>
      <c r="H878">
        <v>94.6</v>
      </c>
      <c r="I878">
        <v>-1957.8</v>
      </c>
      <c r="J878">
        <v>69.5</v>
      </c>
      <c r="K878">
        <v>0</v>
      </c>
      <c r="L878">
        <v>0.8</v>
      </c>
      <c r="M878">
        <v>0</v>
      </c>
      <c r="N878">
        <v>68.7</v>
      </c>
      <c r="O878">
        <v>115.09</v>
      </c>
      <c r="P878">
        <v>114.94</v>
      </c>
      <c r="Q878">
        <v>7.32</v>
      </c>
      <c r="R878">
        <v>7.93</v>
      </c>
      <c r="S878">
        <f>IF(OR(G878=0,G878=""),"",ABS((G878-152.740594)/5.729485))</f>
        <v>4.1610361140660945</v>
      </c>
      <c r="T878">
        <f>IF(OR(H878=0,H878=""),"",ABS((H878-96.426733)/5.037499))</f>
        <v>0.36262697024853091</v>
      </c>
      <c r="U878">
        <f t="shared" si="417"/>
        <v>0</v>
      </c>
      <c r="V878">
        <f>IF(OR(J878=0,J878=""),"",ABS((J878-69.40099)/2.222902))</f>
        <v>4.4540874946357029E-2</v>
      </c>
      <c r="W878" t="str">
        <f t="shared" si="418"/>
        <v/>
      </c>
      <c r="X878">
        <f>IF(OR(L878=0,L878=""),"",ABS((L878-1.849749)/1.393269))</f>
        <v>0.75344316137084799</v>
      </c>
      <c r="Y878" t="str">
        <f t="shared" si="419"/>
        <v/>
      </c>
      <c r="Z878">
        <f>IF(OR(N878=0,N878=""),"",ABS((N878-69.231188)/2.519549))</f>
        <v>0.21082662016098921</v>
      </c>
      <c r="AA878">
        <f>IF(OR(O878=0,O878=""),"",ABS((O878-113.18)/1.73698))</f>
        <v>1.0996096673536808</v>
      </c>
      <c r="AB878">
        <f>IF(OR(P878=0,P878=""),"",ABS((P878-114.765594)/1.645198))</f>
        <v>0.10600912473757246</v>
      </c>
      <c r="AC878">
        <f>IF(OR(Q878=0,Q878=""),"",ABS((Q878-8.040149)/0.55663))</f>
        <v>1.2937660564468305</v>
      </c>
      <c r="AD878">
        <f>IF(OR(R878=0,R878=""),"",ABS((R878-7.915297)/0.399795))</f>
        <v>3.6776347878287395E-2</v>
      </c>
    </row>
    <row r="879" spans="1:30">
      <c r="A879" t="s">
        <v>338</v>
      </c>
      <c r="B879" t="s">
        <v>31</v>
      </c>
      <c r="C879" t="s">
        <v>32</v>
      </c>
      <c r="D879" t="s">
        <v>33</v>
      </c>
      <c r="E879" s="2">
        <v>46134</v>
      </c>
      <c r="F879" t="s">
        <v>34</v>
      </c>
      <c r="G879">
        <v>179</v>
      </c>
      <c r="H879">
        <v>96.9</v>
      </c>
      <c r="I879">
        <v>-1957.8</v>
      </c>
      <c r="J879">
        <v>69.5</v>
      </c>
      <c r="K879">
        <v>0</v>
      </c>
      <c r="L879">
        <v>0.4</v>
      </c>
      <c r="M879">
        <v>0</v>
      </c>
      <c r="N879">
        <v>69.099999999999994</v>
      </c>
      <c r="O879">
        <v>114.87</v>
      </c>
      <c r="P879">
        <v>114.65</v>
      </c>
      <c r="Q879">
        <v>7.91</v>
      </c>
      <c r="R879">
        <v>8.15</v>
      </c>
      <c r="S879">
        <f>IF(OR(G879=0,G879=""),"",ABS((G879-152.740594)/5.729485))</f>
        <v>4.5832052968111467</v>
      </c>
      <c r="T879">
        <f>IF(OR(H879=0,H879=""),"",ABS((H879-96.426733)/5.037499))</f>
        <v>9.3948802768994491E-2</v>
      </c>
      <c r="U879">
        <f t="shared" si="417"/>
        <v>0</v>
      </c>
      <c r="V879">
        <f>IF(OR(J879=0,J879=""),"",ABS((J879-69.40099)/2.222902))</f>
        <v>4.4540874946357029E-2</v>
      </c>
      <c r="W879" t="str">
        <f t="shared" si="418"/>
        <v/>
      </c>
      <c r="X879">
        <f>IF(OR(L879=0,L879=""),"",ABS((L879-1.849749)/1.393269))</f>
        <v>1.040537756886861</v>
      </c>
      <c r="Y879" t="str">
        <f t="shared" si="419"/>
        <v/>
      </c>
      <c r="Z879">
        <f>IF(OR(N879=0,N879=""),"",ABS((N879-69.231188)/2.519549))</f>
        <v>5.2068048686494582E-2</v>
      </c>
      <c r="AA879">
        <f>IF(OR(O879=0,O879=""),"",ABS((O879-113.18)/1.73698))</f>
        <v>0.97295305645430441</v>
      </c>
      <c r="AB879">
        <f>IF(OR(P879=0,P879=""),"",ABS((P879-114.765594)/1.645198))</f>
        <v>7.0261451813087128E-2</v>
      </c>
      <c r="AC879">
        <f>IF(OR(Q879=0,Q879=""),"",ABS((Q879-8.040149)/0.55663))</f>
        <v>0.23381599985627691</v>
      </c>
      <c r="AD879">
        <f>IF(OR(R879=0,R879=""),"",ABS((R879-7.915297)/0.399795))</f>
        <v>0.58705836741330064</v>
      </c>
    </row>
    <row r="880" spans="1:30">
      <c r="A880" t="s">
        <v>569</v>
      </c>
      <c r="B880" t="s">
        <v>31</v>
      </c>
      <c r="C880" t="s">
        <v>32</v>
      </c>
      <c r="D880" t="s">
        <v>33</v>
      </c>
      <c r="E880" s="2">
        <v>46135</v>
      </c>
      <c r="F880" t="s">
        <v>40</v>
      </c>
      <c r="G880">
        <v>153</v>
      </c>
      <c r="H880">
        <v>87.4</v>
      </c>
      <c r="I880">
        <v>-1957.8</v>
      </c>
      <c r="J880">
        <v>67.7</v>
      </c>
      <c r="K880">
        <v>0</v>
      </c>
      <c r="L880">
        <v>0.8</v>
      </c>
      <c r="M880">
        <v>0</v>
      </c>
      <c r="N880">
        <v>66.900000000000006</v>
      </c>
      <c r="O880">
        <v>112.01</v>
      </c>
      <c r="P880">
        <v>113.4</v>
      </c>
      <c r="Q880">
        <v>7.32</v>
      </c>
      <c r="R880">
        <v>7.67</v>
      </c>
      <c r="S880">
        <f>IF(OR(G880=0,G880=""),"",ABS((G880-152.740594)/5.729485))</f>
        <v>4.5275622503595465E-2</v>
      </c>
      <c r="T880">
        <f>IF(OR(H880=0,H880=""),"",ABS((H880-96.426733)/5.037499))</f>
        <v>1.7919076509990359</v>
      </c>
      <c r="U880">
        <f t="shared" si="417"/>
        <v>0</v>
      </c>
      <c r="V880">
        <f>IF(OR(J880=0,J880=""),"",ABS((J880-69.40099)/2.222902))</f>
        <v>0.76521142182605906</v>
      </c>
      <c r="W880" t="str">
        <f t="shared" si="418"/>
        <v/>
      </c>
      <c r="X880">
        <f>IF(OR(L880=0,L880=""),"",ABS((L880-1.849749)/1.393269))</f>
        <v>0.75344316137084799</v>
      </c>
      <c r="Y880" t="str">
        <f t="shared" si="419"/>
        <v/>
      </c>
      <c r="Z880">
        <f>IF(OR(N880=0,N880=""),"",ABS((N880-69.231188)/2.519549))</f>
        <v>0.92524019179622918</v>
      </c>
      <c r="AA880">
        <f>IF(OR(O880=0,O880=""),"",ABS((O880-113.18)/1.73698))</f>
        <v>0.67358288523759724</v>
      </c>
      <c r="AB880">
        <f>IF(OR(P880=0,P880=""),"",ABS((P880-114.765594)/1.645198))</f>
        <v>0.8300484197038821</v>
      </c>
      <c r="AC880">
        <f>IF(OR(Q880=0,Q880=""),"",ABS((Q880-8.040149)/0.55663))</f>
        <v>1.2937660564468305</v>
      </c>
      <c r="AD880">
        <f>IF(OR(R880=0,R880=""),"",ABS((R880-7.915297)/0.399795))</f>
        <v>0.61355694793581683</v>
      </c>
    </row>
    <row r="881" spans="1:30">
      <c r="A881" t="s">
        <v>497</v>
      </c>
      <c r="B881" t="s">
        <v>37</v>
      </c>
      <c r="C881" t="s">
        <v>38</v>
      </c>
      <c r="D881" t="s">
        <v>39</v>
      </c>
      <c r="E881" s="2">
        <v>46135</v>
      </c>
      <c r="F881" t="s">
        <v>34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tr">
        <f t="shared" ref="S881:S892" si="429">IF(OR(G881=0,G881=""),"",ABS((G881-112.561871)/4.985957))</f>
        <v/>
      </c>
      <c r="T881" t="str">
        <f t="shared" ref="T881:T892" si="430">IF(OR(H881=0,H881=""),"",ABS((H881-80.720624)/2.821681))</f>
        <v/>
      </c>
      <c r="U881" t="str">
        <f t="shared" si="417"/>
        <v/>
      </c>
      <c r="V881" t="str">
        <f t="shared" ref="V881:V892" si="431">IF(OR(J881=0,J881=""),"",ABS((J881-69.348681)/1.912674))</f>
        <v/>
      </c>
      <c r="W881" t="str">
        <f t="shared" si="418"/>
        <v/>
      </c>
      <c r="X881" t="str">
        <f t="shared" ref="X881:X892" si="432">IF(OR(L881=0,L881=""),"",ABS((L881-1.455283)/1.400093))</f>
        <v/>
      </c>
      <c r="Y881" t="str">
        <f t="shared" si="419"/>
        <v/>
      </c>
      <c r="Z881" t="str">
        <f t="shared" ref="Z881:Z892" si="433">IF(OR(N881=0,N881=""),"",ABS((N881-69.699041)/2.195614))</f>
        <v/>
      </c>
      <c r="AA881" t="str">
        <f t="shared" ref="AA881:AA892" si="434">IF(OR(O881=0,O881=""),"",ABS((O881-113.513094)/1.682996))</f>
        <v/>
      </c>
      <c r="AB881" t="str">
        <f t="shared" ref="AB881:AB892" si="435">IF(OR(P881=0,P881=""),"",ABS((P881-115.315492)/1.394108))</f>
        <v/>
      </c>
      <c r="AC881" t="str">
        <f t="shared" ref="AC881:AC892" si="436">IF(OR(Q881=0,Q881=""),"",ABS((Q881-3.821127)/0.150485))</f>
        <v/>
      </c>
      <c r="AD881" t="str">
        <f t="shared" ref="AD881:AD892" si="437">IF(OR(R881=0,R881=""),"",ABS((R881-3.848345)/0.156761))</f>
        <v/>
      </c>
    </row>
    <row r="882" spans="1:30">
      <c r="A882" t="s">
        <v>497</v>
      </c>
      <c r="B882" t="s">
        <v>37</v>
      </c>
      <c r="C882" t="s">
        <v>38</v>
      </c>
      <c r="D882" t="s">
        <v>39</v>
      </c>
      <c r="E882" s="2">
        <v>46135</v>
      </c>
      <c r="F882" t="s">
        <v>34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tr">
        <f t="shared" si="429"/>
        <v/>
      </c>
      <c r="T882" t="str">
        <f t="shared" si="430"/>
        <v/>
      </c>
      <c r="U882" t="str">
        <f t="shared" si="417"/>
        <v/>
      </c>
      <c r="V882" t="str">
        <f t="shared" si="431"/>
        <v/>
      </c>
      <c r="W882" t="str">
        <f t="shared" si="418"/>
        <v/>
      </c>
      <c r="X882" t="str">
        <f t="shared" si="432"/>
        <v/>
      </c>
      <c r="Y882" t="str">
        <f t="shared" si="419"/>
        <v/>
      </c>
      <c r="Z882" t="str">
        <f t="shared" si="433"/>
        <v/>
      </c>
      <c r="AA882" t="str">
        <f t="shared" si="434"/>
        <v/>
      </c>
      <c r="AB882" t="str">
        <f t="shared" si="435"/>
        <v/>
      </c>
      <c r="AC882" t="str">
        <f t="shared" si="436"/>
        <v/>
      </c>
      <c r="AD882" t="str">
        <f t="shared" si="437"/>
        <v/>
      </c>
    </row>
    <row r="883" spans="1:30">
      <c r="A883" t="s">
        <v>497</v>
      </c>
      <c r="B883" t="s">
        <v>37</v>
      </c>
      <c r="C883" t="s">
        <v>38</v>
      </c>
      <c r="D883" t="s">
        <v>39</v>
      </c>
      <c r="E883" s="2">
        <v>46135</v>
      </c>
      <c r="F883" t="s">
        <v>34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tr">
        <f t="shared" si="429"/>
        <v/>
      </c>
      <c r="T883" t="str">
        <f t="shared" si="430"/>
        <v/>
      </c>
      <c r="U883" t="str">
        <f t="shared" si="417"/>
        <v/>
      </c>
      <c r="V883" t="str">
        <f t="shared" si="431"/>
        <v/>
      </c>
      <c r="W883" t="str">
        <f t="shared" si="418"/>
        <v/>
      </c>
      <c r="X883" t="str">
        <f t="shared" si="432"/>
        <v/>
      </c>
      <c r="Y883" t="str">
        <f t="shared" si="419"/>
        <v/>
      </c>
      <c r="Z883" t="str">
        <f t="shared" si="433"/>
        <v/>
      </c>
      <c r="AA883" t="str">
        <f t="shared" si="434"/>
        <v/>
      </c>
      <c r="AB883" t="str">
        <f t="shared" si="435"/>
        <v/>
      </c>
      <c r="AC883" t="str">
        <f t="shared" si="436"/>
        <v/>
      </c>
      <c r="AD883" t="str">
        <f t="shared" si="437"/>
        <v/>
      </c>
    </row>
    <row r="884" spans="1:30">
      <c r="A884" t="s">
        <v>570</v>
      </c>
      <c r="B884" t="s">
        <v>37</v>
      </c>
      <c r="C884" t="s">
        <v>38</v>
      </c>
      <c r="D884" t="s">
        <v>39</v>
      </c>
      <c r="E884" s="2">
        <v>46135</v>
      </c>
      <c r="F884" t="s">
        <v>34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tr">
        <f t="shared" si="429"/>
        <v/>
      </c>
      <c r="T884" t="str">
        <f t="shared" si="430"/>
        <v/>
      </c>
      <c r="U884" t="str">
        <f t="shared" si="417"/>
        <v/>
      </c>
      <c r="V884" t="str">
        <f t="shared" si="431"/>
        <v/>
      </c>
      <c r="W884" t="str">
        <f t="shared" si="418"/>
        <v/>
      </c>
      <c r="X884" t="str">
        <f t="shared" si="432"/>
        <v/>
      </c>
      <c r="Y884" t="str">
        <f t="shared" si="419"/>
        <v/>
      </c>
      <c r="Z884" t="str">
        <f t="shared" si="433"/>
        <v/>
      </c>
      <c r="AA884" t="str">
        <f t="shared" si="434"/>
        <v/>
      </c>
      <c r="AB884" t="str">
        <f t="shared" si="435"/>
        <v/>
      </c>
      <c r="AC884" t="str">
        <f t="shared" si="436"/>
        <v/>
      </c>
      <c r="AD884" t="str">
        <f t="shared" si="437"/>
        <v/>
      </c>
    </row>
    <row r="885" spans="1:30">
      <c r="A885" t="s">
        <v>570</v>
      </c>
      <c r="B885" t="s">
        <v>37</v>
      </c>
      <c r="C885" t="s">
        <v>38</v>
      </c>
      <c r="D885" t="s">
        <v>39</v>
      </c>
      <c r="E885" s="2">
        <v>46135</v>
      </c>
      <c r="F885" t="s">
        <v>34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tr">
        <f t="shared" si="429"/>
        <v/>
      </c>
      <c r="T885" t="str">
        <f t="shared" si="430"/>
        <v/>
      </c>
      <c r="U885" t="str">
        <f t="shared" si="417"/>
        <v/>
      </c>
      <c r="V885" t="str">
        <f t="shared" si="431"/>
        <v/>
      </c>
      <c r="W885" t="str">
        <f t="shared" si="418"/>
        <v/>
      </c>
      <c r="X885" t="str">
        <f t="shared" si="432"/>
        <v/>
      </c>
      <c r="Y885" t="str">
        <f t="shared" si="419"/>
        <v/>
      </c>
      <c r="Z885" t="str">
        <f t="shared" si="433"/>
        <v/>
      </c>
      <c r="AA885" t="str">
        <f t="shared" si="434"/>
        <v/>
      </c>
      <c r="AB885" t="str">
        <f t="shared" si="435"/>
        <v/>
      </c>
      <c r="AC885" t="str">
        <f t="shared" si="436"/>
        <v/>
      </c>
      <c r="AD885" t="str">
        <f t="shared" si="437"/>
        <v/>
      </c>
    </row>
    <row r="886" spans="1:30">
      <c r="A886" t="s">
        <v>525</v>
      </c>
      <c r="B886" t="s">
        <v>37</v>
      </c>
      <c r="C886" t="s">
        <v>38</v>
      </c>
      <c r="D886" t="s">
        <v>39</v>
      </c>
      <c r="E886" s="2">
        <v>46135</v>
      </c>
      <c r="F886" t="s">
        <v>40</v>
      </c>
      <c r="G886">
        <v>120.9</v>
      </c>
      <c r="H886">
        <v>81.099999999999994</v>
      </c>
      <c r="I886">
        <v>-1957.8</v>
      </c>
      <c r="J886">
        <v>69.099999999999994</v>
      </c>
      <c r="K886">
        <v>0</v>
      </c>
      <c r="L886">
        <v>1.6</v>
      </c>
      <c r="M886">
        <v>0</v>
      </c>
      <c r="N886">
        <v>67.5</v>
      </c>
      <c r="O886">
        <v>111.79</v>
      </c>
      <c r="P886">
        <v>113.33</v>
      </c>
      <c r="Q886">
        <v>3.91</v>
      </c>
      <c r="R886">
        <v>3.98</v>
      </c>
      <c r="S886">
        <f t="shared" si="429"/>
        <v>1.6723226854944817</v>
      </c>
      <c r="T886">
        <f t="shared" si="430"/>
        <v>0.13445035069520386</v>
      </c>
      <c r="U886">
        <f t="shared" si="417"/>
        <v>0</v>
      </c>
      <c r="V886">
        <f t="shared" si="431"/>
        <v>0.13001745200698331</v>
      </c>
      <c r="W886" t="str">
        <f t="shared" si="418"/>
        <v/>
      </c>
      <c r="X886">
        <f t="shared" si="432"/>
        <v>0.10336241949641915</v>
      </c>
      <c r="Y886" t="str">
        <f t="shared" si="419"/>
        <v/>
      </c>
      <c r="Z886">
        <f t="shared" si="433"/>
        <v>1.001560839018149</v>
      </c>
      <c r="AA886">
        <f t="shared" si="434"/>
        <v>1.0238253685689027</v>
      </c>
      <c r="AB886">
        <f t="shared" si="435"/>
        <v>1.4242024290801056</v>
      </c>
      <c r="AC886">
        <f t="shared" si="436"/>
        <v>0.59057713393361444</v>
      </c>
      <c r="AD886">
        <f t="shared" si="437"/>
        <v>0.83984536970292256</v>
      </c>
    </row>
    <row r="887" spans="1:30">
      <c r="A887" t="s">
        <v>420</v>
      </c>
      <c r="B887" t="s">
        <v>37</v>
      </c>
      <c r="C887" t="s">
        <v>38</v>
      </c>
      <c r="D887" t="s">
        <v>39</v>
      </c>
      <c r="E887" s="2">
        <v>46135</v>
      </c>
      <c r="F887" t="s">
        <v>34</v>
      </c>
      <c r="G887">
        <v>85.6</v>
      </c>
      <c r="H887">
        <v>77.900000000000006</v>
      </c>
      <c r="I887">
        <v>-1957.8</v>
      </c>
      <c r="J887">
        <v>69.099999999999994</v>
      </c>
      <c r="K887">
        <v>0</v>
      </c>
      <c r="L887">
        <v>1.3</v>
      </c>
      <c r="M887">
        <v>0</v>
      </c>
      <c r="N887">
        <v>67.8</v>
      </c>
      <c r="O887">
        <v>111.94</v>
      </c>
      <c r="P887">
        <v>113.48</v>
      </c>
      <c r="Q887">
        <v>3.83</v>
      </c>
      <c r="R887">
        <v>3.86</v>
      </c>
      <c r="S887">
        <f t="shared" si="429"/>
        <v>5.4075618782913697</v>
      </c>
      <c r="T887">
        <f t="shared" si="430"/>
        <v>0.99962540060339755</v>
      </c>
      <c r="U887">
        <f t="shared" si="417"/>
        <v>0</v>
      </c>
      <c r="V887">
        <f t="shared" si="431"/>
        <v>0.13001745200698331</v>
      </c>
      <c r="W887" t="str">
        <f t="shared" si="418"/>
        <v/>
      </c>
      <c r="X887">
        <f t="shared" si="432"/>
        <v>0.11090906104094518</v>
      </c>
      <c r="Y887" t="str">
        <f t="shared" si="419"/>
        <v/>
      </c>
      <c r="Z887">
        <f t="shared" si="433"/>
        <v>0.86492480007870098</v>
      </c>
      <c r="AA887">
        <f t="shared" si="434"/>
        <v>0.93469859702577884</v>
      </c>
      <c r="AB887">
        <f t="shared" si="435"/>
        <v>1.3166067478272863</v>
      </c>
      <c r="AC887">
        <f t="shared" si="436"/>
        <v>5.8962687311027065E-2</v>
      </c>
      <c r="AD887">
        <f t="shared" si="437"/>
        <v>7.4348849522519939E-2</v>
      </c>
    </row>
    <row r="888" spans="1:30">
      <c r="A888" t="s">
        <v>491</v>
      </c>
      <c r="B888" t="s">
        <v>37</v>
      </c>
      <c r="C888" t="s">
        <v>38</v>
      </c>
      <c r="D888" t="s">
        <v>39</v>
      </c>
      <c r="E888" s="2">
        <v>46135</v>
      </c>
      <c r="F888" t="s">
        <v>40</v>
      </c>
      <c r="G888">
        <v>113.7</v>
      </c>
      <c r="H888">
        <v>78.900000000000006</v>
      </c>
      <c r="I888">
        <v>-1957.8</v>
      </c>
      <c r="J888">
        <v>68.599999999999994</v>
      </c>
      <c r="K888">
        <v>0</v>
      </c>
      <c r="L888">
        <v>1.1000000000000001</v>
      </c>
      <c r="M888">
        <v>0</v>
      </c>
      <c r="N888">
        <v>67.5</v>
      </c>
      <c r="O888">
        <v>115.31</v>
      </c>
      <c r="P888">
        <v>115.31</v>
      </c>
      <c r="Q888">
        <v>3.76</v>
      </c>
      <c r="R888">
        <v>3.74</v>
      </c>
      <c r="S888">
        <f t="shared" si="429"/>
        <v>0.2282669104446762</v>
      </c>
      <c r="T888">
        <f t="shared" si="430"/>
        <v>0.64522672832258332</v>
      </c>
      <c r="U888">
        <f t="shared" si="417"/>
        <v>0</v>
      </c>
      <c r="V888">
        <f t="shared" si="431"/>
        <v>0.39143157694411324</v>
      </c>
      <c r="W888" t="str">
        <f t="shared" si="418"/>
        <v/>
      </c>
      <c r="X888">
        <f t="shared" si="432"/>
        <v>0.25375671473252137</v>
      </c>
      <c r="Y888" t="str">
        <f t="shared" si="419"/>
        <v/>
      </c>
      <c r="Z888">
        <f t="shared" si="433"/>
        <v>1.001560839018149</v>
      </c>
      <c r="AA888">
        <f t="shared" si="434"/>
        <v>1.0676828703098564</v>
      </c>
      <c r="AB888">
        <f t="shared" si="435"/>
        <v>3.9394365429391608E-3</v>
      </c>
      <c r="AC888">
        <f t="shared" si="436"/>
        <v>0.40619995348373839</v>
      </c>
      <c r="AD888">
        <f t="shared" si="437"/>
        <v>0.69114767065787985</v>
      </c>
    </row>
    <row r="889" spans="1:30">
      <c r="A889" t="s">
        <v>510</v>
      </c>
      <c r="B889" t="s">
        <v>37</v>
      </c>
      <c r="C889" t="s">
        <v>38</v>
      </c>
      <c r="D889" t="s">
        <v>39</v>
      </c>
      <c r="E889" s="2">
        <v>46135</v>
      </c>
      <c r="F889" t="s">
        <v>40</v>
      </c>
      <c r="G889">
        <v>112</v>
      </c>
      <c r="H889">
        <v>78.900000000000006</v>
      </c>
      <c r="I889">
        <v>-1957.8</v>
      </c>
      <c r="J889">
        <v>68.599999999999994</v>
      </c>
      <c r="K889">
        <v>0</v>
      </c>
      <c r="L889">
        <v>0.7</v>
      </c>
      <c r="M889">
        <v>0</v>
      </c>
      <c r="N889">
        <v>67.900000000000006</v>
      </c>
      <c r="O889">
        <v>112.3</v>
      </c>
      <c r="P889">
        <v>116.56</v>
      </c>
      <c r="Q889">
        <v>3.69</v>
      </c>
      <c r="R889">
        <v>3.61</v>
      </c>
      <c r="S889">
        <f t="shared" si="429"/>
        <v>0.11269070310875053</v>
      </c>
      <c r="T889">
        <f t="shared" si="430"/>
        <v>0.64522672832258332</v>
      </c>
      <c r="U889">
        <f t="shared" si="417"/>
        <v>0</v>
      </c>
      <c r="V889">
        <f t="shared" si="431"/>
        <v>0.39143157694411324</v>
      </c>
      <c r="W889" t="str">
        <f t="shared" si="418"/>
        <v/>
      </c>
      <c r="X889">
        <f t="shared" si="432"/>
        <v>0.53945202211567389</v>
      </c>
      <c r="Y889" t="str">
        <f t="shared" si="419"/>
        <v/>
      </c>
      <c r="Z889">
        <f t="shared" si="433"/>
        <v>0.81937945376554733</v>
      </c>
      <c r="AA889">
        <f t="shared" si="434"/>
        <v>0.72079434532226938</v>
      </c>
      <c r="AB889">
        <f t="shared" si="435"/>
        <v>0.89269124056385607</v>
      </c>
      <c r="AC889">
        <f t="shared" si="436"/>
        <v>0.87136259427850093</v>
      </c>
      <c r="AD889">
        <f t="shared" si="437"/>
        <v>1.5204355675199841</v>
      </c>
    </row>
    <row r="890" spans="1:30">
      <c r="A890" t="s">
        <v>495</v>
      </c>
      <c r="B890" t="s">
        <v>37</v>
      </c>
      <c r="C890" t="s">
        <v>38</v>
      </c>
      <c r="D890" t="s">
        <v>39</v>
      </c>
      <c r="E890" s="2">
        <v>46135</v>
      </c>
      <c r="F890" t="s">
        <v>40</v>
      </c>
      <c r="G890">
        <v>115.5</v>
      </c>
      <c r="H890">
        <v>78.900000000000006</v>
      </c>
      <c r="I890">
        <v>-1957.8</v>
      </c>
      <c r="J890">
        <v>69.099999999999994</v>
      </c>
      <c r="K890">
        <v>0</v>
      </c>
      <c r="L890">
        <v>0.4</v>
      </c>
      <c r="M890">
        <v>0</v>
      </c>
      <c r="N890">
        <v>68.7</v>
      </c>
      <c r="O890">
        <v>112.16</v>
      </c>
      <c r="P890">
        <v>116.41</v>
      </c>
      <c r="Q890">
        <v>3.74</v>
      </c>
      <c r="R890">
        <v>3.66</v>
      </c>
      <c r="S890">
        <f t="shared" si="429"/>
        <v>0.58928085420712684</v>
      </c>
      <c r="T890">
        <f t="shared" si="430"/>
        <v>0.64522672832258332</v>
      </c>
      <c r="U890">
        <f t="shared" si="417"/>
        <v>0</v>
      </c>
      <c r="V890">
        <f t="shared" si="431"/>
        <v>0.13001745200698331</v>
      </c>
      <c r="W890" t="str">
        <f t="shared" si="418"/>
        <v/>
      </c>
      <c r="X890">
        <f t="shared" si="432"/>
        <v>0.75372350265303822</v>
      </c>
      <c r="Y890" t="str">
        <f t="shared" si="419"/>
        <v/>
      </c>
      <c r="Z890">
        <f t="shared" si="433"/>
        <v>0.4550166832603505</v>
      </c>
      <c r="AA890">
        <f t="shared" si="434"/>
        <v>0.80397933209585692</v>
      </c>
      <c r="AB890">
        <f t="shared" si="435"/>
        <v>0.78509555931103658</v>
      </c>
      <c r="AC890">
        <f t="shared" si="436"/>
        <v>0.53910356513938229</v>
      </c>
      <c r="AD890">
        <f t="shared" si="437"/>
        <v>1.2014786841114817</v>
      </c>
    </row>
    <row r="891" spans="1:30">
      <c r="A891" t="s">
        <v>496</v>
      </c>
      <c r="B891" t="s">
        <v>37</v>
      </c>
      <c r="C891" t="s">
        <v>38</v>
      </c>
      <c r="D891" t="s">
        <v>39</v>
      </c>
      <c r="E891" s="2">
        <v>46135</v>
      </c>
      <c r="F891" t="s">
        <v>40</v>
      </c>
      <c r="G891">
        <v>114.6</v>
      </c>
      <c r="H891">
        <v>81.099999999999994</v>
      </c>
      <c r="I891">
        <v>-1957.8</v>
      </c>
      <c r="J891">
        <v>69.099999999999994</v>
      </c>
      <c r="K891">
        <v>0</v>
      </c>
      <c r="L891">
        <v>0.6</v>
      </c>
      <c r="M891">
        <v>0</v>
      </c>
      <c r="N891">
        <v>68.5</v>
      </c>
      <c r="O891">
        <v>115.68</v>
      </c>
      <c r="P891">
        <v>117.07</v>
      </c>
      <c r="Q891">
        <v>3.69</v>
      </c>
      <c r="R891">
        <v>3.69</v>
      </c>
      <c r="S891">
        <f t="shared" si="429"/>
        <v>0.40877388232590012</v>
      </c>
      <c r="T891">
        <f t="shared" si="430"/>
        <v>0.13445035069520386</v>
      </c>
      <c r="U891">
        <f t="shared" si="417"/>
        <v>0</v>
      </c>
      <c r="V891">
        <f t="shared" si="431"/>
        <v>0.13001745200698331</v>
      </c>
      <c r="W891" t="str">
        <f t="shared" si="418"/>
        <v/>
      </c>
      <c r="X891">
        <f t="shared" si="432"/>
        <v>0.61087584896146196</v>
      </c>
      <c r="Y891" t="str">
        <f t="shared" si="419"/>
        <v/>
      </c>
      <c r="Z891">
        <f t="shared" si="433"/>
        <v>0.54610737588665137</v>
      </c>
      <c r="AA891">
        <f t="shared" si="434"/>
        <v>1.2875289067829108</v>
      </c>
      <c r="AB891">
        <f t="shared" si="435"/>
        <v>1.258516556823422</v>
      </c>
      <c r="AC891">
        <f t="shared" si="436"/>
        <v>0.87136259427850093</v>
      </c>
      <c r="AD891">
        <f t="shared" si="437"/>
        <v>1.0101045540663824</v>
      </c>
    </row>
    <row r="892" spans="1:30">
      <c r="A892" t="s">
        <v>475</v>
      </c>
      <c r="B892" t="s">
        <v>37</v>
      </c>
      <c r="C892" t="s">
        <v>38</v>
      </c>
      <c r="D892" t="s">
        <v>39</v>
      </c>
      <c r="E892" s="2">
        <v>46135</v>
      </c>
      <c r="F892" t="s">
        <v>40</v>
      </c>
      <c r="G892">
        <v>115.1</v>
      </c>
      <c r="H892">
        <v>80.7</v>
      </c>
      <c r="I892">
        <v>-1957.8</v>
      </c>
      <c r="J892">
        <v>70</v>
      </c>
      <c r="K892">
        <v>0</v>
      </c>
      <c r="L892">
        <v>0.2</v>
      </c>
      <c r="M892">
        <v>0</v>
      </c>
      <c r="N892">
        <v>69.8</v>
      </c>
      <c r="O892">
        <v>112.23</v>
      </c>
      <c r="P892">
        <v>116.85</v>
      </c>
      <c r="Q892">
        <v>3.83</v>
      </c>
      <c r="R892">
        <v>3.69</v>
      </c>
      <c r="S892">
        <f t="shared" si="429"/>
        <v>0.50905553337102538</v>
      </c>
      <c r="T892">
        <f t="shared" si="430"/>
        <v>7.309118217118795E-3</v>
      </c>
      <c r="U892">
        <f t="shared" si="417"/>
        <v>0</v>
      </c>
      <c r="V892">
        <f t="shared" si="431"/>
        <v>0.34052797287985348</v>
      </c>
      <c r="W892" t="str">
        <f t="shared" si="418"/>
        <v/>
      </c>
      <c r="X892">
        <f t="shared" si="432"/>
        <v>0.89657115634461437</v>
      </c>
      <c r="Y892" t="str">
        <f t="shared" si="419"/>
        <v/>
      </c>
      <c r="Z892">
        <f t="shared" si="433"/>
        <v>4.5982126184294293E-2</v>
      </c>
      <c r="AA892">
        <f t="shared" si="434"/>
        <v>0.76238683870905888</v>
      </c>
      <c r="AB892">
        <f t="shared" si="435"/>
        <v>1.1007095576526269</v>
      </c>
      <c r="AC892">
        <f t="shared" si="436"/>
        <v>5.8962687311027065E-2</v>
      </c>
      <c r="AD892">
        <f t="shared" si="437"/>
        <v>1.0101045540663824</v>
      </c>
    </row>
    <row r="893" spans="1:30">
      <c r="A893" t="s">
        <v>466</v>
      </c>
      <c r="B893" t="s">
        <v>31</v>
      </c>
      <c r="C893" t="s">
        <v>32</v>
      </c>
      <c r="D893" t="s">
        <v>33</v>
      </c>
      <c r="E893" s="2">
        <v>46135</v>
      </c>
      <c r="F893" t="s">
        <v>40</v>
      </c>
      <c r="G893">
        <v>149.5</v>
      </c>
      <c r="H893">
        <v>95.5</v>
      </c>
      <c r="I893">
        <v>-1957.8</v>
      </c>
      <c r="J893">
        <v>70.400000000000006</v>
      </c>
      <c r="K893">
        <v>0</v>
      </c>
      <c r="L893">
        <v>0</v>
      </c>
      <c r="M893">
        <v>0</v>
      </c>
      <c r="N893">
        <v>70.400000000000006</v>
      </c>
      <c r="O893">
        <v>114.94</v>
      </c>
      <c r="P893">
        <v>115.24</v>
      </c>
      <c r="Q893">
        <v>7.69</v>
      </c>
      <c r="R893">
        <v>6.96</v>
      </c>
      <c r="S893">
        <f>IF(OR(G893=0,G893=""),"",ABS((G893-152.740594)/5.729485))</f>
        <v>0.56559952596088259</v>
      </c>
      <c r="T893">
        <f>IF(OR(H893=0,H893=""),"",ABS((H893-96.426733)/5.037499))</f>
        <v>0.18396688515471638</v>
      </c>
      <c r="U893">
        <f t="shared" si="417"/>
        <v>0</v>
      </c>
      <c r="V893">
        <f>IF(OR(J893=0,J893=""),"",ABS((J893-69.40099)/2.222902))</f>
        <v>0.44941702333256828</v>
      </c>
      <c r="W893" t="str">
        <f t="shared" si="418"/>
        <v/>
      </c>
      <c r="X893" t="str">
        <f>IF(OR(L893=0,L893=""),"",ABS((L893-1.849749)/1.393269))</f>
        <v/>
      </c>
      <c r="Y893" t="str">
        <f t="shared" si="419"/>
        <v/>
      </c>
      <c r="Z893">
        <f>IF(OR(N893=0,N893=""),"",ABS((N893-69.231188)/2.519549))</f>
        <v>0.46389730860562844</v>
      </c>
      <c r="AA893">
        <f>IF(OR(O893=0,O893=""),"",ABS((O893-113.18)/1.73698))</f>
        <v>1.0132528871950115</v>
      </c>
      <c r="AB893">
        <f>IF(OR(P893=0,P893=""),"",ABS((P893-114.765594)/1.645198))</f>
        <v>0.2883579970313615</v>
      </c>
      <c r="AC893">
        <f>IF(OR(Q893=0,Q893=""),"",ABS((Q893-8.040149)/0.55663))</f>
        <v>0.6290516141781779</v>
      </c>
      <c r="AD893">
        <f>IF(OR(R893=0,R893=""),"",ABS((R893-7.915297)/0.399795))</f>
        <v>2.3894671018897182</v>
      </c>
    </row>
    <row r="894" spans="1:30">
      <c r="A894" t="s">
        <v>485</v>
      </c>
      <c r="B894" t="s">
        <v>31</v>
      </c>
      <c r="C894" t="s">
        <v>32</v>
      </c>
      <c r="D894" t="s">
        <v>33</v>
      </c>
      <c r="E894" s="2">
        <v>46135</v>
      </c>
      <c r="F894" t="s">
        <v>34</v>
      </c>
      <c r="G894">
        <v>154.4</v>
      </c>
      <c r="H894">
        <v>83.8</v>
      </c>
      <c r="I894">
        <v>-1957.8</v>
      </c>
      <c r="J894">
        <v>70.8</v>
      </c>
      <c r="K894">
        <v>0</v>
      </c>
      <c r="L894">
        <v>0.5</v>
      </c>
      <c r="M894">
        <v>0</v>
      </c>
      <c r="N894">
        <v>71.3</v>
      </c>
      <c r="O894">
        <v>115.46</v>
      </c>
      <c r="P894">
        <v>115.31</v>
      </c>
      <c r="Q894">
        <v>6.71</v>
      </c>
      <c r="R894">
        <v>6.84</v>
      </c>
      <c r="S894">
        <f>IF(OR(G894=0,G894=""),"",ABS((G894-152.740594)/5.729485))</f>
        <v>0.28962568188938764</v>
      </c>
      <c r="T894">
        <f>IF(OR(H894=0,H894=""),"",ABS((H894-96.426733)/5.037499))</f>
        <v>2.5065479913742914</v>
      </c>
      <c r="U894">
        <f t="shared" si="417"/>
        <v>0</v>
      </c>
      <c r="V894">
        <f>IF(OR(J894=0,J894=""),"",ABS((J894-69.40099)/2.222902))</f>
        <v>0.62936197817087935</v>
      </c>
      <c r="W894" t="str">
        <f t="shared" si="418"/>
        <v/>
      </c>
      <c r="X894">
        <f>IF(OR(L894=0,L894=""),"",ABS((L894-1.849749)/1.393269))</f>
        <v>0.96876410800785773</v>
      </c>
      <c r="Y894" t="str">
        <f t="shared" si="419"/>
        <v/>
      </c>
      <c r="Z894">
        <f>IF(OR(N894=0,N894=""),"",ABS((N894-69.231188)/2.519549))</f>
        <v>0.82110409442324561</v>
      </c>
      <c r="AA894">
        <f>IF(OR(O894=0,O894=""),"",ABS((O894-113.18)/1.73698))</f>
        <v>1.3126230584117187</v>
      </c>
      <c r="AB894">
        <f>IF(OR(P894=0,P894=""),"",ABS((P894-114.765594)/1.645198))</f>
        <v>0.3309060672332505</v>
      </c>
      <c r="AC894">
        <f>IF(OR(Q894=0,Q894=""),"",ABS((Q894-8.040149)/0.55663))</f>
        <v>2.3896466234302851</v>
      </c>
      <c r="AD894">
        <f>IF(OR(R894=0,R894=""),"",ABS((R894-7.915297)/0.399795))</f>
        <v>2.6896209307269974</v>
      </c>
    </row>
    <row r="895" spans="1:30">
      <c r="A895" t="s">
        <v>485</v>
      </c>
      <c r="B895" t="s">
        <v>31</v>
      </c>
      <c r="C895" t="s">
        <v>32</v>
      </c>
      <c r="D895" t="s">
        <v>33</v>
      </c>
      <c r="E895" s="2">
        <v>46135</v>
      </c>
      <c r="F895" t="s">
        <v>40</v>
      </c>
      <c r="G895">
        <v>146.4</v>
      </c>
      <c r="H895">
        <v>89.2</v>
      </c>
      <c r="I895">
        <v>-1957.8</v>
      </c>
      <c r="J895">
        <v>71.3</v>
      </c>
      <c r="K895">
        <v>0</v>
      </c>
      <c r="L895">
        <v>0.6</v>
      </c>
      <c r="M895">
        <v>0</v>
      </c>
      <c r="N895">
        <v>71.900000000000006</v>
      </c>
      <c r="O895">
        <v>112.3</v>
      </c>
      <c r="P895">
        <v>113.7</v>
      </c>
      <c r="Q895">
        <v>6.96</v>
      </c>
      <c r="R895">
        <v>6.67</v>
      </c>
      <c r="S895">
        <f>IF(OR(G895=0,G895=""),"",ABS((G895-152.740594)/5.729485))</f>
        <v>1.1066603717437049</v>
      </c>
      <c r="T895">
        <f>IF(OR(H895=0,H895=""),"",ABS((H895-96.426733)/5.037499))</f>
        <v>1.4345874808114096</v>
      </c>
      <c r="U895">
        <f t="shared" si="417"/>
        <v>0</v>
      </c>
      <c r="V895">
        <f>IF(OR(J895=0,J895=""),"",ABS((J895-69.40099)/2.222902))</f>
        <v>0.85429317171877306</v>
      </c>
      <c r="W895" t="str">
        <f t="shared" si="418"/>
        <v/>
      </c>
      <c r="X895">
        <f>IF(OR(L895=0,L895=""),"",ABS((L895-1.849749)/1.393269))</f>
        <v>0.89699045912885444</v>
      </c>
      <c r="Y895" t="str">
        <f t="shared" si="419"/>
        <v/>
      </c>
      <c r="Z895">
        <f>IF(OR(N895=0,N895=""),"",ABS((N895-69.231188)/2.519549))</f>
        <v>1.059241951634996</v>
      </c>
      <c r="AA895">
        <f>IF(OR(O895=0,O895=""),"",ABS((O895-113.18)/1.73698))</f>
        <v>0.50662644359751385</v>
      </c>
      <c r="AB895">
        <f>IF(OR(P895=0,P895=""),"",ABS((P895-114.765594)/1.645198))</f>
        <v>0.64769954741009306</v>
      </c>
      <c r="AC895">
        <f>IF(OR(Q895=0,Q895=""),"",ABS((Q895-8.040149)/0.55663))</f>
        <v>1.9405152435190336</v>
      </c>
      <c r="AD895">
        <f>IF(OR(R895=0,R895=""),"",ABS((R895-7.915297)/0.399795))</f>
        <v>3.1148388549131427</v>
      </c>
    </row>
    <row r="896" spans="1:30">
      <c r="A896" t="s">
        <v>471</v>
      </c>
      <c r="B896" t="s">
        <v>37</v>
      </c>
      <c r="C896" t="s">
        <v>38</v>
      </c>
      <c r="D896" t="s">
        <v>39</v>
      </c>
      <c r="E896" s="2">
        <v>46135</v>
      </c>
      <c r="F896" t="s">
        <v>40</v>
      </c>
      <c r="G896">
        <v>119.6</v>
      </c>
      <c r="H896">
        <v>81.099999999999994</v>
      </c>
      <c r="I896">
        <v>-1957.8</v>
      </c>
      <c r="J896">
        <v>71.3</v>
      </c>
      <c r="K896">
        <v>0</v>
      </c>
      <c r="L896">
        <v>1.3</v>
      </c>
      <c r="M896">
        <v>0</v>
      </c>
      <c r="N896">
        <v>70</v>
      </c>
      <c r="O896">
        <v>115.16</v>
      </c>
      <c r="P896">
        <v>115.16</v>
      </c>
      <c r="Q896">
        <v>3.76</v>
      </c>
      <c r="R896">
        <v>3.71</v>
      </c>
      <c r="S896">
        <f>IF(OR(G896=0,G896=""),"",ABS((G896-112.561871)/4.985957))</f>
        <v>1.4115903927771536</v>
      </c>
      <c r="T896">
        <f>IF(OR(H896=0,H896=""),"",ABS((H896-80.720624)/2.821681))</f>
        <v>0.13445035069520386</v>
      </c>
      <c r="U896">
        <f t="shared" si="417"/>
        <v>0</v>
      </c>
      <c r="V896">
        <f>IF(OR(J896=0,J896=""),"",ABS((J896-69.348681)/1.912674))</f>
        <v>1.0202046977163897</v>
      </c>
      <c r="W896" t="str">
        <f t="shared" si="418"/>
        <v/>
      </c>
      <c r="X896">
        <f>IF(OR(L896=0,L896=""),"",ABS((L896-1.455283)/1.400093))</f>
        <v>0.11090906104094518</v>
      </c>
      <c r="Y896" t="str">
        <f t="shared" si="419"/>
        <v/>
      </c>
      <c r="Z896">
        <f>IF(OR(N896=0,N896=""),"",ABS((N896-69.699041)/2.195614))</f>
        <v>0.1370728188105951</v>
      </c>
      <c r="AA896">
        <f>IF(OR(O896=0,O896=""),"",ABS((O896-113.513094)/1.682996))</f>
        <v>0.978556098766724</v>
      </c>
      <c r="AB896">
        <f>IF(OR(P896=0,P896=""),"",ABS((P896-115.315492)/1.394108))</f>
        <v>0.11153511779575867</v>
      </c>
      <c r="AC896">
        <f>IF(OR(Q896=0,Q896=""),"",ABS((Q896-3.821127)/0.150485))</f>
        <v>0.40619995348373839</v>
      </c>
      <c r="AD896">
        <f>IF(OR(R896=0,R896=""),"",ABS((R896-3.848345)/0.156761))</f>
        <v>0.88252180070298192</v>
      </c>
    </row>
    <row r="897" spans="1:30">
      <c r="A897" t="s">
        <v>483</v>
      </c>
      <c r="B897" t="s">
        <v>31</v>
      </c>
      <c r="C897" t="s">
        <v>32</v>
      </c>
      <c r="D897" t="s">
        <v>33</v>
      </c>
      <c r="E897" s="2">
        <v>46135</v>
      </c>
      <c r="F897" t="s">
        <v>40</v>
      </c>
      <c r="G897">
        <v>153.5</v>
      </c>
      <c r="H897">
        <v>92.4</v>
      </c>
      <c r="I897">
        <v>-1957.8</v>
      </c>
      <c r="J897">
        <v>70.8</v>
      </c>
      <c r="K897">
        <v>0</v>
      </c>
      <c r="L897">
        <v>1</v>
      </c>
      <c r="M897">
        <v>0</v>
      </c>
      <c r="N897">
        <v>69.8</v>
      </c>
      <c r="O897">
        <v>112.01</v>
      </c>
      <c r="P897">
        <v>116.56</v>
      </c>
      <c r="Q897">
        <v>6.74</v>
      </c>
      <c r="R897">
        <v>6.86</v>
      </c>
      <c r="S897">
        <f>IF(OR(G897=0,G897=""),"",ABS((G897-152.740594)/5.729485))</f>
        <v>0.13254350085566374</v>
      </c>
      <c r="T897">
        <f>IF(OR(H897=0,H897=""),"",ABS((H897-96.426733)/5.037499))</f>
        <v>0.79935162270007254</v>
      </c>
      <c r="U897">
        <f t="shared" si="417"/>
        <v>0</v>
      </c>
      <c r="V897">
        <f>IF(OR(J897=0,J897=""),"",ABS((J897-69.40099)/2.222902))</f>
        <v>0.62936197817087935</v>
      </c>
      <c r="W897" t="str">
        <f t="shared" si="418"/>
        <v/>
      </c>
      <c r="X897">
        <f>IF(OR(L897=0,L897=""),"",ABS((L897-1.849749)/1.393269))</f>
        <v>0.60989586361284143</v>
      </c>
      <c r="Y897" t="str">
        <f t="shared" si="419"/>
        <v/>
      </c>
      <c r="Z897">
        <f>IF(OR(N897=0,N897=""),"",ABS((N897-69.231188)/2.519549))</f>
        <v>0.22575945139387807</v>
      </c>
      <c r="AA897">
        <f>IF(OR(O897=0,O897=""),"",ABS((O897-113.18)/1.73698))</f>
        <v>0.67358288523759724</v>
      </c>
      <c r="AB897">
        <f>IF(OR(P897=0,P897=""),"",ABS((P897-114.765594)/1.645198))</f>
        <v>1.0906930351240454</v>
      </c>
      <c r="AC897">
        <f>IF(OR(Q897=0,Q897=""),"",ABS((Q897-8.040149)/0.55663))</f>
        <v>2.3357508578409347</v>
      </c>
      <c r="AD897">
        <f>IF(OR(R897=0,R897=""),"",ABS((R897-7.915297)/0.399795))</f>
        <v>2.6395952925874497</v>
      </c>
    </row>
    <row r="898" spans="1:30">
      <c r="A898" t="s">
        <v>479</v>
      </c>
      <c r="B898" t="s">
        <v>31</v>
      </c>
      <c r="C898" t="s">
        <v>32</v>
      </c>
      <c r="D898" t="s">
        <v>33</v>
      </c>
      <c r="E898" s="2">
        <v>46135</v>
      </c>
      <c r="F898" t="s">
        <v>34</v>
      </c>
      <c r="G898">
        <v>130.69999999999999</v>
      </c>
      <c r="H898">
        <v>96.4</v>
      </c>
      <c r="I898">
        <v>-1957.8</v>
      </c>
      <c r="J898">
        <v>70.8</v>
      </c>
      <c r="K898">
        <v>0</v>
      </c>
      <c r="L898">
        <v>0.2</v>
      </c>
      <c r="M898">
        <v>0</v>
      </c>
      <c r="N898">
        <v>70.599999999999994</v>
      </c>
      <c r="O898">
        <v>111.64</v>
      </c>
      <c r="P898">
        <v>113.48</v>
      </c>
      <c r="Q898">
        <v>8.11</v>
      </c>
      <c r="R898">
        <v>7.28</v>
      </c>
      <c r="S898">
        <f>IF(OR(G898=0,G898=""),"",ABS((G898-152.740594)/5.729485))</f>
        <v>3.8468717519986519</v>
      </c>
      <c r="T898">
        <f>IF(OR(H898=0,H898=""),"",ABS((H898-96.426733)/5.037499))</f>
        <v>5.3068000609018499E-3</v>
      </c>
      <c r="U898">
        <f t="shared" ref="U898:U941" si="438">IF(OR(I898=0,I898=""),"",ABS((I898--1957.8)/1))</f>
        <v>0</v>
      </c>
      <c r="V898">
        <f>IF(OR(J898=0,J898=""),"",ABS((J898-69.40099)/2.222902))</f>
        <v>0.62936197817087935</v>
      </c>
      <c r="W898" t="str">
        <f t="shared" ref="W898:W941" si="439">IF(OR(K898=0,K898=""),"",ABS((K898-0)/1))</f>
        <v/>
      </c>
      <c r="X898">
        <f>IF(OR(L898=0,L898=""),"",ABS((L898-1.849749)/1.393269))</f>
        <v>1.1840850546448676</v>
      </c>
      <c r="Y898" t="str">
        <f t="shared" ref="Y898:Y941" si="440">IF(OR(M898=0,M898=""),"",ABS((M898-0)/1))</f>
        <v/>
      </c>
      <c r="Z898">
        <f>IF(OR(N898=0,N898=""),"",ABS((N898-69.231188)/2.519549))</f>
        <v>0.54327659434287301</v>
      </c>
      <c r="AA898">
        <f>IF(OR(O898=0,O898=""),"",ABS((O898-113.18)/1.73698))</f>
        <v>0.88659627629564319</v>
      </c>
      <c r="AB898">
        <f>IF(OR(P898=0,P898=""),"",ABS((P898-114.765594)/1.645198))</f>
        <v>0.78142205375887219</v>
      </c>
      <c r="AC898">
        <f>IF(OR(Q898=0,Q898=""),"",ABS((Q898-8.040149)/0.55663))</f>
        <v>0.12548910407272315</v>
      </c>
      <c r="AD898">
        <f>IF(OR(R898=0,R898=""),"",ABS((R898-7.915297)/0.399795))</f>
        <v>1.5890568916569729</v>
      </c>
    </row>
    <row r="899" spans="1:30">
      <c r="A899" t="s">
        <v>479</v>
      </c>
      <c r="B899" t="s">
        <v>31</v>
      </c>
      <c r="C899" t="s">
        <v>32</v>
      </c>
      <c r="D899" t="s">
        <v>33</v>
      </c>
      <c r="E899" s="2">
        <v>46135</v>
      </c>
      <c r="F899" t="s">
        <v>34</v>
      </c>
      <c r="G899">
        <v>124</v>
      </c>
      <c r="H899">
        <v>92.8</v>
      </c>
      <c r="I899">
        <v>-1957.8</v>
      </c>
      <c r="J899">
        <v>71.3</v>
      </c>
      <c r="K899">
        <v>0</v>
      </c>
      <c r="L899">
        <v>0.1</v>
      </c>
      <c r="M899">
        <v>0</v>
      </c>
      <c r="N899">
        <v>71.400000000000006</v>
      </c>
      <c r="O899">
        <v>115.24</v>
      </c>
      <c r="P899">
        <v>115.24</v>
      </c>
      <c r="Q899">
        <v>6.98</v>
      </c>
      <c r="R899">
        <v>6.69</v>
      </c>
      <c r="S899">
        <f>IF(OR(G899=0,G899=""),"",ABS((G899-152.740594)/5.729485))</f>
        <v>5.0162613219163648</v>
      </c>
      <c r="T899">
        <f>IF(OR(H899=0,H899=""),"",ABS((H899-96.426733)/5.037499))</f>
        <v>0.71994714043615715</v>
      </c>
      <c r="U899">
        <f t="shared" si="438"/>
        <v>0</v>
      </c>
      <c r="V899">
        <f>IF(OR(J899=0,J899=""),"",ABS((J899-69.40099)/2.222902))</f>
        <v>0.85429317171877306</v>
      </c>
      <c r="W899" t="str">
        <f t="shared" si="439"/>
        <v/>
      </c>
      <c r="X899">
        <f>IF(OR(L899=0,L899=""),"",ABS((L899-1.849749)/1.393269))</f>
        <v>1.2558587035238709</v>
      </c>
      <c r="Y899" t="str">
        <f t="shared" si="440"/>
        <v/>
      </c>
      <c r="Z899">
        <f>IF(OR(N899=0,N899=""),"",ABS((N899-69.231188)/2.519549))</f>
        <v>0.86079373729187347</v>
      </c>
      <c r="AA899">
        <f>IF(OR(O899=0,O899=""),"",ABS((O899-113.18)/1.73698))</f>
        <v>1.1859664475123421</v>
      </c>
      <c r="AB899">
        <f>IF(OR(P899=0,P899=""),"",ABS((P899-114.765594)/1.645198))</f>
        <v>0.2883579970313615</v>
      </c>
      <c r="AC899">
        <f>IF(OR(Q899=0,Q899=""),"",ABS((Q899-8.040149)/0.55663))</f>
        <v>1.9045847331261325</v>
      </c>
      <c r="AD899">
        <f>IF(OR(R899=0,R899=""),"",ABS((R899-7.915297)/0.399795))</f>
        <v>3.0648132167735951</v>
      </c>
    </row>
    <row r="900" spans="1:30">
      <c r="A900" t="s">
        <v>479</v>
      </c>
      <c r="B900" t="s">
        <v>31</v>
      </c>
      <c r="C900" t="s">
        <v>32</v>
      </c>
      <c r="D900" t="s">
        <v>33</v>
      </c>
      <c r="E900" s="2">
        <v>46135</v>
      </c>
      <c r="F900" t="s">
        <v>34</v>
      </c>
      <c r="G900">
        <v>145.9</v>
      </c>
      <c r="H900">
        <v>74.8</v>
      </c>
      <c r="I900">
        <v>-1957.8</v>
      </c>
      <c r="J900">
        <v>71.3</v>
      </c>
      <c r="K900">
        <v>0</v>
      </c>
      <c r="L900">
        <v>0.3</v>
      </c>
      <c r="M900">
        <v>0</v>
      </c>
      <c r="N900">
        <v>71</v>
      </c>
      <c r="O900">
        <v>112.3</v>
      </c>
      <c r="P900">
        <v>117.07</v>
      </c>
      <c r="Q900">
        <v>6.88</v>
      </c>
      <c r="R900">
        <v>6.47</v>
      </c>
      <c r="S900">
        <f>IF(OR(G900=0,G900=""),"",ABS((G900-152.740594)/5.729485))</f>
        <v>1.1939282500957733</v>
      </c>
      <c r="T900">
        <f>IF(OR(H900=0,H900=""),"",ABS((H900-96.426733)/5.037499))</f>
        <v>4.2931488423124256</v>
      </c>
      <c r="U900">
        <f t="shared" si="438"/>
        <v>0</v>
      </c>
      <c r="V900">
        <f>IF(OR(J900=0,J900=""),"",ABS((J900-69.40099)/2.222902))</f>
        <v>0.85429317171877306</v>
      </c>
      <c r="W900" t="str">
        <f t="shared" si="439"/>
        <v/>
      </c>
      <c r="X900">
        <f>IF(OR(L900=0,L900=""),"",ABS((L900-1.849749)/1.393269))</f>
        <v>1.1123114057658643</v>
      </c>
      <c r="Y900" t="str">
        <f t="shared" si="440"/>
        <v/>
      </c>
      <c r="Z900">
        <f>IF(OR(N900=0,N900=""),"",ABS((N900-69.231188)/2.519549))</f>
        <v>0.70203516581737324</v>
      </c>
      <c r="AA900">
        <f>IF(OR(O900=0,O900=""),"",ABS((O900-113.18)/1.73698))</f>
        <v>0.50662644359751385</v>
      </c>
      <c r="AB900">
        <f>IF(OR(P900=0,P900=""),"",ABS((P900-114.765594)/1.645198))</f>
        <v>1.4006861180234842</v>
      </c>
      <c r="AC900">
        <f>IF(OR(Q900=0,Q900=""),"",ABS((Q900-8.040149)/0.55663))</f>
        <v>2.0842372850906341</v>
      </c>
      <c r="AD900">
        <f>IF(OR(R900=0,R900=""),"",ABS((R900-7.915297)/0.399795))</f>
        <v>3.6150952363086084</v>
      </c>
    </row>
    <row r="901" spans="1:30">
      <c r="A901" t="s">
        <v>479</v>
      </c>
      <c r="B901" t="s">
        <v>31</v>
      </c>
      <c r="C901" t="s">
        <v>32</v>
      </c>
      <c r="D901" t="s">
        <v>33</v>
      </c>
      <c r="E901" s="2">
        <v>46135</v>
      </c>
      <c r="F901" t="s">
        <v>40</v>
      </c>
      <c r="G901">
        <v>148.1</v>
      </c>
      <c r="H901">
        <v>84.7</v>
      </c>
      <c r="I901">
        <v>-1957.8</v>
      </c>
      <c r="J901">
        <v>71.3</v>
      </c>
      <c r="K901">
        <v>0</v>
      </c>
      <c r="L901">
        <v>0.2</v>
      </c>
      <c r="M901">
        <v>0</v>
      </c>
      <c r="N901">
        <v>71.099999999999994</v>
      </c>
      <c r="O901">
        <v>112.16</v>
      </c>
      <c r="P901">
        <v>113.7</v>
      </c>
      <c r="Q901">
        <v>6.93</v>
      </c>
      <c r="R901">
        <v>6.64</v>
      </c>
      <c r="S901">
        <f>IF(OR(G901=0,G901=""),"",ABS((G901-152.740594)/5.729485))</f>
        <v>0.80994958534667472</v>
      </c>
      <c r="T901">
        <f>IF(OR(H901=0,H901=""),"",ABS((H901-96.426733)/5.037499))</f>
        <v>2.3278879062804765</v>
      </c>
      <c r="U901">
        <f t="shared" si="438"/>
        <v>0</v>
      </c>
      <c r="V901">
        <f>IF(OR(J901=0,J901=""),"",ABS((J901-69.40099)/2.222902))</f>
        <v>0.85429317171877306</v>
      </c>
      <c r="W901" t="str">
        <f t="shared" si="439"/>
        <v/>
      </c>
      <c r="X901">
        <f>IF(OR(L901=0,L901=""),"",ABS((L901-1.849749)/1.393269))</f>
        <v>1.1840850546448676</v>
      </c>
      <c r="Y901" t="str">
        <f t="shared" si="440"/>
        <v/>
      </c>
      <c r="Z901">
        <f>IF(OR(N901=0,N901=""),"",ABS((N901-69.231188)/2.519549))</f>
        <v>0.74172480868599544</v>
      </c>
      <c r="AA901">
        <f>IF(OR(O901=0,O901=""),"",ABS((O901-113.18)/1.73698))</f>
        <v>0.58722610507893602</v>
      </c>
      <c r="AB901">
        <f>IF(OR(P901=0,P901=""),"",ABS((P901-114.765594)/1.645198))</f>
        <v>0.64769954741009306</v>
      </c>
      <c r="AC901">
        <f>IF(OR(Q901=0,Q901=""),"",ABS((Q901-8.040149)/0.55663))</f>
        <v>1.9944110091083842</v>
      </c>
      <c r="AD901">
        <f>IF(OR(R901=0,R901=""),"",ABS((R901-7.915297)/0.399795))</f>
        <v>3.1898773121224631</v>
      </c>
    </row>
    <row r="902" spans="1:30">
      <c r="A902" t="s">
        <v>420</v>
      </c>
      <c r="B902" t="s">
        <v>37</v>
      </c>
      <c r="C902" t="s">
        <v>38</v>
      </c>
      <c r="D902" t="s">
        <v>39</v>
      </c>
      <c r="E902" s="2">
        <v>46135</v>
      </c>
      <c r="F902" t="s">
        <v>40</v>
      </c>
      <c r="G902">
        <v>119.1</v>
      </c>
      <c r="H902">
        <v>83.4</v>
      </c>
      <c r="I902">
        <v>-1957.8</v>
      </c>
      <c r="J902">
        <v>71.7</v>
      </c>
      <c r="K902">
        <v>0</v>
      </c>
      <c r="L902">
        <v>0.1</v>
      </c>
      <c r="M902">
        <v>0</v>
      </c>
      <c r="N902">
        <v>71.599999999999994</v>
      </c>
      <c r="O902">
        <v>115.53</v>
      </c>
      <c r="P902">
        <v>113.92</v>
      </c>
      <c r="Q902">
        <v>3.86</v>
      </c>
      <c r="R902">
        <v>3.91</v>
      </c>
      <c r="S902">
        <f t="shared" ref="S902:S918" si="441">IF(OR(G902=0,G902=""),"",ABS((G902-112.561871)/4.985957))</f>
        <v>1.3113087417320282</v>
      </c>
      <c r="T902">
        <f t="shared" ref="T902:T918" si="442">IF(OR(H902=0,H902=""),"",ABS((H902-80.720624)/2.821681))</f>
        <v>0.94956729694108055</v>
      </c>
      <c r="U902">
        <f t="shared" si="438"/>
        <v>0</v>
      </c>
      <c r="V902">
        <f t="shared" ref="V902:V918" si="443">IF(OR(J902=0,J902=""),"",ABS((J902-69.348681)/1.912674))</f>
        <v>1.2293359976660967</v>
      </c>
      <c r="W902" t="str">
        <f t="shared" si="439"/>
        <v/>
      </c>
      <c r="X902">
        <f t="shared" ref="X902:X918" si="444">IF(OR(L902=0,L902=""),"",ABS((L902-1.455283)/1.400093))</f>
        <v>0.96799498319040234</v>
      </c>
      <c r="Y902" t="str">
        <f t="shared" si="440"/>
        <v/>
      </c>
      <c r="Z902">
        <f t="shared" ref="Z902:Z918" si="445">IF(OR(N902=0,N902=""),"",ABS((N902-69.699041)/2.195614))</f>
        <v>0.86579835982098874</v>
      </c>
      <c r="AA902">
        <f t="shared" ref="AA902:AA918" si="446">IF(OR(O902=0,O902=""),"",ABS((O902-113.513094)/1.682996))</f>
        <v>1.1984021352397782</v>
      </c>
      <c r="AB902">
        <f t="shared" ref="AB902:AB918" si="447">IF(OR(P902=0,P902=""),"",ABS((P902-115.315492)/1.394108))</f>
        <v>1.0009927494856958</v>
      </c>
      <c r="AC902">
        <f t="shared" ref="AC902:AC918" si="448">IF(OR(Q902=0,Q902=""),"",ABS((Q902-3.821127)/0.150485))</f>
        <v>0.25831810479449585</v>
      </c>
      <c r="AD902">
        <f t="shared" ref="AD902:AD918" si="449">IF(OR(R902=0,R902=""),"",ABS((R902-3.848345)/0.156761))</f>
        <v>0.39330573293102244</v>
      </c>
    </row>
    <row r="903" spans="1:30">
      <c r="A903" t="s">
        <v>493</v>
      </c>
      <c r="B903" t="s">
        <v>37</v>
      </c>
      <c r="C903" t="s">
        <v>38</v>
      </c>
      <c r="D903" t="s">
        <v>39</v>
      </c>
      <c r="E903" s="2">
        <v>46135</v>
      </c>
      <c r="F903" t="s">
        <v>40</v>
      </c>
      <c r="G903">
        <v>119.1</v>
      </c>
      <c r="H903">
        <v>83.4</v>
      </c>
      <c r="I903">
        <v>-1957.8</v>
      </c>
      <c r="J903">
        <v>71.7</v>
      </c>
      <c r="K903">
        <v>0</v>
      </c>
      <c r="L903">
        <v>0.1</v>
      </c>
      <c r="M903">
        <v>0</v>
      </c>
      <c r="N903">
        <v>71.599999999999994</v>
      </c>
      <c r="O903">
        <v>112.23</v>
      </c>
      <c r="P903">
        <v>117.07</v>
      </c>
      <c r="Q903">
        <v>3.98</v>
      </c>
      <c r="R903">
        <v>3.86</v>
      </c>
      <c r="S903">
        <f t="shared" si="441"/>
        <v>1.3113087417320282</v>
      </c>
      <c r="T903">
        <f t="shared" si="442"/>
        <v>0.94956729694108055</v>
      </c>
      <c r="U903">
        <f t="shared" si="438"/>
        <v>0</v>
      </c>
      <c r="V903">
        <f t="shared" si="443"/>
        <v>1.2293359976660967</v>
      </c>
      <c r="W903" t="str">
        <f t="shared" si="439"/>
        <v/>
      </c>
      <c r="X903">
        <f t="shared" si="444"/>
        <v>0.96799498319040234</v>
      </c>
      <c r="Y903" t="str">
        <f t="shared" si="440"/>
        <v/>
      </c>
      <c r="Z903">
        <f t="shared" si="445"/>
        <v>0.86579835982098874</v>
      </c>
      <c r="AA903">
        <f t="shared" si="446"/>
        <v>0.76238683870905888</v>
      </c>
      <c r="AB903">
        <f t="shared" si="447"/>
        <v>1.258516556823422</v>
      </c>
      <c r="AC903">
        <f t="shared" si="448"/>
        <v>1.055739774728377</v>
      </c>
      <c r="AD903">
        <f t="shared" si="449"/>
        <v>7.4348849522519939E-2</v>
      </c>
    </row>
    <row r="904" spans="1:30">
      <c r="A904" t="s">
        <v>478</v>
      </c>
      <c r="B904" t="s">
        <v>37</v>
      </c>
      <c r="C904" t="s">
        <v>38</v>
      </c>
      <c r="D904" t="s">
        <v>39</v>
      </c>
      <c r="E904" s="2">
        <v>46135</v>
      </c>
      <c r="F904" t="s">
        <v>40</v>
      </c>
      <c r="G904">
        <v>115.5</v>
      </c>
      <c r="H904">
        <v>82</v>
      </c>
      <c r="I904">
        <v>-1957.8</v>
      </c>
      <c r="J904">
        <v>71.7</v>
      </c>
      <c r="K904">
        <v>0</v>
      </c>
      <c r="L904">
        <v>1.7</v>
      </c>
      <c r="M904">
        <v>0</v>
      </c>
      <c r="N904">
        <v>70</v>
      </c>
      <c r="O904">
        <v>115.31</v>
      </c>
      <c r="P904">
        <v>115.16</v>
      </c>
      <c r="Q904">
        <v>4.13</v>
      </c>
      <c r="R904">
        <v>4.08</v>
      </c>
      <c r="S904">
        <f t="shared" si="441"/>
        <v>0.58928085420712684</v>
      </c>
      <c r="T904">
        <f t="shared" si="442"/>
        <v>0.45340915574793861</v>
      </c>
      <c r="U904">
        <f t="shared" si="438"/>
        <v>0</v>
      </c>
      <c r="V904">
        <f t="shared" si="443"/>
        <v>1.2293359976660967</v>
      </c>
      <c r="W904" t="str">
        <f t="shared" si="439"/>
        <v/>
      </c>
      <c r="X904">
        <f t="shared" si="444"/>
        <v>0.17478624634220716</v>
      </c>
      <c r="Y904" t="str">
        <f t="shared" si="440"/>
        <v/>
      </c>
      <c r="Z904">
        <f t="shared" si="445"/>
        <v>0.1370728188105951</v>
      </c>
      <c r="AA904">
        <f t="shared" si="446"/>
        <v>1.0676828703098564</v>
      </c>
      <c r="AB904">
        <f t="shared" si="447"/>
        <v>0.11153511779575867</v>
      </c>
      <c r="AC904">
        <f t="shared" si="448"/>
        <v>2.052516862145727</v>
      </c>
      <c r="AD904">
        <f t="shared" si="449"/>
        <v>1.4777591365199247</v>
      </c>
    </row>
    <row r="905" spans="1:30">
      <c r="A905" t="s">
        <v>474</v>
      </c>
      <c r="B905" t="s">
        <v>37</v>
      </c>
      <c r="C905" t="s">
        <v>38</v>
      </c>
      <c r="D905" t="s">
        <v>39</v>
      </c>
      <c r="E905" s="2">
        <v>46135</v>
      </c>
      <c r="F905" t="s">
        <v>40</v>
      </c>
      <c r="G905">
        <v>117.3</v>
      </c>
      <c r="H905">
        <v>80.2</v>
      </c>
      <c r="I905">
        <v>-1957.8</v>
      </c>
      <c r="J905">
        <v>71.7</v>
      </c>
      <c r="K905">
        <v>0</v>
      </c>
      <c r="L905">
        <v>0.8</v>
      </c>
      <c r="M905">
        <v>0</v>
      </c>
      <c r="N905">
        <v>70.900000000000006</v>
      </c>
      <c r="O905">
        <v>115.53</v>
      </c>
      <c r="P905">
        <v>113.55</v>
      </c>
      <c r="Q905">
        <v>3.64</v>
      </c>
      <c r="R905">
        <v>3.64</v>
      </c>
      <c r="S905">
        <f t="shared" si="441"/>
        <v>0.9502947979695775</v>
      </c>
      <c r="T905">
        <f t="shared" si="442"/>
        <v>0.18450845435752589</v>
      </c>
      <c r="U905">
        <f t="shared" si="438"/>
        <v>0</v>
      </c>
      <c r="V905">
        <f t="shared" si="443"/>
        <v>1.2293359976660967</v>
      </c>
      <c r="W905" t="str">
        <f t="shared" si="439"/>
        <v/>
      </c>
      <c r="X905">
        <f t="shared" si="444"/>
        <v>0.46802819526988565</v>
      </c>
      <c r="Y905" t="str">
        <f t="shared" si="440"/>
        <v/>
      </c>
      <c r="Z905">
        <f t="shared" si="445"/>
        <v>0.54698093562894556</v>
      </c>
      <c r="AA905">
        <f t="shared" si="446"/>
        <v>1.1984021352397782</v>
      </c>
      <c r="AB905">
        <f t="shared" si="447"/>
        <v>1.2663954299093105</v>
      </c>
      <c r="AC905">
        <f t="shared" si="448"/>
        <v>1.2036216234176165</v>
      </c>
      <c r="AD905">
        <f t="shared" si="449"/>
        <v>1.3290614374748821</v>
      </c>
    </row>
    <row r="906" spans="1:30">
      <c r="A906" t="s">
        <v>492</v>
      </c>
      <c r="B906" t="s">
        <v>37</v>
      </c>
      <c r="C906" t="s">
        <v>38</v>
      </c>
      <c r="D906" t="s">
        <v>39</v>
      </c>
      <c r="E906" s="2">
        <v>46135</v>
      </c>
      <c r="F906" t="s">
        <v>40</v>
      </c>
      <c r="G906">
        <v>117.3</v>
      </c>
      <c r="H906">
        <v>83.8</v>
      </c>
      <c r="I906">
        <v>-1957.8</v>
      </c>
      <c r="J906">
        <v>72.2</v>
      </c>
      <c r="K906">
        <v>0</v>
      </c>
      <c r="L906">
        <v>1.1000000000000001</v>
      </c>
      <c r="M906">
        <v>0</v>
      </c>
      <c r="N906">
        <v>71.099999999999994</v>
      </c>
      <c r="O906">
        <v>112.52</v>
      </c>
      <c r="P906">
        <v>116.92</v>
      </c>
      <c r="Q906">
        <v>3.78</v>
      </c>
      <c r="R906">
        <v>3.69</v>
      </c>
      <c r="S906">
        <f t="shared" si="441"/>
        <v>0.9502947979695775</v>
      </c>
      <c r="T906">
        <f t="shared" si="442"/>
        <v>1.0913267658534032</v>
      </c>
      <c r="U906">
        <f t="shared" si="438"/>
        <v>0</v>
      </c>
      <c r="V906">
        <f t="shared" si="443"/>
        <v>1.4907501226032265</v>
      </c>
      <c r="W906" t="str">
        <f t="shared" si="439"/>
        <v/>
      </c>
      <c r="X906">
        <f t="shared" si="444"/>
        <v>0.25375671473252137</v>
      </c>
      <c r="Y906" t="str">
        <f t="shared" si="440"/>
        <v/>
      </c>
      <c r="Z906">
        <f t="shared" si="445"/>
        <v>0.63807162825523989</v>
      </c>
      <c r="AA906">
        <f t="shared" si="446"/>
        <v>0.59007508039234746</v>
      </c>
      <c r="AB906">
        <f t="shared" si="447"/>
        <v>1.1509208755706126</v>
      </c>
      <c r="AC906">
        <f t="shared" si="448"/>
        <v>0.27329634182809154</v>
      </c>
      <c r="AD906">
        <f t="shared" si="449"/>
        <v>1.0101045540663824</v>
      </c>
    </row>
    <row r="907" spans="1:30">
      <c r="A907" t="s">
        <v>501</v>
      </c>
      <c r="B907" t="s">
        <v>37</v>
      </c>
      <c r="C907" t="s">
        <v>38</v>
      </c>
      <c r="D907" t="s">
        <v>39</v>
      </c>
      <c r="E907" s="2">
        <v>46135</v>
      </c>
      <c r="F907" t="s">
        <v>40</v>
      </c>
      <c r="G907">
        <v>114.6</v>
      </c>
      <c r="H907">
        <v>82.9</v>
      </c>
      <c r="I907">
        <v>-1957.8</v>
      </c>
      <c r="J907">
        <v>71.7</v>
      </c>
      <c r="K907">
        <v>0</v>
      </c>
      <c r="L907">
        <v>1.6</v>
      </c>
      <c r="M907">
        <v>0</v>
      </c>
      <c r="N907">
        <v>70.099999999999994</v>
      </c>
      <c r="O907">
        <v>112.38</v>
      </c>
      <c r="P907">
        <v>117.07</v>
      </c>
      <c r="Q907">
        <v>3.76</v>
      </c>
      <c r="R907">
        <v>3.69</v>
      </c>
      <c r="S907">
        <f t="shared" si="441"/>
        <v>0.40877388232590012</v>
      </c>
      <c r="T907">
        <f t="shared" si="442"/>
        <v>0.77236796080067338</v>
      </c>
      <c r="U907">
        <f t="shared" si="438"/>
        <v>0</v>
      </c>
      <c r="V907">
        <f t="shared" si="443"/>
        <v>1.2293359976660967</v>
      </c>
      <c r="W907" t="str">
        <f t="shared" si="439"/>
        <v/>
      </c>
      <c r="X907">
        <f t="shared" si="444"/>
        <v>0.10336241949641915</v>
      </c>
      <c r="Y907" t="str">
        <f t="shared" si="440"/>
        <v/>
      </c>
      <c r="Z907">
        <f t="shared" si="445"/>
        <v>0.18261816512374229</v>
      </c>
      <c r="AA907">
        <f t="shared" si="446"/>
        <v>0.67326006716593501</v>
      </c>
      <c r="AB907">
        <f t="shared" si="447"/>
        <v>1.258516556823422</v>
      </c>
      <c r="AC907">
        <f t="shared" si="448"/>
        <v>0.40619995348373839</v>
      </c>
      <c r="AD907">
        <f t="shared" si="449"/>
        <v>1.0101045540663824</v>
      </c>
    </row>
    <row r="908" spans="1:30">
      <c r="A908" t="s">
        <v>508</v>
      </c>
      <c r="B908" t="s">
        <v>37</v>
      </c>
      <c r="C908" t="s">
        <v>38</v>
      </c>
      <c r="D908" t="s">
        <v>39</v>
      </c>
      <c r="E908" s="2">
        <v>46135</v>
      </c>
      <c r="F908" t="s">
        <v>40</v>
      </c>
      <c r="G908">
        <v>119.1</v>
      </c>
      <c r="H908">
        <v>80.7</v>
      </c>
      <c r="I908">
        <v>-1957.8</v>
      </c>
      <c r="J908">
        <v>72.2</v>
      </c>
      <c r="K908">
        <v>0</v>
      </c>
      <c r="L908">
        <v>1.7</v>
      </c>
      <c r="M908">
        <v>0</v>
      </c>
      <c r="N908">
        <v>70.5</v>
      </c>
      <c r="O908">
        <v>112.45</v>
      </c>
      <c r="P908">
        <v>117.29</v>
      </c>
      <c r="Q908">
        <v>3.59</v>
      </c>
      <c r="R908">
        <v>3.59</v>
      </c>
      <c r="S908">
        <f t="shared" si="441"/>
        <v>1.3113087417320282</v>
      </c>
      <c r="T908">
        <f t="shared" si="442"/>
        <v>7.309118217118795E-3</v>
      </c>
      <c r="U908">
        <f t="shared" si="438"/>
        <v>0</v>
      </c>
      <c r="V908">
        <f t="shared" si="443"/>
        <v>1.4907501226032265</v>
      </c>
      <c r="W908" t="str">
        <f t="shared" si="439"/>
        <v/>
      </c>
      <c r="X908">
        <f t="shared" si="444"/>
        <v>0.17478624634220716</v>
      </c>
      <c r="Y908" t="str">
        <f t="shared" si="440"/>
        <v/>
      </c>
      <c r="Z908">
        <f t="shared" si="445"/>
        <v>0.36479955037634393</v>
      </c>
      <c r="AA908">
        <f t="shared" si="446"/>
        <v>0.63166757377913696</v>
      </c>
      <c r="AB908">
        <f t="shared" si="447"/>
        <v>1.4163235559942273</v>
      </c>
      <c r="AC908">
        <f t="shared" si="448"/>
        <v>1.5358806525567352</v>
      </c>
      <c r="AD908">
        <f t="shared" si="449"/>
        <v>1.6480183208833845</v>
      </c>
    </row>
    <row r="909" spans="1:30">
      <c r="A909" t="s">
        <v>473</v>
      </c>
      <c r="B909" t="s">
        <v>37</v>
      </c>
      <c r="C909" t="s">
        <v>38</v>
      </c>
      <c r="D909" t="s">
        <v>39</v>
      </c>
      <c r="E909" s="2">
        <v>46135</v>
      </c>
      <c r="F909" t="s">
        <v>40</v>
      </c>
      <c r="G909">
        <v>119.6</v>
      </c>
      <c r="H909">
        <v>83.4</v>
      </c>
      <c r="I909">
        <v>-1957.8</v>
      </c>
      <c r="J909">
        <v>72.2</v>
      </c>
      <c r="K909">
        <v>0</v>
      </c>
      <c r="L909">
        <v>1.1000000000000001</v>
      </c>
      <c r="M909">
        <v>0</v>
      </c>
      <c r="N909">
        <v>71.099999999999994</v>
      </c>
      <c r="O909">
        <v>115.24</v>
      </c>
      <c r="P909">
        <v>115.31</v>
      </c>
      <c r="Q909">
        <v>3.88</v>
      </c>
      <c r="R909">
        <v>3.88</v>
      </c>
      <c r="S909">
        <f t="shared" si="441"/>
        <v>1.4115903927771536</v>
      </c>
      <c r="T909">
        <f t="shared" si="442"/>
        <v>0.94956729694108055</v>
      </c>
      <c r="U909">
        <f t="shared" si="438"/>
        <v>0</v>
      </c>
      <c r="V909">
        <f t="shared" si="443"/>
        <v>1.4907501226032265</v>
      </c>
      <c r="W909" t="str">
        <f t="shared" si="439"/>
        <v/>
      </c>
      <c r="X909">
        <f t="shared" si="444"/>
        <v>0.25375671473252137</v>
      </c>
      <c r="Y909" t="str">
        <f t="shared" si="440"/>
        <v/>
      </c>
      <c r="Z909">
        <f t="shared" si="445"/>
        <v>0.63807162825523989</v>
      </c>
      <c r="AA909">
        <f t="shared" si="446"/>
        <v>1.0260903769230585</v>
      </c>
      <c r="AB909">
        <f t="shared" si="447"/>
        <v>3.9394365429391608E-3</v>
      </c>
      <c r="AC909">
        <f t="shared" si="448"/>
        <v>0.39122171645014275</v>
      </c>
      <c r="AD909">
        <f t="shared" si="449"/>
        <v>0.20193160288592038</v>
      </c>
    </row>
    <row r="910" spans="1:30">
      <c r="A910" t="s">
        <v>509</v>
      </c>
      <c r="B910" t="s">
        <v>37</v>
      </c>
      <c r="C910" t="s">
        <v>38</v>
      </c>
      <c r="D910" t="s">
        <v>39</v>
      </c>
      <c r="E910" s="2">
        <v>46135</v>
      </c>
      <c r="F910" t="s">
        <v>34</v>
      </c>
      <c r="G910">
        <v>85.6</v>
      </c>
      <c r="H910">
        <v>80.7</v>
      </c>
      <c r="I910">
        <v>-1957.8</v>
      </c>
      <c r="J910">
        <v>72.2</v>
      </c>
      <c r="K910">
        <v>0</v>
      </c>
      <c r="L910">
        <v>0.6</v>
      </c>
      <c r="M910">
        <v>0</v>
      </c>
      <c r="N910">
        <v>71.599999999999994</v>
      </c>
      <c r="O910">
        <v>112.01</v>
      </c>
      <c r="P910">
        <v>116.63</v>
      </c>
      <c r="Q910">
        <v>3.74</v>
      </c>
      <c r="R910">
        <v>3.71</v>
      </c>
      <c r="S910">
        <f t="shared" si="441"/>
        <v>5.4075618782913697</v>
      </c>
      <c r="T910">
        <f t="shared" si="442"/>
        <v>7.309118217118795E-3</v>
      </c>
      <c r="U910">
        <f t="shared" si="438"/>
        <v>0</v>
      </c>
      <c r="V910">
        <f t="shared" si="443"/>
        <v>1.4907501226032265</v>
      </c>
      <c r="W910" t="str">
        <f t="shared" si="439"/>
        <v/>
      </c>
      <c r="X910">
        <f t="shared" si="444"/>
        <v>0.61087584896146196</v>
      </c>
      <c r="Y910" t="str">
        <f t="shared" si="440"/>
        <v/>
      </c>
      <c r="Z910">
        <f t="shared" si="445"/>
        <v>0.86579835982098874</v>
      </c>
      <c r="AA910">
        <f t="shared" si="446"/>
        <v>0.8931061036389808</v>
      </c>
      <c r="AB910">
        <f t="shared" si="447"/>
        <v>0.94290255848183169</v>
      </c>
      <c r="AC910">
        <f t="shared" si="448"/>
        <v>0.53910356513938229</v>
      </c>
      <c r="AD910">
        <f t="shared" si="449"/>
        <v>0.88252180070298192</v>
      </c>
    </row>
    <row r="911" spans="1:30">
      <c r="A911" t="s">
        <v>509</v>
      </c>
      <c r="B911" t="s">
        <v>37</v>
      </c>
      <c r="C911" t="s">
        <v>38</v>
      </c>
      <c r="D911" t="s">
        <v>39</v>
      </c>
      <c r="E911" s="2">
        <v>46135</v>
      </c>
      <c r="F911" t="s">
        <v>40</v>
      </c>
      <c r="G911">
        <v>116.4</v>
      </c>
      <c r="H911">
        <v>80.2</v>
      </c>
      <c r="I911">
        <v>-1957.8</v>
      </c>
      <c r="J911">
        <v>72.599999999999994</v>
      </c>
      <c r="K911">
        <v>0</v>
      </c>
      <c r="L911">
        <v>0.8</v>
      </c>
      <c r="M911">
        <v>0</v>
      </c>
      <c r="N911">
        <v>71.8</v>
      </c>
      <c r="O911">
        <v>112.08</v>
      </c>
      <c r="P911">
        <v>117</v>
      </c>
      <c r="Q911">
        <v>3.76</v>
      </c>
      <c r="R911">
        <v>3.69</v>
      </c>
      <c r="S911">
        <f t="shared" si="441"/>
        <v>0.76978782608835361</v>
      </c>
      <c r="T911">
        <f t="shared" si="442"/>
        <v>0.18450845435752589</v>
      </c>
      <c r="U911">
        <f t="shared" si="438"/>
        <v>0</v>
      </c>
      <c r="V911">
        <f t="shared" si="443"/>
        <v>1.699881422552926</v>
      </c>
      <c r="W911" t="str">
        <f t="shared" si="439"/>
        <v/>
      </c>
      <c r="X911">
        <f t="shared" si="444"/>
        <v>0.46802819526988565</v>
      </c>
      <c r="Y911" t="str">
        <f t="shared" si="440"/>
        <v/>
      </c>
      <c r="Z911">
        <f t="shared" si="445"/>
        <v>0.9568890524472895</v>
      </c>
      <c r="AA911">
        <f t="shared" si="446"/>
        <v>0.8515136102521913</v>
      </c>
      <c r="AB911">
        <f t="shared" si="447"/>
        <v>1.2083052389054463</v>
      </c>
      <c r="AC911">
        <f t="shared" si="448"/>
        <v>0.40619995348373839</v>
      </c>
      <c r="AD911">
        <f t="shared" si="449"/>
        <v>1.0101045540663824</v>
      </c>
    </row>
    <row r="912" spans="1:30">
      <c r="A912" t="s">
        <v>476</v>
      </c>
      <c r="B912" t="s">
        <v>37</v>
      </c>
      <c r="C912" t="s">
        <v>38</v>
      </c>
      <c r="D912" t="s">
        <v>39</v>
      </c>
      <c r="E912" s="2">
        <v>46135</v>
      </c>
      <c r="F912" t="s">
        <v>40</v>
      </c>
      <c r="G912">
        <v>118.7</v>
      </c>
      <c r="H912">
        <v>82.9</v>
      </c>
      <c r="I912">
        <v>-1957.8</v>
      </c>
      <c r="J912">
        <v>72.599999999999994</v>
      </c>
      <c r="K912">
        <v>0</v>
      </c>
      <c r="L912">
        <v>0.7</v>
      </c>
      <c r="M912">
        <v>0</v>
      </c>
      <c r="N912">
        <v>71.900000000000006</v>
      </c>
      <c r="O912">
        <v>115.09</v>
      </c>
      <c r="P912">
        <v>115.09</v>
      </c>
      <c r="Q912">
        <v>3.81</v>
      </c>
      <c r="R912">
        <v>3.83</v>
      </c>
      <c r="S912">
        <f t="shared" si="441"/>
        <v>1.2310834208959296</v>
      </c>
      <c r="T912">
        <f t="shared" si="442"/>
        <v>0.77236796080067338</v>
      </c>
      <c r="U912">
        <f t="shared" si="438"/>
        <v>0</v>
      </c>
      <c r="V912">
        <f t="shared" si="443"/>
        <v>1.699881422552926</v>
      </c>
      <c r="W912" t="str">
        <f t="shared" si="439"/>
        <v/>
      </c>
      <c r="X912">
        <f t="shared" si="444"/>
        <v>0.53945202211567389</v>
      </c>
      <c r="Y912" t="str">
        <f t="shared" si="440"/>
        <v/>
      </c>
      <c r="Z912">
        <f t="shared" si="445"/>
        <v>1.0024343987604432</v>
      </c>
      <c r="AA912">
        <f t="shared" si="446"/>
        <v>0.93696360537993451</v>
      </c>
      <c r="AB912">
        <f t="shared" si="447"/>
        <v>0.16174643571373432</v>
      </c>
      <c r="AC912">
        <f t="shared" si="448"/>
        <v>7.3940924344619782E-2</v>
      </c>
      <c r="AD912">
        <f t="shared" si="449"/>
        <v>0.11702528052257931</v>
      </c>
    </row>
    <row r="913" spans="1:30">
      <c r="A913" t="s">
        <v>467</v>
      </c>
      <c r="B913" t="s">
        <v>37</v>
      </c>
      <c r="C913" t="s">
        <v>38</v>
      </c>
      <c r="D913" t="s">
        <v>39</v>
      </c>
      <c r="E913" s="2">
        <v>46135</v>
      </c>
      <c r="F913" t="s">
        <v>40</v>
      </c>
      <c r="G913">
        <v>116</v>
      </c>
      <c r="H913">
        <v>82</v>
      </c>
      <c r="I913">
        <v>-1957.8</v>
      </c>
      <c r="J913">
        <v>72.599999999999994</v>
      </c>
      <c r="K913">
        <v>0</v>
      </c>
      <c r="L913">
        <v>0.8</v>
      </c>
      <c r="M913">
        <v>0</v>
      </c>
      <c r="N913">
        <v>71.8</v>
      </c>
      <c r="O913">
        <v>115.09</v>
      </c>
      <c r="P913">
        <v>115.16</v>
      </c>
      <c r="Q913">
        <v>3.81</v>
      </c>
      <c r="R913">
        <v>3.81</v>
      </c>
      <c r="S913">
        <f t="shared" si="441"/>
        <v>0.68956250525225216</v>
      </c>
      <c r="T913">
        <f t="shared" si="442"/>
        <v>0.45340915574793861</v>
      </c>
      <c r="U913">
        <f t="shared" si="438"/>
        <v>0</v>
      </c>
      <c r="V913">
        <f t="shared" si="443"/>
        <v>1.699881422552926</v>
      </c>
      <c r="W913" t="str">
        <f t="shared" si="439"/>
        <v/>
      </c>
      <c r="X913">
        <f t="shared" si="444"/>
        <v>0.46802819526988565</v>
      </c>
      <c r="Y913" t="str">
        <f t="shared" si="440"/>
        <v/>
      </c>
      <c r="Z913">
        <f t="shared" si="445"/>
        <v>0.9568890524472895</v>
      </c>
      <c r="AA913">
        <f t="shared" si="446"/>
        <v>0.93696360537993451</v>
      </c>
      <c r="AB913">
        <f t="shared" si="447"/>
        <v>0.11153511779575867</v>
      </c>
      <c r="AC913">
        <f t="shared" si="448"/>
        <v>7.3940924344619782E-2</v>
      </c>
      <c r="AD913">
        <f t="shared" si="449"/>
        <v>0.24460803388597974</v>
      </c>
    </row>
    <row r="914" spans="1:30">
      <c r="A914" t="s">
        <v>498</v>
      </c>
      <c r="B914" t="s">
        <v>37</v>
      </c>
      <c r="C914" t="s">
        <v>38</v>
      </c>
      <c r="D914" t="s">
        <v>39</v>
      </c>
      <c r="E914" s="2">
        <v>46135</v>
      </c>
      <c r="F914" t="s">
        <v>40</v>
      </c>
      <c r="G914">
        <v>120</v>
      </c>
      <c r="H914">
        <v>83.8</v>
      </c>
      <c r="I914">
        <v>-1957.8</v>
      </c>
      <c r="J914">
        <v>72.599999999999994</v>
      </c>
      <c r="K914">
        <v>0</v>
      </c>
      <c r="L914">
        <v>1.2</v>
      </c>
      <c r="M914">
        <v>0</v>
      </c>
      <c r="N914">
        <v>71.400000000000006</v>
      </c>
      <c r="O914">
        <v>112.3</v>
      </c>
      <c r="P914">
        <v>116.56</v>
      </c>
      <c r="Q914">
        <v>3.81</v>
      </c>
      <c r="R914">
        <v>3.74</v>
      </c>
      <c r="S914">
        <f t="shared" si="441"/>
        <v>1.4918157136132548</v>
      </c>
      <c r="T914">
        <f t="shared" si="442"/>
        <v>1.0913267658534032</v>
      </c>
      <c r="U914">
        <f t="shared" si="438"/>
        <v>0</v>
      </c>
      <c r="V914">
        <f t="shared" si="443"/>
        <v>1.699881422552926</v>
      </c>
      <c r="W914" t="str">
        <f t="shared" si="439"/>
        <v/>
      </c>
      <c r="X914">
        <f t="shared" si="444"/>
        <v>0.18233288788673335</v>
      </c>
      <c r="Y914" t="str">
        <f t="shared" si="440"/>
        <v/>
      </c>
      <c r="Z914">
        <f t="shared" si="445"/>
        <v>0.77470766719469442</v>
      </c>
      <c r="AA914">
        <f t="shared" si="446"/>
        <v>0.72079434532226938</v>
      </c>
      <c r="AB914">
        <f t="shared" si="447"/>
        <v>0.89269124056385607</v>
      </c>
      <c r="AC914">
        <f t="shared" si="448"/>
        <v>7.3940924344619782E-2</v>
      </c>
      <c r="AD914">
        <f t="shared" si="449"/>
        <v>0.69114767065787985</v>
      </c>
    </row>
    <row r="915" spans="1:30">
      <c r="A915" t="s">
        <v>470</v>
      </c>
      <c r="B915" t="s">
        <v>37</v>
      </c>
      <c r="C915" t="s">
        <v>38</v>
      </c>
      <c r="D915" t="s">
        <v>39</v>
      </c>
      <c r="E915" s="2">
        <v>46135</v>
      </c>
      <c r="F915" t="s">
        <v>40</v>
      </c>
      <c r="G915">
        <v>118.7</v>
      </c>
      <c r="H915">
        <v>82.9</v>
      </c>
      <c r="I915">
        <v>-1957.8</v>
      </c>
      <c r="J915">
        <v>72.599999999999994</v>
      </c>
      <c r="K915">
        <v>0</v>
      </c>
      <c r="L915">
        <v>1</v>
      </c>
      <c r="M915">
        <v>0</v>
      </c>
      <c r="N915">
        <v>71.599999999999994</v>
      </c>
      <c r="O915">
        <v>112.16</v>
      </c>
      <c r="P915">
        <v>116.56</v>
      </c>
      <c r="Q915">
        <v>3.88</v>
      </c>
      <c r="R915">
        <v>3.81</v>
      </c>
      <c r="S915">
        <f t="shared" si="441"/>
        <v>1.2310834208959296</v>
      </c>
      <c r="T915">
        <f t="shared" si="442"/>
        <v>0.77236796080067338</v>
      </c>
      <c r="U915">
        <f t="shared" si="438"/>
        <v>0</v>
      </c>
      <c r="V915">
        <f t="shared" si="443"/>
        <v>1.699881422552926</v>
      </c>
      <c r="W915" t="str">
        <f t="shared" si="439"/>
        <v/>
      </c>
      <c r="X915">
        <f t="shared" si="444"/>
        <v>0.3251805415783095</v>
      </c>
      <c r="Y915" t="str">
        <f t="shared" si="440"/>
        <v/>
      </c>
      <c r="Z915">
        <f t="shared" si="445"/>
        <v>0.86579835982098874</v>
      </c>
      <c r="AA915">
        <f t="shared" si="446"/>
        <v>0.80397933209585692</v>
      </c>
      <c r="AB915">
        <f t="shared" si="447"/>
        <v>0.89269124056385607</v>
      </c>
      <c r="AC915">
        <f t="shared" si="448"/>
        <v>0.39122171645014275</v>
      </c>
      <c r="AD915">
        <f t="shared" si="449"/>
        <v>0.24460803388597974</v>
      </c>
    </row>
    <row r="916" spans="1:30">
      <c r="A916" t="s">
        <v>468</v>
      </c>
      <c r="B916" t="s">
        <v>37</v>
      </c>
      <c r="C916" t="s">
        <v>38</v>
      </c>
      <c r="D916" t="s">
        <v>39</v>
      </c>
      <c r="E916" s="2">
        <v>46135</v>
      </c>
      <c r="F916" t="s">
        <v>40</v>
      </c>
      <c r="G916">
        <v>120</v>
      </c>
      <c r="H916">
        <v>83.4</v>
      </c>
      <c r="I916">
        <v>-1957.8</v>
      </c>
      <c r="J916">
        <v>72.599999999999994</v>
      </c>
      <c r="K916">
        <v>0</v>
      </c>
      <c r="L916">
        <v>0.6</v>
      </c>
      <c r="M916">
        <v>0</v>
      </c>
      <c r="N916">
        <v>72</v>
      </c>
      <c r="O916">
        <v>112.08</v>
      </c>
      <c r="P916">
        <v>116.48</v>
      </c>
      <c r="Q916">
        <v>3.91</v>
      </c>
      <c r="R916">
        <v>3.81</v>
      </c>
      <c r="S916">
        <f t="shared" si="441"/>
        <v>1.4918157136132548</v>
      </c>
      <c r="T916">
        <f t="shared" si="442"/>
        <v>0.94956729694108055</v>
      </c>
      <c r="U916">
        <f t="shared" si="438"/>
        <v>0</v>
      </c>
      <c r="V916">
        <f t="shared" si="443"/>
        <v>1.699881422552926</v>
      </c>
      <c r="W916" t="str">
        <f t="shared" si="439"/>
        <v/>
      </c>
      <c r="X916">
        <f t="shared" si="444"/>
        <v>0.61087584896146196</v>
      </c>
      <c r="Y916" t="str">
        <f t="shared" si="440"/>
        <v/>
      </c>
      <c r="Z916">
        <f t="shared" si="445"/>
        <v>1.0479797450735904</v>
      </c>
      <c r="AA916">
        <f t="shared" si="446"/>
        <v>0.8515136102521913</v>
      </c>
      <c r="AB916">
        <f t="shared" si="447"/>
        <v>0.83530687722902242</v>
      </c>
      <c r="AC916">
        <f t="shared" si="448"/>
        <v>0.59057713393361444</v>
      </c>
      <c r="AD916">
        <f t="shared" si="449"/>
        <v>0.24460803388597974</v>
      </c>
    </row>
    <row r="917" spans="1:30">
      <c r="A917" t="s">
        <v>499</v>
      </c>
      <c r="B917" t="s">
        <v>37</v>
      </c>
      <c r="C917" t="s">
        <v>38</v>
      </c>
      <c r="D917" t="s">
        <v>39</v>
      </c>
      <c r="E917" s="2">
        <v>46135</v>
      </c>
      <c r="F917" t="s">
        <v>40</v>
      </c>
      <c r="G917">
        <v>119.1</v>
      </c>
      <c r="H917">
        <v>83.8</v>
      </c>
      <c r="I917">
        <v>-1957.8</v>
      </c>
      <c r="J917">
        <v>72.599999999999994</v>
      </c>
      <c r="K917">
        <v>0</v>
      </c>
      <c r="L917">
        <v>0.8</v>
      </c>
      <c r="M917">
        <v>0</v>
      </c>
      <c r="N917">
        <v>71.8</v>
      </c>
      <c r="O917">
        <v>114.94</v>
      </c>
      <c r="P917">
        <v>115.02</v>
      </c>
      <c r="Q917">
        <v>3.76</v>
      </c>
      <c r="R917">
        <v>3.76</v>
      </c>
      <c r="S917">
        <f t="shared" si="441"/>
        <v>1.3113087417320282</v>
      </c>
      <c r="T917">
        <f t="shared" si="442"/>
        <v>1.0913267658534032</v>
      </c>
      <c r="U917">
        <f t="shared" si="438"/>
        <v>0</v>
      </c>
      <c r="V917">
        <f t="shared" si="443"/>
        <v>1.699881422552926</v>
      </c>
      <c r="W917" t="str">
        <f t="shared" si="439"/>
        <v/>
      </c>
      <c r="X917">
        <f t="shared" si="444"/>
        <v>0.46802819526988565</v>
      </c>
      <c r="Y917" t="str">
        <f t="shared" si="440"/>
        <v/>
      </c>
      <c r="Z917">
        <f t="shared" si="445"/>
        <v>0.9568890524472895</v>
      </c>
      <c r="AA917">
        <f t="shared" si="446"/>
        <v>0.84783683383680208</v>
      </c>
      <c r="AB917">
        <f t="shared" si="447"/>
        <v>0.21195775363172015</v>
      </c>
      <c r="AC917">
        <f t="shared" si="448"/>
        <v>0.40619995348373839</v>
      </c>
      <c r="AD917">
        <f t="shared" si="449"/>
        <v>0.56356491729448221</v>
      </c>
    </row>
    <row r="918" spans="1:30">
      <c r="A918" t="s">
        <v>497</v>
      </c>
      <c r="B918" t="s">
        <v>37</v>
      </c>
      <c r="C918" t="s">
        <v>38</v>
      </c>
      <c r="D918" t="s">
        <v>39</v>
      </c>
      <c r="E918" s="2">
        <v>46135</v>
      </c>
      <c r="F918" t="s">
        <v>40</v>
      </c>
      <c r="G918">
        <v>120.4</v>
      </c>
      <c r="H918">
        <v>82</v>
      </c>
      <c r="I918">
        <v>-1957.8</v>
      </c>
      <c r="J918">
        <v>72.2</v>
      </c>
      <c r="K918">
        <v>0</v>
      </c>
      <c r="L918">
        <v>0.6</v>
      </c>
      <c r="M918">
        <v>0</v>
      </c>
      <c r="N918">
        <v>71.599999999999994</v>
      </c>
      <c r="O918">
        <v>111.35</v>
      </c>
      <c r="P918">
        <v>117.58</v>
      </c>
      <c r="Q918">
        <v>3.93</v>
      </c>
      <c r="R918">
        <v>3.78</v>
      </c>
      <c r="S918">
        <f t="shared" si="441"/>
        <v>1.5720410344493563</v>
      </c>
      <c r="T918">
        <f t="shared" si="442"/>
        <v>0.45340915574793861</v>
      </c>
      <c r="U918">
        <f t="shared" si="438"/>
        <v>0</v>
      </c>
      <c r="V918">
        <f t="shared" si="443"/>
        <v>1.4907501226032265</v>
      </c>
      <c r="W918" t="str">
        <f t="shared" si="439"/>
        <v/>
      </c>
      <c r="X918">
        <f t="shared" si="444"/>
        <v>0.61087584896146196</v>
      </c>
      <c r="Y918" t="str">
        <f t="shared" si="440"/>
        <v/>
      </c>
      <c r="Z918">
        <f t="shared" si="445"/>
        <v>0.86579835982098874</v>
      </c>
      <c r="AA918">
        <f t="shared" si="446"/>
        <v>1.285263898428755</v>
      </c>
      <c r="AB918">
        <f t="shared" si="447"/>
        <v>1.6243418730829982</v>
      </c>
      <c r="AC918">
        <f t="shared" si="448"/>
        <v>0.72348074558926134</v>
      </c>
      <c r="AD918">
        <f t="shared" si="449"/>
        <v>0.4359821639310818</v>
      </c>
    </row>
    <row r="919" spans="1:30">
      <c r="A919" t="s">
        <v>354</v>
      </c>
      <c r="B919" t="s">
        <v>31</v>
      </c>
      <c r="C919" t="s">
        <v>32</v>
      </c>
      <c r="D919" t="s">
        <v>33</v>
      </c>
      <c r="E919" s="2">
        <v>46136</v>
      </c>
      <c r="F919" t="s">
        <v>34</v>
      </c>
      <c r="G919">
        <v>145</v>
      </c>
      <c r="H919">
        <v>83.8</v>
      </c>
      <c r="I919">
        <v>-1957.8</v>
      </c>
      <c r="J919">
        <v>69.5</v>
      </c>
      <c r="K919">
        <v>0</v>
      </c>
      <c r="L919">
        <v>0.3</v>
      </c>
      <c r="M919">
        <v>0</v>
      </c>
      <c r="N919">
        <v>69.2</v>
      </c>
      <c r="O919">
        <v>111.28</v>
      </c>
      <c r="P919">
        <v>117.88</v>
      </c>
      <c r="Q919">
        <v>7.93</v>
      </c>
      <c r="R919">
        <v>6.71</v>
      </c>
      <c r="S919">
        <f>IF(OR(G919=0,G919=""),"",ABS((G919-152.740594)/5.729485))</f>
        <v>1.351010431129497</v>
      </c>
      <c r="T919">
        <f>IF(OR(H919=0,H919=""),"",ABS((H919-96.426733)/5.037499))</f>
        <v>2.5065479913742914</v>
      </c>
      <c r="U919">
        <f t="shared" si="438"/>
        <v>0</v>
      </c>
      <c r="V919">
        <f>IF(OR(J919=0,J919=""),"",ABS((J919-69.40099)/2.222902))</f>
        <v>4.4540874946357029E-2</v>
      </c>
      <c r="W919" t="str">
        <f t="shared" si="439"/>
        <v/>
      </c>
      <c r="X919">
        <f>IF(OR(L919=0,L919=""),"",ABS((L919-1.849749)/1.393269))</f>
        <v>1.1123114057658643</v>
      </c>
      <c r="Y919" t="str">
        <f t="shared" si="440"/>
        <v/>
      </c>
      <c r="Z919">
        <f>IF(OR(N919=0,N919=""),"",ABS((N919-69.231188)/2.519549))</f>
        <v>1.2378405817866695E-2</v>
      </c>
      <c r="AA919">
        <f>IF(OR(O919=0,O919=""),"",ABS((O919-113.18)/1.73698))</f>
        <v>1.0938525486764417</v>
      </c>
      <c r="AB919">
        <f>IF(OR(P919=0,P919=""),"",ABS((P919-114.765594)/1.645198))</f>
        <v>1.8930280732167208</v>
      </c>
      <c r="AC919">
        <f>IF(OR(Q919=0,Q919=""),"",ABS((Q919-8.040149)/0.55663))</f>
        <v>0.19788548946337753</v>
      </c>
      <c r="AD919">
        <f>IF(OR(R919=0,R919=""),"",ABS((R919-7.915297)/0.399795))</f>
        <v>3.0147875786340497</v>
      </c>
    </row>
    <row r="920" spans="1:30">
      <c r="A920" t="s">
        <v>354</v>
      </c>
      <c r="B920" t="s">
        <v>31</v>
      </c>
      <c r="C920" t="s">
        <v>32</v>
      </c>
      <c r="D920" t="s">
        <v>33</v>
      </c>
      <c r="E920" s="2">
        <v>46136</v>
      </c>
      <c r="F920" t="s">
        <v>40</v>
      </c>
      <c r="G920">
        <v>145.5</v>
      </c>
      <c r="H920">
        <v>90.6</v>
      </c>
      <c r="I920">
        <v>-1957.8</v>
      </c>
      <c r="J920">
        <v>69.5</v>
      </c>
      <c r="K920">
        <v>0</v>
      </c>
      <c r="L920">
        <v>0.2</v>
      </c>
      <c r="M920">
        <v>0</v>
      </c>
      <c r="N920">
        <v>69.3</v>
      </c>
      <c r="O920">
        <v>111.79</v>
      </c>
      <c r="P920">
        <v>113.4</v>
      </c>
      <c r="Q920">
        <v>6.93</v>
      </c>
      <c r="R920">
        <v>6.49</v>
      </c>
      <c r="S920">
        <f>IF(OR(G920=0,G920=""),"",ABS((G920-152.740594)/5.729485))</f>
        <v>1.2637425527774289</v>
      </c>
      <c r="T920">
        <f>IF(OR(H920=0,H920=""),"",ABS((H920-96.426733)/5.037499))</f>
        <v>1.1566717928877015</v>
      </c>
      <c r="U920">
        <f t="shared" si="438"/>
        <v>0</v>
      </c>
      <c r="V920">
        <f>IF(OR(J920=0,J920=""),"",ABS((J920-69.40099)/2.222902))</f>
        <v>4.4540874946357029E-2</v>
      </c>
      <c r="W920" t="str">
        <f t="shared" si="439"/>
        <v/>
      </c>
      <c r="X920">
        <f>IF(OR(L920=0,L920=""),"",ABS((L920-1.849749)/1.393269))</f>
        <v>1.1840850546448676</v>
      </c>
      <c r="Y920" t="str">
        <f t="shared" si="440"/>
        <v/>
      </c>
      <c r="Z920">
        <f>IF(OR(N920=0,N920=""),"",ABS((N920-69.231188)/2.519549))</f>
        <v>2.7311237050755551E-2</v>
      </c>
      <c r="AA920">
        <f>IF(OR(O920=0,O920=""),"",ABS((O920-113.18)/1.73698))</f>
        <v>0.80023949613697376</v>
      </c>
      <c r="AB920">
        <f>IF(OR(P920=0,P920=""),"",ABS((P920-114.765594)/1.645198))</f>
        <v>0.8300484197038821</v>
      </c>
      <c r="AC920">
        <f>IF(OR(Q920=0,Q920=""),"",ABS((Q920-8.040149)/0.55663))</f>
        <v>1.9944110091083842</v>
      </c>
      <c r="AD920">
        <f>IF(OR(R920=0,R920=""),"",ABS((R920-7.915297)/0.399795))</f>
        <v>3.5650695981690603</v>
      </c>
    </row>
    <row r="921" spans="1:30">
      <c r="A921" t="s">
        <v>338</v>
      </c>
      <c r="B921" t="s">
        <v>31</v>
      </c>
      <c r="C921" t="s">
        <v>32</v>
      </c>
      <c r="D921" t="s">
        <v>33</v>
      </c>
      <c r="E921" s="2">
        <v>46136</v>
      </c>
      <c r="F921" t="s">
        <v>34</v>
      </c>
      <c r="G921">
        <v>166.4</v>
      </c>
      <c r="H921">
        <v>98.3</v>
      </c>
      <c r="I921">
        <v>-1957.8</v>
      </c>
      <c r="J921">
        <v>70</v>
      </c>
      <c r="K921">
        <v>0</v>
      </c>
      <c r="L921">
        <v>1.1000000000000001</v>
      </c>
      <c r="M921">
        <v>0</v>
      </c>
      <c r="N921">
        <v>68.900000000000006</v>
      </c>
      <c r="O921">
        <v>110.91</v>
      </c>
      <c r="P921">
        <v>117.66</v>
      </c>
      <c r="Q921">
        <v>8.89</v>
      </c>
      <c r="R921">
        <v>8.11</v>
      </c>
      <c r="S921">
        <f>IF(OR(G921=0,G921=""),"",ABS((G921-152.740594)/5.729485))</f>
        <v>2.3840547623390265</v>
      </c>
      <c r="T921">
        <f>IF(OR(H921=0,H921=""),"",ABS((H921-96.426733)/5.037499))</f>
        <v>0.37186449069270255</v>
      </c>
      <c r="U921">
        <f t="shared" si="438"/>
        <v>0</v>
      </c>
      <c r="V921">
        <f>IF(OR(J921=0,J921=""),"",ABS((J921-69.40099)/2.222902))</f>
        <v>0.26947206849425076</v>
      </c>
      <c r="W921" t="str">
        <f t="shared" si="439"/>
        <v/>
      </c>
      <c r="X921">
        <f>IF(OR(L921=0,L921=""),"",ABS((L921-1.849749)/1.393269))</f>
        <v>0.53812221473383814</v>
      </c>
      <c r="Y921" t="str">
        <f t="shared" si="440"/>
        <v/>
      </c>
      <c r="Z921">
        <f>IF(OR(N921=0,N921=""),"",ABS((N921-69.231188)/2.519549))</f>
        <v>0.13144733442373907</v>
      </c>
      <c r="AA921">
        <f>IF(OR(O921=0,O921=""),"",ABS((O921-113.18)/1.73698))</f>
        <v>1.3068659397344875</v>
      </c>
      <c r="AB921">
        <f>IF(OR(P921=0,P921=""),"",ABS((P921-114.765594)/1.645198))</f>
        <v>1.7593055668679416</v>
      </c>
      <c r="AC921">
        <f>IF(OR(Q921=0,Q921=""),"",ABS((Q921-8.040149)/0.55663))</f>
        <v>1.5267790093958304</v>
      </c>
      <c r="AD921">
        <f>IF(OR(R921=0,R921=""),"",ABS((R921-7.915297)/0.399795))</f>
        <v>0.48700709113420532</v>
      </c>
    </row>
    <row r="922" spans="1:30">
      <c r="A922" t="s">
        <v>338</v>
      </c>
      <c r="B922" t="s">
        <v>31</v>
      </c>
      <c r="C922" t="s">
        <v>32</v>
      </c>
      <c r="D922" t="s">
        <v>33</v>
      </c>
      <c r="E922" s="2">
        <v>46136</v>
      </c>
      <c r="F922" t="s">
        <v>34</v>
      </c>
      <c r="G922">
        <v>173.6</v>
      </c>
      <c r="H922">
        <v>98.7</v>
      </c>
      <c r="I922">
        <v>-1957.8</v>
      </c>
      <c r="J922">
        <v>70</v>
      </c>
      <c r="K922">
        <v>0</v>
      </c>
      <c r="L922">
        <v>0.8</v>
      </c>
      <c r="M922">
        <v>0</v>
      </c>
      <c r="N922">
        <v>69.2</v>
      </c>
      <c r="O922">
        <v>110.98</v>
      </c>
      <c r="P922">
        <v>117.73</v>
      </c>
      <c r="Q922">
        <v>8.4</v>
      </c>
      <c r="R922">
        <v>7.89</v>
      </c>
      <c r="S922">
        <f>IF(OR(G922=0,G922=""),"",ABS((G922-152.740594)/5.729485))</f>
        <v>3.6407122106088079</v>
      </c>
      <c r="T922">
        <f>IF(OR(H922=0,H922=""),"",ABS((H922-96.426733)/5.037499))</f>
        <v>0.45126897295662072</v>
      </c>
      <c r="U922">
        <f t="shared" si="438"/>
        <v>0</v>
      </c>
      <c r="V922">
        <f>IF(OR(J922=0,J922=""),"",ABS((J922-69.40099)/2.222902))</f>
        <v>0.26947206849425076</v>
      </c>
      <c r="W922" t="str">
        <f t="shared" si="439"/>
        <v/>
      </c>
      <c r="X922">
        <f>IF(OR(L922=0,L922=""),"",ABS((L922-1.849749)/1.393269))</f>
        <v>0.75344316137084799</v>
      </c>
      <c r="Y922" t="str">
        <f t="shared" si="440"/>
        <v/>
      </c>
      <c r="Z922">
        <f>IF(OR(N922=0,N922=""),"",ABS((N922-69.231188)/2.519549))</f>
        <v>1.2378405817866695E-2</v>
      </c>
      <c r="AA922">
        <f>IF(OR(O922=0,O922=""),"",ABS((O922-113.18)/1.73698))</f>
        <v>1.2665661089937725</v>
      </c>
      <c r="AB922">
        <f>IF(OR(P922=0,P922=""),"",ABS((P922-114.765594)/1.645198))</f>
        <v>1.8018536370698306</v>
      </c>
      <c r="AC922">
        <f>IF(OR(Q922=0,Q922=""),"",ABS((Q922-8.040149)/0.55663))</f>
        <v>0.64648150476977673</v>
      </c>
      <c r="AD922">
        <f>IF(OR(R922=0,R922=""),"",ABS((R922-7.915297)/0.399795))</f>
        <v>6.327492840080573E-2</v>
      </c>
    </row>
    <row r="923" spans="1:30">
      <c r="A923" t="s">
        <v>397</v>
      </c>
      <c r="B923" t="s">
        <v>37</v>
      </c>
      <c r="C923" t="s">
        <v>38</v>
      </c>
      <c r="D923" t="s">
        <v>39</v>
      </c>
      <c r="E923" s="2">
        <v>46136</v>
      </c>
      <c r="F923" t="s">
        <v>40</v>
      </c>
      <c r="G923">
        <v>121.3</v>
      </c>
      <c r="H923">
        <v>80.7</v>
      </c>
      <c r="I923">
        <v>-1957.8</v>
      </c>
      <c r="J923">
        <v>70</v>
      </c>
      <c r="K923">
        <v>0</v>
      </c>
      <c r="L923">
        <v>1.1000000000000001</v>
      </c>
      <c r="M923">
        <v>0</v>
      </c>
      <c r="N923">
        <v>68.900000000000006</v>
      </c>
      <c r="O923">
        <v>111.86</v>
      </c>
      <c r="P923">
        <v>113.26</v>
      </c>
      <c r="Q923">
        <v>4.05</v>
      </c>
      <c r="R923">
        <v>3.93</v>
      </c>
      <c r="S923">
        <f>IF(OR(G923=0,G923=""),"",ABS((G923-112.561871)/4.985957))</f>
        <v>1.7525480063305803</v>
      </c>
      <c r="T923">
        <f>IF(OR(H923=0,H923=""),"",ABS((H923-80.720624)/2.821681))</f>
        <v>7.309118217118795E-3</v>
      </c>
      <c r="U923">
        <f t="shared" si="438"/>
        <v>0</v>
      </c>
      <c r="V923">
        <f>IF(OR(J923=0,J923=""),"",ABS((J923-69.348681)/1.912674))</f>
        <v>0.34052797287985348</v>
      </c>
      <c r="W923" t="str">
        <f t="shared" si="439"/>
        <v/>
      </c>
      <c r="X923">
        <f>IF(OR(L923=0,L923=""),"",ABS((L923-1.455283)/1.400093))</f>
        <v>0.25375671473252137</v>
      </c>
      <c r="Y923" t="str">
        <f t="shared" si="440"/>
        <v/>
      </c>
      <c r="Z923">
        <f>IF(OR(N923=0,N923=""),"",ABS((N923-69.699041)/2.195614))</f>
        <v>0.36392599063404968</v>
      </c>
      <c r="AA923">
        <f>IF(OR(O923=0,O923=""),"",ABS((O923-113.513094)/1.682996))</f>
        <v>0.98223287518211322</v>
      </c>
      <c r="AB923">
        <f>IF(OR(P923=0,P923=""),"",ABS((P923-115.315492)/1.394108))</f>
        <v>1.4744137469980814</v>
      </c>
      <c r="AC923">
        <f>IF(OR(Q923=0,Q923=""),"",ABS((Q923-3.821127)/0.150485))</f>
        <v>1.5209024155231394</v>
      </c>
      <c r="AD923">
        <f>IF(OR(R923=0,R923=""),"",ABS((R923-3.848345)/0.156761))</f>
        <v>0.52088848629442286</v>
      </c>
    </row>
    <row r="924" spans="1:30">
      <c r="A924" t="s">
        <v>451</v>
      </c>
      <c r="B924" t="s">
        <v>31</v>
      </c>
      <c r="C924" t="s">
        <v>32</v>
      </c>
      <c r="D924" t="s">
        <v>33</v>
      </c>
      <c r="E924" s="2">
        <v>46136</v>
      </c>
      <c r="F924" t="s">
        <v>34</v>
      </c>
      <c r="G924">
        <v>125.4</v>
      </c>
      <c r="H924">
        <v>93.3</v>
      </c>
      <c r="I924">
        <v>-1957.8</v>
      </c>
      <c r="J924">
        <v>70</v>
      </c>
      <c r="K924">
        <v>0</v>
      </c>
      <c r="L924">
        <v>0.3</v>
      </c>
      <c r="M924">
        <v>0</v>
      </c>
      <c r="N924">
        <v>69.7</v>
      </c>
      <c r="O924">
        <v>115.02</v>
      </c>
      <c r="P924">
        <v>114.87</v>
      </c>
      <c r="Q924">
        <v>6.96</v>
      </c>
      <c r="R924">
        <v>7.52</v>
      </c>
      <c r="S924">
        <f>IF(OR(G924=0,G924=""),"",ABS((G924-152.740594)/5.729485))</f>
        <v>4.7719112625305726</v>
      </c>
      <c r="T924">
        <f>IF(OR(H924=0,H924=""),"",ABS((H924-96.426733)/5.037499))</f>
        <v>0.62069153760626083</v>
      </c>
      <c r="U924">
        <f t="shared" si="438"/>
        <v>0</v>
      </c>
      <c r="V924">
        <f>IF(OR(J924=0,J924=""),"",ABS((J924-69.40099)/2.222902))</f>
        <v>0.26947206849425076</v>
      </c>
      <c r="W924" t="str">
        <f t="shared" si="439"/>
        <v/>
      </c>
      <c r="X924">
        <f>IF(OR(L924=0,L924=""),"",ABS((L924-1.849749)/1.393269))</f>
        <v>1.1123114057658643</v>
      </c>
      <c r="Y924" t="str">
        <f t="shared" si="440"/>
        <v/>
      </c>
      <c r="Z924">
        <f>IF(OR(N924=0,N924=""),"",ABS((N924-69.231188)/2.519549))</f>
        <v>0.18606980852525581</v>
      </c>
      <c r="AA924">
        <f>IF(OR(O924=0,O924=""),"",ABS((O924-113.18)/1.73698))</f>
        <v>1.0593098366129658</v>
      </c>
      <c r="AB924">
        <f>IF(OR(P924=0,P924=""),"",ABS((P924-114.765594)/1.645198))</f>
        <v>6.3461054535692091E-2</v>
      </c>
      <c r="AC924">
        <f>IF(OR(Q924=0,Q924=""),"",ABS((Q924-8.040149)/0.55663))</f>
        <v>1.9405152435190336</v>
      </c>
      <c r="AD924">
        <f>IF(OR(R924=0,R924=""),"",ABS((R924-7.915297)/0.399795))</f>
        <v>0.98874923398241654</v>
      </c>
    </row>
    <row r="925" spans="1:30">
      <c r="A925" t="s">
        <v>451</v>
      </c>
      <c r="B925" t="s">
        <v>31</v>
      </c>
      <c r="C925" t="s">
        <v>32</v>
      </c>
      <c r="D925" t="s">
        <v>33</v>
      </c>
      <c r="E925" s="2">
        <v>46136</v>
      </c>
      <c r="F925" t="s">
        <v>34</v>
      </c>
      <c r="G925">
        <v>141.4</v>
      </c>
      <c r="H925">
        <v>91.5</v>
      </c>
      <c r="I925">
        <v>-1957.8</v>
      </c>
      <c r="J925">
        <v>70</v>
      </c>
      <c r="K925">
        <v>0</v>
      </c>
      <c r="L925">
        <v>0.3</v>
      </c>
      <c r="M925">
        <v>0</v>
      </c>
      <c r="N925">
        <v>69.7</v>
      </c>
      <c r="O925">
        <v>115.16</v>
      </c>
      <c r="P925">
        <v>115.09</v>
      </c>
      <c r="Q925">
        <v>7.57</v>
      </c>
      <c r="R925">
        <v>7.84</v>
      </c>
      <c r="S925">
        <f>IF(OR(G925=0,G925=""),"",ABS((G925-152.740594)/5.729485))</f>
        <v>1.9793391552643878</v>
      </c>
      <c r="T925">
        <f>IF(OR(H925=0,H925=""),"",ABS((H925-96.426733)/5.037499))</f>
        <v>0.97801170779388702</v>
      </c>
      <c r="U925">
        <f t="shared" si="438"/>
        <v>0</v>
      </c>
      <c r="V925">
        <f>IF(OR(J925=0,J925=""),"",ABS((J925-69.40099)/2.222902))</f>
        <v>0.26947206849425076</v>
      </c>
      <c r="W925" t="str">
        <f t="shared" si="439"/>
        <v/>
      </c>
      <c r="X925">
        <f>IF(OR(L925=0,L925=""),"",ABS((L925-1.849749)/1.393269))</f>
        <v>1.1123114057658643</v>
      </c>
      <c r="Y925" t="str">
        <f t="shared" si="440"/>
        <v/>
      </c>
      <c r="Z925">
        <f>IF(OR(N925=0,N925=""),"",ABS((N925-69.231188)/2.519549))</f>
        <v>0.18606980852525581</v>
      </c>
      <c r="AA925">
        <f>IF(OR(O925=0,O925=""),"",ABS((O925-113.18)/1.73698))</f>
        <v>1.1399094980943878</v>
      </c>
      <c r="AB925">
        <f>IF(OR(P925=0,P925=""),"",ABS((P925-114.765594)/1.645198))</f>
        <v>0.19718356088447131</v>
      </c>
      <c r="AC925">
        <f>IF(OR(Q925=0,Q925=""),"",ABS((Q925-8.040149)/0.55663))</f>
        <v>0.84463467653557889</v>
      </c>
      <c r="AD925">
        <f>IF(OR(R925=0,R925=""),"",ABS((R925-7.915297)/0.399795))</f>
        <v>0.18833902374967157</v>
      </c>
    </row>
    <row r="926" spans="1:30">
      <c r="A926" t="s">
        <v>451</v>
      </c>
      <c r="B926" t="s">
        <v>31</v>
      </c>
      <c r="C926" t="s">
        <v>32</v>
      </c>
      <c r="D926" t="s">
        <v>33</v>
      </c>
      <c r="E926" s="2">
        <v>46136</v>
      </c>
      <c r="F926" t="s">
        <v>34</v>
      </c>
      <c r="G926">
        <v>165.6</v>
      </c>
      <c r="H926">
        <v>99.6</v>
      </c>
      <c r="I926">
        <v>-1957.8</v>
      </c>
      <c r="J926">
        <v>70</v>
      </c>
      <c r="K926">
        <v>0</v>
      </c>
      <c r="L926">
        <v>0.5</v>
      </c>
      <c r="M926">
        <v>0</v>
      </c>
      <c r="N926">
        <v>69.5</v>
      </c>
      <c r="O926">
        <v>114.87</v>
      </c>
      <c r="P926">
        <v>115.16</v>
      </c>
      <c r="Q926">
        <v>7.84</v>
      </c>
      <c r="R926">
        <v>8.0299999999999994</v>
      </c>
      <c r="S926">
        <f>IF(OR(G926=0,G926=""),"",ABS((G926-152.740594)/5.729485))</f>
        <v>2.2444261569757153</v>
      </c>
      <c r="T926">
        <f>IF(OR(H926=0,H926=""),"",ABS((H926-96.426733)/5.037499))</f>
        <v>0.62992905805043242</v>
      </c>
      <c r="U926">
        <f t="shared" si="438"/>
        <v>0</v>
      </c>
      <c r="V926">
        <f>IF(OR(J926=0,J926=""),"",ABS((J926-69.40099)/2.222902))</f>
        <v>0.26947206849425076</v>
      </c>
      <c r="W926" t="str">
        <f t="shared" si="439"/>
        <v/>
      </c>
      <c r="X926">
        <f>IF(OR(L926=0,L926=""),"",ABS((L926-1.849749)/1.393269))</f>
        <v>0.96876410800785773</v>
      </c>
      <c r="Y926" t="str">
        <f t="shared" si="440"/>
        <v/>
      </c>
      <c r="Z926">
        <f>IF(OR(N926=0,N926=""),"",ABS((N926-69.231188)/2.519549))</f>
        <v>0.10669052278800568</v>
      </c>
      <c r="AA926">
        <f>IF(OR(O926=0,O926=""),"",ABS((O926-113.18)/1.73698))</f>
        <v>0.97295305645430441</v>
      </c>
      <c r="AB926">
        <f>IF(OR(P926=0,P926=""),"",ABS((P926-114.765594)/1.645198))</f>
        <v>0.23973163108635168</v>
      </c>
      <c r="AC926">
        <f>IF(OR(Q926=0,Q926=""),"",ABS((Q926-8.040149)/0.55663))</f>
        <v>0.35957278623142791</v>
      </c>
      <c r="AD926">
        <f>IF(OR(R926=0,R926=""),"",ABS((R926-7.915297)/0.399795))</f>
        <v>0.28690453857601911</v>
      </c>
    </row>
    <row r="927" spans="1:30">
      <c r="A927" t="s">
        <v>451</v>
      </c>
      <c r="B927" t="s">
        <v>31</v>
      </c>
      <c r="C927" t="s">
        <v>32</v>
      </c>
      <c r="D927" t="s">
        <v>33</v>
      </c>
      <c r="E927" s="2">
        <v>46136</v>
      </c>
      <c r="F927" t="s">
        <v>40</v>
      </c>
      <c r="G927">
        <v>160.19999999999999</v>
      </c>
      <c r="H927">
        <v>98.7</v>
      </c>
      <c r="I927">
        <v>-1957.8</v>
      </c>
      <c r="J927">
        <v>70</v>
      </c>
      <c r="K927">
        <v>0</v>
      </c>
      <c r="L927">
        <v>0.4</v>
      </c>
      <c r="M927">
        <v>0</v>
      </c>
      <c r="N927">
        <v>69.599999999999994</v>
      </c>
      <c r="O927">
        <v>115.09</v>
      </c>
      <c r="P927">
        <v>115.02</v>
      </c>
      <c r="Q927">
        <v>7.96</v>
      </c>
      <c r="R927">
        <v>8.15</v>
      </c>
      <c r="S927">
        <f>IF(OR(G927=0,G927=""),"",ABS((G927-152.740594)/5.729485))</f>
        <v>1.3019330707733767</v>
      </c>
      <c r="T927">
        <f>IF(OR(H927=0,H927=""),"",ABS((H927-96.426733)/5.037499))</f>
        <v>0.45126897295662072</v>
      </c>
      <c r="U927">
        <f t="shared" si="438"/>
        <v>0</v>
      </c>
      <c r="V927">
        <f>IF(OR(J927=0,J927=""),"",ABS((J927-69.40099)/2.222902))</f>
        <v>0.26947206849425076</v>
      </c>
      <c r="W927" t="str">
        <f t="shared" si="439"/>
        <v/>
      </c>
      <c r="X927">
        <f>IF(OR(L927=0,L927=""),"",ABS((L927-1.849749)/1.393269))</f>
        <v>1.040537756886861</v>
      </c>
      <c r="Y927" t="str">
        <f t="shared" si="440"/>
        <v/>
      </c>
      <c r="Z927">
        <f>IF(OR(N927=0,N927=""),"",ABS((N927-69.231188)/2.519549))</f>
        <v>0.14638016565662793</v>
      </c>
      <c r="AA927">
        <f>IF(OR(O927=0,O927=""),"",ABS((O927-113.18)/1.73698))</f>
        <v>1.0996096673536808</v>
      </c>
      <c r="AB927">
        <f>IF(OR(P927=0,P927=""),"",ABS((P927-114.765594)/1.645198))</f>
        <v>0.15463549068258228</v>
      </c>
      <c r="AC927">
        <f>IF(OR(Q927=0,Q927=""),"",ABS((Q927-8.040149)/0.55663))</f>
        <v>0.14398972387402689</v>
      </c>
      <c r="AD927">
        <f>IF(OR(R927=0,R927=""),"",ABS((R927-7.915297)/0.399795))</f>
        <v>0.58705836741330064</v>
      </c>
    </row>
    <row r="928" spans="1:30">
      <c r="A928" t="s">
        <v>424</v>
      </c>
      <c r="B928" t="s">
        <v>37</v>
      </c>
      <c r="C928" t="s">
        <v>38</v>
      </c>
      <c r="D928" t="s">
        <v>39</v>
      </c>
      <c r="E928" s="2">
        <v>46136</v>
      </c>
      <c r="F928" t="s">
        <v>40</v>
      </c>
      <c r="G928">
        <v>121.8</v>
      </c>
      <c r="H928">
        <v>83.4</v>
      </c>
      <c r="I928">
        <v>-1957.8</v>
      </c>
      <c r="J928">
        <v>70.400000000000006</v>
      </c>
      <c r="K928">
        <v>0</v>
      </c>
      <c r="L928">
        <v>0.1</v>
      </c>
      <c r="M928">
        <v>0</v>
      </c>
      <c r="N928">
        <v>70.5</v>
      </c>
      <c r="O928">
        <v>115.6</v>
      </c>
      <c r="P928">
        <v>117.07</v>
      </c>
      <c r="Q928">
        <v>3.81</v>
      </c>
      <c r="R928">
        <v>3.86</v>
      </c>
      <c r="S928">
        <f>IF(OR(G928=0,G928=""),"",ABS((G928-112.561871)/4.985957))</f>
        <v>1.8528296573757055</v>
      </c>
      <c r="T928">
        <f>IF(OR(H928=0,H928=""),"",ABS((H928-80.720624)/2.821681))</f>
        <v>0.94956729694108055</v>
      </c>
      <c r="U928">
        <f t="shared" si="438"/>
        <v>0</v>
      </c>
      <c r="V928">
        <f>IF(OR(J928=0,J928=""),"",ABS((J928-69.348681)/1.912674))</f>
        <v>0.5496592728295604</v>
      </c>
      <c r="W928" t="str">
        <f t="shared" si="439"/>
        <v/>
      </c>
      <c r="X928">
        <f>IF(OR(L928=0,L928=""),"",ABS((L928-1.455283)/1.400093))</f>
        <v>0.96799498319040234</v>
      </c>
      <c r="Y928" t="str">
        <f t="shared" si="440"/>
        <v/>
      </c>
      <c r="Z928">
        <f>IF(OR(N928=0,N928=""),"",ABS((N928-69.699041)/2.195614))</f>
        <v>0.36479955037634393</v>
      </c>
      <c r="AA928">
        <f>IF(OR(O928=0,O928=""),"",ABS((O928-113.513094)/1.682996))</f>
        <v>1.2399946286265677</v>
      </c>
      <c r="AB928">
        <f>IF(OR(P928=0,P928=""),"",ABS((P928-115.315492)/1.394108))</f>
        <v>1.258516556823422</v>
      </c>
      <c r="AC928">
        <f>IF(OR(Q928=0,Q928=""),"",ABS((Q928-3.821127)/0.150485))</f>
        <v>7.3940924344619782E-2</v>
      </c>
      <c r="AD928">
        <f>IF(OR(R928=0,R928=""),"",ABS((R928-3.848345)/0.156761))</f>
        <v>7.4348849522519939E-2</v>
      </c>
    </row>
    <row r="929" spans="1:30">
      <c r="A929" t="s">
        <v>490</v>
      </c>
      <c r="B929" t="s">
        <v>31</v>
      </c>
      <c r="C929" t="s">
        <v>32</v>
      </c>
      <c r="D929" t="s">
        <v>33</v>
      </c>
      <c r="E929" s="2">
        <v>46136</v>
      </c>
      <c r="F929" t="s">
        <v>34</v>
      </c>
      <c r="G929">
        <v>74</v>
      </c>
      <c r="H929">
        <v>70.7</v>
      </c>
      <c r="I929">
        <v>-1957.8</v>
      </c>
      <c r="J929">
        <v>70.400000000000006</v>
      </c>
      <c r="K929">
        <v>0</v>
      </c>
      <c r="L929">
        <v>0.4</v>
      </c>
      <c r="M929">
        <v>0</v>
      </c>
      <c r="N929">
        <v>70.8</v>
      </c>
      <c r="O929">
        <v>113.4</v>
      </c>
      <c r="P929">
        <v>112.96</v>
      </c>
      <c r="Q929">
        <v>2.44</v>
      </c>
      <c r="R929">
        <v>2.2000000000000002</v>
      </c>
      <c r="S929">
        <f>IF(OR(G929=0,G929=""),"",ABS((G929-152.740594)/5.729485))</f>
        <v>13.743049157123194</v>
      </c>
      <c r="T929">
        <f>IF(OR(H929=0,H929=""),"",ABS((H929-96.426733)/5.037499))</f>
        <v>5.1070447855175738</v>
      </c>
      <c r="U929">
        <f t="shared" si="438"/>
        <v>0</v>
      </c>
      <c r="V929">
        <f>IF(OR(J929=0,J929=""),"",ABS((J929-69.40099)/2.222902))</f>
        <v>0.44941702333256828</v>
      </c>
      <c r="W929" t="str">
        <f t="shared" si="439"/>
        <v/>
      </c>
      <c r="X929">
        <f>IF(OR(L929=0,L929=""),"",ABS((L929-1.849749)/1.393269))</f>
        <v>1.040537756886861</v>
      </c>
      <c r="Y929" t="str">
        <f t="shared" si="440"/>
        <v/>
      </c>
      <c r="Z929">
        <f>IF(OR(N929=0,N929=""),"",ABS((N929-69.231188)/2.519549))</f>
        <v>0.62265588008012307</v>
      </c>
      <c r="AA929">
        <f>IF(OR(O929=0,O929=""),"",ABS((O929-113.18)/1.73698))</f>
        <v>0.12665661089937644</v>
      </c>
      <c r="AB929">
        <f>IF(OR(P929=0,P929=""),"",ABS((P929-114.765594)/1.645198))</f>
        <v>1.0974934324014491</v>
      </c>
      <c r="AC929">
        <f>IF(OR(Q929=0,Q929=""),"",ABS((Q929-8.040149)/0.55663))</f>
        <v>10.060810592314464</v>
      </c>
      <c r="AD929">
        <f>IF(OR(R929=0,R929=""),"",ABS((R929-7.915297)/0.399795))</f>
        <v>14.295568979101787</v>
      </c>
    </row>
    <row r="930" spans="1:30">
      <c r="A930" t="s">
        <v>490</v>
      </c>
      <c r="B930" t="s">
        <v>31</v>
      </c>
      <c r="C930" t="s">
        <v>32</v>
      </c>
      <c r="D930" t="s">
        <v>33</v>
      </c>
      <c r="E930" s="2">
        <v>46136</v>
      </c>
      <c r="F930" t="s">
        <v>34</v>
      </c>
      <c r="G930">
        <v>71.3</v>
      </c>
      <c r="H930">
        <v>70.3</v>
      </c>
      <c r="I930">
        <v>-1957.8</v>
      </c>
      <c r="J930">
        <v>70.8</v>
      </c>
      <c r="K930">
        <v>0</v>
      </c>
      <c r="L930">
        <v>0.1</v>
      </c>
      <c r="M930">
        <v>0</v>
      </c>
      <c r="N930">
        <v>70.900000000000006</v>
      </c>
      <c r="O930">
        <v>116.48</v>
      </c>
      <c r="P930">
        <v>113.04</v>
      </c>
      <c r="Q930">
        <v>2.12</v>
      </c>
      <c r="R930">
        <v>2.08</v>
      </c>
      <c r="S930">
        <f>IF(OR(G930=0,G930=""),"",ABS((G930-152.740594)/5.729485))</f>
        <v>14.214295700224364</v>
      </c>
      <c r="T930">
        <f>IF(OR(H930=0,H930=""),"",ABS((H930-96.426733)/5.037499))</f>
        <v>5.1864492677814926</v>
      </c>
      <c r="U930">
        <f t="shared" si="438"/>
        <v>0</v>
      </c>
      <c r="V930">
        <f>IF(OR(J930=0,J930=""),"",ABS((J930-69.40099)/2.222902))</f>
        <v>0.62936197817087935</v>
      </c>
      <c r="W930" t="str">
        <f t="shared" si="439"/>
        <v/>
      </c>
      <c r="X930">
        <f>IF(OR(L930=0,L930=""),"",ABS((L930-1.849749)/1.393269))</f>
        <v>1.2558587035238709</v>
      </c>
      <c r="Y930" t="str">
        <f t="shared" si="440"/>
        <v/>
      </c>
      <c r="Z930">
        <f>IF(OR(N930=0,N930=""),"",ABS((N930-69.231188)/2.519549))</f>
        <v>0.66234552294875104</v>
      </c>
      <c r="AA930">
        <f>IF(OR(O930=0,O930=""),"",ABS((O930-113.18)/1.73698))</f>
        <v>1.8998491634906547</v>
      </c>
      <c r="AB930">
        <f>IF(OR(P930=0,P930=""),"",ABS((P930-114.765594)/1.645198))</f>
        <v>1.0488670664564306</v>
      </c>
      <c r="AC930">
        <f>IF(OR(Q930=0,Q930=""),"",ABS((Q930-8.040149)/0.55663))</f>
        <v>10.635698758600865</v>
      </c>
      <c r="AD930">
        <f>IF(OR(R930=0,R930=""),"",ABS((R930-7.915297)/0.399795))</f>
        <v>14.595722807939067</v>
      </c>
    </row>
    <row r="931" spans="1:30">
      <c r="A931" t="s">
        <v>490</v>
      </c>
      <c r="B931" t="s">
        <v>31</v>
      </c>
      <c r="C931" t="s">
        <v>32</v>
      </c>
      <c r="D931" t="s">
        <v>33</v>
      </c>
      <c r="E931" s="2">
        <v>46136</v>
      </c>
      <c r="F931" t="s">
        <v>34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tr">
        <f>IF(OR(G931=0,G931=""),"",ABS((G931-152.740594)/5.729485))</f>
        <v/>
      </c>
      <c r="T931" t="str">
        <f>IF(OR(H931=0,H931=""),"",ABS((H931-96.426733)/5.037499))</f>
        <v/>
      </c>
      <c r="U931" t="str">
        <f t="shared" si="438"/>
        <v/>
      </c>
      <c r="V931" t="str">
        <f>IF(OR(J931=0,J931=""),"",ABS((J931-69.40099)/2.222902))</f>
        <v/>
      </c>
      <c r="W931" t="str">
        <f t="shared" si="439"/>
        <v/>
      </c>
      <c r="X931" t="str">
        <f>IF(OR(L931=0,L931=""),"",ABS((L931-1.849749)/1.393269))</f>
        <v/>
      </c>
      <c r="Y931" t="str">
        <f t="shared" si="440"/>
        <v/>
      </c>
      <c r="Z931" t="str">
        <f>IF(OR(N931=0,N931=""),"",ABS((N931-69.231188)/2.519549))</f>
        <v/>
      </c>
      <c r="AA931" t="str">
        <f>IF(OR(O931=0,O931=""),"",ABS((O931-113.18)/1.73698))</f>
        <v/>
      </c>
      <c r="AB931" t="str">
        <f>IF(OR(P931=0,P931=""),"",ABS((P931-114.765594)/1.645198))</f>
        <v/>
      </c>
      <c r="AC931" t="str">
        <f>IF(OR(Q931=0,Q931=""),"",ABS((Q931-8.040149)/0.55663))</f>
        <v/>
      </c>
      <c r="AD931" t="str">
        <f>IF(OR(R931=0,R931=""),"",ABS((R931-7.915297)/0.399795))</f>
        <v/>
      </c>
    </row>
    <row r="932" spans="1:30">
      <c r="A932" t="s">
        <v>570</v>
      </c>
      <c r="B932" t="s">
        <v>37</v>
      </c>
      <c r="C932" t="s">
        <v>38</v>
      </c>
      <c r="D932" t="s">
        <v>39</v>
      </c>
      <c r="E932" s="2">
        <v>46136</v>
      </c>
      <c r="F932" t="s">
        <v>40</v>
      </c>
      <c r="G932">
        <v>123.1</v>
      </c>
      <c r="H932">
        <v>82</v>
      </c>
      <c r="I932">
        <v>-1957.8</v>
      </c>
      <c r="J932">
        <v>70.400000000000006</v>
      </c>
      <c r="K932">
        <v>0</v>
      </c>
      <c r="L932">
        <v>1</v>
      </c>
      <c r="M932">
        <v>0</v>
      </c>
      <c r="N932">
        <v>69.400000000000006</v>
      </c>
      <c r="O932">
        <v>112.16</v>
      </c>
      <c r="P932">
        <v>116.92</v>
      </c>
      <c r="Q932">
        <v>4.0999999999999996</v>
      </c>
      <c r="R932">
        <v>4.08</v>
      </c>
      <c r="S932">
        <f>IF(OR(G932=0,G932=""),"",ABS((G932-112.561871)/4.985957))</f>
        <v>2.1135619500930307</v>
      </c>
      <c r="T932">
        <f>IF(OR(H932=0,H932=""),"",ABS((H932-80.720624)/2.821681))</f>
        <v>0.45340915574793861</v>
      </c>
      <c r="U932">
        <f t="shared" si="438"/>
        <v>0</v>
      </c>
      <c r="V932">
        <f>IF(OR(J932=0,J932=""),"",ABS((J932-69.348681)/1.912674))</f>
        <v>0.5496592728295604</v>
      </c>
      <c r="W932" t="str">
        <f t="shared" si="439"/>
        <v/>
      </c>
      <c r="X932">
        <f>IF(OR(L932=0,L932=""),"",ABS((L932-1.455283)/1.400093))</f>
        <v>0.3251805415783095</v>
      </c>
      <c r="Y932" t="str">
        <f t="shared" si="440"/>
        <v/>
      </c>
      <c r="Z932">
        <f>IF(OR(N932=0,N932=""),"",ABS((N932-69.699041)/2.195614))</f>
        <v>0.13619925906830088</v>
      </c>
      <c r="AA932">
        <f>IF(OR(O932=0,O932=""),"",ABS((O932-113.513094)/1.682996))</f>
        <v>0.80397933209585692</v>
      </c>
      <c r="AB932">
        <f>IF(OR(P932=0,P932=""),"",ABS((P932-115.315492)/1.394108))</f>
        <v>1.1509208755706126</v>
      </c>
      <c r="AC932">
        <f>IF(OR(Q932=0,Q932=""),"",ABS((Q932-3.821127)/0.150485))</f>
        <v>1.8531614446622551</v>
      </c>
      <c r="AD932">
        <f>IF(OR(R932=0,R932=""),"",ABS((R932-3.848345)/0.156761))</f>
        <v>1.4777591365199247</v>
      </c>
    </row>
    <row r="933" spans="1:30">
      <c r="A933" t="s">
        <v>511</v>
      </c>
      <c r="B933" t="s">
        <v>37</v>
      </c>
      <c r="C933" t="s">
        <v>38</v>
      </c>
      <c r="D933" t="s">
        <v>39</v>
      </c>
      <c r="E933" s="2">
        <v>46136</v>
      </c>
      <c r="F933" t="s">
        <v>34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tr">
        <f>IF(OR(G933=0,G933=""),"",ABS((G933-112.561871)/4.985957))</f>
        <v/>
      </c>
      <c r="T933" t="str">
        <f>IF(OR(H933=0,H933=""),"",ABS((H933-80.720624)/2.821681))</f>
        <v/>
      </c>
      <c r="U933" t="str">
        <f t="shared" si="438"/>
        <v/>
      </c>
      <c r="V933" t="str">
        <f>IF(OR(J933=0,J933=""),"",ABS((J933-69.348681)/1.912674))</f>
        <v/>
      </c>
      <c r="W933" t="str">
        <f t="shared" si="439"/>
        <v/>
      </c>
      <c r="X933" t="str">
        <f>IF(OR(L933=0,L933=""),"",ABS((L933-1.455283)/1.400093))</f>
        <v/>
      </c>
      <c r="Y933" t="str">
        <f t="shared" si="440"/>
        <v/>
      </c>
      <c r="Z933" t="str">
        <f>IF(OR(N933=0,N933=""),"",ABS((N933-69.699041)/2.195614))</f>
        <v/>
      </c>
      <c r="AA933" t="str">
        <f>IF(OR(O933=0,O933=""),"",ABS((O933-113.513094)/1.682996))</f>
        <v/>
      </c>
      <c r="AB933" t="str">
        <f>IF(OR(P933=0,P933=""),"",ABS((P933-115.315492)/1.394108))</f>
        <v/>
      </c>
      <c r="AC933" t="str">
        <f>IF(OR(Q933=0,Q933=""),"",ABS((Q933-3.821127)/0.150485))</f>
        <v/>
      </c>
      <c r="AD933" t="str">
        <f>IF(OR(R933=0,R933=""),"",ABS((R933-3.848345)/0.156761))</f>
        <v/>
      </c>
    </row>
    <row r="934" spans="1:30">
      <c r="A934" t="s">
        <v>557</v>
      </c>
      <c r="B934" t="s">
        <v>37</v>
      </c>
      <c r="C934" t="s">
        <v>38</v>
      </c>
      <c r="D934" t="s">
        <v>39</v>
      </c>
      <c r="E934" s="2">
        <v>46136</v>
      </c>
      <c r="F934" t="s">
        <v>40</v>
      </c>
      <c r="G934">
        <v>123.6</v>
      </c>
      <c r="H934">
        <v>86.5</v>
      </c>
      <c r="I934">
        <v>-1957.8</v>
      </c>
      <c r="J934">
        <v>71.3</v>
      </c>
      <c r="K934">
        <v>0</v>
      </c>
      <c r="L934">
        <v>3.3</v>
      </c>
      <c r="M934">
        <v>0</v>
      </c>
      <c r="N934">
        <v>74.599999999999994</v>
      </c>
      <c r="O934">
        <v>111.94</v>
      </c>
      <c r="P934">
        <v>113.33</v>
      </c>
      <c r="Q934">
        <v>4</v>
      </c>
      <c r="R934">
        <v>4.03</v>
      </c>
      <c r="S934">
        <f>IF(OR(G934=0,G934=""),"",ABS((G934-112.561871)/4.985957))</f>
        <v>2.2138436011381564</v>
      </c>
      <c r="T934">
        <f>IF(OR(H934=0,H934=""),"",ABS((H934-80.720624)/2.821681))</f>
        <v>2.0482031810116026</v>
      </c>
      <c r="U934">
        <f t="shared" si="438"/>
        <v>0</v>
      </c>
      <c r="V934">
        <f>IF(OR(J934=0,J934=""),"",ABS((J934-69.348681)/1.912674))</f>
        <v>1.0202046977163897</v>
      </c>
      <c r="W934" t="str">
        <f t="shared" si="439"/>
        <v/>
      </c>
      <c r="X934">
        <f>IF(OR(L934=0,L934=""),"",ABS((L934-1.455283)/1.400093))</f>
        <v>1.3175674758748166</v>
      </c>
      <c r="Y934" t="str">
        <f t="shared" si="440"/>
        <v/>
      </c>
      <c r="Z934">
        <f>IF(OR(N934=0,N934=""),"",ABS((N934-69.699041)/2.195614))</f>
        <v>2.2321587492154817</v>
      </c>
      <c r="AA934">
        <f>IF(OR(O934=0,O934=""),"",ABS((O934-113.513094)/1.682996))</f>
        <v>0.93469859702577884</v>
      </c>
      <c r="AB934">
        <f>IF(OR(P934=0,P934=""),"",ABS((P934-115.315492)/1.394108))</f>
        <v>1.4242024290801056</v>
      </c>
      <c r="AC934">
        <f>IF(OR(Q934=0,Q934=""),"",ABS((Q934-3.821127)/0.150485))</f>
        <v>1.1886433863840238</v>
      </c>
      <c r="AD934">
        <f>IF(OR(R934=0,R934=""),"",ABS((R934-3.848345)/0.156761))</f>
        <v>1.158802253111425</v>
      </c>
    </row>
    <row r="935" spans="1:30">
      <c r="A935" t="s">
        <v>421</v>
      </c>
      <c r="B935" t="s">
        <v>37</v>
      </c>
      <c r="C935" t="s">
        <v>38</v>
      </c>
      <c r="D935" t="s">
        <v>39</v>
      </c>
      <c r="E935" s="2">
        <v>46136</v>
      </c>
      <c r="F935" t="s">
        <v>34</v>
      </c>
      <c r="G935">
        <v>81.599999999999994</v>
      </c>
      <c r="H935">
        <v>64</v>
      </c>
      <c r="I935">
        <v>-1957.8</v>
      </c>
      <c r="J935">
        <v>71.3</v>
      </c>
      <c r="K935">
        <v>0</v>
      </c>
      <c r="L935">
        <v>1.9</v>
      </c>
      <c r="M935">
        <v>0</v>
      </c>
      <c r="N935">
        <v>73.2</v>
      </c>
      <c r="O935">
        <v>112.89</v>
      </c>
      <c r="P935">
        <v>117.36</v>
      </c>
      <c r="Q935">
        <v>2.2200000000000002</v>
      </c>
      <c r="R935">
        <v>2.15</v>
      </c>
      <c r="S935">
        <f>IF(OR(G935=0,G935=""),"",ABS((G935-112.561871)/4.985957))</f>
        <v>6.2098150866523723</v>
      </c>
      <c r="T935">
        <f>IF(OR(H935=0,H935=""),"",ABS((H935-80.720624)/2.821681))</f>
        <v>5.9257669453067168</v>
      </c>
      <c r="U935">
        <f t="shared" si="438"/>
        <v>0</v>
      </c>
      <c r="V935">
        <f>IF(OR(J935=0,J935=""),"",ABS((J935-69.348681)/1.912674))</f>
        <v>1.0202046977163897</v>
      </c>
      <c r="W935" t="str">
        <f t="shared" si="439"/>
        <v/>
      </c>
      <c r="X935">
        <f>IF(OR(L935=0,L935=""),"",ABS((L935-1.455283)/1.400093))</f>
        <v>0.31763390003378333</v>
      </c>
      <c r="Y935" t="str">
        <f t="shared" si="440"/>
        <v/>
      </c>
      <c r="Z935">
        <f>IF(OR(N935=0,N935=""),"",ABS((N935-69.699041)/2.195614))</f>
        <v>1.5945239008313887</v>
      </c>
      <c r="AA935">
        <f>IF(OR(O935=0,O935=""),"",ABS((O935-113.513094)/1.682996))</f>
        <v>0.37022904391929318</v>
      </c>
      <c r="AB935">
        <f>IF(OR(P935=0,P935=""),"",ABS((P935-115.315492)/1.394108))</f>
        <v>1.4665348739122031</v>
      </c>
      <c r="AC935">
        <f>IF(OR(Q935=0,Q935=""),"",ABS((Q935-3.821127)/0.150485))</f>
        <v>10.639778050968534</v>
      </c>
      <c r="AD935">
        <f>IF(OR(R935=0,R935=""),"",ABS((R935-3.848345)/0.156761))</f>
        <v>10.833976563048207</v>
      </c>
    </row>
    <row r="936" spans="1:30">
      <c r="A936" t="s">
        <v>421</v>
      </c>
      <c r="B936" t="s">
        <v>37</v>
      </c>
      <c r="C936" t="s">
        <v>38</v>
      </c>
      <c r="D936" t="s">
        <v>39</v>
      </c>
      <c r="E936" s="2">
        <v>46136</v>
      </c>
      <c r="F936" t="s">
        <v>34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tr">
        <f>IF(OR(G936=0,G936=""),"",ABS((G936-112.561871)/4.985957))</f>
        <v/>
      </c>
      <c r="T936" t="str">
        <f>IF(OR(H936=0,H936=""),"",ABS((H936-80.720624)/2.821681))</f>
        <v/>
      </c>
      <c r="U936" t="str">
        <f t="shared" si="438"/>
        <v/>
      </c>
      <c r="V936" t="str">
        <f>IF(OR(J936=0,J936=""),"",ABS((J936-69.348681)/1.912674))</f>
        <v/>
      </c>
      <c r="W936" t="str">
        <f t="shared" si="439"/>
        <v/>
      </c>
      <c r="X936" t="str">
        <f>IF(OR(L936=0,L936=""),"",ABS((L936-1.455283)/1.400093))</f>
        <v/>
      </c>
      <c r="Y936" t="str">
        <f t="shared" si="440"/>
        <v/>
      </c>
      <c r="Z936" t="str">
        <f>IF(OR(N936=0,N936=""),"",ABS((N936-69.699041)/2.195614))</f>
        <v/>
      </c>
      <c r="AA936" t="str">
        <f>IF(OR(O936=0,O936=""),"",ABS((O936-113.513094)/1.682996))</f>
        <v/>
      </c>
      <c r="AB936" t="str">
        <f>IF(OR(P936=0,P936=""),"",ABS((P936-115.315492)/1.394108))</f>
        <v/>
      </c>
      <c r="AC936" t="str">
        <f>IF(OR(Q936=0,Q936=""),"",ABS((Q936-3.821127)/0.150485))</f>
        <v/>
      </c>
      <c r="AD936" t="str">
        <f>IF(OR(R936=0,R936=""),"",ABS((R936-3.848345)/0.156761))</f>
        <v/>
      </c>
    </row>
    <row r="937" spans="1:30">
      <c r="A937" t="s">
        <v>338</v>
      </c>
      <c r="B937" t="s">
        <v>31</v>
      </c>
      <c r="C937" t="s">
        <v>32</v>
      </c>
      <c r="D937" t="s">
        <v>33</v>
      </c>
      <c r="E937" s="2">
        <v>46136</v>
      </c>
      <c r="F937" t="s">
        <v>34</v>
      </c>
      <c r="G937">
        <v>174.9</v>
      </c>
      <c r="H937">
        <v>100.1</v>
      </c>
      <c r="I937">
        <v>-1957.8</v>
      </c>
      <c r="J937">
        <v>71.3</v>
      </c>
      <c r="K937">
        <v>0</v>
      </c>
      <c r="L937">
        <v>0</v>
      </c>
      <c r="M937">
        <v>0</v>
      </c>
      <c r="N937">
        <v>71.3</v>
      </c>
      <c r="O937">
        <v>114.65</v>
      </c>
      <c r="P937">
        <v>114.72</v>
      </c>
      <c r="Q937">
        <v>8.59</v>
      </c>
      <c r="R937">
        <v>8.4</v>
      </c>
      <c r="S937">
        <f>IF(OR(G937=0,G937=""),"",ABS((G937-152.740594)/5.729485))</f>
        <v>3.8676086943241872</v>
      </c>
      <c r="T937">
        <f>IF(OR(H937=0,H937=""),"",ABS((H937-96.426733)/5.037499))</f>
        <v>0.72918466088032874</v>
      </c>
      <c r="U937">
        <f t="shared" si="438"/>
        <v>0</v>
      </c>
      <c r="V937">
        <f>IF(OR(J937=0,J937=""),"",ABS((J937-69.40099)/2.222902))</f>
        <v>0.85429317171877306</v>
      </c>
      <c r="W937" t="str">
        <f t="shared" si="439"/>
        <v/>
      </c>
      <c r="X937" t="str">
        <f>IF(OR(L937=0,L937=""),"",ABS((L937-1.849749)/1.393269))</f>
        <v/>
      </c>
      <c r="Y937" t="str">
        <f t="shared" si="440"/>
        <v/>
      </c>
      <c r="Z937">
        <f>IF(OR(N937=0,N937=""),"",ABS((N937-69.231188)/2.519549))</f>
        <v>0.82110409442324561</v>
      </c>
      <c r="AA937">
        <f>IF(OR(O937=0,O937=""),"",ABS((O937-113.18)/1.73698))</f>
        <v>0.846296445554928</v>
      </c>
      <c r="AB937">
        <f>IF(OR(P937=0,P937=""),"",ABS((P937-114.765594)/1.645198))</f>
        <v>2.7713381611206761E-2</v>
      </c>
      <c r="AC937">
        <f>IF(OR(Q937=0,Q937=""),"",ABS((Q937-8.040149)/0.55663))</f>
        <v>0.98782135350232714</v>
      </c>
      <c r="AD937">
        <f>IF(OR(R937=0,R937=""),"",ABS((R937-7.915297)/0.399795))</f>
        <v>1.2123788441576322</v>
      </c>
    </row>
    <row r="938" spans="1:30">
      <c r="A938" t="s">
        <v>338</v>
      </c>
      <c r="B938" t="s">
        <v>31</v>
      </c>
      <c r="C938" t="s">
        <v>32</v>
      </c>
      <c r="D938" t="s">
        <v>33</v>
      </c>
      <c r="E938" s="2">
        <v>46136</v>
      </c>
      <c r="F938" t="s">
        <v>34</v>
      </c>
      <c r="G938">
        <v>181.2</v>
      </c>
      <c r="H938">
        <v>100.1</v>
      </c>
      <c r="I938">
        <v>-1957.8</v>
      </c>
      <c r="J938">
        <v>71.3</v>
      </c>
      <c r="K938">
        <v>0</v>
      </c>
      <c r="L938">
        <v>0.3</v>
      </c>
      <c r="M938">
        <v>0</v>
      </c>
      <c r="N938">
        <v>71</v>
      </c>
      <c r="O938">
        <v>111.5</v>
      </c>
      <c r="P938">
        <v>113.11</v>
      </c>
      <c r="Q938">
        <v>8.4700000000000006</v>
      </c>
      <c r="R938">
        <v>8.3699999999999992</v>
      </c>
      <c r="S938">
        <f>IF(OR(G938=0,G938=""),"",ABS((G938-152.740594)/5.729485))</f>
        <v>4.9671839615602451</v>
      </c>
      <c r="T938">
        <f>IF(OR(H938=0,H938=""),"",ABS((H938-96.426733)/5.037499))</f>
        <v>0.72918466088032874</v>
      </c>
      <c r="U938">
        <f t="shared" si="438"/>
        <v>0</v>
      </c>
      <c r="V938">
        <f>IF(OR(J938=0,J938=""),"",ABS((J938-69.40099)/2.222902))</f>
        <v>0.85429317171877306</v>
      </c>
      <c r="W938" t="str">
        <f t="shared" si="439"/>
        <v/>
      </c>
      <c r="X938">
        <f>IF(OR(L938=0,L938=""),"",ABS((L938-1.849749)/1.393269))</f>
        <v>1.1123114057658643</v>
      </c>
      <c r="Y938" t="str">
        <f t="shared" si="440"/>
        <v/>
      </c>
      <c r="Z938">
        <f>IF(OR(N938=0,N938=""),"",ABS((N938-69.231188)/2.519549))</f>
        <v>0.70203516581737324</v>
      </c>
      <c r="AA938">
        <f>IF(OR(O938=0,O938=""),"",ABS((O938-113.18)/1.73698))</f>
        <v>0.96719593777706525</v>
      </c>
      <c r="AB938">
        <f>IF(OR(P938=0,P938=""),"",ABS((P938-114.765594)/1.645198))</f>
        <v>1.0063189962545502</v>
      </c>
      <c r="AC938">
        <f>IF(OR(Q938=0,Q938=""),"",ABS((Q938-8.040149)/0.55663))</f>
        <v>0.7722382911449277</v>
      </c>
      <c r="AD938">
        <f>IF(OR(R938=0,R938=""),"",ABS((R938-7.915297)/0.399795))</f>
        <v>1.1373403869483094</v>
      </c>
    </row>
    <row r="939" spans="1:30">
      <c r="A939" t="s">
        <v>338</v>
      </c>
      <c r="B939" t="s">
        <v>31</v>
      </c>
      <c r="C939" t="s">
        <v>32</v>
      </c>
      <c r="D939" t="s">
        <v>33</v>
      </c>
      <c r="E939" s="2">
        <v>46136</v>
      </c>
      <c r="F939" t="s">
        <v>34</v>
      </c>
      <c r="G939">
        <v>178.5</v>
      </c>
      <c r="H939">
        <v>80.2</v>
      </c>
      <c r="I939">
        <v>-1957.8</v>
      </c>
      <c r="J939">
        <v>71.3</v>
      </c>
      <c r="K939">
        <v>0</v>
      </c>
      <c r="L939">
        <v>0.7</v>
      </c>
      <c r="M939">
        <v>0</v>
      </c>
      <c r="N939">
        <v>70.599999999999994</v>
      </c>
      <c r="O939">
        <v>114.72</v>
      </c>
      <c r="P939">
        <v>114.65</v>
      </c>
      <c r="Q939">
        <v>8.15</v>
      </c>
      <c r="R939">
        <v>8.3699999999999992</v>
      </c>
      <c r="S939">
        <f>IF(OR(G939=0,G939=""),"",ABS((G939-152.740594)/5.729485))</f>
        <v>4.4959374184590777</v>
      </c>
      <c r="T939">
        <f>IF(OR(H939=0,H939=""),"",ABS((H939-96.426733)/5.037499))</f>
        <v>3.2211883317495436</v>
      </c>
      <c r="U939">
        <f t="shared" si="438"/>
        <v>0</v>
      </c>
      <c r="V939">
        <f>IF(OR(J939=0,J939=""),"",ABS((J939-69.40099)/2.222902))</f>
        <v>0.85429317171877306</v>
      </c>
      <c r="W939" t="str">
        <f t="shared" si="439"/>
        <v/>
      </c>
      <c r="X939">
        <f>IF(OR(L939=0,L939=""),"",ABS((L939-1.849749)/1.393269))</f>
        <v>0.82521681024985127</v>
      </c>
      <c r="Y939" t="str">
        <f t="shared" si="440"/>
        <v/>
      </c>
      <c r="Z939">
        <f>IF(OR(N939=0,N939=""),"",ABS((N939-69.231188)/2.519549))</f>
        <v>0.54327659434287301</v>
      </c>
      <c r="AA939">
        <f>IF(OR(O939=0,O939=""),"",ABS((O939-113.18)/1.73698))</f>
        <v>0.88659627629563498</v>
      </c>
      <c r="AB939">
        <f>IF(OR(P939=0,P939=""),"",ABS((P939-114.765594)/1.645198))</f>
        <v>7.0261451813087128E-2</v>
      </c>
      <c r="AC939">
        <f>IF(OR(Q939=0,Q939=""),"",ABS((Q939-8.040149)/0.55663))</f>
        <v>0.19735012485852507</v>
      </c>
      <c r="AD939">
        <f>IF(OR(R939=0,R939=""),"",ABS((R939-7.915297)/0.399795))</f>
        <v>1.1373403869483094</v>
      </c>
    </row>
    <row r="940" spans="1:30">
      <c r="A940" t="s">
        <v>421</v>
      </c>
      <c r="B940" t="s">
        <v>37</v>
      </c>
      <c r="C940" t="s">
        <v>38</v>
      </c>
      <c r="D940" t="s">
        <v>39</v>
      </c>
      <c r="E940" s="2">
        <v>46136</v>
      </c>
      <c r="F940" t="s">
        <v>40</v>
      </c>
      <c r="G940">
        <v>124</v>
      </c>
      <c r="H940">
        <v>84.3</v>
      </c>
      <c r="I940">
        <v>-1957.8</v>
      </c>
      <c r="J940">
        <v>70.400000000000006</v>
      </c>
      <c r="K940">
        <v>0</v>
      </c>
      <c r="L940">
        <v>0.3</v>
      </c>
      <c r="M940">
        <v>0</v>
      </c>
      <c r="N940">
        <v>70.099999999999994</v>
      </c>
      <c r="O940">
        <v>111.94</v>
      </c>
      <c r="P940">
        <v>116.41</v>
      </c>
      <c r="Q940">
        <v>3.98</v>
      </c>
      <c r="R940">
        <v>4</v>
      </c>
      <c r="S940">
        <f>IF(OR(G940=0,G940=""),"",ABS((G940-112.561871)/4.985957))</f>
        <v>2.2940689219742576</v>
      </c>
      <c r="T940">
        <f>IF(OR(H940=0,H940=""),"",ABS((H940-80.720624)/2.821681))</f>
        <v>1.2685261019938103</v>
      </c>
      <c r="U940">
        <f t="shared" si="438"/>
        <v>0</v>
      </c>
      <c r="V940">
        <f>IF(OR(J940=0,J940=""),"",ABS((J940-69.348681)/1.912674))</f>
        <v>0.5496592728295604</v>
      </c>
      <c r="W940" t="str">
        <f t="shared" si="439"/>
        <v/>
      </c>
      <c r="X940">
        <f>IF(OR(L940=0,L940=""),"",ABS((L940-1.455283)/1.400093))</f>
        <v>0.82514732949882619</v>
      </c>
      <c r="Y940" t="str">
        <f t="shared" si="440"/>
        <v/>
      </c>
      <c r="Z940">
        <f>IF(OR(N940=0,N940=""),"",ABS((N940-69.699041)/2.195614))</f>
        <v>0.18261816512374229</v>
      </c>
      <c r="AA940">
        <f>IF(OR(O940=0,O940=""),"",ABS((O940-113.513094)/1.682996))</f>
        <v>0.93469859702577884</v>
      </c>
      <c r="AB940">
        <f>IF(OR(P940=0,P940=""),"",ABS((P940-115.315492)/1.394108))</f>
        <v>0.78509555931103658</v>
      </c>
      <c r="AC940">
        <f>IF(OR(Q940=0,Q940=""),"",ABS((Q940-3.821127)/0.150485))</f>
        <v>1.055739774728377</v>
      </c>
      <c r="AD940">
        <f>IF(OR(R940=0,R940=""),"",ABS((R940-3.848345)/0.156761))</f>
        <v>0.96742812306632298</v>
      </c>
    </row>
    <row r="941" spans="1:30">
      <c r="A941" t="s">
        <v>511</v>
      </c>
      <c r="B941" t="s">
        <v>37</v>
      </c>
      <c r="C941" t="s">
        <v>38</v>
      </c>
      <c r="D941" t="s">
        <v>39</v>
      </c>
      <c r="E941" s="2">
        <v>46136</v>
      </c>
      <c r="F941" t="s">
        <v>40</v>
      </c>
      <c r="G941">
        <v>119.1</v>
      </c>
      <c r="H941">
        <v>79.8</v>
      </c>
      <c r="I941">
        <v>-1957.8</v>
      </c>
      <c r="J941">
        <v>70.8</v>
      </c>
      <c r="K941">
        <v>0</v>
      </c>
      <c r="L941">
        <v>0.8</v>
      </c>
      <c r="M941">
        <v>0</v>
      </c>
      <c r="N941">
        <v>70</v>
      </c>
      <c r="O941">
        <v>112.08</v>
      </c>
      <c r="P941">
        <v>116.7</v>
      </c>
      <c r="Q941">
        <v>3.71</v>
      </c>
      <c r="R941">
        <v>3.71</v>
      </c>
      <c r="S941">
        <f>IF(OR(G941=0,G941=""),"",ABS((G941-112.561871)/4.985957))</f>
        <v>1.3113087417320282</v>
      </c>
      <c r="T941">
        <f>IF(OR(H941=0,H941=""),"",ABS((H941-80.720624)/2.821681))</f>
        <v>0.3262679232698536</v>
      </c>
      <c r="U941">
        <f t="shared" si="438"/>
        <v>0</v>
      </c>
      <c r="V941">
        <f>IF(OR(J941=0,J941=""),"",ABS((J941-69.348681)/1.912674))</f>
        <v>0.75879057277925988</v>
      </c>
      <c r="W941" t="str">
        <f t="shared" si="439"/>
        <v/>
      </c>
      <c r="X941">
        <f>IF(OR(L941=0,L941=""),"",ABS((L941-1.455283)/1.400093))</f>
        <v>0.46802819526988565</v>
      </c>
      <c r="Y941" t="str">
        <f t="shared" si="440"/>
        <v/>
      </c>
      <c r="Z941">
        <f>IF(OR(N941=0,N941=""),"",ABS((N941-69.699041)/2.195614))</f>
        <v>0.1370728188105951</v>
      </c>
      <c r="AA941">
        <f>IF(OR(O941=0,O941=""),"",ABS((O941-113.513094)/1.682996))</f>
        <v>0.8515136102521913</v>
      </c>
      <c r="AB941">
        <f>IF(OR(P941=0,P941=""),"",ABS((P941-115.315492)/1.394108))</f>
        <v>0.99311387639981752</v>
      </c>
      <c r="AC941">
        <f>IF(OR(Q941=0,Q941=""),"",ABS((Q941-3.821127)/0.150485))</f>
        <v>0.73845898262285403</v>
      </c>
      <c r="AD941">
        <f>IF(OR(R941=0,R941=""),"",ABS((R941-3.848345)/0.156761))</f>
        <v>0.88252180070298192</v>
      </c>
    </row>
  </sheetData>
  <autoFilter ref="A1:AD941"/>
  <conditionalFormatting sqref="S2:S941">
    <cfRule type="cellIs" dxfId="11" priority="1" operator="greaterThan">
      <formula>3</formula>
    </cfRule>
  </conditionalFormatting>
  <conditionalFormatting sqref="T2:T941">
    <cfRule type="cellIs" dxfId="10" priority="2" operator="greaterThan">
      <formula>3</formula>
    </cfRule>
  </conditionalFormatting>
  <conditionalFormatting sqref="U2:U941">
    <cfRule type="cellIs" dxfId="9" priority="3" operator="greaterThan">
      <formula>3</formula>
    </cfRule>
  </conditionalFormatting>
  <conditionalFormatting sqref="V2:V941">
    <cfRule type="cellIs" dxfId="8" priority="4" operator="greaterThan">
      <formula>3</formula>
    </cfRule>
  </conditionalFormatting>
  <conditionalFormatting sqref="W2:W941">
    <cfRule type="cellIs" dxfId="7" priority="5" operator="greaterThan">
      <formula>3</formula>
    </cfRule>
  </conditionalFormatting>
  <conditionalFormatting sqref="X2:X941">
    <cfRule type="cellIs" dxfId="6" priority="6" operator="greaterThan">
      <formula>3</formula>
    </cfRule>
  </conditionalFormatting>
  <conditionalFormatting sqref="Y2:Y941">
    <cfRule type="cellIs" dxfId="5" priority="7" operator="greaterThan">
      <formula>3</formula>
    </cfRule>
  </conditionalFormatting>
  <conditionalFormatting sqref="Z2:Z941">
    <cfRule type="cellIs" dxfId="4" priority="8" operator="greaterThan">
      <formula>3</formula>
    </cfRule>
  </conditionalFormatting>
  <conditionalFormatting sqref="AA2:AA941">
    <cfRule type="cellIs" dxfId="3" priority="9" operator="greaterThan">
      <formula>3</formula>
    </cfRule>
  </conditionalFormatting>
  <conditionalFormatting sqref="AB2:AB941">
    <cfRule type="cellIs" dxfId="2" priority="10" operator="greaterThan">
      <formula>3</formula>
    </cfRule>
  </conditionalFormatting>
  <conditionalFormatting sqref="AC2:AC941">
    <cfRule type="cellIs" dxfId="1" priority="11" operator="greaterThan">
      <formula>3</formula>
    </cfRule>
  </conditionalFormatting>
  <conditionalFormatting sqref="AD2:AD941">
    <cfRule type="cellIs" dxfId="0" priority="12" operator="greaterThan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9" width="17" customWidth="1"/>
  </cols>
  <sheetData>
    <row r="1" spans="1:9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</row>
    <row r="2" spans="1:9">
      <c r="A2" s="3" t="s">
        <v>32</v>
      </c>
      <c r="B2" s="3" t="s">
        <v>580</v>
      </c>
      <c r="C2" s="3">
        <v>323</v>
      </c>
      <c r="D2" s="3">
        <v>202</v>
      </c>
      <c r="E2" s="3">
        <v>152.7406</v>
      </c>
      <c r="F2" s="3">
        <v>5.7294999999999998</v>
      </c>
      <c r="G2" s="3">
        <v>70.400000000000006</v>
      </c>
      <c r="H2" s="3">
        <v>182.5</v>
      </c>
      <c r="I2" s="3">
        <v>55</v>
      </c>
    </row>
    <row r="3" spans="1:9">
      <c r="A3" s="4" t="s">
        <v>32</v>
      </c>
      <c r="B3" s="4" t="s">
        <v>581</v>
      </c>
      <c r="C3" s="4">
        <v>323</v>
      </c>
      <c r="D3" s="4">
        <v>202</v>
      </c>
      <c r="E3" s="4">
        <v>96.426699999999997</v>
      </c>
      <c r="F3" s="4">
        <v>5.0374999999999996</v>
      </c>
      <c r="G3" s="4">
        <v>-1973.8</v>
      </c>
      <c r="H3" s="4">
        <v>175.4</v>
      </c>
      <c r="I3" s="4">
        <v>35</v>
      </c>
    </row>
    <row r="4" spans="1:9">
      <c r="A4" s="3" t="s">
        <v>32</v>
      </c>
      <c r="B4" s="3" t="s">
        <v>582</v>
      </c>
      <c r="C4" s="3">
        <v>323</v>
      </c>
      <c r="D4" s="3">
        <v>202</v>
      </c>
      <c r="E4" s="3">
        <v>-1957.8</v>
      </c>
      <c r="F4" s="3">
        <v>0</v>
      </c>
      <c r="G4" s="3">
        <v>-1957.8</v>
      </c>
      <c r="H4" s="3">
        <v>-1957.8</v>
      </c>
      <c r="I4" s="3">
        <v>0</v>
      </c>
    </row>
    <row r="5" spans="1:9">
      <c r="A5" s="4" t="s">
        <v>32</v>
      </c>
      <c r="B5" s="4" t="s">
        <v>583</v>
      </c>
      <c r="C5" s="4">
        <v>323</v>
      </c>
      <c r="D5" s="4">
        <v>202</v>
      </c>
      <c r="E5" s="4">
        <v>69.400999999999996</v>
      </c>
      <c r="F5" s="4">
        <v>2.2229000000000001</v>
      </c>
      <c r="G5" s="4">
        <v>-1952</v>
      </c>
      <c r="H5" s="4">
        <v>77.099999999999994</v>
      </c>
      <c r="I5" s="4">
        <v>13</v>
      </c>
    </row>
    <row r="6" spans="1:9">
      <c r="A6" s="3" t="s">
        <v>32</v>
      </c>
      <c r="B6" s="3" t="s">
        <v>584</v>
      </c>
      <c r="C6" s="3">
        <v>0</v>
      </c>
      <c r="D6" s="3">
        <v>0</v>
      </c>
      <c r="E6" s="3"/>
      <c r="F6" s="3"/>
      <c r="G6" s="3"/>
      <c r="H6" s="3"/>
      <c r="I6" s="3">
        <v>0</v>
      </c>
    </row>
    <row r="7" spans="1:9">
      <c r="A7" s="4" t="s">
        <v>32</v>
      </c>
      <c r="B7" s="4" t="s">
        <v>585</v>
      </c>
      <c r="C7" s="4">
        <v>317</v>
      </c>
      <c r="D7" s="4">
        <v>199</v>
      </c>
      <c r="E7" s="4">
        <v>1.8496999999999999</v>
      </c>
      <c r="F7" s="4">
        <v>1.3933</v>
      </c>
      <c r="G7" s="4">
        <v>0.1</v>
      </c>
      <c r="H7" s="4">
        <v>2024</v>
      </c>
      <c r="I7" s="4">
        <v>20</v>
      </c>
    </row>
    <row r="8" spans="1:9">
      <c r="A8" s="3" t="s">
        <v>32</v>
      </c>
      <c r="B8" s="3" t="s">
        <v>586</v>
      </c>
      <c r="C8" s="3">
        <v>0</v>
      </c>
      <c r="D8" s="3">
        <v>0</v>
      </c>
      <c r="E8" s="3"/>
      <c r="F8" s="3"/>
      <c r="G8" s="3"/>
      <c r="H8" s="3"/>
      <c r="I8" s="3">
        <v>0</v>
      </c>
    </row>
    <row r="9" spans="1:9">
      <c r="A9" s="4" t="s">
        <v>32</v>
      </c>
      <c r="B9" s="4" t="s">
        <v>587</v>
      </c>
      <c r="C9" s="4">
        <v>323</v>
      </c>
      <c r="D9" s="4">
        <v>202</v>
      </c>
      <c r="E9" s="4">
        <v>69.231200000000001</v>
      </c>
      <c r="F9" s="4">
        <v>2.5194999999999999</v>
      </c>
      <c r="G9" s="4">
        <v>63.5</v>
      </c>
      <c r="H9" s="4">
        <v>77.900000000000006</v>
      </c>
      <c r="I9" s="4">
        <v>1</v>
      </c>
    </row>
    <row r="10" spans="1:9">
      <c r="A10" s="3" t="s">
        <v>32</v>
      </c>
      <c r="B10" s="3" t="s">
        <v>588</v>
      </c>
      <c r="C10" s="3">
        <v>326</v>
      </c>
      <c r="D10" s="3">
        <v>202</v>
      </c>
      <c r="E10" s="3">
        <v>113.18</v>
      </c>
      <c r="F10" s="3">
        <v>1.7370000000000001</v>
      </c>
      <c r="G10" s="3">
        <v>110.25</v>
      </c>
      <c r="H10" s="3">
        <v>117.88</v>
      </c>
      <c r="I10" s="3">
        <v>0</v>
      </c>
    </row>
    <row r="11" spans="1:9">
      <c r="A11" s="4" t="s">
        <v>32</v>
      </c>
      <c r="B11" s="4" t="s">
        <v>589</v>
      </c>
      <c r="C11" s="4">
        <v>323</v>
      </c>
      <c r="D11" s="4">
        <v>202</v>
      </c>
      <c r="E11" s="4">
        <v>114.76560000000001</v>
      </c>
      <c r="F11" s="4">
        <v>1.6452</v>
      </c>
      <c r="G11" s="4">
        <v>111.42</v>
      </c>
      <c r="H11" s="4">
        <v>118.02</v>
      </c>
      <c r="I11" s="4">
        <v>0</v>
      </c>
    </row>
    <row r="12" spans="1:9">
      <c r="A12" s="3" t="s">
        <v>32</v>
      </c>
      <c r="B12" s="3" t="s">
        <v>590</v>
      </c>
      <c r="C12" s="3">
        <v>325</v>
      </c>
      <c r="D12" s="3">
        <v>202</v>
      </c>
      <c r="E12" s="3">
        <v>8.0401000000000007</v>
      </c>
      <c r="F12" s="3">
        <v>0.55659999999999998</v>
      </c>
      <c r="G12" s="3">
        <v>2.12</v>
      </c>
      <c r="H12" s="3">
        <v>10.210000000000001</v>
      </c>
      <c r="I12" s="3">
        <v>17</v>
      </c>
    </row>
    <row r="13" spans="1:9">
      <c r="A13" s="4" t="s">
        <v>32</v>
      </c>
      <c r="B13" s="4" t="s">
        <v>591</v>
      </c>
      <c r="C13" s="4">
        <v>322</v>
      </c>
      <c r="D13" s="4">
        <v>202</v>
      </c>
      <c r="E13" s="4">
        <v>7.9153000000000002</v>
      </c>
      <c r="F13" s="4">
        <v>0.39979999999999999</v>
      </c>
      <c r="G13" s="4">
        <v>2.08</v>
      </c>
      <c r="H13" s="4">
        <v>9.33</v>
      </c>
      <c r="I13" s="4">
        <v>28</v>
      </c>
    </row>
    <row r="14" spans="1:9">
      <c r="A14" s="3" t="s">
        <v>38</v>
      </c>
      <c r="B14" s="3" t="s">
        <v>580</v>
      </c>
      <c r="C14" s="3">
        <v>496</v>
      </c>
      <c r="D14" s="3">
        <v>417</v>
      </c>
      <c r="E14" s="3">
        <v>112.56189999999999</v>
      </c>
      <c r="F14" s="3">
        <v>4.9859999999999998</v>
      </c>
      <c r="G14" s="3">
        <v>70.400000000000006</v>
      </c>
      <c r="H14" s="3">
        <v>157.5</v>
      </c>
      <c r="I14" s="3">
        <v>33</v>
      </c>
    </row>
    <row r="15" spans="1:9">
      <c r="A15" s="4" t="s">
        <v>38</v>
      </c>
      <c r="B15" s="4" t="s">
        <v>581</v>
      </c>
      <c r="C15" s="4">
        <v>496</v>
      </c>
      <c r="D15" s="4">
        <v>417</v>
      </c>
      <c r="E15" s="4">
        <v>80.720600000000005</v>
      </c>
      <c r="F15" s="4">
        <v>2.8216999999999999</v>
      </c>
      <c r="G15" s="4">
        <v>54</v>
      </c>
      <c r="H15" s="4">
        <v>156</v>
      </c>
      <c r="I15" s="4">
        <v>27</v>
      </c>
    </row>
    <row r="16" spans="1:9">
      <c r="A16" s="3" t="s">
        <v>38</v>
      </c>
      <c r="B16" s="3" t="s">
        <v>582</v>
      </c>
      <c r="C16" s="3">
        <v>496</v>
      </c>
      <c r="D16" s="3">
        <v>417</v>
      </c>
      <c r="E16" s="3">
        <v>-1957.8</v>
      </c>
      <c r="F16" s="3">
        <v>0</v>
      </c>
      <c r="G16" s="3">
        <v>-1957.8</v>
      </c>
      <c r="H16" s="3">
        <v>-1957.8</v>
      </c>
      <c r="I16" s="3">
        <v>0</v>
      </c>
    </row>
    <row r="17" spans="1:9">
      <c r="A17" s="4" t="s">
        <v>38</v>
      </c>
      <c r="B17" s="4" t="s">
        <v>583</v>
      </c>
      <c r="C17" s="4">
        <v>496</v>
      </c>
      <c r="D17" s="4">
        <v>417</v>
      </c>
      <c r="E17" s="4">
        <v>69.348699999999994</v>
      </c>
      <c r="F17" s="4">
        <v>1.9127000000000001</v>
      </c>
      <c r="G17" s="4">
        <v>61</v>
      </c>
      <c r="H17" s="4">
        <v>77.5</v>
      </c>
      <c r="I17" s="4">
        <v>11</v>
      </c>
    </row>
    <row r="18" spans="1:9">
      <c r="A18" s="3" t="s">
        <v>38</v>
      </c>
      <c r="B18" s="3" t="s">
        <v>584</v>
      </c>
      <c r="C18" s="3">
        <v>0</v>
      </c>
      <c r="D18" s="3">
        <v>0</v>
      </c>
      <c r="E18" s="3"/>
      <c r="F18" s="3"/>
      <c r="G18" s="3"/>
      <c r="H18" s="3"/>
      <c r="I18" s="3">
        <v>0</v>
      </c>
    </row>
    <row r="19" spans="1:9">
      <c r="A19" s="4" t="s">
        <v>38</v>
      </c>
      <c r="B19" s="4" t="s">
        <v>585</v>
      </c>
      <c r="C19" s="4">
        <v>486</v>
      </c>
      <c r="D19" s="4">
        <v>407</v>
      </c>
      <c r="E19" s="4">
        <v>1.4553</v>
      </c>
      <c r="F19" s="4">
        <v>1.4000999999999999</v>
      </c>
      <c r="G19" s="4">
        <v>0.1</v>
      </c>
      <c r="H19" s="4">
        <v>7.9</v>
      </c>
      <c r="I19" s="4">
        <v>19</v>
      </c>
    </row>
    <row r="20" spans="1:9">
      <c r="A20" s="3" t="s">
        <v>38</v>
      </c>
      <c r="B20" s="3" t="s">
        <v>586</v>
      </c>
      <c r="C20" s="3">
        <v>0</v>
      </c>
      <c r="D20" s="3">
        <v>0</v>
      </c>
      <c r="E20" s="3"/>
      <c r="F20" s="3"/>
      <c r="G20" s="3"/>
      <c r="H20" s="3"/>
      <c r="I20" s="3">
        <v>0</v>
      </c>
    </row>
    <row r="21" spans="1:9">
      <c r="A21" s="4" t="s">
        <v>38</v>
      </c>
      <c r="B21" s="4" t="s">
        <v>587</v>
      </c>
      <c r="C21" s="4">
        <v>496</v>
      </c>
      <c r="D21" s="4">
        <v>417</v>
      </c>
      <c r="E21" s="4">
        <v>69.698999999999998</v>
      </c>
      <c r="F21" s="4">
        <v>2.1956000000000002</v>
      </c>
      <c r="G21" s="4">
        <v>63.5</v>
      </c>
      <c r="H21" s="4">
        <v>77.900000000000006</v>
      </c>
      <c r="I21" s="4">
        <v>3</v>
      </c>
    </row>
    <row r="22" spans="1:9">
      <c r="A22" s="3" t="s">
        <v>38</v>
      </c>
      <c r="B22" s="3" t="s">
        <v>588</v>
      </c>
      <c r="C22" s="3">
        <v>496</v>
      </c>
      <c r="D22" s="3">
        <v>417</v>
      </c>
      <c r="E22" s="3">
        <v>113.51309999999999</v>
      </c>
      <c r="F22" s="3">
        <v>1.6830000000000001</v>
      </c>
      <c r="G22" s="3">
        <v>110.47</v>
      </c>
      <c r="H22" s="3">
        <v>116.78</v>
      </c>
      <c r="I22" s="3">
        <v>0</v>
      </c>
    </row>
    <row r="23" spans="1:9">
      <c r="A23" s="4" t="s">
        <v>38</v>
      </c>
      <c r="B23" s="4" t="s">
        <v>589</v>
      </c>
      <c r="C23" s="4">
        <v>496</v>
      </c>
      <c r="D23" s="4">
        <v>417</v>
      </c>
      <c r="E23" s="4">
        <v>115.3155</v>
      </c>
      <c r="F23" s="4">
        <v>1.3940999999999999</v>
      </c>
      <c r="G23" s="4">
        <v>112.52</v>
      </c>
      <c r="H23" s="4">
        <v>118.46</v>
      </c>
      <c r="I23" s="4">
        <v>0</v>
      </c>
    </row>
    <row r="24" spans="1:9">
      <c r="A24" s="3" t="s">
        <v>38</v>
      </c>
      <c r="B24" s="3" t="s">
        <v>590</v>
      </c>
      <c r="C24" s="3">
        <v>496</v>
      </c>
      <c r="D24" s="3">
        <v>417</v>
      </c>
      <c r="E24" s="3">
        <v>3.8210999999999999</v>
      </c>
      <c r="F24" s="3">
        <v>0.15049999999999999</v>
      </c>
      <c r="G24" s="3">
        <v>2</v>
      </c>
      <c r="H24" s="3">
        <v>5.59</v>
      </c>
      <c r="I24" s="3">
        <v>16</v>
      </c>
    </row>
    <row r="25" spans="1:9">
      <c r="A25" s="4" t="s">
        <v>38</v>
      </c>
      <c r="B25" s="4" t="s">
        <v>591</v>
      </c>
      <c r="C25" s="4">
        <v>494</v>
      </c>
      <c r="D25" s="4">
        <v>417</v>
      </c>
      <c r="E25" s="4">
        <v>3.8483000000000001</v>
      </c>
      <c r="F25" s="4">
        <v>0.15679999999999999</v>
      </c>
      <c r="G25" s="4">
        <v>2.0499999999999998</v>
      </c>
      <c r="H25" s="4">
        <v>6.54</v>
      </c>
      <c r="I25" s="4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Views>
    <sheetView showGridLines="0" workbookViewId="0">
      <selection activeCell="A34" sqref="A34"/>
    </sheetView>
  </sheetViews>
  <sheetFormatPr defaultRowHeight="14.4"/>
  <sheetData>
    <row r="1" spans="1:6">
      <c r="A1" t="s">
        <v>592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</row>
    <row r="2" spans="1:6">
      <c r="A2">
        <v>69.499099999999999</v>
      </c>
      <c r="B2">
        <v>0</v>
      </c>
      <c r="C2">
        <v>0</v>
      </c>
      <c r="D2">
        <v>4</v>
      </c>
      <c r="E2">
        <v>53.211500000000001</v>
      </c>
      <c r="F2">
        <v>0</v>
      </c>
    </row>
    <row r="3" spans="1:6">
      <c r="A3">
        <v>73.426699999999997</v>
      </c>
      <c r="B3">
        <v>0</v>
      </c>
      <c r="C3">
        <v>0</v>
      </c>
      <c r="D3">
        <v>2</v>
      </c>
      <c r="E3">
        <v>58.262500000000003</v>
      </c>
      <c r="F3">
        <v>0</v>
      </c>
    </row>
    <row r="4" spans="1:6">
      <c r="A4">
        <v>77.354399999999998</v>
      </c>
      <c r="B4">
        <v>0</v>
      </c>
      <c r="C4">
        <v>0</v>
      </c>
      <c r="D4">
        <v>0</v>
      </c>
      <c r="E4">
        <v>63.313400000000001</v>
      </c>
      <c r="F4">
        <v>0</v>
      </c>
    </row>
    <row r="5" spans="1:6">
      <c r="A5">
        <v>81.281999999999996</v>
      </c>
      <c r="B5">
        <v>0</v>
      </c>
      <c r="C5">
        <v>0</v>
      </c>
      <c r="D5">
        <v>0</v>
      </c>
      <c r="E5">
        <v>68.3643</v>
      </c>
      <c r="F5">
        <v>0</v>
      </c>
    </row>
    <row r="6" spans="1:6">
      <c r="A6">
        <v>85.209699999999998</v>
      </c>
      <c r="B6">
        <v>0</v>
      </c>
      <c r="C6">
        <v>0</v>
      </c>
      <c r="D6">
        <v>1</v>
      </c>
      <c r="E6">
        <v>73.415300000000002</v>
      </c>
      <c r="F6">
        <v>0</v>
      </c>
    </row>
    <row r="7" spans="1:6">
      <c r="A7">
        <v>89.137299999999996</v>
      </c>
      <c r="B7">
        <v>0</v>
      </c>
      <c r="C7">
        <v>0</v>
      </c>
      <c r="D7">
        <v>1</v>
      </c>
      <c r="E7">
        <v>78.466200000000001</v>
      </c>
      <c r="F7">
        <v>0</v>
      </c>
    </row>
    <row r="8" spans="1:6">
      <c r="A8">
        <v>93.064999999999998</v>
      </c>
      <c r="B8">
        <v>0</v>
      </c>
      <c r="C8">
        <v>0</v>
      </c>
      <c r="D8">
        <v>0</v>
      </c>
      <c r="E8">
        <v>83.517099999999999</v>
      </c>
      <c r="F8">
        <v>0</v>
      </c>
    </row>
    <row r="9" spans="1:6">
      <c r="A9">
        <v>96.992599999999996</v>
      </c>
      <c r="B9">
        <v>0</v>
      </c>
      <c r="C9">
        <v>0</v>
      </c>
      <c r="D9">
        <v>2</v>
      </c>
      <c r="E9">
        <v>88.567999999999998</v>
      </c>
      <c r="F9">
        <v>0</v>
      </c>
    </row>
    <row r="10" spans="1:6">
      <c r="A10">
        <v>100.9203</v>
      </c>
      <c r="B10">
        <v>0</v>
      </c>
      <c r="C10">
        <v>0</v>
      </c>
      <c r="D10">
        <v>1</v>
      </c>
      <c r="E10">
        <v>93.619</v>
      </c>
      <c r="F10">
        <v>0</v>
      </c>
    </row>
    <row r="11" spans="1:6">
      <c r="A11">
        <v>104.8479</v>
      </c>
      <c r="B11">
        <v>0</v>
      </c>
      <c r="C11">
        <v>0</v>
      </c>
      <c r="D11">
        <v>3</v>
      </c>
      <c r="E11">
        <v>98.669899999999998</v>
      </c>
      <c r="F11">
        <v>0</v>
      </c>
    </row>
    <row r="12" spans="1:6">
      <c r="A12">
        <v>108.7756</v>
      </c>
      <c r="B12">
        <v>0</v>
      </c>
      <c r="C12">
        <v>0</v>
      </c>
      <c r="D12">
        <v>6</v>
      </c>
      <c r="E12">
        <v>103.7208</v>
      </c>
      <c r="F12">
        <v>0</v>
      </c>
    </row>
    <row r="13" spans="1:6">
      <c r="A13">
        <v>112.7032</v>
      </c>
      <c r="B13">
        <v>0</v>
      </c>
      <c r="C13">
        <v>0</v>
      </c>
      <c r="D13">
        <v>2</v>
      </c>
      <c r="E13">
        <v>108.7718</v>
      </c>
      <c r="F13">
        <v>0</v>
      </c>
    </row>
    <row r="14" spans="1:6">
      <c r="A14">
        <v>116.6309</v>
      </c>
      <c r="B14">
        <v>0</v>
      </c>
      <c r="C14">
        <v>0</v>
      </c>
      <c r="D14">
        <v>0</v>
      </c>
      <c r="E14">
        <v>113.8227</v>
      </c>
      <c r="F14">
        <v>0</v>
      </c>
    </row>
    <row r="15" spans="1:6">
      <c r="A15">
        <v>120.5585</v>
      </c>
      <c r="B15">
        <v>0</v>
      </c>
      <c r="C15">
        <v>0</v>
      </c>
      <c r="D15">
        <v>2</v>
      </c>
      <c r="E15">
        <v>118.8736</v>
      </c>
      <c r="F15">
        <v>0</v>
      </c>
    </row>
    <row r="16" spans="1:6">
      <c r="A16">
        <v>124.4862</v>
      </c>
      <c r="B16">
        <v>0</v>
      </c>
      <c r="C16">
        <v>0</v>
      </c>
      <c r="D16">
        <v>6</v>
      </c>
      <c r="E16">
        <v>123.92449999999999</v>
      </c>
      <c r="F16">
        <v>2.9999999999999997E-4</v>
      </c>
    </row>
    <row r="17" spans="1:6">
      <c r="A17">
        <v>128.41380000000001</v>
      </c>
      <c r="B17">
        <v>0</v>
      </c>
      <c r="C17">
        <v>0</v>
      </c>
      <c r="D17">
        <v>8</v>
      </c>
      <c r="E17">
        <v>128.97550000000001</v>
      </c>
      <c r="F17">
        <v>1.6199999999999999E-2</v>
      </c>
    </row>
    <row r="18" spans="1:6">
      <c r="A18">
        <v>132.3415</v>
      </c>
      <c r="B18">
        <v>0</v>
      </c>
      <c r="C18">
        <v>0</v>
      </c>
      <c r="D18">
        <v>4</v>
      </c>
      <c r="E18">
        <v>134.0264</v>
      </c>
      <c r="F18">
        <v>0.42599999999999999</v>
      </c>
    </row>
    <row r="19" spans="1:6">
      <c r="A19">
        <v>136.26910000000001</v>
      </c>
      <c r="B19">
        <v>0</v>
      </c>
      <c r="C19">
        <v>6</v>
      </c>
      <c r="D19">
        <v>0</v>
      </c>
      <c r="E19">
        <v>139.07730000000001</v>
      </c>
      <c r="F19">
        <v>5.1430999999999996</v>
      </c>
    </row>
    <row r="20" spans="1:6">
      <c r="A20">
        <v>140.1968</v>
      </c>
      <c r="B20">
        <v>0</v>
      </c>
      <c r="C20">
        <v>10</v>
      </c>
      <c r="D20">
        <v>0</v>
      </c>
      <c r="E20">
        <v>144.12819999999999</v>
      </c>
      <c r="F20">
        <v>28.542100000000001</v>
      </c>
    </row>
    <row r="21" spans="1:6">
      <c r="A21">
        <v>144.12440000000001</v>
      </c>
      <c r="B21">
        <v>36</v>
      </c>
      <c r="C21">
        <v>0</v>
      </c>
      <c r="D21">
        <v>0</v>
      </c>
      <c r="E21">
        <v>149.17920000000001</v>
      </c>
      <c r="F21">
        <v>72.816299999999998</v>
      </c>
    </row>
    <row r="22" spans="1:6">
      <c r="A22">
        <v>148.0521</v>
      </c>
      <c r="B22">
        <v>66</v>
      </c>
      <c r="C22">
        <v>0</v>
      </c>
      <c r="D22">
        <v>0</v>
      </c>
      <c r="E22">
        <v>154.23009999999999</v>
      </c>
      <c r="F22">
        <v>85.399199999999993</v>
      </c>
    </row>
    <row r="23" spans="1:6">
      <c r="A23">
        <v>151.97970000000001</v>
      </c>
      <c r="B23">
        <v>57</v>
      </c>
      <c r="C23">
        <v>0</v>
      </c>
      <c r="D23">
        <v>0</v>
      </c>
      <c r="E23">
        <v>159.28100000000001</v>
      </c>
      <c r="F23">
        <v>46.0428</v>
      </c>
    </row>
    <row r="24" spans="1:6">
      <c r="A24">
        <v>155.9074</v>
      </c>
      <c r="B24">
        <v>41</v>
      </c>
      <c r="C24">
        <v>0</v>
      </c>
      <c r="D24">
        <v>0</v>
      </c>
      <c r="E24">
        <v>164.33199999999999</v>
      </c>
      <c r="F24">
        <v>11.411799999999999</v>
      </c>
    </row>
    <row r="25" spans="1:6">
      <c r="A25">
        <v>159.83500000000001</v>
      </c>
      <c r="B25">
        <v>32</v>
      </c>
      <c r="C25">
        <v>0</v>
      </c>
      <c r="D25">
        <v>0</v>
      </c>
      <c r="E25">
        <v>169.38290000000001</v>
      </c>
      <c r="F25">
        <v>1.3003</v>
      </c>
    </row>
    <row r="26" spans="1:6">
      <c r="A26">
        <v>163.7627</v>
      </c>
      <c r="B26">
        <v>16</v>
      </c>
      <c r="C26">
        <v>0</v>
      </c>
      <c r="D26">
        <v>0</v>
      </c>
      <c r="E26">
        <v>174.43379999999999</v>
      </c>
      <c r="F26">
        <v>6.8099999999999994E-2</v>
      </c>
    </row>
    <row r="27" spans="1:6">
      <c r="A27">
        <v>167.69030000000001</v>
      </c>
      <c r="B27">
        <v>0</v>
      </c>
      <c r="C27">
        <v>6</v>
      </c>
      <c r="D27">
        <v>0</v>
      </c>
      <c r="E27">
        <v>179.4847</v>
      </c>
      <c r="F27">
        <v>1.6000000000000001E-3</v>
      </c>
    </row>
    <row r="28" spans="1:6">
      <c r="A28">
        <v>171.61799999999999</v>
      </c>
      <c r="B28">
        <v>0</v>
      </c>
      <c r="C28">
        <v>0</v>
      </c>
      <c r="D28">
        <v>1</v>
      </c>
      <c r="E28">
        <v>184.53569999999999</v>
      </c>
      <c r="F28">
        <v>0</v>
      </c>
    </row>
    <row r="29" spans="1:6">
      <c r="A29">
        <v>175.54560000000001</v>
      </c>
      <c r="B29">
        <v>0</v>
      </c>
      <c r="C29">
        <v>0</v>
      </c>
      <c r="D29">
        <v>6</v>
      </c>
      <c r="E29">
        <v>189.5866</v>
      </c>
      <c r="F29">
        <v>0</v>
      </c>
    </row>
    <row r="30" spans="1:6">
      <c r="A30">
        <v>179.47329999999999</v>
      </c>
      <c r="B30">
        <v>0</v>
      </c>
      <c r="C30">
        <v>0</v>
      </c>
      <c r="D30">
        <v>3</v>
      </c>
      <c r="E30">
        <v>194.63749999999999</v>
      </c>
      <c r="F30">
        <v>0</v>
      </c>
    </row>
    <row r="31" spans="1:6">
      <c r="A31">
        <v>183.40090000000001</v>
      </c>
      <c r="B31">
        <v>0</v>
      </c>
      <c r="C31">
        <v>0</v>
      </c>
      <c r="D31">
        <v>1</v>
      </c>
      <c r="E31">
        <v>199.6885</v>
      </c>
      <c r="F31">
        <v>0</v>
      </c>
    </row>
    <row r="34" spans="1:6">
      <c r="A34" t="s">
        <v>598</v>
      </c>
      <c r="B34" t="s">
        <v>593</v>
      </c>
      <c r="C34" t="s">
        <v>594</v>
      </c>
      <c r="D34" t="s">
        <v>595</v>
      </c>
      <c r="E34" t="s">
        <v>596</v>
      </c>
      <c r="F34" t="s">
        <v>597</v>
      </c>
    </row>
    <row r="35" spans="1:6">
      <c r="A35">
        <v>-1940.4148</v>
      </c>
      <c r="B35">
        <v>0</v>
      </c>
      <c r="C35">
        <v>0</v>
      </c>
      <c r="D35">
        <v>1</v>
      </c>
      <c r="E35">
        <v>-1988.9124999999999</v>
      </c>
      <c r="F35">
        <v>0</v>
      </c>
    </row>
    <row r="36" spans="1:6">
      <c r="A36">
        <v>-1868.6069</v>
      </c>
      <c r="B36">
        <v>0</v>
      </c>
      <c r="C36">
        <v>0</v>
      </c>
      <c r="D36">
        <v>0</v>
      </c>
      <c r="E36">
        <v>-1913.7599</v>
      </c>
      <c r="F36">
        <v>0</v>
      </c>
    </row>
    <row r="37" spans="1:6">
      <c r="A37">
        <v>-1796.799</v>
      </c>
      <c r="B37">
        <v>0</v>
      </c>
      <c r="C37">
        <v>0</v>
      </c>
      <c r="D37">
        <v>0</v>
      </c>
      <c r="E37">
        <v>-1838.6072999999999</v>
      </c>
      <c r="F37">
        <v>0</v>
      </c>
    </row>
    <row r="38" spans="1:6">
      <c r="A38">
        <v>-1724.991</v>
      </c>
      <c r="B38">
        <v>0</v>
      </c>
      <c r="C38">
        <v>0</v>
      </c>
      <c r="D38">
        <v>0</v>
      </c>
      <c r="E38">
        <v>-1763.4547</v>
      </c>
      <c r="F38">
        <v>0</v>
      </c>
    </row>
    <row r="39" spans="1:6">
      <c r="A39">
        <v>-1653.1831</v>
      </c>
      <c r="B39">
        <v>0</v>
      </c>
      <c r="C39">
        <v>0</v>
      </c>
      <c r="D39">
        <v>0</v>
      </c>
      <c r="E39">
        <v>-1688.3022000000001</v>
      </c>
      <c r="F39">
        <v>0</v>
      </c>
    </row>
    <row r="40" spans="1:6">
      <c r="A40">
        <v>-1581.3751999999999</v>
      </c>
      <c r="B40">
        <v>0</v>
      </c>
      <c r="C40">
        <v>0</v>
      </c>
      <c r="D40">
        <v>0</v>
      </c>
      <c r="E40">
        <v>-1613.1496</v>
      </c>
      <c r="F40">
        <v>0</v>
      </c>
    </row>
    <row r="41" spans="1:6">
      <c r="A41">
        <v>-1509.5672999999999</v>
      </c>
      <c r="B41">
        <v>0</v>
      </c>
      <c r="C41">
        <v>0</v>
      </c>
      <c r="D41">
        <v>0</v>
      </c>
      <c r="E41">
        <v>-1537.9970000000001</v>
      </c>
      <c r="F41">
        <v>0</v>
      </c>
    </row>
    <row r="42" spans="1:6">
      <c r="A42">
        <v>-1437.7593999999999</v>
      </c>
      <c r="B42">
        <v>0</v>
      </c>
      <c r="C42">
        <v>0</v>
      </c>
      <c r="D42">
        <v>0</v>
      </c>
      <c r="E42">
        <v>-1462.8444</v>
      </c>
      <c r="F42">
        <v>0</v>
      </c>
    </row>
    <row r="43" spans="1:6">
      <c r="A43">
        <v>-1365.9514999999999</v>
      </c>
      <c r="B43">
        <v>0</v>
      </c>
      <c r="C43">
        <v>0</v>
      </c>
      <c r="D43">
        <v>0</v>
      </c>
      <c r="E43">
        <v>-1387.6918000000001</v>
      </c>
      <c r="F43">
        <v>0</v>
      </c>
    </row>
    <row r="44" spans="1:6">
      <c r="A44">
        <v>-1294.1434999999999</v>
      </c>
      <c r="B44">
        <v>0</v>
      </c>
      <c r="C44">
        <v>0</v>
      </c>
      <c r="D44">
        <v>0</v>
      </c>
      <c r="E44">
        <v>-1312.5391999999999</v>
      </c>
      <c r="F44">
        <v>0</v>
      </c>
    </row>
    <row r="45" spans="1:6">
      <c r="A45">
        <v>-1222.3356000000001</v>
      </c>
      <c r="B45">
        <v>0</v>
      </c>
      <c r="C45">
        <v>0</v>
      </c>
      <c r="D45">
        <v>0</v>
      </c>
      <c r="E45">
        <v>-1237.3866</v>
      </c>
      <c r="F45">
        <v>0</v>
      </c>
    </row>
    <row r="46" spans="1:6">
      <c r="A46">
        <v>-1150.5277000000001</v>
      </c>
      <c r="B46">
        <v>0</v>
      </c>
      <c r="C46">
        <v>0</v>
      </c>
      <c r="D46">
        <v>0</v>
      </c>
      <c r="E46">
        <v>-1162.2340999999999</v>
      </c>
      <c r="F46">
        <v>0</v>
      </c>
    </row>
    <row r="47" spans="1:6">
      <c r="A47">
        <v>-1078.7198000000001</v>
      </c>
      <c r="B47">
        <v>0</v>
      </c>
      <c r="C47">
        <v>0</v>
      </c>
      <c r="D47">
        <v>0</v>
      </c>
      <c r="E47">
        <v>-1087.0815</v>
      </c>
      <c r="F47">
        <v>0</v>
      </c>
    </row>
    <row r="48" spans="1:6">
      <c r="A48">
        <v>-1006.9118999999999</v>
      </c>
      <c r="B48">
        <v>0</v>
      </c>
      <c r="C48">
        <v>0</v>
      </c>
      <c r="D48">
        <v>0</v>
      </c>
      <c r="E48">
        <v>-1011.9289</v>
      </c>
      <c r="F48">
        <v>0</v>
      </c>
    </row>
    <row r="49" spans="1:6">
      <c r="A49">
        <v>-935.10400000000004</v>
      </c>
      <c r="B49">
        <v>0</v>
      </c>
      <c r="C49">
        <v>0</v>
      </c>
      <c r="D49">
        <v>0</v>
      </c>
      <c r="E49">
        <v>-936.77629999999999</v>
      </c>
      <c r="F49">
        <v>0</v>
      </c>
    </row>
    <row r="50" spans="1:6">
      <c r="A50">
        <v>-863.29600000000005</v>
      </c>
      <c r="B50">
        <v>0</v>
      </c>
      <c r="C50">
        <v>0</v>
      </c>
      <c r="D50">
        <v>0</v>
      </c>
      <c r="E50">
        <v>-861.62369999999999</v>
      </c>
      <c r="F50">
        <v>0</v>
      </c>
    </row>
    <row r="51" spans="1:6">
      <c r="A51">
        <v>-791.48810000000003</v>
      </c>
      <c r="B51">
        <v>0</v>
      </c>
      <c r="C51">
        <v>0</v>
      </c>
      <c r="D51">
        <v>0</v>
      </c>
      <c r="E51">
        <v>-786.47109999999998</v>
      </c>
      <c r="F51">
        <v>0</v>
      </c>
    </row>
    <row r="52" spans="1:6">
      <c r="A52">
        <v>-719.68020000000001</v>
      </c>
      <c r="B52">
        <v>0</v>
      </c>
      <c r="C52">
        <v>0</v>
      </c>
      <c r="D52">
        <v>0</v>
      </c>
      <c r="E52">
        <v>-711.31849999999997</v>
      </c>
      <c r="F52">
        <v>0</v>
      </c>
    </row>
    <row r="53" spans="1:6">
      <c r="A53">
        <v>-647.8723</v>
      </c>
      <c r="B53">
        <v>0</v>
      </c>
      <c r="C53">
        <v>0</v>
      </c>
      <c r="D53">
        <v>0</v>
      </c>
      <c r="E53">
        <v>-636.16589999999997</v>
      </c>
      <c r="F53">
        <v>0</v>
      </c>
    </row>
    <row r="54" spans="1:6">
      <c r="A54">
        <v>-576.06439999999998</v>
      </c>
      <c r="B54">
        <v>0</v>
      </c>
      <c r="C54">
        <v>0</v>
      </c>
      <c r="D54">
        <v>0</v>
      </c>
      <c r="E54">
        <v>-561.01340000000005</v>
      </c>
      <c r="F54">
        <v>0</v>
      </c>
    </row>
    <row r="55" spans="1:6">
      <c r="A55">
        <v>-504.25650000000002</v>
      </c>
      <c r="B55">
        <v>0</v>
      </c>
      <c r="C55">
        <v>0</v>
      </c>
      <c r="D55">
        <v>0</v>
      </c>
      <c r="E55">
        <v>-485.86079999999998</v>
      </c>
      <c r="F55">
        <v>0</v>
      </c>
    </row>
    <row r="56" spans="1:6">
      <c r="A56">
        <v>-432.44850000000002</v>
      </c>
      <c r="B56">
        <v>0</v>
      </c>
      <c r="C56">
        <v>0</v>
      </c>
      <c r="D56">
        <v>0</v>
      </c>
      <c r="E56">
        <v>-410.70819999999998</v>
      </c>
      <c r="F56">
        <v>0</v>
      </c>
    </row>
    <row r="57" spans="1:6">
      <c r="A57">
        <v>-360.64060000000001</v>
      </c>
      <c r="B57">
        <v>0</v>
      </c>
      <c r="C57">
        <v>0</v>
      </c>
      <c r="D57">
        <v>0</v>
      </c>
      <c r="E57">
        <v>-335.55560000000003</v>
      </c>
      <c r="F57">
        <v>0</v>
      </c>
    </row>
    <row r="58" spans="1:6">
      <c r="A58">
        <v>-288.83269999999999</v>
      </c>
      <c r="B58">
        <v>0</v>
      </c>
      <c r="C58">
        <v>0</v>
      </c>
      <c r="D58">
        <v>0</v>
      </c>
      <c r="E58">
        <v>-260.40300000000002</v>
      </c>
      <c r="F58">
        <v>0</v>
      </c>
    </row>
    <row r="59" spans="1:6">
      <c r="A59">
        <v>-217.0248</v>
      </c>
      <c r="B59">
        <v>0</v>
      </c>
      <c r="C59">
        <v>0</v>
      </c>
      <c r="D59">
        <v>0</v>
      </c>
      <c r="E59">
        <v>-185.25040000000001</v>
      </c>
      <c r="F59">
        <v>0</v>
      </c>
    </row>
    <row r="60" spans="1:6">
      <c r="A60">
        <v>-145.21690000000001</v>
      </c>
      <c r="B60">
        <v>0</v>
      </c>
      <c r="C60">
        <v>0</v>
      </c>
      <c r="D60">
        <v>0</v>
      </c>
      <c r="E60">
        <v>-110.09780000000001</v>
      </c>
      <c r="F60">
        <v>0</v>
      </c>
    </row>
    <row r="61" spans="1:6">
      <c r="A61">
        <v>-73.409000000000006</v>
      </c>
      <c r="B61">
        <v>0</v>
      </c>
      <c r="C61">
        <v>0</v>
      </c>
      <c r="D61">
        <v>0</v>
      </c>
      <c r="E61">
        <v>-34.945300000000003</v>
      </c>
      <c r="F61">
        <v>0</v>
      </c>
    </row>
    <row r="62" spans="1:6">
      <c r="A62">
        <v>-1.601</v>
      </c>
      <c r="B62">
        <v>0</v>
      </c>
      <c r="C62">
        <v>0</v>
      </c>
      <c r="D62">
        <v>0</v>
      </c>
      <c r="E62">
        <v>40.207299999999996</v>
      </c>
      <c r="F62">
        <v>0</v>
      </c>
    </row>
    <row r="63" spans="1:6">
      <c r="A63">
        <v>70.206900000000005</v>
      </c>
      <c r="B63">
        <v>0</v>
      </c>
      <c r="C63">
        <v>0</v>
      </c>
      <c r="D63">
        <v>314</v>
      </c>
      <c r="E63">
        <v>115.3599</v>
      </c>
      <c r="F63">
        <v>1.5728</v>
      </c>
    </row>
    <row r="64" spans="1:6">
      <c r="A64">
        <v>142.01480000000001</v>
      </c>
      <c r="B64">
        <v>0</v>
      </c>
      <c r="C64">
        <v>0</v>
      </c>
      <c r="D64">
        <v>8</v>
      </c>
      <c r="E64">
        <v>190.51249999999999</v>
      </c>
      <c r="F64">
        <v>0</v>
      </c>
    </row>
    <row r="67" spans="1:1">
      <c r="A67" t="s">
        <v>599</v>
      </c>
    </row>
    <row r="100" spans="1:6">
      <c r="A100" t="s">
        <v>600</v>
      </c>
      <c r="B100" t="s">
        <v>593</v>
      </c>
      <c r="C100" t="s">
        <v>594</v>
      </c>
      <c r="D100" t="s">
        <v>595</v>
      </c>
      <c r="E100" t="s">
        <v>596</v>
      </c>
      <c r="F100" t="s">
        <v>597</v>
      </c>
    </row>
    <row r="101" spans="1:6">
      <c r="A101">
        <v>-1919.2561000000001</v>
      </c>
      <c r="B101">
        <v>0</v>
      </c>
      <c r="C101">
        <v>0</v>
      </c>
      <c r="D101">
        <v>2</v>
      </c>
      <c r="E101">
        <v>-1958.6686999999999</v>
      </c>
      <c r="F101">
        <v>0</v>
      </c>
    </row>
    <row r="102" spans="1:6">
      <c r="A102">
        <v>-1851.5453</v>
      </c>
      <c r="B102">
        <v>0</v>
      </c>
      <c r="C102">
        <v>0</v>
      </c>
      <c r="D102">
        <v>0</v>
      </c>
      <c r="E102">
        <v>-1888.2398000000001</v>
      </c>
      <c r="F102">
        <v>0</v>
      </c>
    </row>
    <row r="103" spans="1:6">
      <c r="A103">
        <v>-1783.8344999999999</v>
      </c>
      <c r="B103">
        <v>0</v>
      </c>
      <c r="C103">
        <v>0</v>
      </c>
      <c r="D103">
        <v>0</v>
      </c>
      <c r="E103">
        <v>-1817.8109999999999</v>
      </c>
      <c r="F103">
        <v>0</v>
      </c>
    </row>
    <row r="104" spans="1:6">
      <c r="A104">
        <v>-1716.1238000000001</v>
      </c>
      <c r="B104">
        <v>0</v>
      </c>
      <c r="C104">
        <v>0</v>
      </c>
      <c r="D104">
        <v>0</v>
      </c>
      <c r="E104">
        <v>-1747.3821</v>
      </c>
      <c r="F104">
        <v>0</v>
      </c>
    </row>
    <row r="105" spans="1:6">
      <c r="A105">
        <v>-1648.413</v>
      </c>
      <c r="B105">
        <v>0</v>
      </c>
      <c r="C105">
        <v>0</v>
      </c>
      <c r="D105">
        <v>0</v>
      </c>
      <c r="E105">
        <v>-1676.9531999999999</v>
      </c>
      <c r="F105">
        <v>0</v>
      </c>
    </row>
    <row r="106" spans="1:6">
      <c r="A106">
        <v>-1580.7022999999999</v>
      </c>
      <c r="B106">
        <v>0</v>
      </c>
      <c r="C106">
        <v>0</v>
      </c>
      <c r="D106">
        <v>0</v>
      </c>
      <c r="E106">
        <v>-1606.5243</v>
      </c>
      <c r="F106">
        <v>0</v>
      </c>
    </row>
    <row r="107" spans="1:6">
      <c r="A107">
        <v>-1512.9915000000001</v>
      </c>
      <c r="B107">
        <v>0</v>
      </c>
      <c r="C107">
        <v>0</v>
      </c>
      <c r="D107">
        <v>0</v>
      </c>
      <c r="E107">
        <v>-1536.0953999999999</v>
      </c>
      <c r="F107">
        <v>0</v>
      </c>
    </row>
    <row r="108" spans="1:6">
      <c r="A108">
        <v>-1445.2807</v>
      </c>
      <c r="B108">
        <v>0</v>
      </c>
      <c r="C108">
        <v>0</v>
      </c>
      <c r="D108">
        <v>0</v>
      </c>
      <c r="E108">
        <v>-1465.6666</v>
      </c>
      <c r="F108">
        <v>0</v>
      </c>
    </row>
    <row r="109" spans="1:6">
      <c r="A109">
        <v>-1377.57</v>
      </c>
      <c r="B109">
        <v>0</v>
      </c>
      <c r="C109">
        <v>0</v>
      </c>
      <c r="D109">
        <v>0</v>
      </c>
      <c r="E109">
        <v>-1395.2376999999999</v>
      </c>
      <c r="F109">
        <v>0</v>
      </c>
    </row>
    <row r="110" spans="1:6">
      <c r="A110">
        <v>-1309.8592000000001</v>
      </c>
      <c r="B110">
        <v>0</v>
      </c>
      <c r="C110">
        <v>0</v>
      </c>
      <c r="D110">
        <v>0</v>
      </c>
      <c r="E110">
        <v>-1324.8088</v>
      </c>
      <c r="F110">
        <v>0</v>
      </c>
    </row>
    <row r="111" spans="1:6">
      <c r="A111">
        <v>-1242.1484</v>
      </c>
      <c r="B111">
        <v>0</v>
      </c>
      <c r="C111">
        <v>0</v>
      </c>
      <c r="D111">
        <v>0</v>
      </c>
      <c r="E111">
        <v>-1254.3798999999999</v>
      </c>
      <c r="F111">
        <v>0</v>
      </c>
    </row>
    <row r="112" spans="1:6">
      <c r="A112">
        <v>-1174.4376999999999</v>
      </c>
      <c r="B112">
        <v>0</v>
      </c>
      <c r="C112">
        <v>0</v>
      </c>
      <c r="D112">
        <v>0</v>
      </c>
      <c r="E112">
        <v>-1183.9511</v>
      </c>
      <c r="F112">
        <v>0</v>
      </c>
    </row>
    <row r="113" spans="1:6">
      <c r="A113">
        <v>-1106.7268999999999</v>
      </c>
      <c r="B113">
        <v>0</v>
      </c>
      <c r="C113">
        <v>0</v>
      </c>
      <c r="D113">
        <v>0</v>
      </c>
      <c r="E113">
        <v>-1113.5222000000001</v>
      </c>
      <c r="F113">
        <v>0</v>
      </c>
    </row>
    <row r="114" spans="1:6">
      <c r="A114">
        <v>-1039.0161000000001</v>
      </c>
      <c r="B114">
        <v>0</v>
      </c>
      <c r="C114">
        <v>0</v>
      </c>
      <c r="D114">
        <v>0</v>
      </c>
      <c r="E114">
        <v>-1043.0933</v>
      </c>
      <c r="F114">
        <v>0</v>
      </c>
    </row>
    <row r="115" spans="1:6">
      <c r="A115">
        <v>-971.30539999999996</v>
      </c>
      <c r="B115">
        <v>0</v>
      </c>
      <c r="C115">
        <v>0</v>
      </c>
      <c r="D115">
        <v>0</v>
      </c>
      <c r="E115">
        <v>-972.6644</v>
      </c>
      <c r="F115">
        <v>0</v>
      </c>
    </row>
    <row r="116" spans="1:6">
      <c r="A116">
        <v>-903.59460000000001</v>
      </c>
      <c r="B116">
        <v>0</v>
      </c>
      <c r="C116">
        <v>0</v>
      </c>
      <c r="D116">
        <v>0</v>
      </c>
      <c r="E116">
        <v>-902.23559999999998</v>
      </c>
      <c r="F116">
        <v>0</v>
      </c>
    </row>
    <row r="117" spans="1:6">
      <c r="A117">
        <v>-835.88390000000004</v>
      </c>
      <c r="B117">
        <v>0</v>
      </c>
      <c r="C117">
        <v>0</v>
      </c>
      <c r="D117">
        <v>0</v>
      </c>
      <c r="E117">
        <v>-831.80669999999998</v>
      </c>
      <c r="F117">
        <v>0</v>
      </c>
    </row>
    <row r="118" spans="1:6">
      <c r="A118">
        <v>-768.17309999999998</v>
      </c>
      <c r="B118">
        <v>0</v>
      </c>
      <c r="C118">
        <v>0</v>
      </c>
      <c r="D118">
        <v>0</v>
      </c>
      <c r="E118">
        <v>-761.37779999999998</v>
      </c>
      <c r="F118">
        <v>0</v>
      </c>
    </row>
    <row r="119" spans="1:6">
      <c r="A119">
        <v>-700.46230000000003</v>
      </c>
      <c r="B119">
        <v>0</v>
      </c>
      <c r="C119">
        <v>0</v>
      </c>
      <c r="D119">
        <v>0</v>
      </c>
      <c r="E119">
        <v>-690.94889999999998</v>
      </c>
      <c r="F119">
        <v>0</v>
      </c>
    </row>
    <row r="120" spans="1:6">
      <c r="A120">
        <v>-632.75160000000005</v>
      </c>
      <c r="B120">
        <v>0</v>
      </c>
      <c r="C120">
        <v>0</v>
      </c>
      <c r="D120">
        <v>0</v>
      </c>
      <c r="E120">
        <v>-620.52009999999996</v>
      </c>
      <c r="F120">
        <v>0</v>
      </c>
    </row>
    <row r="121" spans="1:6">
      <c r="A121">
        <v>-565.04079999999999</v>
      </c>
      <c r="B121">
        <v>0</v>
      </c>
      <c r="C121">
        <v>0</v>
      </c>
      <c r="D121">
        <v>0</v>
      </c>
      <c r="E121">
        <v>-550.09119999999996</v>
      </c>
      <c r="F121">
        <v>0</v>
      </c>
    </row>
    <row r="122" spans="1:6">
      <c r="A122">
        <v>-497.33</v>
      </c>
      <c r="B122">
        <v>0</v>
      </c>
      <c r="C122">
        <v>0</v>
      </c>
      <c r="D122">
        <v>0</v>
      </c>
      <c r="E122">
        <v>-479.66230000000002</v>
      </c>
      <c r="F122">
        <v>0</v>
      </c>
    </row>
    <row r="123" spans="1:6">
      <c r="A123">
        <v>-429.61930000000001</v>
      </c>
      <c r="B123">
        <v>0</v>
      </c>
      <c r="C123">
        <v>0</v>
      </c>
      <c r="D123">
        <v>0</v>
      </c>
      <c r="E123">
        <v>-409.23340000000002</v>
      </c>
      <c r="F123">
        <v>0</v>
      </c>
    </row>
    <row r="124" spans="1:6">
      <c r="A124">
        <v>-361.9085</v>
      </c>
      <c r="B124">
        <v>0</v>
      </c>
      <c r="C124">
        <v>0</v>
      </c>
      <c r="D124">
        <v>0</v>
      </c>
      <c r="E124">
        <v>-338.80459999999999</v>
      </c>
      <c r="F124">
        <v>0</v>
      </c>
    </row>
    <row r="125" spans="1:6">
      <c r="A125">
        <v>-294.1977</v>
      </c>
      <c r="B125">
        <v>0</v>
      </c>
      <c r="C125">
        <v>0</v>
      </c>
      <c r="D125">
        <v>0</v>
      </c>
      <c r="E125">
        <v>-268.37569999999999</v>
      </c>
      <c r="F125">
        <v>0</v>
      </c>
    </row>
    <row r="126" spans="1:6">
      <c r="A126">
        <v>-226.48699999999999</v>
      </c>
      <c r="B126">
        <v>0</v>
      </c>
      <c r="C126">
        <v>0</v>
      </c>
      <c r="D126">
        <v>0</v>
      </c>
      <c r="E126">
        <v>-197.9468</v>
      </c>
      <c r="F126">
        <v>0</v>
      </c>
    </row>
    <row r="127" spans="1:6">
      <c r="A127">
        <v>-158.77619999999999</v>
      </c>
      <c r="B127">
        <v>0</v>
      </c>
      <c r="C127">
        <v>0</v>
      </c>
      <c r="D127">
        <v>0</v>
      </c>
      <c r="E127">
        <v>-127.5179</v>
      </c>
      <c r="F127">
        <v>0</v>
      </c>
    </row>
    <row r="128" spans="1:6">
      <c r="A128">
        <v>-91.0655</v>
      </c>
      <c r="B128">
        <v>0</v>
      </c>
      <c r="C128">
        <v>0</v>
      </c>
      <c r="D128">
        <v>0</v>
      </c>
      <c r="E128">
        <v>-57.088999999999999</v>
      </c>
      <c r="F128">
        <v>0</v>
      </c>
    </row>
    <row r="129" spans="1:6">
      <c r="A129">
        <v>-23.354700000000001</v>
      </c>
      <c r="B129">
        <v>0</v>
      </c>
      <c r="C129">
        <v>0</v>
      </c>
      <c r="D129">
        <v>0</v>
      </c>
      <c r="E129">
        <v>13.3398</v>
      </c>
      <c r="F129">
        <v>0</v>
      </c>
    </row>
    <row r="130" spans="1:6">
      <c r="A130">
        <v>44.356099999999998</v>
      </c>
      <c r="B130">
        <v>0</v>
      </c>
      <c r="C130">
        <v>0</v>
      </c>
      <c r="D130">
        <v>321</v>
      </c>
      <c r="E130">
        <v>83.768699999999995</v>
      </c>
      <c r="F130">
        <v>0</v>
      </c>
    </row>
    <row r="133" spans="1:6">
      <c r="A133" t="s">
        <v>601</v>
      </c>
    </row>
    <row r="166" spans="1:6">
      <c r="A166" t="s">
        <v>602</v>
      </c>
      <c r="B166" t="s">
        <v>593</v>
      </c>
      <c r="C166" t="s">
        <v>594</v>
      </c>
      <c r="D166" t="s">
        <v>595</v>
      </c>
      <c r="E166" t="s">
        <v>596</v>
      </c>
      <c r="F166" t="s">
        <v>597</v>
      </c>
    </row>
    <row r="167" spans="1:6">
      <c r="A167">
        <v>33.158299999999997</v>
      </c>
      <c r="B167">
        <v>0</v>
      </c>
      <c r="C167">
        <v>0</v>
      </c>
      <c r="D167">
        <v>315</v>
      </c>
      <c r="E167">
        <v>-4.0797999999999996</v>
      </c>
      <c r="F167">
        <v>0.71489999999999998</v>
      </c>
    </row>
    <row r="168" spans="1:6">
      <c r="A168">
        <v>100.66800000000001</v>
      </c>
      <c r="B168">
        <v>0</v>
      </c>
      <c r="C168">
        <v>0</v>
      </c>
      <c r="D168">
        <v>0</v>
      </c>
      <c r="E168">
        <v>65.998099999999994</v>
      </c>
      <c r="F168">
        <v>0</v>
      </c>
    </row>
    <row r="169" spans="1:6">
      <c r="A169">
        <v>168.17779999999999</v>
      </c>
      <c r="B169">
        <v>0</v>
      </c>
      <c r="C169">
        <v>0</v>
      </c>
      <c r="D169">
        <v>0</v>
      </c>
      <c r="E169">
        <v>136.07599999999999</v>
      </c>
      <c r="F169">
        <v>0</v>
      </c>
    </row>
    <row r="170" spans="1:6">
      <c r="A170">
        <v>235.6876</v>
      </c>
      <c r="B170">
        <v>0</v>
      </c>
      <c r="C170">
        <v>0</v>
      </c>
      <c r="D170">
        <v>0</v>
      </c>
      <c r="E170">
        <v>206.15389999999999</v>
      </c>
      <c r="F170">
        <v>0</v>
      </c>
    </row>
    <row r="171" spans="1:6">
      <c r="A171">
        <v>303.19740000000002</v>
      </c>
      <c r="B171">
        <v>0</v>
      </c>
      <c r="C171">
        <v>0</v>
      </c>
      <c r="D171">
        <v>0</v>
      </c>
      <c r="E171">
        <v>276.2319</v>
      </c>
      <c r="F171">
        <v>0</v>
      </c>
    </row>
    <row r="172" spans="1:6">
      <c r="A172">
        <v>370.70710000000003</v>
      </c>
      <c r="B172">
        <v>0</v>
      </c>
      <c r="C172">
        <v>0</v>
      </c>
      <c r="D172">
        <v>0</v>
      </c>
      <c r="E172">
        <v>346.3098</v>
      </c>
      <c r="F172">
        <v>0</v>
      </c>
    </row>
    <row r="173" spans="1:6">
      <c r="A173">
        <v>438.21690000000001</v>
      </c>
      <c r="B173">
        <v>0</v>
      </c>
      <c r="C173">
        <v>0</v>
      </c>
      <c r="D173">
        <v>0</v>
      </c>
      <c r="E173">
        <v>416.3877</v>
      </c>
      <c r="F173">
        <v>0</v>
      </c>
    </row>
    <row r="174" spans="1:6">
      <c r="A174">
        <v>505.72669999999999</v>
      </c>
      <c r="B174">
        <v>0</v>
      </c>
      <c r="C174">
        <v>0</v>
      </c>
      <c r="D174">
        <v>0</v>
      </c>
      <c r="E174">
        <v>486.46559999999999</v>
      </c>
      <c r="F174">
        <v>0</v>
      </c>
    </row>
    <row r="175" spans="1:6">
      <c r="A175">
        <v>573.23649999999998</v>
      </c>
      <c r="B175">
        <v>0</v>
      </c>
      <c r="C175">
        <v>0</v>
      </c>
      <c r="D175">
        <v>0</v>
      </c>
      <c r="E175">
        <v>556.54349999999999</v>
      </c>
      <c r="F175">
        <v>0</v>
      </c>
    </row>
    <row r="176" spans="1:6">
      <c r="A176">
        <v>640.74620000000004</v>
      </c>
      <c r="B176">
        <v>0</v>
      </c>
      <c r="C176">
        <v>0</v>
      </c>
      <c r="D176">
        <v>0</v>
      </c>
      <c r="E176">
        <v>626.62149999999997</v>
      </c>
      <c r="F176">
        <v>0</v>
      </c>
    </row>
    <row r="177" spans="1:6">
      <c r="A177">
        <v>708.25599999999997</v>
      </c>
      <c r="B177">
        <v>0</v>
      </c>
      <c r="C177">
        <v>0</v>
      </c>
      <c r="D177">
        <v>0</v>
      </c>
      <c r="E177">
        <v>696.69939999999997</v>
      </c>
      <c r="F177">
        <v>0</v>
      </c>
    </row>
    <row r="178" spans="1:6">
      <c r="A178">
        <v>775.76580000000001</v>
      </c>
      <c r="B178">
        <v>0</v>
      </c>
      <c r="C178">
        <v>0</v>
      </c>
      <c r="D178">
        <v>0</v>
      </c>
      <c r="E178">
        <v>766.77729999999997</v>
      </c>
      <c r="F178">
        <v>0</v>
      </c>
    </row>
    <row r="179" spans="1:6">
      <c r="A179">
        <v>843.27560000000005</v>
      </c>
      <c r="B179">
        <v>0</v>
      </c>
      <c r="C179">
        <v>0</v>
      </c>
      <c r="D179">
        <v>0</v>
      </c>
      <c r="E179">
        <v>836.85519999999997</v>
      </c>
      <c r="F179">
        <v>0</v>
      </c>
    </row>
    <row r="180" spans="1:6">
      <c r="A180">
        <v>910.78530000000001</v>
      </c>
      <c r="B180">
        <v>0</v>
      </c>
      <c r="C180">
        <v>0</v>
      </c>
      <c r="D180">
        <v>0</v>
      </c>
      <c r="E180">
        <v>906.93309999999997</v>
      </c>
      <c r="F180">
        <v>0</v>
      </c>
    </row>
    <row r="181" spans="1:6">
      <c r="A181">
        <v>978.29510000000005</v>
      </c>
      <c r="B181">
        <v>0</v>
      </c>
      <c r="C181">
        <v>0</v>
      </c>
      <c r="D181">
        <v>0</v>
      </c>
      <c r="E181">
        <v>977.01099999999997</v>
      </c>
      <c r="F181">
        <v>0</v>
      </c>
    </row>
    <row r="182" spans="1:6">
      <c r="A182">
        <v>1045.8049000000001</v>
      </c>
      <c r="B182">
        <v>0</v>
      </c>
      <c r="C182">
        <v>0</v>
      </c>
      <c r="D182">
        <v>0</v>
      </c>
      <c r="E182">
        <v>1047.0889999999999</v>
      </c>
      <c r="F182">
        <v>0</v>
      </c>
    </row>
    <row r="183" spans="1:6">
      <c r="A183">
        <v>1113.3146999999999</v>
      </c>
      <c r="B183">
        <v>0</v>
      </c>
      <c r="C183">
        <v>0</v>
      </c>
      <c r="D183">
        <v>0</v>
      </c>
      <c r="E183">
        <v>1117.1668999999999</v>
      </c>
      <c r="F183">
        <v>0</v>
      </c>
    </row>
    <row r="184" spans="1:6">
      <c r="A184">
        <v>1180.8244</v>
      </c>
      <c r="B184">
        <v>0</v>
      </c>
      <c r="C184">
        <v>0</v>
      </c>
      <c r="D184">
        <v>0</v>
      </c>
      <c r="E184">
        <v>1187.2447999999999</v>
      </c>
      <c r="F184">
        <v>0</v>
      </c>
    </row>
    <row r="185" spans="1:6">
      <c r="A185">
        <v>1248.3342</v>
      </c>
      <c r="B185">
        <v>0</v>
      </c>
      <c r="C185">
        <v>0</v>
      </c>
      <c r="D185">
        <v>0</v>
      </c>
      <c r="E185">
        <v>1257.3226999999999</v>
      </c>
      <c r="F185">
        <v>0</v>
      </c>
    </row>
    <row r="186" spans="1:6">
      <c r="A186">
        <v>1315.8440000000001</v>
      </c>
      <c r="B186">
        <v>0</v>
      </c>
      <c r="C186">
        <v>0</v>
      </c>
      <c r="D186">
        <v>0</v>
      </c>
      <c r="E186">
        <v>1327.4005999999999</v>
      </c>
      <c r="F186">
        <v>0</v>
      </c>
    </row>
    <row r="187" spans="1:6">
      <c r="A187">
        <v>1383.3538000000001</v>
      </c>
      <c r="B187">
        <v>0</v>
      </c>
      <c r="C187">
        <v>0</v>
      </c>
      <c r="D187">
        <v>0</v>
      </c>
      <c r="E187">
        <v>1397.4784999999999</v>
      </c>
      <c r="F187">
        <v>0</v>
      </c>
    </row>
    <row r="188" spans="1:6">
      <c r="A188">
        <v>1450.8634999999999</v>
      </c>
      <c r="B188">
        <v>0</v>
      </c>
      <c r="C188">
        <v>0</v>
      </c>
      <c r="D188">
        <v>0</v>
      </c>
      <c r="E188">
        <v>1467.5564999999999</v>
      </c>
      <c r="F188">
        <v>0</v>
      </c>
    </row>
    <row r="189" spans="1:6">
      <c r="A189">
        <v>1518.3733</v>
      </c>
      <c r="B189">
        <v>0</v>
      </c>
      <c r="C189">
        <v>0</v>
      </c>
      <c r="D189">
        <v>0</v>
      </c>
      <c r="E189">
        <v>1537.6343999999999</v>
      </c>
      <c r="F189">
        <v>0</v>
      </c>
    </row>
    <row r="190" spans="1:6">
      <c r="A190">
        <v>1585.8831</v>
      </c>
      <c r="B190">
        <v>0</v>
      </c>
      <c r="C190">
        <v>0</v>
      </c>
      <c r="D190">
        <v>0</v>
      </c>
      <c r="E190">
        <v>1607.7122999999999</v>
      </c>
      <c r="F190">
        <v>0</v>
      </c>
    </row>
    <row r="191" spans="1:6">
      <c r="A191">
        <v>1653.3929000000001</v>
      </c>
      <c r="B191">
        <v>0</v>
      </c>
      <c r="C191">
        <v>0</v>
      </c>
      <c r="D191">
        <v>0</v>
      </c>
      <c r="E191">
        <v>1677.7901999999999</v>
      </c>
      <c r="F191">
        <v>0</v>
      </c>
    </row>
    <row r="192" spans="1:6">
      <c r="A192">
        <v>1720.9025999999999</v>
      </c>
      <c r="B192">
        <v>0</v>
      </c>
      <c r="C192">
        <v>0</v>
      </c>
      <c r="D192">
        <v>0</v>
      </c>
      <c r="E192">
        <v>1747.8680999999999</v>
      </c>
      <c r="F192">
        <v>0</v>
      </c>
    </row>
    <row r="193" spans="1:6">
      <c r="A193">
        <v>1788.4123999999999</v>
      </c>
      <c r="B193">
        <v>0</v>
      </c>
      <c r="C193">
        <v>0</v>
      </c>
      <c r="D193">
        <v>0</v>
      </c>
      <c r="E193">
        <v>1817.9460999999999</v>
      </c>
      <c r="F193">
        <v>0</v>
      </c>
    </row>
    <row r="194" spans="1:6">
      <c r="A194">
        <v>1855.9222</v>
      </c>
      <c r="B194">
        <v>0</v>
      </c>
      <c r="C194">
        <v>0</v>
      </c>
      <c r="D194">
        <v>0</v>
      </c>
      <c r="E194">
        <v>1888.0239999999999</v>
      </c>
      <c r="F194">
        <v>0</v>
      </c>
    </row>
    <row r="195" spans="1:6">
      <c r="A195">
        <v>1923.432</v>
      </c>
      <c r="B195">
        <v>0</v>
      </c>
      <c r="C195">
        <v>0</v>
      </c>
      <c r="D195">
        <v>0</v>
      </c>
      <c r="E195">
        <v>1958.1018999999999</v>
      </c>
      <c r="F195">
        <v>0</v>
      </c>
    </row>
    <row r="196" spans="1:6">
      <c r="A196">
        <v>1990.9417000000001</v>
      </c>
      <c r="B196">
        <v>0</v>
      </c>
      <c r="C196">
        <v>0</v>
      </c>
      <c r="D196">
        <v>2</v>
      </c>
      <c r="E196">
        <v>2028.1797999999999</v>
      </c>
      <c r="F196">
        <v>0</v>
      </c>
    </row>
    <row r="199" spans="1:6">
      <c r="A199" t="s">
        <v>603</v>
      </c>
    </row>
    <row r="232" spans="1:6">
      <c r="A232" t="s">
        <v>604</v>
      </c>
      <c r="B232" t="s">
        <v>593</v>
      </c>
      <c r="C232" t="s">
        <v>594</v>
      </c>
      <c r="D232" t="s">
        <v>595</v>
      </c>
      <c r="E232" t="s">
        <v>596</v>
      </c>
      <c r="F232" t="s">
        <v>597</v>
      </c>
    </row>
    <row r="233" spans="1:6">
      <c r="A233">
        <v>62.522199999999998</v>
      </c>
      <c r="B233">
        <v>0</v>
      </c>
      <c r="C233">
        <v>0</v>
      </c>
      <c r="D233">
        <v>0</v>
      </c>
      <c r="E233">
        <v>55.941400000000002</v>
      </c>
      <c r="F233">
        <v>0</v>
      </c>
    </row>
    <row r="234" spans="1:6">
      <c r="A234">
        <v>63.086199999999998</v>
      </c>
      <c r="B234">
        <v>0</v>
      </c>
      <c r="C234">
        <v>0</v>
      </c>
      <c r="D234">
        <v>0</v>
      </c>
      <c r="E234">
        <v>56.959200000000003</v>
      </c>
      <c r="F234">
        <v>2.0000000000000001E-4</v>
      </c>
    </row>
    <row r="235" spans="1:6">
      <c r="A235">
        <v>63.650199999999998</v>
      </c>
      <c r="B235">
        <v>0</v>
      </c>
      <c r="C235">
        <v>4</v>
      </c>
      <c r="D235">
        <v>0</v>
      </c>
      <c r="E235">
        <v>57.976999999999997</v>
      </c>
      <c r="F235">
        <v>1.2999999999999999E-3</v>
      </c>
    </row>
    <row r="236" spans="1:6">
      <c r="A236">
        <v>64.214200000000005</v>
      </c>
      <c r="B236">
        <v>3</v>
      </c>
      <c r="C236">
        <v>0</v>
      </c>
      <c r="D236">
        <v>0</v>
      </c>
      <c r="E236">
        <v>58.994900000000001</v>
      </c>
      <c r="F236">
        <v>7.4999999999999997E-3</v>
      </c>
    </row>
    <row r="237" spans="1:6">
      <c r="A237">
        <v>64.778199999999998</v>
      </c>
      <c r="B237">
        <v>13</v>
      </c>
      <c r="C237">
        <v>0</v>
      </c>
      <c r="D237">
        <v>0</v>
      </c>
      <c r="E237">
        <v>60.012700000000002</v>
      </c>
      <c r="F237">
        <v>3.5700000000000003E-2</v>
      </c>
    </row>
    <row r="238" spans="1:6">
      <c r="A238">
        <v>65.342100000000002</v>
      </c>
      <c r="B238">
        <v>11</v>
      </c>
      <c r="C238">
        <v>0</v>
      </c>
      <c r="D238">
        <v>0</v>
      </c>
      <c r="E238">
        <v>61.030500000000004</v>
      </c>
      <c r="F238">
        <v>0.1444</v>
      </c>
    </row>
    <row r="239" spans="1:6">
      <c r="A239">
        <v>65.906099999999995</v>
      </c>
      <c r="B239">
        <v>10</v>
      </c>
      <c r="C239">
        <v>0</v>
      </c>
      <c r="D239">
        <v>0</v>
      </c>
      <c r="E239">
        <v>62.048400000000001</v>
      </c>
      <c r="F239">
        <v>0.49569999999999997</v>
      </c>
    </row>
    <row r="240" spans="1:6">
      <c r="A240">
        <v>66.470100000000002</v>
      </c>
      <c r="B240">
        <v>21</v>
      </c>
      <c r="C240">
        <v>0</v>
      </c>
      <c r="D240">
        <v>0</v>
      </c>
      <c r="E240">
        <v>63.066200000000002</v>
      </c>
      <c r="F240">
        <v>1.4454</v>
      </c>
    </row>
    <row r="241" spans="1:6">
      <c r="A241">
        <v>67.034099999999995</v>
      </c>
      <c r="B241">
        <v>18</v>
      </c>
      <c r="C241">
        <v>0</v>
      </c>
      <c r="D241">
        <v>0</v>
      </c>
      <c r="E241">
        <v>64.084100000000007</v>
      </c>
      <c r="F241">
        <v>3.5794999999999999</v>
      </c>
    </row>
    <row r="242" spans="1:6">
      <c r="A242">
        <v>67.598100000000002</v>
      </c>
      <c r="B242">
        <v>11</v>
      </c>
      <c r="C242">
        <v>0</v>
      </c>
      <c r="D242">
        <v>0</v>
      </c>
      <c r="E242">
        <v>65.101900000000001</v>
      </c>
      <c r="F242">
        <v>7.5301</v>
      </c>
    </row>
    <row r="243" spans="1:6">
      <c r="A243">
        <v>68.162099999999995</v>
      </c>
      <c r="B243">
        <v>21</v>
      </c>
      <c r="C243">
        <v>0</v>
      </c>
      <c r="D243">
        <v>0</v>
      </c>
      <c r="E243">
        <v>66.119699999999995</v>
      </c>
      <c r="F243">
        <v>13.455500000000001</v>
      </c>
    </row>
    <row r="244" spans="1:6">
      <c r="A244">
        <v>68.726100000000002</v>
      </c>
      <c r="B244">
        <v>22</v>
      </c>
      <c r="C244">
        <v>0</v>
      </c>
      <c r="D244">
        <v>0</v>
      </c>
      <c r="E244">
        <v>67.137600000000006</v>
      </c>
      <c r="F244">
        <v>20.423100000000002</v>
      </c>
    </row>
    <row r="245" spans="1:6">
      <c r="A245">
        <v>69.290000000000006</v>
      </c>
      <c r="B245">
        <v>35</v>
      </c>
      <c r="C245">
        <v>0</v>
      </c>
      <c r="D245">
        <v>0</v>
      </c>
      <c r="E245">
        <v>68.1554</v>
      </c>
      <c r="F245">
        <v>26.331199999999999</v>
      </c>
    </row>
    <row r="246" spans="1:6">
      <c r="A246">
        <v>69.853999999999999</v>
      </c>
      <c r="B246">
        <v>26</v>
      </c>
      <c r="C246">
        <v>0</v>
      </c>
      <c r="D246">
        <v>0</v>
      </c>
      <c r="E246">
        <v>69.173199999999994</v>
      </c>
      <c r="F246">
        <v>28.836500000000001</v>
      </c>
    </row>
    <row r="247" spans="1:6">
      <c r="A247">
        <v>70.418000000000006</v>
      </c>
      <c r="B247">
        <v>23</v>
      </c>
      <c r="C247">
        <v>0</v>
      </c>
      <c r="D247">
        <v>0</v>
      </c>
      <c r="E247">
        <v>70.191100000000006</v>
      </c>
      <c r="F247">
        <v>26.824999999999999</v>
      </c>
    </row>
    <row r="248" spans="1:6">
      <c r="A248">
        <v>70.981999999999999</v>
      </c>
      <c r="B248">
        <v>22</v>
      </c>
      <c r="C248">
        <v>0</v>
      </c>
      <c r="D248">
        <v>0</v>
      </c>
      <c r="E248">
        <v>71.2089</v>
      </c>
      <c r="F248">
        <v>21.196400000000001</v>
      </c>
    </row>
    <row r="249" spans="1:6">
      <c r="A249">
        <v>71.546000000000006</v>
      </c>
      <c r="B249">
        <v>24</v>
      </c>
      <c r="C249">
        <v>0</v>
      </c>
      <c r="D249">
        <v>0</v>
      </c>
      <c r="E249">
        <v>72.226799999999997</v>
      </c>
      <c r="F249">
        <v>14.226800000000001</v>
      </c>
    </row>
    <row r="250" spans="1:6">
      <c r="A250">
        <v>72.11</v>
      </c>
      <c r="B250">
        <v>18</v>
      </c>
      <c r="C250">
        <v>0</v>
      </c>
      <c r="D250">
        <v>0</v>
      </c>
      <c r="E250">
        <v>73.244600000000005</v>
      </c>
      <c r="F250">
        <v>8.1111000000000004</v>
      </c>
    </row>
    <row r="251" spans="1:6">
      <c r="A251">
        <v>72.673900000000003</v>
      </c>
      <c r="B251">
        <v>8</v>
      </c>
      <c r="C251">
        <v>0</v>
      </c>
      <c r="D251">
        <v>0</v>
      </c>
      <c r="E251">
        <v>74.2624</v>
      </c>
      <c r="F251">
        <v>3.9279999999999999</v>
      </c>
    </row>
    <row r="252" spans="1:6">
      <c r="A252">
        <v>73.237899999999996</v>
      </c>
      <c r="B252">
        <v>9</v>
      </c>
      <c r="C252">
        <v>0</v>
      </c>
      <c r="D252">
        <v>0</v>
      </c>
      <c r="E252">
        <v>75.280299999999997</v>
      </c>
      <c r="F252">
        <v>1.6157999999999999</v>
      </c>
    </row>
    <row r="253" spans="1:6">
      <c r="A253">
        <v>73.801900000000003</v>
      </c>
      <c r="B253">
        <v>5</v>
      </c>
      <c r="C253">
        <v>0</v>
      </c>
      <c r="D253">
        <v>0</v>
      </c>
      <c r="E253">
        <v>76.298100000000005</v>
      </c>
      <c r="F253">
        <v>0.56459999999999999</v>
      </c>
    </row>
    <row r="254" spans="1:6">
      <c r="A254">
        <v>74.365899999999996</v>
      </c>
      <c r="B254">
        <v>0</v>
      </c>
      <c r="C254">
        <v>7</v>
      </c>
      <c r="D254">
        <v>0</v>
      </c>
      <c r="E254">
        <v>77.315899999999999</v>
      </c>
      <c r="F254">
        <v>0.1676</v>
      </c>
    </row>
    <row r="255" spans="1:6">
      <c r="A255">
        <v>74.929900000000004</v>
      </c>
      <c r="B255">
        <v>0</v>
      </c>
      <c r="C255">
        <v>9</v>
      </c>
      <c r="D255">
        <v>0</v>
      </c>
      <c r="E255">
        <v>78.333799999999997</v>
      </c>
      <c r="F255">
        <v>4.2200000000000001E-2</v>
      </c>
    </row>
    <row r="256" spans="1:6">
      <c r="A256">
        <v>75.493899999999996</v>
      </c>
      <c r="B256">
        <v>0</v>
      </c>
      <c r="C256">
        <v>0</v>
      </c>
      <c r="D256">
        <v>0</v>
      </c>
      <c r="E256">
        <v>79.351600000000005</v>
      </c>
      <c r="F256">
        <v>8.9999999999999993E-3</v>
      </c>
    </row>
    <row r="257" spans="1:6">
      <c r="A257">
        <v>76.057900000000004</v>
      </c>
      <c r="B257">
        <v>0</v>
      </c>
      <c r="C257">
        <v>2</v>
      </c>
      <c r="D257">
        <v>0</v>
      </c>
      <c r="E257">
        <v>80.369500000000002</v>
      </c>
      <c r="F257">
        <v>1.6000000000000001E-3</v>
      </c>
    </row>
    <row r="258" spans="1:6">
      <c r="A258">
        <v>76.621799999999993</v>
      </c>
      <c r="B258">
        <v>0</v>
      </c>
      <c r="C258">
        <v>0</v>
      </c>
      <c r="D258">
        <v>0</v>
      </c>
      <c r="E258">
        <v>81.387299999999996</v>
      </c>
      <c r="F258">
        <v>2.9999999999999997E-4</v>
      </c>
    </row>
    <row r="259" spans="1:6">
      <c r="A259">
        <v>77.1858</v>
      </c>
      <c r="B259">
        <v>0</v>
      </c>
      <c r="C259">
        <v>0</v>
      </c>
      <c r="D259">
        <v>0</v>
      </c>
      <c r="E259">
        <v>82.405100000000004</v>
      </c>
      <c r="F259">
        <v>0</v>
      </c>
    </row>
    <row r="260" spans="1:6">
      <c r="A260">
        <v>77.749799999999993</v>
      </c>
      <c r="B260">
        <v>0</v>
      </c>
      <c r="C260">
        <v>0</v>
      </c>
      <c r="D260">
        <v>1</v>
      </c>
      <c r="E260">
        <v>83.423000000000002</v>
      </c>
      <c r="F260">
        <v>0</v>
      </c>
    </row>
    <row r="261" spans="1:6">
      <c r="A261">
        <v>78.313800000000001</v>
      </c>
      <c r="B261">
        <v>0</v>
      </c>
      <c r="C261">
        <v>0</v>
      </c>
      <c r="D261">
        <v>0</v>
      </c>
      <c r="E261">
        <v>84.440799999999996</v>
      </c>
      <c r="F261">
        <v>0</v>
      </c>
    </row>
    <row r="262" spans="1:6">
      <c r="A262">
        <v>78.877799999999993</v>
      </c>
      <c r="B262">
        <v>0</v>
      </c>
      <c r="C262">
        <v>0</v>
      </c>
      <c r="D262">
        <v>0</v>
      </c>
      <c r="E262">
        <v>85.458600000000004</v>
      </c>
      <c r="F262">
        <v>0</v>
      </c>
    </row>
    <row r="265" spans="1:6">
      <c r="A265" t="s">
        <v>605</v>
      </c>
      <c r="B265" t="s">
        <v>593</v>
      </c>
      <c r="C265" t="s">
        <v>594</v>
      </c>
      <c r="D265" t="s">
        <v>595</v>
      </c>
      <c r="E265" t="s">
        <v>596</v>
      </c>
      <c r="F265" t="s">
        <v>597</v>
      </c>
    </row>
    <row r="266" spans="1:6">
      <c r="A266">
        <v>109.5376</v>
      </c>
      <c r="B266">
        <v>0</v>
      </c>
      <c r="C266">
        <v>0</v>
      </c>
      <c r="D266">
        <v>0</v>
      </c>
      <c r="E266">
        <v>105.0391</v>
      </c>
      <c r="F266">
        <v>4.0000000000000002E-4</v>
      </c>
    </row>
    <row r="267" spans="1:6">
      <c r="A267">
        <v>109.84990000000001</v>
      </c>
      <c r="B267">
        <v>0</v>
      </c>
      <c r="C267">
        <v>0</v>
      </c>
      <c r="D267">
        <v>0</v>
      </c>
      <c r="E267">
        <v>105.6615</v>
      </c>
      <c r="F267">
        <v>2E-3</v>
      </c>
    </row>
    <row r="268" spans="1:6">
      <c r="A268">
        <v>110.1621</v>
      </c>
      <c r="B268">
        <v>1</v>
      </c>
      <c r="C268">
        <v>0</v>
      </c>
      <c r="D268">
        <v>0</v>
      </c>
      <c r="E268">
        <v>106.28400000000001</v>
      </c>
      <c r="F268">
        <v>8.8000000000000005E-3</v>
      </c>
    </row>
    <row r="269" spans="1:6">
      <c r="A269">
        <v>110.4743</v>
      </c>
      <c r="B269">
        <v>2</v>
      </c>
      <c r="C269">
        <v>0</v>
      </c>
      <c r="D269">
        <v>0</v>
      </c>
      <c r="E269">
        <v>106.90649999999999</v>
      </c>
      <c r="F269">
        <v>3.44E-2</v>
      </c>
    </row>
    <row r="270" spans="1:6">
      <c r="A270">
        <v>110.78660000000001</v>
      </c>
      <c r="B270">
        <v>7</v>
      </c>
      <c r="C270">
        <v>0</v>
      </c>
      <c r="D270">
        <v>0</v>
      </c>
      <c r="E270">
        <v>107.529</v>
      </c>
      <c r="F270">
        <v>0.1176</v>
      </c>
    </row>
    <row r="271" spans="1:6">
      <c r="A271">
        <v>111.0988</v>
      </c>
      <c r="B271">
        <v>20</v>
      </c>
      <c r="C271">
        <v>0</v>
      </c>
      <c r="D271">
        <v>0</v>
      </c>
      <c r="E271">
        <v>108.1515</v>
      </c>
      <c r="F271">
        <v>0.35389999999999999</v>
      </c>
    </row>
    <row r="272" spans="1:6">
      <c r="A272">
        <v>111.411</v>
      </c>
      <c r="B272">
        <v>43</v>
      </c>
      <c r="C272">
        <v>0</v>
      </c>
      <c r="D272">
        <v>0</v>
      </c>
      <c r="E272">
        <v>108.7739</v>
      </c>
      <c r="F272">
        <v>0.93669999999999998</v>
      </c>
    </row>
    <row r="273" spans="1:6">
      <c r="A273">
        <v>111.72329999999999</v>
      </c>
      <c r="B273">
        <v>63</v>
      </c>
      <c r="C273">
        <v>0</v>
      </c>
      <c r="D273">
        <v>0</v>
      </c>
      <c r="E273">
        <v>109.3964</v>
      </c>
      <c r="F273">
        <v>2.1802000000000001</v>
      </c>
    </row>
    <row r="274" spans="1:6">
      <c r="A274">
        <v>112.0355</v>
      </c>
      <c r="B274">
        <v>23</v>
      </c>
      <c r="C274">
        <v>0</v>
      </c>
      <c r="D274">
        <v>0</v>
      </c>
      <c r="E274">
        <v>110.0189</v>
      </c>
      <c r="F274">
        <v>4.4629000000000003</v>
      </c>
    </row>
    <row r="275" spans="1:6">
      <c r="A275">
        <v>112.3477</v>
      </c>
      <c r="B275">
        <v>6</v>
      </c>
      <c r="C275">
        <v>0</v>
      </c>
      <c r="D275">
        <v>0</v>
      </c>
      <c r="E275">
        <v>110.6414</v>
      </c>
      <c r="F275">
        <v>8.0348000000000006</v>
      </c>
    </row>
    <row r="276" spans="1:6">
      <c r="A276">
        <v>112.66</v>
      </c>
      <c r="B276">
        <v>2</v>
      </c>
      <c r="C276">
        <v>0</v>
      </c>
      <c r="D276">
        <v>0</v>
      </c>
      <c r="E276">
        <v>111.2638</v>
      </c>
      <c r="F276">
        <v>12.722</v>
      </c>
    </row>
    <row r="277" spans="1:6">
      <c r="A277">
        <v>112.9722</v>
      </c>
      <c r="B277">
        <v>0</v>
      </c>
      <c r="C277">
        <v>0</v>
      </c>
      <c r="D277">
        <v>0</v>
      </c>
      <c r="E277">
        <v>111.88630000000001</v>
      </c>
      <c r="F277">
        <v>17.715699999999998</v>
      </c>
    </row>
    <row r="278" spans="1:6">
      <c r="A278">
        <v>113.28440000000001</v>
      </c>
      <c r="B278">
        <v>2</v>
      </c>
      <c r="C278">
        <v>0</v>
      </c>
      <c r="D278">
        <v>0</v>
      </c>
      <c r="E278">
        <v>112.50879999999999</v>
      </c>
      <c r="F278">
        <v>21.696400000000001</v>
      </c>
    </row>
    <row r="279" spans="1:6">
      <c r="A279">
        <v>113.5967</v>
      </c>
      <c r="B279">
        <v>1</v>
      </c>
      <c r="C279">
        <v>0</v>
      </c>
      <c r="D279">
        <v>0</v>
      </c>
      <c r="E279">
        <v>113.1313</v>
      </c>
      <c r="F279">
        <v>23.369</v>
      </c>
    </row>
    <row r="280" spans="1:6">
      <c r="A280">
        <v>113.9089</v>
      </c>
      <c r="B280">
        <v>0</v>
      </c>
      <c r="C280">
        <v>0</v>
      </c>
      <c r="D280">
        <v>0</v>
      </c>
      <c r="E280">
        <v>113.7538</v>
      </c>
      <c r="F280">
        <v>22.137</v>
      </c>
    </row>
    <row r="281" spans="1:6">
      <c r="A281">
        <v>114.22110000000001</v>
      </c>
      <c r="B281">
        <v>3</v>
      </c>
      <c r="C281">
        <v>0</v>
      </c>
      <c r="D281">
        <v>0</v>
      </c>
      <c r="E281">
        <v>114.3762</v>
      </c>
      <c r="F281">
        <v>18.442499999999999</v>
      </c>
    </row>
    <row r="282" spans="1:6">
      <c r="A282">
        <v>114.5333</v>
      </c>
      <c r="B282">
        <v>29</v>
      </c>
      <c r="C282">
        <v>0</v>
      </c>
      <c r="D282">
        <v>0</v>
      </c>
      <c r="E282">
        <v>114.9987</v>
      </c>
      <c r="F282">
        <v>13.5128</v>
      </c>
    </row>
    <row r="283" spans="1:6">
      <c r="A283">
        <v>114.8456</v>
      </c>
      <c r="B283">
        <v>55</v>
      </c>
      <c r="C283">
        <v>0</v>
      </c>
      <c r="D283">
        <v>0</v>
      </c>
      <c r="E283">
        <v>115.6212</v>
      </c>
      <c r="F283">
        <v>8.7075999999999993</v>
      </c>
    </row>
    <row r="284" spans="1:6">
      <c r="A284">
        <v>115.15779999999999</v>
      </c>
      <c r="B284">
        <v>42</v>
      </c>
      <c r="C284">
        <v>0</v>
      </c>
      <c r="D284">
        <v>0</v>
      </c>
      <c r="E284">
        <v>116.2437</v>
      </c>
      <c r="F284">
        <v>4.9348000000000001</v>
      </c>
    </row>
    <row r="285" spans="1:6">
      <c r="A285">
        <v>115.47</v>
      </c>
      <c r="B285">
        <v>15</v>
      </c>
      <c r="C285">
        <v>0</v>
      </c>
      <c r="D285">
        <v>0</v>
      </c>
      <c r="E285">
        <v>116.86620000000001</v>
      </c>
      <c r="F285">
        <v>2.4596</v>
      </c>
    </row>
    <row r="286" spans="1:6">
      <c r="A286">
        <v>115.78230000000001</v>
      </c>
      <c r="B286">
        <v>7</v>
      </c>
      <c r="C286">
        <v>0</v>
      </c>
      <c r="D286">
        <v>0</v>
      </c>
      <c r="E286">
        <v>117.48860000000001</v>
      </c>
      <c r="F286">
        <v>1.0782</v>
      </c>
    </row>
    <row r="287" spans="1:6">
      <c r="A287">
        <v>116.0945</v>
      </c>
      <c r="B287">
        <v>1</v>
      </c>
      <c r="C287">
        <v>0</v>
      </c>
      <c r="D287">
        <v>0</v>
      </c>
      <c r="E287">
        <v>118.11109999999999</v>
      </c>
      <c r="F287">
        <v>0.41570000000000001</v>
      </c>
    </row>
    <row r="288" spans="1:6">
      <c r="A288">
        <v>116.4067</v>
      </c>
      <c r="B288">
        <v>3</v>
      </c>
      <c r="C288">
        <v>0</v>
      </c>
      <c r="D288">
        <v>0</v>
      </c>
      <c r="E288">
        <v>118.7336</v>
      </c>
      <c r="F288">
        <v>0.1409</v>
      </c>
    </row>
    <row r="289" spans="1:6">
      <c r="A289">
        <v>116.71899999999999</v>
      </c>
      <c r="B289">
        <v>0</v>
      </c>
      <c r="C289">
        <v>0</v>
      </c>
      <c r="D289">
        <v>0</v>
      </c>
      <c r="E289">
        <v>119.3561</v>
      </c>
      <c r="F289">
        <v>4.2000000000000003E-2</v>
      </c>
    </row>
    <row r="290" spans="1:6">
      <c r="A290">
        <v>117.0312</v>
      </c>
      <c r="B290">
        <v>0</v>
      </c>
      <c r="C290">
        <v>0</v>
      </c>
      <c r="D290">
        <v>0</v>
      </c>
      <c r="E290">
        <v>119.9785</v>
      </c>
      <c r="F290">
        <v>1.0999999999999999E-2</v>
      </c>
    </row>
    <row r="291" spans="1:6">
      <c r="A291">
        <v>117.3434</v>
      </c>
      <c r="B291">
        <v>0</v>
      </c>
      <c r="C291">
        <v>0</v>
      </c>
      <c r="D291">
        <v>0</v>
      </c>
      <c r="E291">
        <v>120.601</v>
      </c>
      <c r="F291">
        <v>2.5000000000000001E-3</v>
      </c>
    </row>
    <row r="292" spans="1:6">
      <c r="A292">
        <v>117.6557</v>
      </c>
      <c r="B292">
        <v>0</v>
      </c>
      <c r="C292">
        <v>0</v>
      </c>
      <c r="D292">
        <v>0</v>
      </c>
      <c r="E292">
        <v>121.2235</v>
      </c>
      <c r="F292">
        <v>5.0000000000000001E-4</v>
      </c>
    </row>
    <row r="293" spans="1:6">
      <c r="A293">
        <v>117.9679</v>
      </c>
      <c r="B293">
        <v>0</v>
      </c>
      <c r="C293">
        <v>1</v>
      </c>
      <c r="D293">
        <v>0</v>
      </c>
      <c r="E293">
        <v>121.846</v>
      </c>
      <c r="F293">
        <v>1E-4</v>
      </c>
    </row>
    <row r="294" spans="1:6">
      <c r="A294">
        <v>118.2801</v>
      </c>
      <c r="B294">
        <v>0</v>
      </c>
      <c r="C294">
        <v>0</v>
      </c>
      <c r="D294">
        <v>0</v>
      </c>
      <c r="E294">
        <v>122.46850000000001</v>
      </c>
      <c r="F294">
        <v>0</v>
      </c>
    </row>
    <row r="295" spans="1:6">
      <c r="A295">
        <v>118.5924</v>
      </c>
      <c r="B295">
        <v>0</v>
      </c>
      <c r="C295">
        <v>0</v>
      </c>
      <c r="D295">
        <v>0</v>
      </c>
      <c r="E295">
        <v>123.0909</v>
      </c>
      <c r="F295">
        <v>0</v>
      </c>
    </row>
    <row r="298" spans="1:6">
      <c r="A298" t="s">
        <v>606</v>
      </c>
      <c r="B298" t="s">
        <v>593</v>
      </c>
      <c r="C298" t="s">
        <v>594</v>
      </c>
      <c r="D298" t="s">
        <v>595</v>
      </c>
      <c r="E298" t="s">
        <v>596</v>
      </c>
      <c r="F298" t="s">
        <v>597</v>
      </c>
    </row>
    <row r="299" spans="1:6">
      <c r="A299">
        <v>110.73480000000001</v>
      </c>
      <c r="B299">
        <v>0</v>
      </c>
      <c r="C299">
        <v>0</v>
      </c>
      <c r="D299">
        <v>0</v>
      </c>
      <c r="E299">
        <v>106.48439999999999</v>
      </c>
      <c r="F299">
        <v>1E-4</v>
      </c>
    </row>
    <row r="300" spans="1:6">
      <c r="A300">
        <v>111.0097</v>
      </c>
      <c r="B300">
        <v>0</v>
      </c>
      <c r="C300">
        <v>0</v>
      </c>
      <c r="D300">
        <v>0</v>
      </c>
      <c r="E300">
        <v>107.05240000000001</v>
      </c>
      <c r="F300">
        <v>4.0000000000000002E-4</v>
      </c>
    </row>
    <row r="301" spans="1:6">
      <c r="A301">
        <v>111.28449999999999</v>
      </c>
      <c r="B301">
        <v>0</v>
      </c>
      <c r="C301">
        <v>1</v>
      </c>
      <c r="D301">
        <v>0</v>
      </c>
      <c r="E301">
        <v>107.6204</v>
      </c>
      <c r="F301">
        <v>1.6999999999999999E-3</v>
      </c>
    </row>
    <row r="302" spans="1:6">
      <c r="A302">
        <v>111.55929999999999</v>
      </c>
      <c r="B302">
        <v>0</v>
      </c>
      <c r="C302">
        <v>0</v>
      </c>
      <c r="D302">
        <v>0</v>
      </c>
      <c r="E302">
        <v>108.1883</v>
      </c>
      <c r="F302">
        <v>7.3000000000000001E-3</v>
      </c>
    </row>
    <row r="303" spans="1:6">
      <c r="A303">
        <v>111.8342</v>
      </c>
      <c r="B303">
        <v>1</v>
      </c>
      <c r="C303">
        <v>0</v>
      </c>
      <c r="D303">
        <v>0</v>
      </c>
      <c r="E303">
        <v>108.7563</v>
      </c>
      <c r="F303">
        <v>2.7300000000000001E-2</v>
      </c>
    </row>
    <row r="304" spans="1:6">
      <c r="A304">
        <v>112.10899999999999</v>
      </c>
      <c r="B304">
        <v>0</v>
      </c>
      <c r="C304">
        <v>0</v>
      </c>
      <c r="D304">
        <v>0</v>
      </c>
      <c r="E304">
        <v>109.32429999999999</v>
      </c>
      <c r="F304">
        <v>9.0700000000000003E-2</v>
      </c>
    </row>
    <row r="305" spans="1:6">
      <c r="A305">
        <v>112.3839</v>
      </c>
      <c r="B305">
        <v>2</v>
      </c>
      <c r="C305">
        <v>0</v>
      </c>
      <c r="D305">
        <v>0</v>
      </c>
      <c r="E305">
        <v>109.8922</v>
      </c>
      <c r="F305">
        <v>0.26769999999999999</v>
      </c>
    </row>
    <row r="306" spans="1:6">
      <c r="A306">
        <v>112.6587</v>
      </c>
      <c r="B306">
        <v>9</v>
      </c>
      <c r="C306">
        <v>0</v>
      </c>
      <c r="D306">
        <v>0</v>
      </c>
      <c r="E306">
        <v>110.4602</v>
      </c>
      <c r="F306">
        <v>0.70120000000000005</v>
      </c>
    </row>
    <row r="307" spans="1:6">
      <c r="A307">
        <v>112.9335</v>
      </c>
      <c r="B307">
        <v>26</v>
      </c>
      <c r="C307">
        <v>0</v>
      </c>
      <c r="D307">
        <v>0</v>
      </c>
      <c r="E307">
        <v>111.0282</v>
      </c>
      <c r="F307">
        <v>1.6306</v>
      </c>
    </row>
    <row r="308" spans="1:6">
      <c r="A308">
        <v>113.2084</v>
      </c>
      <c r="B308">
        <v>51</v>
      </c>
      <c r="C308">
        <v>0</v>
      </c>
      <c r="D308">
        <v>0</v>
      </c>
      <c r="E308">
        <v>111.5962</v>
      </c>
      <c r="F308">
        <v>3.3656999999999999</v>
      </c>
    </row>
    <row r="309" spans="1:6">
      <c r="A309">
        <v>113.4832</v>
      </c>
      <c r="B309">
        <v>32</v>
      </c>
      <c r="C309">
        <v>0</v>
      </c>
      <c r="D309">
        <v>0</v>
      </c>
      <c r="E309">
        <v>112.1641</v>
      </c>
      <c r="F309">
        <v>6.1664000000000003</v>
      </c>
    </row>
    <row r="310" spans="1:6">
      <c r="A310">
        <v>113.7581</v>
      </c>
      <c r="B310">
        <v>6</v>
      </c>
      <c r="C310">
        <v>0</v>
      </c>
      <c r="D310">
        <v>0</v>
      </c>
      <c r="E310">
        <v>112.7321</v>
      </c>
      <c r="F310">
        <v>10.0283</v>
      </c>
    </row>
    <row r="311" spans="1:6">
      <c r="A311">
        <v>114.0329</v>
      </c>
      <c r="B311">
        <v>1</v>
      </c>
      <c r="C311">
        <v>0</v>
      </c>
      <c r="D311">
        <v>0</v>
      </c>
      <c r="E311">
        <v>113.3001</v>
      </c>
      <c r="F311">
        <v>14.476599999999999</v>
      </c>
    </row>
    <row r="312" spans="1:6">
      <c r="A312">
        <v>114.3077</v>
      </c>
      <c r="B312">
        <v>5</v>
      </c>
      <c r="C312">
        <v>0</v>
      </c>
      <c r="D312">
        <v>0</v>
      </c>
      <c r="E312">
        <v>113.86799999999999</v>
      </c>
      <c r="F312">
        <v>18.55</v>
      </c>
    </row>
    <row r="313" spans="1:6">
      <c r="A313">
        <v>114.5826</v>
      </c>
      <c r="B313">
        <v>22</v>
      </c>
      <c r="C313">
        <v>0</v>
      </c>
      <c r="D313">
        <v>0</v>
      </c>
      <c r="E313">
        <v>114.43600000000001</v>
      </c>
      <c r="F313">
        <v>21.0989</v>
      </c>
    </row>
    <row r="314" spans="1:6">
      <c r="A314">
        <v>114.8574</v>
      </c>
      <c r="B314">
        <v>52</v>
      </c>
      <c r="C314">
        <v>0</v>
      </c>
      <c r="D314">
        <v>0</v>
      </c>
      <c r="E314">
        <v>115.004</v>
      </c>
      <c r="F314">
        <v>21.3017</v>
      </c>
    </row>
    <row r="315" spans="1:6">
      <c r="A315">
        <v>115.1323</v>
      </c>
      <c r="B315">
        <v>38</v>
      </c>
      <c r="C315">
        <v>0</v>
      </c>
      <c r="D315">
        <v>0</v>
      </c>
      <c r="E315">
        <v>115.572</v>
      </c>
      <c r="F315">
        <v>19.0901</v>
      </c>
    </row>
    <row r="316" spans="1:6">
      <c r="A316">
        <v>115.4071</v>
      </c>
      <c r="B316">
        <v>11</v>
      </c>
      <c r="C316">
        <v>0</v>
      </c>
      <c r="D316">
        <v>0</v>
      </c>
      <c r="E316">
        <v>116.1399</v>
      </c>
      <c r="F316">
        <v>15.186</v>
      </c>
    </row>
    <row r="317" spans="1:6">
      <c r="A317">
        <v>115.6819</v>
      </c>
      <c r="B317">
        <v>1</v>
      </c>
      <c r="C317">
        <v>0</v>
      </c>
      <c r="D317">
        <v>0</v>
      </c>
      <c r="E317">
        <v>116.7079</v>
      </c>
      <c r="F317">
        <v>10.723000000000001</v>
      </c>
    </row>
    <row r="318" spans="1:6">
      <c r="A318">
        <v>115.9568</v>
      </c>
      <c r="B318">
        <v>0</v>
      </c>
      <c r="C318">
        <v>0</v>
      </c>
      <c r="D318">
        <v>0</v>
      </c>
      <c r="E318">
        <v>117.27589999999999</v>
      </c>
      <c r="F318">
        <v>6.7209000000000003</v>
      </c>
    </row>
    <row r="319" spans="1:6">
      <c r="A319">
        <v>116.2316</v>
      </c>
      <c r="B319">
        <v>1</v>
      </c>
      <c r="C319">
        <v>0</v>
      </c>
      <c r="D319">
        <v>0</v>
      </c>
      <c r="E319">
        <v>117.8438</v>
      </c>
      <c r="F319">
        <v>3.7391999999999999</v>
      </c>
    </row>
    <row r="320" spans="1:6">
      <c r="A320">
        <v>116.5065</v>
      </c>
      <c r="B320">
        <v>4</v>
      </c>
      <c r="C320">
        <v>0</v>
      </c>
      <c r="D320">
        <v>0</v>
      </c>
      <c r="E320">
        <v>118.4118</v>
      </c>
      <c r="F320">
        <v>1.8466</v>
      </c>
    </row>
    <row r="321" spans="1:6">
      <c r="A321">
        <v>116.7813</v>
      </c>
      <c r="B321">
        <v>2</v>
      </c>
      <c r="C321">
        <v>0</v>
      </c>
      <c r="D321">
        <v>0</v>
      </c>
      <c r="E321">
        <v>118.9798</v>
      </c>
      <c r="F321">
        <v>0.8095</v>
      </c>
    </row>
    <row r="322" spans="1:6">
      <c r="A322">
        <v>117.0561</v>
      </c>
      <c r="B322">
        <v>8</v>
      </c>
      <c r="C322">
        <v>0</v>
      </c>
      <c r="D322">
        <v>0</v>
      </c>
      <c r="E322">
        <v>119.5478</v>
      </c>
      <c r="F322">
        <v>0.315</v>
      </c>
    </row>
    <row r="323" spans="1:6">
      <c r="A323">
        <v>117.331</v>
      </c>
      <c r="B323">
        <v>10</v>
      </c>
      <c r="C323">
        <v>0</v>
      </c>
      <c r="D323">
        <v>0</v>
      </c>
      <c r="E323">
        <v>120.1157</v>
      </c>
      <c r="F323">
        <v>0.10879999999999999</v>
      </c>
    </row>
    <row r="324" spans="1:6">
      <c r="A324">
        <v>117.6058</v>
      </c>
      <c r="B324">
        <v>24</v>
      </c>
      <c r="C324">
        <v>0</v>
      </c>
      <c r="D324">
        <v>0</v>
      </c>
      <c r="E324">
        <v>120.6837</v>
      </c>
      <c r="F324">
        <v>3.3399999999999999E-2</v>
      </c>
    </row>
    <row r="325" spans="1:6">
      <c r="A325">
        <v>117.8807</v>
      </c>
      <c r="B325">
        <v>13</v>
      </c>
      <c r="C325">
        <v>0</v>
      </c>
      <c r="D325">
        <v>0</v>
      </c>
      <c r="E325">
        <v>121.2517</v>
      </c>
      <c r="F325">
        <v>9.1000000000000004E-3</v>
      </c>
    </row>
    <row r="326" spans="1:6">
      <c r="A326">
        <v>118.1555</v>
      </c>
      <c r="B326">
        <v>0</v>
      </c>
      <c r="C326">
        <v>3</v>
      </c>
      <c r="D326">
        <v>0</v>
      </c>
      <c r="E326">
        <v>121.81959999999999</v>
      </c>
      <c r="F326">
        <v>2.2000000000000001E-3</v>
      </c>
    </row>
    <row r="327" spans="1:6">
      <c r="A327">
        <v>118.4303</v>
      </c>
      <c r="B327">
        <v>0</v>
      </c>
      <c r="C327">
        <v>0</v>
      </c>
      <c r="D327">
        <v>0</v>
      </c>
      <c r="E327">
        <v>122.38760000000001</v>
      </c>
      <c r="F327">
        <v>5.0000000000000001E-4</v>
      </c>
    </row>
    <row r="328" spans="1:6">
      <c r="A328">
        <v>118.7052</v>
      </c>
      <c r="B328">
        <v>0</v>
      </c>
      <c r="C328">
        <v>0</v>
      </c>
      <c r="D328">
        <v>0</v>
      </c>
      <c r="E328">
        <v>122.9556</v>
      </c>
      <c r="F328">
        <v>1E-4</v>
      </c>
    </row>
    <row r="331" spans="1:6">
      <c r="A331" t="s">
        <v>607</v>
      </c>
      <c r="B331" t="s">
        <v>593</v>
      </c>
      <c r="C331" t="s">
        <v>594</v>
      </c>
      <c r="D331" t="s">
        <v>595</v>
      </c>
      <c r="E331" t="s">
        <v>596</v>
      </c>
      <c r="F331" t="s">
        <v>597</v>
      </c>
    </row>
    <row r="332" spans="1:6">
      <c r="A332">
        <v>1.9858</v>
      </c>
      <c r="B332">
        <v>0</v>
      </c>
      <c r="C332">
        <v>0</v>
      </c>
      <c r="D332">
        <v>1</v>
      </c>
      <c r="E332">
        <v>0.4501</v>
      </c>
      <c r="F332">
        <v>0</v>
      </c>
    </row>
    <row r="333" spans="1:6">
      <c r="A333">
        <v>2.274</v>
      </c>
      <c r="B333">
        <v>0</v>
      </c>
      <c r="C333">
        <v>0</v>
      </c>
      <c r="D333">
        <v>2</v>
      </c>
      <c r="E333">
        <v>0.84419999999999995</v>
      </c>
      <c r="F333">
        <v>0</v>
      </c>
    </row>
    <row r="334" spans="1:6">
      <c r="A334">
        <v>2.5621999999999998</v>
      </c>
      <c r="B334">
        <v>0</v>
      </c>
      <c r="C334">
        <v>0</v>
      </c>
      <c r="D334">
        <v>1</v>
      </c>
      <c r="E334">
        <v>1.2383999999999999</v>
      </c>
      <c r="F334">
        <v>0</v>
      </c>
    </row>
    <row r="335" spans="1:6">
      <c r="A335">
        <v>2.8504999999999998</v>
      </c>
      <c r="B335">
        <v>0</v>
      </c>
      <c r="C335">
        <v>0</v>
      </c>
      <c r="D335">
        <v>0</v>
      </c>
      <c r="E335">
        <v>1.6325000000000001</v>
      </c>
      <c r="F335">
        <v>0</v>
      </c>
    </row>
    <row r="336" spans="1:6">
      <c r="A336">
        <v>3.1387</v>
      </c>
      <c r="B336">
        <v>0</v>
      </c>
      <c r="C336">
        <v>0</v>
      </c>
      <c r="D336">
        <v>0</v>
      </c>
      <c r="E336">
        <v>2.0266000000000002</v>
      </c>
      <c r="F336">
        <v>0</v>
      </c>
    </row>
    <row r="337" spans="1:6">
      <c r="A337">
        <v>3.4268999999999998</v>
      </c>
      <c r="B337">
        <v>0</v>
      </c>
      <c r="C337">
        <v>0</v>
      </c>
      <c r="D337">
        <v>0</v>
      </c>
      <c r="E337">
        <v>2.4207999999999998</v>
      </c>
      <c r="F337">
        <v>0</v>
      </c>
    </row>
    <row r="338" spans="1:6">
      <c r="A338">
        <v>3.7151000000000001</v>
      </c>
      <c r="B338">
        <v>0</v>
      </c>
      <c r="C338">
        <v>0</v>
      </c>
      <c r="D338">
        <v>2</v>
      </c>
      <c r="E338">
        <v>2.8149000000000002</v>
      </c>
      <c r="F338">
        <v>0</v>
      </c>
    </row>
    <row r="339" spans="1:6">
      <c r="A339">
        <v>4.0033000000000003</v>
      </c>
      <c r="B339">
        <v>0</v>
      </c>
      <c r="C339">
        <v>0</v>
      </c>
      <c r="D339">
        <v>0</v>
      </c>
      <c r="E339">
        <v>3.2090000000000001</v>
      </c>
      <c r="F339">
        <v>0</v>
      </c>
    </row>
    <row r="340" spans="1:6">
      <c r="A340">
        <v>4.2915999999999999</v>
      </c>
      <c r="B340">
        <v>0</v>
      </c>
      <c r="C340">
        <v>0</v>
      </c>
      <c r="D340">
        <v>0</v>
      </c>
      <c r="E340">
        <v>3.6032000000000002</v>
      </c>
      <c r="F340">
        <v>0</v>
      </c>
    </row>
    <row r="341" spans="1:6">
      <c r="A341">
        <v>4.5797999999999996</v>
      </c>
      <c r="B341">
        <v>0</v>
      </c>
      <c r="C341">
        <v>0</v>
      </c>
      <c r="D341">
        <v>0</v>
      </c>
      <c r="E341">
        <v>3.9973000000000001</v>
      </c>
      <c r="F341">
        <v>0</v>
      </c>
    </row>
    <row r="342" spans="1:6">
      <c r="A342">
        <v>4.8680000000000003</v>
      </c>
      <c r="B342">
        <v>0</v>
      </c>
      <c r="C342">
        <v>0</v>
      </c>
      <c r="D342">
        <v>4</v>
      </c>
      <c r="E342">
        <v>4.3914</v>
      </c>
      <c r="F342">
        <v>0</v>
      </c>
    </row>
    <row r="343" spans="1:6">
      <c r="A343">
        <v>5.1562000000000001</v>
      </c>
      <c r="B343">
        <v>0</v>
      </c>
      <c r="C343">
        <v>0</v>
      </c>
      <c r="D343">
        <v>1</v>
      </c>
      <c r="E343">
        <v>4.7854999999999999</v>
      </c>
      <c r="F343">
        <v>0</v>
      </c>
    </row>
    <row r="344" spans="1:6">
      <c r="A344">
        <v>5.4443999999999999</v>
      </c>
      <c r="B344">
        <v>0</v>
      </c>
      <c r="C344">
        <v>0</v>
      </c>
      <c r="D344">
        <v>1</v>
      </c>
      <c r="E344">
        <v>5.1797000000000004</v>
      </c>
      <c r="F344">
        <v>1E-4</v>
      </c>
    </row>
    <row r="345" spans="1:6">
      <c r="A345">
        <v>5.7327000000000004</v>
      </c>
      <c r="B345">
        <v>0</v>
      </c>
      <c r="C345">
        <v>0</v>
      </c>
      <c r="D345">
        <v>0</v>
      </c>
      <c r="E345">
        <v>5.5738000000000003</v>
      </c>
      <c r="F345">
        <v>3.7000000000000002E-3</v>
      </c>
    </row>
    <row r="346" spans="1:6">
      <c r="A346">
        <v>6.0209000000000001</v>
      </c>
      <c r="B346">
        <v>0</v>
      </c>
      <c r="C346">
        <v>0</v>
      </c>
      <c r="D346">
        <v>2</v>
      </c>
      <c r="E346">
        <v>5.9679000000000002</v>
      </c>
      <c r="F346">
        <v>6.5699999999999995E-2</v>
      </c>
    </row>
    <row r="347" spans="1:6">
      <c r="A347">
        <v>6.3090999999999999</v>
      </c>
      <c r="B347">
        <v>0</v>
      </c>
      <c r="C347">
        <v>0</v>
      </c>
      <c r="D347">
        <v>4</v>
      </c>
      <c r="E347">
        <v>6.3620999999999999</v>
      </c>
      <c r="F347">
        <v>0.71350000000000002</v>
      </c>
    </row>
    <row r="348" spans="1:6">
      <c r="A348">
        <v>6.5972999999999997</v>
      </c>
      <c r="B348">
        <v>0</v>
      </c>
      <c r="C348">
        <v>9</v>
      </c>
      <c r="D348">
        <v>0</v>
      </c>
      <c r="E348">
        <v>6.7561999999999998</v>
      </c>
      <c r="F348">
        <v>4.6944999999999997</v>
      </c>
    </row>
    <row r="349" spans="1:6">
      <c r="A349">
        <v>6.8856000000000002</v>
      </c>
      <c r="B349">
        <v>0</v>
      </c>
      <c r="C349">
        <v>16</v>
      </c>
      <c r="D349">
        <v>0</v>
      </c>
      <c r="E349">
        <v>7.1502999999999997</v>
      </c>
      <c r="F349">
        <v>18.708300000000001</v>
      </c>
    </row>
    <row r="350" spans="1:6">
      <c r="A350">
        <v>7.1738</v>
      </c>
      <c r="B350">
        <v>19</v>
      </c>
      <c r="C350">
        <v>0</v>
      </c>
      <c r="D350">
        <v>0</v>
      </c>
      <c r="E350">
        <v>7.5445000000000002</v>
      </c>
      <c r="F350">
        <v>45.159300000000002</v>
      </c>
    </row>
    <row r="351" spans="1:6">
      <c r="A351">
        <v>7.4619999999999997</v>
      </c>
      <c r="B351">
        <v>21</v>
      </c>
      <c r="C351">
        <v>0</v>
      </c>
      <c r="D351">
        <v>0</v>
      </c>
      <c r="E351">
        <v>7.9386000000000001</v>
      </c>
      <c r="F351">
        <v>66.027299999999997</v>
      </c>
    </row>
    <row r="352" spans="1:6">
      <c r="A352">
        <v>7.7502000000000004</v>
      </c>
      <c r="B352">
        <v>48</v>
      </c>
      <c r="C352">
        <v>0</v>
      </c>
      <c r="D352">
        <v>0</v>
      </c>
      <c r="E352">
        <v>8.3327000000000009</v>
      </c>
      <c r="F352">
        <v>58.473999999999997</v>
      </c>
    </row>
    <row r="353" spans="1:6">
      <c r="A353">
        <v>8.0383999999999993</v>
      </c>
      <c r="B353">
        <v>64</v>
      </c>
      <c r="C353">
        <v>0</v>
      </c>
      <c r="D353">
        <v>0</v>
      </c>
      <c r="E353">
        <v>8.7268000000000008</v>
      </c>
      <c r="F353">
        <v>31.366499999999998</v>
      </c>
    </row>
    <row r="354" spans="1:6">
      <c r="A354">
        <v>8.3267000000000007</v>
      </c>
      <c r="B354">
        <v>73</v>
      </c>
      <c r="C354">
        <v>0</v>
      </c>
      <c r="D354">
        <v>0</v>
      </c>
      <c r="E354">
        <v>9.1210000000000004</v>
      </c>
      <c r="F354">
        <v>10.1914</v>
      </c>
    </row>
    <row r="355" spans="1:6">
      <c r="A355">
        <v>8.6149000000000004</v>
      </c>
      <c r="B355">
        <v>37</v>
      </c>
      <c r="C355">
        <v>0</v>
      </c>
      <c r="D355">
        <v>0</v>
      </c>
      <c r="E355">
        <v>9.5151000000000003</v>
      </c>
      <c r="F355">
        <v>2.0057</v>
      </c>
    </row>
    <row r="356" spans="1:6">
      <c r="A356">
        <v>8.9031000000000002</v>
      </c>
      <c r="B356">
        <v>15</v>
      </c>
      <c r="C356">
        <v>0</v>
      </c>
      <c r="D356">
        <v>0</v>
      </c>
      <c r="E356">
        <v>9.9092000000000002</v>
      </c>
      <c r="F356">
        <v>0.23910000000000001</v>
      </c>
    </row>
    <row r="357" spans="1:6">
      <c r="A357">
        <v>9.1913</v>
      </c>
      <c r="B357">
        <v>0</v>
      </c>
      <c r="C357">
        <v>2</v>
      </c>
      <c r="D357">
        <v>0</v>
      </c>
      <c r="E357">
        <v>10.3034</v>
      </c>
      <c r="F357">
        <v>1.7299999999999999E-2</v>
      </c>
    </row>
    <row r="358" spans="1:6">
      <c r="A358">
        <v>9.4794999999999998</v>
      </c>
      <c r="B358">
        <v>0</v>
      </c>
      <c r="C358">
        <v>2</v>
      </c>
      <c r="D358">
        <v>0</v>
      </c>
      <c r="E358">
        <v>10.6975</v>
      </c>
      <c r="F358">
        <v>8.0000000000000004E-4</v>
      </c>
    </row>
    <row r="359" spans="1:6">
      <c r="A359">
        <v>9.7677999999999994</v>
      </c>
      <c r="B359">
        <v>0</v>
      </c>
      <c r="C359">
        <v>0</v>
      </c>
      <c r="D359">
        <v>0</v>
      </c>
      <c r="E359">
        <v>11.0916</v>
      </c>
      <c r="F359">
        <v>0</v>
      </c>
    </row>
    <row r="360" spans="1:6">
      <c r="A360">
        <v>10.055999999999999</v>
      </c>
      <c r="B360">
        <v>0</v>
      </c>
      <c r="C360">
        <v>0</v>
      </c>
      <c r="D360">
        <v>0</v>
      </c>
      <c r="E360">
        <v>11.485799999999999</v>
      </c>
      <c r="F360">
        <v>0</v>
      </c>
    </row>
    <row r="361" spans="1:6">
      <c r="A361">
        <v>10.344200000000001</v>
      </c>
      <c r="B361">
        <v>0</v>
      </c>
      <c r="C361">
        <v>0</v>
      </c>
      <c r="D361">
        <v>1</v>
      </c>
      <c r="E361">
        <v>11.879899999999999</v>
      </c>
      <c r="F361">
        <v>0</v>
      </c>
    </row>
    <row r="364" spans="1:6">
      <c r="A364" t="s">
        <v>608</v>
      </c>
      <c r="B364" t="s">
        <v>593</v>
      </c>
      <c r="C364" t="s">
        <v>594</v>
      </c>
      <c r="D364" t="s">
        <v>595</v>
      </c>
      <c r="E364" t="s">
        <v>596</v>
      </c>
      <c r="F364" t="s">
        <v>597</v>
      </c>
    </row>
    <row r="365" spans="1:6">
      <c r="A365">
        <v>2.0076000000000001</v>
      </c>
      <c r="B365">
        <v>0</v>
      </c>
      <c r="C365">
        <v>0</v>
      </c>
      <c r="D365">
        <v>3</v>
      </c>
      <c r="E365">
        <v>0.88060000000000005</v>
      </c>
      <c r="F365">
        <v>0</v>
      </c>
    </row>
    <row r="366" spans="1:6">
      <c r="A366">
        <v>2.2625999999999999</v>
      </c>
      <c r="B366">
        <v>0</v>
      </c>
      <c r="C366">
        <v>0</v>
      </c>
      <c r="D366">
        <v>1</v>
      </c>
      <c r="E366">
        <v>1.2133</v>
      </c>
      <c r="F366">
        <v>0</v>
      </c>
    </row>
    <row r="367" spans="1:6">
      <c r="A367">
        <v>2.5175999999999998</v>
      </c>
      <c r="B367">
        <v>0</v>
      </c>
      <c r="C367">
        <v>0</v>
      </c>
      <c r="D367">
        <v>0</v>
      </c>
      <c r="E367">
        <v>1.546</v>
      </c>
      <c r="F367">
        <v>0</v>
      </c>
    </row>
    <row r="368" spans="1:6">
      <c r="A368">
        <v>2.7726000000000002</v>
      </c>
      <c r="B368">
        <v>0</v>
      </c>
      <c r="C368">
        <v>0</v>
      </c>
      <c r="D368">
        <v>0</v>
      </c>
      <c r="E368">
        <v>1.8788</v>
      </c>
      <c r="F368">
        <v>0</v>
      </c>
    </row>
    <row r="369" spans="1:6">
      <c r="A369">
        <v>3.0276000000000001</v>
      </c>
      <c r="B369">
        <v>0</v>
      </c>
      <c r="C369">
        <v>0</v>
      </c>
      <c r="D369">
        <v>0</v>
      </c>
      <c r="E369">
        <v>2.2115</v>
      </c>
      <c r="F369">
        <v>0</v>
      </c>
    </row>
    <row r="370" spans="1:6">
      <c r="A370">
        <v>3.2826</v>
      </c>
      <c r="B370">
        <v>0</v>
      </c>
      <c r="C370">
        <v>0</v>
      </c>
      <c r="D370">
        <v>1</v>
      </c>
      <c r="E370">
        <v>2.5442</v>
      </c>
      <c r="F370">
        <v>0</v>
      </c>
    </row>
    <row r="371" spans="1:6">
      <c r="A371">
        <v>3.5375999999999999</v>
      </c>
      <c r="B371">
        <v>0</v>
      </c>
      <c r="C371">
        <v>0</v>
      </c>
      <c r="D371">
        <v>1</v>
      </c>
      <c r="E371">
        <v>2.8769</v>
      </c>
      <c r="F371">
        <v>0</v>
      </c>
    </row>
    <row r="372" spans="1:6">
      <c r="A372">
        <v>3.7926000000000002</v>
      </c>
      <c r="B372">
        <v>0</v>
      </c>
      <c r="C372">
        <v>0</v>
      </c>
      <c r="D372">
        <v>0</v>
      </c>
      <c r="E372">
        <v>3.2096</v>
      </c>
      <c r="F372">
        <v>0</v>
      </c>
    </row>
    <row r="373" spans="1:6">
      <c r="A373">
        <v>4.0475000000000003</v>
      </c>
      <c r="B373">
        <v>0</v>
      </c>
      <c r="C373">
        <v>0</v>
      </c>
      <c r="D373">
        <v>0</v>
      </c>
      <c r="E373">
        <v>3.5423</v>
      </c>
      <c r="F373">
        <v>0</v>
      </c>
    </row>
    <row r="374" spans="1:6">
      <c r="A374">
        <v>4.3025000000000002</v>
      </c>
      <c r="B374">
        <v>0</v>
      </c>
      <c r="C374">
        <v>0</v>
      </c>
      <c r="D374">
        <v>0</v>
      </c>
      <c r="E374">
        <v>3.8751000000000002</v>
      </c>
      <c r="F374">
        <v>0</v>
      </c>
    </row>
    <row r="375" spans="1:6">
      <c r="A375">
        <v>4.5575000000000001</v>
      </c>
      <c r="B375">
        <v>0</v>
      </c>
      <c r="C375">
        <v>0</v>
      </c>
      <c r="D375">
        <v>1</v>
      </c>
      <c r="E375">
        <v>4.2077999999999998</v>
      </c>
      <c r="F375">
        <v>0</v>
      </c>
    </row>
    <row r="376" spans="1:6">
      <c r="A376">
        <v>4.8125</v>
      </c>
      <c r="B376">
        <v>0</v>
      </c>
      <c r="C376">
        <v>0</v>
      </c>
      <c r="D376">
        <v>1</v>
      </c>
      <c r="E376">
        <v>4.5404999999999998</v>
      </c>
      <c r="F376">
        <v>0</v>
      </c>
    </row>
    <row r="377" spans="1:6">
      <c r="A377">
        <v>5.0674999999999999</v>
      </c>
      <c r="B377">
        <v>0</v>
      </c>
      <c r="C377">
        <v>0</v>
      </c>
      <c r="D377">
        <v>3</v>
      </c>
      <c r="E377">
        <v>4.8731999999999998</v>
      </c>
      <c r="F377">
        <v>0</v>
      </c>
    </row>
    <row r="378" spans="1:6">
      <c r="A378">
        <v>5.3224999999999998</v>
      </c>
      <c r="B378">
        <v>0</v>
      </c>
      <c r="C378">
        <v>0</v>
      </c>
      <c r="D378">
        <v>1</v>
      </c>
      <c r="E378">
        <v>5.2058999999999997</v>
      </c>
      <c r="F378">
        <v>0</v>
      </c>
    </row>
    <row r="379" spans="1:6">
      <c r="A379">
        <v>5.5774999999999997</v>
      </c>
      <c r="B379">
        <v>0</v>
      </c>
      <c r="C379">
        <v>0</v>
      </c>
      <c r="D379">
        <v>0</v>
      </c>
      <c r="E379">
        <v>5.5385999999999997</v>
      </c>
      <c r="F379">
        <v>0</v>
      </c>
    </row>
    <row r="380" spans="1:6">
      <c r="A380">
        <v>5.8324999999999996</v>
      </c>
      <c r="B380">
        <v>0</v>
      </c>
      <c r="C380">
        <v>0</v>
      </c>
      <c r="D380">
        <v>0</v>
      </c>
      <c r="E380">
        <v>5.8714000000000004</v>
      </c>
      <c r="F380">
        <v>2.0000000000000001E-4</v>
      </c>
    </row>
    <row r="381" spans="1:6">
      <c r="A381">
        <v>6.0875000000000004</v>
      </c>
      <c r="B381">
        <v>0</v>
      </c>
      <c r="C381">
        <v>0</v>
      </c>
      <c r="D381">
        <v>4</v>
      </c>
      <c r="E381">
        <v>6.2041000000000004</v>
      </c>
      <c r="F381">
        <v>8.6E-3</v>
      </c>
    </row>
    <row r="382" spans="1:6">
      <c r="A382">
        <v>6.3425000000000002</v>
      </c>
      <c r="B382">
        <v>0</v>
      </c>
      <c r="C382">
        <v>0</v>
      </c>
      <c r="D382">
        <v>1</v>
      </c>
      <c r="E382">
        <v>6.5368000000000004</v>
      </c>
      <c r="F382">
        <v>0.2147</v>
      </c>
    </row>
    <row r="383" spans="1:6">
      <c r="A383">
        <v>6.5975000000000001</v>
      </c>
      <c r="B383">
        <v>0</v>
      </c>
      <c r="C383">
        <v>0</v>
      </c>
      <c r="D383">
        <v>9</v>
      </c>
      <c r="E383">
        <v>6.8695000000000004</v>
      </c>
      <c r="F383">
        <v>2.6768999999999998</v>
      </c>
    </row>
    <row r="384" spans="1:6">
      <c r="A384">
        <v>6.8525</v>
      </c>
      <c r="B384">
        <v>0</v>
      </c>
      <c r="C384">
        <v>6</v>
      </c>
      <c r="D384">
        <v>0</v>
      </c>
      <c r="E384">
        <v>7.2022000000000004</v>
      </c>
      <c r="F384">
        <v>16.697900000000001</v>
      </c>
    </row>
    <row r="385" spans="1:6">
      <c r="A385">
        <v>7.1074999999999999</v>
      </c>
      <c r="B385">
        <v>0</v>
      </c>
      <c r="C385">
        <v>9</v>
      </c>
      <c r="D385">
        <v>0</v>
      </c>
      <c r="E385">
        <v>7.5349000000000004</v>
      </c>
      <c r="F385">
        <v>52.108800000000002</v>
      </c>
    </row>
    <row r="386" spans="1:6">
      <c r="A386">
        <v>7.3624999999999998</v>
      </c>
      <c r="B386">
        <v>21</v>
      </c>
      <c r="C386">
        <v>0</v>
      </c>
      <c r="D386">
        <v>0</v>
      </c>
      <c r="E386">
        <v>7.8677000000000001</v>
      </c>
      <c r="F386">
        <v>81.352999999999994</v>
      </c>
    </row>
    <row r="387" spans="1:6">
      <c r="A387">
        <v>7.6173999999999999</v>
      </c>
      <c r="B387">
        <v>43</v>
      </c>
      <c r="C387">
        <v>0</v>
      </c>
      <c r="D387">
        <v>0</v>
      </c>
      <c r="E387">
        <v>8.2004000000000001</v>
      </c>
      <c r="F387">
        <v>63.540399999999998</v>
      </c>
    </row>
    <row r="388" spans="1:6">
      <c r="A388">
        <v>7.8723999999999998</v>
      </c>
      <c r="B388">
        <v>69</v>
      </c>
      <c r="C388">
        <v>0</v>
      </c>
      <c r="D388">
        <v>0</v>
      </c>
      <c r="E388">
        <v>8.5330999999999992</v>
      </c>
      <c r="F388">
        <v>24.8279</v>
      </c>
    </row>
    <row r="389" spans="1:6">
      <c r="A389">
        <v>8.1273999999999997</v>
      </c>
      <c r="B389">
        <v>88</v>
      </c>
      <c r="C389">
        <v>0</v>
      </c>
      <c r="D389">
        <v>0</v>
      </c>
      <c r="E389">
        <v>8.8658000000000001</v>
      </c>
      <c r="F389">
        <v>4.8533999999999997</v>
      </c>
    </row>
    <row r="390" spans="1:6">
      <c r="A390">
        <v>8.3824000000000005</v>
      </c>
      <c r="B390">
        <v>45</v>
      </c>
      <c r="C390">
        <v>0</v>
      </c>
      <c r="D390">
        <v>0</v>
      </c>
      <c r="E390">
        <v>9.1984999999999992</v>
      </c>
      <c r="F390">
        <v>0.47460000000000002</v>
      </c>
    </row>
    <row r="391" spans="1:6">
      <c r="A391">
        <v>8.6373999999999995</v>
      </c>
      <c r="B391">
        <v>10</v>
      </c>
      <c r="C391">
        <v>0</v>
      </c>
      <c r="D391">
        <v>0</v>
      </c>
      <c r="E391">
        <v>9.5312000000000001</v>
      </c>
      <c r="F391">
        <v>2.3199999999999998E-2</v>
      </c>
    </row>
    <row r="392" spans="1:6">
      <c r="A392">
        <v>8.8924000000000003</v>
      </c>
      <c r="B392">
        <v>0</v>
      </c>
      <c r="C392">
        <v>3</v>
      </c>
      <c r="D392">
        <v>0</v>
      </c>
      <c r="E392">
        <v>9.8640000000000008</v>
      </c>
      <c r="F392">
        <v>5.9999999999999995E-4</v>
      </c>
    </row>
    <row r="393" spans="1:6">
      <c r="A393">
        <v>9.1473999999999993</v>
      </c>
      <c r="B393">
        <v>0</v>
      </c>
      <c r="C393">
        <v>0</v>
      </c>
      <c r="D393">
        <v>1</v>
      </c>
      <c r="E393">
        <v>10.1967</v>
      </c>
      <c r="F393">
        <v>0</v>
      </c>
    </row>
    <row r="394" spans="1:6">
      <c r="A394">
        <v>9.4024000000000001</v>
      </c>
      <c r="B394">
        <v>0</v>
      </c>
      <c r="C394">
        <v>0</v>
      </c>
      <c r="D394">
        <v>1</v>
      </c>
      <c r="E394">
        <v>10.529400000000001</v>
      </c>
      <c r="F394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Views>
    <sheetView showGridLines="0" workbookViewId="0"/>
  </sheetViews>
  <sheetFormatPr defaultRowHeight="14.4"/>
  <sheetData>
    <row r="1" spans="1:6">
      <c r="A1" t="s">
        <v>609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</row>
    <row r="2" spans="1:6">
      <c r="A2">
        <v>69.441800000000001</v>
      </c>
      <c r="B2">
        <v>0</v>
      </c>
      <c r="C2">
        <v>0</v>
      </c>
      <c r="D2">
        <v>2</v>
      </c>
      <c r="E2">
        <v>55.442100000000003</v>
      </c>
      <c r="F2">
        <v>0</v>
      </c>
    </row>
    <row r="3" spans="1:6">
      <c r="A3">
        <v>72.511300000000006</v>
      </c>
      <c r="B3">
        <v>0</v>
      </c>
      <c r="C3">
        <v>0</v>
      </c>
      <c r="D3">
        <v>3</v>
      </c>
      <c r="E3">
        <v>59.477200000000003</v>
      </c>
      <c r="F3">
        <v>0</v>
      </c>
    </row>
    <row r="4" spans="1:6">
      <c r="A4">
        <v>75.5809</v>
      </c>
      <c r="B4">
        <v>0</v>
      </c>
      <c r="C4">
        <v>0</v>
      </c>
      <c r="D4">
        <v>1</v>
      </c>
      <c r="E4">
        <v>63.5122</v>
      </c>
      <c r="F4">
        <v>0</v>
      </c>
    </row>
    <row r="5" spans="1:6">
      <c r="A5">
        <v>78.650400000000005</v>
      </c>
      <c r="B5">
        <v>0</v>
      </c>
      <c r="C5">
        <v>0</v>
      </c>
      <c r="D5">
        <v>1</v>
      </c>
      <c r="E5">
        <v>67.547200000000004</v>
      </c>
      <c r="F5">
        <v>0</v>
      </c>
    </row>
    <row r="6" spans="1:6">
      <c r="A6">
        <v>81.719899999999996</v>
      </c>
      <c r="B6">
        <v>0</v>
      </c>
      <c r="C6">
        <v>0</v>
      </c>
      <c r="D6">
        <v>3</v>
      </c>
      <c r="E6">
        <v>71.5822</v>
      </c>
      <c r="F6">
        <v>0</v>
      </c>
    </row>
    <row r="7" spans="1:6">
      <c r="A7">
        <v>84.789400000000001</v>
      </c>
      <c r="B7">
        <v>0</v>
      </c>
      <c r="C7">
        <v>0</v>
      </c>
      <c r="D7">
        <v>2</v>
      </c>
      <c r="E7">
        <v>75.6173</v>
      </c>
      <c r="F7">
        <v>0</v>
      </c>
    </row>
    <row r="8" spans="1:6">
      <c r="A8">
        <v>87.858999999999995</v>
      </c>
      <c r="B8">
        <v>0</v>
      </c>
      <c r="C8">
        <v>0</v>
      </c>
      <c r="D8">
        <v>2</v>
      </c>
      <c r="E8">
        <v>79.652299999999997</v>
      </c>
      <c r="F8">
        <v>0</v>
      </c>
    </row>
    <row r="9" spans="1:6">
      <c r="A9">
        <v>90.9285</v>
      </c>
      <c r="B9">
        <v>0</v>
      </c>
      <c r="C9">
        <v>0</v>
      </c>
      <c r="D9">
        <v>3</v>
      </c>
      <c r="E9">
        <v>83.687299999999993</v>
      </c>
      <c r="F9">
        <v>0</v>
      </c>
    </row>
    <row r="10" spans="1:6">
      <c r="A10">
        <v>93.998000000000005</v>
      </c>
      <c r="B10">
        <v>0</v>
      </c>
      <c r="C10">
        <v>0</v>
      </c>
      <c r="D10">
        <v>4</v>
      </c>
      <c r="E10">
        <v>87.722300000000004</v>
      </c>
      <c r="F10">
        <v>5.0000000000000001E-4</v>
      </c>
    </row>
    <row r="11" spans="1:6">
      <c r="A11">
        <v>97.067599999999999</v>
      </c>
      <c r="B11">
        <v>0</v>
      </c>
      <c r="C11">
        <v>0</v>
      </c>
      <c r="D11">
        <v>7</v>
      </c>
      <c r="E11">
        <v>91.757400000000004</v>
      </c>
      <c r="F11">
        <v>2.0199999999999999E-2</v>
      </c>
    </row>
    <row r="12" spans="1:6">
      <c r="A12">
        <v>100.1371</v>
      </c>
      <c r="B12">
        <v>0</v>
      </c>
      <c r="C12">
        <v>10</v>
      </c>
      <c r="D12">
        <v>0</v>
      </c>
      <c r="E12">
        <v>95.792400000000001</v>
      </c>
      <c r="F12">
        <v>0.4259</v>
      </c>
    </row>
    <row r="13" spans="1:6">
      <c r="A13">
        <v>103.20659999999999</v>
      </c>
      <c r="B13">
        <v>25</v>
      </c>
      <c r="C13">
        <v>0</v>
      </c>
      <c r="D13">
        <v>0</v>
      </c>
      <c r="E13">
        <v>99.827399999999997</v>
      </c>
      <c r="F13">
        <v>4.6688000000000001</v>
      </c>
    </row>
    <row r="14" spans="1:6">
      <c r="A14">
        <v>106.2762</v>
      </c>
      <c r="B14">
        <v>48</v>
      </c>
      <c r="C14">
        <v>0</v>
      </c>
      <c r="D14">
        <v>0</v>
      </c>
      <c r="E14">
        <v>103.86239999999999</v>
      </c>
      <c r="F14">
        <v>26.586300000000001</v>
      </c>
    </row>
    <row r="15" spans="1:6">
      <c r="A15">
        <v>109.34569999999999</v>
      </c>
      <c r="B15">
        <v>68</v>
      </c>
      <c r="C15">
        <v>0</v>
      </c>
      <c r="D15">
        <v>0</v>
      </c>
      <c r="E15">
        <v>107.89749999999999</v>
      </c>
      <c r="F15">
        <v>78.645300000000006</v>
      </c>
    </row>
    <row r="16" spans="1:6">
      <c r="A16">
        <v>112.4152</v>
      </c>
      <c r="B16">
        <v>139</v>
      </c>
      <c r="C16">
        <v>0</v>
      </c>
      <c r="D16">
        <v>0</v>
      </c>
      <c r="E16">
        <v>111.9325</v>
      </c>
      <c r="F16">
        <v>120.8524</v>
      </c>
    </row>
    <row r="17" spans="1:6">
      <c r="A17">
        <v>115.48480000000001</v>
      </c>
      <c r="B17">
        <v>95</v>
      </c>
      <c r="C17">
        <v>0</v>
      </c>
      <c r="D17">
        <v>0</v>
      </c>
      <c r="E17">
        <v>115.9675</v>
      </c>
      <c r="F17">
        <v>96.472800000000007</v>
      </c>
    </row>
    <row r="18" spans="1:6">
      <c r="A18">
        <v>118.5543</v>
      </c>
      <c r="B18">
        <v>54</v>
      </c>
      <c r="C18">
        <v>0</v>
      </c>
      <c r="D18">
        <v>0</v>
      </c>
      <c r="E18">
        <v>120.0025</v>
      </c>
      <c r="F18">
        <v>40.005600000000001</v>
      </c>
    </row>
    <row r="19" spans="1:6">
      <c r="A19">
        <v>121.6238</v>
      </c>
      <c r="B19">
        <v>16</v>
      </c>
      <c r="C19">
        <v>0</v>
      </c>
      <c r="D19">
        <v>0</v>
      </c>
      <c r="E19">
        <v>124.0376</v>
      </c>
      <c r="F19">
        <v>8.6180000000000003</v>
      </c>
    </row>
    <row r="20" spans="1:6">
      <c r="A20">
        <v>124.6934</v>
      </c>
      <c r="B20">
        <v>0</v>
      </c>
      <c r="C20">
        <v>5</v>
      </c>
      <c r="D20">
        <v>0</v>
      </c>
      <c r="E20">
        <v>128.07259999999999</v>
      </c>
      <c r="F20">
        <v>0.96440000000000003</v>
      </c>
    </row>
    <row r="21" spans="1:6">
      <c r="A21">
        <v>127.7629</v>
      </c>
      <c r="B21">
        <v>0</v>
      </c>
      <c r="C21">
        <v>0</v>
      </c>
      <c r="D21">
        <v>2</v>
      </c>
      <c r="E21">
        <v>132.10759999999999</v>
      </c>
      <c r="F21">
        <v>5.6099999999999997E-2</v>
      </c>
    </row>
    <row r="22" spans="1:6">
      <c r="A22">
        <v>130.83240000000001</v>
      </c>
      <c r="B22">
        <v>0</v>
      </c>
      <c r="C22">
        <v>0</v>
      </c>
      <c r="D22">
        <v>0</v>
      </c>
      <c r="E22">
        <v>136.14259999999999</v>
      </c>
      <c r="F22">
        <v>1.6999999999999999E-3</v>
      </c>
    </row>
    <row r="23" spans="1:6">
      <c r="A23">
        <v>133.90199999999999</v>
      </c>
      <c r="B23">
        <v>0</v>
      </c>
      <c r="C23">
        <v>0</v>
      </c>
      <c r="D23">
        <v>0</v>
      </c>
      <c r="E23">
        <v>140.17769999999999</v>
      </c>
      <c r="F23">
        <v>0</v>
      </c>
    </row>
    <row r="24" spans="1:6">
      <c r="A24">
        <v>136.97149999999999</v>
      </c>
      <c r="B24">
        <v>0</v>
      </c>
      <c r="C24">
        <v>0</v>
      </c>
      <c r="D24">
        <v>1</v>
      </c>
      <c r="E24">
        <v>144.21270000000001</v>
      </c>
      <c r="F24">
        <v>0</v>
      </c>
    </row>
    <row r="25" spans="1:6">
      <c r="A25">
        <v>140.041</v>
      </c>
      <c r="B25">
        <v>0</v>
      </c>
      <c r="C25">
        <v>0</v>
      </c>
      <c r="D25">
        <v>1</v>
      </c>
      <c r="E25">
        <v>148.24770000000001</v>
      </c>
      <c r="F25">
        <v>0</v>
      </c>
    </row>
    <row r="26" spans="1:6">
      <c r="A26">
        <v>143.11060000000001</v>
      </c>
      <c r="B26">
        <v>0</v>
      </c>
      <c r="C26">
        <v>0</v>
      </c>
      <c r="D26">
        <v>1</v>
      </c>
      <c r="E26">
        <v>152.28270000000001</v>
      </c>
      <c r="F26">
        <v>0</v>
      </c>
    </row>
    <row r="27" spans="1:6">
      <c r="A27">
        <v>146.18010000000001</v>
      </c>
      <c r="B27">
        <v>0</v>
      </c>
      <c r="C27">
        <v>0</v>
      </c>
      <c r="D27">
        <v>0</v>
      </c>
      <c r="E27">
        <v>156.31780000000001</v>
      </c>
      <c r="F27">
        <v>0</v>
      </c>
    </row>
    <row r="28" spans="1:6">
      <c r="A28">
        <v>149.24959999999999</v>
      </c>
      <c r="B28">
        <v>0</v>
      </c>
      <c r="C28">
        <v>0</v>
      </c>
      <c r="D28">
        <v>1</v>
      </c>
      <c r="E28">
        <v>160.3528</v>
      </c>
      <c r="F28">
        <v>0</v>
      </c>
    </row>
    <row r="29" spans="1:6">
      <c r="A29">
        <v>152.31909999999999</v>
      </c>
      <c r="B29">
        <v>0</v>
      </c>
      <c r="C29">
        <v>0</v>
      </c>
      <c r="D29">
        <v>0</v>
      </c>
      <c r="E29">
        <v>164.3878</v>
      </c>
      <c r="F29">
        <v>0</v>
      </c>
    </row>
    <row r="30" spans="1:6">
      <c r="A30">
        <v>155.3887</v>
      </c>
      <c r="B30">
        <v>0</v>
      </c>
      <c r="C30">
        <v>0</v>
      </c>
      <c r="D30">
        <v>1</v>
      </c>
      <c r="E30">
        <v>168.4228</v>
      </c>
      <c r="F30">
        <v>0</v>
      </c>
    </row>
    <row r="31" spans="1:6">
      <c r="A31">
        <v>158.45820000000001</v>
      </c>
      <c r="B31">
        <v>0</v>
      </c>
      <c r="C31">
        <v>0</v>
      </c>
      <c r="D31">
        <v>1</v>
      </c>
      <c r="E31">
        <v>172.4579</v>
      </c>
      <c r="F31">
        <v>0</v>
      </c>
    </row>
    <row r="34" spans="1:6">
      <c r="A34" t="s">
        <v>610</v>
      </c>
      <c r="B34" t="s">
        <v>593</v>
      </c>
      <c r="C34" t="s">
        <v>594</v>
      </c>
      <c r="D34" t="s">
        <v>595</v>
      </c>
      <c r="E34" t="s">
        <v>596</v>
      </c>
      <c r="F34" t="s">
        <v>597</v>
      </c>
    </row>
    <row r="35" spans="1:6">
      <c r="A35">
        <v>54.336199999999998</v>
      </c>
      <c r="B35">
        <v>0</v>
      </c>
      <c r="C35">
        <v>0</v>
      </c>
      <c r="D35">
        <v>1</v>
      </c>
      <c r="E35">
        <v>45.534999999999997</v>
      </c>
      <c r="F35">
        <v>0</v>
      </c>
    </row>
    <row r="36" spans="1:6">
      <c r="A36">
        <v>57.830199999999998</v>
      </c>
      <c r="B36">
        <v>0</v>
      </c>
      <c r="C36">
        <v>0</v>
      </c>
      <c r="D36">
        <v>0</v>
      </c>
      <c r="E36">
        <v>49.636000000000003</v>
      </c>
      <c r="F36">
        <v>0</v>
      </c>
    </row>
    <row r="37" spans="1:6">
      <c r="A37">
        <v>61.324300000000001</v>
      </c>
      <c r="B37">
        <v>0</v>
      </c>
      <c r="C37">
        <v>0</v>
      </c>
      <c r="D37">
        <v>1</v>
      </c>
      <c r="E37">
        <v>53.737000000000002</v>
      </c>
      <c r="F37">
        <v>0</v>
      </c>
    </row>
    <row r="38" spans="1:6">
      <c r="A38">
        <v>64.818399999999997</v>
      </c>
      <c r="B38">
        <v>0</v>
      </c>
      <c r="C38">
        <v>0</v>
      </c>
      <c r="D38">
        <v>1</v>
      </c>
      <c r="E38">
        <v>57.838099999999997</v>
      </c>
      <c r="F38">
        <v>0</v>
      </c>
    </row>
    <row r="39" spans="1:6">
      <c r="A39">
        <v>68.312399999999997</v>
      </c>
      <c r="B39">
        <v>0</v>
      </c>
      <c r="C39">
        <v>0</v>
      </c>
      <c r="D39">
        <v>8</v>
      </c>
      <c r="E39">
        <v>61.939100000000003</v>
      </c>
      <c r="F39">
        <v>0</v>
      </c>
    </row>
    <row r="40" spans="1:6">
      <c r="A40">
        <v>71.8065</v>
      </c>
      <c r="B40">
        <v>0</v>
      </c>
      <c r="C40">
        <v>0</v>
      </c>
      <c r="D40">
        <v>16</v>
      </c>
      <c r="E40">
        <v>66.040099999999995</v>
      </c>
      <c r="F40">
        <v>2.9999999999999997E-4</v>
      </c>
    </row>
    <row r="41" spans="1:6">
      <c r="A41">
        <v>75.3005</v>
      </c>
      <c r="B41">
        <v>67</v>
      </c>
      <c r="C41">
        <v>0</v>
      </c>
      <c r="D41">
        <v>0</v>
      </c>
      <c r="E41">
        <v>70.141199999999998</v>
      </c>
      <c r="F41">
        <v>0.21709999999999999</v>
      </c>
    </row>
    <row r="42" spans="1:6">
      <c r="A42">
        <v>78.794600000000003</v>
      </c>
      <c r="B42">
        <v>160</v>
      </c>
      <c r="C42">
        <v>0</v>
      </c>
      <c r="D42">
        <v>0</v>
      </c>
      <c r="E42">
        <v>74.242199999999997</v>
      </c>
      <c r="F42">
        <v>17.561399999999999</v>
      </c>
    </row>
    <row r="43" spans="1:6">
      <c r="A43">
        <v>82.288600000000002</v>
      </c>
      <c r="B43">
        <v>174</v>
      </c>
      <c r="C43">
        <v>0</v>
      </c>
      <c r="D43">
        <v>0</v>
      </c>
      <c r="E43">
        <v>78.343299999999999</v>
      </c>
      <c r="F43">
        <v>171.81780000000001</v>
      </c>
    </row>
    <row r="44" spans="1:6">
      <c r="A44">
        <v>85.782700000000006</v>
      </c>
      <c r="B44">
        <v>59</v>
      </c>
      <c r="C44">
        <v>0</v>
      </c>
      <c r="D44">
        <v>0</v>
      </c>
      <c r="E44">
        <v>82.444299999999998</v>
      </c>
      <c r="F44">
        <v>203.32159999999999</v>
      </c>
    </row>
    <row r="45" spans="1:6">
      <c r="A45">
        <v>89.276700000000005</v>
      </c>
      <c r="B45">
        <v>0</v>
      </c>
      <c r="C45">
        <v>0</v>
      </c>
      <c r="D45">
        <v>1</v>
      </c>
      <c r="E45">
        <v>86.545299999999997</v>
      </c>
      <c r="F45">
        <v>29.1008</v>
      </c>
    </row>
    <row r="46" spans="1:6">
      <c r="A46">
        <v>92.770799999999994</v>
      </c>
      <c r="B46">
        <v>0</v>
      </c>
      <c r="C46">
        <v>0</v>
      </c>
      <c r="D46">
        <v>0</v>
      </c>
      <c r="E46">
        <v>90.6464</v>
      </c>
      <c r="F46">
        <v>0.50380000000000003</v>
      </c>
    </row>
    <row r="47" spans="1:6">
      <c r="A47">
        <v>96.264899999999997</v>
      </c>
      <c r="B47">
        <v>0</v>
      </c>
      <c r="C47">
        <v>0</v>
      </c>
      <c r="D47">
        <v>0</v>
      </c>
      <c r="E47">
        <v>94.747399999999999</v>
      </c>
      <c r="F47">
        <v>1.1000000000000001E-3</v>
      </c>
    </row>
    <row r="48" spans="1:6">
      <c r="A48">
        <v>99.758899999999997</v>
      </c>
      <c r="B48">
        <v>0</v>
      </c>
      <c r="C48">
        <v>0</v>
      </c>
      <c r="D48">
        <v>0</v>
      </c>
      <c r="E48">
        <v>98.848399999999998</v>
      </c>
      <c r="F48">
        <v>0</v>
      </c>
    </row>
    <row r="49" spans="1:6">
      <c r="A49">
        <v>103.253</v>
      </c>
      <c r="B49">
        <v>0</v>
      </c>
      <c r="C49">
        <v>0</v>
      </c>
      <c r="D49">
        <v>0</v>
      </c>
      <c r="E49">
        <v>102.9495</v>
      </c>
      <c r="F49">
        <v>0</v>
      </c>
    </row>
    <row r="50" spans="1:6">
      <c r="A50">
        <v>106.747</v>
      </c>
      <c r="B50">
        <v>0</v>
      </c>
      <c r="C50">
        <v>0</v>
      </c>
      <c r="D50">
        <v>0</v>
      </c>
      <c r="E50">
        <v>107.0505</v>
      </c>
      <c r="F50">
        <v>0</v>
      </c>
    </row>
    <row r="51" spans="1:6">
      <c r="A51">
        <v>110.2411</v>
      </c>
      <c r="B51">
        <v>0</v>
      </c>
      <c r="C51">
        <v>0</v>
      </c>
      <c r="D51">
        <v>0</v>
      </c>
      <c r="E51">
        <v>111.1516</v>
      </c>
      <c r="F51">
        <v>0</v>
      </c>
    </row>
    <row r="52" spans="1:6">
      <c r="A52">
        <v>113.7351</v>
      </c>
      <c r="B52">
        <v>0</v>
      </c>
      <c r="C52">
        <v>0</v>
      </c>
      <c r="D52">
        <v>1</v>
      </c>
      <c r="E52">
        <v>115.2526</v>
      </c>
      <c r="F52">
        <v>0</v>
      </c>
    </row>
    <row r="53" spans="1:6">
      <c r="A53">
        <v>117.22920000000001</v>
      </c>
      <c r="B53">
        <v>0</v>
      </c>
      <c r="C53">
        <v>0</v>
      </c>
      <c r="D53">
        <v>0</v>
      </c>
      <c r="E53">
        <v>119.3536</v>
      </c>
      <c r="F53">
        <v>0</v>
      </c>
    </row>
    <row r="54" spans="1:6">
      <c r="A54">
        <v>120.72329999999999</v>
      </c>
      <c r="B54">
        <v>0</v>
      </c>
      <c r="C54">
        <v>0</v>
      </c>
      <c r="D54">
        <v>0</v>
      </c>
      <c r="E54">
        <v>123.4547</v>
      </c>
      <c r="F54">
        <v>0</v>
      </c>
    </row>
    <row r="55" spans="1:6">
      <c r="A55">
        <v>124.21729999999999</v>
      </c>
      <c r="B55">
        <v>0</v>
      </c>
      <c r="C55">
        <v>0</v>
      </c>
      <c r="D55">
        <v>1</v>
      </c>
      <c r="E55">
        <v>127.5557</v>
      </c>
      <c r="F55">
        <v>0</v>
      </c>
    </row>
    <row r="56" spans="1:6">
      <c r="A56">
        <v>127.7114</v>
      </c>
      <c r="B56">
        <v>0</v>
      </c>
      <c r="C56">
        <v>0</v>
      </c>
      <c r="D56">
        <v>1</v>
      </c>
      <c r="E56">
        <v>131.6567</v>
      </c>
      <c r="F56">
        <v>0</v>
      </c>
    </row>
    <row r="57" spans="1:6">
      <c r="A57">
        <v>131.2054</v>
      </c>
      <c r="B57">
        <v>0</v>
      </c>
      <c r="C57">
        <v>0</v>
      </c>
      <c r="D57">
        <v>0</v>
      </c>
      <c r="E57">
        <v>135.7578</v>
      </c>
      <c r="F57">
        <v>0</v>
      </c>
    </row>
    <row r="58" spans="1:6">
      <c r="A58">
        <v>134.6995</v>
      </c>
      <c r="B58">
        <v>0</v>
      </c>
      <c r="C58">
        <v>0</v>
      </c>
      <c r="D58">
        <v>1</v>
      </c>
      <c r="E58">
        <v>139.8588</v>
      </c>
      <c r="F58">
        <v>0</v>
      </c>
    </row>
    <row r="59" spans="1:6">
      <c r="A59">
        <v>138.1935</v>
      </c>
      <c r="B59">
        <v>0</v>
      </c>
      <c r="C59">
        <v>0</v>
      </c>
      <c r="D59">
        <v>0</v>
      </c>
      <c r="E59">
        <v>143.9599</v>
      </c>
      <c r="F59">
        <v>0</v>
      </c>
    </row>
    <row r="60" spans="1:6">
      <c r="A60">
        <v>141.6876</v>
      </c>
      <c r="B60">
        <v>0</v>
      </c>
      <c r="C60">
        <v>0</v>
      </c>
      <c r="D60">
        <v>0</v>
      </c>
      <c r="E60">
        <v>148.0609</v>
      </c>
      <c r="F60">
        <v>0</v>
      </c>
    </row>
    <row r="61" spans="1:6">
      <c r="A61">
        <v>145.1816</v>
      </c>
      <c r="B61">
        <v>0</v>
      </c>
      <c r="C61">
        <v>0</v>
      </c>
      <c r="D61">
        <v>1</v>
      </c>
      <c r="E61">
        <v>152.1619</v>
      </c>
      <c r="F61">
        <v>0</v>
      </c>
    </row>
    <row r="62" spans="1:6">
      <c r="A62">
        <v>148.67570000000001</v>
      </c>
      <c r="B62">
        <v>0</v>
      </c>
      <c r="C62">
        <v>0</v>
      </c>
      <c r="D62">
        <v>1</v>
      </c>
      <c r="E62">
        <v>156.26300000000001</v>
      </c>
      <c r="F62">
        <v>0</v>
      </c>
    </row>
    <row r="63" spans="1:6">
      <c r="A63">
        <v>152.16980000000001</v>
      </c>
      <c r="B63">
        <v>0</v>
      </c>
      <c r="C63">
        <v>0</v>
      </c>
      <c r="D63">
        <v>1</v>
      </c>
      <c r="E63">
        <v>160.364</v>
      </c>
      <c r="F63">
        <v>0</v>
      </c>
    </row>
    <row r="64" spans="1:6">
      <c r="A64">
        <v>155.66380000000001</v>
      </c>
      <c r="B64">
        <v>0</v>
      </c>
      <c r="C64">
        <v>0</v>
      </c>
      <c r="D64">
        <v>1</v>
      </c>
      <c r="E64">
        <v>164.465</v>
      </c>
      <c r="F64">
        <v>0</v>
      </c>
    </row>
    <row r="67" spans="1:1">
      <c r="A67" t="s">
        <v>611</v>
      </c>
    </row>
    <row r="100" spans="1:6">
      <c r="A100" t="s">
        <v>612</v>
      </c>
      <c r="B100" t="s">
        <v>593</v>
      </c>
      <c r="C100" t="s">
        <v>594</v>
      </c>
      <c r="D100" t="s">
        <v>595</v>
      </c>
      <c r="E100" t="s">
        <v>596</v>
      </c>
      <c r="F100" t="s">
        <v>597</v>
      </c>
    </row>
    <row r="101" spans="1:6">
      <c r="A101">
        <v>60.350499999999997</v>
      </c>
      <c r="B101">
        <v>0</v>
      </c>
      <c r="C101">
        <v>0</v>
      </c>
      <c r="D101">
        <v>0</v>
      </c>
      <c r="E101">
        <v>55.262</v>
      </c>
      <c r="F101">
        <v>0</v>
      </c>
    </row>
    <row r="102" spans="1:6">
      <c r="A102">
        <v>60.964300000000001</v>
      </c>
      <c r="B102">
        <v>0</v>
      </c>
      <c r="C102">
        <v>0</v>
      </c>
      <c r="D102">
        <v>1</v>
      </c>
      <c r="E102">
        <v>56.226700000000001</v>
      </c>
      <c r="F102">
        <v>0</v>
      </c>
    </row>
    <row r="103" spans="1:6">
      <c r="A103">
        <v>61.578099999999999</v>
      </c>
      <c r="B103">
        <v>0</v>
      </c>
      <c r="C103">
        <v>0</v>
      </c>
      <c r="D103">
        <v>1</v>
      </c>
      <c r="E103">
        <v>57.191400000000002</v>
      </c>
      <c r="F103">
        <v>0</v>
      </c>
    </row>
    <row r="104" spans="1:6">
      <c r="A104">
        <v>62.191800000000001</v>
      </c>
      <c r="B104">
        <v>0</v>
      </c>
      <c r="C104">
        <v>0</v>
      </c>
      <c r="D104">
        <v>2</v>
      </c>
      <c r="E104">
        <v>58.156100000000002</v>
      </c>
      <c r="F104">
        <v>0</v>
      </c>
    </row>
    <row r="105" spans="1:6">
      <c r="A105">
        <v>62.805599999999998</v>
      </c>
      <c r="B105">
        <v>0</v>
      </c>
      <c r="C105">
        <v>0</v>
      </c>
      <c r="D105">
        <v>0</v>
      </c>
      <c r="E105">
        <v>59.120699999999999</v>
      </c>
      <c r="F105">
        <v>0</v>
      </c>
    </row>
    <row r="106" spans="1:6">
      <c r="A106">
        <v>63.4193</v>
      </c>
      <c r="B106">
        <v>0</v>
      </c>
      <c r="C106">
        <v>0</v>
      </c>
      <c r="D106">
        <v>7</v>
      </c>
      <c r="E106">
        <v>60.0854</v>
      </c>
      <c r="F106">
        <v>5.0000000000000001E-4</v>
      </c>
    </row>
    <row r="107" spans="1:6">
      <c r="A107">
        <v>64.033100000000005</v>
      </c>
      <c r="B107">
        <v>0</v>
      </c>
      <c r="C107">
        <v>3</v>
      </c>
      <c r="D107">
        <v>0</v>
      </c>
      <c r="E107">
        <v>61.0501</v>
      </c>
      <c r="F107">
        <v>5.1999999999999998E-3</v>
      </c>
    </row>
    <row r="108" spans="1:6">
      <c r="A108">
        <v>64.646799999999999</v>
      </c>
      <c r="B108">
        <v>0</v>
      </c>
      <c r="C108">
        <v>2</v>
      </c>
      <c r="D108">
        <v>0</v>
      </c>
      <c r="E108">
        <v>62.014800000000001</v>
      </c>
      <c r="F108">
        <v>4.0800000000000003E-2</v>
      </c>
    </row>
    <row r="109" spans="1:6">
      <c r="A109">
        <v>65.260599999999997</v>
      </c>
      <c r="B109">
        <v>0</v>
      </c>
      <c r="C109">
        <v>13</v>
      </c>
      <c r="D109">
        <v>0</v>
      </c>
      <c r="E109">
        <v>62.979500000000002</v>
      </c>
      <c r="F109">
        <v>0.2482</v>
      </c>
    </row>
    <row r="110" spans="1:6">
      <c r="A110">
        <v>65.874300000000005</v>
      </c>
      <c r="B110">
        <v>9</v>
      </c>
      <c r="C110">
        <v>0</v>
      </c>
      <c r="D110">
        <v>0</v>
      </c>
      <c r="E110">
        <v>63.944200000000002</v>
      </c>
      <c r="F110">
        <v>1.1721999999999999</v>
      </c>
    </row>
    <row r="111" spans="1:6">
      <c r="A111">
        <v>66.488100000000003</v>
      </c>
      <c r="B111">
        <v>7</v>
      </c>
      <c r="C111">
        <v>0</v>
      </c>
      <c r="D111">
        <v>0</v>
      </c>
      <c r="E111">
        <v>64.908900000000003</v>
      </c>
      <c r="F111">
        <v>4.2925000000000004</v>
      </c>
    </row>
    <row r="112" spans="1:6">
      <c r="A112">
        <v>67.101900000000001</v>
      </c>
      <c r="B112">
        <v>47</v>
      </c>
      <c r="C112">
        <v>0</v>
      </c>
      <c r="D112">
        <v>0</v>
      </c>
      <c r="E112">
        <v>65.873599999999996</v>
      </c>
      <c r="F112">
        <v>12.188000000000001</v>
      </c>
    </row>
    <row r="113" spans="1:6">
      <c r="A113">
        <v>67.715599999999995</v>
      </c>
      <c r="B113">
        <v>36</v>
      </c>
      <c r="C113">
        <v>0</v>
      </c>
      <c r="D113">
        <v>0</v>
      </c>
      <c r="E113">
        <v>66.838300000000004</v>
      </c>
      <c r="F113">
        <v>26.832999999999998</v>
      </c>
    </row>
    <row r="114" spans="1:6">
      <c r="A114">
        <v>68.329400000000007</v>
      </c>
      <c r="B114">
        <v>80</v>
      </c>
      <c r="C114">
        <v>0</v>
      </c>
      <c r="D114">
        <v>0</v>
      </c>
      <c r="E114">
        <v>67.802999999999997</v>
      </c>
      <c r="F114">
        <v>45.806600000000003</v>
      </c>
    </row>
    <row r="115" spans="1:6">
      <c r="A115">
        <v>68.943100000000001</v>
      </c>
      <c r="B115">
        <v>44</v>
      </c>
      <c r="C115">
        <v>0</v>
      </c>
      <c r="D115">
        <v>0</v>
      </c>
      <c r="E115">
        <v>68.767700000000005</v>
      </c>
      <c r="F115">
        <v>60.632800000000003</v>
      </c>
    </row>
    <row r="116" spans="1:6">
      <c r="A116">
        <v>69.556899999999999</v>
      </c>
      <c r="B116">
        <v>44</v>
      </c>
      <c r="C116">
        <v>0</v>
      </c>
      <c r="D116">
        <v>0</v>
      </c>
      <c r="E116">
        <v>69.732299999999995</v>
      </c>
      <c r="F116">
        <v>62.231299999999997</v>
      </c>
    </row>
    <row r="117" spans="1:6">
      <c r="A117">
        <v>70.170599999999993</v>
      </c>
      <c r="B117">
        <v>81</v>
      </c>
      <c r="C117">
        <v>0</v>
      </c>
      <c r="D117">
        <v>0</v>
      </c>
      <c r="E117">
        <v>70.697000000000003</v>
      </c>
      <c r="F117">
        <v>49.525799999999997</v>
      </c>
    </row>
    <row r="118" spans="1:6">
      <c r="A118">
        <v>70.784400000000005</v>
      </c>
      <c r="B118">
        <v>25</v>
      </c>
      <c r="C118">
        <v>0</v>
      </c>
      <c r="D118">
        <v>0</v>
      </c>
      <c r="E118">
        <v>71.661699999999996</v>
      </c>
      <c r="F118">
        <v>30.561499999999999</v>
      </c>
    </row>
    <row r="119" spans="1:6">
      <c r="A119">
        <v>71.398099999999999</v>
      </c>
      <c r="B119">
        <v>63</v>
      </c>
      <c r="C119">
        <v>0</v>
      </c>
      <c r="D119">
        <v>0</v>
      </c>
      <c r="E119">
        <v>72.626400000000004</v>
      </c>
      <c r="F119">
        <v>14.623100000000001</v>
      </c>
    </row>
    <row r="120" spans="1:6">
      <c r="A120">
        <v>72.011899999999997</v>
      </c>
      <c r="B120">
        <v>8</v>
      </c>
      <c r="C120">
        <v>0</v>
      </c>
      <c r="D120">
        <v>0</v>
      </c>
      <c r="E120">
        <v>73.591099999999997</v>
      </c>
      <c r="F120">
        <v>5.4253</v>
      </c>
    </row>
    <row r="121" spans="1:6">
      <c r="A121">
        <v>72.625699999999995</v>
      </c>
      <c r="B121">
        <v>10</v>
      </c>
      <c r="C121">
        <v>0</v>
      </c>
      <c r="D121">
        <v>0</v>
      </c>
      <c r="E121">
        <v>74.555800000000005</v>
      </c>
      <c r="F121">
        <v>1.5607</v>
      </c>
    </row>
    <row r="122" spans="1:6">
      <c r="A122">
        <v>73.239400000000003</v>
      </c>
      <c r="B122">
        <v>0</v>
      </c>
      <c r="C122">
        <v>7</v>
      </c>
      <c r="D122">
        <v>0</v>
      </c>
      <c r="E122">
        <v>75.520499999999998</v>
      </c>
      <c r="F122">
        <v>0.34810000000000002</v>
      </c>
    </row>
    <row r="123" spans="1:6">
      <c r="A123">
        <v>73.853200000000001</v>
      </c>
      <c r="B123">
        <v>0</v>
      </c>
      <c r="C123">
        <v>0</v>
      </c>
      <c r="D123">
        <v>0</v>
      </c>
      <c r="E123">
        <v>76.485200000000006</v>
      </c>
      <c r="F123">
        <v>6.0199999999999997E-2</v>
      </c>
    </row>
    <row r="124" spans="1:6">
      <c r="A124">
        <v>74.466899999999995</v>
      </c>
      <c r="B124">
        <v>0</v>
      </c>
      <c r="C124">
        <v>1</v>
      </c>
      <c r="D124">
        <v>0</v>
      </c>
      <c r="E124">
        <v>77.4499</v>
      </c>
      <c r="F124">
        <v>8.0999999999999996E-3</v>
      </c>
    </row>
    <row r="125" spans="1:6">
      <c r="A125">
        <v>75.080699999999993</v>
      </c>
      <c r="B125">
        <v>0</v>
      </c>
      <c r="C125">
        <v>1</v>
      </c>
      <c r="D125">
        <v>0</v>
      </c>
      <c r="E125">
        <v>78.414599999999993</v>
      </c>
      <c r="F125">
        <v>8.0000000000000004E-4</v>
      </c>
    </row>
    <row r="126" spans="1:6">
      <c r="A126">
        <v>75.694400000000002</v>
      </c>
      <c r="B126">
        <v>0</v>
      </c>
      <c r="C126">
        <v>0</v>
      </c>
      <c r="D126">
        <v>2</v>
      </c>
      <c r="E126">
        <v>79.379300000000001</v>
      </c>
      <c r="F126">
        <v>1E-4</v>
      </c>
    </row>
    <row r="127" spans="1:6">
      <c r="A127">
        <v>76.308199999999999</v>
      </c>
      <c r="B127">
        <v>0</v>
      </c>
      <c r="C127">
        <v>0</v>
      </c>
      <c r="D127">
        <v>0</v>
      </c>
      <c r="E127">
        <v>80.343900000000005</v>
      </c>
      <c r="F127">
        <v>0</v>
      </c>
    </row>
    <row r="128" spans="1:6">
      <c r="A128">
        <v>76.921899999999994</v>
      </c>
      <c r="B128">
        <v>0</v>
      </c>
      <c r="C128">
        <v>0</v>
      </c>
      <c r="D128">
        <v>1</v>
      </c>
      <c r="E128">
        <v>81.308599999999998</v>
      </c>
      <c r="F128">
        <v>0</v>
      </c>
    </row>
    <row r="129" spans="1:6">
      <c r="A129">
        <v>77.535700000000006</v>
      </c>
      <c r="B129">
        <v>0</v>
      </c>
      <c r="C129">
        <v>0</v>
      </c>
      <c r="D129">
        <v>1</v>
      </c>
      <c r="E129">
        <v>82.273300000000006</v>
      </c>
      <c r="F129">
        <v>0</v>
      </c>
    </row>
    <row r="130" spans="1:6">
      <c r="A130">
        <v>78.149500000000003</v>
      </c>
      <c r="B130">
        <v>0</v>
      </c>
      <c r="C130">
        <v>0</v>
      </c>
      <c r="D130">
        <v>0</v>
      </c>
      <c r="E130">
        <v>83.238</v>
      </c>
      <c r="F130">
        <v>0</v>
      </c>
    </row>
    <row r="133" spans="1:6">
      <c r="A133" t="s">
        <v>613</v>
      </c>
    </row>
    <row r="166" spans="1:6">
      <c r="A166" t="s">
        <v>614</v>
      </c>
      <c r="B166" t="s">
        <v>593</v>
      </c>
      <c r="C166" t="s">
        <v>594</v>
      </c>
      <c r="D166" t="s">
        <v>595</v>
      </c>
      <c r="E166" t="s">
        <v>596</v>
      </c>
      <c r="F166" t="s">
        <v>597</v>
      </c>
    </row>
    <row r="167" spans="1:6">
      <c r="A167">
        <v>-0.44669999999999999</v>
      </c>
      <c r="B167">
        <v>0</v>
      </c>
      <c r="C167">
        <v>0</v>
      </c>
      <c r="D167">
        <v>0</v>
      </c>
      <c r="E167">
        <v>-4.1002999999999998</v>
      </c>
      <c r="F167">
        <v>1.6199999999999999E-2</v>
      </c>
    </row>
    <row r="168" spans="1:6">
      <c r="A168">
        <v>-0.14000000000000001</v>
      </c>
      <c r="B168">
        <v>0</v>
      </c>
      <c r="C168">
        <v>0</v>
      </c>
      <c r="D168">
        <v>0</v>
      </c>
      <c r="E168">
        <v>-3.5415999999999999</v>
      </c>
      <c r="F168">
        <v>7.2800000000000004E-2</v>
      </c>
    </row>
    <row r="169" spans="1:6">
      <c r="A169">
        <v>0.1666</v>
      </c>
      <c r="B169">
        <v>86</v>
      </c>
      <c r="C169">
        <v>0</v>
      </c>
      <c r="D169">
        <v>0</v>
      </c>
      <c r="E169">
        <v>-2.9830000000000001</v>
      </c>
      <c r="F169">
        <v>0.2792</v>
      </c>
    </row>
    <row r="170" spans="1:6">
      <c r="A170">
        <v>0.4733</v>
      </c>
      <c r="B170">
        <v>68</v>
      </c>
      <c r="C170">
        <v>0</v>
      </c>
      <c r="D170">
        <v>0</v>
      </c>
      <c r="E170">
        <v>-2.4243999999999999</v>
      </c>
      <c r="F170">
        <v>0.91349999999999998</v>
      </c>
    </row>
    <row r="171" spans="1:6">
      <c r="A171">
        <v>0.78</v>
      </c>
      <c r="B171">
        <v>76</v>
      </c>
      <c r="C171">
        <v>0</v>
      </c>
      <c r="D171">
        <v>0</v>
      </c>
      <c r="E171">
        <v>-1.8656999999999999</v>
      </c>
      <c r="F171">
        <v>2.5487000000000002</v>
      </c>
    </row>
    <row r="172" spans="1:6">
      <c r="A172">
        <v>1.0866</v>
      </c>
      <c r="B172">
        <v>53</v>
      </c>
      <c r="C172">
        <v>0</v>
      </c>
      <c r="D172">
        <v>0</v>
      </c>
      <c r="E172">
        <v>-1.3070999999999999</v>
      </c>
      <c r="F172">
        <v>6.0643000000000002</v>
      </c>
    </row>
    <row r="173" spans="1:6">
      <c r="A173">
        <v>1.3933</v>
      </c>
      <c r="B173">
        <v>40</v>
      </c>
      <c r="C173">
        <v>0</v>
      </c>
      <c r="D173">
        <v>0</v>
      </c>
      <c r="E173">
        <v>-0.74839999999999995</v>
      </c>
      <c r="F173">
        <v>12.305400000000001</v>
      </c>
    </row>
    <row r="174" spans="1:6">
      <c r="A174">
        <v>1.7</v>
      </c>
      <c r="B174">
        <v>26</v>
      </c>
      <c r="C174">
        <v>0</v>
      </c>
      <c r="D174">
        <v>0</v>
      </c>
      <c r="E174">
        <v>-0.1898</v>
      </c>
      <c r="F174">
        <v>21.294699999999999</v>
      </c>
    </row>
    <row r="175" spans="1:6">
      <c r="A175">
        <v>2.0066000000000002</v>
      </c>
      <c r="B175">
        <v>28</v>
      </c>
      <c r="C175">
        <v>0</v>
      </c>
      <c r="D175">
        <v>0</v>
      </c>
      <c r="E175">
        <v>0.36880000000000002</v>
      </c>
      <c r="F175">
        <v>31.427299999999999</v>
      </c>
    </row>
    <row r="176" spans="1:6">
      <c r="A176">
        <v>2.3132999999999999</v>
      </c>
      <c r="B176">
        <v>23</v>
      </c>
      <c r="C176">
        <v>0</v>
      </c>
      <c r="D176">
        <v>0</v>
      </c>
      <c r="E176">
        <v>0.92749999999999999</v>
      </c>
      <c r="F176">
        <v>39.555</v>
      </c>
    </row>
    <row r="177" spans="1:6">
      <c r="A177">
        <v>2.62</v>
      </c>
      <c r="B177">
        <v>12</v>
      </c>
      <c r="C177">
        <v>0</v>
      </c>
      <c r="D177">
        <v>0</v>
      </c>
      <c r="E177">
        <v>1.4861</v>
      </c>
      <c r="F177">
        <v>42.457599999999999</v>
      </c>
    </row>
    <row r="178" spans="1:6">
      <c r="A178">
        <v>2.9266999999999999</v>
      </c>
      <c r="B178">
        <v>18</v>
      </c>
      <c r="C178">
        <v>0</v>
      </c>
      <c r="D178">
        <v>0</v>
      </c>
      <c r="E178">
        <v>2.0448</v>
      </c>
      <c r="F178">
        <v>38.8658</v>
      </c>
    </row>
    <row r="179" spans="1:6">
      <c r="A179">
        <v>3.2332999999999998</v>
      </c>
      <c r="B179">
        <v>8</v>
      </c>
      <c r="C179">
        <v>0</v>
      </c>
      <c r="D179">
        <v>0</v>
      </c>
      <c r="E179">
        <v>2.6034000000000002</v>
      </c>
      <c r="F179">
        <v>30.341699999999999</v>
      </c>
    </row>
    <row r="180" spans="1:6">
      <c r="A180">
        <v>3.54</v>
      </c>
      <c r="B180">
        <v>7</v>
      </c>
      <c r="C180">
        <v>0</v>
      </c>
      <c r="D180">
        <v>0</v>
      </c>
      <c r="E180">
        <v>3.1619999999999999</v>
      </c>
      <c r="F180">
        <v>20.200900000000001</v>
      </c>
    </row>
    <row r="181" spans="1:6">
      <c r="A181">
        <v>3.8466999999999998</v>
      </c>
      <c r="B181">
        <v>8</v>
      </c>
      <c r="C181">
        <v>0</v>
      </c>
      <c r="D181">
        <v>0</v>
      </c>
      <c r="E181">
        <v>3.7206999999999999</v>
      </c>
      <c r="F181">
        <v>11.47</v>
      </c>
    </row>
    <row r="182" spans="1:6">
      <c r="A182">
        <v>4.1532999999999998</v>
      </c>
      <c r="B182">
        <v>7</v>
      </c>
      <c r="C182">
        <v>0</v>
      </c>
      <c r="D182">
        <v>0</v>
      </c>
      <c r="E182">
        <v>4.2793000000000001</v>
      </c>
      <c r="F182">
        <v>5.5541</v>
      </c>
    </row>
    <row r="183" spans="1:6">
      <c r="A183">
        <v>4.46</v>
      </c>
      <c r="B183">
        <v>0</v>
      </c>
      <c r="C183">
        <v>1</v>
      </c>
      <c r="D183">
        <v>0</v>
      </c>
      <c r="E183">
        <v>4.8380000000000001</v>
      </c>
      <c r="F183">
        <v>2.2936000000000001</v>
      </c>
    </row>
    <row r="184" spans="1:6">
      <c r="A184">
        <v>4.7667000000000002</v>
      </c>
      <c r="B184">
        <v>0</v>
      </c>
      <c r="C184">
        <v>2</v>
      </c>
      <c r="D184">
        <v>0</v>
      </c>
      <c r="E184">
        <v>5.3966000000000003</v>
      </c>
      <c r="F184">
        <v>0.80779999999999996</v>
      </c>
    </row>
    <row r="185" spans="1:6">
      <c r="A185">
        <v>5.0732999999999997</v>
      </c>
      <c r="B185">
        <v>0</v>
      </c>
      <c r="C185">
        <v>2</v>
      </c>
      <c r="D185">
        <v>0</v>
      </c>
      <c r="E185">
        <v>5.9551999999999996</v>
      </c>
      <c r="F185">
        <v>0.24260000000000001</v>
      </c>
    </row>
    <row r="186" spans="1:6">
      <c r="A186">
        <v>5.38</v>
      </c>
      <c r="B186">
        <v>0</v>
      </c>
      <c r="C186">
        <v>2</v>
      </c>
      <c r="D186">
        <v>0</v>
      </c>
      <c r="E186">
        <v>6.5138999999999996</v>
      </c>
      <c r="F186">
        <v>6.2100000000000002E-2</v>
      </c>
    </row>
    <row r="187" spans="1:6">
      <c r="A187">
        <v>5.6867000000000001</v>
      </c>
      <c r="B187">
        <v>0</v>
      </c>
      <c r="C187">
        <v>0</v>
      </c>
      <c r="D187">
        <v>1</v>
      </c>
      <c r="E187">
        <v>7.0724999999999998</v>
      </c>
      <c r="F187">
        <v>1.3599999999999999E-2</v>
      </c>
    </row>
    <row r="188" spans="1:6">
      <c r="A188">
        <v>5.9934000000000003</v>
      </c>
      <c r="B188">
        <v>0</v>
      </c>
      <c r="C188">
        <v>0</v>
      </c>
      <c r="D188">
        <v>1</v>
      </c>
      <c r="E188">
        <v>7.6311999999999998</v>
      </c>
      <c r="F188">
        <v>2.5000000000000001E-3</v>
      </c>
    </row>
    <row r="189" spans="1:6">
      <c r="A189">
        <v>6.3</v>
      </c>
      <c r="B189">
        <v>0</v>
      </c>
      <c r="C189">
        <v>0</v>
      </c>
      <c r="D189">
        <v>0</v>
      </c>
      <c r="E189">
        <v>8.1898</v>
      </c>
      <c r="F189">
        <v>4.0000000000000002E-4</v>
      </c>
    </row>
    <row r="190" spans="1:6">
      <c r="A190">
        <v>6.6067</v>
      </c>
      <c r="B190">
        <v>0</v>
      </c>
      <c r="C190">
        <v>0</v>
      </c>
      <c r="D190">
        <v>5</v>
      </c>
      <c r="E190">
        <v>8.7484000000000002</v>
      </c>
      <c r="F190">
        <v>1E-4</v>
      </c>
    </row>
    <row r="191" spans="1:6">
      <c r="A191">
        <v>6.9134000000000002</v>
      </c>
      <c r="B191">
        <v>0</v>
      </c>
      <c r="C191">
        <v>0</v>
      </c>
      <c r="D191">
        <v>1</v>
      </c>
      <c r="E191">
        <v>9.3071000000000002</v>
      </c>
      <c r="F191">
        <v>0</v>
      </c>
    </row>
    <row r="192" spans="1:6">
      <c r="A192">
        <v>7.22</v>
      </c>
      <c r="B192">
        <v>0</v>
      </c>
      <c r="C192">
        <v>0</v>
      </c>
      <c r="D192">
        <v>2</v>
      </c>
      <c r="E192">
        <v>9.8657000000000004</v>
      </c>
      <c r="F192">
        <v>0</v>
      </c>
    </row>
    <row r="193" spans="1:6">
      <c r="A193">
        <v>7.5266999999999999</v>
      </c>
      <c r="B193">
        <v>0</v>
      </c>
      <c r="C193">
        <v>0</v>
      </c>
      <c r="D193">
        <v>6</v>
      </c>
      <c r="E193">
        <v>10.4244</v>
      </c>
      <c r="F193">
        <v>0</v>
      </c>
    </row>
    <row r="194" spans="1:6">
      <c r="A194">
        <v>7.8334000000000001</v>
      </c>
      <c r="B194">
        <v>0</v>
      </c>
      <c r="C194">
        <v>0</v>
      </c>
      <c r="D194">
        <v>3</v>
      </c>
      <c r="E194">
        <v>10.983000000000001</v>
      </c>
      <c r="F194">
        <v>0</v>
      </c>
    </row>
    <row r="195" spans="1:6">
      <c r="A195">
        <v>8.14</v>
      </c>
      <c r="B195">
        <v>0</v>
      </c>
      <c r="C195">
        <v>0</v>
      </c>
      <c r="D195">
        <v>0</v>
      </c>
      <c r="E195">
        <v>11.541600000000001</v>
      </c>
      <c r="F195">
        <v>0</v>
      </c>
    </row>
    <row r="196" spans="1:6">
      <c r="A196">
        <v>8.4466999999999999</v>
      </c>
      <c r="B196">
        <v>0</v>
      </c>
      <c r="C196">
        <v>0</v>
      </c>
      <c r="D196">
        <v>0</v>
      </c>
      <c r="E196">
        <v>12.100300000000001</v>
      </c>
      <c r="F196">
        <v>0</v>
      </c>
    </row>
    <row r="199" spans="1:6">
      <c r="A199" t="s">
        <v>615</v>
      </c>
    </row>
    <row r="232" spans="1:6">
      <c r="A232" t="s">
        <v>616</v>
      </c>
      <c r="B232" t="s">
        <v>593</v>
      </c>
      <c r="C232" t="s">
        <v>594</v>
      </c>
      <c r="D232" t="s">
        <v>595</v>
      </c>
      <c r="E232" t="s">
        <v>596</v>
      </c>
      <c r="F232" t="s">
        <v>597</v>
      </c>
    </row>
    <row r="233" spans="1:6">
      <c r="A233">
        <v>62.678800000000003</v>
      </c>
      <c r="B233">
        <v>0</v>
      </c>
      <c r="C233">
        <v>0</v>
      </c>
      <c r="D233">
        <v>0</v>
      </c>
      <c r="E233">
        <v>56.913200000000003</v>
      </c>
      <c r="F233">
        <v>0</v>
      </c>
    </row>
    <row r="234" spans="1:6">
      <c r="A234">
        <v>63.231999999999999</v>
      </c>
      <c r="B234">
        <v>0</v>
      </c>
      <c r="C234">
        <v>1</v>
      </c>
      <c r="D234">
        <v>0</v>
      </c>
      <c r="E234">
        <v>57.863999999999997</v>
      </c>
      <c r="F234">
        <v>0</v>
      </c>
    </row>
    <row r="235" spans="1:6">
      <c r="A235">
        <v>63.785200000000003</v>
      </c>
      <c r="B235">
        <v>0</v>
      </c>
      <c r="C235">
        <v>3</v>
      </c>
      <c r="D235">
        <v>0</v>
      </c>
      <c r="E235">
        <v>58.814799999999998</v>
      </c>
      <c r="F235">
        <v>2.0000000000000001E-4</v>
      </c>
    </row>
    <row r="236" spans="1:6">
      <c r="A236">
        <v>64.338300000000004</v>
      </c>
      <c r="B236">
        <v>0</v>
      </c>
      <c r="C236">
        <v>5</v>
      </c>
      <c r="D236">
        <v>0</v>
      </c>
      <c r="E236">
        <v>59.765599999999999</v>
      </c>
      <c r="F236">
        <v>1.8E-3</v>
      </c>
    </row>
    <row r="237" spans="1:6">
      <c r="A237">
        <v>64.891499999999994</v>
      </c>
      <c r="B237">
        <v>0</v>
      </c>
      <c r="C237">
        <v>6</v>
      </c>
      <c r="D237">
        <v>0</v>
      </c>
      <c r="E237">
        <v>60.7164</v>
      </c>
      <c r="F237">
        <v>1.1599999999999999E-2</v>
      </c>
    </row>
    <row r="238" spans="1:6">
      <c r="A238">
        <v>65.444699999999997</v>
      </c>
      <c r="B238">
        <v>10</v>
      </c>
      <c r="C238">
        <v>0</v>
      </c>
      <c r="D238">
        <v>0</v>
      </c>
      <c r="E238">
        <v>61.667200000000001</v>
      </c>
      <c r="F238">
        <v>6.1899999999999997E-2</v>
      </c>
    </row>
    <row r="239" spans="1:6">
      <c r="A239">
        <v>65.997900000000001</v>
      </c>
      <c r="B239">
        <v>17</v>
      </c>
      <c r="C239">
        <v>0</v>
      </c>
      <c r="D239">
        <v>0</v>
      </c>
      <c r="E239">
        <v>62.618099999999998</v>
      </c>
      <c r="F239">
        <v>0.27489999999999998</v>
      </c>
    </row>
    <row r="240" spans="1:6">
      <c r="A240">
        <v>66.551100000000005</v>
      </c>
      <c r="B240">
        <v>28</v>
      </c>
      <c r="C240">
        <v>0</v>
      </c>
      <c r="D240">
        <v>0</v>
      </c>
      <c r="E240">
        <v>63.568899999999999</v>
      </c>
      <c r="F240">
        <v>1.0115000000000001</v>
      </c>
    </row>
    <row r="241" spans="1:6">
      <c r="A241">
        <v>67.104299999999995</v>
      </c>
      <c r="B241">
        <v>23</v>
      </c>
      <c r="C241">
        <v>0</v>
      </c>
      <c r="D241">
        <v>0</v>
      </c>
      <c r="E241">
        <v>64.5197</v>
      </c>
      <c r="F241">
        <v>3.0857000000000001</v>
      </c>
    </row>
    <row r="242" spans="1:6">
      <c r="A242">
        <v>67.657499999999999</v>
      </c>
      <c r="B242">
        <v>42</v>
      </c>
      <c r="C242">
        <v>0</v>
      </c>
      <c r="D242">
        <v>0</v>
      </c>
      <c r="E242">
        <v>65.470500000000001</v>
      </c>
      <c r="F242">
        <v>7.8034999999999997</v>
      </c>
    </row>
    <row r="243" spans="1:6">
      <c r="A243">
        <v>68.210700000000003</v>
      </c>
      <c r="B243">
        <v>36</v>
      </c>
      <c r="C243">
        <v>0</v>
      </c>
      <c r="D243">
        <v>0</v>
      </c>
      <c r="E243">
        <v>66.421300000000002</v>
      </c>
      <c r="F243">
        <v>16.3597</v>
      </c>
    </row>
    <row r="244" spans="1:6">
      <c r="A244">
        <v>68.763800000000003</v>
      </c>
      <c r="B244">
        <v>45</v>
      </c>
      <c r="C244">
        <v>0</v>
      </c>
      <c r="D244">
        <v>0</v>
      </c>
      <c r="E244">
        <v>67.372100000000003</v>
      </c>
      <c r="F244">
        <v>28.432600000000001</v>
      </c>
    </row>
    <row r="245" spans="1:6">
      <c r="A245">
        <v>69.316999999999993</v>
      </c>
      <c r="B245">
        <v>29</v>
      </c>
      <c r="C245">
        <v>0</v>
      </c>
      <c r="D245">
        <v>0</v>
      </c>
      <c r="E245">
        <v>68.322999999999993</v>
      </c>
      <c r="F245">
        <v>40.964799999999997</v>
      </c>
    </row>
    <row r="246" spans="1:6">
      <c r="A246">
        <v>69.870199999999997</v>
      </c>
      <c r="B246">
        <v>43</v>
      </c>
      <c r="C246">
        <v>0</v>
      </c>
      <c r="D246">
        <v>0</v>
      </c>
      <c r="E246">
        <v>69.273799999999994</v>
      </c>
      <c r="F246">
        <v>48.9285</v>
      </c>
    </row>
    <row r="247" spans="1:6">
      <c r="A247">
        <v>70.423400000000001</v>
      </c>
      <c r="B247">
        <v>28</v>
      </c>
      <c r="C247">
        <v>0</v>
      </c>
      <c r="D247">
        <v>0</v>
      </c>
      <c r="E247">
        <v>70.224599999999995</v>
      </c>
      <c r="F247">
        <v>48.446899999999999</v>
      </c>
    </row>
    <row r="248" spans="1:6">
      <c r="A248">
        <v>70.976600000000005</v>
      </c>
      <c r="B248">
        <v>45</v>
      </c>
      <c r="C248">
        <v>0</v>
      </c>
      <c r="D248">
        <v>0</v>
      </c>
      <c r="E248">
        <v>71.175399999999996</v>
      </c>
      <c r="F248">
        <v>39.767299999999999</v>
      </c>
    </row>
    <row r="249" spans="1:6">
      <c r="A249">
        <v>71.529799999999994</v>
      </c>
      <c r="B249">
        <v>51</v>
      </c>
      <c r="C249">
        <v>0</v>
      </c>
      <c r="D249">
        <v>0</v>
      </c>
      <c r="E249">
        <v>72.126199999999997</v>
      </c>
      <c r="F249">
        <v>27.0608</v>
      </c>
    </row>
    <row r="250" spans="1:6">
      <c r="A250">
        <v>72.082999999999998</v>
      </c>
      <c r="B250">
        <v>23</v>
      </c>
      <c r="C250">
        <v>0</v>
      </c>
      <c r="D250">
        <v>0</v>
      </c>
      <c r="E250">
        <v>73.076999999999998</v>
      </c>
      <c r="F250">
        <v>15.2654</v>
      </c>
    </row>
    <row r="251" spans="1:6">
      <c r="A251">
        <v>72.636200000000002</v>
      </c>
      <c r="B251">
        <v>23</v>
      </c>
      <c r="C251">
        <v>0</v>
      </c>
      <c r="D251">
        <v>0</v>
      </c>
      <c r="E251">
        <v>74.027900000000002</v>
      </c>
      <c r="F251">
        <v>7.1388999999999996</v>
      </c>
    </row>
    <row r="252" spans="1:6">
      <c r="A252">
        <v>73.189300000000003</v>
      </c>
      <c r="B252">
        <v>15</v>
      </c>
      <c r="C252">
        <v>0</v>
      </c>
      <c r="D252">
        <v>0</v>
      </c>
      <c r="E252">
        <v>74.978700000000003</v>
      </c>
      <c r="F252">
        <v>2.7677</v>
      </c>
    </row>
    <row r="253" spans="1:6">
      <c r="A253">
        <v>73.742500000000007</v>
      </c>
      <c r="B253">
        <v>7</v>
      </c>
      <c r="C253">
        <v>0</v>
      </c>
      <c r="D253">
        <v>0</v>
      </c>
      <c r="E253">
        <v>75.929500000000004</v>
      </c>
      <c r="F253">
        <v>0.88949999999999996</v>
      </c>
    </row>
    <row r="254" spans="1:6">
      <c r="A254">
        <v>74.295699999999997</v>
      </c>
      <c r="B254">
        <v>0</v>
      </c>
      <c r="C254">
        <v>5</v>
      </c>
      <c r="D254">
        <v>0</v>
      </c>
      <c r="E254">
        <v>76.880300000000005</v>
      </c>
      <c r="F254">
        <v>0.23699999999999999</v>
      </c>
    </row>
    <row r="255" spans="1:6">
      <c r="A255">
        <v>74.8489</v>
      </c>
      <c r="B255">
        <v>0</v>
      </c>
      <c r="C255">
        <v>8</v>
      </c>
      <c r="D255">
        <v>0</v>
      </c>
      <c r="E255">
        <v>77.831100000000006</v>
      </c>
      <c r="F255">
        <v>5.2299999999999999E-2</v>
      </c>
    </row>
    <row r="256" spans="1:6">
      <c r="A256">
        <v>75.402100000000004</v>
      </c>
      <c r="B256">
        <v>0</v>
      </c>
      <c r="C256">
        <v>0</v>
      </c>
      <c r="D256">
        <v>0</v>
      </c>
      <c r="E256">
        <v>78.781899999999993</v>
      </c>
      <c r="F256">
        <v>9.5999999999999992E-3</v>
      </c>
    </row>
    <row r="257" spans="1:6">
      <c r="A257">
        <v>75.955299999999994</v>
      </c>
      <c r="B257">
        <v>0</v>
      </c>
      <c r="C257">
        <v>0</v>
      </c>
      <c r="D257">
        <v>0</v>
      </c>
      <c r="E257">
        <v>79.732799999999997</v>
      </c>
      <c r="F257">
        <v>1.5E-3</v>
      </c>
    </row>
    <row r="258" spans="1:6">
      <c r="A258">
        <v>76.508499999999998</v>
      </c>
      <c r="B258">
        <v>0</v>
      </c>
      <c r="C258">
        <v>0</v>
      </c>
      <c r="D258">
        <v>1</v>
      </c>
      <c r="E258">
        <v>80.683599999999998</v>
      </c>
      <c r="F258">
        <v>2.0000000000000001E-4</v>
      </c>
    </row>
    <row r="259" spans="1:6">
      <c r="A259">
        <v>77.061700000000002</v>
      </c>
      <c r="B259">
        <v>0</v>
      </c>
      <c r="C259">
        <v>0</v>
      </c>
      <c r="D259">
        <v>1</v>
      </c>
      <c r="E259">
        <v>81.634399999999999</v>
      </c>
      <c r="F259">
        <v>0</v>
      </c>
    </row>
    <row r="260" spans="1:6">
      <c r="A260">
        <v>77.614800000000002</v>
      </c>
      <c r="B260">
        <v>0</v>
      </c>
      <c r="C260">
        <v>0</v>
      </c>
      <c r="D260">
        <v>0</v>
      </c>
      <c r="E260">
        <v>82.5852</v>
      </c>
      <c r="F260">
        <v>0</v>
      </c>
    </row>
    <row r="261" spans="1:6">
      <c r="A261">
        <v>78.168000000000006</v>
      </c>
      <c r="B261">
        <v>0</v>
      </c>
      <c r="C261">
        <v>0</v>
      </c>
      <c r="D261">
        <v>1</v>
      </c>
      <c r="E261">
        <v>83.536000000000001</v>
      </c>
      <c r="F261">
        <v>0</v>
      </c>
    </row>
    <row r="262" spans="1:6">
      <c r="A262">
        <v>78.721199999999996</v>
      </c>
      <c r="B262">
        <v>0</v>
      </c>
      <c r="C262">
        <v>0</v>
      </c>
      <c r="D262">
        <v>0</v>
      </c>
      <c r="E262">
        <v>84.486800000000002</v>
      </c>
      <c r="F262">
        <v>0</v>
      </c>
    </row>
    <row r="265" spans="1:6">
      <c r="A265" t="s">
        <v>617</v>
      </c>
      <c r="B265" t="s">
        <v>593</v>
      </c>
      <c r="C265" t="s">
        <v>594</v>
      </c>
      <c r="D265" t="s">
        <v>595</v>
      </c>
      <c r="E265" t="s">
        <v>596</v>
      </c>
      <c r="F265" t="s">
        <v>597</v>
      </c>
    </row>
    <row r="266" spans="1:6">
      <c r="A266">
        <v>109.7617</v>
      </c>
      <c r="B266">
        <v>0</v>
      </c>
      <c r="C266">
        <v>0</v>
      </c>
      <c r="D266">
        <v>0</v>
      </c>
      <c r="E266">
        <v>105.42100000000001</v>
      </c>
      <c r="F266">
        <v>2.9999999999999997E-4</v>
      </c>
    </row>
    <row r="267" spans="1:6">
      <c r="A267">
        <v>110.0282</v>
      </c>
      <c r="B267">
        <v>0</v>
      </c>
      <c r="C267">
        <v>0</v>
      </c>
      <c r="D267">
        <v>0</v>
      </c>
      <c r="E267">
        <v>105.9868</v>
      </c>
      <c r="F267">
        <v>1.4E-3</v>
      </c>
    </row>
    <row r="268" spans="1:6">
      <c r="A268">
        <v>110.2946</v>
      </c>
      <c r="B268">
        <v>0</v>
      </c>
      <c r="C268">
        <v>0</v>
      </c>
      <c r="D268">
        <v>0</v>
      </c>
      <c r="E268">
        <v>106.5526</v>
      </c>
      <c r="F268">
        <v>6.0000000000000001E-3</v>
      </c>
    </row>
    <row r="269" spans="1:6">
      <c r="A269">
        <v>110.56100000000001</v>
      </c>
      <c r="B269">
        <v>1</v>
      </c>
      <c r="C269">
        <v>0</v>
      </c>
      <c r="D269">
        <v>0</v>
      </c>
      <c r="E269">
        <v>107.11839999999999</v>
      </c>
      <c r="F269">
        <v>2.3E-2</v>
      </c>
    </row>
    <row r="270" spans="1:6">
      <c r="A270">
        <v>110.8275</v>
      </c>
      <c r="B270">
        <v>2</v>
      </c>
      <c r="C270">
        <v>0</v>
      </c>
      <c r="D270">
        <v>0</v>
      </c>
      <c r="E270">
        <v>107.6842</v>
      </c>
      <c r="F270">
        <v>7.7799999999999994E-2</v>
      </c>
    </row>
    <row r="271" spans="1:6">
      <c r="A271">
        <v>111.0939</v>
      </c>
      <c r="B271">
        <v>6</v>
      </c>
      <c r="C271">
        <v>0</v>
      </c>
      <c r="D271">
        <v>0</v>
      </c>
      <c r="E271">
        <v>108.25</v>
      </c>
      <c r="F271">
        <v>0.23569999999999999</v>
      </c>
    </row>
    <row r="272" spans="1:6">
      <c r="A272">
        <v>111.3603</v>
      </c>
      <c r="B272">
        <v>5</v>
      </c>
      <c r="C272">
        <v>0</v>
      </c>
      <c r="D272">
        <v>0</v>
      </c>
      <c r="E272">
        <v>108.8158</v>
      </c>
      <c r="F272">
        <v>0.63729999999999998</v>
      </c>
    </row>
    <row r="273" spans="1:6">
      <c r="A273">
        <v>111.6268</v>
      </c>
      <c r="B273">
        <v>27</v>
      </c>
      <c r="C273">
        <v>0</v>
      </c>
      <c r="D273">
        <v>0</v>
      </c>
      <c r="E273">
        <v>109.38160000000001</v>
      </c>
      <c r="F273">
        <v>1.5391999999999999</v>
      </c>
    </row>
    <row r="274" spans="1:6">
      <c r="A274">
        <v>111.89319999999999</v>
      </c>
      <c r="B274">
        <v>85</v>
      </c>
      <c r="C274">
        <v>0</v>
      </c>
      <c r="D274">
        <v>0</v>
      </c>
      <c r="E274">
        <v>109.9474</v>
      </c>
      <c r="F274">
        <v>3.3201999999999998</v>
      </c>
    </row>
    <row r="275" spans="1:6">
      <c r="A275">
        <v>112.1596</v>
      </c>
      <c r="B275">
        <v>86</v>
      </c>
      <c r="C275">
        <v>0</v>
      </c>
      <c r="D275">
        <v>0</v>
      </c>
      <c r="E275">
        <v>110.51309999999999</v>
      </c>
      <c r="F275">
        <v>6.3966000000000003</v>
      </c>
    </row>
    <row r="276" spans="1:6">
      <c r="A276">
        <v>112.42610000000001</v>
      </c>
      <c r="B276">
        <v>56</v>
      </c>
      <c r="C276">
        <v>0</v>
      </c>
      <c r="D276">
        <v>0</v>
      </c>
      <c r="E276">
        <v>111.0789</v>
      </c>
      <c r="F276">
        <v>11.0067</v>
      </c>
    </row>
    <row r="277" spans="1:6">
      <c r="A277">
        <v>112.6925</v>
      </c>
      <c r="B277">
        <v>4</v>
      </c>
      <c r="C277">
        <v>0</v>
      </c>
      <c r="D277">
        <v>0</v>
      </c>
      <c r="E277">
        <v>111.6447</v>
      </c>
      <c r="F277">
        <v>16.915299999999998</v>
      </c>
    </row>
    <row r="278" spans="1:6">
      <c r="A278">
        <v>112.9589</v>
      </c>
      <c r="B278">
        <v>1</v>
      </c>
      <c r="C278">
        <v>0</v>
      </c>
      <c r="D278">
        <v>0</v>
      </c>
      <c r="E278">
        <v>112.2105</v>
      </c>
      <c r="F278">
        <v>23.2179</v>
      </c>
    </row>
    <row r="279" spans="1:6">
      <c r="A279">
        <v>113.22539999999999</v>
      </c>
      <c r="B279">
        <v>0</v>
      </c>
      <c r="C279">
        <v>0</v>
      </c>
      <c r="D279">
        <v>0</v>
      </c>
      <c r="E279">
        <v>112.77630000000001</v>
      </c>
      <c r="F279">
        <v>28.463000000000001</v>
      </c>
    </row>
    <row r="280" spans="1:6">
      <c r="A280">
        <v>113.4918</v>
      </c>
      <c r="B280">
        <v>1</v>
      </c>
      <c r="C280">
        <v>0</v>
      </c>
      <c r="D280">
        <v>0</v>
      </c>
      <c r="E280">
        <v>113.3421</v>
      </c>
      <c r="F280">
        <v>31.164200000000001</v>
      </c>
    </row>
    <row r="281" spans="1:6">
      <c r="A281">
        <v>113.7582</v>
      </c>
      <c r="B281">
        <v>0</v>
      </c>
      <c r="C281">
        <v>0</v>
      </c>
      <c r="D281">
        <v>0</v>
      </c>
      <c r="E281">
        <v>113.9079</v>
      </c>
      <c r="F281">
        <v>30.475300000000001</v>
      </c>
    </row>
    <row r="282" spans="1:6">
      <c r="A282">
        <v>114.02460000000001</v>
      </c>
      <c r="B282">
        <v>0</v>
      </c>
      <c r="C282">
        <v>0</v>
      </c>
      <c r="D282">
        <v>0</v>
      </c>
      <c r="E282">
        <v>114.47369999999999</v>
      </c>
      <c r="F282">
        <v>26.616800000000001</v>
      </c>
    </row>
    <row r="283" spans="1:6">
      <c r="A283">
        <v>114.2911</v>
      </c>
      <c r="B283">
        <v>0</v>
      </c>
      <c r="C283">
        <v>0</v>
      </c>
      <c r="D283">
        <v>0</v>
      </c>
      <c r="E283">
        <v>115.0395</v>
      </c>
      <c r="F283">
        <v>20.762599999999999</v>
      </c>
    </row>
    <row r="284" spans="1:6">
      <c r="A284">
        <v>114.5575</v>
      </c>
      <c r="B284">
        <v>2</v>
      </c>
      <c r="C284">
        <v>0</v>
      </c>
      <c r="D284">
        <v>0</v>
      </c>
      <c r="E284">
        <v>115.6053</v>
      </c>
      <c r="F284">
        <v>14.465199999999999</v>
      </c>
    </row>
    <row r="285" spans="1:6">
      <c r="A285">
        <v>114.82389999999999</v>
      </c>
      <c r="B285">
        <v>16</v>
      </c>
      <c r="C285">
        <v>0</v>
      </c>
      <c r="D285">
        <v>0</v>
      </c>
      <c r="E285">
        <v>116.1711</v>
      </c>
      <c r="F285">
        <v>9.0008999999999997</v>
      </c>
    </row>
    <row r="286" spans="1:6">
      <c r="A286">
        <v>115.0904</v>
      </c>
      <c r="B286">
        <v>50</v>
      </c>
      <c r="C286">
        <v>0</v>
      </c>
      <c r="D286">
        <v>0</v>
      </c>
      <c r="E286">
        <v>116.73690000000001</v>
      </c>
      <c r="F286">
        <v>5.0022000000000002</v>
      </c>
    </row>
    <row r="287" spans="1:6">
      <c r="A287">
        <v>115.35680000000001</v>
      </c>
      <c r="B287">
        <v>96</v>
      </c>
      <c r="C287">
        <v>0</v>
      </c>
      <c r="D287">
        <v>0</v>
      </c>
      <c r="E287">
        <v>117.3026</v>
      </c>
      <c r="F287">
        <v>2.4828999999999999</v>
      </c>
    </row>
    <row r="288" spans="1:6">
      <c r="A288">
        <v>115.6232</v>
      </c>
      <c r="B288">
        <v>47</v>
      </c>
      <c r="C288">
        <v>0</v>
      </c>
      <c r="D288">
        <v>0</v>
      </c>
      <c r="E288">
        <v>117.86839999999999</v>
      </c>
      <c r="F288">
        <v>1.1007</v>
      </c>
    </row>
    <row r="289" spans="1:6">
      <c r="A289">
        <v>115.8897</v>
      </c>
      <c r="B289">
        <v>5</v>
      </c>
      <c r="C289">
        <v>0</v>
      </c>
      <c r="D289">
        <v>0</v>
      </c>
      <c r="E289">
        <v>118.4342</v>
      </c>
      <c r="F289">
        <v>0.43580000000000002</v>
      </c>
    </row>
    <row r="290" spans="1:6">
      <c r="A290">
        <v>116.1561</v>
      </c>
      <c r="B290">
        <v>1</v>
      </c>
      <c r="C290">
        <v>0</v>
      </c>
      <c r="D290">
        <v>0</v>
      </c>
      <c r="E290">
        <v>119</v>
      </c>
      <c r="F290">
        <v>0.15409999999999999</v>
      </c>
    </row>
    <row r="291" spans="1:6">
      <c r="A291">
        <v>116.4225</v>
      </c>
      <c r="B291">
        <v>1</v>
      </c>
      <c r="C291">
        <v>0</v>
      </c>
      <c r="D291">
        <v>0</v>
      </c>
      <c r="E291">
        <v>119.5658</v>
      </c>
      <c r="F291">
        <v>4.87E-2</v>
      </c>
    </row>
    <row r="292" spans="1:6">
      <c r="A292">
        <v>116.68899999999999</v>
      </c>
      <c r="B292">
        <v>4</v>
      </c>
      <c r="C292">
        <v>0</v>
      </c>
      <c r="D292">
        <v>0</v>
      </c>
      <c r="E292">
        <v>120.13160000000001</v>
      </c>
      <c r="F292">
        <v>1.37E-2</v>
      </c>
    </row>
    <row r="293" spans="1:6">
      <c r="A293">
        <v>116.9554</v>
      </c>
      <c r="B293">
        <v>0</v>
      </c>
      <c r="C293">
        <v>0</v>
      </c>
      <c r="D293">
        <v>0</v>
      </c>
      <c r="E293">
        <v>120.6974</v>
      </c>
      <c r="F293">
        <v>3.5000000000000001E-3</v>
      </c>
    </row>
    <row r="294" spans="1:6">
      <c r="A294">
        <v>117.2218</v>
      </c>
      <c r="B294">
        <v>0</v>
      </c>
      <c r="C294">
        <v>0</v>
      </c>
      <c r="D294">
        <v>0</v>
      </c>
      <c r="E294">
        <v>121.2632</v>
      </c>
      <c r="F294">
        <v>8.0000000000000004E-4</v>
      </c>
    </row>
    <row r="295" spans="1:6">
      <c r="A295">
        <v>117.4883</v>
      </c>
      <c r="B295">
        <v>0</v>
      </c>
      <c r="C295">
        <v>0</v>
      </c>
      <c r="D295">
        <v>0</v>
      </c>
      <c r="E295">
        <v>121.82899999999999</v>
      </c>
      <c r="F295">
        <v>2.0000000000000001E-4</v>
      </c>
    </row>
    <row r="298" spans="1:6">
      <c r="A298" t="s">
        <v>618</v>
      </c>
      <c r="B298" t="s">
        <v>593</v>
      </c>
      <c r="C298" t="s">
        <v>594</v>
      </c>
      <c r="D298" t="s">
        <v>595</v>
      </c>
      <c r="E298" t="s">
        <v>596</v>
      </c>
      <c r="F298" t="s">
        <v>597</v>
      </c>
    </row>
    <row r="299" spans="1:6">
      <c r="A299">
        <v>111.9452</v>
      </c>
      <c r="B299">
        <v>0</v>
      </c>
      <c r="C299">
        <v>0</v>
      </c>
      <c r="D299">
        <v>0</v>
      </c>
      <c r="E299">
        <v>108.3377</v>
      </c>
      <c r="F299">
        <v>1E-4</v>
      </c>
    </row>
    <row r="300" spans="1:6">
      <c r="A300">
        <v>112.1897</v>
      </c>
      <c r="B300">
        <v>0</v>
      </c>
      <c r="C300">
        <v>0</v>
      </c>
      <c r="D300">
        <v>0</v>
      </c>
      <c r="E300">
        <v>108.8309</v>
      </c>
      <c r="F300">
        <v>6.9999999999999999E-4</v>
      </c>
    </row>
    <row r="301" spans="1:6">
      <c r="A301">
        <v>112.4341</v>
      </c>
      <c r="B301">
        <v>0</v>
      </c>
      <c r="C301">
        <v>1</v>
      </c>
      <c r="D301">
        <v>0</v>
      </c>
      <c r="E301">
        <v>109.3242</v>
      </c>
      <c r="F301">
        <v>3.3999999999999998E-3</v>
      </c>
    </row>
    <row r="302" spans="1:6">
      <c r="A302">
        <v>112.6786</v>
      </c>
      <c r="B302">
        <v>2</v>
      </c>
      <c r="C302">
        <v>0</v>
      </c>
      <c r="D302">
        <v>0</v>
      </c>
      <c r="E302">
        <v>109.8175</v>
      </c>
      <c r="F302">
        <v>1.46E-2</v>
      </c>
    </row>
    <row r="303" spans="1:6">
      <c r="A303">
        <v>112.92310000000001</v>
      </c>
      <c r="B303">
        <v>19</v>
      </c>
      <c r="C303">
        <v>0</v>
      </c>
      <c r="D303">
        <v>0</v>
      </c>
      <c r="E303">
        <v>110.3107</v>
      </c>
      <c r="F303">
        <v>5.5199999999999999E-2</v>
      </c>
    </row>
    <row r="304" spans="1:6">
      <c r="A304">
        <v>113.1675</v>
      </c>
      <c r="B304">
        <v>25</v>
      </c>
      <c r="C304">
        <v>0</v>
      </c>
      <c r="D304">
        <v>0</v>
      </c>
      <c r="E304">
        <v>110.804</v>
      </c>
      <c r="F304">
        <v>0.18459999999999999</v>
      </c>
    </row>
    <row r="305" spans="1:6">
      <c r="A305">
        <v>113.41200000000001</v>
      </c>
      <c r="B305">
        <v>39</v>
      </c>
      <c r="C305">
        <v>0</v>
      </c>
      <c r="D305">
        <v>0</v>
      </c>
      <c r="E305">
        <v>111.29730000000001</v>
      </c>
      <c r="F305">
        <v>0.54490000000000005</v>
      </c>
    </row>
    <row r="306" spans="1:6">
      <c r="A306">
        <v>113.65649999999999</v>
      </c>
      <c r="B306">
        <v>40</v>
      </c>
      <c r="C306">
        <v>0</v>
      </c>
      <c r="D306">
        <v>0</v>
      </c>
      <c r="E306">
        <v>111.79049999999999</v>
      </c>
      <c r="F306">
        <v>1.4192</v>
      </c>
    </row>
    <row r="307" spans="1:6">
      <c r="A307">
        <v>113.90089999999999</v>
      </c>
      <c r="B307">
        <v>10</v>
      </c>
      <c r="C307">
        <v>0</v>
      </c>
      <c r="D307">
        <v>0</v>
      </c>
      <c r="E307">
        <v>112.2838</v>
      </c>
      <c r="F307">
        <v>3.2614000000000001</v>
      </c>
    </row>
    <row r="308" spans="1:6">
      <c r="A308">
        <v>114.1454</v>
      </c>
      <c r="B308">
        <v>2</v>
      </c>
      <c r="C308">
        <v>0</v>
      </c>
      <c r="D308">
        <v>0</v>
      </c>
      <c r="E308">
        <v>112.777</v>
      </c>
      <c r="F308">
        <v>6.6127000000000002</v>
      </c>
    </row>
    <row r="309" spans="1:6">
      <c r="A309">
        <v>114.3899</v>
      </c>
      <c r="B309">
        <v>1</v>
      </c>
      <c r="C309">
        <v>0</v>
      </c>
      <c r="D309">
        <v>0</v>
      </c>
      <c r="E309">
        <v>113.27030000000001</v>
      </c>
      <c r="F309">
        <v>11.8302</v>
      </c>
    </row>
    <row r="310" spans="1:6">
      <c r="A310">
        <v>114.6344</v>
      </c>
      <c r="B310">
        <v>5</v>
      </c>
      <c r="C310">
        <v>0</v>
      </c>
      <c r="D310">
        <v>0</v>
      </c>
      <c r="E310">
        <v>113.7636</v>
      </c>
      <c r="F310">
        <v>18.6737</v>
      </c>
    </row>
    <row r="311" spans="1:6">
      <c r="A311">
        <v>114.8788</v>
      </c>
      <c r="B311">
        <v>17</v>
      </c>
      <c r="C311">
        <v>0</v>
      </c>
      <c r="D311">
        <v>0</v>
      </c>
      <c r="E311">
        <v>114.2568</v>
      </c>
      <c r="F311">
        <v>26.0078</v>
      </c>
    </row>
    <row r="312" spans="1:6">
      <c r="A312">
        <v>115.1233</v>
      </c>
      <c r="B312">
        <v>77</v>
      </c>
      <c r="C312">
        <v>0</v>
      </c>
      <c r="D312">
        <v>0</v>
      </c>
      <c r="E312">
        <v>114.7501</v>
      </c>
      <c r="F312">
        <v>31.96</v>
      </c>
    </row>
    <row r="313" spans="1:6">
      <c r="A313">
        <v>115.3678</v>
      </c>
      <c r="B313">
        <v>54</v>
      </c>
      <c r="C313">
        <v>0</v>
      </c>
      <c r="D313">
        <v>0</v>
      </c>
      <c r="E313">
        <v>115.24339999999999</v>
      </c>
      <c r="F313">
        <v>34.652900000000002</v>
      </c>
    </row>
    <row r="314" spans="1:6">
      <c r="A314">
        <v>115.6122</v>
      </c>
      <c r="B314">
        <v>5</v>
      </c>
      <c r="C314">
        <v>0</v>
      </c>
      <c r="D314">
        <v>0</v>
      </c>
      <c r="E314">
        <v>115.7366</v>
      </c>
      <c r="F314">
        <v>33.151699999999998</v>
      </c>
    </row>
    <row r="315" spans="1:6">
      <c r="A315">
        <v>115.8567</v>
      </c>
      <c r="B315">
        <v>0</v>
      </c>
      <c r="C315">
        <v>0</v>
      </c>
      <c r="D315">
        <v>0</v>
      </c>
      <c r="E315">
        <v>116.2299</v>
      </c>
      <c r="F315">
        <v>27.983499999999999</v>
      </c>
    </row>
    <row r="316" spans="1:6">
      <c r="A316">
        <v>116.10120000000001</v>
      </c>
      <c r="B316">
        <v>4</v>
      </c>
      <c r="C316">
        <v>0</v>
      </c>
      <c r="D316">
        <v>0</v>
      </c>
      <c r="E316">
        <v>116.72320000000001</v>
      </c>
      <c r="F316">
        <v>20.8415</v>
      </c>
    </row>
    <row r="317" spans="1:6">
      <c r="A317">
        <v>116.3456</v>
      </c>
      <c r="B317">
        <v>22</v>
      </c>
      <c r="C317">
        <v>0</v>
      </c>
      <c r="D317">
        <v>0</v>
      </c>
      <c r="E317">
        <v>117.21639999999999</v>
      </c>
      <c r="F317">
        <v>13.6958</v>
      </c>
    </row>
    <row r="318" spans="1:6">
      <c r="A318">
        <v>116.59010000000001</v>
      </c>
      <c r="B318">
        <v>72</v>
      </c>
      <c r="C318">
        <v>0</v>
      </c>
      <c r="D318">
        <v>0</v>
      </c>
      <c r="E318">
        <v>117.7097</v>
      </c>
      <c r="F318">
        <v>7.9410999999999996</v>
      </c>
    </row>
    <row r="319" spans="1:6">
      <c r="A319">
        <v>116.83459999999999</v>
      </c>
      <c r="B319">
        <v>40</v>
      </c>
      <c r="C319">
        <v>0</v>
      </c>
      <c r="D319">
        <v>0</v>
      </c>
      <c r="E319">
        <v>118.203</v>
      </c>
      <c r="F319">
        <v>4.0625999999999998</v>
      </c>
    </row>
    <row r="320" spans="1:6">
      <c r="A320">
        <v>117.0791</v>
      </c>
      <c r="B320">
        <v>30</v>
      </c>
      <c r="C320">
        <v>0</v>
      </c>
      <c r="D320">
        <v>0</v>
      </c>
      <c r="E320">
        <v>118.6962</v>
      </c>
      <c r="F320">
        <v>1.8338000000000001</v>
      </c>
    </row>
    <row r="321" spans="1:6">
      <c r="A321">
        <v>117.3235</v>
      </c>
      <c r="B321">
        <v>25</v>
      </c>
      <c r="C321">
        <v>0</v>
      </c>
      <c r="D321">
        <v>0</v>
      </c>
      <c r="E321">
        <v>119.1895</v>
      </c>
      <c r="F321">
        <v>0.73040000000000005</v>
      </c>
    </row>
    <row r="322" spans="1:6">
      <c r="A322">
        <v>117.568</v>
      </c>
      <c r="B322">
        <v>4</v>
      </c>
      <c r="C322">
        <v>0</v>
      </c>
      <c r="D322">
        <v>0</v>
      </c>
      <c r="E322">
        <v>119.6827</v>
      </c>
      <c r="F322">
        <v>0.25669999999999998</v>
      </c>
    </row>
    <row r="323" spans="1:6">
      <c r="A323">
        <v>117.8125</v>
      </c>
      <c r="B323">
        <v>0</v>
      </c>
      <c r="C323">
        <v>0</v>
      </c>
      <c r="D323">
        <v>0</v>
      </c>
      <c r="E323">
        <v>120.176</v>
      </c>
      <c r="F323">
        <v>7.9600000000000004E-2</v>
      </c>
    </row>
    <row r="324" spans="1:6">
      <c r="A324">
        <v>118.0569</v>
      </c>
      <c r="B324">
        <v>1</v>
      </c>
      <c r="C324">
        <v>0</v>
      </c>
      <c r="D324">
        <v>0</v>
      </c>
      <c r="E324">
        <v>120.66930000000001</v>
      </c>
      <c r="F324">
        <v>2.18E-2</v>
      </c>
    </row>
    <row r="325" spans="1:6">
      <c r="A325">
        <v>118.3014</v>
      </c>
      <c r="B325">
        <v>0</v>
      </c>
      <c r="C325">
        <v>0</v>
      </c>
      <c r="D325">
        <v>0</v>
      </c>
      <c r="E325">
        <v>121.16249999999999</v>
      </c>
      <c r="F325">
        <v>5.3E-3</v>
      </c>
    </row>
    <row r="326" spans="1:6">
      <c r="A326">
        <v>118.5459</v>
      </c>
      <c r="B326">
        <v>0</v>
      </c>
      <c r="C326">
        <v>1</v>
      </c>
      <c r="D326">
        <v>0</v>
      </c>
      <c r="E326">
        <v>121.6558</v>
      </c>
      <c r="F326">
        <v>1.1000000000000001E-3</v>
      </c>
    </row>
    <row r="327" spans="1:6">
      <c r="A327">
        <v>118.7903</v>
      </c>
      <c r="B327">
        <v>0</v>
      </c>
      <c r="C327">
        <v>0</v>
      </c>
      <c r="D327">
        <v>0</v>
      </c>
      <c r="E327">
        <v>122.1491</v>
      </c>
      <c r="F327">
        <v>2.0000000000000001E-4</v>
      </c>
    </row>
    <row r="328" spans="1:6">
      <c r="A328">
        <v>119.0348</v>
      </c>
      <c r="B328">
        <v>0</v>
      </c>
      <c r="C328">
        <v>0</v>
      </c>
      <c r="D328">
        <v>0</v>
      </c>
      <c r="E328">
        <v>122.64230000000001</v>
      </c>
      <c r="F328">
        <v>0</v>
      </c>
    </row>
    <row r="331" spans="1:6">
      <c r="A331" t="s">
        <v>619</v>
      </c>
      <c r="B331" t="s">
        <v>593</v>
      </c>
      <c r="C331" t="s">
        <v>594</v>
      </c>
      <c r="D331" t="s">
        <v>595</v>
      </c>
      <c r="E331" t="s">
        <v>596</v>
      </c>
      <c r="F331" t="s">
        <v>597</v>
      </c>
    </row>
    <row r="332" spans="1:6">
      <c r="A332">
        <v>1.9871000000000001</v>
      </c>
      <c r="B332">
        <v>0</v>
      </c>
      <c r="C332">
        <v>0</v>
      </c>
      <c r="D332">
        <v>1</v>
      </c>
      <c r="E332">
        <v>1.5485</v>
      </c>
      <c r="F332">
        <v>0</v>
      </c>
    </row>
    <row r="333" spans="1:6">
      <c r="A333">
        <v>2.1118000000000001</v>
      </c>
      <c r="B333">
        <v>0</v>
      </c>
      <c r="C333">
        <v>0</v>
      </c>
      <c r="D333">
        <v>1</v>
      </c>
      <c r="E333">
        <v>1.7035</v>
      </c>
      <c r="F333">
        <v>0</v>
      </c>
    </row>
    <row r="334" spans="1:6">
      <c r="A334">
        <v>2.2364999999999999</v>
      </c>
      <c r="B334">
        <v>0</v>
      </c>
      <c r="C334">
        <v>0</v>
      </c>
      <c r="D334">
        <v>2</v>
      </c>
      <c r="E334">
        <v>1.8584000000000001</v>
      </c>
      <c r="F334">
        <v>0</v>
      </c>
    </row>
    <row r="335" spans="1:6">
      <c r="A335">
        <v>2.3611</v>
      </c>
      <c r="B335">
        <v>0</v>
      </c>
      <c r="C335">
        <v>0</v>
      </c>
      <c r="D335">
        <v>1</v>
      </c>
      <c r="E335">
        <v>2.0133000000000001</v>
      </c>
      <c r="F335">
        <v>0</v>
      </c>
    </row>
    <row r="336" spans="1:6">
      <c r="A336">
        <v>2.4857999999999998</v>
      </c>
      <c r="B336">
        <v>0</v>
      </c>
      <c r="C336">
        <v>0</v>
      </c>
      <c r="D336">
        <v>0</v>
      </c>
      <c r="E336">
        <v>2.1682999999999999</v>
      </c>
      <c r="F336">
        <v>0</v>
      </c>
    </row>
    <row r="337" spans="1:6">
      <c r="A337">
        <v>2.6105</v>
      </c>
      <c r="B337">
        <v>0</v>
      </c>
      <c r="C337">
        <v>0</v>
      </c>
      <c r="D337">
        <v>0</v>
      </c>
      <c r="E337">
        <v>2.3231999999999999</v>
      </c>
      <c r="F337">
        <v>0</v>
      </c>
    </row>
    <row r="338" spans="1:6">
      <c r="A338">
        <v>2.7351999999999999</v>
      </c>
      <c r="B338">
        <v>0</v>
      </c>
      <c r="C338">
        <v>0</v>
      </c>
      <c r="D338">
        <v>0</v>
      </c>
      <c r="E338">
        <v>2.4781</v>
      </c>
      <c r="F338">
        <v>0</v>
      </c>
    </row>
    <row r="339" spans="1:6">
      <c r="A339">
        <v>2.8599000000000001</v>
      </c>
      <c r="B339">
        <v>0</v>
      </c>
      <c r="C339">
        <v>0</v>
      </c>
      <c r="D339">
        <v>2</v>
      </c>
      <c r="E339">
        <v>2.633</v>
      </c>
      <c r="F339">
        <v>0</v>
      </c>
    </row>
    <row r="340" spans="1:6">
      <c r="A340">
        <v>2.9845999999999999</v>
      </c>
      <c r="B340">
        <v>0</v>
      </c>
      <c r="C340">
        <v>0</v>
      </c>
      <c r="D340">
        <v>0</v>
      </c>
      <c r="E340">
        <v>2.7879999999999998</v>
      </c>
      <c r="F340">
        <v>0</v>
      </c>
    </row>
    <row r="341" spans="1:6">
      <c r="A341">
        <v>3.1092</v>
      </c>
      <c r="B341">
        <v>0</v>
      </c>
      <c r="C341">
        <v>0</v>
      </c>
      <c r="D341">
        <v>2</v>
      </c>
      <c r="E341">
        <v>2.9428999999999998</v>
      </c>
      <c r="F341">
        <v>0</v>
      </c>
    </row>
    <row r="342" spans="1:6">
      <c r="A342">
        <v>3.2339000000000002</v>
      </c>
      <c r="B342">
        <v>0</v>
      </c>
      <c r="C342">
        <v>0</v>
      </c>
      <c r="D342">
        <v>0</v>
      </c>
      <c r="E342">
        <v>3.0977999999999999</v>
      </c>
      <c r="F342">
        <v>1.6000000000000001E-3</v>
      </c>
    </row>
    <row r="343" spans="1:6">
      <c r="A343">
        <v>3.3586</v>
      </c>
      <c r="B343">
        <v>0</v>
      </c>
      <c r="C343">
        <v>0</v>
      </c>
      <c r="D343">
        <v>3</v>
      </c>
      <c r="E343">
        <v>3.2528000000000001</v>
      </c>
      <c r="F343">
        <v>0.13089999999999999</v>
      </c>
    </row>
    <row r="344" spans="1:6">
      <c r="A344">
        <v>3.4832999999999998</v>
      </c>
      <c r="B344">
        <v>0</v>
      </c>
      <c r="C344">
        <v>11</v>
      </c>
      <c r="D344">
        <v>0</v>
      </c>
      <c r="E344">
        <v>3.4077000000000002</v>
      </c>
      <c r="F344">
        <v>3.7635999999999998</v>
      </c>
    </row>
    <row r="345" spans="1:6">
      <c r="A345">
        <v>3.6080000000000001</v>
      </c>
      <c r="B345">
        <v>76</v>
      </c>
      <c r="C345">
        <v>0</v>
      </c>
      <c r="D345">
        <v>0</v>
      </c>
      <c r="E345">
        <v>3.5626000000000002</v>
      </c>
      <c r="F345">
        <v>37.485300000000002</v>
      </c>
    </row>
    <row r="346" spans="1:6">
      <c r="A346">
        <v>3.7326999999999999</v>
      </c>
      <c r="B346">
        <v>140</v>
      </c>
      <c r="C346">
        <v>0</v>
      </c>
      <c r="D346">
        <v>0</v>
      </c>
      <c r="E346">
        <v>3.7174999999999998</v>
      </c>
      <c r="F346">
        <v>129.36179999999999</v>
      </c>
    </row>
    <row r="347" spans="1:6">
      <c r="A347">
        <v>3.8573</v>
      </c>
      <c r="B347">
        <v>124</v>
      </c>
      <c r="C347">
        <v>0</v>
      </c>
      <c r="D347">
        <v>0</v>
      </c>
      <c r="E347">
        <v>3.8725000000000001</v>
      </c>
      <c r="F347">
        <v>154.6799</v>
      </c>
    </row>
    <row r="348" spans="1:6">
      <c r="A348">
        <v>3.9820000000000002</v>
      </c>
      <c r="B348">
        <v>85</v>
      </c>
      <c r="C348">
        <v>0</v>
      </c>
      <c r="D348">
        <v>0</v>
      </c>
      <c r="E348">
        <v>4.0274000000000001</v>
      </c>
      <c r="F348">
        <v>64.083200000000005</v>
      </c>
    </row>
    <row r="349" spans="1:6">
      <c r="A349">
        <v>4.1067</v>
      </c>
      <c r="B349">
        <v>37</v>
      </c>
      <c r="C349">
        <v>0</v>
      </c>
      <c r="D349">
        <v>0</v>
      </c>
      <c r="E349">
        <v>4.1822999999999997</v>
      </c>
      <c r="F349">
        <v>9.1989000000000001</v>
      </c>
    </row>
    <row r="350" spans="1:6">
      <c r="A350">
        <v>4.2313999999999998</v>
      </c>
      <c r="B350">
        <v>0</v>
      </c>
      <c r="C350">
        <v>4</v>
      </c>
      <c r="D350">
        <v>0</v>
      </c>
      <c r="E350">
        <v>4.3372000000000002</v>
      </c>
      <c r="F350">
        <v>0.45750000000000002</v>
      </c>
    </row>
    <row r="351" spans="1:6">
      <c r="A351">
        <v>4.3560999999999996</v>
      </c>
      <c r="B351">
        <v>0</v>
      </c>
      <c r="C351">
        <v>0</v>
      </c>
      <c r="D351">
        <v>1</v>
      </c>
      <c r="E351">
        <v>4.4922000000000004</v>
      </c>
      <c r="F351">
        <v>7.9000000000000008E-3</v>
      </c>
    </row>
    <row r="352" spans="1:6">
      <c r="A352">
        <v>4.4808000000000003</v>
      </c>
      <c r="B352">
        <v>0</v>
      </c>
      <c r="C352">
        <v>0</v>
      </c>
      <c r="D352">
        <v>1</v>
      </c>
      <c r="E352">
        <v>4.6471</v>
      </c>
      <c r="F352">
        <v>0</v>
      </c>
    </row>
    <row r="353" spans="1:6">
      <c r="A353">
        <v>4.6054000000000004</v>
      </c>
      <c r="B353">
        <v>0</v>
      </c>
      <c r="C353">
        <v>0</v>
      </c>
      <c r="D353">
        <v>2</v>
      </c>
      <c r="E353">
        <v>4.8019999999999996</v>
      </c>
      <c r="F353">
        <v>0</v>
      </c>
    </row>
    <row r="354" spans="1:6">
      <c r="A354">
        <v>4.7301000000000002</v>
      </c>
      <c r="B354">
        <v>0</v>
      </c>
      <c r="C354">
        <v>0</v>
      </c>
      <c r="D354">
        <v>0</v>
      </c>
      <c r="E354">
        <v>4.9569999999999999</v>
      </c>
      <c r="F354">
        <v>0</v>
      </c>
    </row>
    <row r="355" spans="1:6">
      <c r="A355">
        <v>4.8548</v>
      </c>
      <c r="B355">
        <v>0</v>
      </c>
      <c r="C355">
        <v>0</v>
      </c>
      <c r="D355">
        <v>0</v>
      </c>
      <c r="E355">
        <v>5.1119000000000003</v>
      </c>
      <c r="F355">
        <v>0</v>
      </c>
    </row>
    <row r="356" spans="1:6">
      <c r="A356">
        <v>4.9794999999999998</v>
      </c>
      <c r="B356">
        <v>0</v>
      </c>
      <c r="C356">
        <v>0</v>
      </c>
      <c r="D356">
        <v>1</v>
      </c>
      <c r="E356">
        <v>5.2667999999999999</v>
      </c>
      <c r="F356">
        <v>0</v>
      </c>
    </row>
    <row r="357" spans="1:6">
      <c r="A357">
        <v>5.1041999999999996</v>
      </c>
      <c r="B357">
        <v>0</v>
      </c>
      <c r="C357">
        <v>0</v>
      </c>
      <c r="D357">
        <v>1</v>
      </c>
      <c r="E357">
        <v>5.4217000000000004</v>
      </c>
      <c r="F357">
        <v>0</v>
      </c>
    </row>
    <row r="358" spans="1:6">
      <c r="A358">
        <v>5.2289000000000003</v>
      </c>
      <c r="B358">
        <v>0</v>
      </c>
      <c r="C358">
        <v>0</v>
      </c>
      <c r="D358">
        <v>0</v>
      </c>
      <c r="E358">
        <v>5.5766999999999998</v>
      </c>
      <c r="F358">
        <v>0</v>
      </c>
    </row>
    <row r="359" spans="1:6">
      <c r="A359">
        <v>5.3535000000000004</v>
      </c>
      <c r="B359">
        <v>0</v>
      </c>
      <c r="C359">
        <v>0</v>
      </c>
      <c r="D359">
        <v>0</v>
      </c>
      <c r="E359">
        <v>5.7316000000000003</v>
      </c>
      <c r="F359">
        <v>0</v>
      </c>
    </row>
    <row r="360" spans="1:6">
      <c r="A360">
        <v>5.4782000000000002</v>
      </c>
      <c r="B360">
        <v>0</v>
      </c>
      <c r="C360">
        <v>0</v>
      </c>
      <c r="D360">
        <v>0</v>
      </c>
      <c r="E360">
        <v>5.8864999999999998</v>
      </c>
      <c r="F360">
        <v>0</v>
      </c>
    </row>
    <row r="361" spans="1:6">
      <c r="A361">
        <v>5.6029</v>
      </c>
      <c r="B361">
        <v>0</v>
      </c>
      <c r="C361">
        <v>0</v>
      </c>
      <c r="D361">
        <v>1</v>
      </c>
      <c r="E361">
        <v>6.0415000000000001</v>
      </c>
      <c r="F361">
        <v>0</v>
      </c>
    </row>
    <row r="364" spans="1:6">
      <c r="A364" t="s">
        <v>620</v>
      </c>
      <c r="B364" t="s">
        <v>593</v>
      </c>
      <c r="C364" t="s">
        <v>594</v>
      </c>
      <c r="D364" t="s">
        <v>595</v>
      </c>
      <c r="E364" t="s">
        <v>596</v>
      </c>
      <c r="F364" t="s">
        <v>597</v>
      </c>
    </row>
    <row r="365" spans="1:6">
      <c r="A365">
        <v>2.0491000000000001</v>
      </c>
      <c r="B365">
        <v>0</v>
      </c>
      <c r="C365">
        <v>0</v>
      </c>
      <c r="D365">
        <v>2</v>
      </c>
      <c r="E365">
        <v>1.5797000000000001</v>
      </c>
      <c r="F365">
        <v>0</v>
      </c>
    </row>
    <row r="366" spans="1:6">
      <c r="A366">
        <v>2.2040000000000002</v>
      </c>
      <c r="B366">
        <v>0</v>
      </c>
      <c r="C366">
        <v>0</v>
      </c>
      <c r="D366">
        <v>3</v>
      </c>
      <c r="E366">
        <v>1.7669999999999999</v>
      </c>
      <c r="F366">
        <v>0</v>
      </c>
    </row>
    <row r="367" spans="1:6">
      <c r="A367">
        <v>2.3588</v>
      </c>
      <c r="B367">
        <v>0</v>
      </c>
      <c r="C367">
        <v>0</v>
      </c>
      <c r="D367">
        <v>0</v>
      </c>
      <c r="E367">
        <v>1.9541999999999999</v>
      </c>
      <c r="F367">
        <v>0</v>
      </c>
    </row>
    <row r="368" spans="1:6">
      <c r="A368">
        <v>2.5137</v>
      </c>
      <c r="B368">
        <v>0</v>
      </c>
      <c r="C368">
        <v>0</v>
      </c>
      <c r="D368">
        <v>0</v>
      </c>
      <c r="E368">
        <v>2.1415000000000002</v>
      </c>
      <c r="F368">
        <v>0</v>
      </c>
    </row>
    <row r="369" spans="1:6">
      <c r="A369">
        <v>2.6686000000000001</v>
      </c>
      <c r="B369">
        <v>0</v>
      </c>
      <c r="C369">
        <v>0</v>
      </c>
      <c r="D369">
        <v>0</v>
      </c>
      <c r="E369">
        <v>2.3288000000000002</v>
      </c>
      <c r="F369">
        <v>0</v>
      </c>
    </row>
    <row r="370" spans="1:6">
      <c r="A370">
        <v>2.8235000000000001</v>
      </c>
      <c r="B370">
        <v>0</v>
      </c>
      <c r="C370">
        <v>0</v>
      </c>
      <c r="D370">
        <v>0</v>
      </c>
      <c r="E370">
        <v>2.516</v>
      </c>
      <c r="F370">
        <v>0</v>
      </c>
    </row>
    <row r="371" spans="1:6">
      <c r="A371">
        <v>2.9784000000000002</v>
      </c>
      <c r="B371">
        <v>0</v>
      </c>
      <c r="C371">
        <v>0</v>
      </c>
      <c r="D371">
        <v>2</v>
      </c>
      <c r="E371">
        <v>2.7033</v>
      </c>
      <c r="F371">
        <v>0</v>
      </c>
    </row>
    <row r="372" spans="1:6">
      <c r="A372">
        <v>3.1333000000000002</v>
      </c>
      <c r="B372">
        <v>0</v>
      </c>
      <c r="C372">
        <v>0</v>
      </c>
      <c r="D372">
        <v>1</v>
      </c>
      <c r="E372">
        <v>2.8904999999999998</v>
      </c>
      <c r="F372">
        <v>0</v>
      </c>
    </row>
    <row r="373" spans="1:6">
      <c r="A373">
        <v>3.2881999999999998</v>
      </c>
      <c r="B373">
        <v>0</v>
      </c>
      <c r="C373">
        <v>0</v>
      </c>
      <c r="D373">
        <v>2</v>
      </c>
      <c r="E373">
        <v>3.0777999999999999</v>
      </c>
      <c r="F373">
        <v>1.1000000000000001E-3</v>
      </c>
    </row>
    <row r="374" spans="1:6">
      <c r="A374">
        <v>3.4430999999999998</v>
      </c>
      <c r="B374">
        <v>0</v>
      </c>
      <c r="C374">
        <v>7</v>
      </c>
      <c r="D374">
        <v>0</v>
      </c>
      <c r="E374">
        <v>3.2650999999999999</v>
      </c>
      <c r="F374">
        <v>0.19189999999999999</v>
      </c>
    </row>
    <row r="375" spans="1:6">
      <c r="A375">
        <v>3.5979999999999999</v>
      </c>
      <c r="B375">
        <v>72</v>
      </c>
      <c r="C375">
        <v>0</v>
      </c>
      <c r="D375">
        <v>0</v>
      </c>
      <c r="E375">
        <v>3.4523000000000001</v>
      </c>
      <c r="F375">
        <v>8.0092999999999996</v>
      </c>
    </row>
    <row r="376" spans="1:6">
      <c r="A376">
        <v>3.7528999999999999</v>
      </c>
      <c r="B376">
        <v>161</v>
      </c>
      <c r="C376">
        <v>0</v>
      </c>
      <c r="D376">
        <v>0</v>
      </c>
      <c r="E376">
        <v>3.6396000000000002</v>
      </c>
      <c r="F376">
        <v>80.229799999999997</v>
      </c>
    </row>
    <row r="377" spans="1:6">
      <c r="A377">
        <v>3.9077999999999999</v>
      </c>
      <c r="B377">
        <v>143</v>
      </c>
      <c r="C377">
        <v>0</v>
      </c>
      <c r="D377">
        <v>0</v>
      </c>
      <c r="E377">
        <v>3.8268</v>
      </c>
      <c r="F377">
        <v>192.90539999999999</v>
      </c>
    </row>
    <row r="378" spans="1:6">
      <c r="A378">
        <v>4.0627000000000004</v>
      </c>
      <c r="B378">
        <v>83</v>
      </c>
      <c r="C378">
        <v>0</v>
      </c>
      <c r="D378">
        <v>0</v>
      </c>
      <c r="E378">
        <v>4.0141</v>
      </c>
      <c r="F378">
        <v>111.3329</v>
      </c>
    </row>
    <row r="379" spans="1:6">
      <c r="A379">
        <v>4.2176</v>
      </c>
      <c r="B379">
        <v>0</v>
      </c>
      <c r="C379">
        <v>10</v>
      </c>
      <c r="D379">
        <v>0</v>
      </c>
      <c r="E379">
        <v>4.2013999999999996</v>
      </c>
      <c r="F379">
        <v>15.4231</v>
      </c>
    </row>
    <row r="380" spans="1:6">
      <c r="A380">
        <v>4.3723999999999998</v>
      </c>
      <c r="B380">
        <v>0</v>
      </c>
      <c r="C380">
        <v>0</v>
      </c>
      <c r="D380">
        <v>1</v>
      </c>
      <c r="E380">
        <v>4.3886000000000003</v>
      </c>
      <c r="F380">
        <v>0.51290000000000002</v>
      </c>
    </row>
    <row r="381" spans="1:6">
      <c r="A381">
        <v>4.5273000000000003</v>
      </c>
      <c r="B381">
        <v>0</v>
      </c>
      <c r="C381">
        <v>0</v>
      </c>
      <c r="D381">
        <v>1</v>
      </c>
      <c r="E381">
        <v>4.5758999999999999</v>
      </c>
      <c r="F381">
        <v>4.1000000000000003E-3</v>
      </c>
    </row>
    <row r="382" spans="1:6">
      <c r="A382">
        <v>4.6821999999999999</v>
      </c>
      <c r="B382">
        <v>0</v>
      </c>
      <c r="C382">
        <v>0</v>
      </c>
      <c r="D382">
        <v>0</v>
      </c>
      <c r="E382">
        <v>4.7632000000000003</v>
      </c>
      <c r="F382">
        <v>0</v>
      </c>
    </row>
    <row r="383" spans="1:6">
      <c r="A383">
        <v>4.8371000000000004</v>
      </c>
      <c r="B383">
        <v>0</v>
      </c>
      <c r="C383">
        <v>0</v>
      </c>
      <c r="D383">
        <v>1</v>
      </c>
      <c r="E383">
        <v>4.9504000000000001</v>
      </c>
      <c r="F383">
        <v>0</v>
      </c>
    </row>
    <row r="384" spans="1:6">
      <c r="A384">
        <v>4.992</v>
      </c>
      <c r="B384">
        <v>0</v>
      </c>
      <c r="C384">
        <v>0</v>
      </c>
      <c r="D384">
        <v>0</v>
      </c>
      <c r="E384">
        <v>5.1376999999999997</v>
      </c>
      <c r="F384">
        <v>0</v>
      </c>
    </row>
    <row r="385" spans="1:6">
      <c r="A385">
        <v>5.1468999999999996</v>
      </c>
      <c r="B385">
        <v>0</v>
      </c>
      <c r="C385">
        <v>0</v>
      </c>
      <c r="D385">
        <v>1</v>
      </c>
      <c r="E385">
        <v>5.3249000000000004</v>
      </c>
      <c r="F385">
        <v>0</v>
      </c>
    </row>
    <row r="386" spans="1:6">
      <c r="A386">
        <v>5.3018000000000001</v>
      </c>
      <c r="B386">
        <v>0</v>
      </c>
      <c r="C386">
        <v>0</v>
      </c>
      <c r="D386">
        <v>0</v>
      </c>
      <c r="E386">
        <v>5.5122</v>
      </c>
      <c r="F386">
        <v>0</v>
      </c>
    </row>
    <row r="387" spans="1:6">
      <c r="A387">
        <v>5.4566999999999997</v>
      </c>
      <c r="B387">
        <v>0</v>
      </c>
      <c r="C387">
        <v>0</v>
      </c>
      <c r="D387">
        <v>0</v>
      </c>
      <c r="E387">
        <v>5.6994999999999996</v>
      </c>
      <c r="F387">
        <v>0</v>
      </c>
    </row>
    <row r="388" spans="1:6">
      <c r="A388">
        <v>5.6116000000000001</v>
      </c>
      <c r="B388">
        <v>0</v>
      </c>
      <c r="C388">
        <v>0</v>
      </c>
      <c r="D388">
        <v>0</v>
      </c>
      <c r="E388">
        <v>5.8867000000000003</v>
      </c>
      <c r="F388">
        <v>0</v>
      </c>
    </row>
    <row r="389" spans="1:6">
      <c r="A389">
        <v>5.7664999999999997</v>
      </c>
      <c r="B389">
        <v>0</v>
      </c>
      <c r="C389">
        <v>0</v>
      </c>
      <c r="D389">
        <v>1</v>
      </c>
      <c r="E389">
        <v>6.0739999999999998</v>
      </c>
      <c r="F389">
        <v>0</v>
      </c>
    </row>
    <row r="390" spans="1:6">
      <c r="A390">
        <v>5.9214000000000002</v>
      </c>
      <c r="B390">
        <v>0</v>
      </c>
      <c r="C390">
        <v>0</v>
      </c>
      <c r="D390">
        <v>0</v>
      </c>
      <c r="E390">
        <v>6.2611999999999997</v>
      </c>
      <c r="F390">
        <v>0</v>
      </c>
    </row>
    <row r="391" spans="1:6">
      <c r="A391">
        <v>6.0762999999999998</v>
      </c>
      <c r="B391">
        <v>0</v>
      </c>
      <c r="C391">
        <v>0</v>
      </c>
      <c r="D391">
        <v>1</v>
      </c>
      <c r="E391">
        <v>6.4485000000000001</v>
      </c>
      <c r="F391">
        <v>0</v>
      </c>
    </row>
    <row r="392" spans="1:6">
      <c r="A392">
        <v>6.2312000000000003</v>
      </c>
      <c r="B392">
        <v>0</v>
      </c>
      <c r="C392">
        <v>0</v>
      </c>
      <c r="D392">
        <v>0</v>
      </c>
      <c r="E392">
        <v>6.6357999999999997</v>
      </c>
      <c r="F392">
        <v>0</v>
      </c>
    </row>
    <row r="393" spans="1:6">
      <c r="A393">
        <v>6.3860000000000001</v>
      </c>
      <c r="B393">
        <v>0</v>
      </c>
      <c r="C393">
        <v>0</v>
      </c>
      <c r="D393">
        <v>0</v>
      </c>
      <c r="E393">
        <v>6.8230000000000004</v>
      </c>
      <c r="F393">
        <v>0</v>
      </c>
    </row>
    <row r="394" spans="1:6">
      <c r="A394">
        <v>6.5408999999999997</v>
      </c>
      <c r="B394">
        <v>0</v>
      </c>
      <c r="C394">
        <v>0</v>
      </c>
      <c r="D394">
        <v>2</v>
      </c>
      <c r="E394">
        <v>7.0103</v>
      </c>
      <c r="F394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topLeftCell="B1" workbookViewId="0">
      <pane ySplit="1" topLeftCell="A2" activePane="bottomLeft" state="frozen"/>
      <selection pane="bottomLeft" activeCell="C25" sqref="C1:C25"/>
    </sheetView>
  </sheetViews>
  <sheetFormatPr defaultRowHeight="14.4"/>
  <cols>
    <col min="1" max="1" width="13" customWidth="1"/>
    <col min="2" max="2" width="22" customWidth="1"/>
    <col min="3" max="14" width="13" customWidth="1"/>
    <col min="15" max="15" width="16" customWidth="1"/>
  </cols>
  <sheetData>
    <row r="1" spans="1:15">
      <c r="A1" s="1" t="s">
        <v>571</v>
      </c>
      <c r="B1" s="1" t="s">
        <v>572</v>
      </c>
      <c r="C1" s="1" t="s">
        <v>574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  <c r="O1" s="1" t="s">
        <v>632</v>
      </c>
    </row>
    <row r="2" spans="1:15">
      <c r="A2" s="3" t="s">
        <v>32</v>
      </c>
      <c r="B2" s="3" t="s">
        <v>580</v>
      </c>
      <c r="C2" s="3">
        <v>202</v>
      </c>
      <c r="D2" s="3">
        <v>152.74100000000001</v>
      </c>
      <c r="E2" s="3">
        <v>5.7290000000000001</v>
      </c>
      <c r="F2" s="3">
        <v>135.55199999999999</v>
      </c>
      <c r="G2" s="3">
        <v>169.929</v>
      </c>
      <c r="H2" s="3">
        <v>143.71299999999999</v>
      </c>
      <c r="I2" s="3">
        <v>164.2</v>
      </c>
      <c r="J2" s="3">
        <v>135.85</v>
      </c>
      <c r="K2" s="3">
        <v>169.85</v>
      </c>
      <c r="L2" s="5">
        <v>143.71299999999999</v>
      </c>
      <c r="M2" s="5">
        <v>164.2</v>
      </c>
      <c r="N2" s="3">
        <v>1.68</v>
      </c>
      <c r="O2" s="6" t="s">
        <v>633</v>
      </c>
    </row>
    <row r="3" spans="1:15">
      <c r="A3" s="4" t="s">
        <v>32</v>
      </c>
      <c r="B3" s="4" t="s">
        <v>581</v>
      </c>
      <c r="C3" s="4">
        <v>202</v>
      </c>
      <c r="D3" s="4">
        <v>96.427000000000007</v>
      </c>
      <c r="E3" s="4">
        <v>5.0369999999999999</v>
      </c>
      <c r="F3" s="4">
        <v>81.313999999999993</v>
      </c>
      <c r="G3" s="4">
        <v>111.539</v>
      </c>
      <c r="H3" s="4">
        <v>84.704999999999998</v>
      </c>
      <c r="I3" s="4">
        <v>105.9</v>
      </c>
      <c r="J3" s="4">
        <v>83.1</v>
      </c>
      <c r="K3" s="4">
        <v>110.3</v>
      </c>
      <c r="L3" s="5">
        <v>84.704999999999998</v>
      </c>
      <c r="M3" s="5">
        <v>105.9</v>
      </c>
      <c r="N3" s="4">
        <v>1.43</v>
      </c>
      <c r="O3" s="7" t="s">
        <v>634</v>
      </c>
    </row>
    <row r="4" spans="1:15">
      <c r="A4" s="3" t="s">
        <v>32</v>
      </c>
      <c r="B4" s="3" t="s">
        <v>582</v>
      </c>
      <c r="C4" s="3">
        <v>202</v>
      </c>
      <c r="D4" s="3">
        <v>-1957.8</v>
      </c>
      <c r="E4" s="3">
        <v>0</v>
      </c>
      <c r="F4" s="3">
        <v>-1957.8</v>
      </c>
      <c r="G4" s="3">
        <v>-1957.8</v>
      </c>
      <c r="H4" s="3">
        <v>-1957.8</v>
      </c>
      <c r="I4" s="3">
        <v>-1957.8</v>
      </c>
      <c r="J4" s="3">
        <v>-1957.8</v>
      </c>
      <c r="K4" s="3">
        <v>-1957.8</v>
      </c>
      <c r="L4" s="5">
        <v>-1957.8</v>
      </c>
      <c r="M4" s="5">
        <v>-1957.8</v>
      </c>
      <c r="N4" s="3">
        <v>1</v>
      </c>
      <c r="O4" s="8" t="s">
        <v>635</v>
      </c>
    </row>
    <row r="5" spans="1:15">
      <c r="A5" s="4" t="s">
        <v>32</v>
      </c>
      <c r="B5" s="4" t="s">
        <v>583</v>
      </c>
      <c r="C5" s="4">
        <v>202</v>
      </c>
      <c r="D5" s="4">
        <v>69.400999999999996</v>
      </c>
      <c r="E5" s="4">
        <v>2.2229999999999999</v>
      </c>
      <c r="F5" s="4">
        <v>62.731999999999999</v>
      </c>
      <c r="G5" s="4">
        <v>76.069999999999993</v>
      </c>
      <c r="H5" s="4">
        <v>65.900000000000006</v>
      </c>
      <c r="I5" s="4">
        <v>76.677000000000007</v>
      </c>
      <c r="J5" s="4">
        <v>63.05</v>
      </c>
      <c r="K5" s="4">
        <v>75.45</v>
      </c>
      <c r="L5" s="5">
        <v>65.900000000000006</v>
      </c>
      <c r="M5" s="5">
        <v>75.45</v>
      </c>
      <c r="N5" s="4">
        <v>1.24</v>
      </c>
      <c r="O5" s="7" t="s">
        <v>634</v>
      </c>
    </row>
    <row r="6" spans="1:15">
      <c r="A6" s="3" t="s">
        <v>32</v>
      </c>
      <c r="B6" s="3" t="s">
        <v>584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4" t="s">
        <v>32</v>
      </c>
      <c r="B7" s="4" t="s">
        <v>585</v>
      </c>
      <c r="C7" s="4">
        <v>199</v>
      </c>
      <c r="D7" s="4">
        <v>1.85</v>
      </c>
      <c r="E7" s="4">
        <v>1.393</v>
      </c>
      <c r="F7" s="4">
        <v>-2.33</v>
      </c>
      <c r="G7" s="4">
        <v>6.03</v>
      </c>
      <c r="H7" s="4">
        <v>0.1</v>
      </c>
      <c r="I7" s="4">
        <v>6.202</v>
      </c>
      <c r="J7" s="4">
        <v>-1.9</v>
      </c>
      <c r="K7" s="4">
        <v>5.3</v>
      </c>
      <c r="L7" s="5">
        <v>0.1</v>
      </c>
      <c r="M7" s="5">
        <v>5.3</v>
      </c>
      <c r="N7" s="4">
        <v>1.37</v>
      </c>
      <c r="O7" s="7" t="s">
        <v>634</v>
      </c>
    </row>
    <row r="8" spans="1:15">
      <c r="A8" s="3" t="s">
        <v>32</v>
      </c>
      <c r="B8" s="3" t="s">
        <v>586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4" t="s">
        <v>32</v>
      </c>
      <c r="B9" s="4" t="s">
        <v>587</v>
      </c>
      <c r="C9" s="4">
        <v>202</v>
      </c>
      <c r="D9" s="4">
        <v>69.230999999999995</v>
      </c>
      <c r="E9" s="4">
        <v>2.52</v>
      </c>
      <c r="F9" s="4">
        <v>61.673000000000002</v>
      </c>
      <c r="G9" s="4">
        <v>76.790000000000006</v>
      </c>
      <c r="H9" s="4">
        <v>65.001000000000005</v>
      </c>
      <c r="I9" s="4">
        <v>74.7</v>
      </c>
      <c r="J9" s="4">
        <v>61.95</v>
      </c>
      <c r="K9" s="4">
        <v>75.95</v>
      </c>
      <c r="L9" s="5">
        <v>65.001000000000005</v>
      </c>
      <c r="M9" s="5">
        <v>74.7</v>
      </c>
      <c r="N9" s="4">
        <v>1.56</v>
      </c>
      <c r="O9" s="6" t="s">
        <v>633</v>
      </c>
    </row>
    <row r="10" spans="1:15">
      <c r="A10" s="3" t="s">
        <v>32</v>
      </c>
      <c r="B10" s="3" t="s">
        <v>588</v>
      </c>
      <c r="C10" s="3">
        <v>202</v>
      </c>
      <c r="D10" s="3">
        <v>113.18</v>
      </c>
      <c r="E10" s="3">
        <v>1.7370000000000001</v>
      </c>
      <c r="F10" s="3">
        <v>107.96899999999999</v>
      </c>
      <c r="G10" s="3">
        <v>118.39100000000001</v>
      </c>
      <c r="H10" s="3">
        <v>110.761</v>
      </c>
      <c r="I10" s="3">
        <v>115.679</v>
      </c>
      <c r="J10" s="3">
        <v>106.62</v>
      </c>
      <c r="K10" s="3">
        <v>119.82</v>
      </c>
      <c r="L10" s="5">
        <v>110.761</v>
      </c>
      <c r="M10" s="5">
        <v>115.679</v>
      </c>
      <c r="N10" s="3">
        <v>2.68</v>
      </c>
      <c r="O10" s="6" t="s">
        <v>633</v>
      </c>
    </row>
    <row r="11" spans="1:15">
      <c r="A11" s="4" t="s">
        <v>32</v>
      </c>
      <c r="B11" s="4" t="s">
        <v>589</v>
      </c>
      <c r="C11" s="4">
        <v>202</v>
      </c>
      <c r="D11" s="4">
        <v>114.76600000000001</v>
      </c>
      <c r="E11" s="4">
        <v>1.645</v>
      </c>
      <c r="F11" s="4">
        <v>109.83</v>
      </c>
      <c r="G11" s="4">
        <v>119.70099999999999</v>
      </c>
      <c r="H11" s="4">
        <v>112.383</v>
      </c>
      <c r="I11" s="4">
        <v>118.01900000000001</v>
      </c>
      <c r="J11" s="4">
        <v>110.29</v>
      </c>
      <c r="K11" s="4">
        <v>118.21</v>
      </c>
      <c r="L11" s="5">
        <v>112.383</v>
      </c>
      <c r="M11" s="5">
        <v>118.01900000000001</v>
      </c>
      <c r="N11" s="4">
        <v>1.75</v>
      </c>
      <c r="O11" s="6" t="s">
        <v>633</v>
      </c>
    </row>
    <row r="12" spans="1:15">
      <c r="A12" s="3" t="s">
        <v>32</v>
      </c>
      <c r="B12" s="3" t="s">
        <v>590</v>
      </c>
      <c r="C12" s="3">
        <v>202</v>
      </c>
      <c r="D12" s="3">
        <v>8.0399999999999991</v>
      </c>
      <c r="E12" s="3">
        <v>0.55700000000000005</v>
      </c>
      <c r="F12" s="3">
        <v>6.37</v>
      </c>
      <c r="G12" s="3">
        <v>9.7100000000000009</v>
      </c>
      <c r="H12" s="3">
        <v>6.641</v>
      </c>
      <c r="I12" s="3">
        <v>9.1590000000000007</v>
      </c>
      <c r="J12" s="3">
        <v>6.75</v>
      </c>
      <c r="K12" s="3">
        <v>9.39</v>
      </c>
      <c r="L12" s="5">
        <v>6.75</v>
      </c>
      <c r="M12" s="5">
        <v>9.1590000000000007</v>
      </c>
      <c r="N12" s="3">
        <v>1.33</v>
      </c>
      <c r="O12" s="7" t="s">
        <v>634</v>
      </c>
    </row>
    <row r="13" spans="1:15">
      <c r="A13" s="4" t="s">
        <v>32</v>
      </c>
      <c r="B13" s="4" t="s">
        <v>591</v>
      </c>
      <c r="C13" s="4">
        <v>202</v>
      </c>
      <c r="D13" s="4">
        <v>7.915</v>
      </c>
      <c r="E13" s="4">
        <v>0.4</v>
      </c>
      <c r="F13" s="4">
        <v>6.7160000000000002</v>
      </c>
      <c r="G13" s="4">
        <v>9.1150000000000002</v>
      </c>
      <c r="H13" s="4">
        <v>6.5709999999999997</v>
      </c>
      <c r="I13" s="4">
        <v>8.57</v>
      </c>
      <c r="J13" s="4">
        <v>7.1749999999999998</v>
      </c>
      <c r="K13" s="4">
        <v>8.7349999999999994</v>
      </c>
      <c r="L13" s="5">
        <v>7.1749999999999998</v>
      </c>
      <c r="M13" s="5">
        <v>8.57</v>
      </c>
      <c r="N13" s="4">
        <v>1.54</v>
      </c>
      <c r="O13" s="6" t="s">
        <v>633</v>
      </c>
    </row>
    <row r="14" spans="1:15">
      <c r="A14" s="3" t="s">
        <v>38</v>
      </c>
      <c r="B14" s="3" t="s">
        <v>580</v>
      </c>
      <c r="C14" s="3">
        <v>417</v>
      </c>
      <c r="D14" s="3">
        <v>112.562</v>
      </c>
      <c r="E14" s="3">
        <v>4.9859999999999998</v>
      </c>
      <c r="F14" s="3">
        <v>97.603999999999999</v>
      </c>
      <c r="G14" s="3">
        <v>127.52</v>
      </c>
      <c r="H14" s="3">
        <v>99</v>
      </c>
      <c r="I14" s="3">
        <v>123.52</v>
      </c>
      <c r="J14" s="3">
        <v>102.25</v>
      </c>
      <c r="K14" s="3">
        <v>123.45</v>
      </c>
      <c r="L14" s="5">
        <v>102.25</v>
      </c>
      <c r="M14" s="5">
        <v>123.45</v>
      </c>
      <c r="N14" s="3">
        <v>1.41</v>
      </c>
      <c r="O14" s="7" t="s">
        <v>634</v>
      </c>
    </row>
    <row r="15" spans="1:15">
      <c r="A15" s="4" t="s">
        <v>38</v>
      </c>
      <c r="B15" s="4" t="s">
        <v>581</v>
      </c>
      <c r="C15" s="4">
        <v>417</v>
      </c>
      <c r="D15" s="4">
        <v>80.721000000000004</v>
      </c>
      <c r="E15" s="4">
        <v>2.8220000000000001</v>
      </c>
      <c r="F15" s="4">
        <v>72.256</v>
      </c>
      <c r="G15" s="4">
        <v>89.186000000000007</v>
      </c>
      <c r="H15" s="4">
        <v>75.2</v>
      </c>
      <c r="I15" s="4">
        <v>86.1</v>
      </c>
      <c r="J15" s="4">
        <v>72.900000000000006</v>
      </c>
      <c r="K15" s="4">
        <v>88.9</v>
      </c>
      <c r="L15" s="5">
        <v>75.2</v>
      </c>
      <c r="M15" s="5">
        <v>86.1</v>
      </c>
      <c r="N15" s="4">
        <v>1.55</v>
      </c>
      <c r="O15" s="6" t="s">
        <v>633</v>
      </c>
    </row>
    <row r="16" spans="1:15">
      <c r="A16" s="3" t="s">
        <v>38</v>
      </c>
      <c r="B16" s="3" t="s">
        <v>582</v>
      </c>
      <c r="C16" s="3">
        <v>417</v>
      </c>
      <c r="D16" s="3">
        <v>-1957.8</v>
      </c>
      <c r="E16" s="3">
        <v>0</v>
      </c>
      <c r="F16" s="3">
        <v>-1957.8</v>
      </c>
      <c r="G16" s="3">
        <v>-1957.8</v>
      </c>
      <c r="H16" s="3">
        <v>-1957.8</v>
      </c>
      <c r="I16" s="3">
        <v>-1957.8</v>
      </c>
      <c r="J16" s="3">
        <v>-1957.8</v>
      </c>
      <c r="K16" s="3">
        <v>-1957.8</v>
      </c>
      <c r="L16" s="5">
        <v>-1957.8</v>
      </c>
      <c r="M16" s="5">
        <v>-1957.8</v>
      </c>
      <c r="N16" s="3">
        <v>1</v>
      </c>
      <c r="O16" s="8" t="s">
        <v>635</v>
      </c>
    </row>
    <row r="17" spans="1:15">
      <c r="A17" s="4" t="s">
        <v>38</v>
      </c>
      <c r="B17" s="4" t="s">
        <v>583</v>
      </c>
      <c r="C17" s="4">
        <v>417</v>
      </c>
      <c r="D17" s="4">
        <v>69.349000000000004</v>
      </c>
      <c r="E17" s="4">
        <v>1.913</v>
      </c>
      <c r="F17" s="4">
        <v>63.610999999999997</v>
      </c>
      <c r="G17" s="4">
        <v>75.087000000000003</v>
      </c>
      <c r="H17" s="4">
        <v>64.664000000000001</v>
      </c>
      <c r="I17" s="4">
        <v>74.256</v>
      </c>
      <c r="J17" s="4">
        <v>64.900000000000006</v>
      </c>
      <c r="K17" s="4">
        <v>73.7</v>
      </c>
      <c r="L17" s="5">
        <v>64.900000000000006</v>
      </c>
      <c r="M17" s="5">
        <v>73.7</v>
      </c>
      <c r="N17" s="4">
        <v>1.3</v>
      </c>
      <c r="O17" s="7" t="s">
        <v>634</v>
      </c>
    </row>
    <row r="18" spans="1:15">
      <c r="A18" s="3" t="s">
        <v>38</v>
      </c>
      <c r="B18" s="3" t="s">
        <v>584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4" t="s">
        <v>38</v>
      </c>
      <c r="B19" s="4" t="s">
        <v>585</v>
      </c>
      <c r="C19" s="4">
        <v>407</v>
      </c>
      <c r="D19" s="4">
        <v>1.4550000000000001</v>
      </c>
      <c r="E19" s="4">
        <v>1.4</v>
      </c>
      <c r="F19" s="4">
        <v>-2.7450000000000001</v>
      </c>
      <c r="G19" s="4">
        <v>5.6559999999999997</v>
      </c>
      <c r="H19" s="4">
        <v>0.1</v>
      </c>
      <c r="I19" s="4">
        <v>7.258</v>
      </c>
      <c r="J19" s="4">
        <v>-1.75</v>
      </c>
      <c r="K19" s="4">
        <v>4.25</v>
      </c>
      <c r="L19" s="5">
        <v>0.1</v>
      </c>
      <c r="M19" s="5">
        <v>4.25</v>
      </c>
      <c r="N19" s="4">
        <v>1.4</v>
      </c>
      <c r="O19" s="7" t="s">
        <v>634</v>
      </c>
    </row>
    <row r="20" spans="1:15">
      <c r="A20" s="3" t="s">
        <v>38</v>
      </c>
      <c r="B20" s="3" t="s">
        <v>586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4" t="s">
        <v>38</v>
      </c>
      <c r="B21" s="4" t="s">
        <v>587</v>
      </c>
      <c r="C21" s="4">
        <v>417</v>
      </c>
      <c r="D21" s="4">
        <v>69.698999999999998</v>
      </c>
      <c r="E21" s="4">
        <v>2.1960000000000002</v>
      </c>
      <c r="F21" s="4">
        <v>63.112000000000002</v>
      </c>
      <c r="G21" s="4">
        <v>76.286000000000001</v>
      </c>
      <c r="H21" s="4">
        <v>65.616</v>
      </c>
      <c r="I21" s="4">
        <v>74.599999999999994</v>
      </c>
      <c r="J21" s="4">
        <v>62.9</v>
      </c>
      <c r="K21" s="4">
        <v>76.5</v>
      </c>
      <c r="L21" s="5">
        <v>65.616</v>
      </c>
      <c r="M21" s="5">
        <v>74.599999999999994</v>
      </c>
      <c r="N21" s="4">
        <v>1.51</v>
      </c>
      <c r="O21" s="6" t="s">
        <v>633</v>
      </c>
    </row>
    <row r="22" spans="1:15">
      <c r="A22" s="3" t="s">
        <v>38</v>
      </c>
      <c r="B22" s="3" t="s">
        <v>588</v>
      </c>
      <c r="C22" s="3">
        <v>417</v>
      </c>
      <c r="D22" s="3">
        <v>113.51300000000001</v>
      </c>
      <c r="E22" s="3">
        <v>1.6830000000000001</v>
      </c>
      <c r="F22" s="3">
        <v>108.464</v>
      </c>
      <c r="G22" s="3">
        <v>118.562</v>
      </c>
      <c r="H22" s="3">
        <v>111.08199999999999</v>
      </c>
      <c r="I22" s="3">
        <v>115.887</v>
      </c>
      <c r="J22" s="3">
        <v>107.06</v>
      </c>
      <c r="K22" s="3">
        <v>120.26</v>
      </c>
      <c r="L22" s="5">
        <v>111.08199999999999</v>
      </c>
      <c r="M22" s="5">
        <v>115.887</v>
      </c>
      <c r="N22" s="3">
        <v>2.75</v>
      </c>
      <c r="O22" s="6" t="s">
        <v>633</v>
      </c>
    </row>
    <row r="23" spans="1:15">
      <c r="A23" s="4" t="s">
        <v>38</v>
      </c>
      <c r="B23" s="4" t="s">
        <v>589</v>
      </c>
      <c r="C23" s="4">
        <v>417</v>
      </c>
      <c r="D23" s="4">
        <v>115.315</v>
      </c>
      <c r="E23" s="4">
        <v>1.3939999999999999</v>
      </c>
      <c r="F23" s="4">
        <v>111.133</v>
      </c>
      <c r="G23" s="4">
        <v>119.498</v>
      </c>
      <c r="H23" s="4">
        <v>112.82</v>
      </c>
      <c r="I23" s="4">
        <v>117.42700000000001</v>
      </c>
      <c r="J23" s="4">
        <v>109.48</v>
      </c>
      <c r="K23" s="4">
        <v>120.92</v>
      </c>
      <c r="L23" s="5">
        <v>112.82</v>
      </c>
      <c r="M23" s="5">
        <v>117.42700000000001</v>
      </c>
      <c r="N23" s="4">
        <v>2.48</v>
      </c>
      <c r="O23" s="6" t="s">
        <v>633</v>
      </c>
    </row>
    <row r="24" spans="1:15">
      <c r="A24" s="3" t="s">
        <v>38</v>
      </c>
      <c r="B24" s="3" t="s">
        <v>590</v>
      </c>
      <c r="C24" s="3">
        <v>417</v>
      </c>
      <c r="D24" s="3">
        <v>3.8210000000000002</v>
      </c>
      <c r="E24" s="3">
        <v>0.15</v>
      </c>
      <c r="F24" s="3">
        <v>3.37</v>
      </c>
      <c r="G24" s="3">
        <v>4.2729999999999997</v>
      </c>
      <c r="H24" s="3">
        <v>3.4950000000000001</v>
      </c>
      <c r="I24" s="3">
        <v>4.13</v>
      </c>
      <c r="J24" s="3">
        <v>3.38</v>
      </c>
      <c r="K24" s="3">
        <v>4.26</v>
      </c>
      <c r="L24" s="5">
        <v>3.4950000000000001</v>
      </c>
      <c r="M24" s="5">
        <v>4.13</v>
      </c>
      <c r="N24" s="3">
        <v>1.42</v>
      </c>
      <c r="O24" s="7" t="s">
        <v>634</v>
      </c>
    </row>
    <row r="25" spans="1:15">
      <c r="A25" s="4" t="s">
        <v>38</v>
      </c>
      <c r="B25" s="4" t="s">
        <v>591</v>
      </c>
      <c r="C25" s="4">
        <v>417</v>
      </c>
      <c r="D25" s="4">
        <v>3.8479999999999999</v>
      </c>
      <c r="E25" s="4">
        <v>0.157</v>
      </c>
      <c r="F25" s="4">
        <v>3.3780000000000001</v>
      </c>
      <c r="G25" s="4">
        <v>4.319</v>
      </c>
      <c r="H25" s="4">
        <v>3.5230000000000001</v>
      </c>
      <c r="I25" s="4">
        <v>4.17</v>
      </c>
      <c r="J25" s="4">
        <v>3.38</v>
      </c>
      <c r="K25" s="4">
        <v>4.34</v>
      </c>
      <c r="L25" s="5">
        <v>3.5230000000000001</v>
      </c>
      <c r="M25" s="5">
        <v>4.17</v>
      </c>
      <c r="N25" s="4">
        <v>1.48</v>
      </c>
      <c r="O25" s="7" t="s">
        <v>634</v>
      </c>
    </row>
  </sheetData>
  <autoFilter ref="A1:O25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97"/>
  <sheetViews>
    <sheetView topLeftCell="B1" workbookViewId="0">
      <pane ySplit="1" topLeftCell="A259" activePane="bottomLeft" state="frozen"/>
      <selection pane="bottomLeft" activeCell="F12" sqref="F12"/>
    </sheetView>
  </sheetViews>
  <sheetFormatPr defaultRowHeight="14.4"/>
  <cols>
    <col min="1" max="9" width="20" customWidth="1"/>
  </cols>
  <sheetData>
    <row r="1" spans="1:9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636</v>
      </c>
      <c r="G1" s="1" t="s">
        <v>572</v>
      </c>
      <c r="H1" s="1" t="s">
        <v>637</v>
      </c>
      <c r="I1" s="1" t="s">
        <v>638</v>
      </c>
    </row>
    <row r="2" spans="1:9">
      <c r="A2" s="3" t="s">
        <v>35</v>
      </c>
      <c r="B2" s="3" t="s">
        <v>32</v>
      </c>
      <c r="C2" s="3" t="s">
        <v>31</v>
      </c>
      <c r="D2" s="9">
        <v>46038</v>
      </c>
      <c r="E2" s="3" t="s">
        <v>34</v>
      </c>
      <c r="F2" s="6" t="s">
        <v>639</v>
      </c>
      <c r="G2" s="3" t="s">
        <v>585</v>
      </c>
      <c r="H2" s="3">
        <v>2024</v>
      </c>
      <c r="I2" s="3">
        <v>1451.37</v>
      </c>
    </row>
    <row r="3" spans="1:9">
      <c r="A3" s="4" t="s">
        <v>35</v>
      </c>
      <c r="B3" s="4" t="s">
        <v>32</v>
      </c>
      <c r="C3" s="4" t="s">
        <v>31</v>
      </c>
      <c r="D3" s="10">
        <v>46038</v>
      </c>
      <c r="E3" s="4" t="s">
        <v>34</v>
      </c>
      <c r="F3" s="6" t="s">
        <v>639</v>
      </c>
      <c r="G3" s="4" t="s">
        <v>585</v>
      </c>
      <c r="H3" s="4">
        <v>2022.7</v>
      </c>
      <c r="I3" s="4">
        <v>1450.44</v>
      </c>
    </row>
    <row r="4" spans="1:9">
      <c r="A4" s="3" t="s">
        <v>35</v>
      </c>
      <c r="B4" s="3" t="s">
        <v>32</v>
      </c>
      <c r="C4" s="3" t="s">
        <v>31</v>
      </c>
      <c r="D4" s="9">
        <v>46038</v>
      </c>
      <c r="E4" s="3" t="s">
        <v>34</v>
      </c>
      <c r="F4" s="6" t="s">
        <v>639</v>
      </c>
      <c r="G4" s="3" t="s">
        <v>583</v>
      </c>
      <c r="H4" s="3">
        <v>-1952</v>
      </c>
      <c r="I4" s="3">
        <v>909.35</v>
      </c>
    </row>
    <row r="5" spans="1:9">
      <c r="A5" s="4" t="s">
        <v>35</v>
      </c>
      <c r="B5" s="4" t="s">
        <v>32</v>
      </c>
      <c r="C5" s="4" t="s">
        <v>31</v>
      </c>
      <c r="D5" s="10">
        <v>46038</v>
      </c>
      <c r="E5" s="4" t="s">
        <v>34</v>
      </c>
      <c r="F5" s="6" t="s">
        <v>639</v>
      </c>
      <c r="G5" s="4" t="s">
        <v>583</v>
      </c>
      <c r="H5" s="4">
        <v>-1952</v>
      </c>
      <c r="I5" s="4">
        <v>909.35</v>
      </c>
    </row>
    <row r="6" spans="1:9">
      <c r="A6" s="3" t="s">
        <v>165</v>
      </c>
      <c r="B6" s="3" t="s">
        <v>32</v>
      </c>
      <c r="C6" s="3" t="s">
        <v>31</v>
      </c>
      <c r="D6" s="9">
        <v>46091</v>
      </c>
      <c r="E6" s="3" t="s">
        <v>34</v>
      </c>
      <c r="F6" s="6" t="s">
        <v>639</v>
      </c>
      <c r="G6" s="3" t="s">
        <v>581</v>
      </c>
      <c r="H6" s="3">
        <v>-1973.8</v>
      </c>
      <c r="I6" s="3">
        <v>410.96</v>
      </c>
    </row>
    <row r="7" spans="1:9" hidden="1">
      <c r="A7" s="4" t="s">
        <v>230</v>
      </c>
      <c r="B7" s="4" t="s">
        <v>38</v>
      </c>
      <c r="C7" s="4" t="s">
        <v>37</v>
      </c>
      <c r="D7" s="10">
        <v>46097</v>
      </c>
      <c r="E7" s="4" t="s">
        <v>34</v>
      </c>
      <c r="F7" s="6" t="s">
        <v>639</v>
      </c>
      <c r="G7" s="4" t="s">
        <v>581</v>
      </c>
      <c r="H7" s="4">
        <v>156</v>
      </c>
      <c r="I7" s="4">
        <v>26.68</v>
      </c>
    </row>
    <row r="8" spans="1:9" hidden="1">
      <c r="A8" s="3" t="s">
        <v>230</v>
      </c>
      <c r="B8" s="3" t="s">
        <v>38</v>
      </c>
      <c r="C8" s="3" t="s">
        <v>37</v>
      </c>
      <c r="D8" s="9">
        <v>46097</v>
      </c>
      <c r="E8" s="3" t="s">
        <v>34</v>
      </c>
      <c r="F8" s="6" t="s">
        <v>639</v>
      </c>
      <c r="G8" s="3" t="s">
        <v>581</v>
      </c>
      <c r="H8" s="3">
        <v>153.30000000000001</v>
      </c>
      <c r="I8" s="3">
        <v>25.72</v>
      </c>
    </row>
    <row r="9" spans="1:9" hidden="1">
      <c r="A9" s="4" t="s">
        <v>230</v>
      </c>
      <c r="B9" s="4" t="s">
        <v>38</v>
      </c>
      <c r="C9" s="4" t="s">
        <v>37</v>
      </c>
      <c r="D9" s="10">
        <v>46095</v>
      </c>
      <c r="E9" s="4" t="s">
        <v>34</v>
      </c>
      <c r="F9" s="6" t="s">
        <v>639</v>
      </c>
      <c r="G9" s="4" t="s">
        <v>581</v>
      </c>
      <c r="H9" s="4">
        <v>148.30000000000001</v>
      </c>
      <c r="I9" s="4">
        <v>23.95</v>
      </c>
    </row>
    <row r="10" spans="1:9" hidden="1">
      <c r="A10" s="3" t="s">
        <v>183</v>
      </c>
      <c r="B10" s="3" t="s">
        <v>38</v>
      </c>
      <c r="C10" s="3" t="s">
        <v>37</v>
      </c>
      <c r="D10" s="9">
        <v>46092</v>
      </c>
      <c r="E10" s="3" t="s">
        <v>34</v>
      </c>
      <c r="F10" s="6" t="s">
        <v>639</v>
      </c>
      <c r="G10" s="3" t="s">
        <v>581</v>
      </c>
      <c r="H10" s="3">
        <v>143.80000000000001</v>
      </c>
      <c r="I10" s="3">
        <v>22.36</v>
      </c>
    </row>
    <row r="11" spans="1:9" hidden="1">
      <c r="A11" s="4" t="s">
        <v>230</v>
      </c>
      <c r="B11" s="4" t="s">
        <v>38</v>
      </c>
      <c r="C11" s="4" t="s">
        <v>37</v>
      </c>
      <c r="D11" s="10">
        <v>46095</v>
      </c>
      <c r="E11" s="4" t="s">
        <v>34</v>
      </c>
      <c r="F11" s="6" t="s">
        <v>639</v>
      </c>
      <c r="G11" s="4" t="s">
        <v>581</v>
      </c>
      <c r="H11" s="4">
        <v>135.19999999999999</v>
      </c>
      <c r="I11" s="4">
        <v>19.309999999999999</v>
      </c>
    </row>
    <row r="12" spans="1:9" hidden="1">
      <c r="A12" s="3" t="s">
        <v>230</v>
      </c>
      <c r="B12" s="3" t="s">
        <v>38</v>
      </c>
      <c r="C12" s="3" t="s">
        <v>37</v>
      </c>
      <c r="D12" s="9">
        <v>46097</v>
      </c>
      <c r="E12" s="3" t="s">
        <v>34</v>
      </c>
      <c r="F12" s="6" t="s">
        <v>639</v>
      </c>
      <c r="G12" s="3" t="s">
        <v>591</v>
      </c>
      <c r="H12" s="3">
        <v>6.54</v>
      </c>
      <c r="I12" s="3">
        <v>17.170000000000002</v>
      </c>
    </row>
    <row r="13" spans="1:9" hidden="1">
      <c r="A13" s="4" t="s">
        <v>230</v>
      </c>
      <c r="B13" s="4" t="s">
        <v>38</v>
      </c>
      <c r="C13" s="4" t="s">
        <v>37</v>
      </c>
      <c r="D13" s="10">
        <v>46097</v>
      </c>
      <c r="E13" s="4" t="s">
        <v>34</v>
      </c>
      <c r="F13" s="6" t="s">
        <v>639</v>
      </c>
      <c r="G13" s="4" t="s">
        <v>591</v>
      </c>
      <c r="H13" s="4">
        <v>6.49</v>
      </c>
      <c r="I13" s="4">
        <v>16.850000000000001</v>
      </c>
    </row>
    <row r="14" spans="1:9" hidden="1">
      <c r="A14" s="3" t="s">
        <v>230</v>
      </c>
      <c r="B14" s="3" t="s">
        <v>38</v>
      </c>
      <c r="C14" s="3" t="s">
        <v>37</v>
      </c>
      <c r="D14" s="9">
        <v>46095</v>
      </c>
      <c r="E14" s="3" t="s">
        <v>34</v>
      </c>
      <c r="F14" s="6" t="s">
        <v>639</v>
      </c>
      <c r="G14" s="3" t="s">
        <v>581</v>
      </c>
      <c r="H14" s="3">
        <v>127.6</v>
      </c>
      <c r="I14" s="3">
        <v>16.61</v>
      </c>
    </row>
    <row r="15" spans="1:9">
      <c r="A15" s="4" t="s">
        <v>278</v>
      </c>
      <c r="B15" s="4" t="s">
        <v>32</v>
      </c>
      <c r="C15" s="4" t="s">
        <v>31</v>
      </c>
      <c r="D15" s="10">
        <v>46100</v>
      </c>
      <c r="E15" s="4" t="s">
        <v>34</v>
      </c>
      <c r="F15" s="6" t="s">
        <v>639</v>
      </c>
      <c r="G15" s="4" t="s">
        <v>581</v>
      </c>
      <c r="H15" s="4">
        <v>175.4</v>
      </c>
      <c r="I15" s="4">
        <v>15.68</v>
      </c>
    </row>
    <row r="16" spans="1:9" hidden="1">
      <c r="A16" s="3" t="s">
        <v>548</v>
      </c>
      <c r="B16" s="3" t="s">
        <v>38</v>
      </c>
      <c r="C16" s="3" t="s">
        <v>37</v>
      </c>
      <c r="D16" s="9">
        <v>46128</v>
      </c>
      <c r="E16" s="3" t="s">
        <v>34</v>
      </c>
      <c r="F16" s="6" t="s">
        <v>639</v>
      </c>
      <c r="G16" s="3" t="s">
        <v>581</v>
      </c>
      <c r="H16" s="3">
        <v>124.4</v>
      </c>
      <c r="I16" s="3">
        <v>15.48</v>
      </c>
    </row>
    <row r="17" spans="1:9">
      <c r="A17" s="4" t="s">
        <v>490</v>
      </c>
      <c r="B17" s="4" t="s">
        <v>32</v>
      </c>
      <c r="C17" s="4" t="s">
        <v>31</v>
      </c>
      <c r="D17" s="10">
        <v>46136</v>
      </c>
      <c r="E17" s="4" t="s">
        <v>34</v>
      </c>
      <c r="F17" s="6" t="s">
        <v>639</v>
      </c>
      <c r="G17" s="4" t="s">
        <v>591</v>
      </c>
      <c r="H17" s="4">
        <v>2.08</v>
      </c>
      <c r="I17" s="4">
        <v>14.6</v>
      </c>
    </row>
    <row r="18" spans="1:9">
      <c r="A18" s="3" t="s">
        <v>490</v>
      </c>
      <c r="B18" s="3" t="s">
        <v>32</v>
      </c>
      <c r="C18" s="3" t="s">
        <v>31</v>
      </c>
      <c r="D18" s="9">
        <v>46125</v>
      </c>
      <c r="E18" s="3" t="s">
        <v>34</v>
      </c>
      <c r="F18" s="6" t="s">
        <v>639</v>
      </c>
      <c r="G18" s="3" t="s">
        <v>591</v>
      </c>
      <c r="H18" s="3">
        <v>2.1</v>
      </c>
      <c r="I18" s="3">
        <v>14.55</v>
      </c>
    </row>
    <row r="19" spans="1:9">
      <c r="A19" s="4" t="s">
        <v>490</v>
      </c>
      <c r="B19" s="4" t="s">
        <v>32</v>
      </c>
      <c r="C19" s="4" t="s">
        <v>31</v>
      </c>
      <c r="D19" s="10">
        <v>46125</v>
      </c>
      <c r="E19" s="4" t="s">
        <v>34</v>
      </c>
      <c r="F19" s="6" t="s">
        <v>639</v>
      </c>
      <c r="G19" s="4" t="s">
        <v>591</v>
      </c>
      <c r="H19" s="4">
        <v>2.1</v>
      </c>
      <c r="I19" s="4">
        <v>14.55</v>
      </c>
    </row>
    <row r="20" spans="1:9">
      <c r="A20" s="3" t="s">
        <v>278</v>
      </c>
      <c r="B20" s="3" t="s">
        <v>32</v>
      </c>
      <c r="C20" s="3" t="s">
        <v>31</v>
      </c>
      <c r="D20" s="9">
        <v>46100</v>
      </c>
      <c r="E20" s="3" t="s">
        <v>34</v>
      </c>
      <c r="F20" s="6" t="s">
        <v>639</v>
      </c>
      <c r="G20" s="3" t="s">
        <v>581</v>
      </c>
      <c r="H20" s="3">
        <v>169.1</v>
      </c>
      <c r="I20" s="3">
        <v>14.43</v>
      </c>
    </row>
    <row r="21" spans="1:9">
      <c r="A21" s="4" t="s">
        <v>466</v>
      </c>
      <c r="B21" s="4" t="s">
        <v>32</v>
      </c>
      <c r="C21" s="4" t="s">
        <v>31</v>
      </c>
      <c r="D21" s="10">
        <v>46122</v>
      </c>
      <c r="E21" s="4" t="s">
        <v>34</v>
      </c>
      <c r="F21" s="6" t="s">
        <v>639</v>
      </c>
      <c r="G21" s="4" t="s">
        <v>580</v>
      </c>
      <c r="H21" s="4">
        <v>70.400000000000006</v>
      </c>
      <c r="I21" s="4">
        <v>14.37</v>
      </c>
    </row>
    <row r="22" spans="1:9">
      <c r="A22" s="3" t="s">
        <v>490</v>
      </c>
      <c r="B22" s="3" t="s">
        <v>32</v>
      </c>
      <c r="C22" s="3" t="s">
        <v>31</v>
      </c>
      <c r="D22" s="9">
        <v>46125</v>
      </c>
      <c r="E22" s="3" t="s">
        <v>34</v>
      </c>
      <c r="F22" s="6" t="s">
        <v>639</v>
      </c>
      <c r="G22" s="3" t="s">
        <v>580</v>
      </c>
      <c r="H22" s="3">
        <v>70.400000000000006</v>
      </c>
      <c r="I22" s="3">
        <v>14.37</v>
      </c>
    </row>
    <row r="23" spans="1:9" hidden="1">
      <c r="A23" s="4" t="s">
        <v>183</v>
      </c>
      <c r="B23" s="4" t="s">
        <v>38</v>
      </c>
      <c r="C23" s="4" t="s">
        <v>37</v>
      </c>
      <c r="D23" s="10">
        <v>46092</v>
      </c>
      <c r="E23" s="4" t="s">
        <v>34</v>
      </c>
      <c r="F23" s="6" t="s">
        <v>639</v>
      </c>
      <c r="G23" s="4" t="s">
        <v>591</v>
      </c>
      <c r="H23" s="4">
        <v>6.1</v>
      </c>
      <c r="I23" s="4">
        <v>14.36</v>
      </c>
    </row>
    <row r="24" spans="1:9">
      <c r="A24" s="3" t="s">
        <v>490</v>
      </c>
      <c r="B24" s="3" t="s">
        <v>32</v>
      </c>
      <c r="C24" s="3" t="s">
        <v>31</v>
      </c>
      <c r="D24" s="9">
        <v>46136</v>
      </c>
      <c r="E24" s="3" t="s">
        <v>34</v>
      </c>
      <c r="F24" s="6" t="s">
        <v>639</v>
      </c>
      <c r="G24" s="3" t="s">
        <v>591</v>
      </c>
      <c r="H24" s="3">
        <v>2.2000000000000002</v>
      </c>
      <c r="I24" s="3">
        <v>14.3</v>
      </c>
    </row>
    <row r="25" spans="1:9">
      <c r="A25" s="4" t="s">
        <v>490</v>
      </c>
      <c r="B25" s="4" t="s">
        <v>32</v>
      </c>
      <c r="C25" s="4" t="s">
        <v>31</v>
      </c>
      <c r="D25" s="10">
        <v>46125</v>
      </c>
      <c r="E25" s="4" t="s">
        <v>34</v>
      </c>
      <c r="F25" s="6" t="s">
        <v>639</v>
      </c>
      <c r="G25" s="4" t="s">
        <v>580</v>
      </c>
      <c r="H25" s="4">
        <v>71.3</v>
      </c>
      <c r="I25" s="4">
        <v>14.21</v>
      </c>
    </row>
    <row r="26" spans="1:9">
      <c r="A26" s="3" t="s">
        <v>490</v>
      </c>
      <c r="B26" s="3" t="s">
        <v>32</v>
      </c>
      <c r="C26" s="3" t="s">
        <v>31</v>
      </c>
      <c r="D26" s="9">
        <v>46136</v>
      </c>
      <c r="E26" s="3" t="s">
        <v>34</v>
      </c>
      <c r="F26" s="6" t="s">
        <v>639</v>
      </c>
      <c r="G26" s="3" t="s">
        <v>580</v>
      </c>
      <c r="H26" s="3">
        <v>71.3</v>
      </c>
      <c r="I26" s="3">
        <v>14.21</v>
      </c>
    </row>
    <row r="27" spans="1:9">
      <c r="A27" s="4" t="s">
        <v>344</v>
      </c>
      <c r="B27" s="4" t="s">
        <v>32</v>
      </c>
      <c r="C27" s="4" t="s">
        <v>31</v>
      </c>
      <c r="D27" s="10">
        <v>46130</v>
      </c>
      <c r="E27" s="4" t="s">
        <v>34</v>
      </c>
      <c r="F27" s="6" t="s">
        <v>639</v>
      </c>
      <c r="G27" s="4" t="s">
        <v>580</v>
      </c>
      <c r="H27" s="4">
        <v>73.5</v>
      </c>
      <c r="I27" s="4">
        <v>13.83</v>
      </c>
    </row>
    <row r="28" spans="1:9">
      <c r="A28" s="3" t="s">
        <v>490</v>
      </c>
      <c r="B28" s="3" t="s">
        <v>32</v>
      </c>
      <c r="C28" s="3" t="s">
        <v>31</v>
      </c>
      <c r="D28" s="9">
        <v>46136</v>
      </c>
      <c r="E28" s="3" t="s">
        <v>34</v>
      </c>
      <c r="F28" s="6" t="s">
        <v>639</v>
      </c>
      <c r="G28" s="3" t="s">
        <v>580</v>
      </c>
      <c r="H28" s="3">
        <v>74</v>
      </c>
      <c r="I28" s="3">
        <v>13.74</v>
      </c>
    </row>
    <row r="29" spans="1:9" hidden="1">
      <c r="A29" s="4" t="s">
        <v>230</v>
      </c>
      <c r="B29" s="4" t="s">
        <v>38</v>
      </c>
      <c r="C29" s="4" t="s">
        <v>37</v>
      </c>
      <c r="D29" s="10">
        <v>46097</v>
      </c>
      <c r="E29" s="4" t="s">
        <v>34</v>
      </c>
      <c r="F29" s="6" t="s">
        <v>639</v>
      </c>
      <c r="G29" s="4" t="s">
        <v>591</v>
      </c>
      <c r="H29" s="4">
        <v>5.83</v>
      </c>
      <c r="I29" s="4">
        <v>12.64</v>
      </c>
    </row>
    <row r="30" spans="1:9" hidden="1">
      <c r="A30" s="3" t="s">
        <v>230</v>
      </c>
      <c r="B30" s="3" t="s">
        <v>38</v>
      </c>
      <c r="C30" s="3" t="s">
        <v>37</v>
      </c>
      <c r="D30" s="9">
        <v>46097</v>
      </c>
      <c r="E30" s="3" t="s">
        <v>34</v>
      </c>
      <c r="F30" s="6" t="s">
        <v>639</v>
      </c>
      <c r="G30" s="3" t="s">
        <v>581</v>
      </c>
      <c r="H30" s="3">
        <v>115.4</v>
      </c>
      <c r="I30" s="3">
        <v>12.29</v>
      </c>
    </row>
    <row r="31" spans="1:9" hidden="1">
      <c r="A31" s="4" t="s">
        <v>67</v>
      </c>
      <c r="B31" s="4" t="s">
        <v>38</v>
      </c>
      <c r="C31" s="4" t="s">
        <v>37</v>
      </c>
      <c r="D31" s="10">
        <v>46081</v>
      </c>
      <c r="E31" s="4" t="s">
        <v>34</v>
      </c>
      <c r="F31" s="6" t="s">
        <v>639</v>
      </c>
      <c r="G31" s="4" t="s">
        <v>590</v>
      </c>
      <c r="H31" s="4">
        <v>2</v>
      </c>
      <c r="I31" s="4">
        <v>12.1</v>
      </c>
    </row>
    <row r="32" spans="1:9" hidden="1">
      <c r="A32" s="3" t="s">
        <v>230</v>
      </c>
      <c r="B32" s="3" t="s">
        <v>38</v>
      </c>
      <c r="C32" s="3" t="s">
        <v>37</v>
      </c>
      <c r="D32" s="9">
        <v>46097</v>
      </c>
      <c r="E32" s="3" t="s">
        <v>34</v>
      </c>
      <c r="F32" s="6" t="s">
        <v>639</v>
      </c>
      <c r="G32" s="3" t="s">
        <v>590</v>
      </c>
      <c r="H32" s="3">
        <v>5.59</v>
      </c>
      <c r="I32" s="3">
        <v>11.75</v>
      </c>
    </row>
    <row r="33" spans="1:9">
      <c r="A33" s="4" t="s">
        <v>82</v>
      </c>
      <c r="B33" s="4" t="s">
        <v>32</v>
      </c>
      <c r="C33" s="4" t="s">
        <v>31</v>
      </c>
      <c r="D33" s="10">
        <v>46082</v>
      </c>
      <c r="E33" s="4" t="s">
        <v>34</v>
      </c>
      <c r="F33" s="6" t="s">
        <v>639</v>
      </c>
      <c r="G33" s="4" t="s">
        <v>580</v>
      </c>
      <c r="H33" s="4">
        <v>86.1</v>
      </c>
      <c r="I33" s="4">
        <v>11.63</v>
      </c>
    </row>
    <row r="34" spans="1:9">
      <c r="A34" s="3" t="s">
        <v>354</v>
      </c>
      <c r="B34" s="3" t="s">
        <v>32</v>
      </c>
      <c r="C34" s="3" t="s">
        <v>31</v>
      </c>
      <c r="D34" s="9">
        <v>46126</v>
      </c>
      <c r="E34" s="3" t="s">
        <v>34</v>
      </c>
      <c r="F34" s="6" t="s">
        <v>639</v>
      </c>
      <c r="G34" s="3" t="s">
        <v>591</v>
      </c>
      <c r="H34" s="3">
        <v>3.32</v>
      </c>
      <c r="I34" s="3">
        <v>11.49</v>
      </c>
    </row>
    <row r="35" spans="1:9" hidden="1">
      <c r="A35" s="4" t="s">
        <v>421</v>
      </c>
      <c r="B35" s="4" t="s">
        <v>38</v>
      </c>
      <c r="C35" s="4" t="s">
        <v>37</v>
      </c>
      <c r="D35" s="10">
        <v>46119</v>
      </c>
      <c r="E35" s="4" t="s">
        <v>34</v>
      </c>
      <c r="F35" s="6" t="s">
        <v>639</v>
      </c>
      <c r="G35" s="4" t="s">
        <v>591</v>
      </c>
      <c r="H35" s="4">
        <v>2.0499999999999998</v>
      </c>
      <c r="I35" s="4">
        <v>11.47</v>
      </c>
    </row>
    <row r="36" spans="1:9" hidden="1">
      <c r="A36" s="3" t="s">
        <v>414</v>
      </c>
      <c r="B36" s="3" t="s">
        <v>38</v>
      </c>
      <c r="C36" s="3" t="s">
        <v>37</v>
      </c>
      <c r="D36" s="9">
        <v>46113</v>
      </c>
      <c r="E36" s="3" t="s">
        <v>34</v>
      </c>
      <c r="F36" s="6" t="s">
        <v>639</v>
      </c>
      <c r="G36" s="3" t="s">
        <v>590</v>
      </c>
      <c r="H36" s="3">
        <v>2.1</v>
      </c>
      <c r="I36" s="3">
        <v>11.44</v>
      </c>
    </row>
    <row r="37" spans="1:9" hidden="1">
      <c r="A37" s="4" t="s">
        <v>67</v>
      </c>
      <c r="B37" s="4" t="s">
        <v>38</v>
      </c>
      <c r="C37" s="4" t="s">
        <v>37</v>
      </c>
      <c r="D37" s="10">
        <v>46081</v>
      </c>
      <c r="E37" s="4" t="s">
        <v>34</v>
      </c>
      <c r="F37" s="6" t="s">
        <v>639</v>
      </c>
      <c r="G37" s="4" t="s">
        <v>591</v>
      </c>
      <c r="H37" s="4">
        <v>2.08</v>
      </c>
      <c r="I37" s="4">
        <v>11.28</v>
      </c>
    </row>
    <row r="38" spans="1:9">
      <c r="A38" s="3" t="s">
        <v>562</v>
      </c>
      <c r="B38" s="3" t="s">
        <v>32</v>
      </c>
      <c r="C38" s="3" t="s">
        <v>31</v>
      </c>
      <c r="D38" s="9">
        <v>46130</v>
      </c>
      <c r="E38" s="3" t="s">
        <v>34</v>
      </c>
      <c r="F38" s="6" t="s">
        <v>639</v>
      </c>
      <c r="G38" s="3" t="s">
        <v>580</v>
      </c>
      <c r="H38" s="3">
        <v>90.1</v>
      </c>
      <c r="I38" s="3">
        <v>10.93</v>
      </c>
    </row>
    <row r="39" spans="1:9">
      <c r="A39" s="4" t="s">
        <v>353</v>
      </c>
      <c r="B39" s="4" t="s">
        <v>32</v>
      </c>
      <c r="C39" s="4" t="s">
        <v>31</v>
      </c>
      <c r="D39" s="10">
        <v>46126</v>
      </c>
      <c r="E39" s="4" t="s">
        <v>34</v>
      </c>
      <c r="F39" s="6" t="s">
        <v>639</v>
      </c>
      <c r="G39" s="4" t="s">
        <v>591</v>
      </c>
      <c r="H39" s="4">
        <v>3.56</v>
      </c>
      <c r="I39" s="4">
        <v>10.89</v>
      </c>
    </row>
    <row r="40" spans="1:9" hidden="1">
      <c r="A40" s="3" t="s">
        <v>421</v>
      </c>
      <c r="B40" s="3" t="s">
        <v>38</v>
      </c>
      <c r="C40" s="3" t="s">
        <v>37</v>
      </c>
      <c r="D40" s="9">
        <v>46136</v>
      </c>
      <c r="E40" s="3" t="s">
        <v>34</v>
      </c>
      <c r="F40" s="6" t="s">
        <v>639</v>
      </c>
      <c r="G40" s="3" t="s">
        <v>591</v>
      </c>
      <c r="H40" s="3">
        <v>2.15</v>
      </c>
      <c r="I40" s="3">
        <v>10.83</v>
      </c>
    </row>
    <row r="41" spans="1:9" hidden="1">
      <c r="A41" s="4" t="s">
        <v>414</v>
      </c>
      <c r="B41" s="4" t="s">
        <v>38</v>
      </c>
      <c r="C41" s="4" t="s">
        <v>37</v>
      </c>
      <c r="D41" s="10">
        <v>46113</v>
      </c>
      <c r="E41" s="4" t="s">
        <v>34</v>
      </c>
      <c r="F41" s="6" t="s">
        <v>639</v>
      </c>
      <c r="G41" s="4" t="s">
        <v>591</v>
      </c>
      <c r="H41" s="4">
        <v>2.17</v>
      </c>
      <c r="I41" s="4">
        <v>10.71</v>
      </c>
    </row>
    <row r="42" spans="1:9">
      <c r="A42" s="3" t="s">
        <v>490</v>
      </c>
      <c r="B42" s="3" t="s">
        <v>32</v>
      </c>
      <c r="C42" s="3" t="s">
        <v>31</v>
      </c>
      <c r="D42" s="9">
        <v>46136</v>
      </c>
      <c r="E42" s="3" t="s">
        <v>34</v>
      </c>
      <c r="F42" s="6" t="s">
        <v>639</v>
      </c>
      <c r="G42" s="3" t="s">
        <v>590</v>
      </c>
      <c r="H42" s="3">
        <v>2.12</v>
      </c>
      <c r="I42" s="3">
        <v>10.64</v>
      </c>
    </row>
    <row r="43" spans="1:9" hidden="1">
      <c r="A43" s="4" t="s">
        <v>421</v>
      </c>
      <c r="B43" s="4" t="s">
        <v>38</v>
      </c>
      <c r="C43" s="4" t="s">
        <v>37</v>
      </c>
      <c r="D43" s="10">
        <v>46136</v>
      </c>
      <c r="E43" s="4" t="s">
        <v>34</v>
      </c>
      <c r="F43" s="6" t="s">
        <v>639</v>
      </c>
      <c r="G43" s="4" t="s">
        <v>590</v>
      </c>
      <c r="H43" s="4">
        <v>2.2200000000000002</v>
      </c>
      <c r="I43" s="4">
        <v>10.64</v>
      </c>
    </row>
    <row r="44" spans="1:9">
      <c r="A44" s="3" t="s">
        <v>490</v>
      </c>
      <c r="B44" s="3" t="s">
        <v>32</v>
      </c>
      <c r="C44" s="3" t="s">
        <v>31</v>
      </c>
      <c r="D44" s="9">
        <v>46125</v>
      </c>
      <c r="E44" s="3" t="s">
        <v>34</v>
      </c>
      <c r="F44" s="6" t="s">
        <v>639</v>
      </c>
      <c r="G44" s="3" t="s">
        <v>590</v>
      </c>
      <c r="H44" s="3">
        <v>2.17</v>
      </c>
      <c r="I44" s="3">
        <v>10.55</v>
      </c>
    </row>
    <row r="45" spans="1:9" hidden="1">
      <c r="A45" s="4" t="s">
        <v>414</v>
      </c>
      <c r="B45" s="4" t="s">
        <v>38</v>
      </c>
      <c r="C45" s="4" t="s">
        <v>37</v>
      </c>
      <c r="D45" s="10">
        <v>46113</v>
      </c>
      <c r="E45" s="4" t="s">
        <v>34</v>
      </c>
      <c r="F45" s="6" t="s">
        <v>639</v>
      </c>
      <c r="G45" s="4" t="s">
        <v>591</v>
      </c>
      <c r="H45" s="4">
        <v>2.2000000000000002</v>
      </c>
      <c r="I45" s="4">
        <v>10.52</v>
      </c>
    </row>
    <row r="46" spans="1:9" hidden="1">
      <c r="A46" s="3" t="s">
        <v>414</v>
      </c>
      <c r="B46" s="3" t="s">
        <v>38</v>
      </c>
      <c r="C46" s="3" t="s">
        <v>37</v>
      </c>
      <c r="D46" s="9">
        <v>46113</v>
      </c>
      <c r="E46" s="3" t="s">
        <v>34</v>
      </c>
      <c r="F46" s="6" t="s">
        <v>639</v>
      </c>
      <c r="G46" s="3" t="s">
        <v>590</v>
      </c>
      <c r="H46" s="3">
        <v>2.27</v>
      </c>
      <c r="I46" s="3">
        <v>10.31</v>
      </c>
    </row>
    <row r="47" spans="1:9">
      <c r="A47" s="4" t="s">
        <v>490</v>
      </c>
      <c r="B47" s="4" t="s">
        <v>32</v>
      </c>
      <c r="C47" s="4" t="s">
        <v>31</v>
      </c>
      <c r="D47" s="10">
        <v>46125</v>
      </c>
      <c r="E47" s="4" t="s">
        <v>34</v>
      </c>
      <c r="F47" s="6" t="s">
        <v>639</v>
      </c>
      <c r="G47" s="4" t="s">
        <v>590</v>
      </c>
      <c r="H47" s="4">
        <v>2.3199999999999998</v>
      </c>
      <c r="I47" s="4">
        <v>10.28</v>
      </c>
    </row>
    <row r="48" spans="1:9">
      <c r="A48" s="3" t="s">
        <v>490</v>
      </c>
      <c r="B48" s="3" t="s">
        <v>32</v>
      </c>
      <c r="C48" s="3" t="s">
        <v>31</v>
      </c>
      <c r="D48" s="9">
        <v>46136</v>
      </c>
      <c r="E48" s="3" t="s">
        <v>34</v>
      </c>
      <c r="F48" s="6" t="s">
        <v>639</v>
      </c>
      <c r="G48" s="3" t="s">
        <v>590</v>
      </c>
      <c r="H48" s="3">
        <v>2.44</v>
      </c>
      <c r="I48" s="3">
        <v>10.06</v>
      </c>
    </row>
    <row r="49" spans="1:9" hidden="1">
      <c r="A49" s="4" t="s">
        <v>421</v>
      </c>
      <c r="B49" s="4" t="s">
        <v>38</v>
      </c>
      <c r="C49" s="4" t="s">
        <v>37</v>
      </c>
      <c r="D49" s="10">
        <v>46119</v>
      </c>
      <c r="E49" s="4" t="s">
        <v>34</v>
      </c>
      <c r="F49" s="6" t="s">
        <v>639</v>
      </c>
      <c r="G49" s="4" t="s">
        <v>590</v>
      </c>
      <c r="H49" s="4">
        <v>2.34</v>
      </c>
      <c r="I49" s="4">
        <v>9.84</v>
      </c>
    </row>
    <row r="50" spans="1:9">
      <c r="A50" s="3" t="s">
        <v>166</v>
      </c>
      <c r="B50" s="3" t="s">
        <v>32</v>
      </c>
      <c r="C50" s="3" t="s">
        <v>31</v>
      </c>
      <c r="D50" s="9">
        <v>46092</v>
      </c>
      <c r="E50" s="3" t="s">
        <v>34</v>
      </c>
      <c r="F50" s="6" t="s">
        <v>639</v>
      </c>
      <c r="G50" s="3" t="s">
        <v>581</v>
      </c>
      <c r="H50" s="3">
        <v>47.7</v>
      </c>
      <c r="I50" s="3">
        <v>9.67</v>
      </c>
    </row>
    <row r="51" spans="1:9">
      <c r="A51" s="4" t="s">
        <v>278</v>
      </c>
      <c r="B51" s="4" t="s">
        <v>32</v>
      </c>
      <c r="C51" s="4" t="s">
        <v>31</v>
      </c>
      <c r="D51" s="10">
        <v>46100</v>
      </c>
      <c r="E51" s="4" t="s">
        <v>34</v>
      </c>
      <c r="F51" s="6" t="s">
        <v>639</v>
      </c>
      <c r="G51" s="4" t="s">
        <v>580</v>
      </c>
      <c r="H51" s="4">
        <v>97.7</v>
      </c>
      <c r="I51" s="4">
        <v>9.61</v>
      </c>
    </row>
    <row r="52" spans="1:9">
      <c r="A52" s="3" t="s">
        <v>278</v>
      </c>
      <c r="B52" s="3" t="s">
        <v>32</v>
      </c>
      <c r="C52" s="3" t="s">
        <v>31</v>
      </c>
      <c r="D52" s="9">
        <v>46100</v>
      </c>
      <c r="E52" s="3" t="s">
        <v>34</v>
      </c>
      <c r="F52" s="6" t="s">
        <v>639</v>
      </c>
      <c r="G52" s="3" t="s">
        <v>580</v>
      </c>
      <c r="H52" s="3">
        <v>97.7</v>
      </c>
      <c r="I52" s="3">
        <v>9.61</v>
      </c>
    </row>
    <row r="53" spans="1:9" hidden="1">
      <c r="A53" s="4" t="s">
        <v>421</v>
      </c>
      <c r="B53" s="4" t="s">
        <v>38</v>
      </c>
      <c r="C53" s="4" t="s">
        <v>37</v>
      </c>
      <c r="D53" s="10">
        <v>46119</v>
      </c>
      <c r="E53" s="4" t="s">
        <v>34</v>
      </c>
      <c r="F53" s="6" t="s">
        <v>639</v>
      </c>
      <c r="G53" s="4" t="s">
        <v>581</v>
      </c>
      <c r="H53" s="4">
        <v>54</v>
      </c>
      <c r="I53" s="4">
        <v>9.4700000000000006</v>
      </c>
    </row>
    <row r="54" spans="1:9">
      <c r="A54" s="3" t="s">
        <v>354</v>
      </c>
      <c r="B54" s="3" t="s">
        <v>32</v>
      </c>
      <c r="C54" s="3" t="s">
        <v>31</v>
      </c>
      <c r="D54" s="9">
        <v>46126</v>
      </c>
      <c r="E54" s="3" t="s">
        <v>34</v>
      </c>
      <c r="F54" s="6" t="s">
        <v>639</v>
      </c>
      <c r="G54" s="3" t="s">
        <v>580</v>
      </c>
      <c r="H54" s="3">
        <v>100.3</v>
      </c>
      <c r="I54" s="3">
        <v>9.15</v>
      </c>
    </row>
    <row r="55" spans="1:9" hidden="1">
      <c r="A55" s="4" t="s">
        <v>230</v>
      </c>
      <c r="B55" s="4" t="s">
        <v>38</v>
      </c>
      <c r="C55" s="4" t="s">
        <v>37</v>
      </c>
      <c r="D55" s="10">
        <v>46097</v>
      </c>
      <c r="E55" s="4" t="s">
        <v>34</v>
      </c>
      <c r="F55" s="6" t="s">
        <v>639</v>
      </c>
      <c r="G55" s="4" t="s">
        <v>580</v>
      </c>
      <c r="H55" s="4">
        <v>157.5</v>
      </c>
      <c r="I55" s="4">
        <v>9.01</v>
      </c>
    </row>
    <row r="56" spans="1:9">
      <c r="A56" s="3" t="s">
        <v>42</v>
      </c>
      <c r="B56" s="3" t="s">
        <v>32</v>
      </c>
      <c r="C56" s="3" t="s">
        <v>31</v>
      </c>
      <c r="D56" s="9">
        <v>46056</v>
      </c>
      <c r="E56" s="3" t="s">
        <v>34</v>
      </c>
      <c r="F56" s="6" t="s">
        <v>639</v>
      </c>
      <c r="G56" s="3" t="s">
        <v>580</v>
      </c>
      <c r="H56" s="3">
        <v>103.5</v>
      </c>
      <c r="I56" s="3">
        <v>8.59</v>
      </c>
    </row>
    <row r="57" spans="1:9">
      <c r="A57" s="4" t="s">
        <v>353</v>
      </c>
      <c r="B57" s="4" t="s">
        <v>32</v>
      </c>
      <c r="C57" s="4" t="s">
        <v>31</v>
      </c>
      <c r="D57" s="10">
        <v>46126</v>
      </c>
      <c r="E57" s="4" t="s">
        <v>34</v>
      </c>
      <c r="F57" s="6" t="s">
        <v>639</v>
      </c>
      <c r="G57" s="4" t="s">
        <v>580</v>
      </c>
      <c r="H57" s="4">
        <v>103.9</v>
      </c>
      <c r="I57" s="4">
        <v>8.52</v>
      </c>
    </row>
    <row r="58" spans="1:9" hidden="1">
      <c r="A58" s="3" t="s">
        <v>230</v>
      </c>
      <c r="B58" s="3" t="s">
        <v>38</v>
      </c>
      <c r="C58" s="3" t="s">
        <v>37</v>
      </c>
      <c r="D58" s="9">
        <v>46097</v>
      </c>
      <c r="E58" s="3" t="s">
        <v>34</v>
      </c>
      <c r="F58" s="6" t="s">
        <v>639</v>
      </c>
      <c r="G58" s="3" t="s">
        <v>580</v>
      </c>
      <c r="H58" s="3">
        <v>154.80000000000001</v>
      </c>
      <c r="I58" s="3">
        <v>8.4700000000000006</v>
      </c>
    </row>
    <row r="59" spans="1:9" hidden="1">
      <c r="A59" s="4" t="s">
        <v>67</v>
      </c>
      <c r="B59" s="4" t="s">
        <v>38</v>
      </c>
      <c r="C59" s="4" t="s">
        <v>37</v>
      </c>
      <c r="D59" s="10">
        <v>46081</v>
      </c>
      <c r="E59" s="4" t="s">
        <v>34</v>
      </c>
      <c r="F59" s="6" t="s">
        <v>639</v>
      </c>
      <c r="G59" s="4" t="s">
        <v>580</v>
      </c>
      <c r="H59" s="4">
        <v>70.400000000000006</v>
      </c>
      <c r="I59" s="4">
        <v>8.4600000000000009</v>
      </c>
    </row>
    <row r="60" spans="1:9" hidden="1">
      <c r="A60" s="3" t="s">
        <v>498</v>
      </c>
      <c r="B60" s="3" t="s">
        <v>38</v>
      </c>
      <c r="C60" s="3" t="s">
        <v>37</v>
      </c>
      <c r="D60" s="9">
        <v>46125</v>
      </c>
      <c r="E60" s="3" t="s">
        <v>34</v>
      </c>
      <c r="F60" s="6" t="s">
        <v>639</v>
      </c>
      <c r="G60" s="3" t="s">
        <v>580</v>
      </c>
      <c r="H60" s="3">
        <v>70.900000000000006</v>
      </c>
      <c r="I60" s="3">
        <v>8.36</v>
      </c>
    </row>
    <row r="61" spans="1:9" hidden="1">
      <c r="A61" s="4" t="s">
        <v>230</v>
      </c>
      <c r="B61" s="4" t="s">
        <v>38</v>
      </c>
      <c r="C61" s="4" t="s">
        <v>37</v>
      </c>
      <c r="D61" s="10">
        <v>46095</v>
      </c>
      <c r="E61" s="4" t="s">
        <v>34</v>
      </c>
      <c r="F61" s="6" t="s">
        <v>639</v>
      </c>
      <c r="G61" s="4" t="s">
        <v>591</v>
      </c>
      <c r="H61" s="4">
        <v>5.15</v>
      </c>
      <c r="I61" s="4">
        <v>8.3000000000000007</v>
      </c>
    </row>
    <row r="62" spans="1:9" hidden="1">
      <c r="A62" s="3" t="s">
        <v>400</v>
      </c>
      <c r="B62" s="3" t="s">
        <v>38</v>
      </c>
      <c r="C62" s="3" t="s">
        <v>37</v>
      </c>
      <c r="D62" s="9">
        <v>46112</v>
      </c>
      <c r="E62" s="3" t="s">
        <v>34</v>
      </c>
      <c r="F62" s="6" t="s">
        <v>639</v>
      </c>
      <c r="G62" s="3" t="s">
        <v>580</v>
      </c>
      <c r="H62" s="3">
        <v>71.3</v>
      </c>
      <c r="I62" s="3">
        <v>8.2799999999999994</v>
      </c>
    </row>
    <row r="63" spans="1:9">
      <c r="A63" s="4" t="s">
        <v>45</v>
      </c>
      <c r="B63" s="4" t="s">
        <v>32</v>
      </c>
      <c r="C63" s="4" t="s">
        <v>31</v>
      </c>
      <c r="D63" s="10">
        <v>46066</v>
      </c>
      <c r="E63" s="4" t="s">
        <v>34</v>
      </c>
      <c r="F63" s="6" t="s">
        <v>639</v>
      </c>
      <c r="G63" s="4" t="s">
        <v>591</v>
      </c>
      <c r="H63" s="4">
        <v>4.6100000000000003</v>
      </c>
      <c r="I63" s="4">
        <v>8.27</v>
      </c>
    </row>
    <row r="64" spans="1:9" hidden="1">
      <c r="A64" s="3" t="s">
        <v>537</v>
      </c>
      <c r="B64" s="3" t="s">
        <v>38</v>
      </c>
      <c r="C64" s="3" t="s">
        <v>37</v>
      </c>
      <c r="D64" s="9">
        <v>46127</v>
      </c>
      <c r="E64" s="3" t="s">
        <v>34</v>
      </c>
      <c r="F64" s="6" t="s">
        <v>639</v>
      </c>
      <c r="G64" s="3" t="s">
        <v>580</v>
      </c>
      <c r="H64" s="3">
        <v>71.8</v>
      </c>
      <c r="I64" s="3">
        <v>8.18</v>
      </c>
    </row>
    <row r="65" spans="1:9" hidden="1">
      <c r="A65" s="4" t="s">
        <v>183</v>
      </c>
      <c r="B65" s="4" t="s">
        <v>38</v>
      </c>
      <c r="C65" s="4" t="s">
        <v>37</v>
      </c>
      <c r="D65" s="10">
        <v>46092</v>
      </c>
      <c r="E65" s="4" t="s">
        <v>34</v>
      </c>
      <c r="F65" s="6" t="s">
        <v>639</v>
      </c>
      <c r="G65" s="4" t="s">
        <v>590</v>
      </c>
      <c r="H65" s="4">
        <v>5.05</v>
      </c>
      <c r="I65" s="4">
        <v>8.17</v>
      </c>
    </row>
    <row r="66" spans="1:9">
      <c r="A66" s="3" t="s">
        <v>81</v>
      </c>
      <c r="B66" s="3" t="s">
        <v>32</v>
      </c>
      <c r="C66" s="3" t="s">
        <v>31</v>
      </c>
      <c r="D66" s="9">
        <v>46082</v>
      </c>
      <c r="E66" s="3" t="s">
        <v>34</v>
      </c>
      <c r="F66" s="6" t="s">
        <v>639</v>
      </c>
      <c r="G66" s="3" t="s">
        <v>580</v>
      </c>
      <c r="H66" s="3">
        <v>106.2</v>
      </c>
      <c r="I66" s="3">
        <v>8.1199999999999992</v>
      </c>
    </row>
    <row r="67" spans="1:9">
      <c r="A67" s="4" t="s">
        <v>354</v>
      </c>
      <c r="B67" s="4" t="s">
        <v>32</v>
      </c>
      <c r="C67" s="4" t="s">
        <v>31</v>
      </c>
      <c r="D67" s="10">
        <v>46126</v>
      </c>
      <c r="E67" s="4" t="s">
        <v>34</v>
      </c>
      <c r="F67" s="6" t="s">
        <v>639</v>
      </c>
      <c r="G67" s="4" t="s">
        <v>590</v>
      </c>
      <c r="H67" s="4">
        <v>3.64</v>
      </c>
      <c r="I67" s="4">
        <v>7.9</v>
      </c>
    </row>
    <row r="68" spans="1:9">
      <c r="A68" s="3" t="s">
        <v>353</v>
      </c>
      <c r="B68" s="3" t="s">
        <v>32</v>
      </c>
      <c r="C68" s="3" t="s">
        <v>31</v>
      </c>
      <c r="D68" s="9">
        <v>46126</v>
      </c>
      <c r="E68" s="3" t="s">
        <v>34</v>
      </c>
      <c r="F68" s="6" t="s">
        <v>639</v>
      </c>
      <c r="G68" s="3" t="s">
        <v>590</v>
      </c>
      <c r="H68" s="3">
        <v>3.66</v>
      </c>
      <c r="I68" s="3">
        <v>7.87</v>
      </c>
    </row>
    <row r="69" spans="1:9">
      <c r="A69" s="4" t="s">
        <v>43</v>
      </c>
      <c r="B69" s="4" t="s">
        <v>32</v>
      </c>
      <c r="C69" s="4" t="s">
        <v>31</v>
      </c>
      <c r="D69" s="10">
        <v>46060</v>
      </c>
      <c r="E69" s="4" t="s">
        <v>34</v>
      </c>
      <c r="F69" s="6" t="s">
        <v>639</v>
      </c>
      <c r="G69" s="4" t="s">
        <v>580</v>
      </c>
      <c r="H69" s="4">
        <v>107.9</v>
      </c>
      <c r="I69" s="4">
        <v>7.83</v>
      </c>
    </row>
    <row r="70" spans="1:9">
      <c r="A70" s="3" t="s">
        <v>72</v>
      </c>
      <c r="B70" s="3" t="s">
        <v>32</v>
      </c>
      <c r="C70" s="3" t="s">
        <v>31</v>
      </c>
      <c r="D70" s="9">
        <v>46081</v>
      </c>
      <c r="E70" s="3" t="s">
        <v>34</v>
      </c>
      <c r="F70" s="6" t="s">
        <v>639</v>
      </c>
      <c r="G70" s="3" t="s">
        <v>580</v>
      </c>
      <c r="H70" s="3">
        <v>108.4</v>
      </c>
      <c r="I70" s="3">
        <v>7.74</v>
      </c>
    </row>
    <row r="71" spans="1:9" hidden="1">
      <c r="A71" s="4" t="s">
        <v>414</v>
      </c>
      <c r="B71" s="4" t="s">
        <v>38</v>
      </c>
      <c r="C71" s="4" t="s">
        <v>37</v>
      </c>
      <c r="D71" s="10">
        <v>46113</v>
      </c>
      <c r="E71" s="4" t="s">
        <v>34</v>
      </c>
      <c r="F71" s="6" t="s">
        <v>639</v>
      </c>
      <c r="G71" s="4" t="s">
        <v>580</v>
      </c>
      <c r="H71" s="4">
        <v>74</v>
      </c>
      <c r="I71" s="4">
        <v>7.73</v>
      </c>
    </row>
    <row r="72" spans="1:9">
      <c r="A72" s="3" t="s">
        <v>344</v>
      </c>
      <c r="B72" s="3" t="s">
        <v>32</v>
      </c>
      <c r="C72" s="3" t="s">
        <v>31</v>
      </c>
      <c r="D72" s="9">
        <v>46130</v>
      </c>
      <c r="E72" s="3" t="s">
        <v>34</v>
      </c>
      <c r="F72" s="6" t="s">
        <v>639</v>
      </c>
      <c r="G72" s="3" t="s">
        <v>591</v>
      </c>
      <c r="H72" s="3">
        <v>4.83</v>
      </c>
      <c r="I72" s="3">
        <v>7.72</v>
      </c>
    </row>
    <row r="73" spans="1:9" hidden="1">
      <c r="A73" s="4" t="s">
        <v>230</v>
      </c>
      <c r="B73" s="4" t="s">
        <v>38</v>
      </c>
      <c r="C73" s="4" t="s">
        <v>37</v>
      </c>
      <c r="D73" s="10">
        <v>46097</v>
      </c>
      <c r="E73" s="4" t="s">
        <v>34</v>
      </c>
      <c r="F73" s="6" t="s">
        <v>639</v>
      </c>
      <c r="G73" s="4" t="s">
        <v>590</v>
      </c>
      <c r="H73" s="4">
        <v>4.9800000000000004</v>
      </c>
      <c r="I73" s="4">
        <v>7.7</v>
      </c>
    </row>
    <row r="74" spans="1:9">
      <c r="A74" s="3" t="s">
        <v>44</v>
      </c>
      <c r="B74" s="3" t="s">
        <v>32</v>
      </c>
      <c r="C74" s="3" t="s">
        <v>31</v>
      </c>
      <c r="D74" s="9">
        <v>46066</v>
      </c>
      <c r="E74" s="3" t="s">
        <v>34</v>
      </c>
      <c r="F74" s="6" t="s">
        <v>639</v>
      </c>
      <c r="G74" s="3" t="s">
        <v>580</v>
      </c>
      <c r="H74" s="3">
        <v>108.8</v>
      </c>
      <c r="I74" s="3">
        <v>7.67</v>
      </c>
    </row>
    <row r="75" spans="1:9">
      <c r="A75" s="4" t="s">
        <v>44</v>
      </c>
      <c r="B75" s="4" t="s">
        <v>32</v>
      </c>
      <c r="C75" s="4" t="s">
        <v>31</v>
      </c>
      <c r="D75" s="10">
        <v>46066</v>
      </c>
      <c r="E75" s="4" t="s">
        <v>34</v>
      </c>
      <c r="F75" s="6" t="s">
        <v>639</v>
      </c>
      <c r="G75" s="4" t="s">
        <v>580</v>
      </c>
      <c r="H75" s="4">
        <v>109.3</v>
      </c>
      <c r="I75" s="4">
        <v>7.58</v>
      </c>
    </row>
    <row r="76" spans="1:9">
      <c r="A76" s="3" t="s">
        <v>58</v>
      </c>
      <c r="B76" s="3" t="s">
        <v>32</v>
      </c>
      <c r="C76" s="3" t="s">
        <v>31</v>
      </c>
      <c r="D76" s="9">
        <v>46083</v>
      </c>
      <c r="E76" s="3" t="s">
        <v>34</v>
      </c>
      <c r="F76" s="6" t="s">
        <v>639</v>
      </c>
      <c r="G76" s="3" t="s">
        <v>580</v>
      </c>
      <c r="H76" s="3">
        <v>110.2</v>
      </c>
      <c r="I76" s="3">
        <v>7.42</v>
      </c>
    </row>
    <row r="77" spans="1:9" hidden="1">
      <c r="A77" s="4" t="s">
        <v>230</v>
      </c>
      <c r="B77" s="4" t="s">
        <v>38</v>
      </c>
      <c r="C77" s="4" t="s">
        <v>37</v>
      </c>
      <c r="D77" s="10">
        <v>46095</v>
      </c>
      <c r="E77" s="4" t="s">
        <v>34</v>
      </c>
      <c r="F77" s="6" t="s">
        <v>639</v>
      </c>
      <c r="G77" s="4" t="s">
        <v>580</v>
      </c>
      <c r="H77" s="4">
        <v>149.5</v>
      </c>
      <c r="I77" s="4">
        <v>7.41</v>
      </c>
    </row>
    <row r="78" spans="1:9">
      <c r="A78" s="3" t="s">
        <v>344</v>
      </c>
      <c r="B78" s="3" t="s">
        <v>32</v>
      </c>
      <c r="C78" s="3" t="s">
        <v>31</v>
      </c>
      <c r="D78" s="9">
        <v>46130</v>
      </c>
      <c r="E78" s="3" t="s">
        <v>34</v>
      </c>
      <c r="F78" s="6" t="s">
        <v>639</v>
      </c>
      <c r="G78" s="3" t="s">
        <v>591</v>
      </c>
      <c r="H78" s="3">
        <v>4.96</v>
      </c>
      <c r="I78" s="3">
        <v>7.39</v>
      </c>
    </row>
    <row r="79" spans="1:9">
      <c r="A79" s="4" t="s">
        <v>43</v>
      </c>
      <c r="B79" s="4" t="s">
        <v>32</v>
      </c>
      <c r="C79" s="4" t="s">
        <v>31</v>
      </c>
      <c r="D79" s="10">
        <v>46056</v>
      </c>
      <c r="E79" s="4" t="s">
        <v>34</v>
      </c>
      <c r="F79" s="6" t="s">
        <v>639</v>
      </c>
      <c r="G79" s="4" t="s">
        <v>580</v>
      </c>
      <c r="H79" s="4">
        <v>110.6</v>
      </c>
      <c r="I79" s="4">
        <v>7.36</v>
      </c>
    </row>
    <row r="80" spans="1:9">
      <c r="A80" s="3" t="s">
        <v>344</v>
      </c>
      <c r="B80" s="3" t="s">
        <v>32</v>
      </c>
      <c r="C80" s="3" t="s">
        <v>31</v>
      </c>
      <c r="D80" s="9">
        <v>46130</v>
      </c>
      <c r="E80" s="3" t="s">
        <v>34</v>
      </c>
      <c r="F80" s="6" t="s">
        <v>639</v>
      </c>
      <c r="G80" s="3" t="s">
        <v>591</v>
      </c>
      <c r="H80" s="3">
        <v>4.9800000000000004</v>
      </c>
      <c r="I80" s="3">
        <v>7.34</v>
      </c>
    </row>
    <row r="81" spans="1:9">
      <c r="A81" s="4" t="s">
        <v>44</v>
      </c>
      <c r="B81" s="4" t="s">
        <v>32</v>
      </c>
      <c r="C81" s="4" t="s">
        <v>31</v>
      </c>
      <c r="D81" s="10">
        <v>46066</v>
      </c>
      <c r="E81" s="4" t="s">
        <v>34</v>
      </c>
      <c r="F81" s="6" t="s">
        <v>639</v>
      </c>
      <c r="G81" s="4" t="s">
        <v>580</v>
      </c>
      <c r="H81" s="4">
        <v>111.1</v>
      </c>
      <c r="I81" s="4">
        <v>7.27</v>
      </c>
    </row>
    <row r="82" spans="1:9" hidden="1">
      <c r="A82" s="3" t="s">
        <v>414</v>
      </c>
      <c r="B82" s="3" t="s">
        <v>38</v>
      </c>
      <c r="C82" s="3" t="s">
        <v>37</v>
      </c>
      <c r="D82" s="9">
        <v>46113</v>
      </c>
      <c r="E82" s="3" t="s">
        <v>34</v>
      </c>
      <c r="F82" s="6" t="s">
        <v>639</v>
      </c>
      <c r="G82" s="3" t="s">
        <v>580</v>
      </c>
      <c r="H82" s="3">
        <v>77.099999999999994</v>
      </c>
      <c r="I82" s="3">
        <v>7.11</v>
      </c>
    </row>
    <row r="83" spans="1:9">
      <c r="A83" s="4" t="s">
        <v>344</v>
      </c>
      <c r="B83" s="4" t="s">
        <v>32</v>
      </c>
      <c r="C83" s="4" t="s">
        <v>31</v>
      </c>
      <c r="D83" s="10">
        <v>46106</v>
      </c>
      <c r="E83" s="4" t="s">
        <v>34</v>
      </c>
      <c r="F83" s="6" t="s">
        <v>639</v>
      </c>
      <c r="G83" s="4" t="s">
        <v>591</v>
      </c>
      <c r="H83" s="4">
        <v>5.08</v>
      </c>
      <c r="I83" s="4">
        <v>7.09</v>
      </c>
    </row>
    <row r="84" spans="1:9">
      <c r="A84" s="3" t="s">
        <v>41</v>
      </c>
      <c r="B84" s="3" t="s">
        <v>32</v>
      </c>
      <c r="C84" s="3" t="s">
        <v>31</v>
      </c>
      <c r="D84" s="9">
        <v>46053</v>
      </c>
      <c r="E84" s="3" t="s">
        <v>34</v>
      </c>
      <c r="F84" s="6" t="s">
        <v>639</v>
      </c>
      <c r="G84" s="3" t="s">
        <v>583</v>
      </c>
      <c r="H84" s="3">
        <v>53.9</v>
      </c>
      <c r="I84" s="3">
        <v>6.97</v>
      </c>
    </row>
    <row r="85" spans="1:9">
      <c r="A85" s="4" t="s">
        <v>41</v>
      </c>
      <c r="B85" s="4" t="s">
        <v>32</v>
      </c>
      <c r="C85" s="4" t="s">
        <v>31</v>
      </c>
      <c r="D85" s="10">
        <v>46053</v>
      </c>
      <c r="E85" s="4" t="s">
        <v>34</v>
      </c>
      <c r="F85" s="6" t="s">
        <v>639</v>
      </c>
      <c r="G85" s="4" t="s">
        <v>583</v>
      </c>
      <c r="H85" s="4">
        <v>53.9</v>
      </c>
      <c r="I85" s="4">
        <v>6.97</v>
      </c>
    </row>
    <row r="86" spans="1:9" hidden="1">
      <c r="A86" s="3" t="s">
        <v>421</v>
      </c>
      <c r="B86" s="3" t="s">
        <v>38</v>
      </c>
      <c r="C86" s="3" t="s">
        <v>37</v>
      </c>
      <c r="D86" s="9">
        <v>46119</v>
      </c>
      <c r="E86" s="3" t="s">
        <v>34</v>
      </c>
      <c r="F86" s="6" t="s">
        <v>639</v>
      </c>
      <c r="G86" s="3" t="s">
        <v>580</v>
      </c>
      <c r="H86" s="3">
        <v>78</v>
      </c>
      <c r="I86" s="3">
        <v>6.93</v>
      </c>
    </row>
    <row r="87" spans="1:9">
      <c r="A87" s="4" t="s">
        <v>261</v>
      </c>
      <c r="B87" s="4" t="s">
        <v>32</v>
      </c>
      <c r="C87" s="4" t="s">
        <v>31</v>
      </c>
      <c r="D87" s="10">
        <v>46099</v>
      </c>
      <c r="E87" s="4" t="s">
        <v>34</v>
      </c>
      <c r="F87" s="6" t="s">
        <v>639</v>
      </c>
      <c r="G87" s="4" t="s">
        <v>580</v>
      </c>
      <c r="H87" s="4">
        <v>113.7</v>
      </c>
      <c r="I87" s="4">
        <v>6.81</v>
      </c>
    </row>
    <row r="88" spans="1:9">
      <c r="A88" s="3" t="s">
        <v>344</v>
      </c>
      <c r="B88" s="3" t="s">
        <v>32</v>
      </c>
      <c r="C88" s="3" t="s">
        <v>31</v>
      </c>
      <c r="D88" s="9">
        <v>46106</v>
      </c>
      <c r="E88" s="3" t="s">
        <v>34</v>
      </c>
      <c r="F88" s="6" t="s">
        <v>639</v>
      </c>
      <c r="G88" s="3" t="s">
        <v>591</v>
      </c>
      <c r="H88" s="3">
        <v>5.2</v>
      </c>
      <c r="I88" s="3">
        <v>6.79</v>
      </c>
    </row>
    <row r="89" spans="1:9" hidden="1">
      <c r="A89" s="4" t="s">
        <v>537</v>
      </c>
      <c r="B89" s="4" t="s">
        <v>38</v>
      </c>
      <c r="C89" s="4" t="s">
        <v>37</v>
      </c>
      <c r="D89" s="10">
        <v>46133</v>
      </c>
      <c r="E89" s="4" t="s">
        <v>34</v>
      </c>
      <c r="F89" s="6" t="s">
        <v>639</v>
      </c>
      <c r="G89" s="4" t="s">
        <v>581</v>
      </c>
      <c r="H89" s="4">
        <v>61.7</v>
      </c>
      <c r="I89" s="4">
        <v>6.74</v>
      </c>
    </row>
    <row r="90" spans="1:9">
      <c r="A90" s="3" t="s">
        <v>466</v>
      </c>
      <c r="B90" s="3" t="s">
        <v>32</v>
      </c>
      <c r="C90" s="3" t="s">
        <v>31</v>
      </c>
      <c r="D90" s="9">
        <v>46122</v>
      </c>
      <c r="E90" s="3" t="s">
        <v>34</v>
      </c>
      <c r="F90" s="6" t="s">
        <v>639</v>
      </c>
      <c r="G90" s="3" t="s">
        <v>581</v>
      </c>
      <c r="H90" s="3">
        <v>129.80000000000001</v>
      </c>
      <c r="I90" s="3">
        <v>6.62</v>
      </c>
    </row>
    <row r="91" spans="1:9" hidden="1">
      <c r="A91" s="4" t="s">
        <v>230</v>
      </c>
      <c r="B91" s="4" t="s">
        <v>38</v>
      </c>
      <c r="C91" s="4" t="s">
        <v>37</v>
      </c>
      <c r="D91" s="10">
        <v>46095</v>
      </c>
      <c r="E91" s="4" t="s">
        <v>34</v>
      </c>
      <c r="F91" s="6" t="s">
        <v>639</v>
      </c>
      <c r="G91" s="4" t="s">
        <v>591</v>
      </c>
      <c r="H91" s="4">
        <v>4.88</v>
      </c>
      <c r="I91" s="4">
        <v>6.58</v>
      </c>
    </row>
    <row r="92" spans="1:9" hidden="1">
      <c r="A92" s="3" t="s">
        <v>548</v>
      </c>
      <c r="B92" s="3" t="s">
        <v>38</v>
      </c>
      <c r="C92" s="3" t="s">
        <v>37</v>
      </c>
      <c r="D92" s="9">
        <v>46128</v>
      </c>
      <c r="E92" s="3" t="s">
        <v>34</v>
      </c>
      <c r="F92" s="6" t="s">
        <v>639</v>
      </c>
      <c r="G92" s="3" t="s">
        <v>580</v>
      </c>
      <c r="H92" s="3">
        <v>80.7</v>
      </c>
      <c r="I92" s="3">
        <v>6.39</v>
      </c>
    </row>
    <row r="93" spans="1:9" hidden="1">
      <c r="A93" s="4" t="s">
        <v>521</v>
      </c>
      <c r="B93" s="4" t="s">
        <v>38</v>
      </c>
      <c r="C93" s="4" t="s">
        <v>37</v>
      </c>
      <c r="D93" s="10">
        <v>46127</v>
      </c>
      <c r="E93" s="4" t="s">
        <v>34</v>
      </c>
      <c r="F93" s="6" t="s">
        <v>639</v>
      </c>
      <c r="G93" s="4" t="s">
        <v>590</v>
      </c>
      <c r="H93" s="4">
        <v>2.86</v>
      </c>
      <c r="I93" s="4">
        <v>6.39</v>
      </c>
    </row>
    <row r="94" spans="1:9" hidden="1">
      <c r="A94" s="3" t="s">
        <v>230</v>
      </c>
      <c r="B94" s="3" t="s">
        <v>38</v>
      </c>
      <c r="C94" s="3" t="s">
        <v>37</v>
      </c>
      <c r="D94" s="9">
        <v>46097</v>
      </c>
      <c r="E94" s="3" t="s">
        <v>34</v>
      </c>
      <c r="F94" s="6" t="s">
        <v>639</v>
      </c>
      <c r="G94" s="3" t="s">
        <v>580</v>
      </c>
      <c r="H94" s="3">
        <v>144.1</v>
      </c>
      <c r="I94" s="3">
        <v>6.33</v>
      </c>
    </row>
    <row r="95" spans="1:9" hidden="1">
      <c r="A95" s="4" t="s">
        <v>421</v>
      </c>
      <c r="B95" s="4" t="s">
        <v>38</v>
      </c>
      <c r="C95" s="4" t="s">
        <v>37</v>
      </c>
      <c r="D95" s="10">
        <v>46136</v>
      </c>
      <c r="E95" s="4" t="s">
        <v>34</v>
      </c>
      <c r="F95" s="6" t="s">
        <v>639</v>
      </c>
      <c r="G95" s="4" t="s">
        <v>580</v>
      </c>
      <c r="H95" s="4">
        <v>81.599999999999994</v>
      </c>
      <c r="I95" s="4">
        <v>6.21</v>
      </c>
    </row>
    <row r="96" spans="1:9" hidden="1">
      <c r="A96" s="3" t="s">
        <v>521</v>
      </c>
      <c r="B96" s="3" t="s">
        <v>38</v>
      </c>
      <c r="C96" s="3" t="s">
        <v>37</v>
      </c>
      <c r="D96" s="9">
        <v>46127</v>
      </c>
      <c r="E96" s="3" t="s">
        <v>34</v>
      </c>
      <c r="F96" s="6" t="s">
        <v>639</v>
      </c>
      <c r="G96" s="3" t="s">
        <v>590</v>
      </c>
      <c r="H96" s="3">
        <v>2.91</v>
      </c>
      <c r="I96" s="3">
        <v>6.05</v>
      </c>
    </row>
    <row r="97" spans="1:9" hidden="1">
      <c r="A97" s="4" t="s">
        <v>554</v>
      </c>
      <c r="B97" s="4" t="s">
        <v>38</v>
      </c>
      <c r="C97" s="4" t="s">
        <v>37</v>
      </c>
      <c r="D97" s="10">
        <v>46128</v>
      </c>
      <c r="E97" s="4" t="s">
        <v>34</v>
      </c>
      <c r="F97" s="6" t="s">
        <v>639</v>
      </c>
      <c r="G97" s="4" t="s">
        <v>580</v>
      </c>
      <c r="H97" s="4">
        <v>82.9</v>
      </c>
      <c r="I97" s="4">
        <v>5.95</v>
      </c>
    </row>
    <row r="98" spans="1:9" hidden="1">
      <c r="A98" s="3" t="s">
        <v>421</v>
      </c>
      <c r="B98" s="3" t="s">
        <v>38</v>
      </c>
      <c r="C98" s="3" t="s">
        <v>37</v>
      </c>
      <c r="D98" s="9">
        <v>46136</v>
      </c>
      <c r="E98" s="3" t="s">
        <v>34</v>
      </c>
      <c r="F98" s="6" t="s">
        <v>639</v>
      </c>
      <c r="G98" s="3" t="s">
        <v>581</v>
      </c>
      <c r="H98" s="3">
        <v>64</v>
      </c>
      <c r="I98" s="3">
        <v>5.93</v>
      </c>
    </row>
    <row r="99" spans="1:9">
      <c r="A99" s="4" t="s">
        <v>45</v>
      </c>
      <c r="B99" s="4" t="s">
        <v>32</v>
      </c>
      <c r="C99" s="4" t="s">
        <v>31</v>
      </c>
      <c r="D99" s="10">
        <v>46066</v>
      </c>
      <c r="E99" s="4" t="s">
        <v>34</v>
      </c>
      <c r="F99" s="6" t="s">
        <v>639</v>
      </c>
      <c r="G99" s="4" t="s">
        <v>581</v>
      </c>
      <c r="H99" s="4">
        <v>66.7</v>
      </c>
      <c r="I99" s="4">
        <v>5.9</v>
      </c>
    </row>
    <row r="100" spans="1:9">
      <c r="A100" s="3" t="s">
        <v>45</v>
      </c>
      <c r="B100" s="3" t="s">
        <v>32</v>
      </c>
      <c r="C100" s="3" t="s">
        <v>31</v>
      </c>
      <c r="D100" s="9">
        <v>46066</v>
      </c>
      <c r="E100" s="3" t="s">
        <v>34</v>
      </c>
      <c r="F100" s="6" t="s">
        <v>639</v>
      </c>
      <c r="G100" s="3" t="s">
        <v>590</v>
      </c>
      <c r="H100" s="3">
        <v>4.76</v>
      </c>
      <c r="I100" s="3">
        <v>5.89</v>
      </c>
    </row>
    <row r="101" spans="1:9">
      <c r="A101" s="4" t="s">
        <v>344</v>
      </c>
      <c r="B101" s="4" t="s">
        <v>32</v>
      </c>
      <c r="C101" s="4" t="s">
        <v>31</v>
      </c>
      <c r="D101" s="10">
        <v>46130</v>
      </c>
      <c r="E101" s="4" t="s">
        <v>34</v>
      </c>
      <c r="F101" s="6" t="s">
        <v>639</v>
      </c>
      <c r="G101" s="4" t="s">
        <v>590</v>
      </c>
      <c r="H101" s="4">
        <v>4.76</v>
      </c>
      <c r="I101" s="4">
        <v>5.89</v>
      </c>
    </row>
    <row r="102" spans="1:9" hidden="1">
      <c r="A102" s="3" t="s">
        <v>521</v>
      </c>
      <c r="B102" s="3" t="s">
        <v>38</v>
      </c>
      <c r="C102" s="3" t="s">
        <v>37</v>
      </c>
      <c r="D102" s="9">
        <v>46127</v>
      </c>
      <c r="E102" s="3" t="s">
        <v>34</v>
      </c>
      <c r="F102" s="6" t="s">
        <v>639</v>
      </c>
      <c r="G102" s="3" t="s">
        <v>591</v>
      </c>
      <c r="H102" s="3">
        <v>2.93</v>
      </c>
      <c r="I102" s="3">
        <v>5.86</v>
      </c>
    </row>
    <row r="103" spans="1:9" hidden="1">
      <c r="A103" s="4" t="s">
        <v>521</v>
      </c>
      <c r="B103" s="4" t="s">
        <v>38</v>
      </c>
      <c r="C103" s="4" t="s">
        <v>37</v>
      </c>
      <c r="D103" s="10">
        <v>46127</v>
      </c>
      <c r="E103" s="4" t="s">
        <v>34</v>
      </c>
      <c r="F103" s="6" t="s">
        <v>639</v>
      </c>
      <c r="G103" s="4" t="s">
        <v>591</v>
      </c>
      <c r="H103" s="4">
        <v>2.95</v>
      </c>
      <c r="I103" s="4">
        <v>5.73</v>
      </c>
    </row>
    <row r="104" spans="1:9">
      <c r="A104" s="3" t="s">
        <v>41</v>
      </c>
      <c r="B104" s="3" t="s">
        <v>32</v>
      </c>
      <c r="C104" s="3" t="s">
        <v>31</v>
      </c>
      <c r="D104" s="9">
        <v>46053</v>
      </c>
      <c r="E104" s="3" t="s">
        <v>34</v>
      </c>
      <c r="F104" s="6" t="s">
        <v>639</v>
      </c>
      <c r="G104" s="3" t="s">
        <v>585</v>
      </c>
      <c r="H104" s="3">
        <v>9.8000000000000007</v>
      </c>
      <c r="I104" s="3">
        <v>5.71</v>
      </c>
    </row>
    <row r="105" spans="1:9">
      <c r="A105" s="4" t="s">
        <v>344</v>
      </c>
      <c r="B105" s="4" t="s">
        <v>32</v>
      </c>
      <c r="C105" s="4" t="s">
        <v>31</v>
      </c>
      <c r="D105" s="10">
        <v>46130</v>
      </c>
      <c r="E105" s="4" t="s">
        <v>34</v>
      </c>
      <c r="F105" s="6" t="s">
        <v>639</v>
      </c>
      <c r="G105" s="4" t="s">
        <v>580</v>
      </c>
      <c r="H105" s="4">
        <v>120.4</v>
      </c>
      <c r="I105" s="4">
        <v>5.64</v>
      </c>
    </row>
    <row r="106" spans="1:9">
      <c r="A106" s="3" t="s">
        <v>344</v>
      </c>
      <c r="B106" s="3" t="s">
        <v>32</v>
      </c>
      <c r="C106" s="3" t="s">
        <v>31</v>
      </c>
      <c r="D106" s="9">
        <v>46130</v>
      </c>
      <c r="E106" s="3" t="s">
        <v>34</v>
      </c>
      <c r="F106" s="6" t="s">
        <v>639</v>
      </c>
      <c r="G106" s="3" t="s">
        <v>590</v>
      </c>
      <c r="H106" s="3">
        <v>4.91</v>
      </c>
      <c r="I106" s="3">
        <v>5.62</v>
      </c>
    </row>
    <row r="107" spans="1:9">
      <c r="A107" s="4" t="s">
        <v>344</v>
      </c>
      <c r="B107" s="4" t="s">
        <v>32</v>
      </c>
      <c r="C107" s="4" t="s">
        <v>31</v>
      </c>
      <c r="D107" s="10">
        <v>46130</v>
      </c>
      <c r="E107" s="4" t="s">
        <v>34</v>
      </c>
      <c r="F107" s="6" t="s">
        <v>639</v>
      </c>
      <c r="G107" s="4" t="s">
        <v>590</v>
      </c>
      <c r="H107" s="4">
        <v>4.93</v>
      </c>
      <c r="I107" s="4">
        <v>5.59</v>
      </c>
    </row>
    <row r="108" spans="1:9" hidden="1">
      <c r="A108" s="3" t="s">
        <v>230</v>
      </c>
      <c r="B108" s="3" t="s">
        <v>38</v>
      </c>
      <c r="C108" s="3" t="s">
        <v>37</v>
      </c>
      <c r="D108" s="9">
        <v>46095</v>
      </c>
      <c r="E108" s="3" t="s">
        <v>34</v>
      </c>
      <c r="F108" s="6" t="s">
        <v>639</v>
      </c>
      <c r="G108" s="3" t="s">
        <v>590</v>
      </c>
      <c r="H108" s="3">
        <v>4.66</v>
      </c>
      <c r="I108" s="3">
        <v>5.57</v>
      </c>
    </row>
    <row r="109" spans="1:9">
      <c r="A109" s="4" t="s">
        <v>41</v>
      </c>
      <c r="B109" s="4" t="s">
        <v>32</v>
      </c>
      <c r="C109" s="4" t="s">
        <v>31</v>
      </c>
      <c r="D109" s="10">
        <v>46053</v>
      </c>
      <c r="E109" s="4" t="s">
        <v>34</v>
      </c>
      <c r="F109" s="6" t="s">
        <v>639</v>
      </c>
      <c r="G109" s="4" t="s">
        <v>585</v>
      </c>
      <c r="H109" s="4">
        <v>9.6</v>
      </c>
      <c r="I109" s="4">
        <v>5.56</v>
      </c>
    </row>
    <row r="110" spans="1:9">
      <c r="A110" s="3" t="s">
        <v>261</v>
      </c>
      <c r="B110" s="3" t="s">
        <v>32</v>
      </c>
      <c r="C110" s="3" t="s">
        <v>31</v>
      </c>
      <c r="D110" s="9">
        <v>46099</v>
      </c>
      <c r="E110" s="3" t="s">
        <v>34</v>
      </c>
      <c r="F110" s="6" t="s">
        <v>639</v>
      </c>
      <c r="G110" s="3" t="s">
        <v>581</v>
      </c>
      <c r="H110" s="3">
        <v>68.5</v>
      </c>
      <c r="I110" s="3">
        <v>5.54</v>
      </c>
    </row>
    <row r="111" spans="1:9">
      <c r="A111" s="4" t="s">
        <v>43</v>
      </c>
      <c r="B111" s="4" t="s">
        <v>32</v>
      </c>
      <c r="C111" s="4" t="s">
        <v>31</v>
      </c>
      <c r="D111" s="10">
        <v>46059</v>
      </c>
      <c r="E111" s="4" t="s">
        <v>34</v>
      </c>
      <c r="F111" s="6" t="s">
        <v>639</v>
      </c>
      <c r="G111" s="4" t="s">
        <v>580</v>
      </c>
      <c r="H111" s="4">
        <v>121.3</v>
      </c>
      <c r="I111" s="4">
        <v>5.49</v>
      </c>
    </row>
    <row r="112" spans="1:9">
      <c r="A112" s="3" t="s">
        <v>490</v>
      </c>
      <c r="B112" s="3" t="s">
        <v>32</v>
      </c>
      <c r="C112" s="3" t="s">
        <v>31</v>
      </c>
      <c r="D112" s="9">
        <v>46125</v>
      </c>
      <c r="E112" s="3" t="s">
        <v>34</v>
      </c>
      <c r="F112" s="6" t="s">
        <v>639</v>
      </c>
      <c r="G112" s="3" t="s">
        <v>581</v>
      </c>
      <c r="H112" s="3">
        <v>68.900000000000006</v>
      </c>
      <c r="I112" s="3">
        <v>5.46</v>
      </c>
    </row>
    <row r="113" spans="1:9" hidden="1">
      <c r="A113" s="4" t="s">
        <v>230</v>
      </c>
      <c r="B113" s="4" t="s">
        <v>38</v>
      </c>
      <c r="C113" s="4" t="s">
        <v>37</v>
      </c>
      <c r="D113" s="10">
        <v>46095</v>
      </c>
      <c r="E113" s="4" t="s">
        <v>34</v>
      </c>
      <c r="F113" s="6" t="s">
        <v>639</v>
      </c>
      <c r="G113" s="4" t="s">
        <v>580</v>
      </c>
      <c r="H113" s="4">
        <v>139.69999999999999</v>
      </c>
      <c r="I113" s="4">
        <v>5.44</v>
      </c>
    </row>
    <row r="114" spans="1:9" hidden="1">
      <c r="A114" s="3" t="s">
        <v>420</v>
      </c>
      <c r="B114" s="3" t="s">
        <v>38</v>
      </c>
      <c r="C114" s="3" t="s">
        <v>37</v>
      </c>
      <c r="D114" s="9">
        <v>46135</v>
      </c>
      <c r="E114" s="3" t="s">
        <v>34</v>
      </c>
      <c r="F114" s="6" t="s">
        <v>639</v>
      </c>
      <c r="G114" s="3" t="s">
        <v>580</v>
      </c>
      <c r="H114" s="3">
        <v>85.6</v>
      </c>
      <c r="I114" s="3">
        <v>5.41</v>
      </c>
    </row>
    <row r="115" spans="1:9" hidden="1">
      <c r="A115" s="4" t="s">
        <v>509</v>
      </c>
      <c r="B115" s="4" t="s">
        <v>38</v>
      </c>
      <c r="C115" s="4" t="s">
        <v>37</v>
      </c>
      <c r="D115" s="10">
        <v>46135</v>
      </c>
      <c r="E115" s="4" t="s">
        <v>34</v>
      </c>
      <c r="F115" s="6" t="s">
        <v>639</v>
      </c>
      <c r="G115" s="4" t="s">
        <v>580</v>
      </c>
      <c r="H115" s="4">
        <v>85.6</v>
      </c>
      <c r="I115" s="4">
        <v>5.41</v>
      </c>
    </row>
    <row r="116" spans="1:9">
      <c r="A116" s="3" t="s">
        <v>559</v>
      </c>
      <c r="B116" s="3" t="s">
        <v>32</v>
      </c>
      <c r="C116" s="3" t="s">
        <v>31</v>
      </c>
      <c r="D116" s="9">
        <v>46129</v>
      </c>
      <c r="E116" s="3" t="s">
        <v>34</v>
      </c>
      <c r="F116" s="6" t="s">
        <v>639</v>
      </c>
      <c r="G116" s="3" t="s">
        <v>581</v>
      </c>
      <c r="H116" s="3">
        <v>69.400000000000006</v>
      </c>
      <c r="I116" s="3">
        <v>5.37</v>
      </c>
    </row>
    <row r="117" spans="1:9">
      <c r="A117" s="4" t="s">
        <v>559</v>
      </c>
      <c r="B117" s="4" t="s">
        <v>32</v>
      </c>
      <c r="C117" s="4" t="s">
        <v>31</v>
      </c>
      <c r="D117" s="10">
        <v>46129</v>
      </c>
      <c r="E117" s="4" t="s">
        <v>34</v>
      </c>
      <c r="F117" s="6" t="s">
        <v>639</v>
      </c>
      <c r="G117" s="4" t="s">
        <v>581</v>
      </c>
      <c r="H117" s="4">
        <v>69.8</v>
      </c>
      <c r="I117" s="4">
        <v>5.29</v>
      </c>
    </row>
    <row r="118" spans="1:9">
      <c r="A118" s="3" t="s">
        <v>344</v>
      </c>
      <c r="B118" s="3" t="s">
        <v>32</v>
      </c>
      <c r="C118" s="3" t="s">
        <v>31</v>
      </c>
      <c r="D118" s="9">
        <v>46106</v>
      </c>
      <c r="E118" s="3" t="s">
        <v>34</v>
      </c>
      <c r="F118" s="6" t="s">
        <v>639</v>
      </c>
      <c r="G118" s="3" t="s">
        <v>590</v>
      </c>
      <c r="H118" s="3">
        <v>5.0999999999999996</v>
      </c>
      <c r="I118" s="3">
        <v>5.28</v>
      </c>
    </row>
    <row r="119" spans="1:9">
      <c r="A119" s="4" t="s">
        <v>41</v>
      </c>
      <c r="B119" s="4" t="s">
        <v>32</v>
      </c>
      <c r="C119" s="4" t="s">
        <v>31</v>
      </c>
      <c r="D119" s="10">
        <v>46066</v>
      </c>
      <c r="E119" s="4" t="s">
        <v>34</v>
      </c>
      <c r="F119" s="6" t="s">
        <v>639</v>
      </c>
      <c r="G119" s="4" t="s">
        <v>580</v>
      </c>
      <c r="H119" s="4">
        <v>122.7</v>
      </c>
      <c r="I119" s="4">
        <v>5.24</v>
      </c>
    </row>
    <row r="120" spans="1:9">
      <c r="A120" s="3" t="s">
        <v>43</v>
      </c>
      <c r="B120" s="3" t="s">
        <v>32</v>
      </c>
      <c r="C120" s="3" t="s">
        <v>31</v>
      </c>
      <c r="D120" s="9">
        <v>46059</v>
      </c>
      <c r="E120" s="3" t="s">
        <v>34</v>
      </c>
      <c r="F120" s="6" t="s">
        <v>639</v>
      </c>
      <c r="G120" s="3" t="s">
        <v>585</v>
      </c>
      <c r="H120" s="3">
        <v>9.1</v>
      </c>
      <c r="I120" s="3">
        <v>5.2</v>
      </c>
    </row>
    <row r="121" spans="1:9">
      <c r="A121" s="4" t="s">
        <v>565</v>
      </c>
      <c r="B121" s="4" t="s">
        <v>32</v>
      </c>
      <c r="C121" s="4" t="s">
        <v>31</v>
      </c>
      <c r="D121" s="10">
        <v>46130</v>
      </c>
      <c r="E121" s="4" t="s">
        <v>34</v>
      </c>
      <c r="F121" s="6" t="s">
        <v>639</v>
      </c>
      <c r="G121" s="4" t="s">
        <v>580</v>
      </c>
      <c r="H121" s="4">
        <v>182.5</v>
      </c>
      <c r="I121" s="4">
        <v>5.19</v>
      </c>
    </row>
    <row r="122" spans="1:9">
      <c r="A122" s="3" t="s">
        <v>490</v>
      </c>
      <c r="B122" s="3" t="s">
        <v>32</v>
      </c>
      <c r="C122" s="3" t="s">
        <v>31</v>
      </c>
      <c r="D122" s="9">
        <v>46125</v>
      </c>
      <c r="E122" s="3" t="s">
        <v>34</v>
      </c>
      <c r="F122" s="6" t="s">
        <v>639</v>
      </c>
      <c r="G122" s="3" t="s">
        <v>581</v>
      </c>
      <c r="H122" s="3">
        <v>70.3</v>
      </c>
      <c r="I122" s="3">
        <v>5.19</v>
      </c>
    </row>
    <row r="123" spans="1:9">
      <c r="A123" s="4" t="s">
        <v>490</v>
      </c>
      <c r="B123" s="4" t="s">
        <v>32</v>
      </c>
      <c r="C123" s="4" t="s">
        <v>31</v>
      </c>
      <c r="D123" s="10">
        <v>46136</v>
      </c>
      <c r="E123" s="4" t="s">
        <v>34</v>
      </c>
      <c r="F123" s="6" t="s">
        <v>639</v>
      </c>
      <c r="G123" s="4" t="s">
        <v>581</v>
      </c>
      <c r="H123" s="4">
        <v>70.3</v>
      </c>
      <c r="I123" s="4">
        <v>5.19</v>
      </c>
    </row>
    <row r="124" spans="1:9" hidden="1">
      <c r="A124" s="3" t="s">
        <v>550</v>
      </c>
      <c r="B124" s="3" t="s">
        <v>38</v>
      </c>
      <c r="C124" s="3" t="s">
        <v>37</v>
      </c>
      <c r="D124" s="9">
        <v>46133</v>
      </c>
      <c r="E124" s="3" t="s">
        <v>34</v>
      </c>
      <c r="F124" s="6" t="s">
        <v>639</v>
      </c>
      <c r="G124" s="3" t="s">
        <v>580</v>
      </c>
      <c r="H124" s="3">
        <v>86.9</v>
      </c>
      <c r="I124" s="3">
        <v>5.15</v>
      </c>
    </row>
    <row r="125" spans="1:9" hidden="1">
      <c r="A125" s="4" t="s">
        <v>414</v>
      </c>
      <c r="B125" s="4" t="s">
        <v>38</v>
      </c>
      <c r="C125" s="4" t="s">
        <v>37</v>
      </c>
      <c r="D125" s="10">
        <v>46113</v>
      </c>
      <c r="E125" s="4" t="s">
        <v>34</v>
      </c>
      <c r="F125" s="6" t="s">
        <v>639</v>
      </c>
      <c r="G125" s="4" t="s">
        <v>590</v>
      </c>
      <c r="H125" s="4">
        <v>3.05</v>
      </c>
      <c r="I125" s="4">
        <v>5.12</v>
      </c>
    </row>
    <row r="126" spans="1:9">
      <c r="A126" s="3" t="s">
        <v>490</v>
      </c>
      <c r="B126" s="3" t="s">
        <v>32</v>
      </c>
      <c r="C126" s="3" t="s">
        <v>31</v>
      </c>
      <c r="D126" s="9">
        <v>46136</v>
      </c>
      <c r="E126" s="3" t="s">
        <v>34</v>
      </c>
      <c r="F126" s="6" t="s">
        <v>639</v>
      </c>
      <c r="G126" s="3" t="s">
        <v>581</v>
      </c>
      <c r="H126" s="3">
        <v>70.7</v>
      </c>
      <c r="I126" s="3">
        <v>5.1100000000000003</v>
      </c>
    </row>
    <row r="127" spans="1:9" hidden="1">
      <c r="A127" s="4" t="s">
        <v>230</v>
      </c>
      <c r="B127" s="4" t="s">
        <v>38</v>
      </c>
      <c r="C127" s="4" t="s">
        <v>37</v>
      </c>
      <c r="D127" s="10">
        <v>46097</v>
      </c>
      <c r="E127" s="4" t="s">
        <v>34</v>
      </c>
      <c r="F127" s="6" t="s">
        <v>639</v>
      </c>
      <c r="G127" s="4" t="s">
        <v>590</v>
      </c>
      <c r="H127" s="4">
        <v>4.59</v>
      </c>
      <c r="I127" s="4">
        <v>5.1100000000000003</v>
      </c>
    </row>
    <row r="128" spans="1:9">
      <c r="A128" s="3" t="s">
        <v>35</v>
      </c>
      <c r="B128" s="3" t="s">
        <v>32</v>
      </c>
      <c r="C128" s="3" t="s">
        <v>31</v>
      </c>
      <c r="D128" s="9">
        <v>46041</v>
      </c>
      <c r="E128" s="3" t="s">
        <v>34</v>
      </c>
      <c r="F128" s="6" t="s">
        <v>639</v>
      </c>
      <c r="G128" s="3" t="s">
        <v>585</v>
      </c>
      <c r="H128" s="3">
        <v>8.9</v>
      </c>
      <c r="I128" s="3">
        <v>5.0599999999999996</v>
      </c>
    </row>
    <row r="129" spans="1:9">
      <c r="A129" s="4" t="s">
        <v>479</v>
      </c>
      <c r="B129" s="4" t="s">
        <v>32</v>
      </c>
      <c r="C129" s="4" t="s">
        <v>31</v>
      </c>
      <c r="D129" s="10">
        <v>46135</v>
      </c>
      <c r="E129" s="4" t="s">
        <v>34</v>
      </c>
      <c r="F129" s="6" t="s">
        <v>639</v>
      </c>
      <c r="G129" s="4" t="s">
        <v>580</v>
      </c>
      <c r="H129" s="4">
        <v>124</v>
      </c>
      <c r="I129" s="4">
        <v>5.0199999999999996</v>
      </c>
    </row>
    <row r="130" spans="1:9">
      <c r="A130" s="3" t="s">
        <v>344</v>
      </c>
      <c r="B130" s="3" t="s">
        <v>32</v>
      </c>
      <c r="C130" s="3" t="s">
        <v>31</v>
      </c>
      <c r="D130" s="9">
        <v>46130</v>
      </c>
      <c r="E130" s="3" t="s">
        <v>34</v>
      </c>
      <c r="F130" s="6" t="s">
        <v>639</v>
      </c>
      <c r="G130" s="3" t="s">
        <v>581</v>
      </c>
      <c r="H130" s="3">
        <v>71.2</v>
      </c>
      <c r="I130" s="3">
        <v>5.01</v>
      </c>
    </row>
    <row r="131" spans="1:9">
      <c r="A131" s="4" t="s">
        <v>43</v>
      </c>
      <c r="B131" s="4" t="s">
        <v>32</v>
      </c>
      <c r="C131" s="4" t="s">
        <v>31</v>
      </c>
      <c r="D131" s="10">
        <v>46059</v>
      </c>
      <c r="E131" s="4" t="s">
        <v>34</v>
      </c>
      <c r="F131" s="6" t="s">
        <v>639</v>
      </c>
      <c r="G131" s="4" t="s">
        <v>585</v>
      </c>
      <c r="H131" s="4">
        <v>8.8000000000000007</v>
      </c>
      <c r="I131" s="4">
        <v>4.99</v>
      </c>
    </row>
    <row r="132" spans="1:9" hidden="1">
      <c r="A132" s="3" t="s">
        <v>183</v>
      </c>
      <c r="B132" s="3" t="s">
        <v>38</v>
      </c>
      <c r="C132" s="3" t="s">
        <v>37</v>
      </c>
      <c r="D132" s="9">
        <v>46092</v>
      </c>
      <c r="E132" s="3" t="s">
        <v>34</v>
      </c>
      <c r="F132" s="6" t="s">
        <v>639</v>
      </c>
      <c r="G132" s="3" t="s">
        <v>580</v>
      </c>
      <c r="H132" s="3">
        <v>137.4</v>
      </c>
      <c r="I132" s="3">
        <v>4.9800000000000004</v>
      </c>
    </row>
    <row r="133" spans="1:9">
      <c r="A133" s="4" t="s">
        <v>338</v>
      </c>
      <c r="B133" s="4" t="s">
        <v>32</v>
      </c>
      <c r="C133" s="4" t="s">
        <v>31</v>
      </c>
      <c r="D133" s="10">
        <v>46136</v>
      </c>
      <c r="E133" s="4" t="s">
        <v>34</v>
      </c>
      <c r="F133" s="6" t="s">
        <v>639</v>
      </c>
      <c r="G133" s="4" t="s">
        <v>580</v>
      </c>
      <c r="H133" s="4">
        <v>181.2</v>
      </c>
      <c r="I133" s="4">
        <v>4.97</v>
      </c>
    </row>
    <row r="134" spans="1:9" hidden="1">
      <c r="A134" s="3" t="s">
        <v>548</v>
      </c>
      <c r="B134" s="3" t="s">
        <v>38</v>
      </c>
      <c r="C134" s="3" t="s">
        <v>37</v>
      </c>
      <c r="D134" s="9">
        <v>46128</v>
      </c>
      <c r="E134" s="3" t="s">
        <v>34</v>
      </c>
      <c r="F134" s="6" t="s">
        <v>639</v>
      </c>
      <c r="G134" s="3" t="s">
        <v>581</v>
      </c>
      <c r="H134" s="3">
        <v>66.7</v>
      </c>
      <c r="I134" s="3">
        <v>4.97</v>
      </c>
    </row>
    <row r="135" spans="1:9">
      <c r="A135" s="4" t="s">
        <v>41</v>
      </c>
      <c r="B135" s="4" t="s">
        <v>32</v>
      </c>
      <c r="C135" s="4" t="s">
        <v>31</v>
      </c>
      <c r="D135" s="10">
        <v>46064</v>
      </c>
      <c r="E135" s="4" t="s">
        <v>34</v>
      </c>
      <c r="F135" s="6" t="s">
        <v>639</v>
      </c>
      <c r="G135" s="4" t="s">
        <v>581</v>
      </c>
      <c r="H135" s="4">
        <v>121.3</v>
      </c>
      <c r="I135" s="4">
        <v>4.9400000000000004</v>
      </c>
    </row>
    <row r="136" spans="1:9" hidden="1">
      <c r="A136" s="3" t="s">
        <v>525</v>
      </c>
      <c r="B136" s="3" t="s">
        <v>38</v>
      </c>
      <c r="C136" s="3" t="s">
        <v>37</v>
      </c>
      <c r="D136" s="9">
        <v>46127</v>
      </c>
      <c r="E136" s="3" t="s">
        <v>34</v>
      </c>
      <c r="F136" s="6" t="s">
        <v>639</v>
      </c>
      <c r="G136" s="3" t="s">
        <v>590</v>
      </c>
      <c r="H136" s="3">
        <v>3.08</v>
      </c>
      <c r="I136" s="3">
        <v>4.92</v>
      </c>
    </row>
    <row r="137" spans="1:9">
      <c r="A137" s="4" t="s">
        <v>43</v>
      </c>
      <c r="B137" s="4" t="s">
        <v>32</v>
      </c>
      <c r="C137" s="4" t="s">
        <v>31</v>
      </c>
      <c r="D137" s="10">
        <v>46059</v>
      </c>
      <c r="E137" s="4" t="s">
        <v>34</v>
      </c>
      <c r="F137" s="6" t="s">
        <v>639</v>
      </c>
      <c r="G137" s="4" t="s">
        <v>580</v>
      </c>
      <c r="H137" s="4">
        <v>124.9</v>
      </c>
      <c r="I137" s="4">
        <v>4.8600000000000003</v>
      </c>
    </row>
    <row r="138" spans="1:9" hidden="1">
      <c r="A138" s="3" t="s">
        <v>67</v>
      </c>
      <c r="B138" s="3" t="s">
        <v>38</v>
      </c>
      <c r="C138" s="3" t="s">
        <v>37</v>
      </c>
      <c r="D138" s="9">
        <v>46081</v>
      </c>
      <c r="E138" s="3" t="s">
        <v>34</v>
      </c>
      <c r="F138" s="6" t="s">
        <v>639</v>
      </c>
      <c r="G138" s="3" t="s">
        <v>581</v>
      </c>
      <c r="H138" s="3">
        <v>67.099999999999994</v>
      </c>
      <c r="I138" s="3">
        <v>4.83</v>
      </c>
    </row>
    <row r="139" spans="1:9" hidden="1">
      <c r="A139" s="4" t="s">
        <v>330</v>
      </c>
      <c r="B139" s="4" t="s">
        <v>38</v>
      </c>
      <c r="C139" s="4" t="s">
        <v>37</v>
      </c>
      <c r="D139" s="10">
        <v>46105</v>
      </c>
      <c r="E139" s="4" t="s">
        <v>34</v>
      </c>
      <c r="F139" s="6" t="s">
        <v>639</v>
      </c>
      <c r="G139" s="4" t="s">
        <v>580</v>
      </c>
      <c r="H139" s="4">
        <v>88.7</v>
      </c>
      <c r="I139" s="4">
        <v>4.79</v>
      </c>
    </row>
    <row r="140" spans="1:9">
      <c r="A140" s="3" t="s">
        <v>451</v>
      </c>
      <c r="B140" s="3" t="s">
        <v>32</v>
      </c>
      <c r="C140" s="3" t="s">
        <v>31</v>
      </c>
      <c r="D140" s="9">
        <v>46136</v>
      </c>
      <c r="E140" s="3" t="s">
        <v>34</v>
      </c>
      <c r="F140" s="6" t="s">
        <v>639</v>
      </c>
      <c r="G140" s="3" t="s">
        <v>580</v>
      </c>
      <c r="H140" s="3">
        <v>125.4</v>
      </c>
      <c r="I140" s="3">
        <v>4.7699999999999996</v>
      </c>
    </row>
    <row r="141" spans="1:9">
      <c r="A141" s="4" t="s">
        <v>189</v>
      </c>
      <c r="B141" s="4" t="s">
        <v>32</v>
      </c>
      <c r="C141" s="4" t="s">
        <v>31</v>
      </c>
      <c r="D141" s="10">
        <v>46093</v>
      </c>
      <c r="E141" s="4" t="s">
        <v>34</v>
      </c>
      <c r="F141" s="6" t="s">
        <v>639</v>
      </c>
      <c r="G141" s="4" t="s">
        <v>591</v>
      </c>
      <c r="H141" s="4">
        <v>6.05</v>
      </c>
      <c r="I141" s="4">
        <v>4.67</v>
      </c>
    </row>
    <row r="142" spans="1:9">
      <c r="A142" s="3" t="s">
        <v>353</v>
      </c>
      <c r="B142" s="3" t="s">
        <v>32</v>
      </c>
      <c r="C142" s="3" t="s">
        <v>31</v>
      </c>
      <c r="D142" s="9">
        <v>46126</v>
      </c>
      <c r="E142" s="3" t="s">
        <v>34</v>
      </c>
      <c r="F142" s="6" t="s">
        <v>639</v>
      </c>
      <c r="G142" s="3" t="s">
        <v>581</v>
      </c>
      <c r="H142" s="3">
        <v>73</v>
      </c>
      <c r="I142" s="3">
        <v>4.6500000000000004</v>
      </c>
    </row>
    <row r="143" spans="1:9">
      <c r="A143" s="4" t="s">
        <v>43</v>
      </c>
      <c r="B143" s="4" t="s">
        <v>32</v>
      </c>
      <c r="C143" s="4" t="s">
        <v>31</v>
      </c>
      <c r="D143" s="10">
        <v>46056</v>
      </c>
      <c r="E143" s="4" t="s">
        <v>34</v>
      </c>
      <c r="F143" s="6" t="s">
        <v>639</v>
      </c>
      <c r="G143" s="4" t="s">
        <v>585</v>
      </c>
      <c r="H143" s="4">
        <v>8.3000000000000007</v>
      </c>
      <c r="I143" s="4">
        <v>4.63</v>
      </c>
    </row>
    <row r="144" spans="1:9">
      <c r="A144" s="3" t="s">
        <v>344</v>
      </c>
      <c r="B144" s="3" t="s">
        <v>32</v>
      </c>
      <c r="C144" s="3" t="s">
        <v>31</v>
      </c>
      <c r="D144" s="9">
        <v>46106</v>
      </c>
      <c r="E144" s="3" t="s">
        <v>34</v>
      </c>
      <c r="F144" s="6" t="s">
        <v>639</v>
      </c>
      <c r="G144" s="3" t="s">
        <v>590</v>
      </c>
      <c r="H144" s="3">
        <v>5.47</v>
      </c>
      <c r="I144" s="3">
        <v>4.62</v>
      </c>
    </row>
    <row r="145" spans="1:9">
      <c r="A145" s="4" t="s">
        <v>41</v>
      </c>
      <c r="B145" s="4" t="s">
        <v>32</v>
      </c>
      <c r="C145" s="4" t="s">
        <v>31</v>
      </c>
      <c r="D145" s="10">
        <v>46066</v>
      </c>
      <c r="E145" s="4" t="s">
        <v>40</v>
      </c>
      <c r="F145" s="4" t="s">
        <v>640</v>
      </c>
      <c r="G145" s="4" t="s">
        <v>580</v>
      </c>
      <c r="H145" s="4">
        <v>126.3</v>
      </c>
      <c r="I145" s="4">
        <v>4.6100000000000003</v>
      </c>
    </row>
    <row r="146" spans="1:9">
      <c r="A146" s="3" t="s">
        <v>344</v>
      </c>
      <c r="B146" s="3" t="s">
        <v>32</v>
      </c>
      <c r="C146" s="3" t="s">
        <v>31</v>
      </c>
      <c r="D146" s="9">
        <v>46130</v>
      </c>
      <c r="E146" s="3" t="s">
        <v>34</v>
      </c>
      <c r="F146" s="6" t="s">
        <v>639</v>
      </c>
      <c r="G146" s="3" t="s">
        <v>580</v>
      </c>
      <c r="H146" s="3">
        <v>126.3</v>
      </c>
      <c r="I146" s="3">
        <v>4.6100000000000003</v>
      </c>
    </row>
    <row r="147" spans="1:9" hidden="1">
      <c r="A147" s="4" t="s">
        <v>36</v>
      </c>
      <c r="B147" s="4" t="s">
        <v>38</v>
      </c>
      <c r="C147" s="4" t="s">
        <v>37</v>
      </c>
      <c r="D147" s="10">
        <v>46062</v>
      </c>
      <c r="E147" s="4" t="s">
        <v>34</v>
      </c>
      <c r="F147" s="6" t="s">
        <v>639</v>
      </c>
      <c r="G147" s="4" t="s">
        <v>585</v>
      </c>
      <c r="H147" s="4">
        <v>7.9</v>
      </c>
      <c r="I147" s="4">
        <v>4.5999999999999996</v>
      </c>
    </row>
    <row r="148" spans="1:9" hidden="1">
      <c r="A148" s="3" t="s">
        <v>230</v>
      </c>
      <c r="B148" s="3" t="s">
        <v>38</v>
      </c>
      <c r="C148" s="3" t="s">
        <v>37</v>
      </c>
      <c r="D148" s="9">
        <v>46095</v>
      </c>
      <c r="E148" s="3" t="s">
        <v>34</v>
      </c>
      <c r="F148" s="6" t="s">
        <v>639</v>
      </c>
      <c r="G148" s="3" t="s">
        <v>591</v>
      </c>
      <c r="H148" s="3">
        <v>4.57</v>
      </c>
      <c r="I148" s="3">
        <v>4.5999999999999996</v>
      </c>
    </row>
    <row r="149" spans="1:9">
      <c r="A149" s="4" t="s">
        <v>43</v>
      </c>
      <c r="B149" s="4" t="s">
        <v>32</v>
      </c>
      <c r="C149" s="4" t="s">
        <v>31</v>
      </c>
      <c r="D149" s="10">
        <v>46059</v>
      </c>
      <c r="E149" s="4" t="s">
        <v>34</v>
      </c>
      <c r="F149" s="6" t="s">
        <v>639</v>
      </c>
      <c r="G149" s="4" t="s">
        <v>583</v>
      </c>
      <c r="H149" s="4">
        <v>59.2</v>
      </c>
      <c r="I149" s="4">
        <v>4.59</v>
      </c>
    </row>
    <row r="150" spans="1:9">
      <c r="A150" s="3" t="s">
        <v>43</v>
      </c>
      <c r="B150" s="3" t="s">
        <v>32</v>
      </c>
      <c r="C150" s="3" t="s">
        <v>31</v>
      </c>
      <c r="D150" s="9">
        <v>46059</v>
      </c>
      <c r="E150" s="3" t="s">
        <v>34</v>
      </c>
      <c r="F150" s="6" t="s">
        <v>639</v>
      </c>
      <c r="G150" s="3" t="s">
        <v>583</v>
      </c>
      <c r="H150" s="3">
        <v>59.2</v>
      </c>
      <c r="I150" s="3">
        <v>4.59</v>
      </c>
    </row>
    <row r="151" spans="1:9">
      <c r="A151" s="4" t="s">
        <v>189</v>
      </c>
      <c r="B151" s="4" t="s">
        <v>32</v>
      </c>
      <c r="C151" s="4" t="s">
        <v>31</v>
      </c>
      <c r="D151" s="10">
        <v>46093</v>
      </c>
      <c r="E151" s="4" t="s">
        <v>34</v>
      </c>
      <c r="F151" s="6" t="s">
        <v>639</v>
      </c>
      <c r="G151" s="4" t="s">
        <v>591</v>
      </c>
      <c r="H151" s="4">
        <v>6.08</v>
      </c>
      <c r="I151" s="4">
        <v>4.59</v>
      </c>
    </row>
    <row r="152" spans="1:9">
      <c r="A152" s="3" t="s">
        <v>338</v>
      </c>
      <c r="B152" s="3" t="s">
        <v>32</v>
      </c>
      <c r="C152" s="3" t="s">
        <v>31</v>
      </c>
      <c r="D152" s="9">
        <v>46134</v>
      </c>
      <c r="E152" s="3" t="s">
        <v>34</v>
      </c>
      <c r="F152" s="6" t="s">
        <v>639</v>
      </c>
      <c r="G152" s="3" t="s">
        <v>580</v>
      </c>
      <c r="H152" s="3">
        <v>179</v>
      </c>
      <c r="I152" s="3">
        <v>4.58</v>
      </c>
    </row>
    <row r="153" spans="1:9">
      <c r="A153" s="4" t="s">
        <v>43</v>
      </c>
      <c r="B153" s="4" t="s">
        <v>32</v>
      </c>
      <c r="C153" s="4" t="s">
        <v>31</v>
      </c>
      <c r="D153" s="10">
        <v>46060</v>
      </c>
      <c r="E153" s="4" t="s">
        <v>34</v>
      </c>
      <c r="F153" s="6" t="s">
        <v>639</v>
      </c>
      <c r="G153" s="4" t="s">
        <v>580</v>
      </c>
      <c r="H153" s="4">
        <v>126.7</v>
      </c>
      <c r="I153" s="4">
        <v>4.55</v>
      </c>
    </row>
    <row r="154" spans="1:9">
      <c r="A154" s="3" t="s">
        <v>560</v>
      </c>
      <c r="B154" s="3" t="s">
        <v>32</v>
      </c>
      <c r="C154" s="3" t="s">
        <v>31</v>
      </c>
      <c r="D154" s="9">
        <v>46130</v>
      </c>
      <c r="E154" s="3" t="s">
        <v>34</v>
      </c>
      <c r="F154" s="6" t="s">
        <v>639</v>
      </c>
      <c r="G154" s="3" t="s">
        <v>580</v>
      </c>
      <c r="H154" s="3">
        <v>126.7</v>
      </c>
      <c r="I154" s="3">
        <v>4.55</v>
      </c>
    </row>
    <row r="155" spans="1:9" hidden="1">
      <c r="A155" s="4" t="s">
        <v>68</v>
      </c>
      <c r="B155" s="4" t="s">
        <v>38</v>
      </c>
      <c r="C155" s="4" t="s">
        <v>37</v>
      </c>
      <c r="D155" s="10">
        <v>46081</v>
      </c>
      <c r="E155" s="4" t="s">
        <v>40</v>
      </c>
      <c r="F155" s="4" t="s">
        <v>640</v>
      </c>
      <c r="G155" s="4" t="s">
        <v>585</v>
      </c>
      <c r="H155" s="4">
        <v>7.8</v>
      </c>
      <c r="I155" s="4">
        <v>4.53</v>
      </c>
    </row>
    <row r="156" spans="1:9" hidden="1">
      <c r="A156" s="3" t="s">
        <v>554</v>
      </c>
      <c r="B156" s="3" t="s">
        <v>38</v>
      </c>
      <c r="C156" s="3" t="s">
        <v>37</v>
      </c>
      <c r="D156" s="9">
        <v>46133</v>
      </c>
      <c r="E156" s="3" t="s">
        <v>34</v>
      </c>
      <c r="F156" s="6" t="s">
        <v>639</v>
      </c>
      <c r="G156" s="3" t="s">
        <v>580</v>
      </c>
      <c r="H156" s="3">
        <v>90.1</v>
      </c>
      <c r="I156" s="3">
        <v>4.51</v>
      </c>
    </row>
    <row r="157" spans="1:9">
      <c r="A157" s="4" t="s">
        <v>338</v>
      </c>
      <c r="B157" s="4" t="s">
        <v>32</v>
      </c>
      <c r="C157" s="4" t="s">
        <v>31</v>
      </c>
      <c r="D157" s="10">
        <v>46136</v>
      </c>
      <c r="E157" s="4" t="s">
        <v>34</v>
      </c>
      <c r="F157" s="6" t="s">
        <v>639</v>
      </c>
      <c r="G157" s="4" t="s">
        <v>580</v>
      </c>
      <c r="H157" s="4">
        <v>178.5</v>
      </c>
      <c r="I157" s="4">
        <v>4.5</v>
      </c>
    </row>
    <row r="158" spans="1:9">
      <c r="A158" s="3" t="s">
        <v>35</v>
      </c>
      <c r="B158" s="3" t="s">
        <v>32</v>
      </c>
      <c r="C158" s="3" t="s">
        <v>31</v>
      </c>
      <c r="D158" s="9">
        <v>46038</v>
      </c>
      <c r="E158" s="3" t="s">
        <v>34</v>
      </c>
      <c r="F158" s="6" t="s">
        <v>639</v>
      </c>
      <c r="G158" s="3" t="s">
        <v>585</v>
      </c>
      <c r="H158" s="3">
        <v>8.1</v>
      </c>
      <c r="I158" s="3">
        <v>4.49</v>
      </c>
    </row>
    <row r="159" spans="1:9">
      <c r="A159" s="4" t="s">
        <v>42</v>
      </c>
      <c r="B159" s="4" t="s">
        <v>32</v>
      </c>
      <c r="C159" s="4" t="s">
        <v>31</v>
      </c>
      <c r="D159" s="10">
        <v>46056</v>
      </c>
      <c r="E159" s="4" t="s">
        <v>34</v>
      </c>
      <c r="F159" s="6" t="s">
        <v>639</v>
      </c>
      <c r="G159" s="4" t="s">
        <v>585</v>
      </c>
      <c r="H159" s="4">
        <v>8.1</v>
      </c>
      <c r="I159" s="4">
        <v>4.49</v>
      </c>
    </row>
    <row r="160" spans="1:9">
      <c r="A160" s="3" t="s">
        <v>80</v>
      </c>
      <c r="B160" s="3" t="s">
        <v>32</v>
      </c>
      <c r="C160" s="3" t="s">
        <v>31</v>
      </c>
      <c r="D160" s="9">
        <v>46082</v>
      </c>
      <c r="E160" s="3" t="s">
        <v>34</v>
      </c>
      <c r="F160" s="6" t="s">
        <v>639</v>
      </c>
      <c r="G160" s="3" t="s">
        <v>580</v>
      </c>
      <c r="H160" s="3">
        <v>127.1</v>
      </c>
      <c r="I160" s="3">
        <v>4.4800000000000004</v>
      </c>
    </row>
    <row r="161" spans="1:9">
      <c r="A161" s="4" t="s">
        <v>354</v>
      </c>
      <c r="B161" s="4" t="s">
        <v>32</v>
      </c>
      <c r="C161" s="4" t="s">
        <v>31</v>
      </c>
      <c r="D161" s="10">
        <v>46126</v>
      </c>
      <c r="E161" s="4" t="s">
        <v>34</v>
      </c>
      <c r="F161" s="6" t="s">
        <v>639</v>
      </c>
      <c r="G161" s="4" t="s">
        <v>581</v>
      </c>
      <c r="H161" s="4">
        <v>73.900000000000006</v>
      </c>
      <c r="I161" s="4">
        <v>4.47</v>
      </c>
    </row>
    <row r="162" spans="1:9">
      <c r="A162" s="3" t="s">
        <v>261</v>
      </c>
      <c r="B162" s="3" t="s">
        <v>32</v>
      </c>
      <c r="C162" s="3" t="s">
        <v>31</v>
      </c>
      <c r="D162" s="9">
        <v>46099</v>
      </c>
      <c r="E162" s="3" t="s">
        <v>34</v>
      </c>
      <c r="F162" s="6" t="s">
        <v>639</v>
      </c>
      <c r="G162" s="3" t="s">
        <v>591</v>
      </c>
      <c r="H162" s="3">
        <v>6.13</v>
      </c>
      <c r="I162" s="3">
        <v>4.47</v>
      </c>
    </row>
    <row r="163" spans="1:9" hidden="1">
      <c r="A163" s="4" t="s">
        <v>36</v>
      </c>
      <c r="B163" s="4" t="s">
        <v>38</v>
      </c>
      <c r="C163" s="4" t="s">
        <v>37</v>
      </c>
      <c r="D163" s="10">
        <v>46042</v>
      </c>
      <c r="E163" s="4" t="s">
        <v>34</v>
      </c>
      <c r="F163" s="6" t="s">
        <v>639</v>
      </c>
      <c r="G163" s="4" t="s">
        <v>585</v>
      </c>
      <c r="H163" s="4">
        <v>7.7</v>
      </c>
      <c r="I163" s="4">
        <v>4.46</v>
      </c>
    </row>
    <row r="164" spans="1:9" hidden="1">
      <c r="A164" s="3" t="s">
        <v>525</v>
      </c>
      <c r="B164" s="3" t="s">
        <v>38</v>
      </c>
      <c r="C164" s="3" t="s">
        <v>37</v>
      </c>
      <c r="D164" s="9">
        <v>46127</v>
      </c>
      <c r="E164" s="3" t="s">
        <v>34</v>
      </c>
      <c r="F164" s="6" t="s">
        <v>639</v>
      </c>
      <c r="G164" s="3" t="s">
        <v>591</v>
      </c>
      <c r="H164" s="3">
        <v>3.15</v>
      </c>
      <c r="I164" s="3">
        <v>4.45</v>
      </c>
    </row>
    <row r="165" spans="1:9" hidden="1">
      <c r="A165" s="4" t="s">
        <v>308</v>
      </c>
      <c r="B165" s="4" t="s">
        <v>38</v>
      </c>
      <c r="C165" s="4" t="s">
        <v>37</v>
      </c>
      <c r="D165" s="10">
        <v>46102</v>
      </c>
      <c r="E165" s="4" t="s">
        <v>34</v>
      </c>
      <c r="F165" s="6" t="s">
        <v>639</v>
      </c>
      <c r="G165" s="4" t="s">
        <v>580</v>
      </c>
      <c r="H165" s="4">
        <v>90.5</v>
      </c>
      <c r="I165" s="4">
        <v>4.42</v>
      </c>
    </row>
    <row r="166" spans="1:9">
      <c r="A166" s="3" t="s">
        <v>35</v>
      </c>
      <c r="B166" s="3" t="s">
        <v>32</v>
      </c>
      <c r="C166" s="3" t="s">
        <v>31</v>
      </c>
      <c r="D166" s="9">
        <v>46038</v>
      </c>
      <c r="E166" s="3" t="s">
        <v>34</v>
      </c>
      <c r="F166" s="6" t="s">
        <v>639</v>
      </c>
      <c r="G166" s="3" t="s">
        <v>585</v>
      </c>
      <c r="H166" s="3">
        <v>8</v>
      </c>
      <c r="I166" s="3">
        <v>4.41</v>
      </c>
    </row>
    <row r="167" spans="1:9">
      <c r="A167" s="4" t="s">
        <v>73</v>
      </c>
      <c r="B167" s="4" t="s">
        <v>32</v>
      </c>
      <c r="C167" s="4" t="s">
        <v>31</v>
      </c>
      <c r="D167" s="10">
        <v>46081</v>
      </c>
      <c r="E167" s="4" t="s">
        <v>34</v>
      </c>
      <c r="F167" s="6" t="s">
        <v>639</v>
      </c>
      <c r="G167" s="4" t="s">
        <v>580</v>
      </c>
      <c r="H167" s="4">
        <v>127.6</v>
      </c>
      <c r="I167" s="4">
        <v>4.3899999999999997</v>
      </c>
    </row>
    <row r="168" spans="1:9">
      <c r="A168" s="3" t="s">
        <v>261</v>
      </c>
      <c r="B168" s="3" t="s">
        <v>32</v>
      </c>
      <c r="C168" s="3" t="s">
        <v>31</v>
      </c>
      <c r="D168" s="9">
        <v>46112</v>
      </c>
      <c r="E168" s="3" t="s">
        <v>34</v>
      </c>
      <c r="F168" s="6" t="s">
        <v>639</v>
      </c>
      <c r="G168" s="3" t="s">
        <v>580</v>
      </c>
      <c r="H168" s="3">
        <v>127.6</v>
      </c>
      <c r="I168" s="3">
        <v>4.3899999999999997</v>
      </c>
    </row>
    <row r="169" spans="1:9">
      <c r="A169" s="4" t="s">
        <v>42</v>
      </c>
      <c r="B169" s="4" t="s">
        <v>32</v>
      </c>
      <c r="C169" s="4" t="s">
        <v>31</v>
      </c>
      <c r="D169" s="10">
        <v>46056</v>
      </c>
      <c r="E169" s="4" t="s">
        <v>34</v>
      </c>
      <c r="F169" s="6" t="s">
        <v>639</v>
      </c>
      <c r="G169" s="4" t="s">
        <v>581</v>
      </c>
      <c r="H169" s="4">
        <v>74.3</v>
      </c>
      <c r="I169" s="4">
        <v>4.3899999999999997</v>
      </c>
    </row>
    <row r="170" spans="1:9">
      <c r="A170" s="3" t="s">
        <v>344</v>
      </c>
      <c r="B170" s="3" t="s">
        <v>32</v>
      </c>
      <c r="C170" s="3" t="s">
        <v>31</v>
      </c>
      <c r="D170" s="9">
        <v>46106</v>
      </c>
      <c r="E170" s="3" t="s">
        <v>34</v>
      </c>
      <c r="F170" s="6" t="s">
        <v>639</v>
      </c>
      <c r="G170" s="3" t="s">
        <v>581</v>
      </c>
      <c r="H170" s="3">
        <v>74.3</v>
      </c>
      <c r="I170" s="3">
        <v>4.3899999999999997</v>
      </c>
    </row>
    <row r="171" spans="1:9" hidden="1">
      <c r="A171" s="4" t="s">
        <v>36</v>
      </c>
      <c r="B171" s="4" t="s">
        <v>38</v>
      </c>
      <c r="C171" s="4" t="s">
        <v>37</v>
      </c>
      <c r="D171" s="10">
        <v>46042</v>
      </c>
      <c r="E171" s="4" t="s">
        <v>40</v>
      </c>
      <c r="F171" s="4" t="s">
        <v>640</v>
      </c>
      <c r="G171" s="4" t="s">
        <v>585</v>
      </c>
      <c r="H171" s="4">
        <v>7.6</v>
      </c>
      <c r="I171" s="4">
        <v>4.3899999999999997</v>
      </c>
    </row>
    <row r="172" spans="1:9" hidden="1">
      <c r="A172" s="3" t="s">
        <v>36</v>
      </c>
      <c r="B172" s="3" t="s">
        <v>38</v>
      </c>
      <c r="C172" s="3" t="s">
        <v>37</v>
      </c>
      <c r="D172" s="9">
        <v>46060</v>
      </c>
      <c r="E172" s="3" t="s">
        <v>34</v>
      </c>
      <c r="F172" s="6" t="s">
        <v>639</v>
      </c>
      <c r="G172" s="3" t="s">
        <v>583</v>
      </c>
      <c r="H172" s="3">
        <v>61</v>
      </c>
      <c r="I172" s="3">
        <v>4.3600000000000003</v>
      </c>
    </row>
    <row r="173" spans="1:9" hidden="1">
      <c r="A173" s="4" t="s">
        <v>414</v>
      </c>
      <c r="B173" s="4" t="s">
        <v>38</v>
      </c>
      <c r="C173" s="4" t="s">
        <v>37</v>
      </c>
      <c r="D173" s="10">
        <v>46113</v>
      </c>
      <c r="E173" s="4" t="s">
        <v>34</v>
      </c>
      <c r="F173" s="6" t="s">
        <v>639</v>
      </c>
      <c r="G173" s="4" t="s">
        <v>581</v>
      </c>
      <c r="H173" s="4">
        <v>68.5</v>
      </c>
      <c r="I173" s="4">
        <v>4.33</v>
      </c>
    </row>
    <row r="174" spans="1:9" hidden="1">
      <c r="A174" s="3" t="s">
        <v>36</v>
      </c>
      <c r="B174" s="3" t="s">
        <v>38</v>
      </c>
      <c r="C174" s="3" t="s">
        <v>37</v>
      </c>
      <c r="D174" s="9">
        <v>46060</v>
      </c>
      <c r="E174" s="3" t="s">
        <v>34</v>
      </c>
      <c r="F174" s="6" t="s">
        <v>639</v>
      </c>
      <c r="G174" s="3" t="s">
        <v>585</v>
      </c>
      <c r="H174" s="3">
        <v>7.5</v>
      </c>
      <c r="I174" s="3">
        <v>4.32</v>
      </c>
    </row>
    <row r="175" spans="1:9" hidden="1">
      <c r="A175" s="4" t="s">
        <v>36</v>
      </c>
      <c r="B175" s="4" t="s">
        <v>38</v>
      </c>
      <c r="C175" s="4" t="s">
        <v>37</v>
      </c>
      <c r="D175" s="10">
        <v>46062</v>
      </c>
      <c r="E175" s="4" t="s">
        <v>34</v>
      </c>
      <c r="F175" s="6" t="s">
        <v>639</v>
      </c>
      <c r="G175" s="4" t="s">
        <v>585</v>
      </c>
      <c r="H175" s="4">
        <v>7.5</v>
      </c>
      <c r="I175" s="4">
        <v>4.32</v>
      </c>
    </row>
    <row r="176" spans="1:9" hidden="1">
      <c r="A176" s="3" t="s">
        <v>67</v>
      </c>
      <c r="B176" s="3" t="s">
        <v>38</v>
      </c>
      <c r="C176" s="3" t="s">
        <v>37</v>
      </c>
      <c r="D176" s="9">
        <v>46081</v>
      </c>
      <c r="E176" s="3" t="s">
        <v>34</v>
      </c>
      <c r="F176" s="6" t="s">
        <v>639</v>
      </c>
      <c r="G176" s="3" t="s">
        <v>585</v>
      </c>
      <c r="H176" s="3">
        <v>7.5</v>
      </c>
      <c r="I176" s="3">
        <v>4.32</v>
      </c>
    </row>
    <row r="177" spans="1:9" hidden="1">
      <c r="A177" s="4" t="s">
        <v>70</v>
      </c>
      <c r="B177" s="4" t="s">
        <v>38</v>
      </c>
      <c r="C177" s="4" t="s">
        <v>37</v>
      </c>
      <c r="D177" s="10">
        <v>46081</v>
      </c>
      <c r="E177" s="4" t="s">
        <v>40</v>
      </c>
      <c r="F177" s="4" t="s">
        <v>640</v>
      </c>
      <c r="G177" s="4" t="s">
        <v>585</v>
      </c>
      <c r="H177" s="4">
        <v>7.5</v>
      </c>
      <c r="I177" s="4">
        <v>4.32</v>
      </c>
    </row>
    <row r="178" spans="1:9" hidden="1">
      <c r="A178" s="3" t="s">
        <v>230</v>
      </c>
      <c r="B178" s="3" t="s">
        <v>38</v>
      </c>
      <c r="C178" s="3" t="s">
        <v>37</v>
      </c>
      <c r="D178" s="9">
        <v>46095</v>
      </c>
      <c r="E178" s="3" t="s">
        <v>34</v>
      </c>
      <c r="F178" s="6" t="s">
        <v>639</v>
      </c>
      <c r="G178" s="3" t="s">
        <v>590</v>
      </c>
      <c r="H178" s="3">
        <v>4.47</v>
      </c>
      <c r="I178" s="3">
        <v>4.3099999999999996</v>
      </c>
    </row>
    <row r="179" spans="1:9">
      <c r="A179" s="4" t="s">
        <v>479</v>
      </c>
      <c r="B179" s="4" t="s">
        <v>32</v>
      </c>
      <c r="C179" s="4" t="s">
        <v>31</v>
      </c>
      <c r="D179" s="10">
        <v>46135</v>
      </c>
      <c r="E179" s="4" t="s">
        <v>34</v>
      </c>
      <c r="F179" s="6" t="s">
        <v>639</v>
      </c>
      <c r="G179" s="4" t="s">
        <v>581</v>
      </c>
      <c r="H179" s="4">
        <v>74.8</v>
      </c>
      <c r="I179" s="4">
        <v>4.29</v>
      </c>
    </row>
    <row r="180" spans="1:9">
      <c r="A180" s="3" t="s">
        <v>353</v>
      </c>
      <c r="B180" s="3" t="s">
        <v>32</v>
      </c>
      <c r="C180" s="3" t="s">
        <v>31</v>
      </c>
      <c r="D180" s="9">
        <v>46132</v>
      </c>
      <c r="E180" s="3" t="s">
        <v>40</v>
      </c>
      <c r="F180" s="3" t="s">
        <v>640</v>
      </c>
      <c r="G180" s="3" t="s">
        <v>591</v>
      </c>
      <c r="H180" s="3">
        <v>6.2</v>
      </c>
      <c r="I180" s="3">
        <v>4.29</v>
      </c>
    </row>
    <row r="181" spans="1:9" hidden="1">
      <c r="A181" s="4" t="s">
        <v>299</v>
      </c>
      <c r="B181" s="4" t="s">
        <v>38</v>
      </c>
      <c r="C181" s="4" t="s">
        <v>37</v>
      </c>
      <c r="D181" s="10">
        <v>46101</v>
      </c>
      <c r="E181" s="4" t="s">
        <v>34</v>
      </c>
      <c r="F181" s="6" t="s">
        <v>639</v>
      </c>
      <c r="G181" s="4" t="s">
        <v>583</v>
      </c>
      <c r="H181" s="4">
        <v>77.5</v>
      </c>
      <c r="I181" s="4">
        <v>4.26</v>
      </c>
    </row>
    <row r="182" spans="1:9" hidden="1">
      <c r="A182" s="3" t="s">
        <v>49</v>
      </c>
      <c r="B182" s="3" t="s">
        <v>38</v>
      </c>
      <c r="C182" s="3" t="s">
        <v>37</v>
      </c>
      <c r="D182" s="9">
        <v>46079</v>
      </c>
      <c r="E182" s="3" t="s">
        <v>40</v>
      </c>
      <c r="F182" s="3" t="s">
        <v>640</v>
      </c>
      <c r="G182" s="3" t="s">
        <v>585</v>
      </c>
      <c r="H182" s="3">
        <v>7.4</v>
      </c>
      <c r="I182" s="3">
        <v>4.25</v>
      </c>
    </row>
    <row r="183" spans="1:9" hidden="1">
      <c r="A183" s="4" t="s">
        <v>448</v>
      </c>
      <c r="B183" s="4" t="s">
        <v>38</v>
      </c>
      <c r="C183" s="4" t="s">
        <v>37</v>
      </c>
      <c r="D183" s="10">
        <v>46120</v>
      </c>
      <c r="E183" s="4" t="s">
        <v>34</v>
      </c>
      <c r="F183" s="6" t="s">
        <v>639</v>
      </c>
      <c r="G183" s="4" t="s">
        <v>580</v>
      </c>
      <c r="H183" s="4">
        <v>91.4</v>
      </c>
      <c r="I183" s="4">
        <v>4.24</v>
      </c>
    </row>
    <row r="184" spans="1:9">
      <c r="A184" s="3" t="s">
        <v>344</v>
      </c>
      <c r="B184" s="3" t="s">
        <v>32</v>
      </c>
      <c r="C184" s="3" t="s">
        <v>31</v>
      </c>
      <c r="D184" s="9">
        <v>46130</v>
      </c>
      <c r="E184" s="3" t="s">
        <v>34</v>
      </c>
      <c r="F184" s="6" t="s">
        <v>639</v>
      </c>
      <c r="G184" s="3" t="s">
        <v>580</v>
      </c>
      <c r="H184" s="3">
        <v>128.5</v>
      </c>
      <c r="I184" s="3">
        <v>4.2300000000000004</v>
      </c>
    </row>
    <row r="185" spans="1:9">
      <c r="A185" s="4" t="s">
        <v>41</v>
      </c>
      <c r="B185" s="4" t="s">
        <v>32</v>
      </c>
      <c r="C185" s="4" t="s">
        <v>31</v>
      </c>
      <c r="D185" s="10">
        <v>46064</v>
      </c>
      <c r="E185" s="4" t="s">
        <v>34</v>
      </c>
      <c r="F185" s="6" t="s">
        <v>639</v>
      </c>
      <c r="G185" s="4" t="s">
        <v>585</v>
      </c>
      <c r="H185" s="4">
        <v>7.7</v>
      </c>
      <c r="I185" s="4">
        <v>4.2</v>
      </c>
    </row>
    <row r="186" spans="1:9" hidden="1">
      <c r="A186" s="3" t="s">
        <v>414</v>
      </c>
      <c r="B186" s="3" t="s">
        <v>38</v>
      </c>
      <c r="C186" s="3" t="s">
        <v>37</v>
      </c>
      <c r="D186" s="9">
        <v>46113</v>
      </c>
      <c r="E186" s="3" t="s">
        <v>34</v>
      </c>
      <c r="F186" s="6" t="s">
        <v>639</v>
      </c>
      <c r="G186" s="3" t="s">
        <v>581</v>
      </c>
      <c r="H186" s="3">
        <v>68.900000000000006</v>
      </c>
      <c r="I186" s="3">
        <v>4.1900000000000004</v>
      </c>
    </row>
    <row r="187" spans="1:9" hidden="1">
      <c r="A187" s="4" t="s">
        <v>477</v>
      </c>
      <c r="B187" s="4" t="s">
        <v>38</v>
      </c>
      <c r="C187" s="4" t="s">
        <v>37</v>
      </c>
      <c r="D187" s="10">
        <v>46123</v>
      </c>
      <c r="E187" s="4" t="s">
        <v>34</v>
      </c>
      <c r="F187" s="6" t="s">
        <v>639</v>
      </c>
      <c r="G187" s="4" t="s">
        <v>581</v>
      </c>
      <c r="H187" s="4">
        <v>68.900000000000006</v>
      </c>
      <c r="I187" s="4">
        <v>4.1900000000000004</v>
      </c>
    </row>
    <row r="188" spans="1:9" hidden="1">
      <c r="A188" s="3" t="s">
        <v>36</v>
      </c>
      <c r="B188" s="3" t="s">
        <v>38</v>
      </c>
      <c r="C188" s="3" t="s">
        <v>37</v>
      </c>
      <c r="D188" s="9">
        <v>46060</v>
      </c>
      <c r="E188" s="3" t="s">
        <v>34</v>
      </c>
      <c r="F188" s="6" t="s">
        <v>639</v>
      </c>
      <c r="G188" s="3" t="s">
        <v>585</v>
      </c>
      <c r="H188" s="3">
        <v>7.3</v>
      </c>
      <c r="I188" s="3">
        <v>4.17</v>
      </c>
    </row>
    <row r="189" spans="1:9" hidden="1">
      <c r="A189" s="4" t="s">
        <v>69</v>
      </c>
      <c r="B189" s="4" t="s">
        <v>38</v>
      </c>
      <c r="C189" s="4" t="s">
        <v>37</v>
      </c>
      <c r="D189" s="10">
        <v>46081</v>
      </c>
      <c r="E189" s="4" t="s">
        <v>40</v>
      </c>
      <c r="F189" s="4" t="s">
        <v>640</v>
      </c>
      <c r="G189" s="4" t="s">
        <v>585</v>
      </c>
      <c r="H189" s="4">
        <v>7.3</v>
      </c>
      <c r="I189" s="4">
        <v>4.17</v>
      </c>
    </row>
    <row r="190" spans="1:9">
      <c r="A190" s="3" t="s">
        <v>338</v>
      </c>
      <c r="B190" s="3" t="s">
        <v>32</v>
      </c>
      <c r="C190" s="3" t="s">
        <v>31</v>
      </c>
      <c r="D190" s="9">
        <v>46134</v>
      </c>
      <c r="E190" s="3" t="s">
        <v>34</v>
      </c>
      <c r="F190" s="6" t="s">
        <v>639</v>
      </c>
      <c r="G190" s="3" t="s">
        <v>580</v>
      </c>
      <c r="H190" s="3">
        <v>128.9</v>
      </c>
      <c r="I190" s="3">
        <v>4.16</v>
      </c>
    </row>
    <row r="191" spans="1:9">
      <c r="A191" s="4" t="s">
        <v>565</v>
      </c>
      <c r="B191" s="4" t="s">
        <v>32</v>
      </c>
      <c r="C191" s="4" t="s">
        <v>31</v>
      </c>
      <c r="D191" s="10">
        <v>46130</v>
      </c>
      <c r="E191" s="4" t="s">
        <v>34</v>
      </c>
      <c r="F191" s="6" t="s">
        <v>639</v>
      </c>
      <c r="G191" s="4" t="s">
        <v>580</v>
      </c>
      <c r="H191" s="4">
        <v>176.3</v>
      </c>
      <c r="I191" s="4">
        <v>4.1100000000000003</v>
      </c>
    </row>
    <row r="192" spans="1:9">
      <c r="A192" s="3" t="s">
        <v>193</v>
      </c>
      <c r="B192" s="3" t="s">
        <v>32</v>
      </c>
      <c r="C192" s="3" t="s">
        <v>31</v>
      </c>
      <c r="D192" s="9">
        <v>46093</v>
      </c>
      <c r="E192" s="3" t="s">
        <v>34</v>
      </c>
      <c r="F192" s="6" t="s">
        <v>639</v>
      </c>
      <c r="G192" s="3" t="s">
        <v>581</v>
      </c>
      <c r="H192" s="3">
        <v>75.7</v>
      </c>
      <c r="I192" s="3">
        <v>4.1100000000000003</v>
      </c>
    </row>
    <row r="193" spans="1:9" hidden="1">
      <c r="A193" s="4" t="s">
        <v>36</v>
      </c>
      <c r="B193" s="4" t="s">
        <v>38</v>
      </c>
      <c r="C193" s="4" t="s">
        <v>37</v>
      </c>
      <c r="D193" s="10">
        <v>46060</v>
      </c>
      <c r="E193" s="4" t="s">
        <v>34</v>
      </c>
      <c r="F193" s="6" t="s">
        <v>639</v>
      </c>
      <c r="G193" s="4" t="s">
        <v>583</v>
      </c>
      <c r="H193" s="4">
        <v>61.5</v>
      </c>
      <c r="I193" s="4">
        <v>4.0999999999999996</v>
      </c>
    </row>
    <row r="194" spans="1:9">
      <c r="A194" s="3" t="s">
        <v>43</v>
      </c>
      <c r="B194" s="3" t="s">
        <v>32</v>
      </c>
      <c r="C194" s="3" t="s">
        <v>31</v>
      </c>
      <c r="D194" s="9">
        <v>46060</v>
      </c>
      <c r="E194" s="3" t="s">
        <v>34</v>
      </c>
      <c r="F194" s="6" t="s">
        <v>639</v>
      </c>
      <c r="G194" s="3" t="s">
        <v>585</v>
      </c>
      <c r="H194" s="3">
        <v>7.5</v>
      </c>
      <c r="I194" s="3">
        <v>4.0599999999999996</v>
      </c>
    </row>
    <row r="195" spans="1:9">
      <c r="A195" s="4" t="s">
        <v>43</v>
      </c>
      <c r="B195" s="4" t="s">
        <v>32</v>
      </c>
      <c r="C195" s="4" t="s">
        <v>31</v>
      </c>
      <c r="D195" s="10">
        <v>46060</v>
      </c>
      <c r="E195" s="4" t="s">
        <v>34</v>
      </c>
      <c r="F195" s="6" t="s">
        <v>639</v>
      </c>
      <c r="G195" s="4" t="s">
        <v>585</v>
      </c>
      <c r="H195" s="4">
        <v>7.5</v>
      </c>
      <c r="I195" s="4">
        <v>4.0599999999999996</v>
      </c>
    </row>
    <row r="196" spans="1:9" hidden="1">
      <c r="A196" s="3" t="s">
        <v>299</v>
      </c>
      <c r="B196" s="3" t="s">
        <v>38</v>
      </c>
      <c r="C196" s="3" t="s">
        <v>37</v>
      </c>
      <c r="D196" s="9">
        <v>46101</v>
      </c>
      <c r="E196" s="3" t="s">
        <v>40</v>
      </c>
      <c r="F196" s="3" t="s">
        <v>640</v>
      </c>
      <c r="G196" s="3" t="s">
        <v>583</v>
      </c>
      <c r="H196" s="3">
        <v>77.099999999999994</v>
      </c>
      <c r="I196" s="3">
        <v>4.05</v>
      </c>
    </row>
    <row r="197" spans="1:9" hidden="1">
      <c r="A197" s="4" t="s">
        <v>498</v>
      </c>
      <c r="B197" s="4" t="s">
        <v>38</v>
      </c>
      <c r="C197" s="4" t="s">
        <v>37</v>
      </c>
      <c r="D197" s="10">
        <v>46125</v>
      </c>
      <c r="E197" s="4" t="s">
        <v>34</v>
      </c>
      <c r="F197" s="6" t="s">
        <v>639</v>
      </c>
      <c r="G197" s="4" t="s">
        <v>581</v>
      </c>
      <c r="H197" s="4">
        <v>69.400000000000006</v>
      </c>
      <c r="I197" s="4">
        <v>4.01</v>
      </c>
    </row>
    <row r="198" spans="1:9" hidden="1">
      <c r="A198" s="3" t="s">
        <v>521</v>
      </c>
      <c r="B198" s="3" t="s">
        <v>38</v>
      </c>
      <c r="C198" s="3" t="s">
        <v>37</v>
      </c>
      <c r="D198" s="9">
        <v>46127</v>
      </c>
      <c r="E198" s="3" t="s">
        <v>34</v>
      </c>
      <c r="F198" s="6" t="s">
        <v>639</v>
      </c>
      <c r="G198" s="3" t="s">
        <v>581</v>
      </c>
      <c r="H198" s="3">
        <v>69.400000000000006</v>
      </c>
      <c r="I198" s="3">
        <v>4.01</v>
      </c>
    </row>
    <row r="199" spans="1:9">
      <c r="A199" s="4" t="s">
        <v>170</v>
      </c>
      <c r="B199" s="4" t="s">
        <v>32</v>
      </c>
      <c r="C199" s="4" t="s">
        <v>31</v>
      </c>
      <c r="D199" s="10">
        <v>46092</v>
      </c>
      <c r="E199" s="4" t="s">
        <v>34</v>
      </c>
      <c r="F199" s="6" t="s">
        <v>639</v>
      </c>
      <c r="G199" s="4" t="s">
        <v>580</v>
      </c>
      <c r="H199" s="4">
        <v>129.80000000000001</v>
      </c>
      <c r="I199" s="4">
        <v>4</v>
      </c>
    </row>
    <row r="200" spans="1:9">
      <c r="A200" s="3" t="s">
        <v>41</v>
      </c>
      <c r="B200" s="3" t="s">
        <v>32</v>
      </c>
      <c r="C200" s="3" t="s">
        <v>31</v>
      </c>
      <c r="D200" s="9">
        <v>46064</v>
      </c>
      <c r="E200" s="3" t="s">
        <v>34</v>
      </c>
      <c r="F200" s="6" t="s">
        <v>639</v>
      </c>
      <c r="G200" s="3" t="s">
        <v>585</v>
      </c>
      <c r="H200" s="3">
        <v>7.4</v>
      </c>
      <c r="I200" s="3">
        <v>3.98</v>
      </c>
    </row>
    <row r="201" spans="1:9" hidden="1">
      <c r="A201" s="4" t="s">
        <v>518</v>
      </c>
      <c r="B201" s="4" t="s">
        <v>38</v>
      </c>
      <c r="C201" s="4" t="s">
        <v>37</v>
      </c>
      <c r="D201" s="10">
        <v>46134</v>
      </c>
      <c r="E201" s="4" t="s">
        <v>34</v>
      </c>
      <c r="F201" s="6" t="s">
        <v>639</v>
      </c>
      <c r="G201" s="4" t="s">
        <v>580</v>
      </c>
      <c r="H201" s="4">
        <v>92.8</v>
      </c>
      <c r="I201" s="4">
        <v>3.96</v>
      </c>
    </row>
    <row r="202" spans="1:9">
      <c r="A202" s="3" t="s">
        <v>44</v>
      </c>
      <c r="B202" s="3" t="s">
        <v>32</v>
      </c>
      <c r="C202" s="3" t="s">
        <v>31</v>
      </c>
      <c r="D202" s="9">
        <v>46066</v>
      </c>
      <c r="E202" s="3" t="s">
        <v>34</v>
      </c>
      <c r="F202" s="6" t="s">
        <v>639</v>
      </c>
      <c r="G202" s="3" t="s">
        <v>580</v>
      </c>
      <c r="H202" s="3">
        <v>175.4</v>
      </c>
      <c r="I202" s="3">
        <v>3.95</v>
      </c>
    </row>
    <row r="203" spans="1:9">
      <c r="A203" s="4" t="s">
        <v>190</v>
      </c>
      <c r="B203" s="4" t="s">
        <v>32</v>
      </c>
      <c r="C203" s="4" t="s">
        <v>31</v>
      </c>
      <c r="D203" s="10">
        <v>46093</v>
      </c>
      <c r="E203" s="4" t="s">
        <v>34</v>
      </c>
      <c r="F203" s="6" t="s">
        <v>639</v>
      </c>
      <c r="G203" s="4" t="s">
        <v>581</v>
      </c>
      <c r="H203" s="4">
        <v>76.599999999999994</v>
      </c>
      <c r="I203" s="4">
        <v>3.94</v>
      </c>
    </row>
    <row r="204" spans="1:9">
      <c r="A204" s="3" t="s">
        <v>143</v>
      </c>
      <c r="B204" s="3" t="s">
        <v>32</v>
      </c>
      <c r="C204" s="3" t="s">
        <v>31</v>
      </c>
      <c r="D204" s="9">
        <v>46085</v>
      </c>
      <c r="E204" s="3" t="s">
        <v>40</v>
      </c>
      <c r="F204" s="3" t="s">
        <v>640</v>
      </c>
      <c r="G204" s="3" t="s">
        <v>590</v>
      </c>
      <c r="H204" s="3">
        <v>10.210000000000001</v>
      </c>
      <c r="I204" s="3">
        <v>3.9</v>
      </c>
    </row>
    <row r="205" spans="1:9" hidden="1">
      <c r="A205" s="4" t="s">
        <v>36</v>
      </c>
      <c r="B205" s="4" t="s">
        <v>38</v>
      </c>
      <c r="C205" s="4" t="s">
        <v>37</v>
      </c>
      <c r="D205" s="10">
        <v>46044</v>
      </c>
      <c r="E205" s="4" t="s">
        <v>34</v>
      </c>
      <c r="F205" s="6" t="s">
        <v>639</v>
      </c>
      <c r="G205" s="4" t="s">
        <v>585</v>
      </c>
      <c r="H205" s="4">
        <v>6.9</v>
      </c>
      <c r="I205" s="4">
        <v>3.89</v>
      </c>
    </row>
    <row r="206" spans="1:9" hidden="1">
      <c r="A206" s="3" t="s">
        <v>386</v>
      </c>
      <c r="B206" s="3" t="s">
        <v>38</v>
      </c>
      <c r="C206" s="3" t="s">
        <v>37</v>
      </c>
      <c r="D206" s="9">
        <v>46112</v>
      </c>
      <c r="E206" s="3" t="s">
        <v>34</v>
      </c>
      <c r="F206" s="6" t="s">
        <v>639</v>
      </c>
      <c r="G206" s="3" t="s">
        <v>580</v>
      </c>
      <c r="H206" s="3">
        <v>93.2</v>
      </c>
      <c r="I206" s="3">
        <v>3.88</v>
      </c>
    </row>
    <row r="207" spans="1:9">
      <c r="A207" s="4" t="s">
        <v>338</v>
      </c>
      <c r="B207" s="4" t="s">
        <v>32</v>
      </c>
      <c r="C207" s="4" t="s">
        <v>31</v>
      </c>
      <c r="D207" s="10">
        <v>46136</v>
      </c>
      <c r="E207" s="4" t="s">
        <v>34</v>
      </c>
      <c r="F207" s="6" t="s">
        <v>639</v>
      </c>
      <c r="G207" s="4" t="s">
        <v>580</v>
      </c>
      <c r="H207" s="4">
        <v>174.9</v>
      </c>
      <c r="I207" s="4">
        <v>3.87</v>
      </c>
    </row>
    <row r="208" spans="1:9" hidden="1">
      <c r="A208" s="3" t="s">
        <v>400</v>
      </c>
      <c r="B208" s="3" t="s">
        <v>38</v>
      </c>
      <c r="C208" s="3" t="s">
        <v>37</v>
      </c>
      <c r="D208" s="9">
        <v>46112</v>
      </c>
      <c r="E208" s="3" t="s">
        <v>34</v>
      </c>
      <c r="F208" s="6" t="s">
        <v>639</v>
      </c>
      <c r="G208" s="3" t="s">
        <v>581</v>
      </c>
      <c r="H208" s="3">
        <v>69.8</v>
      </c>
      <c r="I208" s="3">
        <v>3.87</v>
      </c>
    </row>
    <row r="209" spans="1:9">
      <c r="A209" s="4" t="s">
        <v>344</v>
      </c>
      <c r="B209" s="4" t="s">
        <v>32</v>
      </c>
      <c r="C209" s="4" t="s">
        <v>31</v>
      </c>
      <c r="D209" s="10">
        <v>46130</v>
      </c>
      <c r="E209" s="4" t="s">
        <v>34</v>
      </c>
      <c r="F209" s="6" t="s">
        <v>639</v>
      </c>
      <c r="G209" s="4" t="s">
        <v>581</v>
      </c>
      <c r="H209" s="4">
        <v>77</v>
      </c>
      <c r="I209" s="4">
        <v>3.86</v>
      </c>
    </row>
    <row r="210" spans="1:9">
      <c r="A210" s="3" t="s">
        <v>479</v>
      </c>
      <c r="B210" s="3" t="s">
        <v>32</v>
      </c>
      <c r="C210" s="3" t="s">
        <v>31</v>
      </c>
      <c r="D210" s="9">
        <v>46135</v>
      </c>
      <c r="E210" s="3" t="s">
        <v>34</v>
      </c>
      <c r="F210" s="6" t="s">
        <v>639</v>
      </c>
      <c r="G210" s="3" t="s">
        <v>580</v>
      </c>
      <c r="H210" s="3">
        <v>130.69999999999999</v>
      </c>
      <c r="I210" s="3">
        <v>3.85</v>
      </c>
    </row>
    <row r="211" spans="1:9" hidden="1">
      <c r="A211" s="4" t="s">
        <v>414</v>
      </c>
      <c r="B211" s="4" t="s">
        <v>38</v>
      </c>
      <c r="C211" s="4" t="s">
        <v>37</v>
      </c>
      <c r="D211" s="10">
        <v>46113</v>
      </c>
      <c r="E211" s="4" t="s">
        <v>34</v>
      </c>
      <c r="F211" s="6" t="s">
        <v>639</v>
      </c>
      <c r="G211" s="4" t="s">
        <v>591</v>
      </c>
      <c r="H211" s="4">
        <v>3.25</v>
      </c>
      <c r="I211" s="4">
        <v>3.82</v>
      </c>
    </row>
    <row r="212" spans="1:9">
      <c r="A212" s="3" t="s">
        <v>565</v>
      </c>
      <c r="B212" s="3" t="s">
        <v>32</v>
      </c>
      <c r="C212" s="3" t="s">
        <v>31</v>
      </c>
      <c r="D212" s="9">
        <v>46130</v>
      </c>
      <c r="E212" s="3" t="s">
        <v>34</v>
      </c>
      <c r="F212" s="6" t="s">
        <v>639</v>
      </c>
      <c r="G212" s="3" t="s">
        <v>580</v>
      </c>
      <c r="H212" s="3">
        <v>174.5</v>
      </c>
      <c r="I212" s="3">
        <v>3.8</v>
      </c>
    </row>
    <row r="213" spans="1:9" hidden="1">
      <c r="A213" s="4" t="s">
        <v>505</v>
      </c>
      <c r="B213" s="4" t="s">
        <v>38</v>
      </c>
      <c r="C213" s="4" t="s">
        <v>37</v>
      </c>
      <c r="D213" s="10">
        <v>46134</v>
      </c>
      <c r="E213" s="4" t="s">
        <v>34</v>
      </c>
      <c r="F213" s="6" t="s">
        <v>639</v>
      </c>
      <c r="G213" s="4" t="s">
        <v>580</v>
      </c>
      <c r="H213" s="4">
        <v>93.6</v>
      </c>
      <c r="I213" s="4">
        <v>3.8</v>
      </c>
    </row>
    <row r="214" spans="1:9">
      <c r="A214" s="3" t="s">
        <v>42</v>
      </c>
      <c r="B214" s="3" t="s">
        <v>32</v>
      </c>
      <c r="C214" s="3" t="s">
        <v>31</v>
      </c>
      <c r="D214" s="9">
        <v>46056</v>
      </c>
      <c r="E214" s="3" t="s">
        <v>34</v>
      </c>
      <c r="F214" s="6" t="s">
        <v>639</v>
      </c>
      <c r="G214" s="3" t="s">
        <v>583</v>
      </c>
      <c r="H214" s="3">
        <v>61</v>
      </c>
      <c r="I214" s="3">
        <v>3.78</v>
      </c>
    </row>
    <row r="215" spans="1:9">
      <c r="A215" s="4" t="s">
        <v>43</v>
      </c>
      <c r="B215" s="4" t="s">
        <v>32</v>
      </c>
      <c r="C215" s="4" t="s">
        <v>31</v>
      </c>
      <c r="D215" s="10">
        <v>46056</v>
      </c>
      <c r="E215" s="4" t="s">
        <v>34</v>
      </c>
      <c r="F215" s="6" t="s">
        <v>639</v>
      </c>
      <c r="G215" s="4" t="s">
        <v>583</v>
      </c>
      <c r="H215" s="4">
        <v>61</v>
      </c>
      <c r="I215" s="4">
        <v>3.78</v>
      </c>
    </row>
    <row r="216" spans="1:9">
      <c r="A216" s="3" t="s">
        <v>43</v>
      </c>
      <c r="B216" s="3" t="s">
        <v>32</v>
      </c>
      <c r="C216" s="3" t="s">
        <v>31</v>
      </c>
      <c r="D216" s="9">
        <v>46060</v>
      </c>
      <c r="E216" s="3" t="s">
        <v>34</v>
      </c>
      <c r="F216" s="6" t="s">
        <v>639</v>
      </c>
      <c r="G216" s="3" t="s">
        <v>583</v>
      </c>
      <c r="H216" s="3">
        <v>61</v>
      </c>
      <c r="I216" s="3">
        <v>3.78</v>
      </c>
    </row>
    <row r="217" spans="1:9">
      <c r="A217" s="4" t="s">
        <v>43</v>
      </c>
      <c r="B217" s="4" t="s">
        <v>32</v>
      </c>
      <c r="C217" s="4" t="s">
        <v>31</v>
      </c>
      <c r="D217" s="10">
        <v>46060</v>
      </c>
      <c r="E217" s="4" t="s">
        <v>34</v>
      </c>
      <c r="F217" s="6" t="s">
        <v>639</v>
      </c>
      <c r="G217" s="4" t="s">
        <v>583</v>
      </c>
      <c r="H217" s="4">
        <v>61</v>
      </c>
      <c r="I217" s="4">
        <v>3.78</v>
      </c>
    </row>
    <row r="218" spans="1:9">
      <c r="A218" s="3" t="s">
        <v>41</v>
      </c>
      <c r="B218" s="3" t="s">
        <v>32</v>
      </c>
      <c r="C218" s="3" t="s">
        <v>31</v>
      </c>
      <c r="D218" s="9">
        <v>46064</v>
      </c>
      <c r="E218" s="3" t="s">
        <v>34</v>
      </c>
      <c r="F218" s="6" t="s">
        <v>639</v>
      </c>
      <c r="G218" s="3" t="s">
        <v>581</v>
      </c>
      <c r="H218" s="3">
        <v>115.4</v>
      </c>
      <c r="I218" s="3">
        <v>3.77</v>
      </c>
    </row>
    <row r="219" spans="1:9">
      <c r="A219" s="4" t="s">
        <v>43</v>
      </c>
      <c r="B219" s="4" t="s">
        <v>32</v>
      </c>
      <c r="C219" s="4" t="s">
        <v>31</v>
      </c>
      <c r="D219" s="10">
        <v>46056</v>
      </c>
      <c r="E219" s="4" t="s">
        <v>34</v>
      </c>
      <c r="F219" s="6" t="s">
        <v>639</v>
      </c>
      <c r="G219" s="4" t="s">
        <v>581</v>
      </c>
      <c r="H219" s="4">
        <v>77.5</v>
      </c>
      <c r="I219" s="4">
        <v>3.76</v>
      </c>
    </row>
    <row r="220" spans="1:9">
      <c r="A220" s="3" t="s">
        <v>189</v>
      </c>
      <c r="B220" s="3" t="s">
        <v>32</v>
      </c>
      <c r="C220" s="3" t="s">
        <v>31</v>
      </c>
      <c r="D220" s="9">
        <v>46093</v>
      </c>
      <c r="E220" s="3" t="s">
        <v>34</v>
      </c>
      <c r="F220" s="6" t="s">
        <v>639</v>
      </c>
      <c r="G220" s="3" t="s">
        <v>581</v>
      </c>
      <c r="H220" s="3">
        <v>77.5</v>
      </c>
      <c r="I220" s="3">
        <v>3.76</v>
      </c>
    </row>
    <row r="221" spans="1:9" hidden="1">
      <c r="A221" s="4" t="s">
        <v>331</v>
      </c>
      <c r="B221" s="4" t="s">
        <v>38</v>
      </c>
      <c r="C221" s="4" t="s">
        <v>37</v>
      </c>
      <c r="D221" s="10">
        <v>46105</v>
      </c>
      <c r="E221" s="4" t="s">
        <v>34</v>
      </c>
      <c r="F221" s="6" t="s">
        <v>639</v>
      </c>
      <c r="G221" s="4" t="s">
        <v>587</v>
      </c>
      <c r="H221" s="4">
        <v>77.900000000000006</v>
      </c>
      <c r="I221" s="4">
        <v>3.74</v>
      </c>
    </row>
    <row r="222" spans="1:9">
      <c r="A222" s="3" t="s">
        <v>559</v>
      </c>
      <c r="B222" s="3" t="s">
        <v>32</v>
      </c>
      <c r="C222" s="3" t="s">
        <v>31</v>
      </c>
      <c r="D222" s="9">
        <v>46129</v>
      </c>
      <c r="E222" s="3" t="s">
        <v>34</v>
      </c>
      <c r="F222" s="6" t="s">
        <v>639</v>
      </c>
      <c r="G222" s="3" t="s">
        <v>591</v>
      </c>
      <c r="H222" s="3">
        <v>6.42</v>
      </c>
      <c r="I222" s="3">
        <v>3.74</v>
      </c>
    </row>
    <row r="223" spans="1:9">
      <c r="A223" s="4" t="s">
        <v>41</v>
      </c>
      <c r="B223" s="4" t="s">
        <v>32</v>
      </c>
      <c r="C223" s="4" t="s">
        <v>31</v>
      </c>
      <c r="D223" s="10">
        <v>46064</v>
      </c>
      <c r="E223" s="4" t="s">
        <v>34</v>
      </c>
      <c r="F223" s="6" t="s">
        <v>639</v>
      </c>
      <c r="G223" s="4" t="s">
        <v>580</v>
      </c>
      <c r="H223" s="4">
        <v>131.6</v>
      </c>
      <c r="I223" s="4">
        <v>3.69</v>
      </c>
    </row>
    <row r="224" spans="1:9" hidden="1">
      <c r="A224" s="3" t="s">
        <v>521</v>
      </c>
      <c r="B224" s="3" t="s">
        <v>38</v>
      </c>
      <c r="C224" s="3" t="s">
        <v>37</v>
      </c>
      <c r="D224" s="9">
        <v>46127</v>
      </c>
      <c r="E224" s="3" t="s">
        <v>34</v>
      </c>
      <c r="F224" s="6" t="s">
        <v>639</v>
      </c>
      <c r="G224" s="3" t="s">
        <v>581</v>
      </c>
      <c r="H224" s="3">
        <v>70.3</v>
      </c>
      <c r="I224" s="3">
        <v>3.69</v>
      </c>
    </row>
    <row r="225" spans="1:9">
      <c r="A225" s="4" t="s">
        <v>344</v>
      </c>
      <c r="B225" s="4" t="s">
        <v>32</v>
      </c>
      <c r="C225" s="4" t="s">
        <v>31</v>
      </c>
      <c r="D225" s="10">
        <v>46106</v>
      </c>
      <c r="E225" s="4" t="s">
        <v>34</v>
      </c>
      <c r="F225" s="6" t="s">
        <v>639</v>
      </c>
      <c r="G225" s="4" t="s">
        <v>581</v>
      </c>
      <c r="H225" s="4">
        <v>77.900000000000006</v>
      </c>
      <c r="I225" s="4">
        <v>3.68</v>
      </c>
    </row>
    <row r="226" spans="1:9">
      <c r="A226" s="3" t="s">
        <v>344</v>
      </c>
      <c r="B226" s="3" t="s">
        <v>32</v>
      </c>
      <c r="C226" s="3" t="s">
        <v>31</v>
      </c>
      <c r="D226" s="9">
        <v>46130</v>
      </c>
      <c r="E226" s="3" t="s">
        <v>34</v>
      </c>
      <c r="F226" s="6" t="s">
        <v>639</v>
      </c>
      <c r="G226" s="3" t="s">
        <v>581</v>
      </c>
      <c r="H226" s="3">
        <v>77.900000000000006</v>
      </c>
      <c r="I226" s="3">
        <v>3.68</v>
      </c>
    </row>
    <row r="227" spans="1:9" hidden="1">
      <c r="A227" s="4" t="s">
        <v>36</v>
      </c>
      <c r="B227" s="4" t="s">
        <v>38</v>
      </c>
      <c r="C227" s="4" t="s">
        <v>37</v>
      </c>
      <c r="D227" s="10">
        <v>46044</v>
      </c>
      <c r="E227" s="4" t="s">
        <v>40</v>
      </c>
      <c r="F227" s="4" t="s">
        <v>640</v>
      </c>
      <c r="G227" s="4" t="s">
        <v>585</v>
      </c>
      <c r="H227" s="4">
        <v>6.6</v>
      </c>
      <c r="I227" s="4">
        <v>3.67</v>
      </c>
    </row>
    <row r="228" spans="1:9" hidden="1">
      <c r="A228" s="3" t="s">
        <v>64</v>
      </c>
      <c r="B228" s="3" t="s">
        <v>38</v>
      </c>
      <c r="C228" s="3" t="s">
        <v>37</v>
      </c>
      <c r="D228" s="9">
        <v>46081</v>
      </c>
      <c r="E228" s="3" t="s">
        <v>40</v>
      </c>
      <c r="F228" s="3" t="s">
        <v>640</v>
      </c>
      <c r="G228" s="3" t="s">
        <v>585</v>
      </c>
      <c r="H228" s="3">
        <v>6.6</v>
      </c>
      <c r="I228" s="3">
        <v>3.67</v>
      </c>
    </row>
    <row r="229" spans="1:9" hidden="1">
      <c r="A229" s="4" t="s">
        <v>66</v>
      </c>
      <c r="B229" s="4" t="s">
        <v>38</v>
      </c>
      <c r="C229" s="4" t="s">
        <v>37</v>
      </c>
      <c r="D229" s="10">
        <v>46081</v>
      </c>
      <c r="E229" s="4" t="s">
        <v>40</v>
      </c>
      <c r="F229" s="4" t="s">
        <v>640</v>
      </c>
      <c r="G229" s="4" t="s">
        <v>585</v>
      </c>
      <c r="H229" s="4">
        <v>6.6</v>
      </c>
      <c r="I229" s="4">
        <v>3.67</v>
      </c>
    </row>
    <row r="230" spans="1:9">
      <c r="A230" s="3" t="s">
        <v>564</v>
      </c>
      <c r="B230" s="3" t="s">
        <v>32</v>
      </c>
      <c r="C230" s="3" t="s">
        <v>31</v>
      </c>
      <c r="D230" s="9">
        <v>46130</v>
      </c>
      <c r="E230" s="3" t="s">
        <v>34</v>
      </c>
      <c r="F230" s="6" t="s">
        <v>639</v>
      </c>
      <c r="G230" s="3" t="s">
        <v>580</v>
      </c>
      <c r="H230" s="3">
        <v>173.6</v>
      </c>
      <c r="I230" s="3">
        <v>3.64</v>
      </c>
    </row>
    <row r="231" spans="1:9">
      <c r="A231" s="4" t="s">
        <v>338</v>
      </c>
      <c r="B231" s="4" t="s">
        <v>32</v>
      </c>
      <c r="C231" s="4" t="s">
        <v>31</v>
      </c>
      <c r="D231" s="10">
        <v>46136</v>
      </c>
      <c r="E231" s="4" t="s">
        <v>34</v>
      </c>
      <c r="F231" s="6" t="s">
        <v>639</v>
      </c>
      <c r="G231" s="4" t="s">
        <v>580</v>
      </c>
      <c r="H231" s="4">
        <v>173.6</v>
      </c>
      <c r="I231" s="4">
        <v>3.64</v>
      </c>
    </row>
    <row r="232" spans="1:9" hidden="1">
      <c r="A232" s="3" t="s">
        <v>36</v>
      </c>
      <c r="B232" s="3" t="s">
        <v>38</v>
      </c>
      <c r="C232" s="3" t="s">
        <v>37</v>
      </c>
      <c r="D232" s="9">
        <v>46042</v>
      </c>
      <c r="E232" s="3" t="s">
        <v>34</v>
      </c>
      <c r="F232" s="6" t="s">
        <v>639</v>
      </c>
      <c r="G232" s="3" t="s">
        <v>583</v>
      </c>
      <c r="H232" s="3">
        <v>62.4</v>
      </c>
      <c r="I232" s="3">
        <v>3.63</v>
      </c>
    </row>
    <row r="233" spans="1:9" hidden="1">
      <c r="A233" s="4" t="s">
        <v>36</v>
      </c>
      <c r="B233" s="4" t="s">
        <v>38</v>
      </c>
      <c r="C233" s="4" t="s">
        <v>37</v>
      </c>
      <c r="D233" s="10">
        <v>46042</v>
      </c>
      <c r="E233" s="4" t="s">
        <v>40</v>
      </c>
      <c r="F233" s="4" t="s">
        <v>640</v>
      </c>
      <c r="G233" s="4" t="s">
        <v>583</v>
      </c>
      <c r="H233" s="4">
        <v>62.4</v>
      </c>
      <c r="I233" s="4">
        <v>3.63</v>
      </c>
    </row>
    <row r="234" spans="1:9" hidden="1">
      <c r="A234" s="3" t="s">
        <v>158</v>
      </c>
      <c r="B234" s="3" t="s">
        <v>38</v>
      </c>
      <c r="C234" s="3" t="s">
        <v>37</v>
      </c>
      <c r="D234" s="9">
        <v>46091</v>
      </c>
      <c r="E234" s="3" t="s">
        <v>34</v>
      </c>
      <c r="F234" s="6" t="s">
        <v>639</v>
      </c>
      <c r="G234" s="3" t="s">
        <v>580</v>
      </c>
      <c r="H234" s="3">
        <v>94.5</v>
      </c>
      <c r="I234" s="3">
        <v>3.62</v>
      </c>
    </row>
    <row r="235" spans="1:9">
      <c r="A235" s="4" t="s">
        <v>73</v>
      </c>
      <c r="B235" s="4" t="s">
        <v>32</v>
      </c>
      <c r="C235" s="4" t="s">
        <v>31</v>
      </c>
      <c r="D235" s="10">
        <v>46081</v>
      </c>
      <c r="E235" s="4" t="s">
        <v>34</v>
      </c>
      <c r="F235" s="6" t="s">
        <v>639</v>
      </c>
      <c r="G235" s="4" t="s">
        <v>585</v>
      </c>
      <c r="H235" s="4">
        <v>6.9</v>
      </c>
      <c r="I235" s="4">
        <v>3.62</v>
      </c>
    </row>
    <row r="236" spans="1:9">
      <c r="A236" s="3" t="s">
        <v>479</v>
      </c>
      <c r="B236" s="3" t="s">
        <v>32</v>
      </c>
      <c r="C236" s="3" t="s">
        <v>31</v>
      </c>
      <c r="D236" s="9">
        <v>46135</v>
      </c>
      <c r="E236" s="3" t="s">
        <v>34</v>
      </c>
      <c r="F236" s="6" t="s">
        <v>639</v>
      </c>
      <c r="G236" s="3" t="s">
        <v>591</v>
      </c>
      <c r="H236" s="3">
        <v>6.47</v>
      </c>
      <c r="I236" s="3">
        <v>3.62</v>
      </c>
    </row>
    <row r="237" spans="1:9" hidden="1">
      <c r="A237" s="4" t="s">
        <v>48</v>
      </c>
      <c r="B237" s="4" t="s">
        <v>38</v>
      </c>
      <c r="C237" s="4" t="s">
        <v>37</v>
      </c>
      <c r="D237" s="10">
        <v>46079</v>
      </c>
      <c r="E237" s="4" t="s">
        <v>34</v>
      </c>
      <c r="F237" s="6" t="s">
        <v>639</v>
      </c>
      <c r="G237" s="4" t="s">
        <v>585</v>
      </c>
      <c r="H237" s="4">
        <v>6.5</v>
      </c>
      <c r="I237" s="4">
        <v>3.6</v>
      </c>
    </row>
    <row r="238" spans="1:9" hidden="1">
      <c r="A238" s="3" t="s">
        <v>65</v>
      </c>
      <c r="B238" s="3" t="s">
        <v>38</v>
      </c>
      <c r="C238" s="3" t="s">
        <v>37</v>
      </c>
      <c r="D238" s="9">
        <v>46081</v>
      </c>
      <c r="E238" s="3" t="s">
        <v>40</v>
      </c>
      <c r="F238" s="3" t="s">
        <v>640</v>
      </c>
      <c r="G238" s="3" t="s">
        <v>585</v>
      </c>
      <c r="H238" s="3">
        <v>6.5</v>
      </c>
      <c r="I238" s="3">
        <v>3.6</v>
      </c>
    </row>
    <row r="239" spans="1:9">
      <c r="A239" s="4" t="s">
        <v>354</v>
      </c>
      <c r="B239" s="4" t="s">
        <v>32</v>
      </c>
      <c r="C239" s="4" t="s">
        <v>31</v>
      </c>
      <c r="D239" s="10">
        <v>46136</v>
      </c>
      <c r="E239" s="4" t="s">
        <v>40</v>
      </c>
      <c r="F239" s="4" t="s">
        <v>640</v>
      </c>
      <c r="G239" s="4" t="s">
        <v>591</v>
      </c>
      <c r="H239" s="4">
        <v>6.49</v>
      </c>
      <c r="I239" s="4">
        <v>3.57</v>
      </c>
    </row>
    <row r="240" spans="1:9" hidden="1">
      <c r="A240" s="3" t="s">
        <v>46</v>
      </c>
      <c r="B240" s="3" t="s">
        <v>38</v>
      </c>
      <c r="C240" s="3" t="s">
        <v>37</v>
      </c>
      <c r="D240" s="9">
        <v>46073</v>
      </c>
      <c r="E240" s="3" t="s">
        <v>40</v>
      </c>
      <c r="F240" s="3" t="s">
        <v>640</v>
      </c>
      <c r="G240" s="3" t="s">
        <v>581</v>
      </c>
      <c r="H240" s="3">
        <v>70.7</v>
      </c>
      <c r="I240" s="3">
        <v>3.55</v>
      </c>
    </row>
    <row r="241" spans="1:9" hidden="1">
      <c r="A241" s="4" t="s">
        <v>414</v>
      </c>
      <c r="B241" s="4" t="s">
        <v>38</v>
      </c>
      <c r="C241" s="4" t="s">
        <v>37</v>
      </c>
      <c r="D241" s="10">
        <v>46113</v>
      </c>
      <c r="E241" s="4" t="s">
        <v>34</v>
      </c>
      <c r="F241" s="6" t="s">
        <v>639</v>
      </c>
      <c r="G241" s="4" t="s">
        <v>581</v>
      </c>
      <c r="H241" s="4">
        <v>70.7</v>
      </c>
      <c r="I241" s="4">
        <v>3.55</v>
      </c>
    </row>
    <row r="242" spans="1:9" hidden="1">
      <c r="A242" s="3" t="s">
        <v>438</v>
      </c>
      <c r="B242" s="3" t="s">
        <v>38</v>
      </c>
      <c r="C242" s="3" t="s">
        <v>37</v>
      </c>
      <c r="D242" s="9">
        <v>46120</v>
      </c>
      <c r="E242" s="3" t="s">
        <v>34</v>
      </c>
      <c r="F242" s="6" t="s">
        <v>639</v>
      </c>
      <c r="G242" s="3" t="s">
        <v>581</v>
      </c>
      <c r="H242" s="3">
        <v>70.7</v>
      </c>
      <c r="I242" s="3">
        <v>3.55</v>
      </c>
    </row>
    <row r="243" spans="1:9">
      <c r="A243" s="4" t="s">
        <v>41</v>
      </c>
      <c r="B243" s="4" t="s">
        <v>32</v>
      </c>
      <c r="C243" s="4" t="s">
        <v>31</v>
      </c>
      <c r="D243" s="10">
        <v>46066</v>
      </c>
      <c r="E243" s="4" t="s">
        <v>34</v>
      </c>
      <c r="F243" s="6" t="s">
        <v>639</v>
      </c>
      <c r="G243" s="4" t="s">
        <v>591</v>
      </c>
      <c r="H243" s="4">
        <v>9.33</v>
      </c>
      <c r="I243" s="4">
        <v>3.54</v>
      </c>
    </row>
    <row r="244" spans="1:9" hidden="1">
      <c r="A244" s="3" t="s">
        <v>236</v>
      </c>
      <c r="B244" s="3" t="s">
        <v>38</v>
      </c>
      <c r="C244" s="3" t="s">
        <v>37</v>
      </c>
      <c r="D244" s="9">
        <v>46097</v>
      </c>
      <c r="E244" s="3" t="s">
        <v>40</v>
      </c>
      <c r="F244" s="3" t="s">
        <v>640</v>
      </c>
      <c r="G244" s="3" t="s">
        <v>591</v>
      </c>
      <c r="H244" s="3">
        <v>3.3</v>
      </c>
      <c r="I244" s="3">
        <v>3.5</v>
      </c>
    </row>
    <row r="245" spans="1:9">
      <c r="A245" s="4" t="s">
        <v>161</v>
      </c>
      <c r="B245" s="4" t="s">
        <v>32</v>
      </c>
      <c r="C245" s="4" t="s">
        <v>31</v>
      </c>
      <c r="D245" s="10">
        <v>46091</v>
      </c>
      <c r="E245" s="4" t="s">
        <v>34</v>
      </c>
      <c r="F245" s="6" t="s">
        <v>639</v>
      </c>
      <c r="G245" s="4" t="s">
        <v>581</v>
      </c>
      <c r="H245" s="4">
        <v>78.900000000000006</v>
      </c>
      <c r="I245" s="4">
        <v>3.48</v>
      </c>
    </row>
    <row r="246" spans="1:9">
      <c r="A246" s="3" t="s">
        <v>344</v>
      </c>
      <c r="B246" s="3" t="s">
        <v>32</v>
      </c>
      <c r="C246" s="3" t="s">
        <v>31</v>
      </c>
      <c r="D246" s="9">
        <v>46130</v>
      </c>
      <c r="E246" s="3" t="s">
        <v>34</v>
      </c>
      <c r="F246" s="6" t="s">
        <v>639</v>
      </c>
      <c r="G246" s="3" t="s">
        <v>581</v>
      </c>
      <c r="H246" s="3">
        <v>78.900000000000006</v>
      </c>
      <c r="I246" s="3">
        <v>3.48</v>
      </c>
    </row>
    <row r="247" spans="1:9">
      <c r="A247" s="4" t="s">
        <v>345</v>
      </c>
      <c r="B247" s="4" t="s">
        <v>32</v>
      </c>
      <c r="C247" s="4" t="s">
        <v>31</v>
      </c>
      <c r="D247" s="10">
        <v>46106</v>
      </c>
      <c r="E247" s="4" t="s">
        <v>40</v>
      </c>
      <c r="F247" s="4" t="s">
        <v>640</v>
      </c>
      <c r="G247" s="4" t="s">
        <v>583</v>
      </c>
      <c r="H247" s="4">
        <v>77.099999999999994</v>
      </c>
      <c r="I247" s="4">
        <v>3.46</v>
      </c>
    </row>
    <row r="248" spans="1:9">
      <c r="A248" s="3" t="s">
        <v>559</v>
      </c>
      <c r="B248" s="3" t="s">
        <v>32</v>
      </c>
      <c r="C248" s="3" t="s">
        <v>31</v>
      </c>
      <c r="D248" s="9">
        <v>46129</v>
      </c>
      <c r="E248" s="3" t="s">
        <v>40</v>
      </c>
      <c r="F248" s="3" t="s">
        <v>640</v>
      </c>
      <c r="G248" s="3" t="s">
        <v>583</v>
      </c>
      <c r="H248" s="3">
        <v>77.099999999999994</v>
      </c>
      <c r="I248" s="3">
        <v>3.46</v>
      </c>
    </row>
    <row r="249" spans="1:9">
      <c r="A249" s="4" t="s">
        <v>265</v>
      </c>
      <c r="B249" s="4" t="s">
        <v>32</v>
      </c>
      <c r="C249" s="4" t="s">
        <v>31</v>
      </c>
      <c r="D249" s="10">
        <v>46099</v>
      </c>
      <c r="E249" s="4" t="s">
        <v>34</v>
      </c>
      <c r="F249" s="6" t="s">
        <v>639</v>
      </c>
      <c r="G249" s="4" t="s">
        <v>587</v>
      </c>
      <c r="H249" s="4">
        <v>77.900000000000006</v>
      </c>
      <c r="I249" s="4">
        <v>3.44</v>
      </c>
    </row>
    <row r="250" spans="1:9" hidden="1">
      <c r="A250" s="3" t="s">
        <v>299</v>
      </c>
      <c r="B250" s="3" t="s">
        <v>38</v>
      </c>
      <c r="C250" s="3" t="s">
        <v>37</v>
      </c>
      <c r="D250" s="9">
        <v>46101</v>
      </c>
      <c r="E250" s="3" t="s">
        <v>34</v>
      </c>
      <c r="F250" s="6" t="s">
        <v>639</v>
      </c>
      <c r="G250" s="3" t="s">
        <v>587</v>
      </c>
      <c r="H250" s="3">
        <v>77.2</v>
      </c>
      <c r="I250" s="3">
        <v>3.42</v>
      </c>
    </row>
    <row r="251" spans="1:9">
      <c r="A251" s="4" t="s">
        <v>565</v>
      </c>
      <c r="B251" s="4" t="s">
        <v>32</v>
      </c>
      <c r="C251" s="4" t="s">
        <v>31</v>
      </c>
      <c r="D251" s="10">
        <v>46130</v>
      </c>
      <c r="E251" s="4" t="s">
        <v>34</v>
      </c>
      <c r="F251" s="6" t="s">
        <v>639</v>
      </c>
      <c r="G251" s="4" t="s">
        <v>580</v>
      </c>
      <c r="H251" s="4">
        <v>172.3</v>
      </c>
      <c r="I251" s="4">
        <v>3.41</v>
      </c>
    </row>
    <row r="252" spans="1:9">
      <c r="A252" s="3" t="s">
        <v>189</v>
      </c>
      <c r="B252" s="3" t="s">
        <v>32</v>
      </c>
      <c r="C252" s="3" t="s">
        <v>31</v>
      </c>
      <c r="D252" s="9">
        <v>46093</v>
      </c>
      <c r="E252" s="3" t="s">
        <v>34</v>
      </c>
      <c r="F252" s="6" t="s">
        <v>639</v>
      </c>
      <c r="G252" s="3" t="s">
        <v>590</v>
      </c>
      <c r="H252" s="3">
        <v>6.15</v>
      </c>
      <c r="I252" s="3">
        <v>3.4</v>
      </c>
    </row>
    <row r="253" spans="1:9">
      <c r="A253" s="4" t="s">
        <v>261</v>
      </c>
      <c r="B253" s="4" t="s">
        <v>32</v>
      </c>
      <c r="C253" s="4" t="s">
        <v>31</v>
      </c>
      <c r="D253" s="10">
        <v>46112</v>
      </c>
      <c r="E253" s="4" t="s">
        <v>34</v>
      </c>
      <c r="F253" s="6" t="s">
        <v>639</v>
      </c>
      <c r="G253" s="4" t="s">
        <v>590</v>
      </c>
      <c r="H253" s="4">
        <v>6.15</v>
      </c>
      <c r="I253" s="4">
        <v>3.4</v>
      </c>
    </row>
    <row r="254" spans="1:9" hidden="1">
      <c r="A254" s="3" t="s">
        <v>36</v>
      </c>
      <c r="B254" s="3" t="s">
        <v>38</v>
      </c>
      <c r="C254" s="3" t="s">
        <v>37</v>
      </c>
      <c r="D254" s="9">
        <v>46060</v>
      </c>
      <c r="E254" s="3" t="s">
        <v>34</v>
      </c>
      <c r="F254" s="6" t="s">
        <v>639</v>
      </c>
      <c r="G254" s="3" t="s">
        <v>581</v>
      </c>
      <c r="H254" s="3">
        <v>71.2</v>
      </c>
      <c r="I254" s="3">
        <v>3.37</v>
      </c>
    </row>
    <row r="255" spans="1:9" hidden="1">
      <c r="A255" s="4" t="s">
        <v>302</v>
      </c>
      <c r="B255" s="4" t="s">
        <v>38</v>
      </c>
      <c r="C255" s="4" t="s">
        <v>37</v>
      </c>
      <c r="D255" s="10">
        <v>46102</v>
      </c>
      <c r="E255" s="4" t="s">
        <v>34</v>
      </c>
      <c r="F255" s="6" t="s">
        <v>639</v>
      </c>
      <c r="G255" s="4" t="s">
        <v>581</v>
      </c>
      <c r="H255" s="4">
        <v>71.2</v>
      </c>
      <c r="I255" s="4">
        <v>3.37</v>
      </c>
    </row>
    <row r="256" spans="1:9" hidden="1">
      <c r="A256" s="3" t="s">
        <v>525</v>
      </c>
      <c r="B256" s="3" t="s">
        <v>38</v>
      </c>
      <c r="C256" s="3" t="s">
        <v>37</v>
      </c>
      <c r="D256" s="9">
        <v>46127</v>
      </c>
      <c r="E256" s="3" t="s">
        <v>34</v>
      </c>
      <c r="F256" s="6" t="s">
        <v>639</v>
      </c>
      <c r="G256" s="3" t="s">
        <v>581</v>
      </c>
      <c r="H256" s="3">
        <v>71.2</v>
      </c>
      <c r="I256" s="3">
        <v>3.37</v>
      </c>
    </row>
    <row r="257" spans="1:9" hidden="1">
      <c r="A257" s="4" t="s">
        <v>240</v>
      </c>
      <c r="B257" s="4" t="s">
        <v>38</v>
      </c>
      <c r="C257" s="4" t="s">
        <v>37</v>
      </c>
      <c r="D257" s="10">
        <v>46097</v>
      </c>
      <c r="E257" s="4" t="s">
        <v>40</v>
      </c>
      <c r="F257" s="4" t="s">
        <v>640</v>
      </c>
      <c r="G257" s="4" t="s">
        <v>583</v>
      </c>
      <c r="H257" s="4">
        <v>75.8</v>
      </c>
      <c r="I257" s="4">
        <v>3.37</v>
      </c>
    </row>
    <row r="258" spans="1:9" hidden="1">
      <c r="A258" s="3" t="s">
        <v>242</v>
      </c>
      <c r="B258" s="3" t="s">
        <v>38</v>
      </c>
      <c r="C258" s="3" t="s">
        <v>37</v>
      </c>
      <c r="D258" s="9">
        <v>46097</v>
      </c>
      <c r="E258" s="3" t="s">
        <v>40</v>
      </c>
      <c r="F258" s="3" t="s">
        <v>640</v>
      </c>
      <c r="G258" s="3" t="s">
        <v>583</v>
      </c>
      <c r="H258" s="3">
        <v>75.8</v>
      </c>
      <c r="I258" s="3">
        <v>3.37</v>
      </c>
    </row>
    <row r="259" spans="1:9">
      <c r="A259" s="4" t="s">
        <v>358</v>
      </c>
      <c r="B259" s="4" t="s">
        <v>32</v>
      </c>
      <c r="C259" s="4" t="s">
        <v>31</v>
      </c>
      <c r="D259" s="10">
        <v>46107</v>
      </c>
      <c r="E259" s="4" t="s">
        <v>40</v>
      </c>
      <c r="F259" s="4" t="s">
        <v>640</v>
      </c>
      <c r="G259" s="4" t="s">
        <v>591</v>
      </c>
      <c r="H259" s="4">
        <v>6.57</v>
      </c>
      <c r="I259" s="4">
        <v>3.36</v>
      </c>
    </row>
    <row r="260" spans="1:9" hidden="1">
      <c r="A260" s="3" t="s">
        <v>438</v>
      </c>
      <c r="B260" s="3" t="s">
        <v>38</v>
      </c>
      <c r="C260" s="3" t="s">
        <v>37</v>
      </c>
      <c r="D260" s="9">
        <v>46120</v>
      </c>
      <c r="E260" s="3" t="s">
        <v>34</v>
      </c>
      <c r="F260" s="6" t="s">
        <v>639</v>
      </c>
      <c r="G260" s="3" t="s">
        <v>580</v>
      </c>
      <c r="H260" s="3">
        <v>95.9</v>
      </c>
      <c r="I260" s="3">
        <v>3.34</v>
      </c>
    </row>
    <row r="261" spans="1:9" hidden="1">
      <c r="A261" s="4" t="s">
        <v>505</v>
      </c>
      <c r="B261" s="4" t="s">
        <v>38</v>
      </c>
      <c r="C261" s="4" t="s">
        <v>37</v>
      </c>
      <c r="D261" s="10">
        <v>46134</v>
      </c>
      <c r="E261" s="4" t="s">
        <v>34</v>
      </c>
      <c r="F261" s="6" t="s">
        <v>639</v>
      </c>
      <c r="G261" s="4" t="s">
        <v>580</v>
      </c>
      <c r="H261" s="4">
        <v>95.9</v>
      </c>
      <c r="I261" s="4">
        <v>3.34</v>
      </c>
    </row>
    <row r="262" spans="1:9">
      <c r="A262" s="3" t="s">
        <v>44</v>
      </c>
      <c r="B262" s="3" t="s">
        <v>32</v>
      </c>
      <c r="C262" s="3" t="s">
        <v>31</v>
      </c>
      <c r="D262" s="9">
        <v>46066</v>
      </c>
      <c r="E262" s="3" t="s">
        <v>40</v>
      </c>
      <c r="F262" s="3" t="s">
        <v>640</v>
      </c>
      <c r="G262" s="3" t="s">
        <v>580</v>
      </c>
      <c r="H262" s="3">
        <v>133.80000000000001</v>
      </c>
      <c r="I262" s="3">
        <v>3.31</v>
      </c>
    </row>
    <row r="263" spans="1:9">
      <c r="A263" s="4" t="s">
        <v>185</v>
      </c>
      <c r="B263" s="4" t="s">
        <v>32</v>
      </c>
      <c r="C263" s="4" t="s">
        <v>31</v>
      </c>
      <c r="D263" s="10">
        <v>46093</v>
      </c>
      <c r="E263" s="4" t="s">
        <v>34</v>
      </c>
      <c r="F263" s="6" t="s">
        <v>639</v>
      </c>
      <c r="G263" s="4" t="s">
        <v>580</v>
      </c>
      <c r="H263" s="4">
        <v>133.80000000000001</v>
      </c>
      <c r="I263" s="4">
        <v>3.31</v>
      </c>
    </row>
    <row r="264" spans="1:9">
      <c r="A264" s="3" t="s">
        <v>261</v>
      </c>
      <c r="B264" s="3" t="s">
        <v>32</v>
      </c>
      <c r="C264" s="3" t="s">
        <v>31</v>
      </c>
      <c r="D264" s="9">
        <v>46112</v>
      </c>
      <c r="E264" s="3" t="s">
        <v>34</v>
      </c>
      <c r="F264" s="6" t="s">
        <v>639</v>
      </c>
      <c r="G264" s="3" t="s">
        <v>591</v>
      </c>
      <c r="H264" s="3">
        <v>6.59</v>
      </c>
      <c r="I264" s="3">
        <v>3.31</v>
      </c>
    </row>
    <row r="265" spans="1:9">
      <c r="A265" s="4" t="s">
        <v>35</v>
      </c>
      <c r="B265" s="4" t="s">
        <v>32</v>
      </c>
      <c r="C265" s="4" t="s">
        <v>31</v>
      </c>
      <c r="D265" s="10">
        <v>46036</v>
      </c>
      <c r="E265" s="4" t="s">
        <v>34</v>
      </c>
      <c r="F265" s="6" t="s">
        <v>639</v>
      </c>
      <c r="G265" s="4" t="s">
        <v>581</v>
      </c>
      <c r="H265" s="4">
        <v>79.8</v>
      </c>
      <c r="I265" s="4">
        <v>3.3</v>
      </c>
    </row>
    <row r="266" spans="1:9">
      <c r="A266" s="3" t="s">
        <v>189</v>
      </c>
      <c r="B266" s="3" t="s">
        <v>32</v>
      </c>
      <c r="C266" s="3" t="s">
        <v>31</v>
      </c>
      <c r="D266" s="9">
        <v>46093</v>
      </c>
      <c r="E266" s="3" t="s">
        <v>34</v>
      </c>
      <c r="F266" s="6" t="s">
        <v>639</v>
      </c>
      <c r="G266" s="3" t="s">
        <v>581</v>
      </c>
      <c r="H266" s="3">
        <v>79.8</v>
      </c>
      <c r="I266" s="3">
        <v>3.3</v>
      </c>
    </row>
    <row r="267" spans="1:9">
      <c r="A267" s="4" t="s">
        <v>453</v>
      </c>
      <c r="B267" s="4" t="s">
        <v>32</v>
      </c>
      <c r="C267" s="4" t="s">
        <v>31</v>
      </c>
      <c r="D267" s="10">
        <v>46121</v>
      </c>
      <c r="E267" s="4" t="s">
        <v>34</v>
      </c>
      <c r="F267" s="6" t="s">
        <v>639</v>
      </c>
      <c r="G267" s="4" t="s">
        <v>581</v>
      </c>
      <c r="H267" s="4">
        <v>79.8</v>
      </c>
      <c r="I267" s="4">
        <v>3.3</v>
      </c>
    </row>
    <row r="268" spans="1:9">
      <c r="A268" s="3" t="s">
        <v>482</v>
      </c>
      <c r="B268" s="3" t="s">
        <v>32</v>
      </c>
      <c r="C268" s="3" t="s">
        <v>31</v>
      </c>
      <c r="D268" s="9">
        <v>46129</v>
      </c>
      <c r="E268" s="3" t="s">
        <v>40</v>
      </c>
      <c r="F268" s="3" t="s">
        <v>640</v>
      </c>
      <c r="G268" s="3" t="s">
        <v>583</v>
      </c>
      <c r="H268" s="3">
        <v>76.7</v>
      </c>
      <c r="I268" s="3">
        <v>3.28</v>
      </c>
    </row>
    <row r="269" spans="1:9">
      <c r="A269" s="4" t="s">
        <v>71</v>
      </c>
      <c r="B269" s="4" t="s">
        <v>32</v>
      </c>
      <c r="C269" s="4" t="s">
        <v>31</v>
      </c>
      <c r="D269" s="10">
        <v>46081</v>
      </c>
      <c r="E269" s="4" t="s">
        <v>40</v>
      </c>
      <c r="F269" s="4" t="s">
        <v>640</v>
      </c>
      <c r="G269" s="4" t="s">
        <v>585</v>
      </c>
      <c r="H269" s="4">
        <v>6.4</v>
      </c>
      <c r="I269" s="4">
        <v>3.27</v>
      </c>
    </row>
    <row r="270" spans="1:9">
      <c r="A270" s="3" t="s">
        <v>260</v>
      </c>
      <c r="B270" s="3" t="s">
        <v>32</v>
      </c>
      <c r="C270" s="3" t="s">
        <v>31</v>
      </c>
      <c r="D270" s="9">
        <v>46099</v>
      </c>
      <c r="E270" s="3" t="s">
        <v>34</v>
      </c>
      <c r="F270" s="6" t="s">
        <v>639</v>
      </c>
      <c r="G270" s="3" t="s">
        <v>585</v>
      </c>
      <c r="H270" s="3">
        <v>6.4</v>
      </c>
      <c r="I270" s="3">
        <v>3.27</v>
      </c>
    </row>
    <row r="271" spans="1:9" hidden="1">
      <c r="A271" s="4" t="s">
        <v>36</v>
      </c>
      <c r="B271" s="4" t="s">
        <v>38</v>
      </c>
      <c r="C271" s="4" t="s">
        <v>37</v>
      </c>
      <c r="D271" s="10">
        <v>46043</v>
      </c>
      <c r="E271" s="4" t="s">
        <v>40</v>
      </c>
      <c r="F271" s="4" t="s">
        <v>640</v>
      </c>
      <c r="G271" s="4" t="s">
        <v>580</v>
      </c>
      <c r="H271" s="4">
        <v>96.3</v>
      </c>
      <c r="I271" s="4">
        <v>3.26</v>
      </c>
    </row>
    <row r="272" spans="1:9" hidden="1">
      <c r="A272" s="3" t="s">
        <v>63</v>
      </c>
      <c r="B272" s="3" t="s">
        <v>38</v>
      </c>
      <c r="C272" s="3" t="s">
        <v>37</v>
      </c>
      <c r="D272" s="9">
        <v>46081</v>
      </c>
      <c r="E272" s="3" t="s">
        <v>40</v>
      </c>
      <c r="F272" s="3" t="s">
        <v>640</v>
      </c>
      <c r="G272" s="3" t="s">
        <v>585</v>
      </c>
      <c r="H272" s="3">
        <v>6</v>
      </c>
      <c r="I272" s="3">
        <v>3.25</v>
      </c>
    </row>
    <row r="273" spans="1:9" hidden="1">
      <c r="A273" s="4" t="s">
        <v>424</v>
      </c>
      <c r="B273" s="4" t="s">
        <v>38</v>
      </c>
      <c r="C273" s="4" t="s">
        <v>37</v>
      </c>
      <c r="D273" s="10">
        <v>46119</v>
      </c>
      <c r="E273" s="4" t="s">
        <v>34</v>
      </c>
      <c r="F273" s="6" t="s">
        <v>639</v>
      </c>
      <c r="G273" s="4" t="s">
        <v>581</v>
      </c>
      <c r="H273" s="4">
        <v>71.599999999999994</v>
      </c>
      <c r="I273" s="4">
        <v>3.23</v>
      </c>
    </row>
    <row r="274" spans="1:9">
      <c r="A274" s="3" t="s">
        <v>260</v>
      </c>
      <c r="B274" s="3" t="s">
        <v>32</v>
      </c>
      <c r="C274" s="3" t="s">
        <v>31</v>
      </c>
      <c r="D274" s="9">
        <v>46099</v>
      </c>
      <c r="E274" s="3" t="s">
        <v>34</v>
      </c>
      <c r="F274" s="6" t="s">
        <v>639</v>
      </c>
      <c r="G274" s="3" t="s">
        <v>581</v>
      </c>
      <c r="H274" s="3">
        <v>80.2</v>
      </c>
      <c r="I274" s="3">
        <v>3.22</v>
      </c>
    </row>
    <row r="275" spans="1:9">
      <c r="A275" s="4" t="s">
        <v>338</v>
      </c>
      <c r="B275" s="4" t="s">
        <v>32</v>
      </c>
      <c r="C275" s="4" t="s">
        <v>31</v>
      </c>
      <c r="D275" s="10">
        <v>46136</v>
      </c>
      <c r="E275" s="4" t="s">
        <v>34</v>
      </c>
      <c r="F275" s="6" t="s">
        <v>639</v>
      </c>
      <c r="G275" s="4" t="s">
        <v>581</v>
      </c>
      <c r="H275" s="4">
        <v>80.2</v>
      </c>
      <c r="I275" s="4">
        <v>3.22</v>
      </c>
    </row>
    <row r="276" spans="1:9">
      <c r="A276" s="3" t="s">
        <v>78</v>
      </c>
      <c r="B276" s="3" t="s">
        <v>32</v>
      </c>
      <c r="C276" s="3" t="s">
        <v>31</v>
      </c>
      <c r="D276" s="9">
        <v>46082</v>
      </c>
      <c r="E276" s="3" t="s">
        <v>40</v>
      </c>
      <c r="F276" s="3" t="s">
        <v>640</v>
      </c>
      <c r="G276" s="3" t="s">
        <v>585</v>
      </c>
      <c r="H276" s="3">
        <v>6.3</v>
      </c>
      <c r="I276" s="3">
        <v>3.19</v>
      </c>
    </row>
    <row r="277" spans="1:9">
      <c r="A277" s="4" t="s">
        <v>479</v>
      </c>
      <c r="B277" s="4" t="s">
        <v>32</v>
      </c>
      <c r="C277" s="4" t="s">
        <v>31</v>
      </c>
      <c r="D277" s="10">
        <v>46135</v>
      </c>
      <c r="E277" s="4" t="s">
        <v>40</v>
      </c>
      <c r="F277" s="4" t="s">
        <v>640</v>
      </c>
      <c r="G277" s="4" t="s">
        <v>591</v>
      </c>
      <c r="H277" s="4">
        <v>6.64</v>
      </c>
      <c r="I277" s="4">
        <v>3.19</v>
      </c>
    </row>
    <row r="278" spans="1:9" hidden="1">
      <c r="A278" s="3" t="s">
        <v>547</v>
      </c>
      <c r="B278" s="3" t="s">
        <v>38</v>
      </c>
      <c r="C278" s="3" t="s">
        <v>37</v>
      </c>
      <c r="D278" s="9">
        <v>46128</v>
      </c>
      <c r="E278" s="3" t="s">
        <v>40</v>
      </c>
      <c r="F278" s="3" t="s">
        <v>640</v>
      </c>
      <c r="G278" s="3" t="s">
        <v>590</v>
      </c>
      <c r="H278" s="3">
        <v>4.3</v>
      </c>
      <c r="I278" s="3">
        <v>3.18</v>
      </c>
    </row>
    <row r="279" spans="1:9" hidden="1">
      <c r="A279" s="4" t="s">
        <v>36</v>
      </c>
      <c r="B279" s="4" t="s">
        <v>38</v>
      </c>
      <c r="C279" s="4" t="s">
        <v>37</v>
      </c>
      <c r="D279" s="10">
        <v>46062</v>
      </c>
      <c r="E279" s="4" t="s">
        <v>34</v>
      </c>
      <c r="F279" s="6" t="s">
        <v>639</v>
      </c>
      <c r="G279" s="4" t="s">
        <v>583</v>
      </c>
      <c r="H279" s="4">
        <v>63.3</v>
      </c>
      <c r="I279" s="4">
        <v>3.16</v>
      </c>
    </row>
    <row r="280" spans="1:9" hidden="1">
      <c r="A280" s="3" t="s">
        <v>36</v>
      </c>
      <c r="B280" s="3" t="s">
        <v>38</v>
      </c>
      <c r="C280" s="3" t="s">
        <v>37</v>
      </c>
      <c r="D280" s="9">
        <v>46062</v>
      </c>
      <c r="E280" s="3" t="s">
        <v>34</v>
      </c>
      <c r="F280" s="6" t="s">
        <v>639</v>
      </c>
      <c r="G280" s="3" t="s">
        <v>583</v>
      </c>
      <c r="H280" s="3">
        <v>63.3</v>
      </c>
      <c r="I280" s="3">
        <v>3.16</v>
      </c>
    </row>
    <row r="281" spans="1:9" hidden="1">
      <c r="A281" s="4" t="s">
        <v>207</v>
      </c>
      <c r="B281" s="4" t="s">
        <v>38</v>
      </c>
      <c r="C281" s="4" t="s">
        <v>37</v>
      </c>
      <c r="D281" s="10">
        <v>46094</v>
      </c>
      <c r="E281" s="4" t="s">
        <v>34</v>
      </c>
      <c r="F281" s="6" t="s">
        <v>639</v>
      </c>
      <c r="G281" s="4" t="s">
        <v>583</v>
      </c>
      <c r="H281" s="4">
        <v>63.3</v>
      </c>
      <c r="I281" s="4">
        <v>3.16</v>
      </c>
    </row>
    <row r="282" spans="1:9">
      <c r="A282" s="3" t="s">
        <v>41</v>
      </c>
      <c r="B282" s="3" t="s">
        <v>32</v>
      </c>
      <c r="C282" s="3" t="s">
        <v>31</v>
      </c>
      <c r="D282" s="9">
        <v>46064</v>
      </c>
      <c r="E282" s="3" t="s">
        <v>34</v>
      </c>
      <c r="F282" s="6" t="s">
        <v>639</v>
      </c>
      <c r="G282" s="3" t="s">
        <v>591</v>
      </c>
      <c r="H282" s="3">
        <v>9.18</v>
      </c>
      <c r="I282" s="3">
        <v>3.16</v>
      </c>
    </row>
    <row r="283" spans="1:9">
      <c r="A283" s="4" t="s">
        <v>559</v>
      </c>
      <c r="B283" s="4" t="s">
        <v>32</v>
      </c>
      <c r="C283" s="4" t="s">
        <v>31</v>
      </c>
      <c r="D283" s="10">
        <v>46129</v>
      </c>
      <c r="E283" s="4" t="s">
        <v>34</v>
      </c>
      <c r="F283" s="6" t="s">
        <v>639</v>
      </c>
      <c r="G283" s="4" t="s">
        <v>580</v>
      </c>
      <c r="H283" s="4">
        <v>134.69999999999999</v>
      </c>
      <c r="I283" s="4">
        <v>3.15</v>
      </c>
    </row>
    <row r="284" spans="1:9">
      <c r="A284" s="3" t="s">
        <v>82</v>
      </c>
      <c r="B284" s="3" t="s">
        <v>32</v>
      </c>
      <c r="C284" s="3" t="s">
        <v>31</v>
      </c>
      <c r="D284" s="9">
        <v>46082</v>
      </c>
      <c r="E284" s="3" t="s">
        <v>40</v>
      </c>
      <c r="F284" s="3" t="s">
        <v>640</v>
      </c>
      <c r="G284" s="3" t="s">
        <v>585</v>
      </c>
      <c r="H284" s="3">
        <v>6.2</v>
      </c>
      <c r="I284" s="3">
        <v>3.12</v>
      </c>
    </row>
    <row r="285" spans="1:9">
      <c r="A285" s="4" t="s">
        <v>559</v>
      </c>
      <c r="B285" s="4" t="s">
        <v>32</v>
      </c>
      <c r="C285" s="4" t="s">
        <v>31</v>
      </c>
      <c r="D285" s="10">
        <v>46129</v>
      </c>
      <c r="E285" s="4" t="s">
        <v>34</v>
      </c>
      <c r="F285" s="6" t="s">
        <v>639</v>
      </c>
      <c r="G285" s="4" t="s">
        <v>591</v>
      </c>
      <c r="H285" s="4">
        <v>6.67</v>
      </c>
      <c r="I285" s="4">
        <v>3.11</v>
      </c>
    </row>
    <row r="286" spans="1:9">
      <c r="A286" s="3" t="s">
        <v>485</v>
      </c>
      <c r="B286" s="3" t="s">
        <v>32</v>
      </c>
      <c r="C286" s="3" t="s">
        <v>31</v>
      </c>
      <c r="D286" s="9">
        <v>46135</v>
      </c>
      <c r="E286" s="3" t="s">
        <v>40</v>
      </c>
      <c r="F286" s="3" t="s">
        <v>640</v>
      </c>
      <c r="G286" s="3" t="s">
        <v>591</v>
      </c>
      <c r="H286" s="3">
        <v>6.67</v>
      </c>
      <c r="I286" s="3">
        <v>3.11</v>
      </c>
    </row>
    <row r="287" spans="1:9" hidden="1">
      <c r="A287" s="4" t="s">
        <v>230</v>
      </c>
      <c r="B287" s="4" t="s">
        <v>38</v>
      </c>
      <c r="C287" s="4" t="s">
        <v>37</v>
      </c>
      <c r="D287" s="10">
        <v>46095</v>
      </c>
      <c r="E287" s="4" t="s">
        <v>34</v>
      </c>
      <c r="F287" s="6" t="s">
        <v>639</v>
      </c>
      <c r="G287" s="4" t="s">
        <v>580</v>
      </c>
      <c r="H287" s="4">
        <v>128</v>
      </c>
      <c r="I287" s="4">
        <v>3.1</v>
      </c>
    </row>
    <row r="288" spans="1:9" hidden="1">
      <c r="A288" s="3" t="s">
        <v>56</v>
      </c>
      <c r="B288" s="3" t="s">
        <v>38</v>
      </c>
      <c r="C288" s="3" t="s">
        <v>37</v>
      </c>
      <c r="D288" s="9">
        <v>46080</v>
      </c>
      <c r="E288" s="3" t="s">
        <v>40</v>
      </c>
      <c r="F288" s="3" t="s">
        <v>640</v>
      </c>
      <c r="G288" s="3" t="s">
        <v>585</v>
      </c>
      <c r="H288" s="3">
        <v>5.8</v>
      </c>
      <c r="I288" s="3">
        <v>3.1</v>
      </c>
    </row>
    <row r="289" spans="1:9" hidden="1">
      <c r="A289" s="4" t="s">
        <v>330</v>
      </c>
      <c r="B289" s="4" t="s">
        <v>38</v>
      </c>
      <c r="C289" s="4" t="s">
        <v>37</v>
      </c>
      <c r="D289" s="10">
        <v>46105</v>
      </c>
      <c r="E289" s="4" t="s">
        <v>40</v>
      </c>
      <c r="F289" s="4" t="s">
        <v>640</v>
      </c>
      <c r="G289" s="4" t="s">
        <v>580</v>
      </c>
      <c r="H289" s="4">
        <v>97.2</v>
      </c>
      <c r="I289" s="4">
        <v>3.08</v>
      </c>
    </row>
    <row r="290" spans="1:9">
      <c r="A290" s="3" t="s">
        <v>559</v>
      </c>
      <c r="B290" s="3" t="s">
        <v>32</v>
      </c>
      <c r="C290" s="3" t="s">
        <v>31</v>
      </c>
      <c r="D290" s="9">
        <v>46129</v>
      </c>
      <c r="E290" s="3" t="s">
        <v>34</v>
      </c>
      <c r="F290" s="6" t="s">
        <v>639</v>
      </c>
      <c r="G290" s="3" t="s">
        <v>580</v>
      </c>
      <c r="H290" s="3">
        <v>135.19999999999999</v>
      </c>
      <c r="I290" s="3">
        <v>3.06</v>
      </c>
    </row>
    <row r="291" spans="1:9">
      <c r="A291" s="4" t="s">
        <v>479</v>
      </c>
      <c r="B291" s="4" t="s">
        <v>32</v>
      </c>
      <c r="C291" s="4" t="s">
        <v>31</v>
      </c>
      <c r="D291" s="10">
        <v>46135</v>
      </c>
      <c r="E291" s="4" t="s">
        <v>34</v>
      </c>
      <c r="F291" s="6" t="s">
        <v>639</v>
      </c>
      <c r="G291" s="4" t="s">
        <v>591</v>
      </c>
      <c r="H291" s="4">
        <v>6.69</v>
      </c>
      <c r="I291" s="4">
        <v>3.06</v>
      </c>
    </row>
    <row r="292" spans="1:9">
      <c r="A292" s="3" t="s">
        <v>358</v>
      </c>
      <c r="B292" s="3" t="s">
        <v>32</v>
      </c>
      <c r="C292" s="3" t="s">
        <v>31</v>
      </c>
      <c r="D292" s="9">
        <v>46107</v>
      </c>
      <c r="E292" s="3" t="s">
        <v>40</v>
      </c>
      <c r="F292" s="3" t="s">
        <v>640</v>
      </c>
      <c r="G292" s="3" t="s">
        <v>590</v>
      </c>
      <c r="H292" s="3">
        <v>6.35</v>
      </c>
      <c r="I292" s="3">
        <v>3.04</v>
      </c>
    </row>
    <row r="293" spans="1:9" hidden="1">
      <c r="A293" s="4" t="s">
        <v>400</v>
      </c>
      <c r="B293" s="4" t="s">
        <v>38</v>
      </c>
      <c r="C293" s="4" t="s">
        <v>37</v>
      </c>
      <c r="D293" s="10">
        <v>46112</v>
      </c>
      <c r="E293" s="4" t="s">
        <v>40</v>
      </c>
      <c r="F293" s="4" t="s">
        <v>640</v>
      </c>
      <c r="G293" s="4" t="s">
        <v>580</v>
      </c>
      <c r="H293" s="4">
        <v>127.6</v>
      </c>
      <c r="I293" s="4">
        <v>3.02</v>
      </c>
    </row>
    <row r="294" spans="1:9" hidden="1">
      <c r="A294" s="3" t="s">
        <v>296</v>
      </c>
      <c r="B294" s="3" t="s">
        <v>38</v>
      </c>
      <c r="C294" s="3" t="s">
        <v>37</v>
      </c>
      <c r="D294" s="9">
        <v>46101</v>
      </c>
      <c r="E294" s="3" t="s">
        <v>34</v>
      </c>
      <c r="F294" s="6" t="s">
        <v>639</v>
      </c>
      <c r="G294" s="3" t="s">
        <v>587</v>
      </c>
      <c r="H294" s="3">
        <v>76.3</v>
      </c>
      <c r="I294" s="3">
        <v>3.01</v>
      </c>
    </row>
    <row r="295" spans="1:9">
      <c r="A295" s="4" t="s">
        <v>354</v>
      </c>
      <c r="B295" s="4" t="s">
        <v>32</v>
      </c>
      <c r="C295" s="4" t="s">
        <v>31</v>
      </c>
      <c r="D295" s="10">
        <v>46136</v>
      </c>
      <c r="E295" s="4" t="s">
        <v>34</v>
      </c>
      <c r="F295" s="6" t="s">
        <v>639</v>
      </c>
      <c r="G295" s="4" t="s">
        <v>591</v>
      </c>
      <c r="H295" s="4">
        <v>6.71</v>
      </c>
      <c r="I295" s="4">
        <v>3.01</v>
      </c>
    </row>
    <row r="296" spans="1:9" hidden="1">
      <c r="A296" s="3" t="s">
        <v>547</v>
      </c>
      <c r="B296" s="3" t="s">
        <v>38</v>
      </c>
      <c r="C296" s="3" t="s">
        <v>37</v>
      </c>
      <c r="D296" s="9">
        <v>46128</v>
      </c>
      <c r="E296" s="3" t="s">
        <v>40</v>
      </c>
      <c r="F296" s="3" t="s">
        <v>640</v>
      </c>
      <c r="G296" s="3" t="s">
        <v>591</v>
      </c>
      <c r="H296" s="3">
        <v>4.32</v>
      </c>
      <c r="I296" s="3">
        <v>3.01</v>
      </c>
    </row>
    <row r="297" spans="1:9">
      <c r="A297" s="4" t="s">
        <v>42</v>
      </c>
      <c r="B297" s="4" t="s">
        <v>32</v>
      </c>
      <c r="C297" s="4" t="s">
        <v>31</v>
      </c>
      <c r="D297" s="10">
        <v>46056</v>
      </c>
      <c r="E297" s="4" t="s">
        <v>34</v>
      </c>
      <c r="F297" s="6" t="s">
        <v>639</v>
      </c>
      <c r="G297" s="4" t="s">
        <v>590</v>
      </c>
      <c r="H297" s="4">
        <v>6.37</v>
      </c>
      <c r="I297" s="4">
        <v>3</v>
      </c>
    </row>
  </sheetData>
  <autoFilter ref="A1:I297">
    <filterColumn colId="1">
      <filters>
        <filter val="L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Stats</vt:lpstr>
      <vt:lpstr>LT_BellCurves</vt:lpstr>
      <vt:lpstr>MT_BellCurves</vt:lpstr>
      <vt:lpstr>Tolerance_Bands</vt:lpstr>
      <vt:lpstr>Outliers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silamkoti</cp:lastModifiedBy>
  <dcterms:created xsi:type="dcterms:W3CDTF">2026-05-04T14:05:27Z</dcterms:created>
  <dcterms:modified xsi:type="dcterms:W3CDTF">2026-05-04T14:13:08Z</dcterms:modified>
</cp:coreProperties>
</file>