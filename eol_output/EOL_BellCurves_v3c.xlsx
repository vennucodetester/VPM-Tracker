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T_HistData" sheetId="3" state="visible" r:id="rId3"/>
    <sheet xmlns:r="http://schemas.openxmlformats.org/officeDocument/2006/relationships" name="MT_HistData" sheetId="4" state="visible" r:id="rId4"/>
    <sheet xmlns:r="http://schemas.openxmlformats.org/officeDocument/2006/relationships" name="LT_BellCurves" sheetId="5" state="visible" r:id="rId5"/>
    <sheet xmlns:r="http://schemas.openxmlformats.org/officeDocument/2006/relationships" name="MT_BellCurves" sheetId="6" state="visible" r:id="rId6"/>
    <sheet xmlns:r="http://schemas.openxmlformats.org/officeDocument/2006/relationships" name="Tolerance_Bands" sheetId="7" state="visible" r:id="rId7"/>
    <sheet xmlns:r="http://schemas.openxmlformats.org/officeDocument/2006/relationships" name="Outliers" sheetId="8" state="visible" r:id="rId8"/>
  </sheets>
  <definedNames>
    <definedName name="_xlnm._FilterDatabase" localSheetId="0" hidden="1">'RawData'!$A$1:$AD$941</definedName>
    <definedName name="_xlnm._FilterDatabase" localSheetId="6" hidden="1">'Tolerance_Bands'!$A$1:$O$25</definedName>
    <definedName name="_xlnm._FilterDatabase" localSheetId="7" hidden="1">'Outliers'!$A$1:$I$297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  <color rgb="001F4E7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C6EFCE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999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Relationship Type="http://schemas.openxmlformats.org/officeDocument/2006/relationships/chart" Target="/xl/charts/chart19.xml" Id="rId7"/><Relationship Type="http://schemas.openxmlformats.org/officeDocument/2006/relationships/chart" Target="/xl/charts/chart20.xml" Id="rId8"/><Relationship Type="http://schemas.openxmlformats.org/officeDocument/2006/relationships/chart" Target="/xl/charts/chart21.xml" Id="rId9"/><Relationship Type="http://schemas.openxmlformats.org/officeDocument/2006/relationships/chart" Target="/xl/charts/chart22.xml" Id="rId10"/><Relationship Type="http://schemas.openxmlformats.org/officeDocument/2006/relationships/chart" Target="/xl/charts/chart23.xml" Id="rId11"/><Relationship Type="http://schemas.openxmlformats.org/officeDocument/2006/relationships/chart" Target="/xl/charts/chart24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.7" customWidth="1" min="7" max="7"/>
    <col width="23.8" customWidth="1" min="8" max="8"/>
    <col width="23.8" customWidth="1" min="9" max="9"/>
    <col width="20.4" customWidth="1" min="10" max="10"/>
    <col width="22.95" customWidth="1" min="11" max="11"/>
    <col width="25.5" customWidth="1" min="12" max="12"/>
    <col width="28.05" customWidth="1" min="13" max="13"/>
    <col width="21.25" customWidth="1" min="14" max="14"/>
    <col width="17.85" customWidth="1" min="15" max="15"/>
    <col width="16.15" customWidth="1" min="16" max="16"/>
    <col width="17.85" customWidth="1" min="17" max="17"/>
    <col width="16.15" customWidth="1" min="18" max="18"/>
    <col width="20.4" customWidth="1" min="19" max="19"/>
    <col width="25.5" customWidth="1" min="20" max="20"/>
    <col width="25.5" customWidth="1" min="21" max="21"/>
    <col width="22.1" customWidth="1" min="22" max="22"/>
    <col width="24.65" customWidth="1" min="23" max="23"/>
    <col width="27.2" customWidth="1" min="24" max="24"/>
    <col width="29.75" customWidth="1" min="25" max="25"/>
    <col width="22.95" customWidth="1" min="26" max="26"/>
    <col width="19.55" customWidth="1" min="27" max="27"/>
    <col width="17.85" customWidth="1" min="28" max="28"/>
    <col width="19.55" customWidth="1" min="29" max="29"/>
    <col width="17.85" customWidth="1" min="30" max="30"/>
  </cols>
  <sheetData>
    <row r="1">
      <c r="A1" s="1" t="inlineStr">
        <is>
          <t>SerialNo</t>
        </is>
      </c>
      <c r="B1" s="1" t="inlineStr">
        <is>
          <t>BomNo</t>
        </is>
      </c>
      <c r="C1" s="1" t="inlineStr">
        <is>
          <t>UnitType</t>
        </is>
      </c>
      <c r="D1" s="1" t="inlineStr">
        <is>
          <t>ModelNo</t>
        </is>
      </c>
      <c r="E1" s="1" t="inlineStr">
        <is>
          <t>TestDate</t>
        </is>
      </c>
      <c r="F1" s="1" t="inlineStr">
        <is>
          <t>OverallPassFail</t>
        </is>
      </c>
      <c r="G1" s="1" t="inlineStr">
        <is>
          <t>RunTestSuctionTubeTemp</t>
        </is>
      </c>
      <c r="H1" s="1" t="inlineStr">
        <is>
          <t>RunTestEvapInletRetBendATemp</t>
        </is>
      </c>
      <c r="I1" s="1" t="inlineStr">
        <is>
          <t>RunTestEvapInletRetBendBTemp</t>
        </is>
      </c>
      <c r="J1" s="1" t="inlineStr">
        <is>
          <t>RunTestEvapOutletAirTemp</t>
        </is>
      </c>
      <c r="K1" s="1" t="inlineStr">
        <is>
          <t>RunTestEvap_B_OutletAirTemp</t>
        </is>
      </c>
      <c r="L1" s="1" t="inlineStr">
        <is>
          <t>RunTestInletOutletAirTempDelta</t>
        </is>
      </c>
      <c r="M1" s="1" t="inlineStr">
        <is>
          <t>RunTestInletOutlet_B_AirTempDelta</t>
        </is>
      </c>
      <c r="N1" s="1" t="inlineStr">
        <is>
          <t>RunTestAmbientTemperature</t>
        </is>
      </c>
      <c r="O1" s="1" t="inlineStr">
        <is>
          <t>RunTestVoltageStartup</t>
        </is>
      </c>
      <c r="P1" s="1" t="inlineStr">
        <is>
          <t>RunTestFinalVoltage</t>
        </is>
      </c>
      <c r="Q1" s="1" t="inlineStr">
        <is>
          <t>RunTestCurrentStartup</t>
        </is>
      </c>
      <c r="R1" s="1" t="inlineStr">
        <is>
          <t>RunTestFinalCurrent</t>
        </is>
      </c>
      <c r="S1" s="1" t="inlineStr">
        <is>
          <t>Z_RunTestSuctionTubeTemp</t>
        </is>
      </c>
      <c r="T1" s="1" t="inlineStr">
        <is>
          <t>Z_RunTestEvapInletRetBendATemp</t>
        </is>
      </c>
      <c r="U1" s="1" t="inlineStr">
        <is>
          <t>Z_RunTestEvapInletRetBendBTemp</t>
        </is>
      </c>
      <c r="V1" s="1" t="inlineStr">
        <is>
          <t>Z_RunTestEvapOutletAirTemp</t>
        </is>
      </c>
      <c r="W1" s="1" t="inlineStr">
        <is>
          <t>Z_RunTestEvap_B_OutletAirTemp</t>
        </is>
      </c>
      <c r="X1" s="1" t="inlineStr">
        <is>
          <t>Z_RunTestInletOutletAirTempDelta</t>
        </is>
      </c>
      <c r="Y1" s="1" t="inlineStr">
        <is>
          <t>Z_RunTestInletOutlet_B_AirTempDelta</t>
        </is>
      </c>
      <c r="Z1" s="1" t="inlineStr">
        <is>
          <t>Z_RunTestAmbientTemperature</t>
        </is>
      </c>
      <c r="AA1" s="1" t="inlineStr">
        <is>
          <t>Z_RunTestVoltageStartup</t>
        </is>
      </c>
      <c r="AB1" s="1" t="inlineStr">
        <is>
          <t>Z_RunTestFinalVoltage</t>
        </is>
      </c>
      <c r="AC1" s="1" t="inlineStr">
        <is>
          <t>Z_RunTestCurrentStartup</t>
        </is>
      </c>
      <c r="AD1" s="1" t="inlineStr">
        <is>
          <t>Z_RunTestFinalCurrent</t>
        </is>
      </c>
    </row>
    <row r="2">
      <c r="A2" t="inlineStr">
        <is>
          <t>04M1925120154</t>
        </is>
      </c>
      <c r="B2" t="inlineStr">
        <is>
          <t>CRS0000675</t>
        </is>
      </c>
      <c r="C2" t="inlineStr">
        <is>
          <t>LT</t>
        </is>
      </c>
      <c r="D2" t="inlineStr">
        <is>
          <t>ALX440U-DS3B01</t>
        </is>
      </c>
      <c r="E2" s="2" t="n">
        <v>46010</v>
      </c>
      <c r="F2" t="inlineStr">
        <is>
          <t>Fail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110.54</v>
      </c>
      <c r="P2" t="n">
        <v>0</v>
      </c>
      <c r="Q2" t="n">
        <v>9.01</v>
      </c>
      <c r="R2" t="n">
        <v>0</v>
      </c>
      <c r="S2">
        <f>IF(OR(G2=0,G2=""),"",ABS((G2-IF($C2="LT",Config!$F$2,Config!$F$14))/IF($C2="LT",Config!$G$2,Config!$G$14)))</f>
        <v/>
      </c>
      <c r="T2">
        <f>IF(OR(H2=0,H2=""),"",ABS((H2-IF($C2="LT",Config!$F$3,Config!$F$15))/IF($C2="LT",Config!$G$3,Config!$G$15)))</f>
        <v/>
      </c>
      <c r="U2">
        <f>IF(OR(I2=0,I2=""),"",ABS((I2-IF($C2="LT",Config!$F$4,Config!$F$16))/IF($C2="LT",Config!$G$4,Config!$G$16)))</f>
        <v/>
      </c>
      <c r="V2">
        <f>IF(OR(J2=0,J2=""),"",ABS((J2-IF($C2="LT",Config!$F$5,Config!$F$17))/IF($C2="LT",Config!$G$5,Config!$G$17)))</f>
        <v/>
      </c>
      <c r="W2">
        <f>IF(OR(K2=0,K2=""),"",ABS((K2-IF($C2="LT",Config!$F$6,Config!$F$18))/IF($C2="LT",Config!$G$6,Config!$G$18)))</f>
        <v/>
      </c>
      <c r="X2">
        <f>IF(OR(L2=0,L2=""),"",ABS((L2-IF($C2="LT",Config!$F$7,Config!$F$19))/IF($C2="LT",Config!$G$7,Config!$G$19)))</f>
        <v/>
      </c>
      <c r="Y2">
        <f>IF(OR(M2=0,M2=""),"",ABS((M2-IF($C2="LT",Config!$F$8,Config!$F$20))/IF($C2="LT",Config!$G$8,Config!$G$20)))</f>
        <v/>
      </c>
      <c r="Z2">
        <f>IF(OR(N2=0,N2=""),"",ABS((N2-IF($C2="LT",Config!$F$9,Config!$F$21))/IF($C2="LT",Config!$G$9,Config!$G$21)))</f>
        <v/>
      </c>
      <c r="AA2">
        <f>IF(OR(O2=0,O2=""),"",ABS((O2-IF($C2="LT",Config!$F$10,Config!$F$22))/IF($C2="LT",Config!$G$10,Config!$G$22)))</f>
        <v/>
      </c>
      <c r="AB2">
        <f>IF(OR(P2=0,P2=""),"",ABS((P2-IF($C2="LT",Config!$F$11,Config!$F$23))/IF($C2="LT",Config!$G$11,Config!$G$23)))</f>
        <v/>
      </c>
      <c r="AC2">
        <f>IF(OR(Q2=0,Q2=""),"",ABS((Q2-IF($C2="LT",Config!$F$12,Config!$F$24))/IF($C2="LT",Config!$G$12,Config!$G$24)))</f>
        <v/>
      </c>
      <c r="AD2">
        <f>IF(OR(R2=0,R2=""),"",ABS((R2-IF($C2="LT",Config!$F$13,Config!$F$25))/IF($C2="LT",Config!$G$13,Config!$G$25)))</f>
        <v/>
      </c>
    </row>
    <row r="3">
      <c r="A3" t="inlineStr">
        <is>
          <t>04M1925120154</t>
        </is>
      </c>
      <c r="B3" t="inlineStr">
        <is>
          <t>CRS0000675</t>
        </is>
      </c>
      <c r="C3" t="inlineStr">
        <is>
          <t>LT</t>
        </is>
      </c>
      <c r="D3" t="inlineStr">
        <is>
          <t>ALX440U-DS3B01</t>
        </is>
      </c>
      <c r="E3" s="2" t="n">
        <v>46010</v>
      </c>
      <c r="F3" t="inlineStr">
        <is>
          <t>Fail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>
        <f>IF(OR(G3=0,G3=""),"",ABS((G3-IF($C3="LT",Config!$F$2,Config!$F$14))/IF($C3="LT",Config!$G$2,Config!$G$14)))</f>
        <v/>
      </c>
      <c r="T3">
        <f>IF(OR(H3=0,H3=""),"",ABS((H3-IF($C3="LT",Config!$F$3,Config!$F$15))/IF($C3="LT",Config!$G$3,Config!$G$15)))</f>
        <v/>
      </c>
      <c r="U3">
        <f>IF(OR(I3=0,I3=""),"",ABS((I3-IF($C3="LT",Config!$F$4,Config!$F$16))/IF($C3="LT",Config!$G$4,Config!$G$16)))</f>
        <v/>
      </c>
      <c r="V3">
        <f>IF(OR(J3=0,J3=""),"",ABS((J3-IF($C3="LT",Config!$F$5,Config!$F$17))/IF($C3="LT",Config!$G$5,Config!$G$17)))</f>
        <v/>
      </c>
      <c r="W3">
        <f>IF(OR(K3=0,K3=""),"",ABS((K3-IF($C3="LT",Config!$F$6,Config!$F$18))/IF($C3="LT",Config!$G$6,Config!$G$18)))</f>
        <v/>
      </c>
      <c r="X3">
        <f>IF(OR(L3=0,L3=""),"",ABS((L3-IF($C3="LT",Config!$F$7,Config!$F$19))/IF($C3="LT",Config!$G$7,Config!$G$19)))</f>
        <v/>
      </c>
      <c r="Y3">
        <f>IF(OR(M3=0,M3=""),"",ABS((M3-IF($C3="LT",Config!$F$8,Config!$F$20))/IF($C3="LT",Config!$G$8,Config!$G$20)))</f>
        <v/>
      </c>
      <c r="Z3">
        <f>IF(OR(N3=0,N3=""),"",ABS((N3-IF($C3="LT",Config!$F$9,Config!$F$21))/IF($C3="LT",Config!$G$9,Config!$G$21)))</f>
        <v/>
      </c>
      <c r="AA3">
        <f>IF(OR(O3=0,O3=""),"",ABS((O3-IF($C3="LT",Config!$F$10,Config!$F$22))/IF($C3="LT",Config!$G$10,Config!$G$22)))</f>
        <v/>
      </c>
      <c r="AB3">
        <f>IF(OR(P3=0,P3=""),"",ABS((P3-IF($C3="LT",Config!$F$11,Config!$F$23))/IF($C3="LT",Config!$G$11,Config!$G$23)))</f>
        <v/>
      </c>
      <c r="AC3">
        <f>IF(OR(Q3=0,Q3=""),"",ABS((Q3-IF($C3="LT",Config!$F$12,Config!$F$24))/IF($C3="LT",Config!$G$12,Config!$G$24)))</f>
        <v/>
      </c>
      <c r="AD3">
        <f>IF(OR(R3=0,R3=""),"",ABS((R3-IF($C3="LT",Config!$F$13,Config!$F$25))/IF($C3="LT",Config!$G$13,Config!$G$25)))</f>
        <v/>
      </c>
    </row>
    <row r="4">
      <c r="A4" t="inlineStr">
        <is>
          <t>04M1925120154</t>
        </is>
      </c>
      <c r="B4" t="inlineStr">
        <is>
          <t>CRS0000675</t>
        </is>
      </c>
      <c r="C4" t="inlineStr">
        <is>
          <t>LT</t>
        </is>
      </c>
      <c r="D4" t="inlineStr">
        <is>
          <t>ALX440U-DS3B01</t>
        </is>
      </c>
      <c r="E4" s="2" t="n">
        <v>46010</v>
      </c>
      <c r="F4" t="inlineStr">
        <is>
          <t>Fail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110.76</v>
      </c>
      <c r="P4" t="n">
        <v>0</v>
      </c>
      <c r="Q4" t="n">
        <v>8.69</v>
      </c>
      <c r="R4" t="n">
        <v>0</v>
      </c>
      <c r="S4">
        <f>IF(OR(G4=0,G4=""),"",ABS((G4-IF($C4="LT",Config!$F$2,Config!$F$14))/IF($C4="LT",Config!$G$2,Config!$G$14)))</f>
        <v/>
      </c>
      <c r="T4">
        <f>IF(OR(H4=0,H4=""),"",ABS((H4-IF($C4="LT",Config!$F$3,Config!$F$15))/IF($C4="LT",Config!$G$3,Config!$G$15)))</f>
        <v/>
      </c>
      <c r="U4">
        <f>IF(OR(I4=0,I4=""),"",ABS((I4-IF($C4="LT",Config!$F$4,Config!$F$16))/IF($C4="LT",Config!$G$4,Config!$G$16)))</f>
        <v/>
      </c>
      <c r="V4">
        <f>IF(OR(J4=0,J4=""),"",ABS((J4-IF($C4="LT",Config!$F$5,Config!$F$17))/IF($C4="LT",Config!$G$5,Config!$G$17)))</f>
        <v/>
      </c>
      <c r="W4">
        <f>IF(OR(K4=0,K4=""),"",ABS((K4-IF($C4="LT",Config!$F$6,Config!$F$18))/IF($C4="LT",Config!$G$6,Config!$G$18)))</f>
        <v/>
      </c>
      <c r="X4">
        <f>IF(OR(L4=0,L4=""),"",ABS((L4-IF($C4="LT",Config!$F$7,Config!$F$19))/IF($C4="LT",Config!$G$7,Config!$G$19)))</f>
        <v/>
      </c>
      <c r="Y4">
        <f>IF(OR(M4=0,M4=""),"",ABS((M4-IF($C4="LT",Config!$F$8,Config!$F$20))/IF($C4="LT",Config!$G$8,Config!$G$20)))</f>
        <v/>
      </c>
      <c r="Z4">
        <f>IF(OR(N4=0,N4=""),"",ABS((N4-IF($C4="LT",Config!$F$9,Config!$F$21))/IF($C4="LT",Config!$G$9,Config!$G$21)))</f>
        <v/>
      </c>
      <c r="AA4">
        <f>IF(OR(O4=0,O4=""),"",ABS((O4-IF($C4="LT",Config!$F$10,Config!$F$22))/IF($C4="LT",Config!$G$10,Config!$G$22)))</f>
        <v/>
      </c>
      <c r="AB4">
        <f>IF(OR(P4=0,P4=""),"",ABS((P4-IF($C4="LT",Config!$F$11,Config!$F$23))/IF($C4="LT",Config!$G$11,Config!$G$23)))</f>
        <v/>
      </c>
      <c r="AC4">
        <f>IF(OR(Q4=0,Q4=""),"",ABS((Q4-IF($C4="LT",Config!$F$12,Config!$F$24))/IF($C4="LT",Config!$G$12,Config!$G$24)))</f>
        <v/>
      </c>
      <c r="AD4">
        <f>IF(OR(R4=0,R4=""),"",ABS((R4-IF($C4="LT",Config!$F$13,Config!$F$25))/IF($C4="LT",Config!$G$13,Config!$G$25)))</f>
        <v/>
      </c>
    </row>
    <row r="5">
      <c r="A5" t="inlineStr">
        <is>
          <t>04M2225120168</t>
        </is>
      </c>
      <c r="B5" t="inlineStr">
        <is>
          <t>CRS0000675</t>
        </is>
      </c>
      <c r="C5" t="inlineStr">
        <is>
          <t>LT</t>
        </is>
      </c>
      <c r="D5" t="inlineStr">
        <is>
          <t>ALX440U-DS3B01</t>
        </is>
      </c>
      <c r="E5" s="2" t="n">
        <v>46036</v>
      </c>
      <c r="F5" t="inlineStr">
        <is>
          <t>Fail</t>
        </is>
      </c>
      <c r="G5" t="n">
        <v>152.6</v>
      </c>
      <c r="H5" t="n">
        <v>79.8</v>
      </c>
      <c r="I5" t="n">
        <v>-1957.8</v>
      </c>
      <c r="J5" t="n">
        <v>65.5</v>
      </c>
      <c r="K5" t="n">
        <v>0</v>
      </c>
      <c r="L5" t="n">
        <v>2.6</v>
      </c>
      <c r="M5" t="n">
        <v>0</v>
      </c>
      <c r="N5" t="n">
        <v>68.09999999999999</v>
      </c>
      <c r="O5" t="n">
        <v>114.94</v>
      </c>
      <c r="P5" t="n">
        <v>114.72</v>
      </c>
      <c r="Q5" t="n">
        <v>7.5</v>
      </c>
      <c r="R5" t="n">
        <v>8.08</v>
      </c>
      <c r="S5">
        <f>IF(OR(G5=0,G5=""),"",ABS((G5-IF($C5="LT",Config!$F$2,Config!$F$14))/IF($C5="LT",Config!$G$2,Config!$G$14)))</f>
        <v/>
      </c>
      <c r="T5">
        <f>IF(OR(H5=0,H5=""),"",ABS((H5-IF($C5="LT",Config!$F$3,Config!$F$15))/IF($C5="LT",Config!$G$3,Config!$G$15)))</f>
        <v/>
      </c>
      <c r="U5">
        <f>IF(OR(I5=0,I5=""),"",ABS((I5-IF($C5="LT",Config!$F$4,Config!$F$16))/IF($C5="LT",Config!$G$4,Config!$G$16)))</f>
        <v/>
      </c>
      <c r="V5">
        <f>IF(OR(J5=0,J5=""),"",ABS((J5-IF($C5="LT",Config!$F$5,Config!$F$17))/IF($C5="LT",Config!$G$5,Config!$G$17)))</f>
        <v/>
      </c>
      <c r="W5">
        <f>IF(OR(K5=0,K5=""),"",ABS((K5-IF($C5="LT",Config!$F$6,Config!$F$18))/IF($C5="LT",Config!$G$6,Config!$G$18)))</f>
        <v/>
      </c>
      <c r="X5">
        <f>IF(OR(L5=0,L5=""),"",ABS((L5-IF($C5="LT",Config!$F$7,Config!$F$19))/IF($C5="LT",Config!$G$7,Config!$G$19)))</f>
        <v/>
      </c>
      <c r="Y5">
        <f>IF(OR(M5=0,M5=""),"",ABS((M5-IF($C5="LT",Config!$F$8,Config!$F$20))/IF($C5="LT",Config!$G$8,Config!$G$20)))</f>
        <v/>
      </c>
      <c r="Z5">
        <f>IF(OR(N5=0,N5=""),"",ABS((N5-IF($C5="LT",Config!$F$9,Config!$F$21))/IF($C5="LT",Config!$G$9,Config!$G$21)))</f>
        <v/>
      </c>
      <c r="AA5">
        <f>IF(OR(O5=0,O5=""),"",ABS((O5-IF($C5="LT",Config!$F$10,Config!$F$22))/IF($C5="LT",Config!$G$10,Config!$G$22)))</f>
        <v/>
      </c>
      <c r="AB5">
        <f>IF(OR(P5=0,P5=""),"",ABS((P5-IF($C5="LT",Config!$F$11,Config!$F$23))/IF($C5="LT",Config!$G$11,Config!$G$23)))</f>
        <v/>
      </c>
      <c r="AC5">
        <f>IF(OR(Q5=0,Q5=""),"",ABS((Q5-IF($C5="LT",Config!$F$12,Config!$F$24))/IF($C5="LT",Config!$G$12,Config!$G$24)))</f>
        <v/>
      </c>
      <c r="AD5">
        <f>IF(OR(R5=0,R5=""),"",ABS((R5-IF($C5="LT",Config!$F$13,Config!$F$25))/IF($C5="LT",Config!$G$13,Config!$G$25)))</f>
        <v/>
      </c>
    </row>
    <row r="6">
      <c r="A6" t="inlineStr">
        <is>
          <t>04M2225120168</t>
        </is>
      </c>
      <c r="B6" t="inlineStr">
        <is>
          <t>CRS0000675</t>
        </is>
      </c>
      <c r="C6" t="inlineStr">
        <is>
          <t>LT</t>
        </is>
      </c>
      <c r="D6" t="inlineStr">
        <is>
          <t>ALX440U-DS3B01</t>
        </is>
      </c>
      <c r="E6" s="2" t="n">
        <v>46036</v>
      </c>
      <c r="F6" t="inlineStr">
        <is>
          <t>Fail</t>
        </is>
      </c>
      <c r="G6" t="n">
        <v>154.8</v>
      </c>
      <c r="H6" t="n">
        <v>91</v>
      </c>
      <c r="I6" t="n">
        <v>-1957.8</v>
      </c>
      <c r="J6" t="n">
        <v>65.90000000000001</v>
      </c>
      <c r="K6" t="n">
        <v>0</v>
      </c>
      <c r="L6" t="n">
        <v>5.5</v>
      </c>
      <c r="M6" t="n">
        <v>0</v>
      </c>
      <c r="N6" t="n">
        <v>71.40000000000001</v>
      </c>
      <c r="O6" t="n">
        <v>111.35</v>
      </c>
      <c r="P6" t="n">
        <v>113.11</v>
      </c>
      <c r="Q6" t="n">
        <v>8.130000000000001</v>
      </c>
      <c r="R6" t="n">
        <v>8.18</v>
      </c>
      <c r="S6">
        <f>IF(OR(G6=0,G6=""),"",ABS((G6-IF($C6="LT",Config!$F$2,Config!$F$14))/IF($C6="LT",Config!$G$2,Config!$G$14)))</f>
        <v/>
      </c>
      <c r="T6">
        <f>IF(OR(H6=0,H6=""),"",ABS((H6-IF($C6="LT",Config!$F$3,Config!$F$15))/IF($C6="LT",Config!$G$3,Config!$G$15)))</f>
        <v/>
      </c>
      <c r="U6">
        <f>IF(OR(I6=0,I6=""),"",ABS((I6-IF($C6="LT",Config!$F$4,Config!$F$16))/IF($C6="LT",Config!$G$4,Config!$G$16)))</f>
        <v/>
      </c>
      <c r="V6">
        <f>IF(OR(J6=0,J6=""),"",ABS((J6-IF($C6="LT",Config!$F$5,Config!$F$17))/IF($C6="LT",Config!$G$5,Config!$G$17)))</f>
        <v/>
      </c>
      <c r="W6">
        <f>IF(OR(K6=0,K6=""),"",ABS((K6-IF($C6="LT",Config!$F$6,Config!$F$18))/IF($C6="LT",Config!$G$6,Config!$G$18)))</f>
        <v/>
      </c>
      <c r="X6">
        <f>IF(OR(L6=0,L6=""),"",ABS((L6-IF($C6="LT",Config!$F$7,Config!$F$19))/IF($C6="LT",Config!$G$7,Config!$G$19)))</f>
        <v/>
      </c>
      <c r="Y6">
        <f>IF(OR(M6=0,M6=""),"",ABS((M6-IF($C6="LT",Config!$F$8,Config!$F$20))/IF($C6="LT",Config!$G$8,Config!$G$20)))</f>
        <v/>
      </c>
      <c r="Z6">
        <f>IF(OR(N6=0,N6=""),"",ABS((N6-IF($C6="LT",Config!$F$9,Config!$F$21))/IF($C6="LT",Config!$G$9,Config!$G$21)))</f>
        <v/>
      </c>
      <c r="AA6">
        <f>IF(OR(O6=0,O6=""),"",ABS((O6-IF($C6="LT",Config!$F$10,Config!$F$22))/IF($C6="LT",Config!$G$10,Config!$G$22)))</f>
        <v/>
      </c>
      <c r="AB6">
        <f>IF(OR(P6=0,P6=""),"",ABS((P6-IF($C6="LT",Config!$F$11,Config!$F$23))/IF($C6="LT",Config!$G$11,Config!$G$23)))</f>
        <v/>
      </c>
      <c r="AC6">
        <f>IF(OR(Q6=0,Q6=""),"",ABS((Q6-IF($C6="LT",Config!$F$12,Config!$F$24))/IF($C6="LT",Config!$G$12,Config!$G$24)))</f>
        <v/>
      </c>
      <c r="AD6">
        <f>IF(OR(R6=0,R6=""),"",ABS((R6-IF($C6="LT",Config!$F$13,Config!$F$25))/IF($C6="LT",Config!$G$13,Config!$G$25)))</f>
        <v/>
      </c>
    </row>
    <row r="7">
      <c r="A7" t="inlineStr">
        <is>
          <t>04M2225120168</t>
        </is>
      </c>
      <c r="B7" t="inlineStr">
        <is>
          <t>CRS0000675</t>
        </is>
      </c>
      <c r="C7" t="inlineStr">
        <is>
          <t>LT</t>
        </is>
      </c>
      <c r="D7" t="inlineStr">
        <is>
          <t>ALX440U-DS3B01</t>
        </is>
      </c>
      <c r="E7" s="2" t="n">
        <v>46036</v>
      </c>
      <c r="F7" t="inlineStr">
        <is>
          <t>Fail</t>
        </is>
      </c>
      <c r="G7" t="n">
        <v>143.2</v>
      </c>
      <c r="H7" t="n">
        <v>91.5</v>
      </c>
      <c r="I7" t="n">
        <v>-1957.8</v>
      </c>
      <c r="J7" t="n">
        <v>66.40000000000001</v>
      </c>
      <c r="K7" t="n">
        <v>0</v>
      </c>
      <c r="L7" t="n">
        <v>3.5</v>
      </c>
      <c r="M7" t="n">
        <v>0</v>
      </c>
      <c r="N7" t="n">
        <v>69.90000000000001</v>
      </c>
      <c r="O7" t="n">
        <v>111.79</v>
      </c>
      <c r="P7" t="n">
        <v>113.18</v>
      </c>
      <c r="Q7" t="n">
        <v>8.130000000000001</v>
      </c>
      <c r="R7" t="n">
        <v>8.369999999999999</v>
      </c>
      <c r="S7">
        <f>IF(OR(G7=0,G7=""),"",ABS((G7-IF($C7="LT",Config!$F$2,Config!$F$14))/IF($C7="LT",Config!$G$2,Config!$G$14)))</f>
        <v/>
      </c>
      <c r="T7">
        <f>IF(OR(H7=0,H7=""),"",ABS((H7-IF($C7="LT",Config!$F$3,Config!$F$15))/IF($C7="LT",Config!$G$3,Config!$G$15)))</f>
        <v/>
      </c>
      <c r="U7">
        <f>IF(OR(I7=0,I7=""),"",ABS((I7-IF($C7="LT",Config!$F$4,Config!$F$16))/IF($C7="LT",Config!$G$4,Config!$G$16)))</f>
        <v/>
      </c>
      <c r="V7">
        <f>IF(OR(J7=0,J7=""),"",ABS((J7-IF($C7="LT",Config!$F$5,Config!$F$17))/IF($C7="LT",Config!$G$5,Config!$G$17)))</f>
        <v/>
      </c>
      <c r="W7">
        <f>IF(OR(K7=0,K7=""),"",ABS((K7-IF($C7="LT",Config!$F$6,Config!$F$18))/IF($C7="LT",Config!$G$6,Config!$G$18)))</f>
        <v/>
      </c>
      <c r="X7">
        <f>IF(OR(L7=0,L7=""),"",ABS((L7-IF($C7="LT",Config!$F$7,Config!$F$19))/IF($C7="LT",Config!$G$7,Config!$G$19)))</f>
        <v/>
      </c>
      <c r="Y7">
        <f>IF(OR(M7=0,M7=""),"",ABS((M7-IF($C7="LT",Config!$F$8,Config!$F$20))/IF($C7="LT",Config!$G$8,Config!$G$20)))</f>
        <v/>
      </c>
      <c r="Z7">
        <f>IF(OR(N7=0,N7=""),"",ABS((N7-IF($C7="LT",Config!$F$9,Config!$F$21))/IF($C7="LT",Config!$G$9,Config!$G$21)))</f>
        <v/>
      </c>
      <c r="AA7">
        <f>IF(OR(O7=0,O7=""),"",ABS((O7-IF($C7="LT",Config!$F$10,Config!$F$22))/IF($C7="LT",Config!$G$10,Config!$G$22)))</f>
        <v/>
      </c>
      <c r="AB7">
        <f>IF(OR(P7=0,P7=""),"",ABS((P7-IF($C7="LT",Config!$F$11,Config!$F$23))/IF($C7="LT",Config!$G$11,Config!$G$23)))</f>
        <v/>
      </c>
      <c r="AC7">
        <f>IF(OR(Q7=0,Q7=""),"",ABS((Q7-IF($C7="LT",Config!$F$12,Config!$F$24))/IF($C7="LT",Config!$G$12,Config!$G$24)))</f>
        <v/>
      </c>
      <c r="AD7">
        <f>IF(OR(R7=0,R7=""),"",ABS((R7-IF($C7="LT",Config!$F$13,Config!$F$25))/IF($C7="LT",Config!$G$13,Config!$G$25)))</f>
        <v/>
      </c>
    </row>
    <row r="8">
      <c r="A8" t="inlineStr">
        <is>
          <t>04M2225120168</t>
        </is>
      </c>
      <c r="B8" t="inlineStr">
        <is>
          <t>CRS0000675</t>
        </is>
      </c>
      <c r="C8" t="inlineStr">
        <is>
          <t>LT</t>
        </is>
      </c>
      <c r="D8" t="inlineStr">
        <is>
          <t>ALX440U-DS3B01</t>
        </is>
      </c>
      <c r="E8" s="2" t="n">
        <v>46036</v>
      </c>
      <c r="F8" t="inlineStr">
        <is>
          <t>Fail</t>
        </is>
      </c>
      <c r="G8" t="n">
        <v>149.9</v>
      </c>
      <c r="H8" t="n">
        <v>90.59999999999999</v>
      </c>
      <c r="I8" t="n">
        <v>-1957.8</v>
      </c>
      <c r="J8" t="n">
        <v>66.40000000000001</v>
      </c>
      <c r="K8" t="n">
        <v>0</v>
      </c>
      <c r="L8" t="n">
        <v>2.8</v>
      </c>
      <c r="M8" t="n">
        <v>0</v>
      </c>
      <c r="N8" t="n">
        <v>69.2</v>
      </c>
      <c r="O8" t="n">
        <v>114.94</v>
      </c>
      <c r="P8" t="n">
        <v>114.87</v>
      </c>
      <c r="Q8" t="n">
        <v>7.79</v>
      </c>
      <c r="R8" t="n">
        <v>8.25</v>
      </c>
      <c r="S8">
        <f>IF(OR(G8=0,G8=""),"",ABS((G8-IF($C8="LT",Config!$F$2,Config!$F$14))/IF($C8="LT",Config!$G$2,Config!$G$14)))</f>
        <v/>
      </c>
      <c r="T8">
        <f>IF(OR(H8=0,H8=""),"",ABS((H8-IF($C8="LT",Config!$F$3,Config!$F$15))/IF($C8="LT",Config!$G$3,Config!$G$15)))</f>
        <v/>
      </c>
      <c r="U8">
        <f>IF(OR(I8=0,I8=""),"",ABS((I8-IF($C8="LT",Config!$F$4,Config!$F$16))/IF($C8="LT",Config!$G$4,Config!$G$16)))</f>
        <v/>
      </c>
      <c r="V8">
        <f>IF(OR(J8=0,J8=""),"",ABS((J8-IF($C8="LT",Config!$F$5,Config!$F$17))/IF($C8="LT",Config!$G$5,Config!$G$17)))</f>
        <v/>
      </c>
      <c r="W8">
        <f>IF(OR(K8=0,K8=""),"",ABS((K8-IF($C8="LT",Config!$F$6,Config!$F$18))/IF($C8="LT",Config!$G$6,Config!$G$18)))</f>
        <v/>
      </c>
      <c r="X8">
        <f>IF(OR(L8=0,L8=""),"",ABS((L8-IF($C8="LT",Config!$F$7,Config!$F$19))/IF($C8="LT",Config!$G$7,Config!$G$19)))</f>
        <v/>
      </c>
      <c r="Y8">
        <f>IF(OR(M8=0,M8=""),"",ABS((M8-IF($C8="LT",Config!$F$8,Config!$F$20))/IF($C8="LT",Config!$G$8,Config!$G$20)))</f>
        <v/>
      </c>
      <c r="Z8">
        <f>IF(OR(N8=0,N8=""),"",ABS((N8-IF($C8="LT",Config!$F$9,Config!$F$21))/IF($C8="LT",Config!$G$9,Config!$G$21)))</f>
        <v/>
      </c>
      <c r="AA8">
        <f>IF(OR(O8=0,O8=""),"",ABS((O8-IF($C8="LT",Config!$F$10,Config!$F$22))/IF($C8="LT",Config!$G$10,Config!$G$22)))</f>
        <v/>
      </c>
      <c r="AB8">
        <f>IF(OR(P8=0,P8=""),"",ABS((P8-IF($C8="LT",Config!$F$11,Config!$F$23))/IF($C8="LT",Config!$G$11,Config!$G$23)))</f>
        <v/>
      </c>
      <c r="AC8">
        <f>IF(OR(Q8=0,Q8=""),"",ABS((Q8-IF($C8="LT",Config!$F$12,Config!$F$24))/IF($C8="LT",Config!$G$12,Config!$G$24)))</f>
        <v/>
      </c>
      <c r="AD8">
        <f>IF(OR(R8=0,R8=""),"",ABS((R8-IF($C8="LT",Config!$F$13,Config!$F$25))/IF($C8="LT",Config!$G$13,Config!$G$25)))</f>
        <v/>
      </c>
    </row>
    <row r="9">
      <c r="A9" t="inlineStr">
        <is>
          <t>04M2225120168</t>
        </is>
      </c>
      <c r="B9" t="inlineStr">
        <is>
          <t>CRS0000675</t>
        </is>
      </c>
      <c r="C9" t="inlineStr">
        <is>
          <t>LT</t>
        </is>
      </c>
      <c r="D9" t="inlineStr">
        <is>
          <t>ALX440U-DS3B01</t>
        </is>
      </c>
      <c r="E9" s="2" t="n">
        <v>46038</v>
      </c>
      <c r="F9" t="inlineStr">
        <is>
          <t>Fail</t>
        </is>
      </c>
      <c r="G9" t="n">
        <v>145</v>
      </c>
      <c r="H9" t="n">
        <v>84.3</v>
      </c>
      <c r="I9" t="n">
        <v>-1957.8</v>
      </c>
      <c r="J9" t="n">
        <v>63.7</v>
      </c>
      <c r="K9" t="n">
        <v>0</v>
      </c>
      <c r="L9" t="n">
        <v>8</v>
      </c>
      <c r="M9" t="n">
        <v>0</v>
      </c>
      <c r="N9" t="n">
        <v>71.7</v>
      </c>
      <c r="O9" t="n">
        <v>114.94</v>
      </c>
      <c r="P9" t="n">
        <v>114.72</v>
      </c>
      <c r="Q9" t="n">
        <v>7.01</v>
      </c>
      <c r="R9" t="n">
        <v>7.25</v>
      </c>
      <c r="S9">
        <f>IF(OR(G9=0,G9=""),"",ABS((G9-IF($C9="LT",Config!$F$2,Config!$F$14))/IF($C9="LT",Config!$G$2,Config!$G$14)))</f>
        <v/>
      </c>
      <c r="T9">
        <f>IF(OR(H9=0,H9=""),"",ABS((H9-IF($C9="LT",Config!$F$3,Config!$F$15))/IF($C9="LT",Config!$G$3,Config!$G$15)))</f>
        <v/>
      </c>
      <c r="U9">
        <f>IF(OR(I9=0,I9=""),"",ABS((I9-IF($C9="LT",Config!$F$4,Config!$F$16))/IF($C9="LT",Config!$G$4,Config!$G$16)))</f>
        <v/>
      </c>
      <c r="V9">
        <f>IF(OR(J9=0,J9=""),"",ABS((J9-IF($C9="LT",Config!$F$5,Config!$F$17))/IF($C9="LT",Config!$G$5,Config!$G$17)))</f>
        <v/>
      </c>
      <c r="W9">
        <f>IF(OR(K9=0,K9=""),"",ABS((K9-IF($C9="LT",Config!$F$6,Config!$F$18))/IF($C9="LT",Config!$G$6,Config!$G$18)))</f>
        <v/>
      </c>
      <c r="X9">
        <f>IF(OR(L9=0,L9=""),"",ABS((L9-IF($C9="LT",Config!$F$7,Config!$F$19))/IF($C9="LT",Config!$G$7,Config!$G$19)))</f>
        <v/>
      </c>
      <c r="Y9">
        <f>IF(OR(M9=0,M9=""),"",ABS((M9-IF($C9="LT",Config!$F$8,Config!$F$20))/IF($C9="LT",Config!$G$8,Config!$G$20)))</f>
        <v/>
      </c>
      <c r="Z9">
        <f>IF(OR(N9=0,N9=""),"",ABS((N9-IF($C9="LT",Config!$F$9,Config!$F$21))/IF($C9="LT",Config!$G$9,Config!$G$21)))</f>
        <v/>
      </c>
      <c r="AA9">
        <f>IF(OR(O9=0,O9=""),"",ABS((O9-IF($C9="LT",Config!$F$10,Config!$F$22))/IF($C9="LT",Config!$G$10,Config!$G$22)))</f>
        <v/>
      </c>
      <c r="AB9">
        <f>IF(OR(P9=0,P9=""),"",ABS((P9-IF($C9="LT",Config!$F$11,Config!$F$23))/IF($C9="LT",Config!$G$11,Config!$G$23)))</f>
        <v/>
      </c>
      <c r="AC9">
        <f>IF(OR(Q9=0,Q9=""),"",ABS((Q9-IF($C9="LT",Config!$F$12,Config!$F$24))/IF($C9="LT",Config!$G$12,Config!$G$24)))</f>
        <v/>
      </c>
      <c r="AD9">
        <f>IF(OR(R9=0,R9=""),"",ABS((R9-IF($C9="LT",Config!$F$13,Config!$F$25))/IF($C9="LT",Config!$G$13,Config!$G$25)))</f>
        <v/>
      </c>
    </row>
    <row r="10">
      <c r="A10" t="inlineStr">
        <is>
          <t>04M2225120168</t>
        </is>
      </c>
      <c r="B10" t="inlineStr">
        <is>
          <t>CRS0000675</t>
        </is>
      </c>
      <c r="C10" t="inlineStr">
        <is>
          <t>LT</t>
        </is>
      </c>
      <c r="D10" t="inlineStr">
        <is>
          <t>ALX440U-DS3B01</t>
        </is>
      </c>
      <c r="E10" s="2" t="n">
        <v>46038</v>
      </c>
      <c r="F10" t="inlineStr">
        <is>
          <t>Fail</t>
        </is>
      </c>
      <c r="G10" t="n">
        <v>148.1</v>
      </c>
      <c r="H10" t="n">
        <v>86.09999999999999</v>
      </c>
      <c r="I10" t="n">
        <v>-1957.8</v>
      </c>
      <c r="J10" t="n">
        <v>63.7</v>
      </c>
      <c r="K10" t="n">
        <v>0</v>
      </c>
      <c r="L10" t="n">
        <v>8.1</v>
      </c>
      <c r="M10" t="n">
        <v>0</v>
      </c>
      <c r="N10" t="n">
        <v>71.8</v>
      </c>
      <c r="O10" t="n">
        <v>114.87</v>
      </c>
      <c r="P10" t="n">
        <v>114.8</v>
      </c>
      <c r="Q10" t="n">
        <v>7.23</v>
      </c>
      <c r="R10" t="n">
        <v>7.45</v>
      </c>
      <c r="S10">
        <f>IF(OR(G10=0,G10=""),"",ABS((G10-IF($C10="LT",Config!$F$2,Config!$F$14))/IF($C10="LT",Config!$G$2,Config!$G$14)))</f>
        <v/>
      </c>
      <c r="T10">
        <f>IF(OR(H10=0,H10=""),"",ABS((H10-IF($C10="LT",Config!$F$3,Config!$F$15))/IF($C10="LT",Config!$G$3,Config!$G$15)))</f>
        <v/>
      </c>
      <c r="U10">
        <f>IF(OR(I10=0,I10=""),"",ABS((I10-IF($C10="LT",Config!$F$4,Config!$F$16))/IF($C10="LT",Config!$G$4,Config!$G$16)))</f>
        <v/>
      </c>
      <c r="V10">
        <f>IF(OR(J10=0,J10=""),"",ABS((J10-IF($C10="LT",Config!$F$5,Config!$F$17))/IF($C10="LT",Config!$G$5,Config!$G$17)))</f>
        <v/>
      </c>
      <c r="W10">
        <f>IF(OR(K10=0,K10=""),"",ABS((K10-IF($C10="LT",Config!$F$6,Config!$F$18))/IF($C10="LT",Config!$G$6,Config!$G$18)))</f>
        <v/>
      </c>
      <c r="X10">
        <f>IF(OR(L10=0,L10=""),"",ABS((L10-IF($C10="LT",Config!$F$7,Config!$F$19))/IF($C10="LT",Config!$G$7,Config!$G$19)))</f>
        <v/>
      </c>
      <c r="Y10">
        <f>IF(OR(M10=0,M10=""),"",ABS((M10-IF($C10="LT",Config!$F$8,Config!$F$20))/IF($C10="LT",Config!$G$8,Config!$G$20)))</f>
        <v/>
      </c>
      <c r="Z10">
        <f>IF(OR(N10=0,N10=""),"",ABS((N10-IF($C10="LT",Config!$F$9,Config!$F$21))/IF($C10="LT",Config!$G$9,Config!$G$21)))</f>
        <v/>
      </c>
      <c r="AA10">
        <f>IF(OR(O10=0,O10=""),"",ABS((O10-IF($C10="LT",Config!$F$10,Config!$F$22))/IF($C10="LT",Config!$G$10,Config!$G$22)))</f>
        <v/>
      </c>
      <c r="AB10">
        <f>IF(OR(P10=0,P10=""),"",ABS((P10-IF($C10="LT",Config!$F$11,Config!$F$23))/IF($C10="LT",Config!$G$11,Config!$G$23)))</f>
        <v/>
      </c>
      <c r="AC10">
        <f>IF(OR(Q10=0,Q10=""),"",ABS((Q10-IF($C10="LT",Config!$F$12,Config!$F$24))/IF($C10="LT",Config!$G$12,Config!$G$24)))</f>
        <v/>
      </c>
      <c r="AD10">
        <f>IF(OR(R10=0,R10=""),"",ABS((R10-IF($C10="LT",Config!$F$13,Config!$F$25))/IF($C10="LT",Config!$G$13,Config!$G$25)))</f>
        <v/>
      </c>
    </row>
    <row r="11">
      <c r="A11" t="inlineStr">
        <is>
          <t>04M2225120168</t>
        </is>
      </c>
      <c r="B11" t="inlineStr">
        <is>
          <t>CRS0000675</t>
        </is>
      </c>
      <c r="C11" t="inlineStr">
        <is>
          <t>LT</t>
        </is>
      </c>
      <c r="D11" t="inlineStr">
        <is>
          <t>ALX440U-DS3B01</t>
        </is>
      </c>
      <c r="E11" s="2" t="n">
        <v>46038</v>
      </c>
      <c r="F11" t="inlineStr">
        <is>
          <t>Fail</t>
        </is>
      </c>
      <c r="G11" t="n">
        <v>140.5</v>
      </c>
      <c r="H11" t="n">
        <v>93.3</v>
      </c>
      <c r="I11" t="n">
        <v>-1957.8</v>
      </c>
      <c r="J11" t="n">
        <v>-1952</v>
      </c>
      <c r="K11" t="n">
        <v>0</v>
      </c>
      <c r="L11" t="n">
        <v>2024</v>
      </c>
      <c r="M11" t="n">
        <v>0</v>
      </c>
      <c r="N11" t="n">
        <v>72</v>
      </c>
      <c r="O11" t="n">
        <v>111.79</v>
      </c>
      <c r="P11" t="n">
        <v>113.62</v>
      </c>
      <c r="Q11" t="n">
        <v>7.96</v>
      </c>
      <c r="R11" t="n">
        <v>7.93</v>
      </c>
      <c r="S11">
        <f>IF(OR(G11=0,G11=""),"",ABS((G11-IF($C11="LT",Config!$F$2,Config!$F$14))/IF($C11="LT",Config!$G$2,Config!$G$14)))</f>
        <v/>
      </c>
      <c r="T11">
        <f>IF(OR(H11=0,H11=""),"",ABS((H11-IF($C11="LT",Config!$F$3,Config!$F$15))/IF($C11="LT",Config!$G$3,Config!$G$15)))</f>
        <v/>
      </c>
      <c r="U11">
        <f>IF(OR(I11=0,I11=""),"",ABS((I11-IF($C11="LT",Config!$F$4,Config!$F$16))/IF($C11="LT",Config!$G$4,Config!$G$16)))</f>
        <v/>
      </c>
      <c r="V11">
        <f>IF(OR(J11=0,J11=""),"",ABS((J11-IF($C11="LT",Config!$F$5,Config!$F$17))/IF($C11="LT",Config!$G$5,Config!$G$17)))</f>
        <v/>
      </c>
      <c r="W11">
        <f>IF(OR(K11=0,K11=""),"",ABS((K11-IF($C11="LT",Config!$F$6,Config!$F$18))/IF($C11="LT",Config!$G$6,Config!$G$18)))</f>
        <v/>
      </c>
      <c r="X11">
        <f>IF(OR(L11=0,L11=""),"",ABS((L11-IF($C11="LT",Config!$F$7,Config!$F$19))/IF($C11="LT",Config!$G$7,Config!$G$19)))</f>
        <v/>
      </c>
      <c r="Y11">
        <f>IF(OR(M11=0,M11=""),"",ABS((M11-IF($C11="LT",Config!$F$8,Config!$F$20))/IF($C11="LT",Config!$G$8,Config!$G$20)))</f>
        <v/>
      </c>
      <c r="Z11">
        <f>IF(OR(N11=0,N11=""),"",ABS((N11-IF($C11="LT",Config!$F$9,Config!$F$21))/IF($C11="LT",Config!$G$9,Config!$G$21)))</f>
        <v/>
      </c>
      <c r="AA11">
        <f>IF(OR(O11=0,O11=""),"",ABS((O11-IF($C11="LT",Config!$F$10,Config!$F$22))/IF($C11="LT",Config!$G$10,Config!$G$22)))</f>
        <v/>
      </c>
      <c r="AB11">
        <f>IF(OR(P11=0,P11=""),"",ABS((P11-IF($C11="LT",Config!$F$11,Config!$F$23))/IF($C11="LT",Config!$G$11,Config!$G$23)))</f>
        <v/>
      </c>
      <c r="AC11">
        <f>IF(OR(Q11=0,Q11=""),"",ABS((Q11-IF($C11="LT",Config!$F$12,Config!$F$24))/IF($C11="LT",Config!$G$12,Config!$G$24)))</f>
        <v/>
      </c>
      <c r="AD11">
        <f>IF(OR(R11=0,R11=""),"",ABS((R11-IF($C11="LT",Config!$F$13,Config!$F$25))/IF($C11="LT",Config!$G$13,Config!$G$25)))</f>
        <v/>
      </c>
    </row>
    <row r="12">
      <c r="A12" t="inlineStr">
        <is>
          <t>04M2225120168</t>
        </is>
      </c>
      <c r="B12" t="inlineStr">
        <is>
          <t>CRS0000675</t>
        </is>
      </c>
      <c r="C12" t="inlineStr">
        <is>
          <t>LT</t>
        </is>
      </c>
      <c r="D12" t="inlineStr">
        <is>
          <t>ALX440U-DS3B01</t>
        </is>
      </c>
      <c r="E12" s="2" t="n">
        <v>46038</v>
      </c>
      <c r="F12" t="inlineStr">
        <is>
          <t>Fail</t>
        </is>
      </c>
      <c r="G12" t="n">
        <v>138.8</v>
      </c>
      <c r="H12" t="n">
        <v>91.5</v>
      </c>
      <c r="I12" t="n">
        <v>-1957.8</v>
      </c>
      <c r="J12" t="n">
        <v>-1952</v>
      </c>
      <c r="K12" t="n">
        <v>0</v>
      </c>
      <c r="L12" t="n">
        <v>2022.7</v>
      </c>
      <c r="M12" t="n">
        <v>0</v>
      </c>
      <c r="N12" t="n">
        <v>70.7</v>
      </c>
      <c r="O12" t="n">
        <v>115.16</v>
      </c>
      <c r="P12" t="n">
        <v>115.16</v>
      </c>
      <c r="Q12" t="n">
        <v>7.64</v>
      </c>
      <c r="R12" t="n">
        <v>7.76</v>
      </c>
      <c r="S12">
        <f>IF(OR(G12=0,G12=""),"",ABS((G12-IF($C12="LT",Config!$F$2,Config!$F$14))/IF($C12="LT",Config!$G$2,Config!$G$14)))</f>
        <v/>
      </c>
      <c r="T12">
        <f>IF(OR(H12=0,H12=""),"",ABS((H12-IF($C12="LT",Config!$F$3,Config!$F$15))/IF($C12="LT",Config!$G$3,Config!$G$15)))</f>
        <v/>
      </c>
      <c r="U12">
        <f>IF(OR(I12=0,I12=""),"",ABS((I12-IF($C12="LT",Config!$F$4,Config!$F$16))/IF($C12="LT",Config!$G$4,Config!$G$16)))</f>
        <v/>
      </c>
      <c r="V12">
        <f>IF(OR(J12=0,J12=""),"",ABS((J12-IF($C12="LT",Config!$F$5,Config!$F$17))/IF($C12="LT",Config!$G$5,Config!$G$17)))</f>
        <v/>
      </c>
      <c r="W12">
        <f>IF(OR(K12=0,K12=""),"",ABS((K12-IF($C12="LT",Config!$F$6,Config!$F$18))/IF($C12="LT",Config!$G$6,Config!$G$18)))</f>
        <v/>
      </c>
      <c r="X12">
        <f>IF(OR(L12=0,L12=""),"",ABS((L12-IF($C12="LT",Config!$F$7,Config!$F$19))/IF($C12="LT",Config!$G$7,Config!$G$19)))</f>
        <v/>
      </c>
      <c r="Y12">
        <f>IF(OR(M12=0,M12=""),"",ABS((M12-IF($C12="LT",Config!$F$8,Config!$F$20))/IF($C12="LT",Config!$G$8,Config!$G$20)))</f>
        <v/>
      </c>
      <c r="Z12">
        <f>IF(OR(N12=0,N12=""),"",ABS((N12-IF($C12="LT",Config!$F$9,Config!$F$21))/IF($C12="LT",Config!$G$9,Config!$G$21)))</f>
        <v/>
      </c>
      <c r="AA12">
        <f>IF(OR(O12=0,O12=""),"",ABS((O12-IF($C12="LT",Config!$F$10,Config!$F$22))/IF($C12="LT",Config!$G$10,Config!$G$22)))</f>
        <v/>
      </c>
      <c r="AB12">
        <f>IF(OR(P12=0,P12=""),"",ABS((P12-IF($C12="LT",Config!$F$11,Config!$F$23))/IF($C12="LT",Config!$G$11,Config!$G$23)))</f>
        <v/>
      </c>
      <c r="AC12">
        <f>IF(OR(Q12=0,Q12=""),"",ABS((Q12-IF($C12="LT",Config!$F$12,Config!$F$24))/IF($C12="LT",Config!$G$12,Config!$G$24)))</f>
        <v/>
      </c>
      <c r="AD12">
        <f>IF(OR(R12=0,R12=""),"",ABS((R12-IF($C12="LT",Config!$F$13,Config!$F$25))/IF($C12="LT",Config!$G$13,Config!$G$25)))</f>
        <v/>
      </c>
    </row>
    <row r="13">
      <c r="A13" t="inlineStr">
        <is>
          <t>04M2225120168</t>
        </is>
      </c>
      <c r="B13" t="inlineStr">
        <is>
          <t>CRS0000675</t>
        </is>
      </c>
      <c r="C13" t="inlineStr">
        <is>
          <t>LT</t>
        </is>
      </c>
      <c r="D13" t="inlineStr">
        <is>
          <t>ALX440U-DS3B01</t>
        </is>
      </c>
      <c r="E13" s="2" t="n">
        <v>46041</v>
      </c>
      <c r="F13" t="inlineStr">
        <is>
          <t>Fail</t>
        </is>
      </c>
      <c r="G13" t="n">
        <v>154.4</v>
      </c>
      <c r="H13" t="n">
        <v>89.7</v>
      </c>
      <c r="I13" t="n">
        <v>-1957.8</v>
      </c>
      <c r="J13" t="n">
        <v>63.3</v>
      </c>
      <c r="K13" t="n">
        <v>0</v>
      </c>
      <c r="L13" t="n">
        <v>3</v>
      </c>
      <c r="M13" t="n">
        <v>0</v>
      </c>
      <c r="N13" t="n">
        <v>66.3</v>
      </c>
      <c r="O13" t="n">
        <v>111.5</v>
      </c>
      <c r="P13" t="n">
        <v>112.74</v>
      </c>
      <c r="Q13" t="n">
        <v>8.33</v>
      </c>
      <c r="R13" t="n">
        <v>8.619999999999999</v>
      </c>
      <c r="S13">
        <f>IF(OR(G13=0,G13=""),"",ABS((G13-IF($C13="LT",Config!$F$2,Config!$F$14))/IF($C13="LT",Config!$G$2,Config!$G$14)))</f>
        <v/>
      </c>
      <c r="T13">
        <f>IF(OR(H13=0,H13=""),"",ABS((H13-IF($C13="LT",Config!$F$3,Config!$F$15))/IF($C13="LT",Config!$G$3,Config!$G$15)))</f>
        <v/>
      </c>
      <c r="U13">
        <f>IF(OR(I13=0,I13=""),"",ABS((I13-IF($C13="LT",Config!$F$4,Config!$F$16))/IF($C13="LT",Config!$G$4,Config!$G$16)))</f>
        <v/>
      </c>
      <c r="V13">
        <f>IF(OR(J13=0,J13=""),"",ABS((J13-IF($C13="LT",Config!$F$5,Config!$F$17))/IF($C13="LT",Config!$G$5,Config!$G$17)))</f>
        <v/>
      </c>
      <c r="W13">
        <f>IF(OR(K13=0,K13=""),"",ABS((K13-IF($C13="LT",Config!$F$6,Config!$F$18))/IF($C13="LT",Config!$G$6,Config!$G$18)))</f>
        <v/>
      </c>
      <c r="X13">
        <f>IF(OR(L13=0,L13=""),"",ABS((L13-IF($C13="LT",Config!$F$7,Config!$F$19))/IF($C13="LT",Config!$G$7,Config!$G$19)))</f>
        <v/>
      </c>
      <c r="Y13">
        <f>IF(OR(M13=0,M13=""),"",ABS((M13-IF($C13="LT",Config!$F$8,Config!$F$20))/IF($C13="LT",Config!$G$8,Config!$G$20)))</f>
        <v/>
      </c>
      <c r="Z13">
        <f>IF(OR(N13=0,N13=""),"",ABS((N13-IF($C13="LT",Config!$F$9,Config!$F$21))/IF($C13="LT",Config!$G$9,Config!$G$21)))</f>
        <v/>
      </c>
      <c r="AA13">
        <f>IF(OR(O13=0,O13=""),"",ABS((O13-IF($C13="LT",Config!$F$10,Config!$F$22))/IF($C13="LT",Config!$G$10,Config!$G$22)))</f>
        <v/>
      </c>
      <c r="AB13">
        <f>IF(OR(P13=0,P13=""),"",ABS((P13-IF($C13="LT",Config!$F$11,Config!$F$23))/IF($C13="LT",Config!$G$11,Config!$G$23)))</f>
        <v/>
      </c>
      <c r="AC13">
        <f>IF(OR(Q13=0,Q13=""),"",ABS((Q13-IF($C13="LT",Config!$F$12,Config!$F$24))/IF($C13="LT",Config!$G$12,Config!$G$24)))</f>
        <v/>
      </c>
      <c r="AD13">
        <f>IF(OR(R13=0,R13=""),"",ABS((R13-IF($C13="LT",Config!$F$13,Config!$F$25))/IF($C13="LT",Config!$G$13,Config!$G$25)))</f>
        <v/>
      </c>
    </row>
    <row r="14">
      <c r="A14" t="inlineStr">
        <is>
          <t>04M2225120168</t>
        </is>
      </c>
      <c r="B14" t="inlineStr">
        <is>
          <t>CRS0000675</t>
        </is>
      </c>
      <c r="C14" t="inlineStr">
        <is>
          <t>LT</t>
        </is>
      </c>
      <c r="D14" t="inlineStr">
        <is>
          <t>ALX440U-DS3B01</t>
        </is>
      </c>
      <c r="E14" s="2" t="n">
        <v>46041</v>
      </c>
      <c r="F14" t="inlineStr">
        <is>
          <t>Fail</t>
        </is>
      </c>
      <c r="G14" t="n">
        <v>154.8</v>
      </c>
      <c r="H14" t="n">
        <v>87</v>
      </c>
      <c r="I14" t="n">
        <v>-1957.8</v>
      </c>
      <c r="J14" t="n">
        <v>63.3</v>
      </c>
      <c r="K14" t="n">
        <v>0</v>
      </c>
      <c r="L14" t="n">
        <v>8.9</v>
      </c>
      <c r="M14" t="n">
        <v>0</v>
      </c>
      <c r="N14" t="n">
        <v>72.2</v>
      </c>
      <c r="O14" t="n">
        <v>111.79</v>
      </c>
      <c r="P14" t="n">
        <v>113.26</v>
      </c>
      <c r="Q14" t="n">
        <v>8.5</v>
      </c>
      <c r="R14" t="n">
        <v>8.859999999999999</v>
      </c>
      <c r="S14">
        <f>IF(OR(G14=0,G14=""),"",ABS((G14-IF($C14="LT",Config!$F$2,Config!$F$14))/IF($C14="LT",Config!$G$2,Config!$G$14)))</f>
        <v/>
      </c>
      <c r="T14">
        <f>IF(OR(H14=0,H14=""),"",ABS((H14-IF($C14="LT",Config!$F$3,Config!$F$15))/IF($C14="LT",Config!$G$3,Config!$G$15)))</f>
        <v/>
      </c>
      <c r="U14">
        <f>IF(OR(I14=0,I14=""),"",ABS((I14-IF($C14="LT",Config!$F$4,Config!$F$16))/IF($C14="LT",Config!$G$4,Config!$G$16)))</f>
        <v/>
      </c>
      <c r="V14">
        <f>IF(OR(J14=0,J14=""),"",ABS((J14-IF($C14="LT",Config!$F$5,Config!$F$17))/IF($C14="LT",Config!$G$5,Config!$G$17)))</f>
        <v/>
      </c>
      <c r="W14">
        <f>IF(OR(K14=0,K14=""),"",ABS((K14-IF($C14="LT",Config!$F$6,Config!$F$18))/IF($C14="LT",Config!$G$6,Config!$G$18)))</f>
        <v/>
      </c>
      <c r="X14">
        <f>IF(OR(L14=0,L14=""),"",ABS((L14-IF($C14="LT",Config!$F$7,Config!$F$19))/IF($C14="LT",Config!$G$7,Config!$G$19)))</f>
        <v/>
      </c>
      <c r="Y14">
        <f>IF(OR(M14=0,M14=""),"",ABS((M14-IF($C14="LT",Config!$F$8,Config!$F$20))/IF($C14="LT",Config!$G$8,Config!$G$20)))</f>
        <v/>
      </c>
      <c r="Z14">
        <f>IF(OR(N14=0,N14=""),"",ABS((N14-IF($C14="LT",Config!$F$9,Config!$F$21))/IF($C14="LT",Config!$G$9,Config!$G$21)))</f>
        <v/>
      </c>
      <c r="AA14">
        <f>IF(OR(O14=0,O14=""),"",ABS((O14-IF($C14="LT",Config!$F$10,Config!$F$22))/IF($C14="LT",Config!$G$10,Config!$G$22)))</f>
        <v/>
      </c>
      <c r="AB14">
        <f>IF(OR(P14=0,P14=""),"",ABS((P14-IF($C14="LT",Config!$F$11,Config!$F$23))/IF($C14="LT",Config!$G$11,Config!$G$23)))</f>
        <v/>
      </c>
      <c r="AC14">
        <f>IF(OR(Q14=0,Q14=""),"",ABS((Q14-IF($C14="LT",Config!$F$12,Config!$F$24))/IF($C14="LT",Config!$G$12,Config!$G$24)))</f>
        <v/>
      </c>
      <c r="AD14">
        <f>IF(OR(R14=0,R14=""),"",ABS((R14-IF($C14="LT",Config!$F$13,Config!$F$25))/IF($C14="LT",Config!$G$13,Config!$G$25)))</f>
        <v/>
      </c>
    </row>
    <row r="15">
      <c r="A15" t="inlineStr">
        <is>
          <t>04A2026120315</t>
        </is>
      </c>
      <c r="B15" t="inlineStr">
        <is>
          <t>CRS0000674</t>
        </is>
      </c>
      <c r="C15" t="inlineStr">
        <is>
          <t>MT</t>
        </is>
      </c>
      <c r="D15" t="inlineStr">
        <is>
          <t>TCX413U-DS1B01</t>
        </is>
      </c>
      <c r="E15" s="2" t="n">
        <v>46042</v>
      </c>
      <c r="F15" t="inlineStr">
        <is>
          <t>Fail</t>
        </is>
      </c>
      <c r="G15" t="n">
        <v>98.09999999999999</v>
      </c>
      <c r="H15" t="n">
        <v>72.5</v>
      </c>
      <c r="I15" t="n">
        <v>-1957.8</v>
      </c>
      <c r="J15" t="n">
        <v>62.4</v>
      </c>
      <c r="K15" t="n">
        <v>0</v>
      </c>
      <c r="L15" t="n">
        <v>7.7</v>
      </c>
      <c r="M15" t="n">
        <v>0</v>
      </c>
      <c r="N15" t="n">
        <v>70.09999999999999</v>
      </c>
      <c r="O15" t="n">
        <v>112.16</v>
      </c>
      <c r="P15" t="n">
        <v>116.34</v>
      </c>
      <c r="Q15" t="n">
        <v>3.56</v>
      </c>
      <c r="R15" t="n">
        <v>3.56</v>
      </c>
      <c r="S15">
        <f>IF(OR(G15=0,G15=""),"",ABS((G15-IF($C15="LT",Config!$F$2,Config!$F$14))/IF($C15="LT",Config!$G$2,Config!$G$14)))</f>
        <v/>
      </c>
      <c r="T15">
        <f>IF(OR(H15=0,H15=""),"",ABS((H15-IF($C15="LT",Config!$F$3,Config!$F$15))/IF($C15="LT",Config!$G$3,Config!$G$15)))</f>
        <v/>
      </c>
      <c r="U15">
        <f>IF(OR(I15=0,I15=""),"",ABS((I15-IF($C15="LT",Config!$F$4,Config!$F$16))/IF($C15="LT",Config!$G$4,Config!$G$16)))</f>
        <v/>
      </c>
      <c r="V15">
        <f>IF(OR(J15=0,J15=""),"",ABS((J15-IF($C15="LT",Config!$F$5,Config!$F$17))/IF($C15="LT",Config!$G$5,Config!$G$17)))</f>
        <v/>
      </c>
      <c r="W15">
        <f>IF(OR(K15=0,K15=""),"",ABS((K15-IF($C15="LT",Config!$F$6,Config!$F$18))/IF($C15="LT",Config!$G$6,Config!$G$18)))</f>
        <v/>
      </c>
      <c r="X15">
        <f>IF(OR(L15=0,L15=""),"",ABS((L15-IF($C15="LT",Config!$F$7,Config!$F$19))/IF($C15="LT",Config!$G$7,Config!$G$19)))</f>
        <v/>
      </c>
      <c r="Y15">
        <f>IF(OR(M15=0,M15=""),"",ABS((M15-IF($C15="LT",Config!$F$8,Config!$F$20))/IF($C15="LT",Config!$G$8,Config!$G$20)))</f>
        <v/>
      </c>
      <c r="Z15">
        <f>IF(OR(N15=0,N15=""),"",ABS((N15-IF($C15="LT",Config!$F$9,Config!$F$21))/IF($C15="LT",Config!$G$9,Config!$G$21)))</f>
        <v/>
      </c>
      <c r="AA15">
        <f>IF(OR(O15=0,O15=""),"",ABS((O15-IF($C15="LT",Config!$F$10,Config!$F$22))/IF($C15="LT",Config!$G$10,Config!$G$22)))</f>
        <v/>
      </c>
      <c r="AB15">
        <f>IF(OR(P15=0,P15=""),"",ABS((P15-IF($C15="LT",Config!$F$11,Config!$F$23))/IF($C15="LT",Config!$G$11,Config!$G$23)))</f>
        <v/>
      </c>
      <c r="AC15">
        <f>IF(OR(Q15=0,Q15=""),"",ABS((Q15-IF($C15="LT",Config!$F$12,Config!$F$24))/IF($C15="LT",Config!$G$12,Config!$G$24)))</f>
        <v/>
      </c>
      <c r="AD15">
        <f>IF(OR(R15=0,R15=""),"",ABS((R15-IF($C15="LT",Config!$F$13,Config!$F$25))/IF($C15="LT",Config!$G$13,Config!$G$25)))</f>
        <v/>
      </c>
    </row>
    <row r="16">
      <c r="A16" t="inlineStr">
        <is>
          <t>04A2026120315</t>
        </is>
      </c>
      <c r="B16" t="inlineStr">
        <is>
          <t>CRS0000674</t>
        </is>
      </c>
      <c r="C16" t="inlineStr">
        <is>
          <t>MT</t>
        </is>
      </c>
      <c r="D16" t="inlineStr">
        <is>
          <t>TCX413U-DS1B01</t>
        </is>
      </c>
      <c r="E16" s="2" t="n">
        <v>46042</v>
      </c>
      <c r="F16" t="inlineStr">
        <is>
          <t>Pass</t>
        </is>
      </c>
      <c r="G16" t="n">
        <v>102.1</v>
      </c>
      <c r="H16" t="n">
        <v>74.3</v>
      </c>
      <c r="I16" t="n">
        <v>-1957.8</v>
      </c>
      <c r="J16" t="n">
        <v>62.4</v>
      </c>
      <c r="K16" t="n">
        <v>0</v>
      </c>
      <c r="L16" t="n">
        <v>7.6</v>
      </c>
      <c r="M16" t="n">
        <v>0</v>
      </c>
      <c r="N16" t="n">
        <v>70</v>
      </c>
      <c r="O16" t="n">
        <v>115.24</v>
      </c>
      <c r="P16" t="n">
        <v>115.24</v>
      </c>
      <c r="Q16" t="n">
        <v>3.59</v>
      </c>
      <c r="R16" t="n">
        <v>3.69</v>
      </c>
      <c r="S16">
        <f>IF(OR(G16=0,G16=""),"",ABS((G16-IF($C16="LT",Config!$F$2,Config!$F$14))/IF($C16="LT",Config!$G$2,Config!$G$14)))</f>
        <v/>
      </c>
      <c r="T16">
        <f>IF(OR(H16=0,H16=""),"",ABS((H16-IF($C16="LT",Config!$F$3,Config!$F$15))/IF($C16="LT",Config!$G$3,Config!$G$15)))</f>
        <v/>
      </c>
      <c r="U16">
        <f>IF(OR(I16=0,I16=""),"",ABS((I16-IF($C16="LT",Config!$F$4,Config!$F$16))/IF($C16="LT",Config!$G$4,Config!$G$16)))</f>
        <v/>
      </c>
      <c r="V16">
        <f>IF(OR(J16=0,J16=""),"",ABS((J16-IF($C16="LT",Config!$F$5,Config!$F$17))/IF($C16="LT",Config!$G$5,Config!$G$17)))</f>
        <v/>
      </c>
      <c r="W16">
        <f>IF(OR(K16=0,K16=""),"",ABS((K16-IF($C16="LT",Config!$F$6,Config!$F$18))/IF($C16="LT",Config!$G$6,Config!$G$18)))</f>
        <v/>
      </c>
      <c r="X16">
        <f>IF(OR(L16=0,L16=""),"",ABS((L16-IF($C16="LT",Config!$F$7,Config!$F$19))/IF($C16="LT",Config!$G$7,Config!$G$19)))</f>
        <v/>
      </c>
      <c r="Y16">
        <f>IF(OR(M16=0,M16=""),"",ABS((M16-IF($C16="LT",Config!$F$8,Config!$F$20))/IF($C16="LT",Config!$G$8,Config!$G$20)))</f>
        <v/>
      </c>
      <c r="Z16">
        <f>IF(OR(N16=0,N16=""),"",ABS((N16-IF($C16="LT",Config!$F$9,Config!$F$21))/IF($C16="LT",Config!$G$9,Config!$G$21)))</f>
        <v/>
      </c>
      <c r="AA16">
        <f>IF(OR(O16=0,O16=""),"",ABS((O16-IF($C16="LT",Config!$F$10,Config!$F$22))/IF($C16="LT",Config!$G$10,Config!$G$22)))</f>
        <v/>
      </c>
      <c r="AB16">
        <f>IF(OR(P16=0,P16=""),"",ABS((P16-IF($C16="LT",Config!$F$11,Config!$F$23))/IF($C16="LT",Config!$G$11,Config!$G$23)))</f>
        <v/>
      </c>
      <c r="AC16">
        <f>IF(OR(Q16=0,Q16=""),"",ABS((Q16-IF($C16="LT",Config!$F$12,Config!$F$24))/IF($C16="LT",Config!$G$12,Config!$G$24)))</f>
        <v/>
      </c>
      <c r="AD16">
        <f>IF(OR(R16=0,R16=""),"",ABS((R16-IF($C16="LT",Config!$F$13,Config!$F$25))/IF($C16="LT",Config!$G$13,Config!$G$25)))</f>
        <v/>
      </c>
    </row>
    <row r="17">
      <c r="A17" t="inlineStr">
        <is>
          <t>04A2026120315</t>
        </is>
      </c>
      <c r="B17" t="inlineStr">
        <is>
          <t>CRS0000674</t>
        </is>
      </c>
      <c r="C17" t="inlineStr">
        <is>
          <t>MT</t>
        </is>
      </c>
      <c r="D17" t="inlineStr">
        <is>
          <t>TCX413U-DS1B01</t>
        </is>
      </c>
      <c r="E17" s="2" t="n">
        <v>46043</v>
      </c>
      <c r="F17" t="inlineStr">
        <is>
          <t>Pass</t>
        </is>
      </c>
      <c r="G17" t="n">
        <v>101.7</v>
      </c>
      <c r="H17" t="n">
        <v>74.8</v>
      </c>
      <c r="I17" t="n">
        <v>-1957.8</v>
      </c>
      <c r="J17" t="n">
        <v>65.5</v>
      </c>
      <c r="K17" t="n">
        <v>0</v>
      </c>
      <c r="L17" t="n">
        <v>2.7</v>
      </c>
      <c r="M17" t="n">
        <v>0</v>
      </c>
      <c r="N17" t="n">
        <v>68.2</v>
      </c>
      <c r="O17" t="n">
        <v>112.23</v>
      </c>
      <c r="P17" t="n">
        <v>116.63</v>
      </c>
      <c r="Q17" t="n">
        <v>3.42</v>
      </c>
      <c r="R17" t="n">
        <v>3.52</v>
      </c>
      <c r="S17">
        <f>IF(OR(G17=0,G17=""),"",ABS((G17-IF($C17="LT",Config!$F$2,Config!$F$14))/IF($C17="LT",Config!$G$2,Config!$G$14)))</f>
        <v/>
      </c>
      <c r="T17">
        <f>IF(OR(H17=0,H17=""),"",ABS((H17-IF($C17="LT",Config!$F$3,Config!$F$15))/IF($C17="LT",Config!$G$3,Config!$G$15)))</f>
        <v/>
      </c>
      <c r="U17">
        <f>IF(OR(I17=0,I17=""),"",ABS((I17-IF($C17="LT",Config!$F$4,Config!$F$16))/IF($C17="LT",Config!$G$4,Config!$G$16)))</f>
        <v/>
      </c>
      <c r="V17">
        <f>IF(OR(J17=0,J17=""),"",ABS((J17-IF($C17="LT",Config!$F$5,Config!$F$17))/IF($C17="LT",Config!$G$5,Config!$G$17)))</f>
        <v/>
      </c>
      <c r="W17">
        <f>IF(OR(K17=0,K17=""),"",ABS((K17-IF($C17="LT",Config!$F$6,Config!$F$18))/IF($C17="LT",Config!$G$6,Config!$G$18)))</f>
        <v/>
      </c>
      <c r="X17">
        <f>IF(OR(L17=0,L17=""),"",ABS((L17-IF($C17="LT",Config!$F$7,Config!$F$19))/IF($C17="LT",Config!$G$7,Config!$G$19)))</f>
        <v/>
      </c>
      <c r="Y17">
        <f>IF(OR(M17=0,M17=""),"",ABS((M17-IF($C17="LT",Config!$F$8,Config!$F$20))/IF($C17="LT",Config!$G$8,Config!$G$20)))</f>
        <v/>
      </c>
      <c r="Z17">
        <f>IF(OR(N17=0,N17=""),"",ABS((N17-IF($C17="LT",Config!$F$9,Config!$F$21))/IF($C17="LT",Config!$G$9,Config!$G$21)))</f>
        <v/>
      </c>
      <c r="AA17">
        <f>IF(OR(O17=0,O17=""),"",ABS((O17-IF($C17="LT",Config!$F$10,Config!$F$22))/IF($C17="LT",Config!$G$10,Config!$G$22)))</f>
        <v/>
      </c>
      <c r="AB17">
        <f>IF(OR(P17=0,P17=""),"",ABS((P17-IF($C17="LT",Config!$F$11,Config!$F$23))/IF($C17="LT",Config!$G$11,Config!$G$23)))</f>
        <v/>
      </c>
      <c r="AC17">
        <f>IF(OR(Q17=0,Q17=""),"",ABS((Q17-IF($C17="LT",Config!$F$12,Config!$F$24))/IF($C17="LT",Config!$G$12,Config!$G$24)))</f>
        <v/>
      </c>
      <c r="AD17">
        <f>IF(OR(R17=0,R17=""),"",ABS((R17-IF($C17="LT",Config!$F$13,Config!$F$25))/IF($C17="LT",Config!$G$13,Config!$G$25)))</f>
        <v/>
      </c>
    </row>
    <row r="18">
      <c r="A18" t="inlineStr">
        <is>
          <t>04A2026120315</t>
        </is>
      </c>
      <c r="B18" t="inlineStr">
        <is>
          <t>CRS0000674</t>
        </is>
      </c>
      <c r="C18" t="inlineStr">
        <is>
          <t>MT</t>
        </is>
      </c>
      <c r="D18" t="inlineStr">
        <is>
          <t>TCX413U-DS1B01</t>
        </is>
      </c>
      <c r="E18" s="2" t="n">
        <v>46043</v>
      </c>
      <c r="F18" t="inlineStr">
        <is>
          <t>Pass</t>
        </is>
      </c>
      <c r="G18" t="n">
        <v>96.3</v>
      </c>
      <c r="H18" t="n">
        <v>76.59999999999999</v>
      </c>
      <c r="I18" t="n">
        <v>-1957.8</v>
      </c>
      <c r="J18" t="n">
        <v>65.5</v>
      </c>
      <c r="K18" t="n">
        <v>0</v>
      </c>
      <c r="L18" t="n">
        <v>4.2</v>
      </c>
      <c r="M18" t="n">
        <v>0</v>
      </c>
      <c r="N18" t="n">
        <v>69.7</v>
      </c>
      <c r="O18" t="n">
        <v>114.94</v>
      </c>
      <c r="P18" t="n">
        <v>114.58</v>
      </c>
      <c r="Q18" t="n">
        <v>3.52</v>
      </c>
      <c r="R18" t="n">
        <v>3.64</v>
      </c>
      <c r="S18">
        <f>IF(OR(G18=0,G18=""),"",ABS((G18-IF($C18="LT",Config!$F$2,Config!$F$14))/IF($C18="LT",Config!$G$2,Config!$G$14)))</f>
        <v/>
      </c>
      <c r="T18">
        <f>IF(OR(H18=0,H18=""),"",ABS((H18-IF($C18="LT",Config!$F$3,Config!$F$15))/IF($C18="LT",Config!$G$3,Config!$G$15)))</f>
        <v/>
      </c>
      <c r="U18">
        <f>IF(OR(I18=0,I18=""),"",ABS((I18-IF($C18="LT",Config!$F$4,Config!$F$16))/IF($C18="LT",Config!$G$4,Config!$G$16)))</f>
        <v/>
      </c>
      <c r="V18">
        <f>IF(OR(J18=0,J18=""),"",ABS((J18-IF($C18="LT",Config!$F$5,Config!$F$17))/IF($C18="LT",Config!$G$5,Config!$G$17)))</f>
        <v/>
      </c>
      <c r="W18">
        <f>IF(OR(K18=0,K18=""),"",ABS((K18-IF($C18="LT",Config!$F$6,Config!$F$18))/IF($C18="LT",Config!$G$6,Config!$G$18)))</f>
        <v/>
      </c>
      <c r="X18">
        <f>IF(OR(L18=0,L18=""),"",ABS((L18-IF($C18="LT",Config!$F$7,Config!$F$19))/IF($C18="LT",Config!$G$7,Config!$G$19)))</f>
        <v/>
      </c>
      <c r="Y18">
        <f>IF(OR(M18=0,M18=""),"",ABS((M18-IF($C18="LT",Config!$F$8,Config!$F$20))/IF($C18="LT",Config!$G$8,Config!$G$20)))</f>
        <v/>
      </c>
      <c r="Z18">
        <f>IF(OR(N18=0,N18=""),"",ABS((N18-IF($C18="LT",Config!$F$9,Config!$F$21))/IF($C18="LT",Config!$G$9,Config!$G$21)))</f>
        <v/>
      </c>
      <c r="AA18">
        <f>IF(OR(O18=0,O18=""),"",ABS((O18-IF($C18="LT",Config!$F$10,Config!$F$22))/IF($C18="LT",Config!$G$10,Config!$G$22)))</f>
        <v/>
      </c>
      <c r="AB18">
        <f>IF(OR(P18=0,P18=""),"",ABS((P18-IF($C18="LT",Config!$F$11,Config!$F$23))/IF($C18="LT",Config!$G$11,Config!$G$23)))</f>
        <v/>
      </c>
      <c r="AC18">
        <f>IF(OR(Q18=0,Q18=""),"",ABS((Q18-IF($C18="LT",Config!$F$12,Config!$F$24))/IF($C18="LT",Config!$G$12,Config!$G$24)))</f>
        <v/>
      </c>
      <c r="AD18">
        <f>IF(OR(R18=0,R18=""),"",ABS((R18-IF($C18="LT",Config!$F$13,Config!$F$25))/IF($C18="LT",Config!$G$13,Config!$G$25)))</f>
        <v/>
      </c>
    </row>
    <row r="19">
      <c r="A19" t="inlineStr">
        <is>
          <t>04A2026120315</t>
        </is>
      </c>
      <c r="B19" t="inlineStr">
        <is>
          <t>CRS0000674</t>
        </is>
      </c>
      <c r="C19" t="inlineStr">
        <is>
          <t>MT</t>
        </is>
      </c>
      <c r="D19" t="inlineStr">
        <is>
          <t>TCX413U-DS1B01</t>
        </is>
      </c>
      <c r="E19" s="2" t="n">
        <v>46044</v>
      </c>
      <c r="F19" t="inlineStr">
        <is>
          <t>Pass</t>
        </is>
      </c>
      <c r="G19" t="n">
        <v>105.7</v>
      </c>
      <c r="H19" t="n">
        <v>79.3</v>
      </c>
      <c r="I19" t="n">
        <v>-1957.8</v>
      </c>
      <c r="J19" t="n">
        <v>65</v>
      </c>
      <c r="K19" t="n">
        <v>0</v>
      </c>
      <c r="L19" t="n">
        <v>6.6</v>
      </c>
      <c r="M19" t="n">
        <v>0</v>
      </c>
      <c r="N19" t="n">
        <v>71.59999999999999</v>
      </c>
      <c r="O19" t="n">
        <v>111.94</v>
      </c>
      <c r="P19" t="n">
        <v>113.55</v>
      </c>
      <c r="Q19" t="n">
        <v>3.83</v>
      </c>
      <c r="R19" t="n">
        <v>3.86</v>
      </c>
      <c r="S19">
        <f>IF(OR(G19=0,G19=""),"",ABS((G19-IF($C19="LT",Config!$F$2,Config!$F$14))/IF($C19="LT",Config!$G$2,Config!$G$14)))</f>
        <v/>
      </c>
      <c r="T19">
        <f>IF(OR(H19=0,H19=""),"",ABS((H19-IF($C19="LT",Config!$F$3,Config!$F$15))/IF($C19="LT",Config!$G$3,Config!$G$15)))</f>
        <v/>
      </c>
      <c r="U19">
        <f>IF(OR(I19=0,I19=""),"",ABS((I19-IF($C19="LT",Config!$F$4,Config!$F$16))/IF($C19="LT",Config!$G$4,Config!$G$16)))</f>
        <v/>
      </c>
      <c r="V19">
        <f>IF(OR(J19=0,J19=""),"",ABS((J19-IF($C19="LT",Config!$F$5,Config!$F$17))/IF($C19="LT",Config!$G$5,Config!$G$17)))</f>
        <v/>
      </c>
      <c r="W19">
        <f>IF(OR(K19=0,K19=""),"",ABS((K19-IF($C19="LT",Config!$F$6,Config!$F$18))/IF($C19="LT",Config!$G$6,Config!$G$18)))</f>
        <v/>
      </c>
      <c r="X19">
        <f>IF(OR(L19=0,L19=""),"",ABS((L19-IF($C19="LT",Config!$F$7,Config!$F$19))/IF($C19="LT",Config!$G$7,Config!$G$19)))</f>
        <v/>
      </c>
      <c r="Y19">
        <f>IF(OR(M19=0,M19=""),"",ABS((M19-IF($C19="LT",Config!$F$8,Config!$F$20))/IF($C19="LT",Config!$G$8,Config!$G$20)))</f>
        <v/>
      </c>
      <c r="Z19">
        <f>IF(OR(N19=0,N19=""),"",ABS((N19-IF($C19="LT",Config!$F$9,Config!$F$21))/IF($C19="LT",Config!$G$9,Config!$G$21)))</f>
        <v/>
      </c>
      <c r="AA19">
        <f>IF(OR(O19=0,O19=""),"",ABS((O19-IF($C19="LT",Config!$F$10,Config!$F$22))/IF($C19="LT",Config!$G$10,Config!$G$22)))</f>
        <v/>
      </c>
      <c r="AB19">
        <f>IF(OR(P19=0,P19=""),"",ABS((P19-IF($C19="LT",Config!$F$11,Config!$F$23))/IF($C19="LT",Config!$G$11,Config!$G$23)))</f>
        <v/>
      </c>
      <c r="AC19">
        <f>IF(OR(Q19=0,Q19=""),"",ABS((Q19-IF($C19="LT",Config!$F$12,Config!$F$24))/IF($C19="LT",Config!$G$12,Config!$G$24)))</f>
        <v/>
      </c>
      <c r="AD19">
        <f>IF(OR(R19=0,R19=""),"",ABS((R19-IF($C19="LT",Config!$F$13,Config!$F$25))/IF($C19="LT",Config!$G$13,Config!$G$25)))</f>
        <v/>
      </c>
    </row>
    <row r="20">
      <c r="A20" t="inlineStr">
        <is>
          <t>04A2026120315</t>
        </is>
      </c>
      <c r="B20" t="inlineStr">
        <is>
          <t>CRS0000674</t>
        </is>
      </c>
      <c r="C20" t="inlineStr">
        <is>
          <t>MT</t>
        </is>
      </c>
      <c r="D20" t="inlineStr">
        <is>
          <t>TCX413U-DS1B01</t>
        </is>
      </c>
      <c r="E20" s="2" t="n">
        <v>46044</v>
      </c>
      <c r="F20" t="inlineStr">
        <is>
          <t>Fail</t>
        </is>
      </c>
      <c r="G20" t="n">
        <v>104.4</v>
      </c>
      <c r="H20" t="n">
        <v>80.2</v>
      </c>
      <c r="I20" t="n">
        <v>-1957.8</v>
      </c>
      <c r="J20" t="n">
        <v>65</v>
      </c>
      <c r="K20" t="n">
        <v>0</v>
      </c>
      <c r="L20" t="n">
        <v>6.9</v>
      </c>
      <c r="M20" t="n">
        <v>0</v>
      </c>
      <c r="N20" t="n">
        <v>71.90000000000001</v>
      </c>
      <c r="O20" t="n">
        <v>111.86</v>
      </c>
      <c r="P20" t="n">
        <v>113.48</v>
      </c>
      <c r="Q20" t="n">
        <v>3.86</v>
      </c>
      <c r="R20" t="n">
        <v>3.96</v>
      </c>
      <c r="S20">
        <f>IF(OR(G20=0,G20=""),"",ABS((G20-IF($C20="LT",Config!$F$2,Config!$F$14))/IF($C20="LT",Config!$G$2,Config!$G$14)))</f>
        <v/>
      </c>
      <c r="T20">
        <f>IF(OR(H20=0,H20=""),"",ABS((H20-IF($C20="LT",Config!$F$3,Config!$F$15))/IF($C20="LT",Config!$G$3,Config!$G$15)))</f>
        <v/>
      </c>
      <c r="U20">
        <f>IF(OR(I20=0,I20=""),"",ABS((I20-IF($C20="LT",Config!$F$4,Config!$F$16))/IF($C20="LT",Config!$G$4,Config!$G$16)))</f>
        <v/>
      </c>
      <c r="V20">
        <f>IF(OR(J20=0,J20=""),"",ABS((J20-IF($C20="LT",Config!$F$5,Config!$F$17))/IF($C20="LT",Config!$G$5,Config!$G$17)))</f>
        <v/>
      </c>
      <c r="W20">
        <f>IF(OR(K20=0,K20=""),"",ABS((K20-IF($C20="LT",Config!$F$6,Config!$F$18))/IF($C20="LT",Config!$G$6,Config!$G$18)))</f>
        <v/>
      </c>
      <c r="X20">
        <f>IF(OR(L20=0,L20=""),"",ABS((L20-IF($C20="LT",Config!$F$7,Config!$F$19))/IF($C20="LT",Config!$G$7,Config!$G$19)))</f>
        <v/>
      </c>
      <c r="Y20">
        <f>IF(OR(M20=0,M20=""),"",ABS((M20-IF($C20="LT",Config!$F$8,Config!$F$20))/IF($C20="LT",Config!$G$8,Config!$G$20)))</f>
        <v/>
      </c>
      <c r="Z20">
        <f>IF(OR(N20=0,N20=""),"",ABS((N20-IF($C20="LT",Config!$F$9,Config!$F$21))/IF($C20="LT",Config!$G$9,Config!$G$21)))</f>
        <v/>
      </c>
      <c r="AA20">
        <f>IF(OR(O20=0,O20=""),"",ABS((O20-IF($C20="LT",Config!$F$10,Config!$F$22))/IF($C20="LT",Config!$G$10,Config!$G$22)))</f>
        <v/>
      </c>
      <c r="AB20">
        <f>IF(OR(P20=0,P20=""),"",ABS((P20-IF($C20="LT",Config!$F$11,Config!$F$23))/IF($C20="LT",Config!$G$11,Config!$G$23)))</f>
        <v/>
      </c>
      <c r="AC20">
        <f>IF(OR(Q20=0,Q20=""),"",ABS((Q20-IF($C20="LT",Config!$F$12,Config!$F$24))/IF($C20="LT",Config!$G$12,Config!$G$24)))</f>
        <v/>
      </c>
      <c r="AD20">
        <f>IF(OR(R20=0,R20=""),"",ABS((R20-IF($C20="LT",Config!$F$13,Config!$F$25))/IF($C20="LT",Config!$G$13,Config!$G$25)))</f>
        <v/>
      </c>
    </row>
    <row r="21">
      <c r="A21" t="inlineStr">
        <is>
          <t>04A2026120315</t>
        </is>
      </c>
      <c r="B21" t="inlineStr">
        <is>
          <t>CRS0000674</t>
        </is>
      </c>
      <c r="C21" t="inlineStr">
        <is>
          <t>MT</t>
        </is>
      </c>
      <c r="D21" t="inlineStr">
        <is>
          <t>TCX413U-DS1B01</t>
        </is>
      </c>
      <c r="E21" s="2" t="n">
        <v>46044</v>
      </c>
      <c r="F21" t="inlineStr">
        <is>
          <t>Fail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>
        <f>IF(OR(G21=0,G21=""),"",ABS((G21-IF($C21="LT",Config!$F$2,Config!$F$14))/IF($C21="LT",Config!$G$2,Config!$G$14)))</f>
        <v/>
      </c>
      <c r="T21">
        <f>IF(OR(H21=0,H21=""),"",ABS((H21-IF($C21="LT",Config!$F$3,Config!$F$15))/IF($C21="LT",Config!$G$3,Config!$G$15)))</f>
        <v/>
      </c>
      <c r="U21">
        <f>IF(OR(I21=0,I21=""),"",ABS((I21-IF($C21="LT",Config!$F$4,Config!$F$16))/IF($C21="LT",Config!$G$4,Config!$G$16)))</f>
        <v/>
      </c>
      <c r="V21">
        <f>IF(OR(J21=0,J21=""),"",ABS((J21-IF($C21="LT",Config!$F$5,Config!$F$17))/IF($C21="LT",Config!$G$5,Config!$G$17)))</f>
        <v/>
      </c>
      <c r="W21">
        <f>IF(OR(K21=0,K21=""),"",ABS((K21-IF($C21="LT",Config!$F$6,Config!$F$18))/IF($C21="LT",Config!$G$6,Config!$G$18)))</f>
        <v/>
      </c>
      <c r="X21">
        <f>IF(OR(L21=0,L21=""),"",ABS((L21-IF($C21="LT",Config!$F$7,Config!$F$19))/IF($C21="LT",Config!$G$7,Config!$G$19)))</f>
        <v/>
      </c>
      <c r="Y21">
        <f>IF(OR(M21=0,M21=""),"",ABS((M21-IF($C21="LT",Config!$F$8,Config!$F$20))/IF($C21="LT",Config!$G$8,Config!$G$20)))</f>
        <v/>
      </c>
      <c r="Z21">
        <f>IF(OR(N21=0,N21=""),"",ABS((N21-IF($C21="LT",Config!$F$9,Config!$F$21))/IF($C21="LT",Config!$G$9,Config!$G$21)))</f>
        <v/>
      </c>
      <c r="AA21">
        <f>IF(OR(O21=0,O21=""),"",ABS((O21-IF($C21="LT",Config!$F$10,Config!$F$22))/IF($C21="LT",Config!$G$10,Config!$G$22)))</f>
        <v/>
      </c>
      <c r="AB21">
        <f>IF(OR(P21=0,P21=""),"",ABS((P21-IF($C21="LT",Config!$F$11,Config!$F$23))/IF($C21="LT",Config!$G$11,Config!$G$23)))</f>
        <v/>
      </c>
      <c r="AC21">
        <f>IF(OR(Q21=0,Q21=""),"",ABS((Q21-IF($C21="LT",Config!$F$12,Config!$F$24))/IF($C21="LT",Config!$G$12,Config!$G$24)))</f>
        <v/>
      </c>
      <c r="AD21">
        <f>IF(OR(R21=0,R21=""),"",ABS((R21-IF($C21="LT",Config!$F$13,Config!$F$25))/IF($C21="LT",Config!$G$13,Config!$G$25)))</f>
        <v/>
      </c>
    </row>
    <row r="22">
      <c r="A22" t="inlineStr">
        <is>
          <t>04A2026120315</t>
        </is>
      </c>
      <c r="B22" t="inlineStr">
        <is>
          <t>CRS0000674</t>
        </is>
      </c>
      <c r="C22" t="inlineStr">
        <is>
          <t>MT</t>
        </is>
      </c>
      <c r="D22" t="inlineStr">
        <is>
          <t>TCX413U-DS1B01</t>
        </is>
      </c>
      <c r="E22" s="2" t="n">
        <v>46044</v>
      </c>
      <c r="F22" t="inlineStr">
        <is>
          <t>Fail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>
        <f>IF(OR(G22=0,G22=""),"",ABS((G22-IF($C22="LT",Config!$F$2,Config!$F$14))/IF($C22="LT",Config!$G$2,Config!$G$14)))</f>
        <v/>
      </c>
      <c r="T22">
        <f>IF(OR(H22=0,H22=""),"",ABS((H22-IF($C22="LT",Config!$F$3,Config!$F$15))/IF($C22="LT",Config!$G$3,Config!$G$15)))</f>
        <v/>
      </c>
      <c r="U22">
        <f>IF(OR(I22=0,I22=""),"",ABS((I22-IF($C22="LT",Config!$F$4,Config!$F$16))/IF($C22="LT",Config!$G$4,Config!$G$16)))</f>
        <v/>
      </c>
      <c r="V22">
        <f>IF(OR(J22=0,J22=""),"",ABS((J22-IF($C22="LT",Config!$F$5,Config!$F$17))/IF($C22="LT",Config!$G$5,Config!$G$17)))</f>
        <v/>
      </c>
      <c r="W22">
        <f>IF(OR(K22=0,K22=""),"",ABS((K22-IF($C22="LT",Config!$F$6,Config!$F$18))/IF($C22="LT",Config!$G$6,Config!$G$18)))</f>
        <v/>
      </c>
      <c r="X22">
        <f>IF(OR(L22=0,L22=""),"",ABS((L22-IF($C22="LT",Config!$F$7,Config!$F$19))/IF($C22="LT",Config!$G$7,Config!$G$19)))</f>
        <v/>
      </c>
      <c r="Y22">
        <f>IF(OR(M22=0,M22=""),"",ABS((M22-IF($C22="LT",Config!$F$8,Config!$F$20))/IF($C22="LT",Config!$G$8,Config!$G$20)))</f>
        <v/>
      </c>
      <c r="Z22">
        <f>IF(OR(N22=0,N22=""),"",ABS((N22-IF($C22="LT",Config!$F$9,Config!$F$21))/IF($C22="LT",Config!$G$9,Config!$G$21)))</f>
        <v/>
      </c>
      <c r="AA22">
        <f>IF(OR(O22=0,O22=""),"",ABS((O22-IF($C22="LT",Config!$F$10,Config!$F$22))/IF($C22="LT",Config!$G$10,Config!$G$22)))</f>
        <v/>
      </c>
      <c r="AB22">
        <f>IF(OR(P22=0,P22=""),"",ABS((P22-IF($C22="LT",Config!$F$11,Config!$F$23))/IF($C22="LT",Config!$G$11,Config!$G$23)))</f>
        <v/>
      </c>
      <c r="AC22">
        <f>IF(OR(Q22=0,Q22=""),"",ABS((Q22-IF($C22="LT",Config!$F$12,Config!$F$24))/IF($C22="LT",Config!$G$12,Config!$G$24)))</f>
        <v/>
      </c>
      <c r="AD22">
        <f>IF(OR(R22=0,R22=""),"",ABS((R22-IF($C22="LT",Config!$F$13,Config!$F$25))/IF($C22="LT",Config!$G$13,Config!$G$25)))</f>
        <v/>
      </c>
    </row>
    <row r="23">
      <c r="A23" t="inlineStr">
        <is>
          <t>04A2026120315</t>
        </is>
      </c>
      <c r="B23" t="inlineStr">
        <is>
          <t>CRS0000674</t>
        </is>
      </c>
      <c r="C23" t="inlineStr">
        <is>
          <t>MT</t>
        </is>
      </c>
      <c r="D23" t="inlineStr">
        <is>
          <t>TCX413U-DS1B01</t>
        </is>
      </c>
      <c r="E23" s="2" t="n">
        <v>46049</v>
      </c>
      <c r="F23" t="inlineStr">
        <is>
          <t>Fail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>
        <f>IF(OR(G23=0,G23=""),"",ABS((G23-IF($C23="LT",Config!$F$2,Config!$F$14))/IF($C23="LT",Config!$G$2,Config!$G$14)))</f>
        <v/>
      </c>
      <c r="T23">
        <f>IF(OR(H23=0,H23=""),"",ABS((H23-IF($C23="LT",Config!$F$3,Config!$F$15))/IF($C23="LT",Config!$G$3,Config!$G$15)))</f>
        <v/>
      </c>
      <c r="U23">
        <f>IF(OR(I23=0,I23=""),"",ABS((I23-IF($C23="LT",Config!$F$4,Config!$F$16))/IF($C23="LT",Config!$G$4,Config!$G$16)))</f>
        <v/>
      </c>
      <c r="V23">
        <f>IF(OR(J23=0,J23=""),"",ABS((J23-IF($C23="LT",Config!$F$5,Config!$F$17))/IF($C23="LT",Config!$G$5,Config!$G$17)))</f>
        <v/>
      </c>
      <c r="W23">
        <f>IF(OR(K23=0,K23=""),"",ABS((K23-IF($C23="LT",Config!$F$6,Config!$F$18))/IF($C23="LT",Config!$G$6,Config!$G$18)))</f>
        <v/>
      </c>
      <c r="X23">
        <f>IF(OR(L23=0,L23=""),"",ABS((L23-IF($C23="LT",Config!$F$7,Config!$F$19))/IF($C23="LT",Config!$G$7,Config!$G$19)))</f>
        <v/>
      </c>
      <c r="Y23">
        <f>IF(OR(M23=0,M23=""),"",ABS((M23-IF($C23="LT",Config!$F$8,Config!$F$20))/IF($C23="LT",Config!$G$8,Config!$G$20)))</f>
        <v/>
      </c>
      <c r="Z23">
        <f>IF(OR(N23=0,N23=""),"",ABS((N23-IF($C23="LT",Config!$F$9,Config!$F$21))/IF($C23="LT",Config!$G$9,Config!$G$21)))</f>
        <v/>
      </c>
      <c r="AA23">
        <f>IF(OR(O23=0,O23=""),"",ABS((O23-IF($C23="LT",Config!$F$10,Config!$F$22))/IF($C23="LT",Config!$G$10,Config!$G$22)))</f>
        <v/>
      </c>
      <c r="AB23">
        <f>IF(OR(P23=0,P23=""),"",ABS((P23-IF($C23="LT",Config!$F$11,Config!$F$23))/IF($C23="LT",Config!$G$11,Config!$G$23)))</f>
        <v/>
      </c>
      <c r="AC23">
        <f>IF(OR(Q23=0,Q23=""),"",ABS((Q23-IF($C23="LT",Config!$F$12,Config!$F$24))/IF($C23="LT",Config!$G$12,Config!$G$24)))</f>
        <v/>
      </c>
      <c r="AD23">
        <f>IF(OR(R23=0,R23=""),"",ABS((R23-IF($C23="LT",Config!$F$13,Config!$F$25))/IF($C23="LT",Config!$G$13,Config!$G$25)))</f>
        <v/>
      </c>
    </row>
    <row r="24">
      <c r="A24" t="inlineStr">
        <is>
          <t>04A2926120429</t>
        </is>
      </c>
      <c r="B24" t="inlineStr">
        <is>
          <t>CRS0000675</t>
        </is>
      </c>
      <c r="C24" t="inlineStr">
        <is>
          <t>LT</t>
        </is>
      </c>
      <c r="D24" t="inlineStr">
        <is>
          <t>ALX440U-DS3B01</t>
        </is>
      </c>
      <c r="E24" s="2" t="n">
        <v>46053</v>
      </c>
      <c r="F24" t="inlineStr">
        <is>
          <t>Fail</t>
        </is>
      </c>
      <c r="G24" t="n">
        <v>136.1</v>
      </c>
      <c r="H24" t="n">
        <v>87</v>
      </c>
      <c r="I24" t="n">
        <v>-1957.8</v>
      </c>
      <c r="J24" t="n">
        <v>53.9</v>
      </c>
      <c r="K24" t="n">
        <v>0</v>
      </c>
      <c r="L24" t="n">
        <v>9.800000000000001</v>
      </c>
      <c r="M24" t="n">
        <v>0</v>
      </c>
      <c r="N24" t="n">
        <v>63.7</v>
      </c>
      <c r="O24" t="n">
        <v>111.57</v>
      </c>
      <c r="P24" t="n">
        <v>113.18</v>
      </c>
      <c r="Q24" t="n">
        <v>8.4</v>
      </c>
      <c r="R24" t="n">
        <v>8.130000000000001</v>
      </c>
      <c r="S24">
        <f>IF(OR(G24=0,G24=""),"",ABS((G24-IF($C24="LT",Config!$F$2,Config!$F$14))/IF($C24="LT",Config!$G$2,Config!$G$14)))</f>
        <v/>
      </c>
      <c r="T24">
        <f>IF(OR(H24=0,H24=""),"",ABS((H24-IF($C24="LT",Config!$F$3,Config!$F$15))/IF($C24="LT",Config!$G$3,Config!$G$15)))</f>
        <v/>
      </c>
      <c r="U24">
        <f>IF(OR(I24=0,I24=""),"",ABS((I24-IF($C24="LT",Config!$F$4,Config!$F$16))/IF($C24="LT",Config!$G$4,Config!$G$16)))</f>
        <v/>
      </c>
      <c r="V24">
        <f>IF(OR(J24=0,J24=""),"",ABS((J24-IF($C24="LT",Config!$F$5,Config!$F$17))/IF($C24="LT",Config!$G$5,Config!$G$17)))</f>
        <v/>
      </c>
      <c r="W24">
        <f>IF(OR(K24=0,K24=""),"",ABS((K24-IF($C24="LT",Config!$F$6,Config!$F$18))/IF($C24="LT",Config!$G$6,Config!$G$18)))</f>
        <v/>
      </c>
      <c r="X24">
        <f>IF(OR(L24=0,L24=""),"",ABS((L24-IF($C24="LT",Config!$F$7,Config!$F$19))/IF($C24="LT",Config!$G$7,Config!$G$19)))</f>
        <v/>
      </c>
      <c r="Y24">
        <f>IF(OR(M24=0,M24=""),"",ABS((M24-IF($C24="LT",Config!$F$8,Config!$F$20))/IF($C24="LT",Config!$G$8,Config!$G$20)))</f>
        <v/>
      </c>
      <c r="Z24">
        <f>IF(OR(N24=0,N24=""),"",ABS((N24-IF($C24="LT",Config!$F$9,Config!$F$21))/IF($C24="LT",Config!$G$9,Config!$G$21)))</f>
        <v/>
      </c>
      <c r="AA24">
        <f>IF(OR(O24=0,O24=""),"",ABS((O24-IF($C24="LT",Config!$F$10,Config!$F$22))/IF($C24="LT",Config!$G$10,Config!$G$22)))</f>
        <v/>
      </c>
      <c r="AB24">
        <f>IF(OR(P24=0,P24=""),"",ABS((P24-IF($C24="LT",Config!$F$11,Config!$F$23))/IF($C24="LT",Config!$G$11,Config!$G$23)))</f>
        <v/>
      </c>
      <c r="AC24">
        <f>IF(OR(Q24=0,Q24=""),"",ABS((Q24-IF($C24="LT",Config!$F$12,Config!$F$24))/IF($C24="LT",Config!$G$12,Config!$G$24)))</f>
        <v/>
      </c>
      <c r="AD24">
        <f>IF(OR(R24=0,R24=""),"",ABS((R24-IF($C24="LT",Config!$F$13,Config!$F$25))/IF($C24="LT",Config!$G$13,Config!$G$25)))</f>
        <v/>
      </c>
    </row>
    <row r="25">
      <c r="A25" t="inlineStr">
        <is>
          <t>04A2926120429</t>
        </is>
      </c>
      <c r="B25" t="inlineStr">
        <is>
          <t>CRS0000675</t>
        </is>
      </c>
      <c r="C25" t="inlineStr">
        <is>
          <t>LT</t>
        </is>
      </c>
      <c r="D25" t="inlineStr">
        <is>
          <t>ALX440U-DS3B01</t>
        </is>
      </c>
      <c r="E25" s="2" t="n">
        <v>46053</v>
      </c>
      <c r="F25" t="inlineStr">
        <is>
          <t>Fail</t>
        </is>
      </c>
      <c r="G25" t="n">
        <v>145.9</v>
      </c>
      <c r="H25" t="n">
        <v>87.40000000000001</v>
      </c>
      <c r="I25" t="n">
        <v>-1957.8</v>
      </c>
      <c r="J25" t="n">
        <v>53.9</v>
      </c>
      <c r="K25" t="n">
        <v>0</v>
      </c>
      <c r="L25" t="n">
        <v>9.6</v>
      </c>
      <c r="M25" t="n">
        <v>0</v>
      </c>
      <c r="N25" t="n">
        <v>63.5</v>
      </c>
      <c r="O25" t="n">
        <v>113.4</v>
      </c>
      <c r="P25" t="n">
        <v>113.4</v>
      </c>
      <c r="Q25" t="n">
        <v>7.57</v>
      </c>
      <c r="R25" t="n">
        <v>7.67</v>
      </c>
      <c r="S25">
        <f>IF(OR(G25=0,G25=""),"",ABS((G25-IF($C25="LT",Config!$F$2,Config!$F$14))/IF($C25="LT",Config!$G$2,Config!$G$14)))</f>
        <v/>
      </c>
      <c r="T25">
        <f>IF(OR(H25=0,H25=""),"",ABS((H25-IF($C25="LT",Config!$F$3,Config!$F$15))/IF($C25="LT",Config!$G$3,Config!$G$15)))</f>
        <v/>
      </c>
      <c r="U25">
        <f>IF(OR(I25=0,I25=""),"",ABS((I25-IF($C25="LT",Config!$F$4,Config!$F$16))/IF($C25="LT",Config!$G$4,Config!$G$16)))</f>
        <v/>
      </c>
      <c r="V25">
        <f>IF(OR(J25=0,J25=""),"",ABS((J25-IF($C25="LT",Config!$F$5,Config!$F$17))/IF($C25="LT",Config!$G$5,Config!$G$17)))</f>
        <v/>
      </c>
      <c r="W25">
        <f>IF(OR(K25=0,K25=""),"",ABS((K25-IF($C25="LT",Config!$F$6,Config!$F$18))/IF($C25="LT",Config!$G$6,Config!$G$18)))</f>
        <v/>
      </c>
      <c r="X25">
        <f>IF(OR(L25=0,L25=""),"",ABS((L25-IF($C25="LT",Config!$F$7,Config!$F$19))/IF($C25="LT",Config!$G$7,Config!$G$19)))</f>
        <v/>
      </c>
      <c r="Y25">
        <f>IF(OR(M25=0,M25=""),"",ABS((M25-IF($C25="LT",Config!$F$8,Config!$F$20))/IF($C25="LT",Config!$G$8,Config!$G$20)))</f>
        <v/>
      </c>
      <c r="Z25">
        <f>IF(OR(N25=0,N25=""),"",ABS((N25-IF($C25="LT",Config!$F$9,Config!$F$21))/IF($C25="LT",Config!$G$9,Config!$G$21)))</f>
        <v/>
      </c>
      <c r="AA25">
        <f>IF(OR(O25=0,O25=""),"",ABS((O25-IF($C25="LT",Config!$F$10,Config!$F$22))/IF($C25="LT",Config!$G$10,Config!$G$22)))</f>
        <v/>
      </c>
      <c r="AB25">
        <f>IF(OR(P25=0,P25=""),"",ABS((P25-IF($C25="LT",Config!$F$11,Config!$F$23))/IF($C25="LT",Config!$G$11,Config!$G$23)))</f>
        <v/>
      </c>
      <c r="AC25">
        <f>IF(OR(Q25=0,Q25=""),"",ABS((Q25-IF($C25="LT",Config!$F$12,Config!$F$24))/IF($C25="LT",Config!$G$12,Config!$G$24)))</f>
        <v/>
      </c>
      <c r="AD25">
        <f>IF(OR(R25=0,R25=""),"",ABS((R25-IF($C25="LT",Config!$F$13,Config!$F$25))/IF($C25="LT",Config!$G$13,Config!$G$25)))</f>
        <v/>
      </c>
    </row>
    <row r="26">
      <c r="A26" t="inlineStr">
        <is>
          <t>04B0326120505</t>
        </is>
      </c>
      <c r="B26" t="inlineStr">
        <is>
          <t>CRS0000675</t>
        </is>
      </c>
      <c r="C26" t="inlineStr">
        <is>
          <t>LT</t>
        </is>
      </c>
      <c r="D26" t="inlineStr">
        <is>
          <t>ALX440U-DS3B01</t>
        </is>
      </c>
      <c r="E26" s="2" t="n">
        <v>46056</v>
      </c>
      <c r="F26" t="inlineStr">
        <is>
          <t>Fail</t>
        </is>
      </c>
      <c r="G26" t="n">
        <v>103.5</v>
      </c>
      <c r="H26" t="n">
        <v>74.3</v>
      </c>
      <c r="I26" t="n">
        <v>-1957.8</v>
      </c>
      <c r="J26" t="n">
        <v>61</v>
      </c>
      <c r="K26" t="n">
        <v>0</v>
      </c>
      <c r="L26" t="n">
        <v>8.1</v>
      </c>
      <c r="M26" t="n">
        <v>0</v>
      </c>
      <c r="N26" t="n">
        <v>69.09999999999999</v>
      </c>
      <c r="O26" t="n">
        <v>111.86</v>
      </c>
      <c r="P26" t="n">
        <v>113.18</v>
      </c>
      <c r="Q26" t="n">
        <v>6.37</v>
      </c>
      <c r="R26" t="n">
        <v>6.81</v>
      </c>
      <c r="S26">
        <f>IF(OR(G26=0,G26=""),"",ABS((G26-IF($C26="LT",Config!$F$2,Config!$F$14))/IF($C26="LT",Config!$G$2,Config!$G$14)))</f>
        <v/>
      </c>
      <c r="T26">
        <f>IF(OR(H26=0,H26=""),"",ABS((H26-IF($C26="LT",Config!$F$3,Config!$F$15))/IF($C26="LT",Config!$G$3,Config!$G$15)))</f>
        <v/>
      </c>
      <c r="U26">
        <f>IF(OR(I26=0,I26=""),"",ABS((I26-IF($C26="LT",Config!$F$4,Config!$F$16))/IF($C26="LT",Config!$G$4,Config!$G$16)))</f>
        <v/>
      </c>
      <c r="V26">
        <f>IF(OR(J26=0,J26=""),"",ABS((J26-IF($C26="LT",Config!$F$5,Config!$F$17))/IF($C26="LT",Config!$G$5,Config!$G$17)))</f>
        <v/>
      </c>
      <c r="W26">
        <f>IF(OR(K26=0,K26=""),"",ABS((K26-IF($C26="LT",Config!$F$6,Config!$F$18))/IF($C26="LT",Config!$G$6,Config!$G$18)))</f>
        <v/>
      </c>
      <c r="X26">
        <f>IF(OR(L26=0,L26=""),"",ABS((L26-IF($C26="LT",Config!$F$7,Config!$F$19))/IF($C26="LT",Config!$G$7,Config!$G$19)))</f>
        <v/>
      </c>
      <c r="Y26">
        <f>IF(OR(M26=0,M26=""),"",ABS((M26-IF($C26="LT",Config!$F$8,Config!$F$20))/IF($C26="LT",Config!$G$8,Config!$G$20)))</f>
        <v/>
      </c>
      <c r="Z26">
        <f>IF(OR(N26=0,N26=""),"",ABS((N26-IF($C26="LT",Config!$F$9,Config!$F$21))/IF($C26="LT",Config!$G$9,Config!$G$21)))</f>
        <v/>
      </c>
      <c r="AA26">
        <f>IF(OR(O26=0,O26=""),"",ABS((O26-IF($C26="LT",Config!$F$10,Config!$F$22))/IF($C26="LT",Config!$G$10,Config!$G$22)))</f>
        <v/>
      </c>
      <c r="AB26">
        <f>IF(OR(P26=0,P26=""),"",ABS((P26-IF($C26="LT",Config!$F$11,Config!$F$23))/IF($C26="LT",Config!$G$11,Config!$G$23)))</f>
        <v/>
      </c>
      <c r="AC26">
        <f>IF(OR(Q26=0,Q26=""),"",ABS((Q26-IF($C26="LT",Config!$F$12,Config!$F$24))/IF($C26="LT",Config!$G$12,Config!$G$24)))</f>
        <v/>
      </c>
      <c r="AD26">
        <f>IF(OR(R26=0,R26=""),"",ABS((R26-IF($C26="LT",Config!$F$13,Config!$F$25))/IF($C26="LT",Config!$G$13,Config!$G$25)))</f>
        <v/>
      </c>
    </row>
    <row r="27">
      <c r="A27" t="inlineStr">
        <is>
          <t>04A2926120428</t>
        </is>
      </c>
      <c r="B27" t="inlineStr">
        <is>
          <t>CRS0000675</t>
        </is>
      </c>
      <c r="C27" t="inlineStr">
        <is>
          <t>LT</t>
        </is>
      </c>
      <c r="D27" t="inlineStr">
        <is>
          <t>ALX440U-DS3B01</t>
        </is>
      </c>
      <c r="E27" s="2" t="n">
        <v>46056</v>
      </c>
      <c r="F27" t="inlineStr">
        <is>
          <t>Fail</t>
        </is>
      </c>
      <c r="G27" t="n">
        <v>110.6</v>
      </c>
      <c r="H27" t="n">
        <v>77.5</v>
      </c>
      <c r="I27" t="n">
        <v>-1957.8</v>
      </c>
      <c r="J27" t="n">
        <v>61</v>
      </c>
      <c r="K27" t="n">
        <v>0</v>
      </c>
      <c r="L27" t="n">
        <v>8.300000000000001</v>
      </c>
      <c r="M27" t="n">
        <v>0</v>
      </c>
      <c r="N27" t="n">
        <v>69.3</v>
      </c>
      <c r="O27" t="n">
        <v>115.31</v>
      </c>
      <c r="P27" t="n">
        <v>115.24</v>
      </c>
      <c r="Q27" t="n">
        <v>6.74</v>
      </c>
      <c r="R27" t="n">
        <v>7.06</v>
      </c>
      <c r="S27">
        <f>IF(OR(G27=0,G27=""),"",ABS((G27-IF($C27="LT",Config!$F$2,Config!$F$14))/IF($C27="LT",Config!$G$2,Config!$G$14)))</f>
        <v/>
      </c>
      <c r="T27">
        <f>IF(OR(H27=0,H27=""),"",ABS((H27-IF($C27="LT",Config!$F$3,Config!$F$15))/IF($C27="LT",Config!$G$3,Config!$G$15)))</f>
        <v/>
      </c>
      <c r="U27">
        <f>IF(OR(I27=0,I27=""),"",ABS((I27-IF($C27="LT",Config!$F$4,Config!$F$16))/IF($C27="LT",Config!$G$4,Config!$G$16)))</f>
        <v/>
      </c>
      <c r="V27">
        <f>IF(OR(J27=0,J27=""),"",ABS((J27-IF($C27="LT",Config!$F$5,Config!$F$17))/IF($C27="LT",Config!$G$5,Config!$G$17)))</f>
        <v/>
      </c>
      <c r="W27">
        <f>IF(OR(K27=0,K27=""),"",ABS((K27-IF($C27="LT",Config!$F$6,Config!$F$18))/IF($C27="LT",Config!$G$6,Config!$G$18)))</f>
        <v/>
      </c>
      <c r="X27">
        <f>IF(OR(L27=0,L27=""),"",ABS((L27-IF($C27="LT",Config!$F$7,Config!$F$19))/IF($C27="LT",Config!$G$7,Config!$G$19)))</f>
        <v/>
      </c>
      <c r="Y27">
        <f>IF(OR(M27=0,M27=""),"",ABS((M27-IF($C27="LT",Config!$F$8,Config!$F$20))/IF($C27="LT",Config!$G$8,Config!$G$20)))</f>
        <v/>
      </c>
      <c r="Z27">
        <f>IF(OR(N27=0,N27=""),"",ABS((N27-IF($C27="LT",Config!$F$9,Config!$F$21))/IF($C27="LT",Config!$G$9,Config!$G$21)))</f>
        <v/>
      </c>
      <c r="AA27">
        <f>IF(OR(O27=0,O27=""),"",ABS((O27-IF($C27="LT",Config!$F$10,Config!$F$22))/IF($C27="LT",Config!$G$10,Config!$G$22)))</f>
        <v/>
      </c>
      <c r="AB27">
        <f>IF(OR(P27=0,P27=""),"",ABS((P27-IF($C27="LT",Config!$F$11,Config!$F$23))/IF($C27="LT",Config!$G$11,Config!$G$23)))</f>
        <v/>
      </c>
      <c r="AC27">
        <f>IF(OR(Q27=0,Q27=""),"",ABS((Q27-IF($C27="LT",Config!$F$12,Config!$F$24))/IF($C27="LT",Config!$G$12,Config!$G$24)))</f>
        <v/>
      </c>
      <c r="AD27">
        <f>IF(OR(R27=0,R27=""),"",ABS((R27-IF($C27="LT",Config!$F$13,Config!$F$25))/IF($C27="LT",Config!$G$13,Config!$G$25)))</f>
        <v/>
      </c>
    </row>
    <row r="28">
      <c r="A28" t="inlineStr">
        <is>
          <t>04A2926120428</t>
        </is>
      </c>
      <c r="B28" t="inlineStr">
        <is>
          <t>CRS0000675</t>
        </is>
      </c>
      <c r="C28" t="inlineStr">
        <is>
          <t>LT</t>
        </is>
      </c>
      <c r="D28" t="inlineStr">
        <is>
          <t>ALX440U-DS3B01</t>
        </is>
      </c>
      <c r="E28" s="2" t="n">
        <v>46059</v>
      </c>
      <c r="F28" t="inlineStr">
        <is>
          <t>Fail</t>
        </is>
      </c>
      <c r="G28" t="n">
        <v>121.3</v>
      </c>
      <c r="H28" t="n">
        <v>91.5</v>
      </c>
      <c r="I28" t="n">
        <v>-1957.8</v>
      </c>
      <c r="J28" t="n">
        <v>59.2</v>
      </c>
      <c r="K28" t="n">
        <v>0</v>
      </c>
      <c r="L28" t="n">
        <v>8.800000000000001</v>
      </c>
      <c r="M28" t="n">
        <v>0</v>
      </c>
      <c r="N28" t="n">
        <v>68</v>
      </c>
      <c r="O28" t="n">
        <v>111.86</v>
      </c>
      <c r="P28" t="n">
        <v>113.48</v>
      </c>
      <c r="Q28" t="n">
        <v>8.369999999999999</v>
      </c>
      <c r="R28" t="n">
        <v>8.08</v>
      </c>
      <c r="S28">
        <f>IF(OR(G28=0,G28=""),"",ABS((G28-IF($C28="LT",Config!$F$2,Config!$F$14))/IF($C28="LT",Config!$G$2,Config!$G$14)))</f>
        <v/>
      </c>
      <c r="T28">
        <f>IF(OR(H28=0,H28=""),"",ABS((H28-IF($C28="LT",Config!$F$3,Config!$F$15))/IF($C28="LT",Config!$G$3,Config!$G$15)))</f>
        <v/>
      </c>
      <c r="U28">
        <f>IF(OR(I28=0,I28=""),"",ABS((I28-IF($C28="LT",Config!$F$4,Config!$F$16))/IF($C28="LT",Config!$G$4,Config!$G$16)))</f>
        <v/>
      </c>
      <c r="V28">
        <f>IF(OR(J28=0,J28=""),"",ABS((J28-IF($C28="LT",Config!$F$5,Config!$F$17))/IF($C28="LT",Config!$G$5,Config!$G$17)))</f>
        <v/>
      </c>
      <c r="W28">
        <f>IF(OR(K28=0,K28=""),"",ABS((K28-IF($C28="LT",Config!$F$6,Config!$F$18))/IF($C28="LT",Config!$G$6,Config!$G$18)))</f>
        <v/>
      </c>
      <c r="X28">
        <f>IF(OR(L28=0,L28=""),"",ABS((L28-IF($C28="LT",Config!$F$7,Config!$F$19))/IF($C28="LT",Config!$G$7,Config!$G$19)))</f>
        <v/>
      </c>
      <c r="Y28">
        <f>IF(OR(M28=0,M28=""),"",ABS((M28-IF($C28="LT",Config!$F$8,Config!$F$20))/IF($C28="LT",Config!$G$8,Config!$G$20)))</f>
        <v/>
      </c>
      <c r="Z28">
        <f>IF(OR(N28=0,N28=""),"",ABS((N28-IF($C28="LT",Config!$F$9,Config!$F$21))/IF($C28="LT",Config!$G$9,Config!$G$21)))</f>
        <v/>
      </c>
      <c r="AA28">
        <f>IF(OR(O28=0,O28=""),"",ABS((O28-IF($C28="LT",Config!$F$10,Config!$F$22))/IF($C28="LT",Config!$G$10,Config!$G$22)))</f>
        <v/>
      </c>
      <c r="AB28">
        <f>IF(OR(P28=0,P28=""),"",ABS((P28-IF($C28="LT",Config!$F$11,Config!$F$23))/IF($C28="LT",Config!$G$11,Config!$G$23)))</f>
        <v/>
      </c>
      <c r="AC28">
        <f>IF(OR(Q28=0,Q28=""),"",ABS((Q28-IF($C28="LT",Config!$F$12,Config!$F$24))/IF($C28="LT",Config!$G$12,Config!$G$24)))</f>
        <v/>
      </c>
      <c r="AD28">
        <f>IF(OR(R28=0,R28=""),"",ABS((R28-IF($C28="LT",Config!$F$13,Config!$F$25))/IF($C28="LT",Config!$G$13,Config!$G$25)))</f>
        <v/>
      </c>
    </row>
    <row r="29">
      <c r="A29" t="inlineStr">
        <is>
          <t>04A2926120428</t>
        </is>
      </c>
      <c r="B29" t="inlineStr">
        <is>
          <t>CRS0000675</t>
        </is>
      </c>
      <c r="C29" t="inlineStr">
        <is>
          <t>LT</t>
        </is>
      </c>
      <c r="D29" t="inlineStr">
        <is>
          <t>ALX440U-DS3B01</t>
        </is>
      </c>
      <c r="E29" s="2" t="n">
        <v>46059</v>
      </c>
      <c r="F29" t="inlineStr">
        <is>
          <t>Fail</t>
        </is>
      </c>
      <c r="G29" t="n">
        <v>124.9</v>
      </c>
      <c r="H29" t="n">
        <v>91</v>
      </c>
      <c r="I29" t="n">
        <v>-1957.8</v>
      </c>
      <c r="J29" t="n">
        <v>59.2</v>
      </c>
      <c r="K29" t="n">
        <v>0</v>
      </c>
      <c r="L29" t="n">
        <v>9.1</v>
      </c>
      <c r="M29" t="n">
        <v>0</v>
      </c>
      <c r="N29" t="n">
        <v>68.3</v>
      </c>
      <c r="O29" t="n">
        <v>115.02</v>
      </c>
      <c r="P29" t="n">
        <v>114.87</v>
      </c>
      <c r="Q29" t="n">
        <v>7.62</v>
      </c>
      <c r="R29" t="n">
        <v>7.71</v>
      </c>
      <c r="S29">
        <f>IF(OR(G29=0,G29=""),"",ABS((G29-IF($C29="LT",Config!$F$2,Config!$F$14))/IF($C29="LT",Config!$G$2,Config!$G$14)))</f>
        <v/>
      </c>
      <c r="T29">
        <f>IF(OR(H29=0,H29=""),"",ABS((H29-IF($C29="LT",Config!$F$3,Config!$F$15))/IF($C29="LT",Config!$G$3,Config!$G$15)))</f>
        <v/>
      </c>
      <c r="U29">
        <f>IF(OR(I29=0,I29=""),"",ABS((I29-IF($C29="LT",Config!$F$4,Config!$F$16))/IF($C29="LT",Config!$G$4,Config!$G$16)))</f>
        <v/>
      </c>
      <c r="V29">
        <f>IF(OR(J29=0,J29=""),"",ABS((J29-IF($C29="LT",Config!$F$5,Config!$F$17))/IF($C29="LT",Config!$G$5,Config!$G$17)))</f>
        <v/>
      </c>
      <c r="W29">
        <f>IF(OR(K29=0,K29=""),"",ABS((K29-IF($C29="LT",Config!$F$6,Config!$F$18))/IF($C29="LT",Config!$G$6,Config!$G$18)))</f>
        <v/>
      </c>
      <c r="X29">
        <f>IF(OR(L29=0,L29=""),"",ABS((L29-IF($C29="LT",Config!$F$7,Config!$F$19))/IF($C29="LT",Config!$G$7,Config!$G$19)))</f>
        <v/>
      </c>
      <c r="Y29">
        <f>IF(OR(M29=0,M29=""),"",ABS((M29-IF($C29="LT",Config!$F$8,Config!$F$20))/IF($C29="LT",Config!$G$8,Config!$G$20)))</f>
        <v/>
      </c>
      <c r="Z29">
        <f>IF(OR(N29=0,N29=""),"",ABS((N29-IF($C29="LT",Config!$F$9,Config!$F$21))/IF($C29="LT",Config!$G$9,Config!$G$21)))</f>
        <v/>
      </c>
      <c r="AA29">
        <f>IF(OR(O29=0,O29=""),"",ABS((O29-IF($C29="LT",Config!$F$10,Config!$F$22))/IF($C29="LT",Config!$G$10,Config!$G$22)))</f>
        <v/>
      </c>
      <c r="AB29">
        <f>IF(OR(P29=0,P29=""),"",ABS((P29-IF($C29="LT",Config!$F$11,Config!$F$23))/IF($C29="LT",Config!$G$11,Config!$G$23)))</f>
        <v/>
      </c>
      <c r="AC29">
        <f>IF(OR(Q29=0,Q29=""),"",ABS((Q29-IF($C29="LT",Config!$F$12,Config!$F$24))/IF($C29="LT",Config!$G$12,Config!$G$24)))</f>
        <v/>
      </c>
      <c r="AD29">
        <f>IF(OR(R29=0,R29=""),"",ABS((R29-IF($C29="LT",Config!$F$13,Config!$F$25))/IF($C29="LT",Config!$G$13,Config!$G$25)))</f>
        <v/>
      </c>
    </row>
    <row r="30">
      <c r="A30" t="inlineStr">
        <is>
          <t>04A2926120428</t>
        </is>
      </c>
      <c r="B30" t="inlineStr">
        <is>
          <t>CRS0000675</t>
        </is>
      </c>
      <c r="C30" t="inlineStr">
        <is>
          <t>LT</t>
        </is>
      </c>
      <c r="D30" t="inlineStr">
        <is>
          <t>ALX440U-DS3B01</t>
        </is>
      </c>
      <c r="E30" s="2" t="n">
        <v>46060</v>
      </c>
      <c r="F30" t="inlineStr">
        <is>
          <t>Fail</t>
        </is>
      </c>
      <c r="G30" t="n">
        <v>107.9</v>
      </c>
      <c r="H30" t="n">
        <v>86.5</v>
      </c>
      <c r="I30" t="n">
        <v>-1957.8</v>
      </c>
      <c r="J30" t="n">
        <v>61</v>
      </c>
      <c r="K30" t="n">
        <v>0</v>
      </c>
      <c r="L30" t="n">
        <v>7.5</v>
      </c>
      <c r="M30" t="n">
        <v>0</v>
      </c>
      <c r="N30" t="n">
        <v>68.5</v>
      </c>
      <c r="O30" t="n">
        <v>115.82</v>
      </c>
      <c r="P30" t="n">
        <v>117</v>
      </c>
      <c r="Q30" t="n">
        <v>6.64</v>
      </c>
      <c r="R30" t="n">
        <v>7.25</v>
      </c>
      <c r="S30">
        <f>IF(OR(G30=0,G30=""),"",ABS((G30-IF($C30="LT",Config!$F$2,Config!$F$14))/IF($C30="LT",Config!$G$2,Config!$G$14)))</f>
        <v/>
      </c>
      <c r="T30">
        <f>IF(OR(H30=0,H30=""),"",ABS((H30-IF($C30="LT",Config!$F$3,Config!$F$15))/IF($C30="LT",Config!$G$3,Config!$G$15)))</f>
        <v/>
      </c>
      <c r="U30">
        <f>IF(OR(I30=0,I30=""),"",ABS((I30-IF($C30="LT",Config!$F$4,Config!$F$16))/IF($C30="LT",Config!$G$4,Config!$G$16)))</f>
        <v/>
      </c>
      <c r="V30">
        <f>IF(OR(J30=0,J30=""),"",ABS((J30-IF($C30="LT",Config!$F$5,Config!$F$17))/IF($C30="LT",Config!$G$5,Config!$G$17)))</f>
        <v/>
      </c>
      <c r="W30">
        <f>IF(OR(K30=0,K30=""),"",ABS((K30-IF($C30="LT",Config!$F$6,Config!$F$18))/IF($C30="LT",Config!$G$6,Config!$G$18)))</f>
        <v/>
      </c>
      <c r="X30">
        <f>IF(OR(L30=0,L30=""),"",ABS((L30-IF($C30="LT",Config!$F$7,Config!$F$19))/IF($C30="LT",Config!$G$7,Config!$G$19)))</f>
        <v/>
      </c>
      <c r="Y30">
        <f>IF(OR(M30=0,M30=""),"",ABS((M30-IF($C30="LT",Config!$F$8,Config!$F$20))/IF($C30="LT",Config!$G$8,Config!$G$20)))</f>
        <v/>
      </c>
      <c r="Z30">
        <f>IF(OR(N30=0,N30=""),"",ABS((N30-IF($C30="LT",Config!$F$9,Config!$F$21))/IF($C30="LT",Config!$G$9,Config!$G$21)))</f>
        <v/>
      </c>
      <c r="AA30">
        <f>IF(OR(O30=0,O30=""),"",ABS((O30-IF($C30="LT",Config!$F$10,Config!$F$22))/IF($C30="LT",Config!$G$10,Config!$G$22)))</f>
        <v/>
      </c>
      <c r="AB30">
        <f>IF(OR(P30=0,P30=""),"",ABS((P30-IF($C30="LT",Config!$F$11,Config!$F$23))/IF($C30="LT",Config!$G$11,Config!$G$23)))</f>
        <v/>
      </c>
      <c r="AC30">
        <f>IF(OR(Q30=0,Q30=""),"",ABS((Q30-IF($C30="LT",Config!$F$12,Config!$F$24))/IF($C30="LT",Config!$G$12,Config!$G$24)))</f>
        <v/>
      </c>
      <c r="AD30">
        <f>IF(OR(R30=0,R30=""),"",ABS((R30-IF($C30="LT",Config!$F$13,Config!$F$25))/IF($C30="LT",Config!$G$13,Config!$G$25)))</f>
        <v/>
      </c>
    </row>
    <row r="31">
      <c r="A31" t="inlineStr">
        <is>
          <t>04A2926120428</t>
        </is>
      </c>
      <c r="B31" t="inlineStr">
        <is>
          <t>CRS0000675</t>
        </is>
      </c>
      <c r="C31" t="inlineStr">
        <is>
          <t>LT</t>
        </is>
      </c>
      <c r="D31" t="inlineStr">
        <is>
          <t>ALX440U-DS3B01</t>
        </is>
      </c>
      <c r="E31" s="2" t="n">
        <v>46060</v>
      </c>
      <c r="F31" t="inlineStr">
        <is>
          <t>Fail</t>
        </is>
      </c>
      <c r="G31" t="n">
        <v>126.7</v>
      </c>
      <c r="H31" t="n">
        <v>90.09999999999999</v>
      </c>
      <c r="I31" t="n">
        <v>-1957.8</v>
      </c>
      <c r="J31" t="n">
        <v>61</v>
      </c>
      <c r="K31" t="n">
        <v>0</v>
      </c>
      <c r="L31" t="n">
        <v>7.5</v>
      </c>
      <c r="M31" t="n">
        <v>0</v>
      </c>
      <c r="N31" t="n">
        <v>68.5</v>
      </c>
      <c r="O31" t="n">
        <v>110.84</v>
      </c>
      <c r="P31" t="n">
        <v>116.56</v>
      </c>
      <c r="Q31" t="n">
        <v>7.57</v>
      </c>
      <c r="R31" t="n">
        <v>7.67</v>
      </c>
      <c r="S31">
        <f>IF(OR(G31=0,G31=""),"",ABS((G31-IF($C31="LT",Config!$F$2,Config!$F$14))/IF($C31="LT",Config!$G$2,Config!$G$14)))</f>
        <v/>
      </c>
      <c r="T31">
        <f>IF(OR(H31=0,H31=""),"",ABS((H31-IF($C31="LT",Config!$F$3,Config!$F$15))/IF($C31="LT",Config!$G$3,Config!$G$15)))</f>
        <v/>
      </c>
      <c r="U31">
        <f>IF(OR(I31=0,I31=""),"",ABS((I31-IF($C31="LT",Config!$F$4,Config!$F$16))/IF($C31="LT",Config!$G$4,Config!$G$16)))</f>
        <v/>
      </c>
      <c r="V31">
        <f>IF(OR(J31=0,J31=""),"",ABS((J31-IF($C31="LT",Config!$F$5,Config!$F$17))/IF($C31="LT",Config!$G$5,Config!$G$17)))</f>
        <v/>
      </c>
      <c r="W31">
        <f>IF(OR(K31=0,K31=""),"",ABS((K31-IF($C31="LT",Config!$F$6,Config!$F$18))/IF($C31="LT",Config!$G$6,Config!$G$18)))</f>
        <v/>
      </c>
      <c r="X31">
        <f>IF(OR(L31=0,L31=""),"",ABS((L31-IF($C31="LT",Config!$F$7,Config!$F$19))/IF($C31="LT",Config!$G$7,Config!$G$19)))</f>
        <v/>
      </c>
      <c r="Y31">
        <f>IF(OR(M31=0,M31=""),"",ABS((M31-IF($C31="LT",Config!$F$8,Config!$F$20))/IF($C31="LT",Config!$G$8,Config!$G$20)))</f>
        <v/>
      </c>
      <c r="Z31">
        <f>IF(OR(N31=0,N31=""),"",ABS((N31-IF($C31="LT",Config!$F$9,Config!$F$21))/IF($C31="LT",Config!$G$9,Config!$G$21)))</f>
        <v/>
      </c>
      <c r="AA31">
        <f>IF(OR(O31=0,O31=""),"",ABS((O31-IF($C31="LT",Config!$F$10,Config!$F$22))/IF($C31="LT",Config!$G$10,Config!$G$22)))</f>
        <v/>
      </c>
      <c r="AB31">
        <f>IF(OR(P31=0,P31=""),"",ABS((P31-IF($C31="LT",Config!$F$11,Config!$F$23))/IF($C31="LT",Config!$G$11,Config!$G$23)))</f>
        <v/>
      </c>
      <c r="AC31">
        <f>IF(OR(Q31=0,Q31=""),"",ABS((Q31-IF($C31="LT",Config!$F$12,Config!$F$24))/IF($C31="LT",Config!$G$12,Config!$G$24)))</f>
        <v/>
      </c>
      <c r="AD31">
        <f>IF(OR(R31=0,R31=""),"",ABS((R31-IF($C31="LT",Config!$F$13,Config!$F$25))/IF($C31="LT",Config!$G$13,Config!$G$25)))</f>
        <v/>
      </c>
    </row>
    <row r="32">
      <c r="A32" t="inlineStr">
        <is>
          <t>04A2026120315</t>
        </is>
      </c>
      <c r="B32" t="inlineStr">
        <is>
          <t>CRS0000674</t>
        </is>
      </c>
      <c r="C32" t="inlineStr">
        <is>
          <t>MT</t>
        </is>
      </c>
      <c r="D32" t="inlineStr">
        <is>
          <t>TCX413U-DS1B01</t>
        </is>
      </c>
      <c r="E32" s="2" t="n">
        <v>46060</v>
      </c>
      <c r="F32" t="inlineStr">
        <is>
          <t>Fail</t>
        </is>
      </c>
      <c r="G32" t="n">
        <v>101.2</v>
      </c>
      <c r="H32" t="n">
        <v>71.2</v>
      </c>
      <c r="I32" t="n">
        <v>-1957.8</v>
      </c>
      <c r="J32" t="n">
        <v>61</v>
      </c>
      <c r="K32" t="n">
        <v>0</v>
      </c>
      <c r="L32" t="n">
        <v>7.5</v>
      </c>
      <c r="M32" t="n">
        <v>0</v>
      </c>
      <c r="N32" t="n">
        <v>68.5</v>
      </c>
      <c r="O32" t="n">
        <v>111.79</v>
      </c>
      <c r="P32" t="n">
        <v>116.56</v>
      </c>
      <c r="Q32" t="n">
        <v>3.64</v>
      </c>
      <c r="R32" t="n">
        <v>3.66</v>
      </c>
      <c r="S32">
        <f>IF(OR(G32=0,G32=""),"",ABS((G32-IF($C32="LT",Config!$F$2,Config!$F$14))/IF($C32="LT",Config!$G$2,Config!$G$14)))</f>
        <v/>
      </c>
      <c r="T32">
        <f>IF(OR(H32=0,H32=""),"",ABS((H32-IF($C32="LT",Config!$F$3,Config!$F$15))/IF($C32="LT",Config!$G$3,Config!$G$15)))</f>
        <v/>
      </c>
      <c r="U32">
        <f>IF(OR(I32=0,I32=""),"",ABS((I32-IF($C32="LT",Config!$F$4,Config!$F$16))/IF($C32="LT",Config!$G$4,Config!$G$16)))</f>
        <v/>
      </c>
      <c r="V32">
        <f>IF(OR(J32=0,J32=""),"",ABS((J32-IF($C32="LT",Config!$F$5,Config!$F$17))/IF($C32="LT",Config!$G$5,Config!$G$17)))</f>
        <v/>
      </c>
      <c r="W32">
        <f>IF(OR(K32=0,K32=""),"",ABS((K32-IF($C32="LT",Config!$F$6,Config!$F$18))/IF($C32="LT",Config!$G$6,Config!$G$18)))</f>
        <v/>
      </c>
      <c r="X32">
        <f>IF(OR(L32=0,L32=""),"",ABS((L32-IF($C32="LT",Config!$F$7,Config!$F$19))/IF($C32="LT",Config!$G$7,Config!$G$19)))</f>
        <v/>
      </c>
      <c r="Y32">
        <f>IF(OR(M32=0,M32=""),"",ABS((M32-IF($C32="LT",Config!$F$8,Config!$F$20))/IF($C32="LT",Config!$G$8,Config!$G$20)))</f>
        <v/>
      </c>
      <c r="Z32">
        <f>IF(OR(N32=0,N32=""),"",ABS((N32-IF($C32="LT",Config!$F$9,Config!$F$21))/IF($C32="LT",Config!$G$9,Config!$G$21)))</f>
        <v/>
      </c>
      <c r="AA32">
        <f>IF(OR(O32=0,O32=""),"",ABS((O32-IF($C32="LT",Config!$F$10,Config!$F$22))/IF($C32="LT",Config!$G$10,Config!$G$22)))</f>
        <v/>
      </c>
      <c r="AB32">
        <f>IF(OR(P32=0,P32=""),"",ABS((P32-IF($C32="LT",Config!$F$11,Config!$F$23))/IF($C32="LT",Config!$G$11,Config!$G$23)))</f>
        <v/>
      </c>
      <c r="AC32">
        <f>IF(OR(Q32=0,Q32=""),"",ABS((Q32-IF($C32="LT",Config!$F$12,Config!$F$24))/IF($C32="LT",Config!$G$12,Config!$G$24)))</f>
        <v/>
      </c>
      <c r="AD32">
        <f>IF(OR(R32=0,R32=""),"",ABS((R32-IF($C32="LT",Config!$F$13,Config!$F$25))/IF($C32="LT",Config!$G$13,Config!$G$25)))</f>
        <v/>
      </c>
    </row>
    <row r="33">
      <c r="A33" t="inlineStr">
        <is>
          <t>04A2026120315</t>
        </is>
      </c>
      <c r="B33" t="inlineStr">
        <is>
          <t>CRS0000674</t>
        </is>
      </c>
      <c r="C33" t="inlineStr">
        <is>
          <t>MT</t>
        </is>
      </c>
      <c r="D33" t="inlineStr">
        <is>
          <t>TCX413U-DS1B01</t>
        </is>
      </c>
      <c r="E33" s="2" t="n">
        <v>46060</v>
      </c>
      <c r="F33" t="inlineStr">
        <is>
          <t>Fail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>
        <f>IF(OR(G33=0,G33=""),"",ABS((G33-IF($C33="LT",Config!$F$2,Config!$F$14))/IF($C33="LT",Config!$G$2,Config!$G$14)))</f>
        <v/>
      </c>
      <c r="T33">
        <f>IF(OR(H33=0,H33=""),"",ABS((H33-IF($C33="LT",Config!$F$3,Config!$F$15))/IF($C33="LT",Config!$G$3,Config!$G$15)))</f>
        <v/>
      </c>
      <c r="U33">
        <f>IF(OR(I33=0,I33=""),"",ABS((I33-IF($C33="LT",Config!$F$4,Config!$F$16))/IF($C33="LT",Config!$G$4,Config!$G$16)))</f>
        <v/>
      </c>
      <c r="V33">
        <f>IF(OR(J33=0,J33=""),"",ABS((J33-IF($C33="LT",Config!$F$5,Config!$F$17))/IF($C33="LT",Config!$G$5,Config!$G$17)))</f>
        <v/>
      </c>
      <c r="W33">
        <f>IF(OR(K33=0,K33=""),"",ABS((K33-IF($C33="LT",Config!$F$6,Config!$F$18))/IF($C33="LT",Config!$G$6,Config!$G$18)))</f>
        <v/>
      </c>
      <c r="X33">
        <f>IF(OR(L33=0,L33=""),"",ABS((L33-IF($C33="LT",Config!$F$7,Config!$F$19))/IF($C33="LT",Config!$G$7,Config!$G$19)))</f>
        <v/>
      </c>
      <c r="Y33">
        <f>IF(OR(M33=0,M33=""),"",ABS((M33-IF($C33="LT",Config!$F$8,Config!$F$20))/IF($C33="LT",Config!$G$8,Config!$G$20)))</f>
        <v/>
      </c>
      <c r="Z33">
        <f>IF(OR(N33=0,N33=""),"",ABS((N33-IF($C33="LT",Config!$F$9,Config!$F$21))/IF($C33="LT",Config!$G$9,Config!$G$21)))</f>
        <v/>
      </c>
      <c r="AA33">
        <f>IF(OR(O33=0,O33=""),"",ABS((O33-IF($C33="LT",Config!$F$10,Config!$F$22))/IF($C33="LT",Config!$G$10,Config!$G$22)))</f>
        <v/>
      </c>
      <c r="AB33">
        <f>IF(OR(P33=0,P33=""),"",ABS((P33-IF($C33="LT",Config!$F$11,Config!$F$23))/IF($C33="LT",Config!$G$11,Config!$G$23)))</f>
        <v/>
      </c>
      <c r="AC33">
        <f>IF(OR(Q33=0,Q33=""),"",ABS((Q33-IF($C33="LT",Config!$F$12,Config!$F$24))/IF($C33="LT",Config!$G$12,Config!$G$24)))</f>
        <v/>
      </c>
      <c r="AD33">
        <f>IF(OR(R33=0,R33=""),"",ABS((R33-IF($C33="LT",Config!$F$13,Config!$F$25))/IF($C33="LT",Config!$G$13,Config!$G$25)))</f>
        <v/>
      </c>
    </row>
    <row r="34">
      <c r="A34" t="inlineStr">
        <is>
          <t>04A2026120315</t>
        </is>
      </c>
      <c r="B34" t="inlineStr">
        <is>
          <t>CRS0000674</t>
        </is>
      </c>
      <c r="C34" t="inlineStr">
        <is>
          <t>MT</t>
        </is>
      </c>
      <c r="D34" t="inlineStr">
        <is>
          <t>TCX413U-DS1B01</t>
        </is>
      </c>
      <c r="E34" s="2" t="n">
        <v>46060</v>
      </c>
      <c r="F34" t="inlineStr">
        <is>
          <t>Fail</t>
        </is>
      </c>
      <c r="G34" t="n">
        <v>103.9</v>
      </c>
      <c r="H34" t="n">
        <v>72.5</v>
      </c>
      <c r="I34" t="n">
        <v>-1957.8</v>
      </c>
      <c r="J34" t="n">
        <v>61.5</v>
      </c>
      <c r="K34" t="n">
        <v>0</v>
      </c>
      <c r="L34" t="n">
        <v>7.3</v>
      </c>
      <c r="M34" t="n">
        <v>0</v>
      </c>
      <c r="N34" t="n">
        <v>68.8</v>
      </c>
      <c r="O34" t="n">
        <v>111.94</v>
      </c>
      <c r="P34" t="n">
        <v>116.7</v>
      </c>
      <c r="Q34" t="n">
        <v>3.74</v>
      </c>
      <c r="R34" t="n">
        <v>3.71</v>
      </c>
      <c r="S34">
        <f>IF(OR(G34=0,G34=""),"",ABS((G34-IF($C34="LT",Config!$F$2,Config!$F$14))/IF($C34="LT",Config!$G$2,Config!$G$14)))</f>
        <v/>
      </c>
      <c r="T34">
        <f>IF(OR(H34=0,H34=""),"",ABS((H34-IF($C34="LT",Config!$F$3,Config!$F$15))/IF($C34="LT",Config!$G$3,Config!$G$15)))</f>
        <v/>
      </c>
      <c r="U34">
        <f>IF(OR(I34=0,I34=""),"",ABS((I34-IF($C34="LT",Config!$F$4,Config!$F$16))/IF($C34="LT",Config!$G$4,Config!$G$16)))</f>
        <v/>
      </c>
      <c r="V34">
        <f>IF(OR(J34=0,J34=""),"",ABS((J34-IF($C34="LT",Config!$F$5,Config!$F$17))/IF($C34="LT",Config!$G$5,Config!$G$17)))</f>
        <v/>
      </c>
      <c r="W34">
        <f>IF(OR(K34=0,K34=""),"",ABS((K34-IF($C34="LT",Config!$F$6,Config!$F$18))/IF($C34="LT",Config!$G$6,Config!$G$18)))</f>
        <v/>
      </c>
      <c r="X34">
        <f>IF(OR(L34=0,L34=""),"",ABS((L34-IF($C34="LT",Config!$F$7,Config!$F$19))/IF($C34="LT",Config!$G$7,Config!$G$19)))</f>
        <v/>
      </c>
      <c r="Y34">
        <f>IF(OR(M34=0,M34=""),"",ABS((M34-IF($C34="LT",Config!$F$8,Config!$F$20))/IF($C34="LT",Config!$G$8,Config!$G$20)))</f>
        <v/>
      </c>
      <c r="Z34">
        <f>IF(OR(N34=0,N34=""),"",ABS((N34-IF($C34="LT",Config!$F$9,Config!$F$21))/IF($C34="LT",Config!$G$9,Config!$G$21)))</f>
        <v/>
      </c>
      <c r="AA34">
        <f>IF(OR(O34=0,O34=""),"",ABS((O34-IF($C34="LT",Config!$F$10,Config!$F$22))/IF($C34="LT",Config!$G$10,Config!$G$22)))</f>
        <v/>
      </c>
      <c r="AB34">
        <f>IF(OR(P34=0,P34=""),"",ABS((P34-IF($C34="LT",Config!$F$11,Config!$F$23))/IF($C34="LT",Config!$G$11,Config!$G$23)))</f>
        <v/>
      </c>
      <c r="AC34">
        <f>IF(OR(Q34=0,Q34=""),"",ABS((Q34-IF($C34="LT",Config!$F$12,Config!$F$24))/IF($C34="LT",Config!$G$12,Config!$G$24)))</f>
        <v/>
      </c>
      <c r="AD34">
        <f>IF(OR(R34=0,R34=""),"",ABS((R34-IF($C34="LT",Config!$F$13,Config!$F$25))/IF($C34="LT",Config!$G$13,Config!$G$25)))</f>
        <v/>
      </c>
    </row>
    <row r="35">
      <c r="A35" t="inlineStr">
        <is>
          <t>04A2026120315</t>
        </is>
      </c>
      <c r="B35" t="inlineStr">
        <is>
          <t>CRS0000674</t>
        </is>
      </c>
      <c r="C35" t="inlineStr">
        <is>
          <t>MT</t>
        </is>
      </c>
      <c r="D35" t="inlineStr">
        <is>
          <t>TCX413U-DS1B01</t>
        </is>
      </c>
      <c r="E35" s="2" t="n">
        <v>46062</v>
      </c>
      <c r="F35" t="inlineStr">
        <is>
          <t>Fail</t>
        </is>
      </c>
      <c r="G35" t="n">
        <v>105.7</v>
      </c>
      <c r="H35" t="n">
        <v>74.3</v>
      </c>
      <c r="I35" t="n">
        <v>-1957.8</v>
      </c>
      <c r="J35" t="n">
        <v>63.3</v>
      </c>
      <c r="K35" t="n">
        <v>0</v>
      </c>
      <c r="L35" t="n">
        <v>7.9</v>
      </c>
      <c r="M35" t="n">
        <v>0</v>
      </c>
      <c r="N35" t="n">
        <v>71.2</v>
      </c>
      <c r="O35" t="n">
        <v>115.53</v>
      </c>
      <c r="P35" t="n">
        <v>113.84</v>
      </c>
      <c r="Q35" t="n">
        <v>3.54</v>
      </c>
      <c r="R35" t="n">
        <v>3.59</v>
      </c>
      <c r="S35">
        <f>IF(OR(G35=0,G35=""),"",ABS((G35-IF($C35="LT",Config!$F$2,Config!$F$14))/IF($C35="LT",Config!$G$2,Config!$G$14)))</f>
        <v/>
      </c>
      <c r="T35">
        <f>IF(OR(H35=0,H35=""),"",ABS((H35-IF($C35="LT",Config!$F$3,Config!$F$15))/IF($C35="LT",Config!$G$3,Config!$G$15)))</f>
        <v/>
      </c>
      <c r="U35">
        <f>IF(OR(I35=0,I35=""),"",ABS((I35-IF($C35="LT",Config!$F$4,Config!$F$16))/IF($C35="LT",Config!$G$4,Config!$G$16)))</f>
        <v/>
      </c>
      <c r="V35">
        <f>IF(OR(J35=0,J35=""),"",ABS((J35-IF($C35="LT",Config!$F$5,Config!$F$17))/IF($C35="LT",Config!$G$5,Config!$G$17)))</f>
        <v/>
      </c>
      <c r="W35">
        <f>IF(OR(K35=0,K35=""),"",ABS((K35-IF($C35="LT",Config!$F$6,Config!$F$18))/IF($C35="LT",Config!$G$6,Config!$G$18)))</f>
        <v/>
      </c>
      <c r="X35">
        <f>IF(OR(L35=0,L35=""),"",ABS((L35-IF($C35="LT",Config!$F$7,Config!$F$19))/IF($C35="LT",Config!$G$7,Config!$G$19)))</f>
        <v/>
      </c>
      <c r="Y35">
        <f>IF(OR(M35=0,M35=""),"",ABS((M35-IF($C35="LT",Config!$F$8,Config!$F$20))/IF($C35="LT",Config!$G$8,Config!$G$20)))</f>
        <v/>
      </c>
      <c r="Z35">
        <f>IF(OR(N35=0,N35=""),"",ABS((N35-IF($C35="LT",Config!$F$9,Config!$F$21))/IF($C35="LT",Config!$G$9,Config!$G$21)))</f>
        <v/>
      </c>
      <c r="AA35">
        <f>IF(OR(O35=0,O35=""),"",ABS((O35-IF($C35="LT",Config!$F$10,Config!$F$22))/IF($C35="LT",Config!$G$10,Config!$G$22)))</f>
        <v/>
      </c>
      <c r="AB35">
        <f>IF(OR(P35=0,P35=""),"",ABS((P35-IF($C35="LT",Config!$F$11,Config!$F$23))/IF($C35="LT",Config!$G$11,Config!$G$23)))</f>
        <v/>
      </c>
      <c r="AC35">
        <f>IF(OR(Q35=0,Q35=""),"",ABS((Q35-IF($C35="LT",Config!$F$12,Config!$F$24))/IF($C35="LT",Config!$G$12,Config!$G$24)))</f>
        <v/>
      </c>
      <c r="AD35">
        <f>IF(OR(R35=0,R35=""),"",ABS((R35-IF($C35="LT",Config!$F$13,Config!$F$25))/IF($C35="LT",Config!$G$13,Config!$G$25)))</f>
        <v/>
      </c>
    </row>
    <row r="36">
      <c r="A36" t="inlineStr">
        <is>
          <t>04A2026120315</t>
        </is>
      </c>
      <c r="B36" t="inlineStr">
        <is>
          <t>CRS0000674</t>
        </is>
      </c>
      <c r="C36" t="inlineStr">
        <is>
          <t>MT</t>
        </is>
      </c>
      <c r="D36" t="inlineStr">
        <is>
          <t>TCX413U-DS1B01</t>
        </is>
      </c>
      <c r="E36" s="2" t="n">
        <v>46062</v>
      </c>
      <c r="F36" t="inlineStr">
        <is>
          <t>Fail</t>
        </is>
      </c>
      <c r="G36" t="n">
        <v>112.9</v>
      </c>
      <c r="H36" t="n">
        <v>75.7</v>
      </c>
      <c r="I36" t="n">
        <v>-1957.8</v>
      </c>
      <c r="J36" t="n">
        <v>63.3</v>
      </c>
      <c r="K36" t="n">
        <v>0</v>
      </c>
      <c r="L36" t="n">
        <v>7.5</v>
      </c>
      <c r="M36" t="n">
        <v>0</v>
      </c>
      <c r="N36" t="n">
        <v>70.8</v>
      </c>
      <c r="O36" t="n">
        <v>115.02</v>
      </c>
      <c r="P36" t="n">
        <v>115.02</v>
      </c>
      <c r="Q36" t="n">
        <v>3.56</v>
      </c>
      <c r="R36" t="n">
        <v>3.64</v>
      </c>
      <c r="S36">
        <f>IF(OR(G36=0,G36=""),"",ABS((G36-IF($C36="LT",Config!$F$2,Config!$F$14))/IF($C36="LT",Config!$G$2,Config!$G$14)))</f>
        <v/>
      </c>
      <c r="T36">
        <f>IF(OR(H36=0,H36=""),"",ABS((H36-IF($C36="LT",Config!$F$3,Config!$F$15))/IF($C36="LT",Config!$G$3,Config!$G$15)))</f>
        <v/>
      </c>
      <c r="U36">
        <f>IF(OR(I36=0,I36=""),"",ABS((I36-IF($C36="LT",Config!$F$4,Config!$F$16))/IF($C36="LT",Config!$G$4,Config!$G$16)))</f>
        <v/>
      </c>
      <c r="V36">
        <f>IF(OR(J36=0,J36=""),"",ABS((J36-IF($C36="LT",Config!$F$5,Config!$F$17))/IF($C36="LT",Config!$G$5,Config!$G$17)))</f>
        <v/>
      </c>
      <c r="W36">
        <f>IF(OR(K36=0,K36=""),"",ABS((K36-IF($C36="LT",Config!$F$6,Config!$F$18))/IF($C36="LT",Config!$G$6,Config!$G$18)))</f>
        <v/>
      </c>
      <c r="X36">
        <f>IF(OR(L36=0,L36=""),"",ABS((L36-IF($C36="LT",Config!$F$7,Config!$F$19))/IF($C36="LT",Config!$G$7,Config!$G$19)))</f>
        <v/>
      </c>
      <c r="Y36">
        <f>IF(OR(M36=0,M36=""),"",ABS((M36-IF($C36="LT",Config!$F$8,Config!$F$20))/IF($C36="LT",Config!$G$8,Config!$G$20)))</f>
        <v/>
      </c>
      <c r="Z36">
        <f>IF(OR(N36=0,N36=""),"",ABS((N36-IF($C36="LT",Config!$F$9,Config!$F$21))/IF($C36="LT",Config!$G$9,Config!$G$21)))</f>
        <v/>
      </c>
      <c r="AA36">
        <f>IF(OR(O36=0,O36=""),"",ABS((O36-IF($C36="LT",Config!$F$10,Config!$F$22))/IF($C36="LT",Config!$G$10,Config!$G$22)))</f>
        <v/>
      </c>
      <c r="AB36">
        <f>IF(OR(P36=0,P36=""),"",ABS((P36-IF($C36="LT",Config!$F$11,Config!$F$23))/IF($C36="LT",Config!$G$11,Config!$G$23)))</f>
        <v/>
      </c>
      <c r="AC36">
        <f>IF(OR(Q36=0,Q36=""),"",ABS((Q36-IF($C36="LT",Config!$F$12,Config!$F$24))/IF($C36="LT",Config!$G$12,Config!$G$24)))</f>
        <v/>
      </c>
      <c r="AD36">
        <f>IF(OR(R36=0,R36=""),"",ABS((R36-IF($C36="LT",Config!$F$13,Config!$F$25))/IF($C36="LT",Config!$G$13,Config!$G$25)))</f>
        <v/>
      </c>
    </row>
    <row r="37">
      <c r="A37" t="inlineStr">
        <is>
          <t>04A2926120429</t>
        </is>
      </c>
      <c r="B37" t="inlineStr">
        <is>
          <t>CRS0000675</t>
        </is>
      </c>
      <c r="C37" t="inlineStr">
        <is>
          <t>LT</t>
        </is>
      </c>
      <c r="D37" t="inlineStr">
        <is>
          <t>ALX440U-DS3B01</t>
        </is>
      </c>
      <c r="E37" s="2" t="n">
        <v>46064</v>
      </c>
      <c r="F37" t="inlineStr">
        <is>
          <t>Fail</t>
        </is>
      </c>
      <c r="G37" t="n">
        <v>131.6</v>
      </c>
      <c r="H37" t="n">
        <v>115.4</v>
      </c>
      <c r="I37" t="n">
        <v>-1957.8</v>
      </c>
      <c r="J37" t="n">
        <v>67.3</v>
      </c>
      <c r="K37" t="n">
        <v>0</v>
      </c>
      <c r="L37" t="n">
        <v>7.4</v>
      </c>
      <c r="M37" t="n">
        <v>0</v>
      </c>
      <c r="N37" t="n">
        <v>74.7</v>
      </c>
      <c r="O37" t="n">
        <v>112.16</v>
      </c>
      <c r="P37" t="n">
        <v>113.33</v>
      </c>
      <c r="Q37" t="n">
        <v>6.81</v>
      </c>
      <c r="R37" t="n">
        <v>8.5</v>
      </c>
      <c r="S37">
        <f>IF(OR(G37=0,G37=""),"",ABS((G37-IF($C37="LT",Config!$F$2,Config!$F$14))/IF($C37="LT",Config!$G$2,Config!$G$14)))</f>
        <v/>
      </c>
      <c r="T37">
        <f>IF(OR(H37=0,H37=""),"",ABS((H37-IF($C37="LT",Config!$F$3,Config!$F$15))/IF($C37="LT",Config!$G$3,Config!$G$15)))</f>
        <v/>
      </c>
      <c r="U37">
        <f>IF(OR(I37=0,I37=""),"",ABS((I37-IF($C37="LT",Config!$F$4,Config!$F$16))/IF($C37="LT",Config!$G$4,Config!$G$16)))</f>
        <v/>
      </c>
      <c r="V37">
        <f>IF(OR(J37=0,J37=""),"",ABS((J37-IF($C37="LT",Config!$F$5,Config!$F$17))/IF($C37="LT",Config!$G$5,Config!$G$17)))</f>
        <v/>
      </c>
      <c r="W37">
        <f>IF(OR(K37=0,K37=""),"",ABS((K37-IF($C37="LT",Config!$F$6,Config!$F$18))/IF($C37="LT",Config!$G$6,Config!$G$18)))</f>
        <v/>
      </c>
      <c r="X37">
        <f>IF(OR(L37=0,L37=""),"",ABS((L37-IF($C37="LT",Config!$F$7,Config!$F$19))/IF($C37="LT",Config!$G$7,Config!$G$19)))</f>
        <v/>
      </c>
      <c r="Y37">
        <f>IF(OR(M37=0,M37=""),"",ABS((M37-IF($C37="LT",Config!$F$8,Config!$F$20))/IF($C37="LT",Config!$G$8,Config!$G$20)))</f>
        <v/>
      </c>
      <c r="Z37">
        <f>IF(OR(N37=0,N37=""),"",ABS((N37-IF($C37="LT",Config!$F$9,Config!$F$21))/IF($C37="LT",Config!$G$9,Config!$G$21)))</f>
        <v/>
      </c>
      <c r="AA37">
        <f>IF(OR(O37=0,O37=""),"",ABS((O37-IF($C37="LT",Config!$F$10,Config!$F$22))/IF($C37="LT",Config!$G$10,Config!$G$22)))</f>
        <v/>
      </c>
      <c r="AB37">
        <f>IF(OR(P37=0,P37=""),"",ABS((P37-IF($C37="LT",Config!$F$11,Config!$F$23))/IF($C37="LT",Config!$G$11,Config!$G$23)))</f>
        <v/>
      </c>
      <c r="AC37">
        <f>IF(OR(Q37=0,Q37=""),"",ABS((Q37-IF($C37="LT",Config!$F$12,Config!$F$24))/IF($C37="LT",Config!$G$12,Config!$G$24)))</f>
        <v/>
      </c>
      <c r="AD37">
        <f>IF(OR(R37=0,R37=""),"",ABS((R37-IF($C37="LT",Config!$F$13,Config!$F$25))/IF($C37="LT",Config!$G$13,Config!$G$25)))</f>
        <v/>
      </c>
    </row>
    <row r="38">
      <c r="A38" t="inlineStr">
        <is>
          <t>04A2926120429</t>
        </is>
      </c>
      <c r="B38" t="inlineStr">
        <is>
          <t>CRS0000675</t>
        </is>
      </c>
      <c r="C38" t="inlineStr">
        <is>
          <t>LT</t>
        </is>
      </c>
      <c r="D38" t="inlineStr">
        <is>
          <t>ALX440U-DS3B01</t>
        </is>
      </c>
      <c r="E38" s="2" t="n">
        <v>46064</v>
      </c>
      <c r="F38" t="inlineStr">
        <is>
          <t>Fail</t>
        </is>
      </c>
      <c r="G38" t="n">
        <v>149.5</v>
      </c>
      <c r="H38" t="n">
        <v>121.3</v>
      </c>
      <c r="I38" t="n">
        <v>-1957.8</v>
      </c>
      <c r="J38" t="n">
        <v>67.3</v>
      </c>
      <c r="K38" t="n">
        <v>0</v>
      </c>
      <c r="L38" t="n">
        <v>7.7</v>
      </c>
      <c r="M38" t="n">
        <v>0</v>
      </c>
      <c r="N38" t="n">
        <v>75</v>
      </c>
      <c r="O38" t="n">
        <v>111.5</v>
      </c>
      <c r="P38" t="n">
        <v>112.67</v>
      </c>
      <c r="Q38" t="n">
        <v>8.539999999999999</v>
      </c>
      <c r="R38" t="n">
        <v>9.18</v>
      </c>
      <c r="S38">
        <f>IF(OR(G38=0,G38=""),"",ABS((G38-IF($C38="LT",Config!$F$2,Config!$F$14))/IF($C38="LT",Config!$G$2,Config!$G$14)))</f>
        <v/>
      </c>
      <c r="T38">
        <f>IF(OR(H38=0,H38=""),"",ABS((H38-IF($C38="LT",Config!$F$3,Config!$F$15))/IF($C38="LT",Config!$G$3,Config!$G$15)))</f>
        <v/>
      </c>
      <c r="U38">
        <f>IF(OR(I38=0,I38=""),"",ABS((I38-IF($C38="LT",Config!$F$4,Config!$F$16))/IF($C38="LT",Config!$G$4,Config!$G$16)))</f>
        <v/>
      </c>
      <c r="V38">
        <f>IF(OR(J38=0,J38=""),"",ABS((J38-IF($C38="LT",Config!$F$5,Config!$F$17))/IF($C38="LT",Config!$G$5,Config!$G$17)))</f>
        <v/>
      </c>
      <c r="W38">
        <f>IF(OR(K38=0,K38=""),"",ABS((K38-IF($C38="LT",Config!$F$6,Config!$F$18))/IF($C38="LT",Config!$G$6,Config!$G$18)))</f>
        <v/>
      </c>
      <c r="X38">
        <f>IF(OR(L38=0,L38=""),"",ABS((L38-IF($C38="LT",Config!$F$7,Config!$F$19))/IF($C38="LT",Config!$G$7,Config!$G$19)))</f>
        <v/>
      </c>
      <c r="Y38">
        <f>IF(OR(M38=0,M38=""),"",ABS((M38-IF($C38="LT",Config!$F$8,Config!$F$20))/IF($C38="LT",Config!$G$8,Config!$G$20)))</f>
        <v/>
      </c>
      <c r="Z38">
        <f>IF(OR(N38=0,N38=""),"",ABS((N38-IF($C38="LT",Config!$F$9,Config!$F$21))/IF($C38="LT",Config!$G$9,Config!$G$21)))</f>
        <v/>
      </c>
      <c r="AA38">
        <f>IF(OR(O38=0,O38=""),"",ABS((O38-IF($C38="LT",Config!$F$10,Config!$F$22))/IF($C38="LT",Config!$G$10,Config!$G$22)))</f>
        <v/>
      </c>
      <c r="AB38">
        <f>IF(OR(P38=0,P38=""),"",ABS((P38-IF($C38="LT",Config!$F$11,Config!$F$23))/IF($C38="LT",Config!$G$11,Config!$G$23)))</f>
        <v/>
      </c>
      <c r="AC38">
        <f>IF(OR(Q38=0,Q38=""),"",ABS((Q38-IF($C38="LT",Config!$F$12,Config!$F$24))/IF($C38="LT",Config!$G$12,Config!$G$24)))</f>
        <v/>
      </c>
      <c r="AD38">
        <f>IF(OR(R38=0,R38=""),"",ABS((R38-IF($C38="LT",Config!$F$13,Config!$F$25))/IF($C38="LT",Config!$G$13,Config!$G$25)))</f>
        <v/>
      </c>
    </row>
    <row r="39">
      <c r="A39" t="inlineStr">
        <is>
          <t>04A2926120429</t>
        </is>
      </c>
      <c r="B39" t="inlineStr">
        <is>
          <t>CRS0000675</t>
        </is>
      </c>
      <c r="C39" t="inlineStr">
        <is>
          <t>LT</t>
        </is>
      </c>
      <c r="D39" t="inlineStr">
        <is>
          <t>ALX440U-DS3B01</t>
        </is>
      </c>
      <c r="E39" s="2" t="n">
        <v>46066</v>
      </c>
      <c r="F39" t="inlineStr">
        <is>
          <t>Fail</t>
        </is>
      </c>
      <c r="G39" t="n">
        <v>122.7</v>
      </c>
      <c r="H39" t="n">
        <v>106.8</v>
      </c>
      <c r="I39" t="n">
        <v>-1957.8</v>
      </c>
      <c r="J39" t="n">
        <v>65.5</v>
      </c>
      <c r="K39" t="n">
        <v>0</v>
      </c>
      <c r="L39" t="n">
        <v>5.1</v>
      </c>
      <c r="M39" t="n">
        <v>0</v>
      </c>
      <c r="N39" t="n">
        <v>70.59999999999999</v>
      </c>
      <c r="O39" t="n">
        <v>114.65</v>
      </c>
      <c r="P39" t="n">
        <v>114.72</v>
      </c>
      <c r="Q39" t="n">
        <v>9.380000000000001</v>
      </c>
      <c r="R39" t="n">
        <v>9.33</v>
      </c>
      <c r="S39">
        <f>IF(OR(G39=0,G39=""),"",ABS((G39-IF($C39="LT",Config!$F$2,Config!$F$14))/IF($C39="LT",Config!$G$2,Config!$G$14)))</f>
        <v/>
      </c>
      <c r="T39">
        <f>IF(OR(H39=0,H39=""),"",ABS((H39-IF($C39="LT",Config!$F$3,Config!$F$15))/IF($C39="LT",Config!$G$3,Config!$G$15)))</f>
        <v/>
      </c>
      <c r="U39">
        <f>IF(OR(I39=0,I39=""),"",ABS((I39-IF($C39="LT",Config!$F$4,Config!$F$16))/IF($C39="LT",Config!$G$4,Config!$G$16)))</f>
        <v/>
      </c>
      <c r="V39">
        <f>IF(OR(J39=0,J39=""),"",ABS((J39-IF($C39="LT",Config!$F$5,Config!$F$17))/IF($C39="LT",Config!$G$5,Config!$G$17)))</f>
        <v/>
      </c>
      <c r="W39">
        <f>IF(OR(K39=0,K39=""),"",ABS((K39-IF($C39="LT",Config!$F$6,Config!$F$18))/IF($C39="LT",Config!$G$6,Config!$G$18)))</f>
        <v/>
      </c>
      <c r="X39">
        <f>IF(OR(L39=0,L39=""),"",ABS((L39-IF($C39="LT",Config!$F$7,Config!$F$19))/IF($C39="LT",Config!$G$7,Config!$G$19)))</f>
        <v/>
      </c>
      <c r="Y39">
        <f>IF(OR(M39=0,M39=""),"",ABS((M39-IF($C39="LT",Config!$F$8,Config!$F$20))/IF($C39="LT",Config!$G$8,Config!$G$20)))</f>
        <v/>
      </c>
      <c r="Z39">
        <f>IF(OR(N39=0,N39=""),"",ABS((N39-IF($C39="LT",Config!$F$9,Config!$F$21))/IF($C39="LT",Config!$G$9,Config!$G$21)))</f>
        <v/>
      </c>
      <c r="AA39">
        <f>IF(OR(O39=0,O39=""),"",ABS((O39-IF($C39="LT",Config!$F$10,Config!$F$22))/IF($C39="LT",Config!$G$10,Config!$G$22)))</f>
        <v/>
      </c>
      <c r="AB39">
        <f>IF(OR(P39=0,P39=""),"",ABS((P39-IF($C39="LT",Config!$F$11,Config!$F$23))/IF($C39="LT",Config!$G$11,Config!$G$23)))</f>
        <v/>
      </c>
      <c r="AC39">
        <f>IF(OR(Q39=0,Q39=""),"",ABS((Q39-IF($C39="LT",Config!$F$12,Config!$F$24))/IF($C39="LT",Config!$G$12,Config!$G$24)))</f>
        <v/>
      </c>
      <c r="AD39">
        <f>IF(OR(R39=0,R39=""),"",ABS((R39-IF($C39="LT",Config!$F$13,Config!$F$25))/IF($C39="LT",Config!$G$13,Config!$G$25)))</f>
        <v/>
      </c>
    </row>
    <row r="40">
      <c r="A40" t="inlineStr">
        <is>
          <t>04A2926120429</t>
        </is>
      </c>
      <c r="B40" t="inlineStr">
        <is>
          <t>CRS0000675</t>
        </is>
      </c>
      <c r="C40" t="inlineStr">
        <is>
          <t>LT</t>
        </is>
      </c>
      <c r="D40" t="inlineStr">
        <is>
          <t>ALX440U-DS3B01</t>
        </is>
      </c>
      <c r="E40" s="2" t="n">
        <v>46066</v>
      </c>
      <c r="F40" t="inlineStr">
        <is>
          <t>Pass</t>
        </is>
      </c>
      <c r="G40" t="n">
        <v>126.3</v>
      </c>
      <c r="H40" t="n">
        <v>105.5</v>
      </c>
      <c r="I40" t="n">
        <v>-1957.8</v>
      </c>
      <c r="J40" t="n">
        <v>65.90000000000001</v>
      </c>
      <c r="K40" t="n">
        <v>0</v>
      </c>
      <c r="L40" t="n">
        <v>5.1</v>
      </c>
      <c r="M40" t="n">
        <v>0</v>
      </c>
      <c r="N40" t="n">
        <v>71</v>
      </c>
      <c r="O40" t="n">
        <v>110.25</v>
      </c>
      <c r="P40" t="n">
        <v>117.14</v>
      </c>
      <c r="Q40" t="n">
        <v>9.35</v>
      </c>
      <c r="R40" t="n">
        <v>8.52</v>
      </c>
      <c r="S40">
        <f>IF(OR(G40=0,G40=""),"",ABS((G40-IF($C40="LT",Config!$F$2,Config!$F$14))/IF($C40="LT",Config!$G$2,Config!$G$14)))</f>
        <v/>
      </c>
      <c r="T40">
        <f>IF(OR(H40=0,H40=""),"",ABS((H40-IF($C40="LT",Config!$F$3,Config!$F$15))/IF($C40="LT",Config!$G$3,Config!$G$15)))</f>
        <v/>
      </c>
      <c r="U40">
        <f>IF(OR(I40=0,I40=""),"",ABS((I40-IF($C40="LT",Config!$F$4,Config!$F$16))/IF($C40="LT",Config!$G$4,Config!$G$16)))</f>
        <v/>
      </c>
      <c r="V40">
        <f>IF(OR(J40=0,J40=""),"",ABS((J40-IF($C40="LT",Config!$F$5,Config!$F$17))/IF($C40="LT",Config!$G$5,Config!$G$17)))</f>
        <v/>
      </c>
      <c r="W40">
        <f>IF(OR(K40=0,K40=""),"",ABS((K40-IF($C40="LT",Config!$F$6,Config!$F$18))/IF($C40="LT",Config!$G$6,Config!$G$18)))</f>
        <v/>
      </c>
      <c r="X40">
        <f>IF(OR(L40=0,L40=""),"",ABS((L40-IF($C40="LT",Config!$F$7,Config!$F$19))/IF($C40="LT",Config!$G$7,Config!$G$19)))</f>
        <v/>
      </c>
      <c r="Y40">
        <f>IF(OR(M40=0,M40=""),"",ABS((M40-IF($C40="LT",Config!$F$8,Config!$F$20))/IF($C40="LT",Config!$G$8,Config!$G$20)))</f>
        <v/>
      </c>
      <c r="Z40">
        <f>IF(OR(N40=0,N40=""),"",ABS((N40-IF($C40="LT",Config!$F$9,Config!$F$21))/IF($C40="LT",Config!$G$9,Config!$G$21)))</f>
        <v/>
      </c>
      <c r="AA40">
        <f>IF(OR(O40=0,O40=""),"",ABS((O40-IF($C40="LT",Config!$F$10,Config!$F$22))/IF($C40="LT",Config!$G$10,Config!$G$22)))</f>
        <v/>
      </c>
      <c r="AB40">
        <f>IF(OR(P40=0,P40=""),"",ABS((P40-IF($C40="LT",Config!$F$11,Config!$F$23))/IF($C40="LT",Config!$G$11,Config!$G$23)))</f>
        <v/>
      </c>
      <c r="AC40">
        <f>IF(OR(Q40=0,Q40=""),"",ABS((Q40-IF($C40="LT",Config!$F$12,Config!$F$24))/IF($C40="LT",Config!$G$12,Config!$G$24)))</f>
        <v/>
      </c>
      <c r="AD40">
        <f>IF(OR(R40=0,R40=""),"",ABS((R40-IF($C40="LT",Config!$F$13,Config!$F$25))/IF($C40="LT",Config!$G$13,Config!$G$25)))</f>
        <v/>
      </c>
    </row>
    <row r="41">
      <c r="A41" t="inlineStr">
        <is>
          <t>04B1226120597</t>
        </is>
      </c>
      <c r="B41" t="inlineStr">
        <is>
          <t>CRS0000675</t>
        </is>
      </c>
      <c r="C41" t="inlineStr">
        <is>
          <t>LT</t>
        </is>
      </c>
      <c r="D41" t="inlineStr">
        <is>
          <t>ALX440U-DS3B01</t>
        </is>
      </c>
      <c r="E41" s="2" t="n">
        <v>46066</v>
      </c>
      <c r="F41" t="inlineStr">
        <is>
          <t>Fail</t>
        </is>
      </c>
      <c r="G41" t="n">
        <v>108.8</v>
      </c>
      <c r="H41" t="n">
        <v>82</v>
      </c>
      <c r="I41" t="n">
        <v>-1957.8</v>
      </c>
      <c r="J41" t="n">
        <v>65.90000000000001</v>
      </c>
      <c r="K41" t="n">
        <v>0</v>
      </c>
      <c r="L41" t="n">
        <v>5.1</v>
      </c>
      <c r="M41" t="n">
        <v>0</v>
      </c>
      <c r="N41" t="n">
        <v>71</v>
      </c>
      <c r="O41" t="n">
        <v>114.58</v>
      </c>
      <c r="P41" t="n">
        <v>114.87</v>
      </c>
      <c r="Q41" t="n">
        <v>9.16</v>
      </c>
      <c r="R41" t="n">
        <v>8.890000000000001</v>
      </c>
      <c r="S41">
        <f>IF(OR(G41=0,G41=""),"",ABS((G41-IF($C41="LT",Config!$F$2,Config!$F$14))/IF($C41="LT",Config!$G$2,Config!$G$14)))</f>
        <v/>
      </c>
      <c r="T41">
        <f>IF(OR(H41=0,H41=""),"",ABS((H41-IF($C41="LT",Config!$F$3,Config!$F$15))/IF($C41="LT",Config!$G$3,Config!$G$15)))</f>
        <v/>
      </c>
      <c r="U41">
        <f>IF(OR(I41=0,I41=""),"",ABS((I41-IF($C41="LT",Config!$F$4,Config!$F$16))/IF($C41="LT",Config!$G$4,Config!$G$16)))</f>
        <v/>
      </c>
      <c r="V41">
        <f>IF(OR(J41=0,J41=""),"",ABS((J41-IF($C41="LT",Config!$F$5,Config!$F$17))/IF($C41="LT",Config!$G$5,Config!$G$17)))</f>
        <v/>
      </c>
      <c r="W41">
        <f>IF(OR(K41=0,K41=""),"",ABS((K41-IF($C41="LT",Config!$F$6,Config!$F$18))/IF($C41="LT",Config!$G$6,Config!$G$18)))</f>
        <v/>
      </c>
      <c r="X41">
        <f>IF(OR(L41=0,L41=""),"",ABS((L41-IF($C41="LT",Config!$F$7,Config!$F$19))/IF($C41="LT",Config!$G$7,Config!$G$19)))</f>
        <v/>
      </c>
      <c r="Y41">
        <f>IF(OR(M41=0,M41=""),"",ABS((M41-IF($C41="LT",Config!$F$8,Config!$F$20))/IF($C41="LT",Config!$G$8,Config!$G$20)))</f>
        <v/>
      </c>
      <c r="Z41">
        <f>IF(OR(N41=0,N41=""),"",ABS((N41-IF($C41="LT",Config!$F$9,Config!$F$21))/IF($C41="LT",Config!$G$9,Config!$G$21)))</f>
        <v/>
      </c>
      <c r="AA41">
        <f>IF(OR(O41=0,O41=""),"",ABS((O41-IF($C41="LT",Config!$F$10,Config!$F$22))/IF($C41="LT",Config!$G$10,Config!$G$22)))</f>
        <v/>
      </c>
      <c r="AB41">
        <f>IF(OR(P41=0,P41=""),"",ABS((P41-IF($C41="LT",Config!$F$11,Config!$F$23))/IF($C41="LT",Config!$G$11,Config!$G$23)))</f>
        <v/>
      </c>
      <c r="AC41">
        <f>IF(OR(Q41=0,Q41=""),"",ABS((Q41-IF($C41="LT",Config!$F$12,Config!$F$24))/IF($C41="LT",Config!$G$12,Config!$G$24)))</f>
        <v/>
      </c>
      <c r="AD41">
        <f>IF(OR(R41=0,R41=""),"",ABS((R41-IF($C41="LT",Config!$F$13,Config!$F$25))/IF($C41="LT",Config!$G$13,Config!$G$25)))</f>
        <v/>
      </c>
    </row>
    <row r="42">
      <c r="A42" t="inlineStr">
        <is>
          <t>04B1226120597</t>
        </is>
      </c>
      <c r="B42" t="inlineStr">
        <is>
          <t>CRS0000675</t>
        </is>
      </c>
      <c r="C42" t="inlineStr">
        <is>
          <t>LT</t>
        </is>
      </c>
      <c r="D42" t="inlineStr">
        <is>
          <t>ALX440U-DS3B01</t>
        </is>
      </c>
      <c r="E42" s="2" t="n">
        <v>46066</v>
      </c>
      <c r="F42" t="inlineStr">
        <is>
          <t>Fail</t>
        </is>
      </c>
      <c r="G42" t="n">
        <v>109.3</v>
      </c>
      <c r="H42" t="n">
        <v>93.3</v>
      </c>
      <c r="I42" t="n">
        <v>-1957.8</v>
      </c>
      <c r="J42" t="n">
        <v>65.90000000000001</v>
      </c>
      <c r="K42" t="n">
        <v>0</v>
      </c>
      <c r="L42" t="n">
        <v>5.5</v>
      </c>
      <c r="M42" t="n">
        <v>0</v>
      </c>
      <c r="N42" t="n">
        <v>71.40000000000001</v>
      </c>
      <c r="O42" t="n">
        <v>115.09</v>
      </c>
      <c r="P42" t="n">
        <v>115.09</v>
      </c>
      <c r="Q42" t="n">
        <v>8.470000000000001</v>
      </c>
      <c r="R42" t="n">
        <v>8.449999999999999</v>
      </c>
      <c r="S42">
        <f>IF(OR(G42=0,G42=""),"",ABS((G42-IF($C42="LT",Config!$F$2,Config!$F$14))/IF($C42="LT",Config!$G$2,Config!$G$14)))</f>
        <v/>
      </c>
      <c r="T42">
        <f>IF(OR(H42=0,H42=""),"",ABS((H42-IF($C42="LT",Config!$F$3,Config!$F$15))/IF($C42="LT",Config!$G$3,Config!$G$15)))</f>
        <v/>
      </c>
      <c r="U42">
        <f>IF(OR(I42=0,I42=""),"",ABS((I42-IF($C42="LT",Config!$F$4,Config!$F$16))/IF($C42="LT",Config!$G$4,Config!$G$16)))</f>
        <v/>
      </c>
      <c r="V42">
        <f>IF(OR(J42=0,J42=""),"",ABS((J42-IF($C42="LT",Config!$F$5,Config!$F$17))/IF($C42="LT",Config!$G$5,Config!$G$17)))</f>
        <v/>
      </c>
      <c r="W42">
        <f>IF(OR(K42=0,K42=""),"",ABS((K42-IF($C42="LT",Config!$F$6,Config!$F$18))/IF($C42="LT",Config!$G$6,Config!$G$18)))</f>
        <v/>
      </c>
      <c r="X42">
        <f>IF(OR(L42=0,L42=""),"",ABS((L42-IF($C42="LT",Config!$F$7,Config!$F$19))/IF($C42="LT",Config!$G$7,Config!$G$19)))</f>
        <v/>
      </c>
      <c r="Y42">
        <f>IF(OR(M42=0,M42=""),"",ABS((M42-IF($C42="LT",Config!$F$8,Config!$F$20))/IF($C42="LT",Config!$G$8,Config!$G$20)))</f>
        <v/>
      </c>
      <c r="Z42">
        <f>IF(OR(N42=0,N42=""),"",ABS((N42-IF($C42="LT",Config!$F$9,Config!$F$21))/IF($C42="LT",Config!$G$9,Config!$G$21)))</f>
        <v/>
      </c>
      <c r="AA42">
        <f>IF(OR(O42=0,O42=""),"",ABS((O42-IF($C42="LT",Config!$F$10,Config!$F$22))/IF($C42="LT",Config!$G$10,Config!$G$22)))</f>
        <v/>
      </c>
      <c r="AB42">
        <f>IF(OR(P42=0,P42=""),"",ABS((P42-IF($C42="LT",Config!$F$11,Config!$F$23))/IF($C42="LT",Config!$G$11,Config!$G$23)))</f>
        <v/>
      </c>
      <c r="AC42">
        <f>IF(OR(Q42=0,Q42=""),"",ABS((Q42-IF($C42="LT",Config!$F$12,Config!$F$24))/IF($C42="LT",Config!$G$12,Config!$G$24)))</f>
        <v/>
      </c>
      <c r="AD42">
        <f>IF(OR(R42=0,R42=""),"",ABS((R42-IF($C42="LT",Config!$F$13,Config!$F$25))/IF($C42="LT",Config!$G$13,Config!$G$25)))</f>
        <v/>
      </c>
    </row>
    <row r="43">
      <c r="A43" t="inlineStr">
        <is>
          <t>04B1226120597</t>
        </is>
      </c>
      <c r="B43" t="inlineStr">
        <is>
          <t>CRS0000675</t>
        </is>
      </c>
      <c r="C43" t="inlineStr">
        <is>
          <t>LT</t>
        </is>
      </c>
      <c r="D43" t="inlineStr">
        <is>
          <t>ALX440U-DS3B01</t>
        </is>
      </c>
      <c r="E43" s="2" t="n">
        <v>46066</v>
      </c>
      <c r="F43" t="inlineStr">
        <is>
          <t>Fail</t>
        </is>
      </c>
      <c r="G43" t="n">
        <v>111.1</v>
      </c>
      <c r="H43" t="n">
        <v>95.09999999999999</v>
      </c>
      <c r="I43" t="n">
        <v>-1957.8</v>
      </c>
      <c r="J43" t="n">
        <v>66.40000000000001</v>
      </c>
      <c r="K43" t="n">
        <v>0</v>
      </c>
      <c r="L43" t="n">
        <v>5.3</v>
      </c>
      <c r="M43" t="n">
        <v>0</v>
      </c>
      <c r="N43" t="n">
        <v>71.7</v>
      </c>
      <c r="O43" t="n">
        <v>114.65</v>
      </c>
      <c r="P43" t="n">
        <v>114.65</v>
      </c>
      <c r="Q43" t="n">
        <v>8.369999999999999</v>
      </c>
      <c r="R43" t="n">
        <v>8.57</v>
      </c>
      <c r="S43">
        <f>IF(OR(G43=0,G43=""),"",ABS((G43-IF($C43="LT",Config!$F$2,Config!$F$14))/IF($C43="LT",Config!$G$2,Config!$G$14)))</f>
        <v/>
      </c>
      <c r="T43">
        <f>IF(OR(H43=0,H43=""),"",ABS((H43-IF($C43="LT",Config!$F$3,Config!$F$15))/IF($C43="LT",Config!$G$3,Config!$G$15)))</f>
        <v/>
      </c>
      <c r="U43">
        <f>IF(OR(I43=0,I43=""),"",ABS((I43-IF($C43="LT",Config!$F$4,Config!$F$16))/IF($C43="LT",Config!$G$4,Config!$G$16)))</f>
        <v/>
      </c>
      <c r="V43">
        <f>IF(OR(J43=0,J43=""),"",ABS((J43-IF($C43="LT",Config!$F$5,Config!$F$17))/IF($C43="LT",Config!$G$5,Config!$G$17)))</f>
        <v/>
      </c>
      <c r="W43">
        <f>IF(OR(K43=0,K43=""),"",ABS((K43-IF($C43="LT",Config!$F$6,Config!$F$18))/IF($C43="LT",Config!$G$6,Config!$G$18)))</f>
        <v/>
      </c>
      <c r="X43">
        <f>IF(OR(L43=0,L43=""),"",ABS((L43-IF($C43="LT",Config!$F$7,Config!$F$19))/IF($C43="LT",Config!$G$7,Config!$G$19)))</f>
        <v/>
      </c>
      <c r="Y43">
        <f>IF(OR(M43=0,M43=""),"",ABS((M43-IF($C43="LT",Config!$F$8,Config!$F$20))/IF($C43="LT",Config!$G$8,Config!$G$20)))</f>
        <v/>
      </c>
      <c r="Z43">
        <f>IF(OR(N43=0,N43=""),"",ABS((N43-IF($C43="LT",Config!$F$9,Config!$F$21))/IF($C43="LT",Config!$G$9,Config!$G$21)))</f>
        <v/>
      </c>
      <c r="AA43">
        <f>IF(OR(O43=0,O43=""),"",ABS((O43-IF($C43="LT",Config!$F$10,Config!$F$22))/IF($C43="LT",Config!$G$10,Config!$G$22)))</f>
        <v/>
      </c>
      <c r="AB43">
        <f>IF(OR(P43=0,P43=""),"",ABS((P43-IF($C43="LT",Config!$F$11,Config!$F$23))/IF($C43="LT",Config!$G$11,Config!$G$23)))</f>
        <v/>
      </c>
      <c r="AC43">
        <f>IF(OR(Q43=0,Q43=""),"",ABS((Q43-IF($C43="LT",Config!$F$12,Config!$F$24))/IF($C43="LT",Config!$G$12,Config!$G$24)))</f>
        <v/>
      </c>
      <c r="AD43">
        <f>IF(OR(R43=0,R43=""),"",ABS((R43-IF($C43="LT",Config!$F$13,Config!$F$25))/IF($C43="LT",Config!$G$13,Config!$G$25)))</f>
        <v/>
      </c>
    </row>
    <row r="44">
      <c r="A44" t="inlineStr">
        <is>
          <t>04B1226120597</t>
        </is>
      </c>
      <c r="B44" t="inlineStr">
        <is>
          <t>CRS0000675</t>
        </is>
      </c>
      <c r="C44" t="inlineStr">
        <is>
          <t>LT</t>
        </is>
      </c>
      <c r="D44" t="inlineStr">
        <is>
          <t>ALX440U-DS3B01</t>
        </is>
      </c>
      <c r="E44" s="2" t="n">
        <v>46066</v>
      </c>
      <c r="F44" t="inlineStr">
        <is>
          <t>Fail</t>
        </is>
      </c>
      <c r="G44" t="n">
        <v>175.4</v>
      </c>
      <c r="H44" t="n">
        <v>97.3</v>
      </c>
      <c r="I44" t="n">
        <v>-1957.8</v>
      </c>
      <c r="J44" t="n">
        <v>66.40000000000001</v>
      </c>
      <c r="K44" t="n">
        <v>0</v>
      </c>
      <c r="L44" t="n">
        <v>5.5</v>
      </c>
      <c r="M44" t="n">
        <v>0</v>
      </c>
      <c r="N44" t="n">
        <v>71.90000000000001</v>
      </c>
      <c r="O44" t="n">
        <v>111.5</v>
      </c>
      <c r="P44" t="n">
        <v>112.96</v>
      </c>
      <c r="Q44" t="n">
        <v>8.69</v>
      </c>
      <c r="R44" t="n">
        <v>8.789999999999999</v>
      </c>
      <c r="S44">
        <f>IF(OR(G44=0,G44=""),"",ABS((G44-IF($C44="LT",Config!$F$2,Config!$F$14))/IF($C44="LT",Config!$G$2,Config!$G$14)))</f>
        <v/>
      </c>
      <c r="T44">
        <f>IF(OR(H44=0,H44=""),"",ABS((H44-IF($C44="LT",Config!$F$3,Config!$F$15))/IF($C44="LT",Config!$G$3,Config!$G$15)))</f>
        <v/>
      </c>
      <c r="U44">
        <f>IF(OR(I44=0,I44=""),"",ABS((I44-IF($C44="LT",Config!$F$4,Config!$F$16))/IF($C44="LT",Config!$G$4,Config!$G$16)))</f>
        <v/>
      </c>
      <c r="V44">
        <f>IF(OR(J44=0,J44=""),"",ABS((J44-IF($C44="LT",Config!$F$5,Config!$F$17))/IF($C44="LT",Config!$G$5,Config!$G$17)))</f>
        <v/>
      </c>
      <c r="W44">
        <f>IF(OR(K44=0,K44=""),"",ABS((K44-IF($C44="LT",Config!$F$6,Config!$F$18))/IF($C44="LT",Config!$G$6,Config!$G$18)))</f>
        <v/>
      </c>
      <c r="X44">
        <f>IF(OR(L44=0,L44=""),"",ABS((L44-IF($C44="LT",Config!$F$7,Config!$F$19))/IF($C44="LT",Config!$G$7,Config!$G$19)))</f>
        <v/>
      </c>
      <c r="Y44">
        <f>IF(OR(M44=0,M44=""),"",ABS((M44-IF($C44="LT",Config!$F$8,Config!$F$20))/IF($C44="LT",Config!$G$8,Config!$G$20)))</f>
        <v/>
      </c>
      <c r="Z44">
        <f>IF(OR(N44=0,N44=""),"",ABS((N44-IF($C44="LT",Config!$F$9,Config!$F$21))/IF($C44="LT",Config!$G$9,Config!$G$21)))</f>
        <v/>
      </c>
      <c r="AA44">
        <f>IF(OR(O44=0,O44=""),"",ABS((O44-IF($C44="LT",Config!$F$10,Config!$F$22))/IF($C44="LT",Config!$G$10,Config!$G$22)))</f>
        <v/>
      </c>
      <c r="AB44">
        <f>IF(OR(P44=0,P44=""),"",ABS((P44-IF($C44="LT",Config!$F$11,Config!$F$23))/IF($C44="LT",Config!$G$11,Config!$G$23)))</f>
        <v/>
      </c>
      <c r="AC44">
        <f>IF(OR(Q44=0,Q44=""),"",ABS((Q44-IF($C44="LT",Config!$F$12,Config!$F$24))/IF($C44="LT",Config!$G$12,Config!$G$24)))</f>
        <v/>
      </c>
      <c r="AD44">
        <f>IF(OR(R44=0,R44=""),"",ABS((R44-IF($C44="LT",Config!$F$13,Config!$F$25))/IF($C44="LT",Config!$G$13,Config!$G$25)))</f>
        <v/>
      </c>
    </row>
    <row r="45">
      <c r="A45" t="inlineStr">
        <is>
          <t>04B1226120599</t>
        </is>
      </c>
      <c r="B45" t="inlineStr">
        <is>
          <t>CRS0000675</t>
        </is>
      </c>
      <c r="C45" t="inlineStr">
        <is>
          <t>LT</t>
        </is>
      </c>
      <c r="D45" t="inlineStr">
        <is>
          <t>ALX440U-DS3B01</t>
        </is>
      </c>
      <c r="E45" s="2" t="n">
        <v>46066</v>
      </c>
      <c r="F45" t="inlineStr">
        <is>
          <t>Fail</t>
        </is>
      </c>
      <c r="G45" t="n">
        <v>155.3</v>
      </c>
      <c r="H45" t="n">
        <v>66.7</v>
      </c>
      <c r="I45" t="n">
        <v>-1957.8</v>
      </c>
      <c r="J45" t="n">
        <v>66.8</v>
      </c>
      <c r="K45" t="n">
        <v>0</v>
      </c>
      <c r="L45" t="n">
        <v>5.2</v>
      </c>
      <c r="M45" t="n">
        <v>0</v>
      </c>
      <c r="N45" t="n">
        <v>72</v>
      </c>
      <c r="O45" t="n">
        <v>115.68</v>
      </c>
      <c r="P45" t="n">
        <v>117.22</v>
      </c>
      <c r="Q45" t="n">
        <v>4.76</v>
      </c>
      <c r="R45" t="n">
        <v>4.61</v>
      </c>
      <c r="S45">
        <f>IF(OR(G45=0,G45=""),"",ABS((G45-IF($C45="LT",Config!$F$2,Config!$F$14))/IF($C45="LT",Config!$G$2,Config!$G$14)))</f>
        <v/>
      </c>
      <c r="T45">
        <f>IF(OR(H45=0,H45=""),"",ABS((H45-IF($C45="LT",Config!$F$3,Config!$F$15))/IF($C45="LT",Config!$G$3,Config!$G$15)))</f>
        <v/>
      </c>
      <c r="U45">
        <f>IF(OR(I45=0,I45=""),"",ABS((I45-IF($C45="LT",Config!$F$4,Config!$F$16))/IF($C45="LT",Config!$G$4,Config!$G$16)))</f>
        <v/>
      </c>
      <c r="V45">
        <f>IF(OR(J45=0,J45=""),"",ABS((J45-IF($C45="LT",Config!$F$5,Config!$F$17))/IF($C45="LT",Config!$G$5,Config!$G$17)))</f>
        <v/>
      </c>
      <c r="W45">
        <f>IF(OR(K45=0,K45=""),"",ABS((K45-IF($C45="LT",Config!$F$6,Config!$F$18))/IF($C45="LT",Config!$G$6,Config!$G$18)))</f>
        <v/>
      </c>
      <c r="X45">
        <f>IF(OR(L45=0,L45=""),"",ABS((L45-IF($C45="LT",Config!$F$7,Config!$F$19))/IF($C45="LT",Config!$G$7,Config!$G$19)))</f>
        <v/>
      </c>
      <c r="Y45">
        <f>IF(OR(M45=0,M45=""),"",ABS((M45-IF($C45="LT",Config!$F$8,Config!$F$20))/IF($C45="LT",Config!$G$8,Config!$G$20)))</f>
        <v/>
      </c>
      <c r="Z45">
        <f>IF(OR(N45=0,N45=""),"",ABS((N45-IF($C45="LT",Config!$F$9,Config!$F$21))/IF($C45="LT",Config!$G$9,Config!$G$21)))</f>
        <v/>
      </c>
      <c r="AA45">
        <f>IF(OR(O45=0,O45=""),"",ABS((O45-IF($C45="LT",Config!$F$10,Config!$F$22))/IF($C45="LT",Config!$G$10,Config!$G$22)))</f>
        <v/>
      </c>
      <c r="AB45">
        <f>IF(OR(P45=0,P45=""),"",ABS((P45-IF($C45="LT",Config!$F$11,Config!$F$23))/IF($C45="LT",Config!$G$11,Config!$G$23)))</f>
        <v/>
      </c>
      <c r="AC45">
        <f>IF(OR(Q45=0,Q45=""),"",ABS((Q45-IF($C45="LT",Config!$F$12,Config!$F$24))/IF($C45="LT",Config!$G$12,Config!$G$24)))</f>
        <v/>
      </c>
      <c r="AD45">
        <f>IF(OR(R45=0,R45=""),"",ABS((R45-IF($C45="LT",Config!$F$13,Config!$F$25))/IF($C45="LT",Config!$G$13,Config!$G$25)))</f>
        <v/>
      </c>
    </row>
    <row r="46">
      <c r="A46" t="inlineStr">
        <is>
          <t>04B1226120597</t>
        </is>
      </c>
      <c r="B46" t="inlineStr">
        <is>
          <t>CRS0000675</t>
        </is>
      </c>
      <c r="C46" t="inlineStr">
        <is>
          <t>LT</t>
        </is>
      </c>
      <c r="D46" t="inlineStr">
        <is>
          <t>ALX440U-DS3B01</t>
        </is>
      </c>
      <c r="E46" s="2" t="n">
        <v>46066</v>
      </c>
      <c r="F46" t="inlineStr">
        <is>
          <t>Pass</t>
        </is>
      </c>
      <c r="G46" t="n">
        <v>133.8</v>
      </c>
      <c r="H46" t="n">
        <v>94.59999999999999</v>
      </c>
      <c r="I46" t="n">
        <v>-1957.8</v>
      </c>
      <c r="J46" t="n">
        <v>68.59999999999999</v>
      </c>
      <c r="K46" t="n">
        <v>0</v>
      </c>
      <c r="L46" t="n">
        <v>2.8</v>
      </c>
      <c r="M46" t="n">
        <v>0</v>
      </c>
      <c r="N46" t="n">
        <v>71.40000000000001</v>
      </c>
      <c r="O46" t="n">
        <v>115.46</v>
      </c>
      <c r="P46" t="n">
        <v>115.31</v>
      </c>
      <c r="Q46" t="n">
        <v>7.62</v>
      </c>
      <c r="R46" t="n">
        <v>8.029999999999999</v>
      </c>
      <c r="S46">
        <f>IF(OR(G46=0,G46=""),"",ABS((G46-IF($C46="LT",Config!$F$2,Config!$F$14))/IF($C46="LT",Config!$G$2,Config!$G$14)))</f>
        <v/>
      </c>
      <c r="T46">
        <f>IF(OR(H46=0,H46=""),"",ABS((H46-IF($C46="LT",Config!$F$3,Config!$F$15))/IF($C46="LT",Config!$G$3,Config!$G$15)))</f>
        <v/>
      </c>
      <c r="U46">
        <f>IF(OR(I46=0,I46=""),"",ABS((I46-IF($C46="LT",Config!$F$4,Config!$F$16))/IF($C46="LT",Config!$G$4,Config!$G$16)))</f>
        <v/>
      </c>
      <c r="V46">
        <f>IF(OR(J46=0,J46=""),"",ABS((J46-IF($C46="LT",Config!$F$5,Config!$F$17))/IF($C46="LT",Config!$G$5,Config!$G$17)))</f>
        <v/>
      </c>
      <c r="W46">
        <f>IF(OR(K46=0,K46=""),"",ABS((K46-IF($C46="LT",Config!$F$6,Config!$F$18))/IF($C46="LT",Config!$G$6,Config!$G$18)))</f>
        <v/>
      </c>
      <c r="X46">
        <f>IF(OR(L46=0,L46=""),"",ABS((L46-IF($C46="LT",Config!$F$7,Config!$F$19))/IF($C46="LT",Config!$G$7,Config!$G$19)))</f>
        <v/>
      </c>
      <c r="Y46">
        <f>IF(OR(M46=0,M46=""),"",ABS((M46-IF($C46="LT",Config!$F$8,Config!$F$20))/IF($C46="LT",Config!$G$8,Config!$G$20)))</f>
        <v/>
      </c>
      <c r="Z46">
        <f>IF(OR(N46=0,N46=""),"",ABS((N46-IF($C46="LT",Config!$F$9,Config!$F$21))/IF($C46="LT",Config!$G$9,Config!$G$21)))</f>
        <v/>
      </c>
      <c r="AA46">
        <f>IF(OR(O46=0,O46=""),"",ABS((O46-IF($C46="LT",Config!$F$10,Config!$F$22))/IF($C46="LT",Config!$G$10,Config!$G$22)))</f>
        <v/>
      </c>
      <c r="AB46">
        <f>IF(OR(P46=0,P46=""),"",ABS((P46-IF($C46="LT",Config!$F$11,Config!$F$23))/IF($C46="LT",Config!$G$11,Config!$G$23)))</f>
        <v/>
      </c>
      <c r="AC46">
        <f>IF(OR(Q46=0,Q46=""),"",ABS((Q46-IF($C46="LT",Config!$F$12,Config!$F$24))/IF($C46="LT",Config!$G$12,Config!$G$24)))</f>
        <v/>
      </c>
      <c r="AD46">
        <f>IF(OR(R46=0,R46=""),"",ABS((R46-IF($C46="LT",Config!$F$13,Config!$F$25))/IF($C46="LT",Config!$G$13,Config!$G$25)))</f>
        <v/>
      </c>
    </row>
    <row r="47">
      <c r="A47" t="inlineStr">
        <is>
          <t>04B1226120599</t>
        </is>
      </c>
      <c r="B47" t="inlineStr">
        <is>
          <t>CRS0000675</t>
        </is>
      </c>
      <c r="C47" t="inlineStr">
        <is>
          <t>LT</t>
        </is>
      </c>
      <c r="D47" t="inlineStr">
        <is>
          <t>ALX440U-DS3B01</t>
        </is>
      </c>
      <c r="E47" s="2" t="n">
        <v>46070</v>
      </c>
      <c r="F47" t="inlineStr">
        <is>
          <t>Pass</t>
        </is>
      </c>
      <c r="G47" t="n">
        <v>143.7</v>
      </c>
      <c r="H47" t="n">
        <v>99.2</v>
      </c>
      <c r="I47" t="n">
        <v>-1957.8</v>
      </c>
      <c r="J47" t="n">
        <v>67.3</v>
      </c>
      <c r="K47" t="n">
        <v>0</v>
      </c>
      <c r="L47" t="n">
        <v>3.1</v>
      </c>
      <c r="M47" t="n">
        <v>0</v>
      </c>
      <c r="N47" t="n">
        <v>70.40000000000001</v>
      </c>
      <c r="O47" t="n">
        <v>114.5</v>
      </c>
      <c r="P47" t="n">
        <v>114.65</v>
      </c>
      <c r="Q47" t="n">
        <v>8.640000000000001</v>
      </c>
      <c r="R47" t="n">
        <v>8.369999999999999</v>
      </c>
      <c r="S47">
        <f>IF(OR(G47=0,G47=""),"",ABS((G47-IF($C47="LT",Config!$F$2,Config!$F$14))/IF($C47="LT",Config!$G$2,Config!$G$14)))</f>
        <v/>
      </c>
      <c r="T47">
        <f>IF(OR(H47=0,H47=""),"",ABS((H47-IF($C47="LT",Config!$F$3,Config!$F$15))/IF($C47="LT",Config!$G$3,Config!$G$15)))</f>
        <v/>
      </c>
      <c r="U47">
        <f>IF(OR(I47=0,I47=""),"",ABS((I47-IF($C47="LT",Config!$F$4,Config!$F$16))/IF($C47="LT",Config!$G$4,Config!$G$16)))</f>
        <v/>
      </c>
      <c r="V47">
        <f>IF(OR(J47=0,J47=""),"",ABS((J47-IF($C47="LT",Config!$F$5,Config!$F$17))/IF($C47="LT",Config!$G$5,Config!$G$17)))</f>
        <v/>
      </c>
      <c r="W47">
        <f>IF(OR(K47=0,K47=""),"",ABS((K47-IF($C47="LT",Config!$F$6,Config!$F$18))/IF($C47="LT",Config!$G$6,Config!$G$18)))</f>
        <v/>
      </c>
      <c r="X47">
        <f>IF(OR(L47=0,L47=""),"",ABS((L47-IF($C47="LT",Config!$F$7,Config!$F$19))/IF($C47="LT",Config!$G$7,Config!$G$19)))</f>
        <v/>
      </c>
      <c r="Y47">
        <f>IF(OR(M47=0,M47=""),"",ABS((M47-IF($C47="LT",Config!$F$8,Config!$F$20))/IF($C47="LT",Config!$G$8,Config!$G$20)))</f>
        <v/>
      </c>
      <c r="Z47">
        <f>IF(OR(N47=0,N47=""),"",ABS((N47-IF($C47="LT",Config!$F$9,Config!$F$21))/IF($C47="LT",Config!$G$9,Config!$G$21)))</f>
        <v/>
      </c>
      <c r="AA47">
        <f>IF(OR(O47=0,O47=""),"",ABS((O47-IF($C47="LT",Config!$F$10,Config!$F$22))/IF($C47="LT",Config!$G$10,Config!$G$22)))</f>
        <v/>
      </c>
      <c r="AB47">
        <f>IF(OR(P47=0,P47=""),"",ABS((P47-IF($C47="LT",Config!$F$11,Config!$F$23))/IF($C47="LT",Config!$G$11,Config!$G$23)))</f>
        <v/>
      </c>
      <c r="AC47">
        <f>IF(OR(Q47=0,Q47=""),"",ABS((Q47-IF($C47="LT",Config!$F$12,Config!$F$24))/IF($C47="LT",Config!$G$12,Config!$G$24)))</f>
        <v/>
      </c>
      <c r="AD47">
        <f>IF(OR(R47=0,R47=""),"",ABS((R47-IF($C47="LT",Config!$F$13,Config!$F$25))/IF($C47="LT",Config!$G$13,Config!$G$25)))</f>
        <v/>
      </c>
    </row>
    <row r="48">
      <c r="A48" t="inlineStr">
        <is>
          <t>04B1926120664</t>
        </is>
      </c>
      <c r="B48" t="inlineStr">
        <is>
          <t>CRS0000674</t>
        </is>
      </c>
      <c r="C48" t="inlineStr">
        <is>
          <t>MT</t>
        </is>
      </c>
      <c r="D48" t="inlineStr">
        <is>
          <t>TCX413U-DS1B01</t>
        </is>
      </c>
      <c r="E48" s="2" t="n">
        <v>46073</v>
      </c>
      <c r="F48" t="inlineStr">
        <is>
          <t>Fail</t>
        </is>
      </c>
      <c r="G48" t="n">
        <v>114.2</v>
      </c>
      <c r="H48" t="n">
        <v>73.40000000000001</v>
      </c>
      <c r="I48" t="n">
        <v>-1957.8</v>
      </c>
      <c r="J48" t="n">
        <v>66.40000000000001</v>
      </c>
      <c r="K48" t="n">
        <v>0</v>
      </c>
      <c r="L48" t="n">
        <v>1.8</v>
      </c>
      <c r="M48" t="n">
        <v>0</v>
      </c>
      <c r="N48" t="n">
        <v>68.2</v>
      </c>
      <c r="O48" t="n">
        <v>111.42</v>
      </c>
      <c r="P48" t="n">
        <v>112.82</v>
      </c>
      <c r="Q48" t="n">
        <v>3.78</v>
      </c>
      <c r="R48" t="n">
        <v>3.86</v>
      </c>
      <c r="S48">
        <f>IF(OR(G48=0,G48=""),"",ABS((G48-IF($C48="LT",Config!$F$2,Config!$F$14))/IF($C48="LT",Config!$G$2,Config!$G$14)))</f>
        <v/>
      </c>
      <c r="T48">
        <f>IF(OR(H48=0,H48=""),"",ABS((H48-IF($C48="LT",Config!$F$3,Config!$F$15))/IF($C48="LT",Config!$G$3,Config!$G$15)))</f>
        <v/>
      </c>
      <c r="U48">
        <f>IF(OR(I48=0,I48=""),"",ABS((I48-IF($C48="LT",Config!$F$4,Config!$F$16))/IF($C48="LT",Config!$G$4,Config!$G$16)))</f>
        <v/>
      </c>
      <c r="V48">
        <f>IF(OR(J48=0,J48=""),"",ABS((J48-IF($C48="LT",Config!$F$5,Config!$F$17))/IF($C48="LT",Config!$G$5,Config!$G$17)))</f>
        <v/>
      </c>
      <c r="W48">
        <f>IF(OR(K48=0,K48=""),"",ABS((K48-IF($C48="LT",Config!$F$6,Config!$F$18))/IF($C48="LT",Config!$G$6,Config!$G$18)))</f>
        <v/>
      </c>
      <c r="X48">
        <f>IF(OR(L48=0,L48=""),"",ABS((L48-IF($C48="LT",Config!$F$7,Config!$F$19))/IF($C48="LT",Config!$G$7,Config!$G$19)))</f>
        <v/>
      </c>
      <c r="Y48">
        <f>IF(OR(M48=0,M48=""),"",ABS((M48-IF($C48="LT",Config!$F$8,Config!$F$20))/IF($C48="LT",Config!$G$8,Config!$G$20)))</f>
        <v/>
      </c>
      <c r="Z48">
        <f>IF(OR(N48=0,N48=""),"",ABS((N48-IF($C48="LT",Config!$F$9,Config!$F$21))/IF($C48="LT",Config!$G$9,Config!$G$21)))</f>
        <v/>
      </c>
      <c r="AA48">
        <f>IF(OR(O48=0,O48=""),"",ABS((O48-IF($C48="LT",Config!$F$10,Config!$F$22))/IF($C48="LT",Config!$G$10,Config!$G$22)))</f>
        <v/>
      </c>
      <c r="AB48">
        <f>IF(OR(P48=0,P48=""),"",ABS((P48-IF($C48="LT",Config!$F$11,Config!$F$23))/IF($C48="LT",Config!$G$11,Config!$G$23)))</f>
        <v/>
      </c>
      <c r="AC48">
        <f>IF(OR(Q48=0,Q48=""),"",ABS((Q48-IF($C48="LT",Config!$F$12,Config!$F$24))/IF($C48="LT",Config!$G$12,Config!$G$24)))</f>
        <v/>
      </c>
      <c r="AD48">
        <f>IF(OR(R48=0,R48=""),"",ABS((R48-IF($C48="LT",Config!$F$13,Config!$F$25))/IF($C48="LT",Config!$G$13,Config!$G$25)))</f>
        <v/>
      </c>
    </row>
    <row r="49">
      <c r="A49" t="inlineStr">
        <is>
          <t>04B1926120664</t>
        </is>
      </c>
      <c r="B49" t="inlineStr">
        <is>
          <t>CRS0000674</t>
        </is>
      </c>
      <c r="C49" t="inlineStr">
        <is>
          <t>MT</t>
        </is>
      </c>
      <c r="D49" t="inlineStr">
        <is>
          <t>TCX413U-DS1B01</t>
        </is>
      </c>
      <c r="E49" s="2" t="n">
        <v>46073</v>
      </c>
      <c r="F49" t="inlineStr">
        <is>
          <t>Pass</t>
        </is>
      </c>
      <c r="G49" t="n">
        <v>113.3</v>
      </c>
      <c r="H49" t="n">
        <v>70.7</v>
      </c>
      <c r="I49" t="n">
        <v>-1957.8</v>
      </c>
      <c r="J49" t="n">
        <v>67.3</v>
      </c>
      <c r="K49" t="n">
        <v>0</v>
      </c>
      <c r="L49" t="n">
        <v>1.5</v>
      </c>
      <c r="M49" t="n">
        <v>0</v>
      </c>
      <c r="N49" t="n">
        <v>68.8</v>
      </c>
      <c r="O49" t="n">
        <v>111.86</v>
      </c>
      <c r="P49" t="n">
        <v>113.55</v>
      </c>
      <c r="Q49" t="n">
        <v>3.74</v>
      </c>
      <c r="R49" t="n">
        <v>3.71</v>
      </c>
      <c r="S49">
        <f>IF(OR(G49=0,G49=""),"",ABS((G49-IF($C49="LT",Config!$F$2,Config!$F$14))/IF($C49="LT",Config!$G$2,Config!$G$14)))</f>
        <v/>
      </c>
      <c r="T49">
        <f>IF(OR(H49=0,H49=""),"",ABS((H49-IF($C49="LT",Config!$F$3,Config!$F$15))/IF($C49="LT",Config!$G$3,Config!$G$15)))</f>
        <v/>
      </c>
      <c r="U49">
        <f>IF(OR(I49=0,I49=""),"",ABS((I49-IF($C49="LT",Config!$F$4,Config!$F$16))/IF($C49="LT",Config!$G$4,Config!$G$16)))</f>
        <v/>
      </c>
      <c r="V49">
        <f>IF(OR(J49=0,J49=""),"",ABS((J49-IF($C49="LT",Config!$F$5,Config!$F$17))/IF($C49="LT",Config!$G$5,Config!$G$17)))</f>
        <v/>
      </c>
      <c r="W49">
        <f>IF(OR(K49=0,K49=""),"",ABS((K49-IF($C49="LT",Config!$F$6,Config!$F$18))/IF($C49="LT",Config!$G$6,Config!$G$18)))</f>
        <v/>
      </c>
      <c r="X49">
        <f>IF(OR(L49=0,L49=""),"",ABS((L49-IF($C49="LT",Config!$F$7,Config!$F$19))/IF($C49="LT",Config!$G$7,Config!$G$19)))</f>
        <v/>
      </c>
      <c r="Y49">
        <f>IF(OR(M49=0,M49=""),"",ABS((M49-IF($C49="LT",Config!$F$8,Config!$F$20))/IF($C49="LT",Config!$G$8,Config!$G$20)))</f>
        <v/>
      </c>
      <c r="Z49">
        <f>IF(OR(N49=0,N49=""),"",ABS((N49-IF($C49="LT",Config!$F$9,Config!$F$21))/IF($C49="LT",Config!$G$9,Config!$G$21)))</f>
        <v/>
      </c>
      <c r="AA49">
        <f>IF(OR(O49=0,O49=""),"",ABS((O49-IF($C49="LT",Config!$F$10,Config!$F$22))/IF($C49="LT",Config!$G$10,Config!$G$22)))</f>
        <v/>
      </c>
      <c r="AB49">
        <f>IF(OR(P49=0,P49=""),"",ABS((P49-IF($C49="LT",Config!$F$11,Config!$F$23))/IF($C49="LT",Config!$G$11,Config!$G$23)))</f>
        <v/>
      </c>
      <c r="AC49">
        <f>IF(OR(Q49=0,Q49=""),"",ABS((Q49-IF($C49="LT",Config!$F$12,Config!$F$24))/IF($C49="LT",Config!$G$12,Config!$G$24)))</f>
        <v/>
      </c>
      <c r="AD49">
        <f>IF(OR(R49=0,R49=""),"",ABS((R49-IF($C49="LT",Config!$F$13,Config!$F$25))/IF($C49="LT",Config!$G$13,Config!$G$25)))</f>
        <v/>
      </c>
    </row>
    <row r="50">
      <c r="A50" t="inlineStr">
        <is>
          <t>04B1926120665</t>
        </is>
      </c>
      <c r="B50" t="inlineStr">
        <is>
          <t>CRS0000674</t>
        </is>
      </c>
      <c r="C50" t="inlineStr">
        <is>
          <t>MT</t>
        </is>
      </c>
      <c r="D50" t="inlineStr">
        <is>
          <t>TCX413U-DS1B01</t>
        </is>
      </c>
      <c r="E50" s="2" t="n">
        <v>46073</v>
      </c>
      <c r="F50" t="inlineStr">
        <is>
          <t>Pass</t>
        </is>
      </c>
      <c r="G50" t="n">
        <v>112.4</v>
      </c>
      <c r="H50" t="n">
        <v>75.7</v>
      </c>
      <c r="I50" t="n">
        <v>-1957.8</v>
      </c>
      <c r="J50" t="n">
        <v>67.3</v>
      </c>
      <c r="K50" t="n">
        <v>0</v>
      </c>
      <c r="L50" t="n">
        <v>2.3</v>
      </c>
      <c r="M50" t="n">
        <v>0</v>
      </c>
      <c r="N50" t="n">
        <v>69.59999999999999</v>
      </c>
      <c r="O50" t="n">
        <v>112.01</v>
      </c>
      <c r="P50" t="n">
        <v>113.48</v>
      </c>
      <c r="Q50" t="n">
        <v>3.86</v>
      </c>
      <c r="R50" t="n">
        <v>3.91</v>
      </c>
      <c r="S50">
        <f>IF(OR(G50=0,G50=""),"",ABS((G50-IF($C50="LT",Config!$F$2,Config!$F$14))/IF($C50="LT",Config!$G$2,Config!$G$14)))</f>
        <v/>
      </c>
      <c r="T50">
        <f>IF(OR(H50=0,H50=""),"",ABS((H50-IF($C50="LT",Config!$F$3,Config!$F$15))/IF($C50="LT",Config!$G$3,Config!$G$15)))</f>
        <v/>
      </c>
      <c r="U50">
        <f>IF(OR(I50=0,I50=""),"",ABS((I50-IF($C50="LT",Config!$F$4,Config!$F$16))/IF($C50="LT",Config!$G$4,Config!$G$16)))</f>
        <v/>
      </c>
      <c r="V50">
        <f>IF(OR(J50=0,J50=""),"",ABS((J50-IF($C50="LT",Config!$F$5,Config!$F$17))/IF($C50="LT",Config!$G$5,Config!$G$17)))</f>
        <v/>
      </c>
      <c r="W50">
        <f>IF(OR(K50=0,K50=""),"",ABS((K50-IF($C50="LT",Config!$F$6,Config!$F$18))/IF($C50="LT",Config!$G$6,Config!$G$18)))</f>
        <v/>
      </c>
      <c r="X50">
        <f>IF(OR(L50=0,L50=""),"",ABS((L50-IF($C50="LT",Config!$F$7,Config!$F$19))/IF($C50="LT",Config!$G$7,Config!$G$19)))</f>
        <v/>
      </c>
      <c r="Y50">
        <f>IF(OR(M50=0,M50=""),"",ABS((M50-IF($C50="LT",Config!$F$8,Config!$F$20))/IF($C50="LT",Config!$G$8,Config!$G$20)))</f>
        <v/>
      </c>
      <c r="Z50">
        <f>IF(OR(N50=0,N50=""),"",ABS((N50-IF($C50="LT",Config!$F$9,Config!$F$21))/IF($C50="LT",Config!$G$9,Config!$G$21)))</f>
        <v/>
      </c>
      <c r="AA50">
        <f>IF(OR(O50=0,O50=""),"",ABS((O50-IF($C50="LT",Config!$F$10,Config!$F$22))/IF($C50="LT",Config!$G$10,Config!$G$22)))</f>
        <v/>
      </c>
      <c r="AB50">
        <f>IF(OR(P50=0,P50=""),"",ABS((P50-IF($C50="LT",Config!$F$11,Config!$F$23))/IF($C50="LT",Config!$G$11,Config!$G$23)))</f>
        <v/>
      </c>
      <c r="AC50">
        <f>IF(OR(Q50=0,Q50=""),"",ABS((Q50-IF($C50="LT",Config!$F$12,Config!$F$24))/IF($C50="LT",Config!$G$12,Config!$G$24)))</f>
        <v/>
      </c>
      <c r="AD50">
        <f>IF(OR(R50=0,R50=""),"",ABS((R50-IF($C50="LT",Config!$F$13,Config!$F$25))/IF($C50="LT",Config!$G$13,Config!$G$25)))</f>
        <v/>
      </c>
    </row>
    <row r="51">
      <c r="A51" t="inlineStr">
        <is>
          <t>04B2526120683</t>
        </is>
      </c>
      <c r="B51" t="inlineStr">
        <is>
          <t>CRS0000674</t>
        </is>
      </c>
      <c r="C51" t="inlineStr">
        <is>
          <t>MT</t>
        </is>
      </c>
      <c r="D51" t="inlineStr">
        <is>
          <t>TCX413U-DS1B01</t>
        </is>
      </c>
      <c r="E51" s="2" t="n">
        <v>46079</v>
      </c>
      <c r="F51" t="inlineStr">
        <is>
          <t>Fail</t>
        </is>
      </c>
      <c r="G51" t="n">
        <v>122.7</v>
      </c>
      <c r="H51" t="n">
        <v>83.8</v>
      </c>
      <c r="I51" t="n">
        <v>-1957.8</v>
      </c>
      <c r="J51" t="n">
        <v>66.40000000000001</v>
      </c>
      <c r="K51" t="n">
        <v>0</v>
      </c>
      <c r="L51" t="n">
        <v>6.5</v>
      </c>
      <c r="M51" t="n">
        <v>0</v>
      </c>
      <c r="N51" t="n">
        <v>72.90000000000001</v>
      </c>
      <c r="O51" t="n">
        <v>115.53</v>
      </c>
      <c r="P51" t="n">
        <v>113.55</v>
      </c>
      <c r="Q51" t="n">
        <v>3.83</v>
      </c>
      <c r="R51" t="n">
        <v>3.98</v>
      </c>
      <c r="S51">
        <f>IF(OR(G51=0,G51=""),"",ABS((G51-IF($C51="LT",Config!$F$2,Config!$F$14))/IF($C51="LT",Config!$G$2,Config!$G$14)))</f>
        <v/>
      </c>
      <c r="T51">
        <f>IF(OR(H51=0,H51=""),"",ABS((H51-IF($C51="LT",Config!$F$3,Config!$F$15))/IF($C51="LT",Config!$G$3,Config!$G$15)))</f>
        <v/>
      </c>
      <c r="U51">
        <f>IF(OR(I51=0,I51=""),"",ABS((I51-IF($C51="LT",Config!$F$4,Config!$F$16))/IF($C51="LT",Config!$G$4,Config!$G$16)))</f>
        <v/>
      </c>
      <c r="V51">
        <f>IF(OR(J51=0,J51=""),"",ABS((J51-IF($C51="LT",Config!$F$5,Config!$F$17))/IF($C51="LT",Config!$G$5,Config!$G$17)))</f>
        <v/>
      </c>
      <c r="W51">
        <f>IF(OR(K51=0,K51=""),"",ABS((K51-IF($C51="LT",Config!$F$6,Config!$F$18))/IF($C51="LT",Config!$G$6,Config!$G$18)))</f>
        <v/>
      </c>
      <c r="X51">
        <f>IF(OR(L51=0,L51=""),"",ABS((L51-IF($C51="LT",Config!$F$7,Config!$F$19))/IF($C51="LT",Config!$G$7,Config!$G$19)))</f>
        <v/>
      </c>
      <c r="Y51">
        <f>IF(OR(M51=0,M51=""),"",ABS((M51-IF($C51="LT",Config!$F$8,Config!$F$20))/IF($C51="LT",Config!$G$8,Config!$G$20)))</f>
        <v/>
      </c>
      <c r="Z51">
        <f>IF(OR(N51=0,N51=""),"",ABS((N51-IF($C51="LT",Config!$F$9,Config!$F$21))/IF($C51="LT",Config!$G$9,Config!$G$21)))</f>
        <v/>
      </c>
      <c r="AA51">
        <f>IF(OR(O51=0,O51=""),"",ABS((O51-IF($C51="LT",Config!$F$10,Config!$F$22))/IF($C51="LT",Config!$G$10,Config!$G$22)))</f>
        <v/>
      </c>
      <c r="AB51">
        <f>IF(OR(P51=0,P51=""),"",ABS((P51-IF($C51="LT",Config!$F$11,Config!$F$23))/IF($C51="LT",Config!$G$11,Config!$G$23)))</f>
        <v/>
      </c>
      <c r="AC51">
        <f>IF(OR(Q51=0,Q51=""),"",ABS((Q51-IF($C51="LT",Config!$F$12,Config!$F$24))/IF($C51="LT",Config!$G$12,Config!$G$24)))</f>
        <v/>
      </c>
      <c r="AD51">
        <f>IF(OR(R51=0,R51=""),"",ABS((R51-IF($C51="LT",Config!$F$13,Config!$F$25))/IF($C51="LT",Config!$G$13,Config!$G$25)))</f>
        <v/>
      </c>
    </row>
    <row r="52">
      <c r="A52" t="inlineStr">
        <is>
          <t>04B2526120684</t>
        </is>
      </c>
      <c r="B52" t="inlineStr">
        <is>
          <t>CRS0000674</t>
        </is>
      </c>
      <c r="C52" t="inlineStr">
        <is>
          <t>MT</t>
        </is>
      </c>
      <c r="D52" t="inlineStr">
        <is>
          <t>TCX413U-DS1B01</t>
        </is>
      </c>
      <c r="E52" s="2" t="n">
        <v>46079</v>
      </c>
      <c r="F52" t="inlineStr">
        <is>
          <t>Pass</t>
        </is>
      </c>
      <c r="G52" t="n">
        <v>118.2</v>
      </c>
      <c r="H52" t="n">
        <v>84.7</v>
      </c>
      <c r="I52" t="n">
        <v>-1957.8</v>
      </c>
      <c r="J52" t="n">
        <v>66.8</v>
      </c>
      <c r="K52" t="n">
        <v>0</v>
      </c>
      <c r="L52" t="n">
        <v>7.4</v>
      </c>
      <c r="M52" t="n">
        <v>0</v>
      </c>
      <c r="N52" t="n">
        <v>74.2</v>
      </c>
      <c r="O52" t="n">
        <v>115.6</v>
      </c>
      <c r="P52" t="n">
        <v>116.7</v>
      </c>
      <c r="Q52" t="n">
        <v>3.83</v>
      </c>
      <c r="R52" t="n">
        <v>3.93</v>
      </c>
      <c r="S52">
        <f>IF(OR(G52=0,G52=""),"",ABS((G52-IF($C52="LT",Config!$F$2,Config!$F$14))/IF($C52="LT",Config!$G$2,Config!$G$14)))</f>
        <v/>
      </c>
      <c r="T52">
        <f>IF(OR(H52=0,H52=""),"",ABS((H52-IF($C52="LT",Config!$F$3,Config!$F$15))/IF($C52="LT",Config!$G$3,Config!$G$15)))</f>
        <v/>
      </c>
      <c r="U52">
        <f>IF(OR(I52=0,I52=""),"",ABS((I52-IF($C52="LT",Config!$F$4,Config!$F$16))/IF($C52="LT",Config!$G$4,Config!$G$16)))</f>
        <v/>
      </c>
      <c r="V52">
        <f>IF(OR(J52=0,J52=""),"",ABS((J52-IF($C52="LT",Config!$F$5,Config!$F$17))/IF($C52="LT",Config!$G$5,Config!$G$17)))</f>
        <v/>
      </c>
      <c r="W52">
        <f>IF(OR(K52=0,K52=""),"",ABS((K52-IF($C52="LT",Config!$F$6,Config!$F$18))/IF($C52="LT",Config!$G$6,Config!$G$18)))</f>
        <v/>
      </c>
      <c r="X52">
        <f>IF(OR(L52=0,L52=""),"",ABS((L52-IF($C52="LT",Config!$F$7,Config!$F$19))/IF($C52="LT",Config!$G$7,Config!$G$19)))</f>
        <v/>
      </c>
      <c r="Y52">
        <f>IF(OR(M52=0,M52=""),"",ABS((M52-IF($C52="LT",Config!$F$8,Config!$F$20))/IF($C52="LT",Config!$G$8,Config!$G$20)))</f>
        <v/>
      </c>
      <c r="Z52">
        <f>IF(OR(N52=0,N52=""),"",ABS((N52-IF($C52="LT",Config!$F$9,Config!$F$21))/IF($C52="LT",Config!$G$9,Config!$G$21)))</f>
        <v/>
      </c>
      <c r="AA52">
        <f>IF(OR(O52=0,O52=""),"",ABS((O52-IF($C52="LT",Config!$F$10,Config!$F$22))/IF($C52="LT",Config!$G$10,Config!$G$22)))</f>
        <v/>
      </c>
      <c r="AB52">
        <f>IF(OR(P52=0,P52=""),"",ABS((P52-IF($C52="LT",Config!$F$11,Config!$F$23))/IF($C52="LT",Config!$G$11,Config!$G$23)))</f>
        <v/>
      </c>
      <c r="AC52">
        <f>IF(OR(Q52=0,Q52=""),"",ABS((Q52-IF($C52="LT",Config!$F$12,Config!$F$24))/IF($C52="LT",Config!$G$12,Config!$G$24)))</f>
        <v/>
      </c>
      <c r="AD52">
        <f>IF(OR(R52=0,R52=""),"",ABS((R52-IF($C52="LT",Config!$F$13,Config!$F$25))/IF($C52="LT",Config!$G$13,Config!$G$25)))</f>
        <v/>
      </c>
    </row>
    <row r="53">
      <c r="A53" t="inlineStr">
        <is>
          <t>04B2526120683</t>
        </is>
      </c>
      <c r="B53" t="inlineStr">
        <is>
          <t>CRS0000674</t>
        </is>
      </c>
      <c r="C53" t="inlineStr">
        <is>
          <t>MT</t>
        </is>
      </c>
      <c r="D53" t="inlineStr">
        <is>
          <t>TCX413U-DS1B01</t>
        </is>
      </c>
      <c r="E53" s="2" t="n">
        <v>46079</v>
      </c>
      <c r="F53" t="inlineStr">
        <is>
          <t>Pass</t>
        </is>
      </c>
      <c r="G53" t="n">
        <v>116.9</v>
      </c>
      <c r="H53" t="n">
        <v>82.90000000000001</v>
      </c>
      <c r="I53" t="n">
        <v>-1957.8</v>
      </c>
      <c r="J53" t="n">
        <v>65.90000000000001</v>
      </c>
      <c r="K53" t="n">
        <v>0</v>
      </c>
      <c r="L53" t="n">
        <v>2.9</v>
      </c>
      <c r="M53" t="n">
        <v>0</v>
      </c>
      <c r="N53" t="n">
        <v>68.8</v>
      </c>
      <c r="O53" t="n">
        <v>115.38</v>
      </c>
      <c r="P53" t="n">
        <v>115.31</v>
      </c>
      <c r="Q53" t="n">
        <v>3.76</v>
      </c>
      <c r="R53" t="n">
        <v>3.86</v>
      </c>
      <c r="S53">
        <f>IF(OR(G53=0,G53=""),"",ABS((G53-IF($C53="LT",Config!$F$2,Config!$F$14))/IF($C53="LT",Config!$G$2,Config!$G$14)))</f>
        <v/>
      </c>
      <c r="T53">
        <f>IF(OR(H53=0,H53=""),"",ABS((H53-IF($C53="LT",Config!$F$3,Config!$F$15))/IF($C53="LT",Config!$G$3,Config!$G$15)))</f>
        <v/>
      </c>
      <c r="U53">
        <f>IF(OR(I53=0,I53=""),"",ABS((I53-IF($C53="LT",Config!$F$4,Config!$F$16))/IF($C53="LT",Config!$G$4,Config!$G$16)))</f>
        <v/>
      </c>
      <c r="V53">
        <f>IF(OR(J53=0,J53=""),"",ABS((J53-IF($C53="LT",Config!$F$5,Config!$F$17))/IF($C53="LT",Config!$G$5,Config!$G$17)))</f>
        <v/>
      </c>
      <c r="W53">
        <f>IF(OR(K53=0,K53=""),"",ABS((K53-IF($C53="LT",Config!$F$6,Config!$F$18))/IF($C53="LT",Config!$G$6,Config!$G$18)))</f>
        <v/>
      </c>
      <c r="X53">
        <f>IF(OR(L53=0,L53=""),"",ABS((L53-IF($C53="LT",Config!$F$7,Config!$F$19))/IF($C53="LT",Config!$G$7,Config!$G$19)))</f>
        <v/>
      </c>
      <c r="Y53">
        <f>IF(OR(M53=0,M53=""),"",ABS((M53-IF($C53="LT",Config!$F$8,Config!$F$20))/IF($C53="LT",Config!$G$8,Config!$G$20)))</f>
        <v/>
      </c>
      <c r="Z53">
        <f>IF(OR(N53=0,N53=""),"",ABS((N53-IF($C53="LT",Config!$F$9,Config!$F$21))/IF($C53="LT",Config!$G$9,Config!$G$21)))</f>
        <v/>
      </c>
      <c r="AA53">
        <f>IF(OR(O53=0,O53=""),"",ABS((O53-IF($C53="LT",Config!$F$10,Config!$F$22))/IF($C53="LT",Config!$G$10,Config!$G$22)))</f>
        <v/>
      </c>
      <c r="AB53">
        <f>IF(OR(P53=0,P53=""),"",ABS((P53-IF($C53="LT",Config!$F$11,Config!$F$23))/IF($C53="LT",Config!$G$11,Config!$G$23)))</f>
        <v/>
      </c>
      <c r="AC53">
        <f>IF(OR(Q53=0,Q53=""),"",ABS((Q53-IF($C53="LT",Config!$F$12,Config!$F$24))/IF($C53="LT",Config!$G$12,Config!$G$24)))</f>
        <v/>
      </c>
      <c r="AD53">
        <f>IF(OR(R53=0,R53=""),"",ABS((R53-IF($C53="LT",Config!$F$13,Config!$F$25))/IF($C53="LT",Config!$G$13,Config!$G$25)))</f>
        <v/>
      </c>
    </row>
    <row r="54">
      <c r="A54" t="inlineStr">
        <is>
          <t>04B2526120685</t>
        </is>
      </c>
      <c r="B54" t="inlineStr">
        <is>
          <t>CRS0000674</t>
        </is>
      </c>
      <c r="C54" t="inlineStr">
        <is>
          <t>MT</t>
        </is>
      </c>
      <c r="D54" t="inlineStr">
        <is>
          <t>TCX413U-DS1B01</t>
        </is>
      </c>
      <c r="E54" s="2" t="n">
        <v>46079</v>
      </c>
      <c r="F54" t="inlineStr">
        <is>
          <t>Pass</t>
        </is>
      </c>
      <c r="G54" t="n">
        <v>117.8</v>
      </c>
      <c r="H54" t="n">
        <v>82.90000000000001</v>
      </c>
      <c r="I54" t="n">
        <v>-1957.8</v>
      </c>
      <c r="J54" t="n">
        <v>66.40000000000001</v>
      </c>
      <c r="K54" t="n">
        <v>0</v>
      </c>
      <c r="L54" t="n">
        <v>4.8</v>
      </c>
      <c r="M54" t="n">
        <v>0</v>
      </c>
      <c r="N54" t="n">
        <v>71.2</v>
      </c>
      <c r="O54" t="n">
        <v>115.31</v>
      </c>
      <c r="P54" t="n">
        <v>115.38</v>
      </c>
      <c r="Q54" t="n">
        <v>3.86</v>
      </c>
      <c r="R54" t="n">
        <v>3.91</v>
      </c>
      <c r="S54">
        <f>IF(OR(G54=0,G54=""),"",ABS((G54-IF($C54="LT",Config!$F$2,Config!$F$14))/IF($C54="LT",Config!$G$2,Config!$G$14)))</f>
        <v/>
      </c>
      <c r="T54">
        <f>IF(OR(H54=0,H54=""),"",ABS((H54-IF($C54="LT",Config!$F$3,Config!$F$15))/IF($C54="LT",Config!$G$3,Config!$G$15)))</f>
        <v/>
      </c>
      <c r="U54">
        <f>IF(OR(I54=0,I54=""),"",ABS((I54-IF($C54="LT",Config!$F$4,Config!$F$16))/IF($C54="LT",Config!$G$4,Config!$G$16)))</f>
        <v/>
      </c>
      <c r="V54">
        <f>IF(OR(J54=0,J54=""),"",ABS((J54-IF($C54="LT",Config!$F$5,Config!$F$17))/IF($C54="LT",Config!$G$5,Config!$G$17)))</f>
        <v/>
      </c>
      <c r="W54">
        <f>IF(OR(K54=0,K54=""),"",ABS((K54-IF($C54="LT",Config!$F$6,Config!$F$18))/IF($C54="LT",Config!$G$6,Config!$G$18)))</f>
        <v/>
      </c>
      <c r="X54">
        <f>IF(OR(L54=0,L54=""),"",ABS((L54-IF($C54="LT",Config!$F$7,Config!$F$19))/IF($C54="LT",Config!$G$7,Config!$G$19)))</f>
        <v/>
      </c>
      <c r="Y54">
        <f>IF(OR(M54=0,M54=""),"",ABS((M54-IF($C54="LT",Config!$F$8,Config!$F$20))/IF($C54="LT",Config!$G$8,Config!$G$20)))</f>
        <v/>
      </c>
      <c r="Z54">
        <f>IF(OR(N54=0,N54=""),"",ABS((N54-IF($C54="LT",Config!$F$9,Config!$F$21))/IF($C54="LT",Config!$G$9,Config!$G$21)))</f>
        <v/>
      </c>
      <c r="AA54">
        <f>IF(OR(O54=0,O54=""),"",ABS((O54-IF($C54="LT",Config!$F$10,Config!$F$22))/IF($C54="LT",Config!$G$10,Config!$G$22)))</f>
        <v/>
      </c>
      <c r="AB54">
        <f>IF(OR(P54=0,P54=""),"",ABS((P54-IF($C54="LT",Config!$F$11,Config!$F$23))/IF($C54="LT",Config!$G$11,Config!$G$23)))</f>
        <v/>
      </c>
      <c r="AC54">
        <f>IF(OR(Q54=0,Q54=""),"",ABS((Q54-IF($C54="LT",Config!$F$12,Config!$F$24))/IF($C54="LT",Config!$G$12,Config!$G$24)))</f>
        <v/>
      </c>
      <c r="AD54">
        <f>IF(OR(R54=0,R54=""),"",ABS((R54-IF($C54="LT",Config!$F$13,Config!$F$25))/IF($C54="LT",Config!$G$13,Config!$G$25)))</f>
        <v/>
      </c>
    </row>
    <row r="55">
      <c r="A55" t="inlineStr">
        <is>
          <t>04B2626120693</t>
        </is>
      </c>
      <c r="B55" t="inlineStr">
        <is>
          <t>CRS0000674</t>
        </is>
      </c>
      <c r="C55" t="inlineStr">
        <is>
          <t>MT</t>
        </is>
      </c>
      <c r="D55" t="inlineStr">
        <is>
          <t>TCX413U-DS1B01</t>
        </is>
      </c>
      <c r="E55" s="2" t="n">
        <v>46079</v>
      </c>
      <c r="F55" t="inlineStr">
        <is>
          <t>Pass</t>
        </is>
      </c>
      <c r="G55" t="n">
        <v>112.9</v>
      </c>
      <c r="H55" t="n">
        <v>80.2</v>
      </c>
      <c r="I55" t="n">
        <v>-1957.8</v>
      </c>
      <c r="J55" t="n">
        <v>65</v>
      </c>
      <c r="K55" t="n">
        <v>0</v>
      </c>
      <c r="L55" t="n">
        <v>2.6</v>
      </c>
      <c r="M55" t="n">
        <v>0</v>
      </c>
      <c r="N55" t="n">
        <v>67.59999999999999</v>
      </c>
      <c r="O55" t="n">
        <v>112.3</v>
      </c>
      <c r="P55" t="n">
        <v>116.48</v>
      </c>
      <c r="Q55" t="n">
        <v>3.76</v>
      </c>
      <c r="R55" t="n">
        <v>3.78</v>
      </c>
      <c r="S55">
        <f>IF(OR(G55=0,G55=""),"",ABS((G55-IF($C55="LT",Config!$F$2,Config!$F$14))/IF($C55="LT",Config!$G$2,Config!$G$14)))</f>
        <v/>
      </c>
      <c r="T55">
        <f>IF(OR(H55=0,H55=""),"",ABS((H55-IF($C55="LT",Config!$F$3,Config!$F$15))/IF($C55="LT",Config!$G$3,Config!$G$15)))</f>
        <v/>
      </c>
      <c r="U55">
        <f>IF(OR(I55=0,I55=""),"",ABS((I55-IF($C55="LT",Config!$F$4,Config!$F$16))/IF($C55="LT",Config!$G$4,Config!$G$16)))</f>
        <v/>
      </c>
      <c r="V55">
        <f>IF(OR(J55=0,J55=""),"",ABS((J55-IF($C55="LT",Config!$F$5,Config!$F$17))/IF($C55="LT",Config!$G$5,Config!$G$17)))</f>
        <v/>
      </c>
      <c r="W55">
        <f>IF(OR(K55=0,K55=""),"",ABS((K55-IF($C55="LT",Config!$F$6,Config!$F$18))/IF($C55="LT",Config!$G$6,Config!$G$18)))</f>
        <v/>
      </c>
      <c r="X55">
        <f>IF(OR(L55=0,L55=""),"",ABS((L55-IF($C55="LT",Config!$F$7,Config!$F$19))/IF($C55="LT",Config!$G$7,Config!$G$19)))</f>
        <v/>
      </c>
      <c r="Y55">
        <f>IF(OR(M55=0,M55=""),"",ABS((M55-IF($C55="LT",Config!$F$8,Config!$F$20))/IF($C55="LT",Config!$G$8,Config!$G$20)))</f>
        <v/>
      </c>
      <c r="Z55">
        <f>IF(OR(N55=0,N55=""),"",ABS((N55-IF($C55="LT",Config!$F$9,Config!$F$21))/IF($C55="LT",Config!$G$9,Config!$G$21)))</f>
        <v/>
      </c>
      <c r="AA55">
        <f>IF(OR(O55=0,O55=""),"",ABS((O55-IF($C55="LT",Config!$F$10,Config!$F$22))/IF($C55="LT",Config!$G$10,Config!$G$22)))</f>
        <v/>
      </c>
      <c r="AB55">
        <f>IF(OR(P55=0,P55=""),"",ABS((P55-IF($C55="LT",Config!$F$11,Config!$F$23))/IF($C55="LT",Config!$G$11,Config!$G$23)))</f>
        <v/>
      </c>
      <c r="AC55">
        <f>IF(OR(Q55=0,Q55=""),"",ABS((Q55-IF($C55="LT",Config!$F$12,Config!$F$24))/IF($C55="LT",Config!$G$12,Config!$G$24)))</f>
        <v/>
      </c>
      <c r="AD55">
        <f>IF(OR(R55=0,R55=""),"",ABS((R55-IF($C55="LT",Config!$F$13,Config!$F$25))/IF($C55="LT",Config!$G$13,Config!$G$25)))</f>
        <v/>
      </c>
    </row>
    <row r="56">
      <c r="A56" t="inlineStr">
        <is>
          <t>04B2626120694</t>
        </is>
      </c>
      <c r="B56" t="inlineStr">
        <is>
          <t>CRS0000674</t>
        </is>
      </c>
      <c r="C56" t="inlineStr">
        <is>
          <t>MT</t>
        </is>
      </c>
      <c r="D56" t="inlineStr">
        <is>
          <t>TCX413U-DS1B01</t>
        </is>
      </c>
      <c r="E56" s="2" t="n">
        <v>46079</v>
      </c>
      <c r="F56" t="inlineStr">
        <is>
          <t>Pass</t>
        </is>
      </c>
      <c r="G56" t="n">
        <v>109.3</v>
      </c>
      <c r="H56" t="n">
        <v>76.09999999999999</v>
      </c>
      <c r="I56" t="n">
        <v>-1957.8</v>
      </c>
      <c r="J56" t="n">
        <v>65</v>
      </c>
      <c r="K56" t="n">
        <v>0</v>
      </c>
      <c r="L56" t="n">
        <v>2.9</v>
      </c>
      <c r="M56" t="n">
        <v>0</v>
      </c>
      <c r="N56" t="n">
        <v>67.90000000000001</v>
      </c>
      <c r="O56" t="n">
        <v>112.38</v>
      </c>
      <c r="P56" t="n">
        <v>116.63</v>
      </c>
      <c r="Q56" t="n">
        <v>3.78</v>
      </c>
      <c r="R56" t="n">
        <v>3.74</v>
      </c>
      <c r="S56">
        <f>IF(OR(G56=0,G56=""),"",ABS((G56-IF($C56="LT",Config!$F$2,Config!$F$14))/IF($C56="LT",Config!$G$2,Config!$G$14)))</f>
        <v/>
      </c>
      <c r="T56">
        <f>IF(OR(H56=0,H56=""),"",ABS((H56-IF($C56="LT",Config!$F$3,Config!$F$15))/IF($C56="LT",Config!$G$3,Config!$G$15)))</f>
        <v/>
      </c>
      <c r="U56">
        <f>IF(OR(I56=0,I56=""),"",ABS((I56-IF($C56="LT",Config!$F$4,Config!$F$16))/IF($C56="LT",Config!$G$4,Config!$G$16)))</f>
        <v/>
      </c>
      <c r="V56">
        <f>IF(OR(J56=0,J56=""),"",ABS((J56-IF($C56="LT",Config!$F$5,Config!$F$17))/IF($C56="LT",Config!$G$5,Config!$G$17)))</f>
        <v/>
      </c>
      <c r="W56">
        <f>IF(OR(K56=0,K56=""),"",ABS((K56-IF($C56="LT",Config!$F$6,Config!$F$18))/IF($C56="LT",Config!$G$6,Config!$G$18)))</f>
        <v/>
      </c>
      <c r="X56">
        <f>IF(OR(L56=0,L56=""),"",ABS((L56-IF($C56="LT",Config!$F$7,Config!$F$19))/IF($C56="LT",Config!$G$7,Config!$G$19)))</f>
        <v/>
      </c>
      <c r="Y56">
        <f>IF(OR(M56=0,M56=""),"",ABS((M56-IF($C56="LT",Config!$F$8,Config!$F$20))/IF($C56="LT",Config!$G$8,Config!$G$20)))</f>
        <v/>
      </c>
      <c r="Z56">
        <f>IF(OR(N56=0,N56=""),"",ABS((N56-IF($C56="LT",Config!$F$9,Config!$F$21))/IF($C56="LT",Config!$G$9,Config!$G$21)))</f>
        <v/>
      </c>
      <c r="AA56">
        <f>IF(OR(O56=0,O56=""),"",ABS((O56-IF($C56="LT",Config!$F$10,Config!$F$22))/IF($C56="LT",Config!$G$10,Config!$G$22)))</f>
        <v/>
      </c>
      <c r="AB56">
        <f>IF(OR(P56=0,P56=""),"",ABS((P56-IF($C56="LT",Config!$F$11,Config!$F$23))/IF($C56="LT",Config!$G$11,Config!$G$23)))</f>
        <v/>
      </c>
      <c r="AC56">
        <f>IF(OR(Q56=0,Q56=""),"",ABS((Q56-IF($C56="LT",Config!$F$12,Config!$F$24))/IF($C56="LT",Config!$G$12,Config!$G$24)))</f>
        <v/>
      </c>
      <c r="AD56">
        <f>IF(OR(R56=0,R56=""),"",ABS((R56-IF($C56="LT",Config!$F$13,Config!$F$25))/IF($C56="LT",Config!$G$13,Config!$G$25)))</f>
        <v/>
      </c>
    </row>
    <row r="57">
      <c r="A57" t="inlineStr">
        <is>
          <t>04B2626120695</t>
        </is>
      </c>
      <c r="B57" t="inlineStr">
        <is>
          <t>CRS0000674</t>
        </is>
      </c>
      <c r="C57" t="inlineStr">
        <is>
          <t>MT</t>
        </is>
      </c>
      <c r="D57" t="inlineStr">
        <is>
          <t>TCX413U-DS1B01</t>
        </is>
      </c>
      <c r="E57" s="2" t="n">
        <v>46079</v>
      </c>
      <c r="F57" t="inlineStr">
        <is>
          <t>Pass</t>
        </is>
      </c>
      <c r="G57" t="n">
        <v>115.5</v>
      </c>
      <c r="H57" t="n">
        <v>78.90000000000001</v>
      </c>
      <c r="I57" t="n">
        <v>-1957.8</v>
      </c>
      <c r="J57" t="n">
        <v>65.90000000000001</v>
      </c>
      <c r="K57" t="n">
        <v>0</v>
      </c>
      <c r="L57" t="n">
        <v>5.1</v>
      </c>
      <c r="M57" t="n">
        <v>0</v>
      </c>
      <c r="N57" t="n">
        <v>71</v>
      </c>
      <c r="O57" t="n">
        <v>112.01</v>
      </c>
      <c r="P57" t="n">
        <v>116.7</v>
      </c>
      <c r="Q57" t="n">
        <v>3.83</v>
      </c>
      <c r="R57" t="n">
        <v>3.78</v>
      </c>
      <c r="S57">
        <f>IF(OR(G57=0,G57=""),"",ABS((G57-IF($C57="LT",Config!$F$2,Config!$F$14))/IF($C57="LT",Config!$G$2,Config!$G$14)))</f>
        <v/>
      </c>
      <c r="T57">
        <f>IF(OR(H57=0,H57=""),"",ABS((H57-IF($C57="LT",Config!$F$3,Config!$F$15))/IF($C57="LT",Config!$G$3,Config!$G$15)))</f>
        <v/>
      </c>
      <c r="U57">
        <f>IF(OR(I57=0,I57=""),"",ABS((I57-IF($C57="LT",Config!$F$4,Config!$F$16))/IF($C57="LT",Config!$G$4,Config!$G$16)))</f>
        <v/>
      </c>
      <c r="V57">
        <f>IF(OR(J57=0,J57=""),"",ABS((J57-IF($C57="LT",Config!$F$5,Config!$F$17))/IF($C57="LT",Config!$G$5,Config!$G$17)))</f>
        <v/>
      </c>
      <c r="W57">
        <f>IF(OR(K57=0,K57=""),"",ABS((K57-IF($C57="LT",Config!$F$6,Config!$F$18))/IF($C57="LT",Config!$G$6,Config!$G$18)))</f>
        <v/>
      </c>
      <c r="X57">
        <f>IF(OR(L57=0,L57=""),"",ABS((L57-IF($C57="LT",Config!$F$7,Config!$F$19))/IF($C57="LT",Config!$G$7,Config!$G$19)))</f>
        <v/>
      </c>
      <c r="Y57">
        <f>IF(OR(M57=0,M57=""),"",ABS((M57-IF($C57="LT",Config!$F$8,Config!$F$20))/IF($C57="LT",Config!$G$8,Config!$G$20)))</f>
        <v/>
      </c>
      <c r="Z57">
        <f>IF(OR(N57=0,N57=""),"",ABS((N57-IF($C57="LT",Config!$F$9,Config!$F$21))/IF($C57="LT",Config!$G$9,Config!$G$21)))</f>
        <v/>
      </c>
      <c r="AA57">
        <f>IF(OR(O57=0,O57=""),"",ABS((O57-IF($C57="LT",Config!$F$10,Config!$F$22))/IF($C57="LT",Config!$G$10,Config!$G$22)))</f>
        <v/>
      </c>
      <c r="AB57">
        <f>IF(OR(P57=0,P57=""),"",ABS((P57-IF($C57="LT",Config!$F$11,Config!$F$23))/IF($C57="LT",Config!$G$11,Config!$G$23)))</f>
        <v/>
      </c>
      <c r="AC57">
        <f>IF(OR(Q57=0,Q57=""),"",ABS((Q57-IF($C57="LT",Config!$F$12,Config!$F$24))/IF($C57="LT",Config!$G$12,Config!$G$24)))</f>
        <v/>
      </c>
      <c r="AD57">
        <f>IF(OR(R57=0,R57=""),"",ABS((R57-IF($C57="LT",Config!$F$13,Config!$F$25))/IF($C57="LT",Config!$G$13,Config!$G$25)))</f>
        <v/>
      </c>
    </row>
    <row r="58">
      <c r="A58" t="inlineStr">
        <is>
          <t>04B2626120696</t>
        </is>
      </c>
      <c r="B58" t="inlineStr">
        <is>
          <t>CRS0000674</t>
        </is>
      </c>
      <c r="C58" t="inlineStr">
        <is>
          <t>MT</t>
        </is>
      </c>
      <c r="D58" t="inlineStr">
        <is>
          <t>TCX413U-DS1B01</t>
        </is>
      </c>
      <c r="E58" s="2" t="n">
        <v>46080</v>
      </c>
      <c r="F58" t="inlineStr">
        <is>
          <t>Pass</t>
        </is>
      </c>
      <c r="G58" t="n">
        <v>108.8</v>
      </c>
      <c r="H58" t="n">
        <v>76.09999999999999</v>
      </c>
      <c r="I58" t="n">
        <v>-1957.8</v>
      </c>
      <c r="J58" t="n">
        <v>65</v>
      </c>
      <c r="K58" t="n">
        <v>0</v>
      </c>
      <c r="L58" t="n">
        <v>3</v>
      </c>
      <c r="M58" t="n">
        <v>0</v>
      </c>
      <c r="N58" t="n">
        <v>68</v>
      </c>
      <c r="O58" t="n">
        <v>111.72</v>
      </c>
      <c r="P58" t="n">
        <v>113.18</v>
      </c>
      <c r="Q58" t="n">
        <v>3.78</v>
      </c>
      <c r="R58" t="n">
        <v>3.76</v>
      </c>
      <c r="S58">
        <f>IF(OR(G58=0,G58=""),"",ABS((G58-IF($C58="LT",Config!$F$2,Config!$F$14))/IF($C58="LT",Config!$G$2,Config!$G$14)))</f>
        <v/>
      </c>
      <c r="T58">
        <f>IF(OR(H58=0,H58=""),"",ABS((H58-IF($C58="LT",Config!$F$3,Config!$F$15))/IF($C58="LT",Config!$G$3,Config!$G$15)))</f>
        <v/>
      </c>
      <c r="U58">
        <f>IF(OR(I58=0,I58=""),"",ABS((I58-IF($C58="LT",Config!$F$4,Config!$F$16))/IF($C58="LT",Config!$G$4,Config!$G$16)))</f>
        <v/>
      </c>
      <c r="V58">
        <f>IF(OR(J58=0,J58=""),"",ABS((J58-IF($C58="LT",Config!$F$5,Config!$F$17))/IF($C58="LT",Config!$G$5,Config!$G$17)))</f>
        <v/>
      </c>
      <c r="W58">
        <f>IF(OR(K58=0,K58=""),"",ABS((K58-IF($C58="LT",Config!$F$6,Config!$F$18))/IF($C58="LT",Config!$G$6,Config!$G$18)))</f>
        <v/>
      </c>
      <c r="X58">
        <f>IF(OR(L58=0,L58=""),"",ABS((L58-IF($C58="LT",Config!$F$7,Config!$F$19))/IF($C58="LT",Config!$G$7,Config!$G$19)))</f>
        <v/>
      </c>
      <c r="Y58">
        <f>IF(OR(M58=0,M58=""),"",ABS((M58-IF($C58="LT",Config!$F$8,Config!$F$20))/IF($C58="LT",Config!$G$8,Config!$G$20)))</f>
        <v/>
      </c>
      <c r="Z58">
        <f>IF(OR(N58=0,N58=""),"",ABS((N58-IF($C58="LT",Config!$F$9,Config!$F$21))/IF($C58="LT",Config!$G$9,Config!$G$21)))</f>
        <v/>
      </c>
      <c r="AA58">
        <f>IF(OR(O58=0,O58=""),"",ABS((O58-IF($C58="LT",Config!$F$10,Config!$F$22))/IF($C58="LT",Config!$G$10,Config!$G$22)))</f>
        <v/>
      </c>
      <c r="AB58">
        <f>IF(OR(P58=0,P58=""),"",ABS((P58-IF($C58="LT",Config!$F$11,Config!$F$23))/IF($C58="LT",Config!$G$11,Config!$G$23)))</f>
        <v/>
      </c>
      <c r="AC58">
        <f>IF(OR(Q58=0,Q58=""),"",ABS((Q58-IF($C58="LT",Config!$F$12,Config!$F$24))/IF($C58="LT",Config!$G$12,Config!$G$24)))</f>
        <v/>
      </c>
      <c r="AD58">
        <f>IF(OR(R58=0,R58=""),"",ABS((R58-IF($C58="LT",Config!$F$13,Config!$F$25))/IF($C58="LT",Config!$G$13,Config!$G$25)))</f>
        <v/>
      </c>
    </row>
    <row r="59">
      <c r="A59" t="inlineStr">
        <is>
          <t>04B2626120697</t>
        </is>
      </c>
      <c r="B59" t="inlineStr">
        <is>
          <t>CRS0000674</t>
        </is>
      </c>
      <c r="C59" t="inlineStr">
        <is>
          <t>MT</t>
        </is>
      </c>
      <c r="D59" t="inlineStr">
        <is>
          <t>TCX413U-DS1B01</t>
        </is>
      </c>
      <c r="E59" s="2" t="n">
        <v>46080</v>
      </c>
      <c r="F59" t="inlineStr">
        <is>
          <t>Pass</t>
        </is>
      </c>
      <c r="G59" t="n">
        <v>111.1</v>
      </c>
      <c r="H59" t="n">
        <v>78.90000000000001</v>
      </c>
      <c r="I59" t="n">
        <v>-1957.8</v>
      </c>
      <c r="J59" t="n">
        <v>65</v>
      </c>
      <c r="K59" t="n">
        <v>0</v>
      </c>
      <c r="L59" t="n">
        <v>2.2</v>
      </c>
      <c r="M59" t="n">
        <v>0</v>
      </c>
      <c r="N59" t="n">
        <v>67.2</v>
      </c>
      <c r="O59" t="n">
        <v>111.94</v>
      </c>
      <c r="P59" t="n">
        <v>116.63</v>
      </c>
      <c r="Q59" t="n">
        <v>3.78</v>
      </c>
      <c r="R59" t="n">
        <v>3.78</v>
      </c>
      <c r="S59">
        <f>IF(OR(G59=0,G59=""),"",ABS((G59-IF($C59="LT",Config!$F$2,Config!$F$14))/IF($C59="LT",Config!$G$2,Config!$G$14)))</f>
        <v/>
      </c>
      <c r="T59">
        <f>IF(OR(H59=0,H59=""),"",ABS((H59-IF($C59="LT",Config!$F$3,Config!$F$15))/IF($C59="LT",Config!$G$3,Config!$G$15)))</f>
        <v/>
      </c>
      <c r="U59">
        <f>IF(OR(I59=0,I59=""),"",ABS((I59-IF($C59="LT",Config!$F$4,Config!$F$16))/IF($C59="LT",Config!$G$4,Config!$G$16)))</f>
        <v/>
      </c>
      <c r="V59">
        <f>IF(OR(J59=0,J59=""),"",ABS((J59-IF($C59="LT",Config!$F$5,Config!$F$17))/IF($C59="LT",Config!$G$5,Config!$G$17)))</f>
        <v/>
      </c>
      <c r="W59">
        <f>IF(OR(K59=0,K59=""),"",ABS((K59-IF($C59="LT",Config!$F$6,Config!$F$18))/IF($C59="LT",Config!$G$6,Config!$G$18)))</f>
        <v/>
      </c>
      <c r="X59">
        <f>IF(OR(L59=0,L59=""),"",ABS((L59-IF($C59="LT",Config!$F$7,Config!$F$19))/IF($C59="LT",Config!$G$7,Config!$G$19)))</f>
        <v/>
      </c>
      <c r="Y59">
        <f>IF(OR(M59=0,M59=""),"",ABS((M59-IF($C59="LT",Config!$F$8,Config!$F$20))/IF($C59="LT",Config!$G$8,Config!$G$20)))</f>
        <v/>
      </c>
      <c r="Z59">
        <f>IF(OR(N59=0,N59=""),"",ABS((N59-IF($C59="LT",Config!$F$9,Config!$F$21))/IF($C59="LT",Config!$G$9,Config!$G$21)))</f>
        <v/>
      </c>
      <c r="AA59">
        <f>IF(OR(O59=0,O59=""),"",ABS((O59-IF($C59="LT",Config!$F$10,Config!$F$22))/IF($C59="LT",Config!$G$10,Config!$G$22)))</f>
        <v/>
      </c>
      <c r="AB59">
        <f>IF(OR(P59=0,P59=""),"",ABS((P59-IF($C59="LT",Config!$F$11,Config!$F$23))/IF($C59="LT",Config!$G$11,Config!$G$23)))</f>
        <v/>
      </c>
      <c r="AC59">
        <f>IF(OR(Q59=0,Q59=""),"",ABS((Q59-IF($C59="LT",Config!$F$12,Config!$F$24))/IF($C59="LT",Config!$G$12,Config!$G$24)))</f>
        <v/>
      </c>
      <c r="AD59">
        <f>IF(OR(R59=0,R59=""),"",ABS((R59-IF($C59="LT",Config!$F$13,Config!$F$25))/IF($C59="LT",Config!$G$13,Config!$G$25)))</f>
        <v/>
      </c>
    </row>
    <row r="60">
      <c r="A60" t="inlineStr">
        <is>
          <t>04B2626120698</t>
        </is>
      </c>
      <c r="B60" t="inlineStr">
        <is>
          <t>CRS0000674</t>
        </is>
      </c>
      <c r="C60" t="inlineStr">
        <is>
          <t>MT</t>
        </is>
      </c>
      <c r="D60" t="inlineStr">
        <is>
          <t>TCX413U-DS1B01</t>
        </is>
      </c>
      <c r="E60" s="2" t="n">
        <v>46080</v>
      </c>
      <c r="F60" t="inlineStr">
        <is>
          <t>Pass</t>
        </is>
      </c>
      <c r="G60" t="n">
        <v>117.8</v>
      </c>
      <c r="H60" t="n">
        <v>83.8</v>
      </c>
      <c r="I60" t="n">
        <v>-1957.8</v>
      </c>
      <c r="J60" t="n">
        <v>67.3</v>
      </c>
      <c r="K60" t="n">
        <v>0</v>
      </c>
      <c r="L60" t="n">
        <v>5.8</v>
      </c>
      <c r="M60" t="n">
        <v>0</v>
      </c>
      <c r="N60" t="n">
        <v>73.09999999999999</v>
      </c>
      <c r="O60" t="n">
        <v>115.16</v>
      </c>
      <c r="P60" t="n">
        <v>115.16</v>
      </c>
      <c r="Q60" t="n">
        <v>3.91</v>
      </c>
      <c r="R60" t="n">
        <v>3.83</v>
      </c>
      <c r="S60">
        <f>IF(OR(G60=0,G60=""),"",ABS((G60-IF($C60="LT",Config!$F$2,Config!$F$14))/IF($C60="LT",Config!$G$2,Config!$G$14)))</f>
        <v/>
      </c>
      <c r="T60">
        <f>IF(OR(H60=0,H60=""),"",ABS((H60-IF($C60="LT",Config!$F$3,Config!$F$15))/IF($C60="LT",Config!$G$3,Config!$G$15)))</f>
        <v/>
      </c>
      <c r="U60">
        <f>IF(OR(I60=0,I60=""),"",ABS((I60-IF($C60="LT",Config!$F$4,Config!$F$16))/IF($C60="LT",Config!$G$4,Config!$G$16)))</f>
        <v/>
      </c>
      <c r="V60">
        <f>IF(OR(J60=0,J60=""),"",ABS((J60-IF($C60="LT",Config!$F$5,Config!$F$17))/IF($C60="LT",Config!$G$5,Config!$G$17)))</f>
        <v/>
      </c>
      <c r="W60">
        <f>IF(OR(K60=0,K60=""),"",ABS((K60-IF($C60="LT",Config!$F$6,Config!$F$18))/IF($C60="LT",Config!$G$6,Config!$G$18)))</f>
        <v/>
      </c>
      <c r="X60">
        <f>IF(OR(L60=0,L60=""),"",ABS((L60-IF($C60="LT",Config!$F$7,Config!$F$19))/IF($C60="LT",Config!$G$7,Config!$G$19)))</f>
        <v/>
      </c>
      <c r="Y60">
        <f>IF(OR(M60=0,M60=""),"",ABS((M60-IF($C60="LT",Config!$F$8,Config!$F$20))/IF($C60="LT",Config!$G$8,Config!$G$20)))</f>
        <v/>
      </c>
      <c r="Z60">
        <f>IF(OR(N60=0,N60=""),"",ABS((N60-IF($C60="LT",Config!$F$9,Config!$F$21))/IF($C60="LT",Config!$G$9,Config!$G$21)))</f>
        <v/>
      </c>
      <c r="AA60">
        <f>IF(OR(O60=0,O60=""),"",ABS((O60-IF($C60="LT",Config!$F$10,Config!$F$22))/IF($C60="LT",Config!$G$10,Config!$G$22)))</f>
        <v/>
      </c>
      <c r="AB60">
        <f>IF(OR(P60=0,P60=""),"",ABS((P60-IF($C60="LT",Config!$F$11,Config!$F$23))/IF($C60="LT",Config!$G$11,Config!$G$23)))</f>
        <v/>
      </c>
      <c r="AC60">
        <f>IF(OR(Q60=0,Q60=""),"",ABS((Q60-IF($C60="LT",Config!$F$12,Config!$F$24))/IF($C60="LT",Config!$G$12,Config!$G$24)))</f>
        <v/>
      </c>
      <c r="AD60">
        <f>IF(OR(R60=0,R60=""),"",ABS((R60-IF($C60="LT",Config!$F$13,Config!$F$25))/IF($C60="LT",Config!$G$13,Config!$G$25)))</f>
        <v/>
      </c>
    </row>
    <row r="61">
      <c r="A61" t="inlineStr">
        <is>
          <t>04B2626120699</t>
        </is>
      </c>
      <c r="B61" t="inlineStr">
        <is>
          <t>CRS0000674</t>
        </is>
      </c>
      <c r="C61" t="inlineStr">
        <is>
          <t>MT</t>
        </is>
      </c>
      <c r="D61" t="inlineStr">
        <is>
          <t>TCX413U-DS1B01</t>
        </is>
      </c>
      <c r="E61" s="2" t="n">
        <v>46080</v>
      </c>
      <c r="F61" t="inlineStr">
        <is>
          <t>Pass</t>
        </is>
      </c>
      <c r="G61" t="n">
        <v>110.2</v>
      </c>
      <c r="H61" t="n">
        <v>77</v>
      </c>
      <c r="I61" t="n">
        <v>-1957.8</v>
      </c>
      <c r="J61" t="n">
        <v>67.7</v>
      </c>
      <c r="K61" t="n">
        <v>0</v>
      </c>
      <c r="L61" t="n">
        <v>5.2</v>
      </c>
      <c r="M61" t="n">
        <v>0</v>
      </c>
      <c r="N61" t="n">
        <v>72.90000000000001</v>
      </c>
      <c r="O61" t="n">
        <v>110.98</v>
      </c>
      <c r="P61" t="n">
        <v>117.22</v>
      </c>
      <c r="Q61" t="n">
        <v>3.78</v>
      </c>
      <c r="R61" t="n">
        <v>3.69</v>
      </c>
      <c r="S61">
        <f>IF(OR(G61=0,G61=""),"",ABS((G61-IF($C61="LT",Config!$F$2,Config!$F$14))/IF($C61="LT",Config!$G$2,Config!$G$14)))</f>
        <v/>
      </c>
      <c r="T61">
        <f>IF(OR(H61=0,H61=""),"",ABS((H61-IF($C61="LT",Config!$F$3,Config!$F$15))/IF($C61="LT",Config!$G$3,Config!$G$15)))</f>
        <v/>
      </c>
      <c r="U61">
        <f>IF(OR(I61=0,I61=""),"",ABS((I61-IF($C61="LT",Config!$F$4,Config!$F$16))/IF($C61="LT",Config!$G$4,Config!$G$16)))</f>
        <v/>
      </c>
      <c r="V61">
        <f>IF(OR(J61=0,J61=""),"",ABS((J61-IF($C61="LT",Config!$F$5,Config!$F$17))/IF($C61="LT",Config!$G$5,Config!$G$17)))</f>
        <v/>
      </c>
      <c r="W61">
        <f>IF(OR(K61=0,K61=""),"",ABS((K61-IF($C61="LT",Config!$F$6,Config!$F$18))/IF($C61="LT",Config!$G$6,Config!$G$18)))</f>
        <v/>
      </c>
      <c r="X61">
        <f>IF(OR(L61=0,L61=""),"",ABS((L61-IF($C61="LT",Config!$F$7,Config!$F$19))/IF($C61="LT",Config!$G$7,Config!$G$19)))</f>
        <v/>
      </c>
      <c r="Y61">
        <f>IF(OR(M61=0,M61=""),"",ABS((M61-IF($C61="LT",Config!$F$8,Config!$F$20))/IF($C61="LT",Config!$G$8,Config!$G$20)))</f>
        <v/>
      </c>
      <c r="Z61">
        <f>IF(OR(N61=0,N61=""),"",ABS((N61-IF($C61="LT",Config!$F$9,Config!$F$21))/IF($C61="LT",Config!$G$9,Config!$G$21)))</f>
        <v/>
      </c>
      <c r="AA61">
        <f>IF(OR(O61=0,O61=""),"",ABS((O61-IF($C61="LT",Config!$F$10,Config!$F$22))/IF($C61="LT",Config!$G$10,Config!$G$22)))</f>
        <v/>
      </c>
      <c r="AB61">
        <f>IF(OR(P61=0,P61=""),"",ABS((P61-IF($C61="LT",Config!$F$11,Config!$F$23))/IF($C61="LT",Config!$G$11,Config!$G$23)))</f>
        <v/>
      </c>
      <c r="AC61">
        <f>IF(OR(Q61=0,Q61=""),"",ABS((Q61-IF($C61="LT",Config!$F$12,Config!$F$24))/IF($C61="LT",Config!$G$12,Config!$G$24)))</f>
        <v/>
      </c>
      <c r="AD61">
        <f>IF(OR(R61=0,R61=""),"",ABS((R61-IF($C61="LT",Config!$F$13,Config!$F$25))/IF($C61="LT",Config!$G$13,Config!$G$25)))</f>
        <v/>
      </c>
    </row>
    <row r="62">
      <c r="A62" t="inlineStr">
        <is>
          <t>04B2626120700</t>
        </is>
      </c>
      <c r="B62" t="inlineStr">
        <is>
          <t>CRS0000675</t>
        </is>
      </c>
      <c r="C62" t="inlineStr">
        <is>
          <t>LT</t>
        </is>
      </c>
      <c r="D62" t="inlineStr">
        <is>
          <t>ALX440U-DS3B01</t>
        </is>
      </c>
      <c r="E62" s="2" t="n">
        <v>46080</v>
      </c>
      <c r="F62" t="inlineStr">
        <is>
          <t>Fail</t>
        </is>
      </c>
      <c r="G62" t="n">
        <v>154.4</v>
      </c>
      <c r="H62" t="n">
        <v>102.3</v>
      </c>
      <c r="I62" t="n">
        <v>-1957.8</v>
      </c>
      <c r="J62" t="n">
        <v>67.3</v>
      </c>
      <c r="K62" t="n">
        <v>0</v>
      </c>
      <c r="L62" t="n">
        <v>4.5</v>
      </c>
      <c r="M62" t="n">
        <v>0</v>
      </c>
      <c r="N62" t="n">
        <v>71.8</v>
      </c>
      <c r="O62" t="n">
        <v>114.87</v>
      </c>
      <c r="P62" t="n">
        <v>114.94</v>
      </c>
      <c r="Q62" t="n">
        <v>8.5</v>
      </c>
      <c r="R62" t="n">
        <v>8.4</v>
      </c>
      <c r="S62">
        <f>IF(OR(G62=0,G62=""),"",ABS((G62-IF($C62="LT",Config!$F$2,Config!$F$14))/IF($C62="LT",Config!$G$2,Config!$G$14)))</f>
        <v/>
      </c>
      <c r="T62">
        <f>IF(OR(H62=0,H62=""),"",ABS((H62-IF($C62="LT",Config!$F$3,Config!$F$15))/IF($C62="LT",Config!$G$3,Config!$G$15)))</f>
        <v/>
      </c>
      <c r="U62">
        <f>IF(OR(I62=0,I62=""),"",ABS((I62-IF($C62="LT",Config!$F$4,Config!$F$16))/IF($C62="LT",Config!$G$4,Config!$G$16)))</f>
        <v/>
      </c>
      <c r="V62">
        <f>IF(OR(J62=0,J62=""),"",ABS((J62-IF($C62="LT",Config!$F$5,Config!$F$17))/IF($C62="LT",Config!$G$5,Config!$G$17)))</f>
        <v/>
      </c>
      <c r="W62">
        <f>IF(OR(K62=0,K62=""),"",ABS((K62-IF($C62="LT",Config!$F$6,Config!$F$18))/IF($C62="LT",Config!$G$6,Config!$G$18)))</f>
        <v/>
      </c>
      <c r="X62">
        <f>IF(OR(L62=0,L62=""),"",ABS((L62-IF($C62="LT",Config!$F$7,Config!$F$19))/IF($C62="LT",Config!$G$7,Config!$G$19)))</f>
        <v/>
      </c>
      <c r="Y62">
        <f>IF(OR(M62=0,M62=""),"",ABS((M62-IF($C62="LT",Config!$F$8,Config!$F$20))/IF($C62="LT",Config!$G$8,Config!$G$20)))</f>
        <v/>
      </c>
      <c r="Z62">
        <f>IF(OR(N62=0,N62=""),"",ABS((N62-IF($C62="LT",Config!$F$9,Config!$F$21))/IF($C62="LT",Config!$G$9,Config!$G$21)))</f>
        <v/>
      </c>
      <c r="AA62">
        <f>IF(OR(O62=0,O62=""),"",ABS((O62-IF($C62="LT",Config!$F$10,Config!$F$22))/IF($C62="LT",Config!$G$10,Config!$G$22)))</f>
        <v/>
      </c>
      <c r="AB62">
        <f>IF(OR(P62=0,P62=""),"",ABS((P62-IF($C62="LT",Config!$F$11,Config!$F$23))/IF($C62="LT",Config!$G$11,Config!$G$23)))</f>
        <v/>
      </c>
      <c r="AC62">
        <f>IF(OR(Q62=0,Q62=""),"",ABS((Q62-IF($C62="LT",Config!$F$12,Config!$F$24))/IF($C62="LT",Config!$G$12,Config!$G$24)))</f>
        <v/>
      </c>
      <c r="AD62">
        <f>IF(OR(R62=0,R62=""),"",ABS((R62-IF($C62="LT",Config!$F$13,Config!$F$25))/IF($C62="LT",Config!$G$13,Config!$G$25)))</f>
        <v/>
      </c>
    </row>
    <row r="63">
      <c r="A63" t="inlineStr">
        <is>
          <t>04B2626120700</t>
        </is>
      </c>
      <c r="B63" t="inlineStr">
        <is>
          <t>CRS0000675</t>
        </is>
      </c>
      <c r="C63" t="inlineStr">
        <is>
          <t>LT</t>
        </is>
      </c>
      <c r="D63" t="inlineStr">
        <is>
          <t>ALX440U-DS3B01</t>
        </is>
      </c>
      <c r="E63" s="2" t="n">
        <v>46080</v>
      </c>
      <c r="F63" t="inlineStr">
        <is>
          <t>Pass</t>
        </is>
      </c>
      <c r="G63" t="n">
        <v>152.6</v>
      </c>
      <c r="H63" t="n">
        <v>101.9</v>
      </c>
      <c r="I63" t="n">
        <v>-1957.8</v>
      </c>
      <c r="J63" t="n">
        <v>68.2</v>
      </c>
      <c r="K63" t="n">
        <v>0</v>
      </c>
      <c r="L63" t="n">
        <v>5.8</v>
      </c>
      <c r="M63" t="n">
        <v>0</v>
      </c>
      <c r="N63" t="n">
        <v>74</v>
      </c>
      <c r="O63" t="n">
        <v>111.72</v>
      </c>
      <c r="P63" t="n">
        <v>113.26</v>
      </c>
      <c r="Q63" t="n">
        <v>8.23</v>
      </c>
      <c r="R63" t="n">
        <v>8.300000000000001</v>
      </c>
      <c r="S63">
        <f>IF(OR(G63=0,G63=""),"",ABS((G63-IF($C63="LT",Config!$F$2,Config!$F$14))/IF($C63="LT",Config!$G$2,Config!$G$14)))</f>
        <v/>
      </c>
      <c r="T63">
        <f>IF(OR(H63=0,H63=""),"",ABS((H63-IF($C63="LT",Config!$F$3,Config!$F$15))/IF($C63="LT",Config!$G$3,Config!$G$15)))</f>
        <v/>
      </c>
      <c r="U63">
        <f>IF(OR(I63=0,I63=""),"",ABS((I63-IF($C63="LT",Config!$F$4,Config!$F$16))/IF($C63="LT",Config!$G$4,Config!$G$16)))</f>
        <v/>
      </c>
      <c r="V63">
        <f>IF(OR(J63=0,J63=""),"",ABS((J63-IF($C63="LT",Config!$F$5,Config!$F$17))/IF($C63="LT",Config!$G$5,Config!$G$17)))</f>
        <v/>
      </c>
      <c r="W63">
        <f>IF(OR(K63=0,K63=""),"",ABS((K63-IF($C63="LT",Config!$F$6,Config!$F$18))/IF($C63="LT",Config!$G$6,Config!$G$18)))</f>
        <v/>
      </c>
      <c r="X63">
        <f>IF(OR(L63=0,L63=""),"",ABS((L63-IF($C63="LT",Config!$F$7,Config!$F$19))/IF($C63="LT",Config!$G$7,Config!$G$19)))</f>
        <v/>
      </c>
      <c r="Y63">
        <f>IF(OR(M63=0,M63=""),"",ABS((M63-IF($C63="LT",Config!$F$8,Config!$F$20))/IF($C63="LT",Config!$G$8,Config!$G$20)))</f>
        <v/>
      </c>
      <c r="Z63">
        <f>IF(OR(N63=0,N63=""),"",ABS((N63-IF($C63="LT",Config!$F$9,Config!$F$21))/IF($C63="LT",Config!$G$9,Config!$G$21)))</f>
        <v/>
      </c>
      <c r="AA63">
        <f>IF(OR(O63=0,O63=""),"",ABS((O63-IF($C63="LT",Config!$F$10,Config!$F$22))/IF($C63="LT",Config!$G$10,Config!$G$22)))</f>
        <v/>
      </c>
      <c r="AB63">
        <f>IF(OR(P63=0,P63=""),"",ABS((P63-IF($C63="LT",Config!$F$11,Config!$F$23))/IF($C63="LT",Config!$G$11,Config!$G$23)))</f>
        <v/>
      </c>
      <c r="AC63">
        <f>IF(OR(Q63=0,Q63=""),"",ABS((Q63-IF($C63="LT",Config!$F$12,Config!$F$24))/IF($C63="LT",Config!$G$12,Config!$G$24)))</f>
        <v/>
      </c>
      <c r="AD63">
        <f>IF(OR(R63=0,R63=""),"",ABS((R63-IF($C63="LT",Config!$F$13,Config!$F$25))/IF($C63="LT",Config!$G$13,Config!$G$25)))</f>
        <v/>
      </c>
    </row>
    <row r="64">
      <c r="A64" t="inlineStr">
        <is>
          <t>04B2626120701</t>
        </is>
      </c>
      <c r="B64" t="inlineStr">
        <is>
          <t>CRS0000675</t>
        </is>
      </c>
      <c r="C64" t="inlineStr">
        <is>
          <t>LT</t>
        </is>
      </c>
      <c r="D64" t="inlineStr">
        <is>
          <t>ALX440U-DS3B01</t>
        </is>
      </c>
      <c r="E64" s="2" t="n">
        <v>46080</v>
      </c>
      <c r="F64" t="inlineStr">
        <is>
          <t>Pass</t>
        </is>
      </c>
      <c r="G64" t="n">
        <v>146.4</v>
      </c>
      <c r="H64" t="n">
        <v>89.2</v>
      </c>
      <c r="I64" t="n">
        <v>-1957.8</v>
      </c>
      <c r="J64" t="n">
        <v>68.2</v>
      </c>
      <c r="K64" t="n">
        <v>0</v>
      </c>
      <c r="L64" t="n">
        <v>2.3</v>
      </c>
      <c r="M64" t="n">
        <v>0</v>
      </c>
      <c r="N64" t="n">
        <v>70.5</v>
      </c>
      <c r="O64" t="n">
        <v>111.64</v>
      </c>
      <c r="P64" t="n">
        <v>113.33</v>
      </c>
      <c r="Q64" t="n">
        <v>8.23</v>
      </c>
      <c r="R64" t="n">
        <v>8.25</v>
      </c>
      <c r="S64">
        <f>IF(OR(G64=0,G64=""),"",ABS((G64-IF($C64="LT",Config!$F$2,Config!$F$14))/IF($C64="LT",Config!$G$2,Config!$G$14)))</f>
        <v/>
      </c>
      <c r="T64">
        <f>IF(OR(H64=0,H64=""),"",ABS((H64-IF($C64="LT",Config!$F$3,Config!$F$15))/IF($C64="LT",Config!$G$3,Config!$G$15)))</f>
        <v/>
      </c>
      <c r="U64">
        <f>IF(OR(I64=0,I64=""),"",ABS((I64-IF($C64="LT",Config!$F$4,Config!$F$16))/IF($C64="LT",Config!$G$4,Config!$G$16)))</f>
        <v/>
      </c>
      <c r="V64">
        <f>IF(OR(J64=0,J64=""),"",ABS((J64-IF($C64="LT",Config!$F$5,Config!$F$17))/IF($C64="LT",Config!$G$5,Config!$G$17)))</f>
        <v/>
      </c>
      <c r="W64">
        <f>IF(OR(K64=0,K64=""),"",ABS((K64-IF($C64="LT",Config!$F$6,Config!$F$18))/IF($C64="LT",Config!$G$6,Config!$G$18)))</f>
        <v/>
      </c>
      <c r="X64">
        <f>IF(OR(L64=0,L64=""),"",ABS((L64-IF($C64="LT",Config!$F$7,Config!$F$19))/IF($C64="LT",Config!$G$7,Config!$G$19)))</f>
        <v/>
      </c>
      <c r="Y64">
        <f>IF(OR(M64=0,M64=""),"",ABS((M64-IF($C64="LT",Config!$F$8,Config!$F$20))/IF($C64="LT",Config!$G$8,Config!$G$20)))</f>
        <v/>
      </c>
      <c r="Z64">
        <f>IF(OR(N64=0,N64=""),"",ABS((N64-IF($C64="LT",Config!$F$9,Config!$F$21))/IF($C64="LT",Config!$G$9,Config!$G$21)))</f>
        <v/>
      </c>
      <c r="AA64">
        <f>IF(OR(O64=0,O64=""),"",ABS((O64-IF($C64="LT",Config!$F$10,Config!$F$22))/IF($C64="LT",Config!$G$10,Config!$G$22)))</f>
        <v/>
      </c>
      <c r="AB64">
        <f>IF(OR(P64=0,P64=""),"",ABS((P64-IF($C64="LT",Config!$F$11,Config!$F$23))/IF($C64="LT",Config!$G$11,Config!$G$23)))</f>
        <v/>
      </c>
      <c r="AC64">
        <f>IF(OR(Q64=0,Q64=""),"",ABS((Q64-IF($C64="LT",Config!$F$12,Config!$F$24))/IF($C64="LT",Config!$G$12,Config!$G$24)))</f>
        <v/>
      </c>
      <c r="AD64">
        <f>IF(OR(R64=0,R64=""),"",ABS((R64-IF($C64="LT",Config!$F$13,Config!$F$25))/IF($C64="LT",Config!$G$13,Config!$G$25)))</f>
        <v/>
      </c>
    </row>
    <row r="65">
      <c r="A65" t="inlineStr">
        <is>
          <t>04B2726120702</t>
        </is>
      </c>
      <c r="B65" t="inlineStr">
        <is>
          <t>CRS0000675</t>
        </is>
      </c>
      <c r="C65" t="inlineStr">
        <is>
          <t>LT</t>
        </is>
      </c>
      <c r="D65" t="inlineStr">
        <is>
          <t>ALX440U-DS3B01</t>
        </is>
      </c>
      <c r="E65" s="2" t="n">
        <v>46080</v>
      </c>
      <c r="F65" t="inlineStr">
        <is>
          <t>Fail</t>
        </is>
      </c>
      <c r="G65" t="n">
        <v>163.8</v>
      </c>
      <c r="H65" t="n">
        <v>88.3</v>
      </c>
      <c r="I65" t="n">
        <v>-1957.8</v>
      </c>
      <c r="J65" t="n">
        <v>68.2</v>
      </c>
      <c r="K65" t="n">
        <v>0</v>
      </c>
      <c r="L65" t="n">
        <v>4</v>
      </c>
      <c r="M65" t="n">
        <v>0</v>
      </c>
      <c r="N65" t="n">
        <v>72.2</v>
      </c>
      <c r="O65" t="n">
        <v>112.16</v>
      </c>
      <c r="P65" t="n">
        <v>113.48</v>
      </c>
      <c r="Q65" t="n">
        <v>7.76</v>
      </c>
      <c r="R65" t="n">
        <v>8.06</v>
      </c>
      <c r="S65">
        <f>IF(OR(G65=0,G65=""),"",ABS((G65-IF($C65="LT",Config!$F$2,Config!$F$14))/IF($C65="LT",Config!$G$2,Config!$G$14)))</f>
        <v/>
      </c>
      <c r="T65">
        <f>IF(OR(H65=0,H65=""),"",ABS((H65-IF($C65="LT",Config!$F$3,Config!$F$15))/IF($C65="LT",Config!$G$3,Config!$G$15)))</f>
        <v/>
      </c>
      <c r="U65">
        <f>IF(OR(I65=0,I65=""),"",ABS((I65-IF($C65="LT",Config!$F$4,Config!$F$16))/IF($C65="LT",Config!$G$4,Config!$G$16)))</f>
        <v/>
      </c>
      <c r="V65">
        <f>IF(OR(J65=0,J65=""),"",ABS((J65-IF($C65="LT",Config!$F$5,Config!$F$17))/IF($C65="LT",Config!$G$5,Config!$G$17)))</f>
        <v/>
      </c>
      <c r="W65">
        <f>IF(OR(K65=0,K65=""),"",ABS((K65-IF($C65="LT",Config!$F$6,Config!$F$18))/IF($C65="LT",Config!$G$6,Config!$G$18)))</f>
        <v/>
      </c>
      <c r="X65">
        <f>IF(OR(L65=0,L65=""),"",ABS((L65-IF($C65="LT",Config!$F$7,Config!$F$19))/IF($C65="LT",Config!$G$7,Config!$G$19)))</f>
        <v/>
      </c>
      <c r="Y65">
        <f>IF(OR(M65=0,M65=""),"",ABS((M65-IF($C65="LT",Config!$F$8,Config!$F$20))/IF($C65="LT",Config!$G$8,Config!$G$20)))</f>
        <v/>
      </c>
      <c r="Z65">
        <f>IF(OR(N65=0,N65=""),"",ABS((N65-IF($C65="LT",Config!$F$9,Config!$F$21))/IF($C65="LT",Config!$G$9,Config!$G$21)))</f>
        <v/>
      </c>
      <c r="AA65">
        <f>IF(OR(O65=0,O65=""),"",ABS((O65-IF($C65="LT",Config!$F$10,Config!$F$22))/IF($C65="LT",Config!$G$10,Config!$G$22)))</f>
        <v/>
      </c>
      <c r="AB65">
        <f>IF(OR(P65=0,P65=""),"",ABS((P65-IF($C65="LT",Config!$F$11,Config!$F$23))/IF($C65="LT",Config!$G$11,Config!$G$23)))</f>
        <v/>
      </c>
      <c r="AC65">
        <f>IF(OR(Q65=0,Q65=""),"",ABS((Q65-IF($C65="LT",Config!$F$12,Config!$F$24))/IF($C65="LT",Config!$G$12,Config!$G$24)))</f>
        <v/>
      </c>
      <c r="AD65">
        <f>IF(OR(R65=0,R65=""),"",ABS((R65-IF($C65="LT",Config!$F$13,Config!$F$25))/IF($C65="LT",Config!$G$13,Config!$G$25)))</f>
        <v/>
      </c>
    </row>
    <row r="66">
      <c r="A66" t="inlineStr">
        <is>
          <t>04B2726120703</t>
        </is>
      </c>
      <c r="B66" t="inlineStr">
        <is>
          <t>CRS0000675</t>
        </is>
      </c>
      <c r="C66" t="inlineStr">
        <is>
          <t>LT</t>
        </is>
      </c>
      <c r="D66" t="inlineStr">
        <is>
          <t>ALX440U-DS3B01</t>
        </is>
      </c>
      <c r="E66" s="2" t="n">
        <v>46080</v>
      </c>
      <c r="F66" t="inlineStr">
        <is>
          <t>Pass</t>
        </is>
      </c>
      <c r="G66" t="n">
        <v>158</v>
      </c>
      <c r="H66" t="n">
        <v>92.40000000000001</v>
      </c>
      <c r="I66" t="n">
        <v>-1957.8</v>
      </c>
      <c r="J66" t="n">
        <v>68.2</v>
      </c>
      <c r="K66" t="n">
        <v>0</v>
      </c>
      <c r="L66" t="n">
        <v>1.4</v>
      </c>
      <c r="M66" t="n">
        <v>0</v>
      </c>
      <c r="N66" t="n">
        <v>69.59999999999999</v>
      </c>
      <c r="O66" t="n">
        <v>115.6</v>
      </c>
      <c r="P66" t="n">
        <v>113.7</v>
      </c>
      <c r="Q66" t="n">
        <v>7.1</v>
      </c>
      <c r="R66" t="n">
        <v>7.35</v>
      </c>
      <c r="S66">
        <f>IF(OR(G66=0,G66=""),"",ABS((G66-IF($C66="LT",Config!$F$2,Config!$F$14))/IF($C66="LT",Config!$G$2,Config!$G$14)))</f>
        <v/>
      </c>
      <c r="T66">
        <f>IF(OR(H66=0,H66=""),"",ABS((H66-IF($C66="LT",Config!$F$3,Config!$F$15))/IF($C66="LT",Config!$G$3,Config!$G$15)))</f>
        <v/>
      </c>
      <c r="U66">
        <f>IF(OR(I66=0,I66=""),"",ABS((I66-IF($C66="LT",Config!$F$4,Config!$F$16))/IF($C66="LT",Config!$G$4,Config!$G$16)))</f>
        <v/>
      </c>
      <c r="V66">
        <f>IF(OR(J66=0,J66=""),"",ABS((J66-IF($C66="LT",Config!$F$5,Config!$F$17))/IF($C66="LT",Config!$G$5,Config!$G$17)))</f>
        <v/>
      </c>
      <c r="W66">
        <f>IF(OR(K66=0,K66=""),"",ABS((K66-IF($C66="LT",Config!$F$6,Config!$F$18))/IF($C66="LT",Config!$G$6,Config!$G$18)))</f>
        <v/>
      </c>
      <c r="X66">
        <f>IF(OR(L66=0,L66=""),"",ABS((L66-IF($C66="LT",Config!$F$7,Config!$F$19))/IF($C66="LT",Config!$G$7,Config!$G$19)))</f>
        <v/>
      </c>
      <c r="Y66">
        <f>IF(OR(M66=0,M66=""),"",ABS((M66-IF($C66="LT",Config!$F$8,Config!$F$20))/IF($C66="LT",Config!$G$8,Config!$G$20)))</f>
        <v/>
      </c>
      <c r="Z66">
        <f>IF(OR(N66=0,N66=""),"",ABS((N66-IF($C66="LT",Config!$F$9,Config!$F$21))/IF($C66="LT",Config!$G$9,Config!$G$21)))</f>
        <v/>
      </c>
      <c r="AA66">
        <f>IF(OR(O66=0,O66=""),"",ABS((O66-IF($C66="LT",Config!$F$10,Config!$F$22))/IF($C66="LT",Config!$G$10,Config!$G$22)))</f>
        <v/>
      </c>
      <c r="AB66">
        <f>IF(OR(P66=0,P66=""),"",ABS((P66-IF($C66="LT",Config!$F$11,Config!$F$23))/IF($C66="LT",Config!$G$11,Config!$G$23)))</f>
        <v/>
      </c>
      <c r="AC66">
        <f>IF(OR(Q66=0,Q66=""),"",ABS((Q66-IF($C66="LT",Config!$F$12,Config!$F$24))/IF($C66="LT",Config!$G$12,Config!$G$24)))</f>
        <v/>
      </c>
      <c r="AD66">
        <f>IF(OR(R66=0,R66=""),"",ABS((R66-IF($C66="LT",Config!$F$13,Config!$F$25))/IF($C66="LT",Config!$G$13,Config!$G$25)))</f>
        <v/>
      </c>
    </row>
    <row r="67">
      <c r="A67" t="inlineStr">
        <is>
          <t>04B2726120702</t>
        </is>
      </c>
      <c r="B67" t="inlineStr">
        <is>
          <t>CRS0000675</t>
        </is>
      </c>
      <c r="C67" t="inlineStr">
        <is>
          <t>LT</t>
        </is>
      </c>
      <c r="D67" t="inlineStr">
        <is>
          <t>ALX440U-DS3B01</t>
        </is>
      </c>
      <c r="E67" s="2" t="n">
        <v>46080</v>
      </c>
      <c r="F67" t="inlineStr">
        <is>
          <t>Pass</t>
        </is>
      </c>
      <c r="G67" t="n">
        <v>159.3</v>
      </c>
      <c r="H67" t="n">
        <v>92.8</v>
      </c>
      <c r="I67" t="n">
        <v>-1957.8</v>
      </c>
      <c r="J67" t="n">
        <v>67.3</v>
      </c>
      <c r="K67" t="n">
        <v>0</v>
      </c>
      <c r="L67" t="n">
        <v>0.6</v>
      </c>
      <c r="M67" t="n">
        <v>0</v>
      </c>
      <c r="N67" t="n">
        <v>67.90000000000001</v>
      </c>
      <c r="O67" t="n">
        <v>115.53</v>
      </c>
      <c r="P67" t="n">
        <v>113.77</v>
      </c>
      <c r="Q67" t="n">
        <v>7.13</v>
      </c>
      <c r="R67" t="n">
        <v>7.69</v>
      </c>
      <c r="S67">
        <f>IF(OR(G67=0,G67=""),"",ABS((G67-IF($C67="LT",Config!$F$2,Config!$F$14))/IF($C67="LT",Config!$G$2,Config!$G$14)))</f>
        <v/>
      </c>
      <c r="T67">
        <f>IF(OR(H67=0,H67=""),"",ABS((H67-IF($C67="LT",Config!$F$3,Config!$F$15))/IF($C67="LT",Config!$G$3,Config!$G$15)))</f>
        <v/>
      </c>
      <c r="U67">
        <f>IF(OR(I67=0,I67=""),"",ABS((I67-IF($C67="LT",Config!$F$4,Config!$F$16))/IF($C67="LT",Config!$G$4,Config!$G$16)))</f>
        <v/>
      </c>
      <c r="V67">
        <f>IF(OR(J67=0,J67=""),"",ABS((J67-IF($C67="LT",Config!$F$5,Config!$F$17))/IF($C67="LT",Config!$G$5,Config!$G$17)))</f>
        <v/>
      </c>
      <c r="W67">
        <f>IF(OR(K67=0,K67=""),"",ABS((K67-IF($C67="LT",Config!$F$6,Config!$F$18))/IF($C67="LT",Config!$G$6,Config!$G$18)))</f>
        <v/>
      </c>
      <c r="X67">
        <f>IF(OR(L67=0,L67=""),"",ABS((L67-IF($C67="LT",Config!$F$7,Config!$F$19))/IF($C67="LT",Config!$G$7,Config!$G$19)))</f>
        <v/>
      </c>
      <c r="Y67">
        <f>IF(OR(M67=0,M67=""),"",ABS((M67-IF($C67="LT",Config!$F$8,Config!$F$20))/IF($C67="LT",Config!$G$8,Config!$G$20)))</f>
        <v/>
      </c>
      <c r="Z67">
        <f>IF(OR(N67=0,N67=""),"",ABS((N67-IF($C67="LT",Config!$F$9,Config!$F$21))/IF($C67="LT",Config!$G$9,Config!$G$21)))</f>
        <v/>
      </c>
      <c r="AA67">
        <f>IF(OR(O67=0,O67=""),"",ABS((O67-IF($C67="LT",Config!$F$10,Config!$F$22))/IF($C67="LT",Config!$G$10,Config!$G$22)))</f>
        <v/>
      </c>
      <c r="AB67">
        <f>IF(OR(P67=0,P67=""),"",ABS((P67-IF($C67="LT",Config!$F$11,Config!$F$23))/IF($C67="LT",Config!$G$11,Config!$G$23)))</f>
        <v/>
      </c>
      <c r="AC67">
        <f>IF(OR(Q67=0,Q67=""),"",ABS((Q67-IF($C67="LT",Config!$F$12,Config!$F$24))/IF($C67="LT",Config!$G$12,Config!$G$24)))</f>
        <v/>
      </c>
      <c r="AD67">
        <f>IF(OR(R67=0,R67=""),"",ABS((R67-IF($C67="LT",Config!$F$13,Config!$F$25))/IF($C67="LT",Config!$G$13,Config!$G$25)))</f>
        <v/>
      </c>
    </row>
    <row r="68">
      <c r="A68" t="inlineStr">
        <is>
          <t>04B2726120704</t>
        </is>
      </c>
      <c r="B68" t="inlineStr">
        <is>
          <t>CRS0000675</t>
        </is>
      </c>
      <c r="C68" t="inlineStr">
        <is>
          <t>LT</t>
        </is>
      </c>
      <c r="D68" t="inlineStr">
        <is>
          <t>ALX440U-DS3B01</t>
        </is>
      </c>
      <c r="E68" s="2" t="n">
        <v>46081</v>
      </c>
      <c r="F68" t="inlineStr">
        <is>
          <t>Pass</t>
        </is>
      </c>
      <c r="G68" t="n">
        <v>148.6</v>
      </c>
      <c r="H68" t="n">
        <v>88.8</v>
      </c>
      <c r="I68" t="n">
        <v>-1957.8</v>
      </c>
      <c r="J68" t="n">
        <v>64.59999999999999</v>
      </c>
      <c r="K68" t="n">
        <v>0</v>
      </c>
      <c r="L68" t="n">
        <v>2.7</v>
      </c>
      <c r="M68" t="n">
        <v>0</v>
      </c>
      <c r="N68" t="n">
        <v>67.3</v>
      </c>
      <c r="O68" t="n">
        <v>112.16</v>
      </c>
      <c r="P68" t="n">
        <v>113.33</v>
      </c>
      <c r="Q68" t="n">
        <v>7.13</v>
      </c>
      <c r="R68" t="n">
        <v>7.54</v>
      </c>
      <c r="S68">
        <f>IF(OR(G68=0,G68=""),"",ABS((G68-IF($C68="LT",Config!$F$2,Config!$F$14))/IF($C68="LT",Config!$G$2,Config!$G$14)))</f>
        <v/>
      </c>
      <c r="T68">
        <f>IF(OR(H68=0,H68=""),"",ABS((H68-IF($C68="LT",Config!$F$3,Config!$F$15))/IF($C68="LT",Config!$G$3,Config!$G$15)))</f>
        <v/>
      </c>
      <c r="U68">
        <f>IF(OR(I68=0,I68=""),"",ABS((I68-IF($C68="LT",Config!$F$4,Config!$F$16))/IF($C68="LT",Config!$G$4,Config!$G$16)))</f>
        <v/>
      </c>
      <c r="V68">
        <f>IF(OR(J68=0,J68=""),"",ABS((J68-IF($C68="LT",Config!$F$5,Config!$F$17))/IF($C68="LT",Config!$G$5,Config!$G$17)))</f>
        <v/>
      </c>
      <c r="W68">
        <f>IF(OR(K68=0,K68=""),"",ABS((K68-IF($C68="LT",Config!$F$6,Config!$F$18))/IF($C68="LT",Config!$G$6,Config!$G$18)))</f>
        <v/>
      </c>
      <c r="X68">
        <f>IF(OR(L68=0,L68=""),"",ABS((L68-IF($C68="LT",Config!$F$7,Config!$F$19))/IF($C68="LT",Config!$G$7,Config!$G$19)))</f>
        <v/>
      </c>
      <c r="Y68">
        <f>IF(OR(M68=0,M68=""),"",ABS((M68-IF($C68="LT",Config!$F$8,Config!$F$20))/IF($C68="LT",Config!$G$8,Config!$G$20)))</f>
        <v/>
      </c>
      <c r="Z68">
        <f>IF(OR(N68=0,N68=""),"",ABS((N68-IF($C68="LT",Config!$F$9,Config!$F$21))/IF($C68="LT",Config!$G$9,Config!$G$21)))</f>
        <v/>
      </c>
      <c r="AA68">
        <f>IF(OR(O68=0,O68=""),"",ABS((O68-IF($C68="LT",Config!$F$10,Config!$F$22))/IF($C68="LT",Config!$G$10,Config!$G$22)))</f>
        <v/>
      </c>
      <c r="AB68">
        <f>IF(OR(P68=0,P68=""),"",ABS((P68-IF($C68="LT",Config!$F$11,Config!$F$23))/IF($C68="LT",Config!$G$11,Config!$G$23)))</f>
        <v/>
      </c>
      <c r="AC68">
        <f>IF(OR(Q68=0,Q68=""),"",ABS((Q68-IF($C68="LT",Config!$F$12,Config!$F$24))/IF($C68="LT",Config!$G$12,Config!$G$24)))</f>
        <v/>
      </c>
      <c r="AD68">
        <f>IF(OR(R68=0,R68=""),"",ABS((R68-IF($C68="LT",Config!$F$13,Config!$F$25))/IF($C68="LT",Config!$G$13,Config!$G$25)))</f>
        <v/>
      </c>
    </row>
    <row r="69">
      <c r="A69" t="inlineStr">
        <is>
          <t>04B2726120705</t>
        </is>
      </c>
      <c r="B69" t="inlineStr">
        <is>
          <t>CRS0000674</t>
        </is>
      </c>
      <c r="C69" t="inlineStr">
        <is>
          <t>MT</t>
        </is>
      </c>
      <c r="D69" t="inlineStr">
        <is>
          <t>TCX413U-DS1B01</t>
        </is>
      </c>
      <c r="E69" s="2" t="n">
        <v>46081</v>
      </c>
      <c r="F69" t="inlineStr">
        <is>
          <t>Fail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>
        <f>IF(OR(G69=0,G69=""),"",ABS((G69-IF($C69="LT",Config!$F$2,Config!$F$14))/IF($C69="LT",Config!$G$2,Config!$G$14)))</f>
        <v/>
      </c>
      <c r="T69">
        <f>IF(OR(H69=0,H69=""),"",ABS((H69-IF($C69="LT",Config!$F$3,Config!$F$15))/IF($C69="LT",Config!$G$3,Config!$G$15)))</f>
        <v/>
      </c>
      <c r="U69">
        <f>IF(OR(I69=0,I69=""),"",ABS((I69-IF($C69="LT",Config!$F$4,Config!$F$16))/IF($C69="LT",Config!$G$4,Config!$G$16)))</f>
        <v/>
      </c>
      <c r="V69">
        <f>IF(OR(J69=0,J69=""),"",ABS((J69-IF($C69="LT",Config!$F$5,Config!$F$17))/IF($C69="LT",Config!$G$5,Config!$G$17)))</f>
        <v/>
      </c>
      <c r="W69">
        <f>IF(OR(K69=0,K69=""),"",ABS((K69-IF($C69="LT",Config!$F$6,Config!$F$18))/IF($C69="LT",Config!$G$6,Config!$G$18)))</f>
        <v/>
      </c>
      <c r="X69">
        <f>IF(OR(L69=0,L69=""),"",ABS((L69-IF($C69="LT",Config!$F$7,Config!$F$19))/IF($C69="LT",Config!$G$7,Config!$G$19)))</f>
        <v/>
      </c>
      <c r="Y69">
        <f>IF(OR(M69=0,M69=""),"",ABS((M69-IF($C69="LT",Config!$F$8,Config!$F$20))/IF($C69="LT",Config!$G$8,Config!$G$20)))</f>
        <v/>
      </c>
      <c r="Z69">
        <f>IF(OR(N69=0,N69=""),"",ABS((N69-IF($C69="LT",Config!$F$9,Config!$F$21))/IF($C69="LT",Config!$G$9,Config!$G$21)))</f>
        <v/>
      </c>
      <c r="AA69">
        <f>IF(OR(O69=0,O69=""),"",ABS((O69-IF($C69="LT",Config!$F$10,Config!$F$22))/IF($C69="LT",Config!$G$10,Config!$G$22)))</f>
        <v/>
      </c>
      <c r="AB69">
        <f>IF(OR(P69=0,P69=""),"",ABS((P69-IF($C69="LT",Config!$F$11,Config!$F$23))/IF($C69="LT",Config!$G$11,Config!$G$23)))</f>
        <v/>
      </c>
      <c r="AC69">
        <f>IF(OR(Q69=0,Q69=""),"",ABS((Q69-IF($C69="LT",Config!$F$12,Config!$F$24))/IF($C69="LT",Config!$G$12,Config!$G$24)))</f>
        <v/>
      </c>
      <c r="AD69">
        <f>IF(OR(R69=0,R69=""),"",ABS((R69-IF($C69="LT",Config!$F$13,Config!$F$25))/IF($C69="LT",Config!$G$13,Config!$G$25)))</f>
        <v/>
      </c>
    </row>
    <row r="70">
      <c r="A70" t="inlineStr">
        <is>
          <t>04B2726120705</t>
        </is>
      </c>
      <c r="B70" t="inlineStr">
        <is>
          <t>CRS0000674</t>
        </is>
      </c>
      <c r="C70" t="inlineStr">
        <is>
          <t>MT</t>
        </is>
      </c>
      <c r="D70" t="inlineStr">
        <is>
          <t>TCX413U-DS1B01</t>
        </is>
      </c>
      <c r="E70" s="2" t="n">
        <v>46081</v>
      </c>
      <c r="F70" t="inlineStr">
        <is>
          <t>Fail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>
        <f>IF(OR(G70=0,G70=""),"",ABS((G70-IF($C70="LT",Config!$F$2,Config!$F$14))/IF($C70="LT",Config!$G$2,Config!$G$14)))</f>
        <v/>
      </c>
      <c r="T70">
        <f>IF(OR(H70=0,H70=""),"",ABS((H70-IF($C70="LT",Config!$F$3,Config!$F$15))/IF($C70="LT",Config!$G$3,Config!$G$15)))</f>
        <v/>
      </c>
      <c r="U70">
        <f>IF(OR(I70=0,I70=""),"",ABS((I70-IF($C70="LT",Config!$F$4,Config!$F$16))/IF($C70="LT",Config!$G$4,Config!$G$16)))</f>
        <v/>
      </c>
      <c r="V70">
        <f>IF(OR(J70=0,J70=""),"",ABS((J70-IF($C70="LT",Config!$F$5,Config!$F$17))/IF($C70="LT",Config!$G$5,Config!$G$17)))</f>
        <v/>
      </c>
      <c r="W70">
        <f>IF(OR(K70=0,K70=""),"",ABS((K70-IF($C70="LT",Config!$F$6,Config!$F$18))/IF($C70="LT",Config!$G$6,Config!$G$18)))</f>
        <v/>
      </c>
      <c r="X70">
        <f>IF(OR(L70=0,L70=""),"",ABS((L70-IF($C70="LT",Config!$F$7,Config!$F$19))/IF($C70="LT",Config!$G$7,Config!$G$19)))</f>
        <v/>
      </c>
      <c r="Y70">
        <f>IF(OR(M70=0,M70=""),"",ABS((M70-IF($C70="LT",Config!$F$8,Config!$F$20))/IF($C70="LT",Config!$G$8,Config!$G$20)))</f>
        <v/>
      </c>
      <c r="Z70">
        <f>IF(OR(N70=0,N70=""),"",ABS((N70-IF($C70="LT",Config!$F$9,Config!$F$21))/IF($C70="LT",Config!$G$9,Config!$G$21)))</f>
        <v/>
      </c>
      <c r="AA70">
        <f>IF(OR(O70=0,O70=""),"",ABS((O70-IF($C70="LT",Config!$F$10,Config!$F$22))/IF($C70="LT",Config!$G$10,Config!$G$22)))</f>
        <v/>
      </c>
      <c r="AB70">
        <f>IF(OR(P70=0,P70=""),"",ABS((P70-IF($C70="LT",Config!$F$11,Config!$F$23))/IF($C70="LT",Config!$G$11,Config!$G$23)))</f>
        <v/>
      </c>
      <c r="AC70">
        <f>IF(OR(Q70=0,Q70=""),"",ABS((Q70-IF($C70="LT",Config!$F$12,Config!$F$24))/IF($C70="LT",Config!$G$12,Config!$G$24)))</f>
        <v/>
      </c>
      <c r="AD70">
        <f>IF(OR(R70=0,R70=""),"",ABS((R70-IF($C70="LT",Config!$F$13,Config!$F$25))/IF($C70="LT",Config!$G$13,Config!$G$25)))</f>
        <v/>
      </c>
    </row>
    <row r="71">
      <c r="A71" t="inlineStr">
        <is>
          <t>04B2726120705</t>
        </is>
      </c>
      <c r="B71" t="inlineStr">
        <is>
          <t>CRS0000674</t>
        </is>
      </c>
      <c r="C71" t="inlineStr">
        <is>
          <t>MT</t>
        </is>
      </c>
      <c r="D71" t="inlineStr">
        <is>
          <t>TCX413U-DS1B01</t>
        </is>
      </c>
      <c r="E71" s="2" t="n">
        <v>46081</v>
      </c>
      <c r="F71" t="inlineStr">
        <is>
          <t>Fail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>
        <f>IF(OR(G71=0,G71=""),"",ABS((G71-IF($C71="LT",Config!$F$2,Config!$F$14))/IF($C71="LT",Config!$G$2,Config!$G$14)))</f>
        <v/>
      </c>
      <c r="T71">
        <f>IF(OR(H71=0,H71=""),"",ABS((H71-IF($C71="LT",Config!$F$3,Config!$F$15))/IF($C71="LT",Config!$G$3,Config!$G$15)))</f>
        <v/>
      </c>
      <c r="U71">
        <f>IF(OR(I71=0,I71=""),"",ABS((I71-IF($C71="LT",Config!$F$4,Config!$F$16))/IF($C71="LT",Config!$G$4,Config!$G$16)))</f>
        <v/>
      </c>
      <c r="V71">
        <f>IF(OR(J71=0,J71=""),"",ABS((J71-IF($C71="LT",Config!$F$5,Config!$F$17))/IF($C71="LT",Config!$G$5,Config!$G$17)))</f>
        <v/>
      </c>
      <c r="W71">
        <f>IF(OR(K71=0,K71=""),"",ABS((K71-IF($C71="LT",Config!$F$6,Config!$F$18))/IF($C71="LT",Config!$G$6,Config!$G$18)))</f>
        <v/>
      </c>
      <c r="X71">
        <f>IF(OR(L71=0,L71=""),"",ABS((L71-IF($C71="LT",Config!$F$7,Config!$F$19))/IF($C71="LT",Config!$G$7,Config!$G$19)))</f>
        <v/>
      </c>
      <c r="Y71">
        <f>IF(OR(M71=0,M71=""),"",ABS((M71-IF($C71="LT",Config!$F$8,Config!$F$20))/IF($C71="LT",Config!$G$8,Config!$G$20)))</f>
        <v/>
      </c>
      <c r="Z71">
        <f>IF(OR(N71=0,N71=""),"",ABS((N71-IF($C71="LT",Config!$F$9,Config!$F$21))/IF($C71="LT",Config!$G$9,Config!$G$21)))</f>
        <v/>
      </c>
      <c r="AA71">
        <f>IF(OR(O71=0,O71=""),"",ABS((O71-IF($C71="LT",Config!$F$10,Config!$F$22))/IF($C71="LT",Config!$G$10,Config!$G$22)))</f>
        <v/>
      </c>
      <c r="AB71">
        <f>IF(OR(P71=0,P71=""),"",ABS((P71-IF($C71="LT",Config!$F$11,Config!$F$23))/IF($C71="LT",Config!$G$11,Config!$G$23)))</f>
        <v/>
      </c>
      <c r="AC71">
        <f>IF(OR(Q71=0,Q71=""),"",ABS((Q71-IF($C71="LT",Config!$F$12,Config!$F$24))/IF($C71="LT",Config!$G$12,Config!$G$24)))</f>
        <v/>
      </c>
      <c r="AD71">
        <f>IF(OR(R71=0,R71=""),"",ABS((R71-IF($C71="LT",Config!$F$13,Config!$F$25))/IF($C71="LT",Config!$G$13,Config!$G$25)))</f>
        <v/>
      </c>
    </row>
    <row r="72">
      <c r="A72" t="inlineStr">
        <is>
          <t>04B2726120705</t>
        </is>
      </c>
      <c r="B72" t="inlineStr">
        <is>
          <t>CRS0000674</t>
        </is>
      </c>
      <c r="C72" t="inlineStr">
        <is>
          <t>MT</t>
        </is>
      </c>
      <c r="D72" t="inlineStr">
        <is>
          <t>TCX413U-DS1B01</t>
        </is>
      </c>
      <c r="E72" s="2" t="n">
        <v>46081</v>
      </c>
      <c r="F72" t="inlineStr">
        <is>
          <t>Pass</t>
        </is>
      </c>
      <c r="G72" t="n">
        <v>106.6</v>
      </c>
      <c r="H72" t="n">
        <v>80.7</v>
      </c>
      <c r="I72" t="n">
        <v>-1957.8</v>
      </c>
      <c r="J72" t="n">
        <v>65.90000000000001</v>
      </c>
      <c r="K72" t="n">
        <v>0</v>
      </c>
      <c r="L72" t="n">
        <v>6</v>
      </c>
      <c r="M72" t="n">
        <v>0</v>
      </c>
      <c r="N72" t="n">
        <v>71.90000000000001</v>
      </c>
      <c r="O72" t="n">
        <v>115.31</v>
      </c>
      <c r="P72" t="n">
        <v>115.24</v>
      </c>
      <c r="Q72" t="n">
        <v>3.78</v>
      </c>
      <c r="R72" t="n">
        <v>3.88</v>
      </c>
      <c r="S72">
        <f>IF(OR(G72=0,G72=""),"",ABS((G72-IF($C72="LT",Config!$F$2,Config!$F$14))/IF($C72="LT",Config!$G$2,Config!$G$14)))</f>
        <v/>
      </c>
      <c r="T72">
        <f>IF(OR(H72=0,H72=""),"",ABS((H72-IF($C72="LT",Config!$F$3,Config!$F$15))/IF($C72="LT",Config!$G$3,Config!$G$15)))</f>
        <v/>
      </c>
      <c r="U72">
        <f>IF(OR(I72=0,I72=""),"",ABS((I72-IF($C72="LT",Config!$F$4,Config!$F$16))/IF($C72="LT",Config!$G$4,Config!$G$16)))</f>
        <v/>
      </c>
      <c r="V72">
        <f>IF(OR(J72=0,J72=""),"",ABS((J72-IF($C72="LT",Config!$F$5,Config!$F$17))/IF($C72="LT",Config!$G$5,Config!$G$17)))</f>
        <v/>
      </c>
      <c r="W72">
        <f>IF(OR(K72=0,K72=""),"",ABS((K72-IF($C72="LT",Config!$F$6,Config!$F$18))/IF($C72="LT",Config!$G$6,Config!$G$18)))</f>
        <v/>
      </c>
      <c r="X72">
        <f>IF(OR(L72=0,L72=""),"",ABS((L72-IF($C72="LT",Config!$F$7,Config!$F$19))/IF($C72="LT",Config!$G$7,Config!$G$19)))</f>
        <v/>
      </c>
      <c r="Y72">
        <f>IF(OR(M72=0,M72=""),"",ABS((M72-IF($C72="LT",Config!$F$8,Config!$F$20))/IF($C72="LT",Config!$G$8,Config!$G$20)))</f>
        <v/>
      </c>
      <c r="Z72">
        <f>IF(OR(N72=0,N72=""),"",ABS((N72-IF($C72="LT",Config!$F$9,Config!$F$21))/IF($C72="LT",Config!$G$9,Config!$G$21)))</f>
        <v/>
      </c>
      <c r="AA72">
        <f>IF(OR(O72=0,O72=""),"",ABS((O72-IF($C72="LT",Config!$F$10,Config!$F$22))/IF($C72="LT",Config!$G$10,Config!$G$22)))</f>
        <v/>
      </c>
      <c r="AB72">
        <f>IF(OR(P72=0,P72=""),"",ABS((P72-IF($C72="LT",Config!$F$11,Config!$F$23))/IF($C72="LT",Config!$G$11,Config!$G$23)))</f>
        <v/>
      </c>
      <c r="AC72">
        <f>IF(OR(Q72=0,Q72=""),"",ABS((Q72-IF($C72="LT",Config!$F$12,Config!$F$24))/IF($C72="LT",Config!$G$12,Config!$G$24)))</f>
        <v/>
      </c>
      <c r="AD72">
        <f>IF(OR(R72=0,R72=""),"",ABS((R72-IF($C72="LT",Config!$F$13,Config!$F$25))/IF($C72="LT",Config!$G$13,Config!$G$25)))</f>
        <v/>
      </c>
    </row>
    <row r="73">
      <c r="A73" t="inlineStr">
        <is>
          <t>04B2726120706</t>
        </is>
      </c>
      <c r="B73" t="inlineStr">
        <is>
          <t>CRS0000674</t>
        </is>
      </c>
      <c r="C73" t="inlineStr">
        <is>
          <t>MT</t>
        </is>
      </c>
      <c r="D73" t="inlineStr">
        <is>
          <t>TCX413U-DS1B01</t>
        </is>
      </c>
      <c r="E73" s="2" t="n">
        <v>46081</v>
      </c>
      <c r="F73" t="inlineStr">
        <is>
          <t>Pass</t>
        </is>
      </c>
      <c r="G73" t="n">
        <v>116.4</v>
      </c>
      <c r="H73" t="n">
        <v>81.59999999999999</v>
      </c>
      <c r="I73" t="n">
        <v>-1957.8</v>
      </c>
      <c r="J73" t="n">
        <v>66.40000000000001</v>
      </c>
      <c r="K73" t="n">
        <v>0</v>
      </c>
      <c r="L73" t="n">
        <v>6.6</v>
      </c>
      <c r="M73" t="n">
        <v>0</v>
      </c>
      <c r="N73" t="n">
        <v>73</v>
      </c>
      <c r="O73" t="n">
        <v>112.38</v>
      </c>
      <c r="P73" t="n">
        <v>116.7</v>
      </c>
      <c r="Q73" t="n">
        <v>3.74</v>
      </c>
      <c r="R73" t="n">
        <v>3.76</v>
      </c>
      <c r="S73">
        <f>IF(OR(G73=0,G73=""),"",ABS((G73-IF($C73="LT",Config!$F$2,Config!$F$14))/IF($C73="LT",Config!$G$2,Config!$G$14)))</f>
        <v/>
      </c>
      <c r="T73">
        <f>IF(OR(H73=0,H73=""),"",ABS((H73-IF($C73="LT",Config!$F$3,Config!$F$15))/IF($C73="LT",Config!$G$3,Config!$G$15)))</f>
        <v/>
      </c>
      <c r="U73">
        <f>IF(OR(I73=0,I73=""),"",ABS((I73-IF($C73="LT",Config!$F$4,Config!$F$16))/IF($C73="LT",Config!$G$4,Config!$G$16)))</f>
        <v/>
      </c>
      <c r="V73">
        <f>IF(OR(J73=0,J73=""),"",ABS((J73-IF($C73="LT",Config!$F$5,Config!$F$17))/IF($C73="LT",Config!$G$5,Config!$G$17)))</f>
        <v/>
      </c>
      <c r="W73">
        <f>IF(OR(K73=0,K73=""),"",ABS((K73-IF($C73="LT",Config!$F$6,Config!$F$18))/IF($C73="LT",Config!$G$6,Config!$G$18)))</f>
        <v/>
      </c>
      <c r="X73">
        <f>IF(OR(L73=0,L73=""),"",ABS((L73-IF($C73="LT",Config!$F$7,Config!$F$19))/IF($C73="LT",Config!$G$7,Config!$G$19)))</f>
        <v/>
      </c>
      <c r="Y73">
        <f>IF(OR(M73=0,M73=""),"",ABS((M73-IF($C73="LT",Config!$F$8,Config!$F$20))/IF($C73="LT",Config!$G$8,Config!$G$20)))</f>
        <v/>
      </c>
      <c r="Z73">
        <f>IF(OR(N73=0,N73=""),"",ABS((N73-IF($C73="LT",Config!$F$9,Config!$F$21))/IF($C73="LT",Config!$G$9,Config!$G$21)))</f>
        <v/>
      </c>
      <c r="AA73">
        <f>IF(OR(O73=0,O73=""),"",ABS((O73-IF($C73="LT",Config!$F$10,Config!$F$22))/IF($C73="LT",Config!$G$10,Config!$G$22)))</f>
        <v/>
      </c>
      <c r="AB73">
        <f>IF(OR(P73=0,P73=""),"",ABS((P73-IF($C73="LT",Config!$F$11,Config!$F$23))/IF($C73="LT",Config!$G$11,Config!$G$23)))</f>
        <v/>
      </c>
      <c r="AC73">
        <f>IF(OR(Q73=0,Q73=""),"",ABS((Q73-IF($C73="LT",Config!$F$12,Config!$F$24))/IF($C73="LT",Config!$G$12,Config!$G$24)))</f>
        <v/>
      </c>
      <c r="AD73">
        <f>IF(OR(R73=0,R73=""),"",ABS((R73-IF($C73="LT",Config!$F$13,Config!$F$25))/IF($C73="LT",Config!$G$13,Config!$G$25)))</f>
        <v/>
      </c>
    </row>
    <row r="74">
      <c r="A74" t="inlineStr">
        <is>
          <t>04B2726120707</t>
        </is>
      </c>
      <c r="B74" t="inlineStr">
        <is>
          <t>CRS0000674</t>
        </is>
      </c>
      <c r="C74" t="inlineStr">
        <is>
          <t>MT</t>
        </is>
      </c>
      <c r="D74" t="inlineStr">
        <is>
          <t>TCX413U-DS1B01</t>
        </is>
      </c>
      <c r="E74" s="2" t="n">
        <v>46081</v>
      </c>
      <c r="F74" t="inlineStr">
        <is>
          <t>Fail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>
        <f>IF(OR(G74=0,G74=""),"",ABS((G74-IF($C74="LT",Config!$F$2,Config!$F$14))/IF($C74="LT",Config!$G$2,Config!$G$14)))</f>
        <v/>
      </c>
      <c r="T74">
        <f>IF(OR(H74=0,H74=""),"",ABS((H74-IF($C74="LT",Config!$F$3,Config!$F$15))/IF($C74="LT",Config!$G$3,Config!$G$15)))</f>
        <v/>
      </c>
      <c r="U74">
        <f>IF(OR(I74=0,I74=""),"",ABS((I74-IF($C74="LT",Config!$F$4,Config!$F$16))/IF($C74="LT",Config!$G$4,Config!$G$16)))</f>
        <v/>
      </c>
      <c r="V74">
        <f>IF(OR(J74=0,J74=""),"",ABS((J74-IF($C74="LT",Config!$F$5,Config!$F$17))/IF($C74="LT",Config!$G$5,Config!$G$17)))</f>
        <v/>
      </c>
      <c r="W74">
        <f>IF(OR(K74=0,K74=""),"",ABS((K74-IF($C74="LT",Config!$F$6,Config!$F$18))/IF($C74="LT",Config!$G$6,Config!$G$18)))</f>
        <v/>
      </c>
      <c r="X74">
        <f>IF(OR(L74=0,L74=""),"",ABS((L74-IF($C74="LT",Config!$F$7,Config!$F$19))/IF($C74="LT",Config!$G$7,Config!$G$19)))</f>
        <v/>
      </c>
      <c r="Y74">
        <f>IF(OR(M74=0,M74=""),"",ABS((M74-IF($C74="LT",Config!$F$8,Config!$F$20))/IF($C74="LT",Config!$G$8,Config!$G$20)))</f>
        <v/>
      </c>
      <c r="Z74">
        <f>IF(OR(N74=0,N74=""),"",ABS((N74-IF($C74="LT",Config!$F$9,Config!$F$21))/IF($C74="LT",Config!$G$9,Config!$G$21)))</f>
        <v/>
      </c>
      <c r="AA74">
        <f>IF(OR(O74=0,O74=""),"",ABS((O74-IF($C74="LT",Config!$F$10,Config!$F$22))/IF($C74="LT",Config!$G$10,Config!$G$22)))</f>
        <v/>
      </c>
      <c r="AB74">
        <f>IF(OR(P74=0,P74=""),"",ABS((P74-IF($C74="LT",Config!$F$11,Config!$F$23))/IF($C74="LT",Config!$G$11,Config!$G$23)))</f>
        <v/>
      </c>
      <c r="AC74">
        <f>IF(OR(Q74=0,Q74=""),"",ABS((Q74-IF($C74="LT",Config!$F$12,Config!$F$24))/IF($C74="LT",Config!$G$12,Config!$G$24)))</f>
        <v/>
      </c>
      <c r="AD74">
        <f>IF(OR(R74=0,R74=""),"",ABS((R74-IF($C74="LT",Config!$F$13,Config!$F$25))/IF($C74="LT",Config!$G$13,Config!$G$25)))</f>
        <v/>
      </c>
    </row>
    <row r="75">
      <c r="A75" t="inlineStr">
        <is>
          <t>04B2726120707</t>
        </is>
      </c>
      <c r="B75" t="inlineStr">
        <is>
          <t>CRS0000674</t>
        </is>
      </c>
      <c r="C75" t="inlineStr">
        <is>
          <t>MT</t>
        </is>
      </c>
      <c r="D75" t="inlineStr">
        <is>
          <t>TCX413U-DS1B01</t>
        </is>
      </c>
      <c r="E75" s="2" t="n">
        <v>46081</v>
      </c>
      <c r="F75" t="inlineStr">
        <is>
          <t>Pass</t>
        </is>
      </c>
      <c r="G75" t="n">
        <v>119.1</v>
      </c>
      <c r="H75" t="n">
        <v>81.59999999999999</v>
      </c>
      <c r="I75" t="n">
        <v>-1957.8</v>
      </c>
      <c r="J75" t="n">
        <v>66.40000000000001</v>
      </c>
      <c r="K75" t="n">
        <v>0</v>
      </c>
      <c r="L75" t="n">
        <v>6.5</v>
      </c>
      <c r="M75" t="n">
        <v>0</v>
      </c>
      <c r="N75" t="n">
        <v>72.90000000000001</v>
      </c>
      <c r="O75" t="n">
        <v>115.6</v>
      </c>
      <c r="P75" t="n">
        <v>117</v>
      </c>
      <c r="Q75" t="n">
        <v>3.81</v>
      </c>
      <c r="R75" t="n">
        <v>3.88</v>
      </c>
      <c r="S75">
        <f>IF(OR(G75=0,G75=""),"",ABS((G75-IF($C75="LT",Config!$F$2,Config!$F$14))/IF($C75="LT",Config!$G$2,Config!$G$14)))</f>
        <v/>
      </c>
      <c r="T75">
        <f>IF(OR(H75=0,H75=""),"",ABS((H75-IF($C75="LT",Config!$F$3,Config!$F$15))/IF($C75="LT",Config!$G$3,Config!$G$15)))</f>
        <v/>
      </c>
      <c r="U75">
        <f>IF(OR(I75=0,I75=""),"",ABS((I75-IF($C75="LT",Config!$F$4,Config!$F$16))/IF($C75="LT",Config!$G$4,Config!$G$16)))</f>
        <v/>
      </c>
      <c r="V75">
        <f>IF(OR(J75=0,J75=""),"",ABS((J75-IF($C75="LT",Config!$F$5,Config!$F$17))/IF($C75="LT",Config!$G$5,Config!$G$17)))</f>
        <v/>
      </c>
      <c r="W75">
        <f>IF(OR(K75=0,K75=""),"",ABS((K75-IF($C75="LT",Config!$F$6,Config!$F$18))/IF($C75="LT",Config!$G$6,Config!$G$18)))</f>
        <v/>
      </c>
      <c r="X75">
        <f>IF(OR(L75=0,L75=""),"",ABS((L75-IF($C75="LT",Config!$F$7,Config!$F$19))/IF($C75="LT",Config!$G$7,Config!$G$19)))</f>
        <v/>
      </c>
      <c r="Y75">
        <f>IF(OR(M75=0,M75=""),"",ABS((M75-IF($C75="LT",Config!$F$8,Config!$F$20))/IF($C75="LT",Config!$G$8,Config!$G$20)))</f>
        <v/>
      </c>
      <c r="Z75">
        <f>IF(OR(N75=0,N75=""),"",ABS((N75-IF($C75="LT",Config!$F$9,Config!$F$21))/IF($C75="LT",Config!$G$9,Config!$G$21)))</f>
        <v/>
      </c>
      <c r="AA75">
        <f>IF(OR(O75=0,O75=""),"",ABS((O75-IF($C75="LT",Config!$F$10,Config!$F$22))/IF($C75="LT",Config!$G$10,Config!$G$22)))</f>
        <v/>
      </c>
      <c r="AB75">
        <f>IF(OR(P75=0,P75=""),"",ABS((P75-IF($C75="LT",Config!$F$11,Config!$F$23))/IF($C75="LT",Config!$G$11,Config!$G$23)))</f>
        <v/>
      </c>
      <c r="AC75">
        <f>IF(OR(Q75=0,Q75=""),"",ABS((Q75-IF($C75="LT",Config!$F$12,Config!$F$24))/IF($C75="LT",Config!$G$12,Config!$G$24)))</f>
        <v/>
      </c>
      <c r="AD75">
        <f>IF(OR(R75=0,R75=""),"",ABS((R75-IF($C75="LT",Config!$F$13,Config!$F$25))/IF($C75="LT",Config!$G$13,Config!$G$25)))</f>
        <v/>
      </c>
    </row>
    <row r="76">
      <c r="A76" t="inlineStr">
        <is>
          <t>04B2726120708</t>
        </is>
      </c>
      <c r="B76" t="inlineStr">
        <is>
          <t>CRS0000674</t>
        </is>
      </c>
      <c r="C76" t="inlineStr">
        <is>
          <t>MT</t>
        </is>
      </c>
      <c r="D76" t="inlineStr">
        <is>
          <t>TCX413U-DS1B01</t>
        </is>
      </c>
      <c r="E76" s="2" t="n">
        <v>46081</v>
      </c>
      <c r="F76" t="inlineStr">
        <is>
          <t>Pass</t>
        </is>
      </c>
      <c r="G76" t="n">
        <v>118.7</v>
      </c>
      <c r="H76" t="n">
        <v>81.59999999999999</v>
      </c>
      <c r="I76" t="n">
        <v>-1957.8</v>
      </c>
      <c r="J76" t="n">
        <v>66.8</v>
      </c>
      <c r="K76" t="n">
        <v>0</v>
      </c>
      <c r="L76" t="n">
        <v>6.6</v>
      </c>
      <c r="M76" t="n">
        <v>0</v>
      </c>
      <c r="N76" t="n">
        <v>73.40000000000001</v>
      </c>
      <c r="O76" t="n">
        <v>112.16</v>
      </c>
      <c r="P76" t="n">
        <v>113.7</v>
      </c>
      <c r="Q76" t="n">
        <v>3.69</v>
      </c>
      <c r="R76" t="n">
        <v>3.71</v>
      </c>
      <c r="S76">
        <f>IF(OR(G76=0,G76=""),"",ABS((G76-IF($C76="LT",Config!$F$2,Config!$F$14))/IF($C76="LT",Config!$G$2,Config!$G$14)))</f>
        <v/>
      </c>
      <c r="T76">
        <f>IF(OR(H76=0,H76=""),"",ABS((H76-IF($C76="LT",Config!$F$3,Config!$F$15))/IF($C76="LT",Config!$G$3,Config!$G$15)))</f>
        <v/>
      </c>
      <c r="U76">
        <f>IF(OR(I76=0,I76=""),"",ABS((I76-IF($C76="LT",Config!$F$4,Config!$F$16))/IF($C76="LT",Config!$G$4,Config!$G$16)))</f>
        <v/>
      </c>
      <c r="V76">
        <f>IF(OR(J76=0,J76=""),"",ABS((J76-IF($C76="LT",Config!$F$5,Config!$F$17))/IF($C76="LT",Config!$G$5,Config!$G$17)))</f>
        <v/>
      </c>
      <c r="W76">
        <f>IF(OR(K76=0,K76=""),"",ABS((K76-IF($C76="LT",Config!$F$6,Config!$F$18))/IF($C76="LT",Config!$G$6,Config!$G$18)))</f>
        <v/>
      </c>
      <c r="X76">
        <f>IF(OR(L76=0,L76=""),"",ABS((L76-IF($C76="LT",Config!$F$7,Config!$F$19))/IF($C76="LT",Config!$G$7,Config!$G$19)))</f>
        <v/>
      </c>
      <c r="Y76">
        <f>IF(OR(M76=0,M76=""),"",ABS((M76-IF($C76="LT",Config!$F$8,Config!$F$20))/IF($C76="LT",Config!$G$8,Config!$G$20)))</f>
        <v/>
      </c>
      <c r="Z76">
        <f>IF(OR(N76=0,N76=""),"",ABS((N76-IF($C76="LT",Config!$F$9,Config!$F$21))/IF($C76="LT",Config!$G$9,Config!$G$21)))</f>
        <v/>
      </c>
      <c r="AA76">
        <f>IF(OR(O76=0,O76=""),"",ABS((O76-IF($C76="LT",Config!$F$10,Config!$F$22))/IF($C76="LT",Config!$G$10,Config!$G$22)))</f>
        <v/>
      </c>
      <c r="AB76">
        <f>IF(OR(P76=0,P76=""),"",ABS((P76-IF($C76="LT",Config!$F$11,Config!$F$23))/IF($C76="LT",Config!$G$11,Config!$G$23)))</f>
        <v/>
      </c>
      <c r="AC76">
        <f>IF(OR(Q76=0,Q76=""),"",ABS((Q76-IF($C76="LT",Config!$F$12,Config!$F$24))/IF($C76="LT",Config!$G$12,Config!$G$24)))</f>
        <v/>
      </c>
      <c r="AD76">
        <f>IF(OR(R76=0,R76=""),"",ABS((R76-IF($C76="LT",Config!$F$13,Config!$F$25))/IF($C76="LT",Config!$G$13,Config!$G$25)))</f>
        <v/>
      </c>
    </row>
    <row r="77">
      <c r="A77" t="inlineStr">
        <is>
          <t>04B2726120709</t>
        </is>
      </c>
      <c r="B77" t="inlineStr">
        <is>
          <t>CRS0000674</t>
        </is>
      </c>
      <c r="C77" t="inlineStr">
        <is>
          <t>MT</t>
        </is>
      </c>
      <c r="D77" t="inlineStr">
        <is>
          <t>TCX413U-DS1B01</t>
        </is>
      </c>
      <c r="E77" s="2" t="n">
        <v>46081</v>
      </c>
      <c r="F77" t="inlineStr">
        <is>
          <t>Fail</t>
        </is>
      </c>
      <c r="G77" t="n">
        <v>70.40000000000001</v>
      </c>
      <c r="H77" t="n">
        <v>67.09999999999999</v>
      </c>
      <c r="I77" t="n">
        <v>-1957.8</v>
      </c>
      <c r="J77" t="n">
        <v>66.8</v>
      </c>
      <c r="K77" t="n">
        <v>0</v>
      </c>
      <c r="L77" t="n">
        <v>7.5</v>
      </c>
      <c r="M77" t="n">
        <v>0</v>
      </c>
      <c r="N77" t="n">
        <v>74.3</v>
      </c>
      <c r="O77" t="n">
        <v>112.6</v>
      </c>
      <c r="P77" t="n">
        <v>117.36</v>
      </c>
      <c r="Q77" t="n">
        <v>2</v>
      </c>
      <c r="R77" t="n">
        <v>2.08</v>
      </c>
      <c r="S77">
        <f>IF(OR(G77=0,G77=""),"",ABS((G77-IF($C77="LT",Config!$F$2,Config!$F$14))/IF($C77="LT",Config!$G$2,Config!$G$14)))</f>
        <v/>
      </c>
      <c r="T77">
        <f>IF(OR(H77=0,H77=""),"",ABS((H77-IF($C77="LT",Config!$F$3,Config!$F$15))/IF($C77="LT",Config!$G$3,Config!$G$15)))</f>
        <v/>
      </c>
      <c r="U77">
        <f>IF(OR(I77=0,I77=""),"",ABS((I77-IF($C77="LT",Config!$F$4,Config!$F$16))/IF($C77="LT",Config!$G$4,Config!$G$16)))</f>
        <v/>
      </c>
      <c r="V77">
        <f>IF(OR(J77=0,J77=""),"",ABS((J77-IF($C77="LT",Config!$F$5,Config!$F$17))/IF($C77="LT",Config!$G$5,Config!$G$17)))</f>
        <v/>
      </c>
      <c r="W77">
        <f>IF(OR(K77=0,K77=""),"",ABS((K77-IF($C77="LT",Config!$F$6,Config!$F$18))/IF($C77="LT",Config!$G$6,Config!$G$18)))</f>
        <v/>
      </c>
      <c r="X77">
        <f>IF(OR(L77=0,L77=""),"",ABS((L77-IF($C77="LT",Config!$F$7,Config!$F$19))/IF($C77="LT",Config!$G$7,Config!$G$19)))</f>
        <v/>
      </c>
      <c r="Y77">
        <f>IF(OR(M77=0,M77=""),"",ABS((M77-IF($C77="LT",Config!$F$8,Config!$F$20))/IF($C77="LT",Config!$G$8,Config!$G$20)))</f>
        <v/>
      </c>
      <c r="Z77">
        <f>IF(OR(N77=0,N77=""),"",ABS((N77-IF($C77="LT",Config!$F$9,Config!$F$21))/IF($C77="LT",Config!$G$9,Config!$G$21)))</f>
        <v/>
      </c>
      <c r="AA77">
        <f>IF(OR(O77=0,O77=""),"",ABS((O77-IF($C77="LT",Config!$F$10,Config!$F$22))/IF($C77="LT",Config!$G$10,Config!$G$22)))</f>
        <v/>
      </c>
      <c r="AB77">
        <f>IF(OR(P77=0,P77=""),"",ABS((P77-IF($C77="LT",Config!$F$11,Config!$F$23))/IF($C77="LT",Config!$G$11,Config!$G$23)))</f>
        <v/>
      </c>
      <c r="AC77">
        <f>IF(OR(Q77=0,Q77=""),"",ABS((Q77-IF($C77="LT",Config!$F$12,Config!$F$24))/IF($C77="LT",Config!$G$12,Config!$G$24)))</f>
        <v/>
      </c>
      <c r="AD77">
        <f>IF(OR(R77=0,R77=""),"",ABS((R77-IF($C77="LT",Config!$F$13,Config!$F$25))/IF($C77="LT",Config!$G$13,Config!$G$25)))</f>
        <v/>
      </c>
    </row>
    <row r="78">
      <c r="A78" t="inlineStr">
        <is>
          <t>04B2726120710</t>
        </is>
      </c>
      <c r="B78" t="inlineStr">
        <is>
          <t>CRS0000674</t>
        </is>
      </c>
      <c r="C78" t="inlineStr">
        <is>
          <t>MT</t>
        </is>
      </c>
      <c r="D78" t="inlineStr">
        <is>
          <t>TCX413U-DS1B01</t>
        </is>
      </c>
      <c r="E78" s="2" t="n">
        <v>46081</v>
      </c>
      <c r="F78" t="inlineStr">
        <is>
          <t>Pass</t>
        </is>
      </c>
      <c r="G78" t="n">
        <v>121.8</v>
      </c>
      <c r="H78" t="n">
        <v>83.8</v>
      </c>
      <c r="I78" t="n">
        <v>-1957.8</v>
      </c>
      <c r="J78" t="n">
        <v>66.8</v>
      </c>
      <c r="K78" t="n">
        <v>0</v>
      </c>
      <c r="L78" t="n">
        <v>7.8</v>
      </c>
      <c r="M78" t="n">
        <v>0</v>
      </c>
      <c r="N78" t="n">
        <v>74.59999999999999</v>
      </c>
      <c r="O78" t="n">
        <v>111.72</v>
      </c>
      <c r="P78" t="n">
        <v>113.55</v>
      </c>
      <c r="Q78" t="n">
        <v>3.91</v>
      </c>
      <c r="R78" t="n">
        <v>3.96</v>
      </c>
      <c r="S78">
        <f>IF(OR(G78=0,G78=""),"",ABS((G78-IF($C78="LT",Config!$F$2,Config!$F$14))/IF($C78="LT",Config!$G$2,Config!$G$14)))</f>
        <v/>
      </c>
      <c r="T78">
        <f>IF(OR(H78=0,H78=""),"",ABS((H78-IF($C78="LT",Config!$F$3,Config!$F$15))/IF($C78="LT",Config!$G$3,Config!$G$15)))</f>
        <v/>
      </c>
      <c r="U78">
        <f>IF(OR(I78=0,I78=""),"",ABS((I78-IF($C78="LT",Config!$F$4,Config!$F$16))/IF($C78="LT",Config!$G$4,Config!$G$16)))</f>
        <v/>
      </c>
      <c r="V78">
        <f>IF(OR(J78=0,J78=""),"",ABS((J78-IF($C78="LT",Config!$F$5,Config!$F$17))/IF($C78="LT",Config!$G$5,Config!$G$17)))</f>
        <v/>
      </c>
      <c r="W78">
        <f>IF(OR(K78=0,K78=""),"",ABS((K78-IF($C78="LT",Config!$F$6,Config!$F$18))/IF($C78="LT",Config!$G$6,Config!$G$18)))</f>
        <v/>
      </c>
      <c r="X78">
        <f>IF(OR(L78=0,L78=""),"",ABS((L78-IF($C78="LT",Config!$F$7,Config!$F$19))/IF($C78="LT",Config!$G$7,Config!$G$19)))</f>
        <v/>
      </c>
      <c r="Y78">
        <f>IF(OR(M78=0,M78=""),"",ABS((M78-IF($C78="LT",Config!$F$8,Config!$F$20))/IF($C78="LT",Config!$G$8,Config!$G$20)))</f>
        <v/>
      </c>
      <c r="Z78">
        <f>IF(OR(N78=0,N78=""),"",ABS((N78-IF($C78="LT",Config!$F$9,Config!$F$21))/IF($C78="LT",Config!$G$9,Config!$G$21)))</f>
        <v/>
      </c>
      <c r="AA78">
        <f>IF(OR(O78=0,O78=""),"",ABS((O78-IF($C78="LT",Config!$F$10,Config!$F$22))/IF($C78="LT",Config!$G$10,Config!$G$22)))</f>
        <v/>
      </c>
      <c r="AB78">
        <f>IF(OR(P78=0,P78=""),"",ABS((P78-IF($C78="LT",Config!$F$11,Config!$F$23))/IF($C78="LT",Config!$G$11,Config!$G$23)))</f>
        <v/>
      </c>
      <c r="AC78">
        <f>IF(OR(Q78=0,Q78=""),"",ABS((Q78-IF($C78="LT",Config!$F$12,Config!$F$24))/IF($C78="LT",Config!$G$12,Config!$G$24)))</f>
        <v/>
      </c>
      <c r="AD78">
        <f>IF(OR(R78=0,R78=""),"",ABS((R78-IF($C78="LT",Config!$F$13,Config!$F$25))/IF($C78="LT",Config!$G$13,Config!$G$25)))</f>
        <v/>
      </c>
    </row>
    <row r="79">
      <c r="A79" t="inlineStr">
        <is>
          <t>04B2726120711</t>
        </is>
      </c>
      <c r="B79" t="inlineStr">
        <is>
          <t>CRS0000674</t>
        </is>
      </c>
      <c r="C79" t="inlineStr">
        <is>
          <t>MT</t>
        </is>
      </c>
      <c r="D79" t="inlineStr">
        <is>
          <t>TCX413U-DS1B01</t>
        </is>
      </c>
      <c r="E79" s="2" t="n">
        <v>46081</v>
      </c>
      <c r="F79" t="inlineStr">
        <is>
          <t>Pass</t>
        </is>
      </c>
      <c r="G79" t="n">
        <v>123.1</v>
      </c>
      <c r="H79" t="n">
        <v>84.3</v>
      </c>
      <c r="I79" t="n">
        <v>-1957.8</v>
      </c>
      <c r="J79" t="n">
        <v>67.3</v>
      </c>
      <c r="K79" t="n">
        <v>0</v>
      </c>
      <c r="L79" t="n">
        <v>7.3</v>
      </c>
      <c r="M79" t="n">
        <v>0</v>
      </c>
      <c r="N79" t="n">
        <v>74.59999999999999</v>
      </c>
      <c r="O79" t="n">
        <v>115.38</v>
      </c>
      <c r="P79" t="n">
        <v>115.46</v>
      </c>
      <c r="Q79" t="n">
        <v>3.86</v>
      </c>
      <c r="R79" t="n">
        <v>3.96</v>
      </c>
      <c r="S79">
        <f>IF(OR(G79=0,G79=""),"",ABS((G79-IF($C79="LT",Config!$F$2,Config!$F$14))/IF($C79="LT",Config!$G$2,Config!$G$14)))</f>
        <v/>
      </c>
      <c r="T79">
        <f>IF(OR(H79=0,H79=""),"",ABS((H79-IF($C79="LT",Config!$F$3,Config!$F$15))/IF($C79="LT",Config!$G$3,Config!$G$15)))</f>
        <v/>
      </c>
      <c r="U79">
        <f>IF(OR(I79=0,I79=""),"",ABS((I79-IF($C79="LT",Config!$F$4,Config!$F$16))/IF($C79="LT",Config!$G$4,Config!$G$16)))</f>
        <v/>
      </c>
      <c r="V79">
        <f>IF(OR(J79=0,J79=""),"",ABS((J79-IF($C79="LT",Config!$F$5,Config!$F$17))/IF($C79="LT",Config!$G$5,Config!$G$17)))</f>
        <v/>
      </c>
      <c r="W79">
        <f>IF(OR(K79=0,K79=""),"",ABS((K79-IF($C79="LT",Config!$F$6,Config!$F$18))/IF($C79="LT",Config!$G$6,Config!$G$18)))</f>
        <v/>
      </c>
      <c r="X79">
        <f>IF(OR(L79=0,L79=""),"",ABS((L79-IF($C79="LT",Config!$F$7,Config!$F$19))/IF($C79="LT",Config!$G$7,Config!$G$19)))</f>
        <v/>
      </c>
      <c r="Y79">
        <f>IF(OR(M79=0,M79=""),"",ABS((M79-IF($C79="LT",Config!$F$8,Config!$F$20))/IF($C79="LT",Config!$G$8,Config!$G$20)))</f>
        <v/>
      </c>
      <c r="Z79">
        <f>IF(OR(N79=0,N79=""),"",ABS((N79-IF($C79="LT",Config!$F$9,Config!$F$21))/IF($C79="LT",Config!$G$9,Config!$G$21)))</f>
        <v/>
      </c>
      <c r="AA79">
        <f>IF(OR(O79=0,O79=""),"",ABS((O79-IF($C79="LT",Config!$F$10,Config!$F$22))/IF($C79="LT",Config!$G$10,Config!$G$22)))</f>
        <v/>
      </c>
      <c r="AB79">
        <f>IF(OR(P79=0,P79=""),"",ABS((P79-IF($C79="LT",Config!$F$11,Config!$F$23))/IF($C79="LT",Config!$G$11,Config!$G$23)))</f>
        <v/>
      </c>
      <c r="AC79">
        <f>IF(OR(Q79=0,Q79=""),"",ABS((Q79-IF($C79="LT",Config!$F$12,Config!$F$24))/IF($C79="LT",Config!$G$12,Config!$G$24)))</f>
        <v/>
      </c>
      <c r="AD79">
        <f>IF(OR(R79=0,R79=""),"",ABS((R79-IF($C79="LT",Config!$F$13,Config!$F$25))/IF($C79="LT",Config!$G$13,Config!$G$25)))</f>
        <v/>
      </c>
    </row>
    <row r="80">
      <c r="A80" t="inlineStr">
        <is>
          <t>04B2826120712</t>
        </is>
      </c>
      <c r="B80" t="inlineStr">
        <is>
          <t>CRS0000674</t>
        </is>
      </c>
      <c r="C80" t="inlineStr">
        <is>
          <t>MT</t>
        </is>
      </c>
      <c r="D80" t="inlineStr">
        <is>
          <t>TCX413U-DS1B01</t>
        </is>
      </c>
      <c r="E80" s="2" t="n">
        <v>46081</v>
      </c>
      <c r="F80" t="inlineStr">
        <is>
          <t>Pass</t>
        </is>
      </c>
      <c r="G80" t="n">
        <v>123.1</v>
      </c>
      <c r="H80" t="n">
        <v>78.90000000000001</v>
      </c>
      <c r="I80" t="n">
        <v>-1957.8</v>
      </c>
      <c r="J80" t="n">
        <v>67.3</v>
      </c>
      <c r="K80" t="n">
        <v>0</v>
      </c>
      <c r="L80" t="n">
        <v>7.5</v>
      </c>
      <c r="M80" t="n">
        <v>0</v>
      </c>
      <c r="N80" t="n">
        <v>74.8</v>
      </c>
      <c r="O80" t="n">
        <v>112.16</v>
      </c>
      <c r="P80" t="n">
        <v>117</v>
      </c>
      <c r="Q80" t="n">
        <v>3.98</v>
      </c>
      <c r="R80" t="n">
        <v>3.98</v>
      </c>
      <c r="S80">
        <f>IF(OR(G80=0,G80=""),"",ABS((G80-IF($C80="LT",Config!$F$2,Config!$F$14))/IF($C80="LT",Config!$G$2,Config!$G$14)))</f>
        <v/>
      </c>
      <c r="T80">
        <f>IF(OR(H80=0,H80=""),"",ABS((H80-IF($C80="LT",Config!$F$3,Config!$F$15))/IF($C80="LT",Config!$G$3,Config!$G$15)))</f>
        <v/>
      </c>
      <c r="U80">
        <f>IF(OR(I80=0,I80=""),"",ABS((I80-IF($C80="LT",Config!$F$4,Config!$F$16))/IF($C80="LT",Config!$G$4,Config!$G$16)))</f>
        <v/>
      </c>
      <c r="V80">
        <f>IF(OR(J80=0,J80=""),"",ABS((J80-IF($C80="LT",Config!$F$5,Config!$F$17))/IF($C80="LT",Config!$G$5,Config!$G$17)))</f>
        <v/>
      </c>
      <c r="W80">
        <f>IF(OR(K80=0,K80=""),"",ABS((K80-IF($C80="LT",Config!$F$6,Config!$F$18))/IF($C80="LT",Config!$G$6,Config!$G$18)))</f>
        <v/>
      </c>
      <c r="X80">
        <f>IF(OR(L80=0,L80=""),"",ABS((L80-IF($C80="LT",Config!$F$7,Config!$F$19))/IF($C80="LT",Config!$G$7,Config!$G$19)))</f>
        <v/>
      </c>
      <c r="Y80">
        <f>IF(OR(M80=0,M80=""),"",ABS((M80-IF($C80="LT",Config!$F$8,Config!$F$20))/IF($C80="LT",Config!$G$8,Config!$G$20)))</f>
        <v/>
      </c>
      <c r="Z80">
        <f>IF(OR(N80=0,N80=""),"",ABS((N80-IF($C80="LT",Config!$F$9,Config!$F$21))/IF($C80="LT",Config!$G$9,Config!$G$21)))</f>
        <v/>
      </c>
      <c r="AA80">
        <f>IF(OR(O80=0,O80=""),"",ABS((O80-IF($C80="LT",Config!$F$10,Config!$F$22))/IF($C80="LT",Config!$G$10,Config!$G$22)))</f>
        <v/>
      </c>
      <c r="AB80">
        <f>IF(OR(P80=0,P80=""),"",ABS((P80-IF($C80="LT",Config!$F$11,Config!$F$23))/IF($C80="LT",Config!$G$11,Config!$G$23)))</f>
        <v/>
      </c>
      <c r="AC80">
        <f>IF(OR(Q80=0,Q80=""),"",ABS((Q80-IF($C80="LT",Config!$F$12,Config!$F$24))/IF($C80="LT",Config!$G$12,Config!$G$24)))</f>
        <v/>
      </c>
      <c r="AD80">
        <f>IF(OR(R80=0,R80=""),"",ABS((R80-IF($C80="LT",Config!$F$13,Config!$F$25))/IF($C80="LT",Config!$G$13,Config!$G$25)))</f>
        <v/>
      </c>
    </row>
    <row r="81">
      <c r="A81" t="inlineStr">
        <is>
          <t>04B2826120713</t>
        </is>
      </c>
      <c r="B81" t="inlineStr">
        <is>
          <t>CRS0000675</t>
        </is>
      </c>
      <c r="C81" t="inlineStr">
        <is>
          <t>LT</t>
        </is>
      </c>
      <c r="D81" t="inlineStr">
        <is>
          <t>ALX440U-DS3B01</t>
        </is>
      </c>
      <c r="E81" s="2" t="n">
        <v>46081</v>
      </c>
      <c r="F81" t="inlineStr">
        <is>
          <t>Pass</t>
        </is>
      </c>
      <c r="G81" t="n">
        <v>151.3</v>
      </c>
      <c r="H81" t="n">
        <v>97.3</v>
      </c>
      <c r="I81" t="n">
        <v>-1957.8</v>
      </c>
      <c r="J81" t="n">
        <v>67.7</v>
      </c>
      <c r="K81" t="n">
        <v>0</v>
      </c>
      <c r="L81" t="n">
        <v>6.4</v>
      </c>
      <c r="M81" t="n">
        <v>0</v>
      </c>
      <c r="N81" t="n">
        <v>74.09999999999999</v>
      </c>
      <c r="O81" t="n">
        <v>115.09</v>
      </c>
      <c r="P81" t="n">
        <v>115.02</v>
      </c>
      <c r="Q81" t="n">
        <v>7.89</v>
      </c>
      <c r="R81" t="n">
        <v>7.96</v>
      </c>
      <c r="S81">
        <f>IF(OR(G81=0,G81=""),"",ABS((G81-IF($C81="LT",Config!$F$2,Config!$F$14))/IF($C81="LT",Config!$G$2,Config!$G$14)))</f>
        <v/>
      </c>
      <c r="T81">
        <f>IF(OR(H81=0,H81=""),"",ABS((H81-IF($C81="LT",Config!$F$3,Config!$F$15))/IF($C81="LT",Config!$G$3,Config!$G$15)))</f>
        <v/>
      </c>
      <c r="U81">
        <f>IF(OR(I81=0,I81=""),"",ABS((I81-IF($C81="LT",Config!$F$4,Config!$F$16))/IF($C81="LT",Config!$G$4,Config!$G$16)))</f>
        <v/>
      </c>
      <c r="V81">
        <f>IF(OR(J81=0,J81=""),"",ABS((J81-IF($C81="LT",Config!$F$5,Config!$F$17))/IF($C81="LT",Config!$G$5,Config!$G$17)))</f>
        <v/>
      </c>
      <c r="W81">
        <f>IF(OR(K81=0,K81=""),"",ABS((K81-IF($C81="LT",Config!$F$6,Config!$F$18))/IF($C81="LT",Config!$G$6,Config!$G$18)))</f>
        <v/>
      </c>
      <c r="X81">
        <f>IF(OR(L81=0,L81=""),"",ABS((L81-IF($C81="LT",Config!$F$7,Config!$F$19))/IF($C81="LT",Config!$G$7,Config!$G$19)))</f>
        <v/>
      </c>
      <c r="Y81">
        <f>IF(OR(M81=0,M81=""),"",ABS((M81-IF($C81="LT",Config!$F$8,Config!$F$20))/IF($C81="LT",Config!$G$8,Config!$G$20)))</f>
        <v/>
      </c>
      <c r="Z81">
        <f>IF(OR(N81=0,N81=""),"",ABS((N81-IF($C81="LT",Config!$F$9,Config!$F$21))/IF($C81="LT",Config!$G$9,Config!$G$21)))</f>
        <v/>
      </c>
      <c r="AA81">
        <f>IF(OR(O81=0,O81=""),"",ABS((O81-IF($C81="LT",Config!$F$10,Config!$F$22))/IF($C81="LT",Config!$G$10,Config!$G$22)))</f>
        <v/>
      </c>
      <c r="AB81">
        <f>IF(OR(P81=0,P81=""),"",ABS((P81-IF($C81="LT",Config!$F$11,Config!$F$23))/IF($C81="LT",Config!$G$11,Config!$G$23)))</f>
        <v/>
      </c>
      <c r="AC81">
        <f>IF(OR(Q81=0,Q81=""),"",ABS((Q81-IF($C81="LT",Config!$F$12,Config!$F$24))/IF($C81="LT",Config!$G$12,Config!$G$24)))</f>
        <v/>
      </c>
      <c r="AD81">
        <f>IF(OR(R81=0,R81=""),"",ABS((R81-IF($C81="LT",Config!$F$13,Config!$F$25))/IF($C81="LT",Config!$G$13,Config!$G$25)))</f>
        <v/>
      </c>
    </row>
    <row r="82">
      <c r="A82" t="inlineStr">
        <is>
          <t>04B2826120714</t>
        </is>
      </c>
      <c r="B82" t="inlineStr">
        <is>
          <t>CRS0000675</t>
        </is>
      </c>
      <c r="C82" t="inlineStr">
        <is>
          <t>LT</t>
        </is>
      </c>
      <c r="D82" t="inlineStr">
        <is>
          <t>ALX440U-DS3B01</t>
        </is>
      </c>
      <c r="E82" s="2" t="n">
        <v>46081</v>
      </c>
      <c r="F82" t="inlineStr">
        <is>
          <t>Fail</t>
        </is>
      </c>
      <c r="G82" t="n">
        <v>108.4</v>
      </c>
      <c r="H82" t="n">
        <v>95.09999999999999</v>
      </c>
      <c r="I82" t="n">
        <v>-1957.8</v>
      </c>
      <c r="J82" t="n">
        <v>67.7</v>
      </c>
      <c r="K82" t="n">
        <v>0</v>
      </c>
      <c r="L82" t="n">
        <v>2.5</v>
      </c>
      <c r="M82" t="n">
        <v>0</v>
      </c>
      <c r="N82" t="n">
        <v>70.2</v>
      </c>
      <c r="O82" t="n">
        <v>115.16</v>
      </c>
      <c r="P82" t="n">
        <v>115.24</v>
      </c>
      <c r="Q82" t="n">
        <v>7.91</v>
      </c>
      <c r="R82" t="n">
        <v>7.69</v>
      </c>
      <c r="S82">
        <f>IF(OR(G82=0,G82=""),"",ABS((G82-IF($C82="LT",Config!$F$2,Config!$F$14))/IF($C82="LT",Config!$G$2,Config!$G$14)))</f>
        <v/>
      </c>
      <c r="T82">
        <f>IF(OR(H82=0,H82=""),"",ABS((H82-IF($C82="LT",Config!$F$3,Config!$F$15))/IF($C82="LT",Config!$G$3,Config!$G$15)))</f>
        <v/>
      </c>
      <c r="U82">
        <f>IF(OR(I82=0,I82=""),"",ABS((I82-IF($C82="LT",Config!$F$4,Config!$F$16))/IF($C82="LT",Config!$G$4,Config!$G$16)))</f>
        <v/>
      </c>
      <c r="V82">
        <f>IF(OR(J82=0,J82=""),"",ABS((J82-IF($C82="LT",Config!$F$5,Config!$F$17))/IF($C82="LT",Config!$G$5,Config!$G$17)))</f>
        <v/>
      </c>
      <c r="W82">
        <f>IF(OR(K82=0,K82=""),"",ABS((K82-IF($C82="LT",Config!$F$6,Config!$F$18))/IF($C82="LT",Config!$G$6,Config!$G$18)))</f>
        <v/>
      </c>
      <c r="X82">
        <f>IF(OR(L82=0,L82=""),"",ABS((L82-IF($C82="LT",Config!$F$7,Config!$F$19))/IF($C82="LT",Config!$G$7,Config!$G$19)))</f>
        <v/>
      </c>
      <c r="Y82">
        <f>IF(OR(M82=0,M82=""),"",ABS((M82-IF($C82="LT",Config!$F$8,Config!$F$20))/IF($C82="LT",Config!$G$8,Config!$G$20)))</f>
        <v/>
      </c>
      <c r="Z82">
        <f>IF(OR(N82=0,N82=""),"",ABS((N82-IF($C82="LT",Config!$F$9,Config!$F$21))/IF($C82="LT",Config!$G$9,Config!$G$21)))</f>
        <v/>
      </c>
      <c r="AA82">
        <f>IF(OR(O82=0,O82=""),"",ABS((O82-IF($C82="LT",Config!$F$10,Config!$F$22))/IF($C82="LT",Config!$G$10,Config!$G$22)))</f>
        <v/>
      </c>
      <c r="AB82">
        <f>IF(OR(P82=0,P82=""),"",ABS((P82-IF($C82="LT",Config!$F$11,Config!$F$23))/IF($C82="LT",Config!$G$11,Config!$G$23)))</f>
        <v/>
      </c>
      <c r="AC82">
        <f>IF(OR(Q82=0,Q82=""),"",ABS((Q82-IF($C82="LT",Config!$F$12,Config!$F$24))/IF($C82="LT",Config!$G$12,Config!$G$24)))</f>
        <v/>
      </c>
      <c r="AD82">
        <f>IF(OR(R82=0,R82=""),"",ABS((R82-IF($C82="LT",Config!$F$13,Config!$F$25))/IF($C82="LT",Config!$G$13,Config!$G$25)))</f>
        <v/>
      </c>
    </row>
    <row r="83">
      <c r="A83" t="inlineStr">
        <is>
          <t>04B2826120714</t>
        </is>
      </c>
      <c r="B83" t="inlineStr">
        <is>
          <t>CRS0000675</t>
        </is>
      </c>
      <c r="C83" t="inlineStr">
        <is>
          <t>LT</t>
        </is>
      </c>
      <c r="D83" t="inlineStr">
        <is>
          <t>ALX440U-DS3B01</t>
        </is>
      </c>
      <c r="E83" s="2" t="n">
        <v>46081</v>
      </c>
      <c r="F83" t="inlineStr">
        <is>
          <t>Pass</t>
        </is>
      </c>
      <c r="G83" t="n">
        <v>151.7</v>
      </c>
      <c r="H83" t="n">
        <v>100.1</v>
      </c>
      <c r="I83" t="n">
        <v>-1957.8</v>
      </c>
      <c r="J83" t="n">
        <v>67.3</v>
      </c>
      <c r="K83" t="n">
        <v>0</v>
      </c>
      <c r="L83" t="n">
        <v>1.2</v>
      </c>
      <c r="M83" t="n">
        <v>0</v>
      </c>
      <c r="N83" t="n">
        <v>68.5</v>
      </c>
      <c r="O83" t="n">
        <v>115.02</v>
      </c>
      <c r="P83" t="n">
        <v>115.02</v>
      </c>
      <c r="Q83" t="n">
        <v>7.74</v>
      </c>
      <c r="R83" t="n">
        <v>7.89</v>
      </c>
      <c r="S83">
        <f>IF(OR(G83=0,G83=""),"",ABS((G83-IF($C83="LT",Config!$F$2,Config!$F$14))/IF($C83="LT",Config!$G$2,Config!$G$14)))</f>
        <v/>
      </c>
      <c r="T83">
        <f>IF(OR(H83=0,H83=""),"",ABS((H83-IF($C83="LT",Config!$F$3,Config!$F$15))/IF($C83="LT",Config!$G$3,Config!$G$15)))</f>
        <v/>
      </c>
      <c r="U83">
        <f>IF(OR(I83=0,I83=""),"",ABS((I83-IF($C83="LT",Config!$F$4,Config!$F$16))/IF($C83="LT",Config!$G$4,Config!$G$16)))</f>
        <v/>
      </c>
      <c r="V83">
        <f>IF(OR(J83=0,J83=""),"",ABS((J83-IF($C83="LT",Config!$F$5,Config!$F$17))/IF($C83="LT",Config!$G$5,Config!$G$17)))</f>
        <v/>
      </c>
      <c r="W83">
        <f>IF(OR(K83=0,K83=""),"",ABS((K83-IF($C83="LT",Config!$F$6,Config!$F$18))/IF($C83="LT",Config!$G$6,Config!$G$18)))</f>
        <v/>
      </c>
      <c r="X83">
        <f>IF(OR(L83=0,L83=""),"",ABS((L83-IF($C83="LT",Config!$F$7,Config!$F$19))/IF($C83="LT",Config!$G$7,Config!$G$19)))</f>
        <v/>
      </c>
      <c r="Y83">
        <f>IF(OR(M83=0,M83=""),"",ABS((M83-IF($C83="LT",Config!$F$8,Config!$F$20))/IF($C83="LT",Config!$G$8,Config!$G$20)))</f>
        <v/>
      </c>
      <c r="Z83">
        <f>IF(OR(N83=0,N83=""),"",ABS((N83-IF($C83="LT",Config!$F$9,Config!$F$21))/IF($C83="LT",Config!$G$9,Config!$G$21)))</f>
        <v/>
      </c>
      <c r="AA83">
        <f>IF(OR(O83=0,O83=""),"",ABS((O83-IF($C83="LT",Config!$F$10,Config!$F$22))/IF($C83="LT",Config!$G$10,Config!$G$22)))</f>
        <v/>
      </c>
      <c r="AB83">
        <f>IF(OR(P83=0,P83=""),"",ABS((P83-IF($C83="LT",Config!$F$11,Config!$F$23))/IF($C83="LT",Config!$G$11,Config!$G$23)))</f>
        <v/>
      </c>
      <c r="AC83">
        <f>IF(OR(Q83=0,Q83=""),"",ABS((Q83-IF($C83="LT",Config!$F$12,Config!$F$24))/IF($C83="LT",Config!$G$12,Config!$G$24)))</f>
        <v/>
      </c>
      <c r="AD83">
        <f>IF(OR(R83=0,R83=""),"",ABS((R83-IF($C83="LT",Config!$F$13,Config!$F$25))/IF($C83="LT",Config!$G$13,Config!$G$25)))</f>
        <v/>
      </c>
    </row>
    <row r="84">
      <c r="A84" t="inlineStr">
        <is>
          <t>04B2826120715</t>
        </is>
      </c>
      <c r="B84" t="inlineStr">
        <is>
          <t>CRS0000675</t>
        </is>
      </c>
      <c r="C84" t="inlineStr">
        <is>
          <t>LT</t>
        </is>
      </c>
      <c r="D84" t="inlineStr">
        <is>
          <t>ALX440U-DS3B01</t>
        </is>
      </c>
      <c r="E84" s="2" t="n">
        <v>46081</v>
      </c>
      <c r="F84" t="inlineStr">
        <is>
          <t>Fail</t>
        </is>
      </c>
      <c r="G84" t="n">
        <v>127.6</v>
      </c>
      <c r="H84" t="n">
        <v>102.8</v>
      </c>
      <c r="I84" t="n">
        <v>-1957.8</v>
      </c>
      <c r="J84" t="n">
        <v>67.7</v>
      </c>
      <c r="K84" t="n">
        <v>0</v>
      </c>
      <c r="L84" t="n">
        <v>6.9</v>
      </c>
      <c r="M84" t="n">
        <v>0</v>
      </c>
      <c r="N84" t="n">
        <v>74.59999999999999</v>
      </c>
      <c r="O84" t="n">
        <v>114.58</v>
      </c>
      <c r="P84" t="n">
        <v>114.65</v>
      </c>
      <c r="Q84" t="n">
        <v>8.35</v>
      </c>
      <c r="R84" t="n">
        <v>8.18</v>
      </c>
      <c r="S84">
        <f>IF(OR(G84=0,G84=""),"",ABS((G84-IF($C84="LT",Config!$F$2,Config!$F$14))/IF($C84="LT",Config!$G$2,Config!$G$14)))</f>
        <v/>
      </c>
      <c r="T84">
        <f>IF(OR(H84=0,H84=""),"",ABS((H84-IF($C84="LT",Config!$F$3,Config!$F$15))/IF($C84="LT",Config!$G$3,Config!$G$15)))</f>
        <v/>
      </c>
      <c r="U84">
        <f>IF(OR(I84=0,I84=""),"",ABS((I84-IF($C84="LT",Config!$F$4,Config!$F$16))/IF($C84="LT",Config!$G$4,Config!$G$16)))</f>
        <v/>
      </c>
      <c r="V84">
        <f>IF(OR(J84=0,J84=""),"",ABS((J84-IF($C84="LT",Config!$F$5,Config!$F$17))/IF($C84="LT",Config!$G$5,Config!$G$17)))</f>
        <v/>
      </c>
      <c r="W84">
        <f>IF(OR(K84=0,K84=""),"",ABS((K84-IF($C84="LT",Config!$F$6,Config!$F$18))/IF($C84="LT",Config!$G$6,Config!$G$18)))</f>
        <v/>
      </c>
      <c r="X84">
        <f>IF(OR(L84=0,L84=""),"",ABS((L84-IF($C84="LT",Config!$F$7,Config!$F$19))/IF($C84="LT",Config!$G$7,Config!$G$19)))</f>
        <v/>
      </c>
      <c r="Y84">
        <f>IF(OR(M84=0,M84=""),"",ABS((M84-IF($C84="LT",Config!$F$8,Config!$F$20))/IF($C84="LT",Config!$G$8,Config!$G$20)))</f>
        <v/>
      </c>
      <c r="Z84">
        <f>IF(OR(N84=0,N84=""),"",ABS((N84-IF($C84="LT",Config!$F$9,Config!$F$21))/IF($C84="LT",Config!$G$9,Config!$G$21)))</f>
        <v/>
      </c>
      <c r="AA84">
        <f>IF(OR(O84=0,O84=""),"",ABS((O84-IF($C84="LT",Config!$F$10,Config!$F$22))/IF($C84="LT",Config!$G$10,Config!$G$22)))</f>
        <v/>
      </c>
      <c r="AB84">
        <f>IF(OR(P84=0,P84=""),"",ABS((P84-IF($C84="LT",Config!$F$11,Config!$F$23))/IF($C84="LT",Config!$G$11,Config!$G$23)))</f>
        <v/>
      </c>
      <c r="AC84">
        <f>IF(OR(Q84=0,Q84=""),"",ABS((Q84-IF($C84="LT",Config!$F$12,Config!$F$24))/IF($C84="LT",Config!$G$12,Config!$G$24)))</f>
        <v/>
      </c>
      <c r="AD84">
        <f>IF(OR(R84=0,R84=""),"",ABS((R84-IF($C84="LT",Config!$F$13,Config!$F$25))/IF($C84="LT",Config!$G$13,Config!$G$25)))</f>
        <v/>
      </c>
    </row>
    <row r="85">
      <c r="A85" t="inlineStr">
        <is>
          <t>04B2826120715</t>
        </is>
      </c>
      <c r="B85" t="inlineStr">
        <is>
          <t>CRS0000675</t>
        </is>
      </c>
      <c r="C85" t="inlineStr">
        <is>
          <t>LT</t>
        </is>
      </c>
      <c r="D85" t="inlineStr">
        <is>
          <t>ALX440U-DS3B01</t>
        </is>
      </c>
      <c r="E85" s="2" t="n">
        <v>46081</v>
      </c>
      <c r="F85" t="inlineStr">
        <is>
          <t>Pass</t>
        </is>
      </c>
      <c r="G85" t="n">
        <v>151.3</v>
      </c>
      <c r="H85" t="n">
        <v>102.8</v>
      </c>
      <c r="I85" t="n">
        <v>-1957.8</v>
      </c>
      <c r="J85" t="n">
        <v>67.7</v>
      </c>
      <c r="K85" t="n">
        <v>0</v>
      </c>
      <c r="L85" t="n">
        <v>2.8</v>
      </c>
      <c r="M85" t="n">
        <v>0</v>
      </c>
      <c r="N85" t="n">
        <v>70.5</v>
      </c>
      <c r="O85" t="n">
        <v>114.94</v>
      </c>
      <c r="P85" t="n">
        <v>114.58</v>
      </c>
      <c r="Q85" t="n">
        <v>7.86</v>
      </c>
      <c r="R85" t="n">
        <v>8.35</v>
      </c>
      <c r="S85">
        <f>IF(OR(G85=0,G85=""),"",ABS((G85-IF($C85="LT",Config!$F$2,Config!$F$14))/IF($C85="LT",Config!$G$2,Config!$G$14)))</f>
        <v/>
      </c>
      <c r="T85">
        <f>IF(OR(H85=0,H85=""),"",ABS((H85-IF($C85="LT",Config!$F$3,Config!$F$15))/IF($C85="LT",Config!$G$3,Config!$G$15)))</f>
        <v/>
      </c>
      <c r="U85">
        <f>IF(OR(I85=0,I85=""),"",ABS((I85-IF($C85="LT",Config!$F$4,Config!$F$16))/IF($C85="LT",Config!$G$4,Config!$G$16)))</f>
        <v/>
      </c>
      <c r="V85">
        <f>IF(OR(J85=0,J85=""),"",ABS((J85-IF($C85="LT",Config!$F$5,Config!$F$17))/IF($C85="LT",Config!$G$5,Config!$G$17)))</f>
        <v/>
      </c>
      <c r="W85">
        <f>IF(OR(K85=0,K85=""),"",ABS((K85-IF($C85="LT",Config!$F$6,Config!$F$18))/IF($C85="LT",Config!$G$6,Config!$G$18)))</f>
        <v/>
      </c>
      <c r="X85">
        <f>IF(OR(L85=0,L85=""),"",ABS((L85-IF($C85="LT",Config!$F$7,Config!$F$19))/IF($C85="LT",Config!$G$7,Config!$G$19)))</f>
        <v/>
      </c>
      <c r="Y85">
        <f>IF(OR(M85=0,M85=""),"",ABS((M85-IF($C85="LT",Config!$F$8,Config!$F$20))/IF($C85="LT",Config!$G$8,Config!$G$20)))</f>
        <v/>
      </c>
      <c r="Z85">
        <f>IF(OR(N85=0,N85=""),"",ABS((N85-IF($C85="LT",Config!$F$9,Config!$F$21))/IF($C85="LT",Config!$G$9,Config!$G$21)))</f>
        <v/>
      </c>
      <c r="AA85">
        <f>IF(OR(O85=0,O85=""),"",ABS((O85-IF($C85="LT",Config!$F$10,Config!$F$22))/IF($C85="LT",Config!$G$10,Config!$G$22)))</f>
        <v/>
      </c>
      <c r="AB85">
        <f>IF(OR(P85=0,P85=""),"",ABS((P85-IF($C85="LT",Config!$F$11,Config!$F$23))/IF($C85="LT",Config!$G$11,Config!$G$23)))</f>
        <v/>
      </c>
      <c r="AC85">
        <f>IF(OR(Q85=0,Q85=""),"",ABS((Q85-IF($C85="LT",Config!$F$12,Config!$F$24))/IF($C85="LT",Config!$G$12,Config!$G$24)))</f>
        <v/>
      </c>
      <c r="AD85">
        <f>IF(OR(R85=0,R85=""),"",ABS((R85-IF($C85="LT",Config!$F$13,Config!$F$25))/IF($C85="LT",Config!$G$13,Config!$G$25)))</f>
        <v/>
      </c>
    </row>
    <row r="86">
      <c r="A86" t="inlineStr">
        <is>
          <t>04B2826120716</t>
        </is>
      </c>
      <c r="B86" t="inlineStr">
        <is>
          <t>CRS0000675</t>
        </is>
      </c>
      <c r="C86" t="inlineStr">
        <is>
          <t>LT</t>
        </is>
      </c>
      <c r="D86" t="inlineStr">
        <is>
          <t>ALX440U-DS3B01</t>
        </is>
      </c>
      <c r="E86" s="2" t="n">
        <v>46081</v>
      </c>
      <c r="F86" t="inlineStr">
        <is>
          <t>Pass</t>
        </is>
      </c>
      <c r="G86" t="n">
        <v>148.6</v>
      </c>
      <c r="H86" t="n">
        <v>104.1</v>
      </c>
      <c r="I86" t="n">
        <v>-1957.8</v>
      </c>
      <c r="J86" t="n">
        <v>67.3</v>
      </c>
      <c r="K86" t="n">
        <v>0</v>
      </c>
      <c r="L86" t="n">
        <v>3.2</v>
      </c>
      <c r="M86" t="n">
        <v>0</v>
      </c>
      <c r="N86" t="n">
        <v>70.5</v>
      </c>
      <c r="O86" t="n">
        <v>111.42</v>
      </c>
      <c r="P86" t="n">
        <v>112.3</v>
      </c>
      <c r="Q86" t="n">
        <v>8.470000000000001</v>
      </c>
      <c r="R86" t="n">
        <v>8.369999999999999</v>
      </c>
      <c r="S86">
        <f>IF(OR(G86=0,G86=""),"",ABS((G86-IF($C86="LT",Config!$F$2,Config!$F$14))/IF($C86="LT",Config!$G$2,Config!$G$14)))</f>
        <v/>
      </c>
      <c r="T86">
        <f>IF(OR(H86=0,H86=""),"",ABS((H86-IF($C86="LT",Config!$F$3,Config!$F$15))/IF($C86="LT",Config!$G$3,Config!$G$15)))</f>
        <v/>
      </c>
      <c r="U86">
        <f>IF(OR(I86=0,I86=""),"",ABS((I86-IF($C86="LT",Config!$F$4,Config!$F$16))/IF($C86="LT",Config!$G$4,Config!$G$16)))</f>
        <v/>
      </c>
      <c r="V86">
        <f>IF(OR(J86=0,J86=""),"",ABS((J86-IF($C86="LT",Config!$F$5,Config!$F$17))/IF($C86="LT",Config!$G$5,Config!$G$17)))</f>
        <v/>
      </c>
      <c r="W86">
        <f>IF(OR(K86=0,K86=""),"",ABS((K86-IF($C86="LT",Config!$F$6,Config!$F$18))/IF($C86="LT",Config!$G$6,Config!$G$18)))</f>
        <v/>
      </c>
      <c r="X86">
        <f>IF(OR(L86=0,L86=""),"",ABS((L86-IF($C86="LT",Config!$F$7,Config!$F$19))/IF($C86="LT",Config!$G$7,Config!$G$19)))</f>
        <v/>
      </c>
      <c r="Y86">
        <f>IF(OR(M86=0,M86=""),"",ABS((M86-IF($C86="LT",Config!$F$8,Config!$F$20))/IF($C86="LT",Config!$G$8,Config!$G$20)))</f>
        <v/>
      </c>
      <c r="Z86">
        <f>IF(OR(N86=0,N86=""),"",ABS((N86-IF($C86="LT",Config!$F$9,Config!$F$21))/IF($C86="LT",Config!$G$9,Config!$G$21)))</f>
        <v/>
      </c>
      <c r="AA86">
        <f>IF(OR(O86=0,O86=""),"",ABS((O86-IF($C86="LT",Config!$F$10,Config!$F$22))/IF($C86="LT",Config!$G$10,Config!$G$22)))</f>
        <v/>
      </c>
      <c r="AB86">
        <f>IF(OR(P86=0,P86=""),"",ABS((P86-IF($C86="LT",Config!$F$11,Config!$F$23))/IF($C86="LT",Config!$G$11,Config!$G$23)))</f>
        <v/>
      </c>
      <c r="AC86">
        <f>IF(OR(Q86=0,Q86=""),"",ABS((Q86-IF($C86="LT",Config!$F$12,Config!$F$24))/IF($C86="LT",Config!$G$12,Config!$G$24)))</f>
        <v/>
      </c>
      <c r="AD86">
        <f>IF(OR(R86=0,R86=""),"",ABS((R86-IF($C86="LT",Config!$F$13,Config!$F$25))/IF($C86="LT",Config!$G$13,Config!$G$25)))</f>
        <v/>
      </c>
    </row>
    <row r="87">
      <c r="A87" t="inlineStr">
        <is>
          <t>04B2826120717</t>
        </is>
      </c>
      <c r="B87" t="inlineStr">
        <is>
          <t>CRS0000675</t>
        </is>
      </c>
      <c r="C87" t="inlineStr">
        <is>
          <t>LT</t>
        </is>
      </c>
      <c r="D87" t="inlineStr">
        <is>
          <t>ALX440U-DS3B01</t>
        </is>
      </c>
      <c r="E87" s="2" t="n">
        <v>46081</v>
      </c>
      <c r="F87" t="inlineStr">
        <is>
          <t>Fail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>
        <f>IF(OR(G87=0,G87=""),"",ABS((G87-IF($C87="LT",Config!$F$2,Config!$F$14))/IF($C87="LT",Config!$G$2,Config!$G$14)))</f>
        <v/>
      </c>
      <c r="T87">
        <f>IF(OR(H87=0,H87=""),"",ABS((H87-IF($C87="LT",Config!$F$3,Config!$F$15))/IF($C87="LT",Config!$G$3,Config!$G$15)))</f>
        <v/>
      </c>
      <c r="U87">
        <f>IF(OR(I87=0,I87=""),"",ABS((I87-IF($C87="LT",Config!$F$4,Config!$F$16))/IF($C87="LT",Config!$G$4,Config!$G$16)))</f>
        <v/>
      </c>
      <c r="V87">
        <f>IF(OR(J87=0,J87=""),"",ABS((J87-IF($C87="LT",Config!$F$5,Config!$F$17))/IF($C87="LT",Config!$G$5,Config!$G$17)))</f>
        <v/>
      </c>
      <c r="W87">
        <f>IF(OR(K87=0,K87=""),"",ABS((K87-IF($C87="LT",Config!$F$6,Config!$F$18))/IF($C87="LT",Config!$G$6,Config!$G$18)))</f>
        <v/>
      </c>
      <c r="X87">
        <f>IF(OR(L87=0,L87=""),"",ABS((L87-IF($C87="LT",Config!$F$7,Config!$F$19))/IF($C87="LT",Config!$G$7,Config!$G$19)))</f>
        <v/>
      </c>
      <c r="Y87">
        <f>IF(OR(M87=0,M87=""),"",ABS((M87-IF($C87="LT",Config!$F$8,Config!$F$20))/IF($C87="LT",Config!$G$8,Config!$G$20)))</f>
        <v/>
      </c>
      <c r="Z87">
        <f>IF(OR(N87=0,N87=""),"",ABS((N87-IF($C87="LT",Config!$F$9,Config!$F$21))/IF($C87="LT",Config!$G$9,Config!$G$21)))</f>
        <v/>
      </c>
      <c r="AA87">
        <f>IF(OR(O87=0,O87=""),"",ABS((O87-IF($C87="LT",Config!$F$10,Config!$F$22))/IF($C87="LT",Config!$G$10,Config!$G$22)))</f>
        <v/>
      </c>
      <c r="AB87">
        <f>IF(OR(P87=0,P87=""),"",ABS((P87-IF($C87="LT",Config!$F$11,Config!$F$23))/IF($C87="LT",Config!$G$11,Config!$G$23)))</f>
        <v/>
      </c>
      <c r="AC87">
        <f>IF(OR(Q87=0,Q87=""),"",ABS((Q87-IF($C87="LT",Config!$F$12,Config!$F$24))/IF($C87="LT",Config!$G$12,Config!$G$24)))</f>
        <v/>
      </c>
      <c r="AD87">
        <f>IF(OR(R87=0,R87=""),"",ABS((R87-IF($C87="LT",Config!$F$13,Config!$F$25))/IF($C87="LT",Config!$G$13,Config!$G$25)))</f>
        <v/>
      </c>
    </row>
    <row r="88">
      <c r="A88" t="inlineStr">
        <is>
          <t>04B2826120717</t>
        </is>
      </c>
      <c r="B88" t="inlineStr">
        <is>
          <t>CRS0000675</t>
        </is>
      </c>
      <c r="C88" t="inlineStr">
        <is>
          <t>LT</t>
        </is>
      </c>
      <c r="D88" t="inlineStr">
        <is>
          <t>ALX440U-DS3B01</t>
        </is>
      </c>
      <c r="E88" s="2" t="n">
        <v>46081</v>
      </c>
      <c r="F88" t="inlineStr">
        <is>
          <t>Pass</t>
        </is>
      </c>
      <c r="G88" t="n">
        <v>145.5</v>
      </c>
      <c r="H88" t="n">
        <v>99.2</v>
      </c>
      <c r="I88" t="n">
        <v>-1957.8</v>
      </c>
      <c r="J88" t="n">
        <v>67.3</v>
      </c>
      <c r="K88" t="n">
        <v>0</v>
      </c>
      <c r="L88" t="n">
        <v>0.6</v>
      </c>
      <c r="M88" t="n">
        <v>0</v>
      </c>
      <c r="N88" t="n">
        <v>67.90000000000001</v>
      </c>
      <c r="O88" t="n">
        <v>111.2</v>
      </c>
      <c r="P88" t="n">
        <v>117.95</v>
      </c>
      <c r="Q88" t="n">
        <v>8.199999999999999</v>
      </c>
      <c r="R88" t="n">
        <v>7.71</v>
      </c>
      <c r="S88">
        <f>IF(OR(G88=0,G88=""),"",ABS((G88-IF($C88="LT",Config!$F$2,Config!$F$14))/IF($C88="LT",Config!$G$2,Config!$G$14)))</f>
        <v/>
      </c>
      <c r="T88">
        <f>IF(OR(H88=0,H88=""),"",ABS((H88-IF($C88="LT",Config!$F$3,Config!$F$15))/IF($C88="LT",Config!$G$3,Config!$G$15)))</f>
        <v/>
      </c>
      <c r="U88">
        <f>IF(OR(I88=0,I88=""),"",ABS((I88-IF($C88="LT",Config!$F$4,Config!$F$16))/IF($C88="LT",Config!$G$4,Config!$G$16)))</f>
        <v/>
      </c>
      <c r="V88">
        <f>IF(OR(J88=0,J88=""),"",ABS((J88-IF($C88="LT",Config!$F$5,Config!$F$17))/IF($C88="LT",Config!$G$5,Config!$G$17)))</f>
        <v/>
      </c>
      <c r="W88">
        <f>IF(OR(K88=0,K88=""),"",ABS((K88-IF($C88="LT",Config!$F$6,Config!$F$18))/IF($C88="LT",Config!$G$6,Config!$G$18)))</f>
        <v/>
      </c>
      <c r="X88">
        <f>IF(OR(L88=0,L88=""),"",ABS((L88-IF($C88="LT",Config!$F$7,Config!$F$19))/IF($C88="LT",Config!$G$7,Config!$G$19)))</f>
        <v/>
      </c>
      <c r="Y88">
        <f>IF(OR(M88=0,M88=""),"",ABS((M88-IF($C88="LT",Config!$F$8,Config!$F$20))/IF($C88="LT",Config!$G$8,Config!$G$20)))</f>
        <v/>
      </c>
      <c r="Z88">
        <f>IF(OR(N88=0,N88=""),"",ABS((N88-IF($C88="LT",Config!$F$9,Config!$F$21))/IF($C88="LT",Config!$G$9,Config!$G$21)))</f>
        <v/>
      </c>
      <c r="AA88">
        <f>IF(OR(O88=0,O88=""),"",ABS((O88-IF($C88="LT",Config!$F$10,Config!$F$22))/IF($C88="LT",Config!$G$10,Config!$G$22)))</f>
        <v/>
      </c>
      <c r="AB88">
        <f>IF(OR(P88=0,P88=""),"",ABS((P88-IF($C88="LT",Config!$F$11,Config!$F$23))/IF($C88="LT",Config!$G$11,Config!$G$23)))</f>
        <v/>
      </c>
      <c r="AC88">
        <f>IF(OR(Q88=0,Q88=""),"",ABS((Q88-IF($C88="LT",Config!$F$12,Config!$F$24))/IF($C88="LT",Config!$G$12,Config!$G$24)))</f>
        <v/>
      </c>
      <c r="AD88">
        <f>IF(OR(R88=0,R88=""),"",ABS((R88-IF($C88="LT",Config!$F$13,Config!$F$25))/IF($C88="LT",Config!$G$13,Config!$G$25)))</f>
        <v/>
      </c>
    </row>
    <row r="89">
      <c r="A89" t="inlineStr">
        <is>
          <t>04B2826120719</t>
        </is>
      </c>
      <c r="B89" t="inlineStr">
        <is>
          <t>CRS0000675</t>
        </is>
      </c>
      <c r="C89" t="inlineStr">
        <is>
          <t>LT</t>
        </is>
      </c>
      <c r="D89" t="inlineStr">
        <is>
          <t>ALX440U-DS3B01</t>
        </is>
      </c>
      <c r="E89" s="2" t="n">
        <v>46081</v>
      </c>
      <c r="F89" t="inlineStr">
        <is>
          <t>Pass</t>
        </is>
      </c>
      <c r="G89" t="n">
        <v>158</v>
      </c>
      <c r="H89" t="n">
        <v>101</v>
      </c>
      <c r="I89" t="n">
        <v>-1957.8</v>
      </c>
      <c r="J89" t="n">
        <v>67.3</v>
      </c>
      <c r="K89" t="n">
        <v>0</v>
      </c>
      <c r="L89" t="n">
        <v>3.4</v>
      </c>
      <c r="M89" t="n">
        <v>0</v>
      </c>
      <c r="N89" t="n">
        <v>70.7</v>
      </c>
      <c r="O89" t="n">
        <v>114.72</v>
      </c>
      <c r="P89" t="n">
        <v>114.72</v>
      </c>
      <c r="Q89" t="n">
        <v>7.79</v>
      </c>
      <c r="R89" t="n">
        <v>7.74</v>
      </c>
      <c r="S89">
        <f>IF(OR(G89=0,G89=""),"",ABS((G89-IF($C89="LT",Config!$F$2,Config!$F$14))/IF($C89="LT",Config!$G$2,Config!$G$14)))</f>
        <v/>
      </c>
      <c r="T89">
        <f>IF(OR(H89=0,H89=""),"",ABS((H89-IF($C89="LT",Config!$F$3,Config!$F$15))/IF($C89="LT",Config!$G$3,Config!$G$15)))</f>
        <v/>
      </c>
      <c r="U89">
        <f>IF(OR(I89=0,I89=""),"",ABS((I89-IF($C89="LT",Config!$F$4,Config!$F$16))/IF($C89="LT",Config!$G$4,Config!$G$16)))</f>
        <v/>
      </c>
      <c r="V89">
        <f>IF(OR(J89=0,J89=""),"",ABS((J89-IF($C89="LT",Config!$F$5,Config!$F$17))/IF($C89="LT",Config!$G$5,Config!$G$17)))</f>
        <v/>
      </c>
      <c r="W89">
        <f>IF(OR(K89=0,K89=""),"",ABS((K89-IF($C89="LT",Config!$F$6,Config!$F$18))/IF($C89="LT",Config!$G$6,Config!$G$18)))</f>
        <v/>
      </c>
      <c r="X89">
        <f>IF(OR(L89=0,L89=""),"",ABS((L89-IF($C89="LT",Config!$F$7,Config!$F$19))/IF($C89="LT",Config!$G$7,Config!$G$19)))</f>
        <v/>
      </c>
      <c r="Y89">
        <f>IF(OR(M89=0,M89=""),"",ABS((M89-IF($C89="LT",Config!$F$8,Config!$F$20))/IF($C89="LT",Config!$G$8,Config!$G$20)))</f>
        <v/>
      </c>
      <c r="Z89">
        <f>IF(OR(N89=0,N89=""),"",ABS((N89-IF($C89="LT",Config!$F$9,Config!$F$21))/IF($C89="LT",Config!$G$9,Config!$G$21)))</f>
        <v/>
      </c>
      <c r="AA89">
        <f>IF(OR(O89=0,O89=""),"",ABS((O89-IF($C89="LT",Config!$F$10,Config!$F$22))/IF($C89="LT",Config!$G$10,Config!$G$22)))</f>
        <v/>
      </c>
      <c r="AB89">
        <f>IF(OR(P89=0,P89=""),"",ABS((P89-IF($C89="LT",Config!$F$11,Config!$F$23))/IF($C89="LT",Config!$G$11,Config!$G$23)))</f>
        <v/>
      </c>
      <c r="AC89">
        <f>IF(OR(Q89=0,Q89=""),"",ABS((Q89-IF($C89="LT",Config!$F$12,Config!$F$24))/IF($C89="LT",Config!$G$12,Config!$G$24)))</f>
        <v/>
      </c>
      <c r="AD89">
        <f>IF(OR(R89=0,R89=""),"",ABS((R89-IF($C89="LT",Config!$F$13,Config!$F$25))/IF($C89="LT",Config!$G$13,Config!$G$25)))</f>
        <v/>
      </c>
    </row>
    <row r="90">
      <c r="A90" t="inlineStr">
        <is>
          <t>04B2826120720</t>
        </is>
      </c>
      <c r="B90" t="inlineStr">
        <is>
          <t>CRS0000675</t>
        </is>
      </c>
      <c r="C90" t="inlineStr">
        <is>
          <t>LT</t>
        </is>
      </c>
      <c r="D90" t="inlineStr">
        <is>
          <t>ALX440U-DS3B01</t>
        </is>
      </c>
      <c r="E90" s="2" t="n">
        <v>46081</v>
      </c>
      <c r="F90" t="inlineStr">
        <is>
          <t>Pass</t>
        </is>
      </c>
      <c r="G90" t="n">
        <v>149.9</v>
      </c>
      <c r="H90" t="n">
        <v>93.3</v>
      </c>
      <c r="I90" t="n">
        <v>-1957.8</v>
      </c>
      <c r="J90" t="n">
        <v>67.3</v>
      </c>
      <c r="K90" t="n">
        <v>0</v>
      </c>
      <c r="L90" t="n">
        <v>2</v>
      </c>
      <c r="M90" t="n">
        <v>0</v>
      </c>
      <c r="N90" t="n">
        <v>69.3</v>
      </c>
      <c r="O90" t="n">
        <v>111.57</v>
      </c>
      <c r="P90" t="n">
        <v>113.26</v>
      </c>
      <c r="Q90" t="n">
        <v>8.449999999999999</v>
      </c>
      <c r="R90" t="n">
        <v>8.01</v>
      </c>
      <c r="S90">
        <f>IF(OR(G90=0,G90=""),"",ABS((G90-IF($C90="LT",Config!$F$2,Config!$F$14))/IF($C90="LT",Config!$G$2,Config!$G$14)))</f>
        <v/>
      </c>
      <c r="T90">
        <f>IF(OR(H90=0,H90=""),"",ABS((H90-IF($C90="LT",Config!$F$3,Config!$F$15))/IF($C90="LT",Config!$G$3,Config!$G$15)))</f>
        <v/>
      </c>
      <c r="U90">
        <f>IF(OR(I90=0,I90=""),"",ABS((I90-IF($C90="LT",Config!$F$4,Config!$F$16))/IF($C90="LT",Config!$G$4,Config!$G$16)))</f>
        <v/>
      </c>
      <c r="V90">
        <f>IF(OR(J90=0,J90=""),"",ABS((J90-IF($C90="LT",Config!$F$5,Config!$F$17))/IF($C90="LT",Config!$G$5,Config!$G$17)))</f>
        <v/>
      </c>
      <c r="W90">
        <f>IF(OR(K90=0,K90=""),"",ABS((K90-IF($C90="LT",Config!$F$6,Config!$F$18))/IF($C90="LT",Config!$G$6,Config!$G$18)))</f>
        <v/>
      </c>
      <c r="X90">
        <f>IF(OR(L90=0,L90=""),"",ABS((L90-IF($C90="LT",Config!$F$7,Config!$F$19))/IF($C90="LT",Config!$G$7,Config!$G$19)))</f>
        <v/>
      </c>
      <c r="Y90">
        <f>IF(OR(M90=0,M90=""),"",ABS((M90-IF($C90="LT",Config!$F$8,Config!$F$20))/IF($C90="LT",Config!$G$8,Config!$G$20)))</f>
        <v/>
      </c>
      <c r="Z90">
        <f>IF(OR(N90=0,N90=""),"",ABS((N90-IF($C90="LT",Config!$F$9,Config!$F$21))/IF($C90="LT",Config!$G$9,Config!$G$21)))</f>
        <v/>
      </c>
      <c r="AA90">
        <f>IF(OR(O90=0,O90=""),"",ABS((O90-IF($C90="LT",Config!$F$10,Config!$F$22))/IF($C90="LT",Config!$G$10,Config!$G$22)))</f>
        <v/>
      </c>
      <c r="AB90">
        <f>IF(OR(P90=0,P90=""),"",ABS((P90-IF($C90="LT",Config!$F$11,Config!$F$23))/IF($C90="LT",Config!$G$11,Config!$G$23)))</f>
        <v/>
      </c>
      <c r="AC90">
        <f>IF(OR(Q90=0,Q90=""),"",ABS((Q90-IF($C90="LT",Config!$F$12,Config!$F$24))/IF($C90="LT",Config!$G$12,Config!$G$24)))</f>
        <v/>
      </c>
      <c r="AD90">
        <f>IF(OR(R90=0,R90=""),"",ABS((R90-IF($C90="LT",Config!$F$13,Config!$F$25))/IF($C90="LT",Config!$G$13,Config!$G$25)))</f>
        <v/>
      </c>
    </row>
    <row r="91">
      <c r="A91" t="inlineStr">
        <is>
          <t>04B2726120709</t>
        </is>
      </c>
      <c r="B91" t="inlineStr">
        <is>
          <t>CRS0000674</t>
        </is>
      </c>
      <c r="C91" t="inlineStr">
        <is>
          <t>MT</t>
        </is>
      </c>
      <c r="D91" t="inlineStr">
        <is>
          <t>TCX413U-DS1B01</t>
        </is>
      </c>
      <c r="E91" s="2" t="n">
        <v>46081</v>
      </c>
      <c r="F91" t="inlineStr">
        <is>
          <t>Pass</t>
        </is>
      </c>
      <c r="G91" t="n">
        <v>125.8</v>
      </c>
      <c r="H91" t="n">
        <v>82.90000000000001</v>
      </c>
      <c r="I91" t="n">
        <v>-1957.8</v>
      </c>
      <c r="J91" t="n">
        <v>67.3</v>
      </c>
      <c r="K91" t="n">
        <v>0</v>
      </c>
      <c r="L91" t="n">
        <v>1.2</v>
      </c>
      <c r="M91" t="n">
        <v>0</v>
      </c>
      <c r="N91" t="n">
        <v>68.5</v>
      </c>
      <c r="O91" t="n">
        <v>115.16</v>
      </c>
      <c r="P91" t="n">
        <v>115.16</v>
      </c>
      <c r="Q91" t="n">
        <v>3.64</v>
      </c>
      <c r="R91" t="n">
        <v>3.76</v>
      </c>
      <c r="S91">
        <f>IF(OR(G91=0,G91=""),"",ABS((G91-IF($C91="LT",Config!$F$2,Config!$F$14))/IF($C91="LT",Config!$G$2,Config!$G$14)))</f>
        <v/>
      </c>
      <c r="T91">
        <f>IF(OR(H91=0,H91=""),"",ABS((H91-IF($C91="LT",Config!$F$3,Config!$F$15))/IF($C91="LT",Config!$G$3,Config!$G$15)))</f>
        <v/>
      </c>
      <c r="U91">
        <f>IF(OR(I91=0,I91=""),"",ABS((I91-IF($C91="LT",Config!$F$4,Config!$F$16))/IF($C91="LT",Config!$G$4,Config!$G$16)))</f>
        <v/>
      </c>
      <c r="V91">
        <f>IF(OR(J91=0,J91=""),"",ABS((J91-IF($C91="LT",Config!$F$5,Config!$F$17))/IF($C91="LT",Config!$G$5,Config!$G$17)))</f>
        <v/>
      </c>
      <c r="W91">
        <f>IF(OR(K91=0,K91=""),"",ABS((K91-IF($C91="LT",Config!$F$6,Config!$F$18))/IF($C91="LT",Config!$G$6,Config!$G$18)))</f>
        <v/>
      </c>
      <c r="X91">
        <f>IF(OR(L91=0,L91=""),"",ABS((L91-IF($C91="LT",Config!$F$7,Config!$F$19))/IF($C91="LT",Config!$G$7,Config!$G$19)))</f>
        <v/>
      </c>
      <c r="Y91">
        <f>IF(OR(M91=0,M91=""),"",ABS((M91-IF($C91="LT",Config!$F$8,Config!$F$20))/IF($C91="LT",Config!$G$8,Config!$G$20)))</f>
        <v/>
      </c>
      <c r="Z91">
        <f>IF(OR(N91=0,N91=""),"",ABS((N91-IF($C91="LT",Config!$F$9,Config!$F$21))/IF($C91="LT",Config!$G$9,Config!$G$21)))</f>
        <v/>
      </c>
      <c r="AA91">
        <f>IF(OR(O91=0,O91=""),"",ABS((O91-IF($C91="LT",Config!$F$10,Config!$F$22))/IF($C91="LT",Config!$G$10,Config!$G$22)))</f>
        <v/>
      </c>
      <c r="AB91">
        <f>IF(OR(P91=0,P91=""),"",ABS((P91-IF($C91="LT",Config!$F$11,Config!$F$23))/IF($C91="LT",Config!$G$11,Config!$G$23)))</f>
        <v/>
      </c>
      <c r="AC91">
        <f>IF(OR(Q91=0,Q91=""),"",ABS((Q91-IF($C91="LT",Config!$F$12,Config!$F$24))/IF($C91="LT",Config!$G$12,Config!$G$24)))</f>
        <v/>
      </c>
      <c r="AD91">
        <f>IF(OR(R91=0,R91=""),"",ABS((R91-IF($C91="LT",Config!$F$13,Config!$F$25))/IF($C91="LT",Config!$G$13,Config!$G$25)))</f>
        <v/>
      </c>
    </row>
    <row r="92">
      <c r="A92" t="inlineStr">
        <is>
          <t>04B2826120722</t>
        </is>
      </c>
      <c r="B92" t="inlineStr">
        <is>
          <t>CRS0000675</t>
        </is>
      </c>
      <c r="C92" t="inlineStr">
        <is>
          <t>LT</t>
        </is>
      </c>
      <c r="D92" t="inlineStr">
        <is>
          <t>ALX440U-DS3B01</t>
        </is>
      </c>
      <c r="E92" s="2" t="n">
        <v>46082</v>
      </c>
      <c r="F92" t="inlineStr">
        <is>
          <t>Pass</t>
        </is>
      </c>
      <c r="G92" t="n">
        <v>147.2</v>
      </c>
      <c r="H92" t="n">
        <v>104.1</v>
      </c>
      <c r="I92" t="n">
        <v>-1957.8</v>
      </c>
      <c r="J92" t="n">
        <v>67.7</v>
      </c>
      <c r="K92" t="n">
        <v>0</v>
      </c>
      <c r="L92" t="n">
        <v>6.3</v>
      </c>
      <c r="M92" t="n">
        <v>0</v>
      </c>
      <c r="N92" t="n">
        <v>74</v>
      </c>
      <c r="O92" t="n">
        <v>111.57</v>
      </c>
      <c r="P92" t="n">
        <v>113.18</v>
      </c>
      <c r="Q92" t="n">
        <v>8.640000000000001</v>
      </c>
      <c r="R92" t="n">
        <v>8.42</v>
      </c>
      <c r="S92">
        <f>IF(OR(G92=0,G92=""),"",ABS((G92-IF($C92="LT",Config!$F$2,Config!$F$14))/IF($C92="LT",Config!$G$2,Config!$G$14)))</f>
        <v/>
      </c>
      <c r="T92">
        <f>IF(OR(H92=0,H92=""),"",ABS((H92-IF($C92="LT",Config!$F$3,Config!$F$15))/IF($C92="LT",Config!$G$3,Config!$G$15)))</f>
        <v/>
      </c>
      <c r="U92">
        <f>IF(OR(I92=0,I92=""),"",ABS((I92-IF($C92="LT",Config!$F$4,Config!$F$16))/IF($C92="LT",Config!$G$4,Config!$G$16)))</f>
        <v/>
      </c>
      <c r="V92">
        <f>IF(OR(J92=0,J92=""),"",ABS((J92-IF($C92="LT",Config!$F$5,Config!$F$17))/IF($C92="LT",Config!$G$5,Config!$G$17)))</f>
        <v/>
      </c>
      <c r="W92">
        <f>IF(OR(K92=0,K92=""),"",ABS((K92-IF($C92="LT",Config!$F$6,Config!$F$18))/IF($C92="LT",Config!$G$6,Config!$G$18)))</f>
        <v/>
      </c>
      <c r="X92">
        <f>IF(OR(L92=0,L92=""),"",ABS((L92-IF($C92="LT",Config!$F$7,Config!$F$19))/IF($C92="LT",Config!$G$7,Config!$G$19)))</f>
        <v/>
      </c>
      <c r="Y92">
        <f>IF(OR(M92=0,M92=""),"",ABS((M92-IF($C92="LT",Config!$F$8,Config!$F$20))/IF($C92="LT",Config!$G$8,Config!$G$20)))</f>
        <v/>
      </c>
      <c r="Z92">
        <f>IF(OR(N92=0,N92=""),"",ABS((N92-IF($C92="LT",Config!$F$9,Config!$F$21))/IF($C92="LT",Config!$G$9,Config!$G$21)))</f>
        <v/>
      </c>
      <c r="AA92">
        <f>IF(OR(O92=0,O92=""),"",ABS((O92-IF($C92="LT",Config!$F$10,Config!$F$22))/IF($C92="LT",Config!$G$10,Config!$G$22)))</f>
        <v/>
      </c>
      <c r="AB92">
        <f>IF(OR(P92=0,P92=""),"",ABS((P92-IF($C92="LT",Config!$F$11,Config!$F$23))/IF($C92="LT",Config!$G$11,Config!$G$23)))</f>
        <v/>
      </c>
      <c r="AC92">
        <f>IF(OR(Q92=0,Q92=""),"",ABS((Q92-IF($C92="LT",Config!$F$12,Config!$F$24))/IF($C92="LT",Config!$G$12,Config!$G$24)))</f>
        <v/>
      </c>
      <c r="AD92">
        <f>IF(OR(R92=0,R92=""),"",ABS((R92-IF($C92="LT",Config!$F$13,Config!$F$25))/IF($C92="LT",Config!$G$13,Config!$G$25)))</f>
        <v/>
      </c>
    </row>
    <row r="93">
      <c r="A93" t="inlineStr">
        <is>
          <t>04B2826120723</t>
        </is>
      </c>
      <c r="B93" t="inlineStr">
        <is>
          <t>CRS0000675</t>
        </is>
      </c>
      <c r="C93" t="inlineStr">
        <is>
          <t>LT</t>
        </is>
      </c>
      <c r="D93" t="inlineStr">
        <is>
          <t>ALX440U-DS3B01</t>
        </is>
      </c>
      <c r="E93" s="2" t="n">
        <v>46082</v>
      </c>
      <c r="F93" t="inlineStr">
        <is>
          <t>Pass</t>
        </is>
      </c>
      <c r="G93" t="n">
        <v>151.3</v>
      </c>
      <c r="H93" t="n">
        <v>97.3</v>
      </c>
      <c r="I93" t="n">
        <v>-1957.8</v>
      </c>
      <c r="J93" t="n">
        <v>67.3</v>
      </c>
      <c r="K93" t="n">
        <v>0</v>
      </c>
      <c r="L93" t="n">
        <v>3.1</v>
      </c>
      <c r="M93" t="n">
        <v>0</v>
      </c>
      <c r="N93" t="n">
        <v>70.40000000000001</v>
      </c>
      <c r="O93" t="n">
        <v>111.57</v>
      </c>
      <c r="P93" t="n">
        <v>113.33</v>
      </c>
      <c r="Q93" t="n">
        <v>8.789999999999999</v>
      </c>
      <c r="R93" t="n">
        <v>8.35</v>
      </c>
      <c r="S93">
        <f>IF(OR(G93=0,G93=""),"",ABS((G93-IF($C93="LT",Config!$F$2,Config!$F$14))/IF($C93="LT",Config!$G$2,Config!$G$14)))</f>
        <v/>
      </c>
      <c r="T93">
        <f>IF(OR(H93=0,H93=""),"",ABS((H93-IF($C93="LT",Config!$F$3,Config!$F$15))/IF($C93="LT",Config!$G$3,Config!$G$15)))</f>
        <v/>
      </c>
      <c r="U93">
        <f>IF(OR(I93=0,I93=""),"",ABS((I93-IF($C93="LT",Config!$F$4,Config!$F$16))/IF($C93="LT",Config!$G$4,Config!$G$16)))</f>
        <v/>
      </c>
      <c r="V93">
        <f>IF(OR(J93=0,J93=""),"",ABS((J93-IF($C93="LT",Config!$F$5,Config!$F$17))/IF($C93="LT",Config!$G$5,Config!$G$17)))</f>
        <v/>
      </c>
      <c r="W93">
        <f>IF(OR(K93=0,K93=""),"",ABS((K93-IF($C93="LT",Config!$F$6,Config!$F$18))/IF($C93="LT",Config!$G$6,Config!$G$18)))</f>
        <v/>
      </c>
      <c r="X93">
        <f>IF(OR(L93=0,L93=""),"",ABS((L93-IF($C93="LT",Config!$F$7,Config!$F$19))/IF($C93="LT",Config!$G$7,Config!$G$19)))</f>
        <v/>
      </c>
      <c r="Y93">
        <f>IF(OR(M93=0,M93=""),"",ABS((M93-IF($C93="LT",Config!$F$8,Config!$F$20))/IF($C93="LT",Config!$G$8,Config!$G$20)))</f>
        <v/>
      </c>
      <c r="Z93">
        <f>IF(OR(N93=0,N93=""),"",ABS((N93-IF($C93="LT",Config!$F$9,Config!$F$21))/IF($C93="LT",Config!$G$9,Config!$G$21)))</f>
        <v/>
      </c>
      <c r="AA93">
        <f>IF(OR(O93=0,O93=""),"",ABS((O93-IF($C93="LT",Config!$F$10,Config!$F$22))/IF($C93="LT",Config!$G$10,Config!$G$22)))</f>
        <v/>
      </c>
      <c r="AB93">
        <f>IF(OR(P93=0,P93=""),"",ABS((P93-IF($C93="LT",Config!$F$11,Config!$F$23))/IF($C93="LT",Config!$G$11,Config!$G$23)))</f>
        <v/>
      </c>
      <c r="AC93">
        <f>IF(OR(Q93=0,Q93=""),"",ABS((Q93-IF($C93="LT",Config!$F$12,Config!$F$24))/IF($C93="LT",Config!$G$12,Config!$G$24)))</f>
        <v/>
      </c>
      <c r="AD93">
        <f>IF(OR(R93=0,R93=""),"",ABS((R93-IF($C93="LT",Config!$F$13,Config!$F$25))/IF($C93="LT",Config!$G$13,Config!$G$25)))</f>
        <v/>
      </c>
    </row>
    <row r="94">
      <c r="A94" t="inlineStr">
        <is>
          <t>04B2826120724</t>
        </is>
      </c>
      <c r="B94" t="inlineStr">
        <is>
          <t>CRS0000675</t>
        </is>
      </c>
      <c r="C94" t="inlineStr">
        <is>
          <t>LT</t>
        </is>
      </c>
      <c r="D94" t="inlineStr">
        <is>
          <t>ALX440U-DS3B01</t>
        </is>
      </c>
      <c r="E94" s="2" t="n">
        <v>46082</v>
      </c>
      <c r="F94" t="inlineStr">
        <is>
          <t>Fail</t>
        </is>
      </c>
      <c r="G94" t="n">
        <v>127.1</v>
      </c>
      <c r="H94" t="n">
        <v>103.2</v>
      </c>
      <c r="I94" t="n">
        <v>-1957.8</v>
      </c>
      <c r="J94" t="n">
        <v>67.7</v>
      </c>
      <c r="K94" t="n">
        <v>0</v>
      </c>
      <c r="L94" t="n">
        <v>6</v>
      </c>
      <c r="M94" t="n">
        <v>0</v>
      </c>
      <c r="N94" t="n">
        <v>73.7</v>
      </c>
      <c r="O94" t="n">
        <v>114.36</v>
      </c>
      <c r="P94" t="n">
        <v>117.58</v>
      </c>
      <c r="Q94" t="n">
        <v>8.4</v>
      </c>
      <c r="R94" t="n">
        <v>8.01</v>
      </c>
      <c r="S94">
        <f>IF(OR(G94=0,G94=""),"",ABS((G94-IF($C94="LT",Config!$F$2,Config!$F$14))/IF($C94="LT",Config!$G$2,Config!$G$14)))</f>
        <v/>
      </c>
      <c r="T94">
        <f>IF(OR(H94=0,H94=""),"",ABS((H94-IF($C94="LT",Config!$F$3,Config!$F$15))/IF($C94="LT",Config!$G$3,Config!$G$15)))</f>
        <v/>
      </c>
      <c r="U94">
        <f>IF(OR(I94=0,I94=""),"",ABS((I94-IF($C94="LT",Config!$F$4,Config!$F$16))/IF($C94="LT",Config!$G$4,Config!$G$16)))</f>
        <v/>
      </c>
      <c r="V94">
        <f>IF(OR(J94=0,J94=""),"",ABS((J94-IF($C94="LT",Config!$F$5,Config!$F$17))/IF($C94="LT",Config!$G$5,Config!$G$17)))</f>
        <v/>
      </c>
      <c r="W94">
        <f>IF(OR(K94=0,K94=""),"",ABS((K94-IF($C94="LT",Config!$F$6,Config!$F$18))/IF($C94="LT",Config!$G$6,Config!$G$18)))</f>
        <v/>
      </c>
      <c r="X94">
        <f>IF(OR(L94=0,L94=""),"",ABS((L94-IF($C94="LT",Config!$F$7,Config!$F$19))/IF($C94="LT",Config!$G$7,Config!$G$19)))</f>
        <v/>
      </c>
      <c r="Y94">
        <f>IF(OR(M94=0,M94=""),"",ABS((M94-IF($C94="LT",Config!$F$8,Config!$F$20))/IF($C94="LT",Config!$G$8,Config!$G$20)))</f>
        <v/>
      </c>
      <c r="Z94">
        <f>IF(OR(N94=0,N94=""),"",ABS((N94-IF($C94="LT",Config!$F$9,Config!$F$21))/IF($C94="LT",Config!$G$9,Config!$G$21)))</f>
        <v/>
      </c>
      <c r="AA94">
        <f>IF(OR(O94=0,O94=""),"",ABS((O94-IF($C94="LT",Config!$F$10,Config!$F$22))/IF($C94="LT",Config!$G$10,Config!$G$22)))</f>
        <v/>
      </c>
      <c r="AB94">
        <f>IF(OR(P94=0,P94=""),"",ABS((P94-IF($C94="LT",Config!$F$11,Config!$F$23))/IF($C94="LT",Config!$G$11,Config!$G$23)))</f>
        <v/>
      </c>
      <c r="AC94">
        <f>IF(OR(Q94=0,Q94=""),"",ABS((Q94-IF($C94="LT",Config!$F$12,Config!$F$24))/IF($C94="LT",Config!$G$12,Config!$G$24)))</f>
        <v/>
      </c>
      <c r="AD94">
        <f>IF(OR(R94=0,R94=""),"",ABS((R94-IF($C94="LT",Config!$F$13,Config!$F$25))/IF($C94="LT",Config!$G$13,Config!$G$25)))</f>
        <v/>
      </c>
    </row>
    <row r="95">
      <c r="A95" t="inlineStr">
        <is>
          <t>04B2826120724</t>
        </is>
      </c>
      <c r="B95" t="inlineStr">
        <is>
          <t>CRS0000675</t>
        </is>
      </c>
      <c r="C95" t="inlineStr">
        <is>
          <t>LT</t>
        </is>
      </c>
      <c r="D95" t="inlineStr">
        <is>
          <t>ALX440U-DS3B01</t>
        </is>
      </c>
      <c r="E95" s="2" t="n">
        <v>46082</v>
      </c>
      <c r="F95" t="inlineStr">
        <is>
          <t>Pass</t>
        </is>
      </c>
      <c r="G95" t="n">
        <v>145.5</v>
      </c>
      <c r="H95" t="n">
        <v>98.3</v>
      </c>
      <c r="I95" t="n">
        <v>-1957.8</v>
      </c>
      <c r="J95" t="n">
        <v>67.7</v>
      </c>
      <c r="K95" t="n">
        <v>0</v>
      </c>
      <c r="L95" t="n">
        <v>4.6</v>
      </c>
      <c r="M95" t="n">
        <v>0</v>
      </c>
      <c r="N95" t="n">
        <v>72.3</v>
      </c>
      <c r="O95" t="n">
        <v>114.72</v>
      </c>
      <c r="P95" t="n">
        <v>114.65</v>
      </c>
      <c r="Q95" t="n">
        <v>7.76</v>
      </c>
      <c r="R95" t="n">
        <v>7.91</v>
      </c>
      <c r="S95">
        <f>IF(OR(G95=0,G95=""),"",ABS((G95-IF($C95="LT",Config!$F$2,Config!$F$14))/IF($C95="LT",Config!$G$2,Config!$G$14)))</f>
        <v/>
      </c>
      <c r="T95">
        <f>IF(OR(H95=0,H95=""),"",ABS((H95-IF($C95="LT",Config!$F$3,Config!$F$15))/IF($C95="LT",Config!$G$3,Config!$G$15)))</f>
        <v/>
      </c>
      <c r="U95">
        <f>IF(OR(I95=0,I95=""),"",ABS((I95-IF($C95="LT",Config!$F$4,Config!$F$16))/IF($C95="LT",Config!$G$4,Config!$G$16)))</f>
        <v/>
      </c>
      <c r="V95">
        <f>IF(OR(J95=0,J95=""),"",ABS((J95-IF($C95="LT",Config!$F$5,Config!$F$17))/IF($C95="LT",Config!$G$5,Config!$G$17)))</f>
        <v/>
      </c>
      <c r="W95">
        <f>IF(OR(K95=0,K95=""),"",ABS((K95-IF($C95="LT",Config!$F$6,Config!$F$18))/IF($C95="LT",Config!$G$6,Config!$G$18)))</f>
        <v/>
      </c>
      <c r="X95">
        <f>IF(OR(L95=0,L95=""),"",ABS((L95-IF($C95="LT",Config!$F$7,Config!$F$19))/IF($C95="LT",Config!$G$7,Config!$G$19)))</f>
        <v/>
      </c>
      <c r="Y95">
        <f>IF(OR(M95=0,M95=""),"",ABS((M95-IF($C95="LT",Config!$F$8,Config!$F$20))/IF($C95="LT",Config!$G$8,Config!$G$20)))</f>
        <v/>
      </c>
      <c r="Z95">
        <f>IF(OR(N95=0,N95=""),"",ABS((N95-IF($C95="LT",Config!$F$9,Config!$F$21))/IF($C95="LT",Config!$G$9,Config!$G$21)))</f>
        <v/>
      </c>
      <c r="AA95">
        <f>IF(OR(O95=0,O95=""),"",ABS((O95-IF($C95="LT",Config!$F$10,Config!$F$22))/IF($C95="LT",Config!$G$10,Config!$G$22)))</f>
        <v/>
      </c>
      <c r="AB95">
        <f>IF(OR(P95=0,P95=""),"",ABS((P95-IF($C95="LT",Config!$F$11,Config!$F$23))/IF($C95="LT",Config!$G$11,Config!$G$23)))</f>
        <v/>
      </c>
      <c r="AC95">
        <f>IF(OR(Q95=0,Q95=""),"",ABS((Q95-IF($C95="LT",Config!$F$12,Config!$F$24))/IF($C95="LT",Config!$G$12,Config!$G$24)))</f>
        <v/>
      </c>
      <c r="AD95">
        <f>IF(OR(R95=0,R95=""),"",ABS((R95-IF($C95="LT",Config!$F$13,Config!$F$25))/IF($C95="LT",Config!$G$13,Config!$G$25)))</f>
        <v/>
      </c>
    </row>
    <row r="96">
      <c r="A96" t="inlineStr">
        <is>
          <t>04B2826120718</t>
        </is>
      </c>
      <c r="B96" t="inlineStr">
        <is>
          <t>CRS0000675</t>
        </is>
      </c>
      <c r="C96" t="inlineStr">
        <is>
          <t>LT</t>
        </is>
      </c>
      <c r="D96" t="inlineStr">
        <is>
          <t>ALX440U-DS3B01</t>
        </is>
      </c>
      <c r="E96" s="2" t="n">
        <v>46082</v>
      </c>
      <c r="F96" t="inlineStr">
        <is>
          <t>Fail</t>
        </is>
      </c>
      <c r="G96" t="n">
        <v>106.2</v>
      </c>
      <c r="H96" t="n">
        <v>101</v>
      </c>
      <c r="I96" t="n">
        <v>-1957.8</v>
      </c>
      <c r="J96" t="n">
        <v>67.3</v>
      </c>
      <c r="K96" t="n">
        <v>0</v>
      </c>
      <c r="L96" t="n">
        <v>1.3</v>
      </c>
      <c r="M96" t="n">
        <v>0</v>
      </c>
      <c r="N96" t="n">
        <v>68.59999999999999</v>
      </c>
      <c r="O96" t="n">
        <v>111.42</v>
      </c>
      <c r="P96" t="n">
        <v>112.89</v>
      </c>
      <c r="Q96" t="n">
        <v>8.300000000000001</v>
      </c>
      <c r="R96" t="n">
        <v>8.08</v>
      </c>
      <c r="S96">
        <f>IF(OR(G96=0,G96=""),"",ABS((G96-IF($C96="LT",Config!$F$2,Config!$F$14))/IF($C96="LT",Config!$G$2,Config!$G$14)))</f>
        <v/>
      </c>
      <c r="T96">
        <f>IF(OR(H96=0,H96=""),"",ABS((H96-IF($C96="LT",Config!$F$3,Config!$F$15))/IF($C96="LT",Config!$G$3,Config!$G$15)))</f>
        <v/>
      </c>
      <c r="U96">
        <f>IF(OR(I96=0,I96=""),"",ABS((I96-IF($C96="LT",Config!$F$4,Config!$F$16))/IF($C96="LT",Config!$G$4,Config!$G$16)))</f>
        <v/>
      </c>
      <c r="V96">
        <f>IF(OR(J96=0,J96=""),"",ABS((J96-IF($C96="LT",Config!$F$5,Config!$F$17))/IF($C96="LT",Config!$G$5,Config!$G$17)))</f>
        <v/>
      </c>
      <c r="W96">
        <f>IF(OR(K96=0,K96=""),"",ABS((K96-IF($C96="LT",Config!$F$6,Config!$F$18))/IF($C96="LT",Config!$G$6,Config!$G$18)))</f>
        <v/>
      </c>
      <c r="X96">
        <f>IF(OR(L96=0,L96=""),"",ABS((L96-IF($C96="LT",Config!$F$7,Config!$F$19))/IF($C96="LT",Config!$G$7,Config!$G$19)))</f>
        <v/>
      </c>
      <c r="Y96">
        <f>IF(OR(M96=0,M96=""),"",ABS((M96-IF($C96="LT",Config!$F$8,Config!$F$20))/IF($C96="LT",Config!$G$8,Config!$G$20)))</f>
        <v/>
      </c>
      <c r="Z96">
        <f>IF(OR(N96=0,N96=""),"",ABS((N96-IF($C96="LT",Config!$F$9,Config!$F$21))/IF($C96="LT",Config!$G$9,Config!$G$21)))</f>
        <v/>
      </c>
      <c r="AA96">
        <f>IF(OR(O96=0,O96=""),"",ABS((O96-IF($C96="LT",Config!$F$10,Config!$F$22))/IF($C96="LT",Config!$G$10,Config!$G$22)))</f>
        <v/>
      </c>
      <c r="AB96">
        <f>IF(OR(P96=0,P96=""),"",ABS((P96-IF($C96="LT",Config!$F$11,Config!$F$23))/IF($C96="LT",Config!$G$11,Config!$G$23)))</f>
        <v/>
      </c>
      <c r="AC96">
        <f>IF(OR(Q96=0,Q96=""),"",ABS((Q96-IF($C96="LT",Config!$F$12,Config!$F$24))/IF($C96="LT",Config!$G$12,Config!$G$24)))</f>
        <v/>
      </c>
      <c r="AD96">
        <f>IF(OR(R96=0,R96=""),"",ABS((R96-IF($C96="LT",Config!$F$13,Config!$F$25))/IF($C96="LT",Config!$G$13,Config!$G$25)))</f>
        <v/>
      </c>
    </row>
    <row r="97">
      <c r="A97" t="inlineStr">
        <is>
          <t>04B2826120718</t>
        </is>
      </c>
      <c r="B97" t="inlineStr">
        <is>
          <t>CRS0000675</t>
        </is>
      </c>
      <c r="C97" t="inlineStr">
        <is>
          <t>LT</t>
        </is>
      </c>
      <c r="D97" t="inlineStr">
        <is>
          <t>ALX440U-DS3B01</t>
        </is>
      </c>
      <c r="E97" s="2" t="n">
        <v>46082</v>
      </c>
      <c r="F97" t="inlineStr">
        <is>
          <t>Pass</t>
        </is>
      </c>
      <c r="G97" t="n">
        <v>162.4</v>
      </c>
      <c r="H97" t="n">
        <v>103.2</v>
      </c>
      <c r="I97" t="n">
        <v>-1957.8</v>
      </c>
      <c r="J97" t="n">
        <v>67.3</v>
      </c>
      <c r="K97" t="n">
        <v>0</v>
      </c>
      <c r="L97" t="n">
        <v>2.7</v>
      </c>
      <c r="M97" t="n">
        <v>0</v>
      </c>
      <c r="N97" t="n">
        <v>70</v>
      </c>
      <c r="O97" t="n">
        <v>114.87</v>
      </c>
      <c r="P97" t="n">
        <v>114.72</v>
      </c>
      <c r="Q97" t="n">
        <v>7.84</v>
      </c>
      <c r="R97" t="n">
        <v>7.98</v>
      </c>
      <c r="S97">
        <f>IF(OR(G97=0,G97=""),"",ABS((G97-IF($C97="LT",Config!$F$2,Config!$F$14))/IF($C97="LT",Config!$G$2,Config!$G$14)))</f>
        <v/>
      </c>
      <c r="T97">
        <f>IF(OR(H97=0,H97=""),"",ABS((H97-IF($C97="LT",Config!$F$3,Config!$F$15))/IF($C97="LT",Config!$G$3,Config!$G$15)))</f>
        <v/>
      </c>
      <c r="U97">
        <f>IF(OR(I97=0,I97=""),"",ABS((I97-IF($C97="LT",Config!$F$4,Config!$F$16))/IF($C97="LT",Config!$G$4,Config!$G$16)))</f>
        <v/>
      </c>
      <c r="V97">
        <f>IF(OR(J97=0,J97=""),"",ABS((J97-IF($C97="LT",Config!$F$5,Config!$F$17))/IF($C97="LT",Config!$G$5,Config!$G$17)))</f>
        <v/>
      </c>
      <c r="W97">
        <f>IF(OR(K97=0,K97=""),"",ABS((K97-IF($C97="LT",Config!$F$6,Config!$F$18))/IF($C97="LT",Config!$G$6,Config!$G$18)))</f>
        <v/>
      </c>
      <c r="X97">
        <f>IF(OR(L97=0,L97=""),"",ABS((L97-IF($C97="LT",Config!$F$7,Config!$F$19))/IF($C97="LT",Config!$G$7,Config!$G$19)))</f>
        <v/>
      </c>
      <c r="Y97">
        <f>IF(OR(M97=0,M97=""),"",ABS((M97-IF($C97="LT",Config!$F$8,Config!$F$20))/IF($C97="LT",Config!$G$8,Config!$G$20)))</f>
        <v/>
      </c>
      <c r="Z97">
        <f>IF(OR(N97=0,N97=""),"",ABS((N97-IF($C97="LT",Config!$F$9,Config!$F$21))/IF($C97="LT",Config!$G$9,Config!$G$21)))</f>
        <v/>
      </c>
      <c r="AA97">
        <f>IF(OR(O97=0,O97=""),"",ABS((O97-IF($C97="LT",Config!$F$10,Config!$F$22))/IF($C97="LT",Config!$G$10,Config!$G$22)))</f>
        <v/>
      </c>
      <c r="AB97">
        <f>IF(OR(P97=0,P97=""),"",ABS((P97-IF($C97="LT",Config!$F$11,Config!$F$23))/IF($C97="LT",Config!$G$11,Config!$G$23)))</f>
        <v/>
      </c>
      <c r="AC97">
        <f>IF(OR(Q97=0,Q97=""),"",ABS((Q97-IF($C97="LT",Config!$F$12,Config!$F$24))/IF($C97="LT",Config!$G$12,Config!$G$24)))</f>
        <v/>
      </c>
      <c r="AD97">
        <f>IF(OR(R97=0,R97=""),"",ABS((R97-IF($C97="LT",Config!$F$13,Config!$F$25))/IF($C97="LT",Config!$G$13,Config!$G$25)))</f>
        <v/>
      </c>
    </row>
    <row r="98">
      <c r="A98" t="inlineStr">
        <is>
          <t>04B2826120725</t>
        </is>
      </c>
      <c r="B98" t="inlineStr">
        <is>
          <t>CRS0000675</t>
        </is>
      </c>
      <c r="C98" t="inlineStr">
        <is>
          <t>LT</t>
        </is>
      </c>
      <c r="D98" t="inlineStr">
        <is>
          <t>ALX440U-DS3B01</t>
        </is>
      </c>
      <c r="E98" s="2" t="n">
        <v>46082</v>
      </c>
      <c r="F98" t="inlineStr">
        <is>
          <t>Fail</t>
        </is>
      </c>
      <c r="G98" t="n">
        <v>86.09999999999999</v>
      </c>
      <c r="H98" t="n">
        <v>102.3</v>
      </c>
      <c r="I98" t="n">
        <v>-1957.8</v>
      </c>
      <c r="J98" t="n">
        <v>67.3</v>
      </c>
      <c r="K98" t="n">
        <v>0</v>
      </c>
      <c r="L98" t="n">
        <v>6</v>
      </c>
      <c r="M98" t="n">
        <v>0</v>
      </c>
      <c r="N98" t="n">
        <v>73.3</v>
      </c>
      <c r="O98" t="n">
        <v>111.28</v>
      </c>
      <c r="P98" t="n">
        <v>117.66</v>
      </c>
      <c r="Q98" t="n">
        <v>8.69</v>
      </c>
      <c r="R98" t="n">
        <v>8.01</v>
      </c>
      <c r="S98">
        <f>IF(OR(G98=0,G98=""),"",ABS((G98-IF($C98="LT",Config!$F$2,Config!$F$14))/IF($C98="LT",Config!$G$2,Config!$G$14)))</f>
        <v/>
      </c>
      <c r="T98">
        <f>IF(OR(H98=0,H98=""),"",ABS((H98-IF($C98="LT",Config!$F$3,Config!$F$15))/IF($C98="LT",Config!$G$3,Config!$G$15)))</f>
        <v/>
      </c>
      <c r="U98">
        <f>IF(OR(I98=0,I98=""),"",ABS((I98-IF($C98="LT",Config!$F$4,Config!$F$16))/IF($C98="LT",Config!$G$4,Config!$G$16)))</f>
        <v/>
      </c>
      <c r="V98">
        <f>IF(OR(J98=0,J98=""),"",ABS((J98-IF($C98="LT",Config!$F$5,Config!$F$17))/IF($C98="LT",Config!$G$5,Config!$G$17)))</f>
        <v/>
      </c>
      <c r="W98">
        <f>IF(OR(K98=0,K98=""),"",ABS((K98-IF($C98="LT",Config!$F$6,Config!$F$18))/IF($C98="LT",Config!$G$6,Config!$G$18)))</f>
        <v/>
      </c>
      <c r="X98">
        <f>IF(OR(L98=0,L98=""),"",ABS((L98-IF($C98="LT",Config!$F$7,Config!$F$19))/IF($C98="LT",Config!$G$7,Config!$G$19)))</f>
        <v/>
      </c>
      <c r="Y98">
        <f>IF(OR(M98=0,M98=""),"",ABS((M98-IF($C98="LT",Config!$F$8,Config!$F$20))/IF($C98="LT",Config!$G$8,Config!$G$20)))</f>
        <v/>
      </c>
      <c r="Z98">
        <f>IF(OR(N98=0,N98=""),"",ABS((N98-IF($C98="LT",Config!$F$9,Config!$F$21))/IF($C98="LT",Config!$G$9,Config!$G$21)))</f>
        <v/>
      </c>
      <c r="AA98">
        <f>IF(OR(O98=0,O98=""),"",ABS((O98-IF($C98="LT",Config!$F$10,Config!$F$22))/IF($C98="LT",Config!$G$10,Config!$G$22)))</f>
        <v/>
      </c>
      <c r="AB98">
        <f>IF(OR(P98=0,P98=""),"",ABS((P98-IF($C98="LT",Config!$F$11,Config!$F$23))/IF($C98="LT",Config!$G$11,Config!$G$23)))</f>
        <v/>
      </c>
      <c r="AC98">
        <f>IF(OR(Q98=0,Q98=""),"",ABS((Q98-IF($C98="LT",Config!$F$12,Config!$F$24))/IF($C98="LT",Config!$G$12,Config!$G$24)))</f>
        <v/>
      </c>
      <c r="AD98">
        <f>IF(OR(R98=0,R98=""),"",ABS((R98-IF($C98="LT",Config!$F$13,Config!$F$25))/IF($C98="LT",Config!$G$13,Config!$G$25)))</f>
        <v/>
      </c>
    </row>
    <row r="99">
      <c r="A99" t="inlineStr">
        <is>
          <t>04B2826120725</t>
        </is>
      </c>
      <c r="B99" t="inlineStr">
        <is>
          <t>CRS0000675</t>
        </is>
      </c>
      <c r="C99" t="inlineStr">
        <is>
          <t>LT</t>
        </is>
      </c>
      <c r="D99" t="inlineStr">
        <is>
          <t>ALX440U-DS3B01</t>
        </is>
      </c>
      <c r="E99" s="2" t="n">
        <v>46082</v>
      </c>
      <c r="F99" t="inlineStr">
        <is>
          <t>Pass</t>
        </is>
      </c>
      <c r="G99" t="n">
        <v>164.7</v>
      </c>
      <c r="H99" t="n">
        <v>101.4</v>
      </c>
      <c r="I99" t="n">
        <v>-1957.8</v>
      </c>
      <c r="J99" t="n">
        <v>67.3</v>
      </c>
      <c r="K99" t="n">
        <v>0</v>
      </c>
      <c r="L99" t="n">
        <v>6.2</v>
      </c>
      <c r="M99" t="n">
        <v>0</v>
      </c>
      <c r="N99" t="n">
        <v>73.5</v>
      </c>
      <c r="O99" t="n">
        <v>115.02</v>
      </c>
      <c r="P99" t="n">
        <v>114.87</v>
      </c>
      <c r="Q99" t="n">
        <v>8.01</v>
      </c>
      <c r="R99" t="n">
        <v>8.279999999999999</v>
      </c>
      <c r="S99">
        <f>IF(OR(G99=0,G99=""),"",ABS((G99-IF($C99="LT",Config!$F$2,Config!$F$14))/IF($C99="LT",Config!$G$2,Config!$G$14)))</f>
        <v/>
      </c>
      <c r="T99">
        <f>IF(OR(H99=0,H99=""),"",ABS((H99-IF($C99="LT",Config!$F$3,Config!$F$15))/IF($C99="LT",Config!$G$3,Config!$G$15)))</f>
        <v/>
      </c>
      <c r="U99">
        <f>IF(OR(I99=0,I99=""),"",ABS((I99-IF($C99="LT",Config!$F$4,Config!$F$16))/IF($C99="LT",Config!$G$4,Config!$G$16)))</f>
        <v/>
      </c>
      <c r="V99">
        <f>IF(OR(J99=0,J99=""),"",ABS((J99-IF($C99="LT",Config!$F$5,Config!$F$17))/IF($C99="LT",Config!$G$5,Config!$G$17)))</f>
        <v/>
      </c>
      <c r="W99">
        <f>IF(OR(K99=0,K99=""),"",ABS((K99-IF($C99="LT",Config!$F$6,Config!$F$18))/IF($C99="LT",Config!$G$6,Config!$G$18)))</f>
        <v/>
      </c>
      <c r="X99">
        <f>IF(OR(L99=0,L99=""),"",ABS((L99-IF($C99="LT",Config!$F$7,Config!$F$19))/IF($C99="LT",Config!$G$7,Config!$G$19)))</f>
        <v/>
      </c>
      <c r="Y99">
        <f>IF(OR(M99=0,M99=""),"",ABS((M99-IF($C99="LT",Config!$F$8,Config!$F$20))/IF($C99="LT",Config!$G$8,Config!$G$20)))</f>
        <v/>
      </c>
      <c r="Z99">
        <f>IF(OR(N99=0,N99=""),"",ABS((N99-IF($C99="LT",Config!$F$9,Config!$F$21))/IF($C99="LT",Config!$G$9,Config!$G$21)))</f>
        <v/>
      </c>
      <c r="AA99">
        <f>IF(OR(O99=0,O99=""),"",ABS((O99-IF($C99="LT",Config!$F$10,Config!$F$22))/IF($C99="LT",Config!$G$10,Config!$G$22)))</f>
        <v/>
      </c>
      <c r="AB99">
        <f>IF(OR(P99=0,P99=""),"",ABS((P99-IF($C99="LT",Config!$F$11,Config!$F$23))/IF($C99="LT",Config!$G$11,Config!$G$23)))</f>
        <v/>
      </c>
      <c r="AC99">
        <f>IF(OR(Q99=0,Q99=""),"",ABS((Q99-IF($C99="LT",Config!$F$12,Config!$F$24))/IF($C99="LT",Config!$G$12,Config!$G$24)))</f>
        <v/>
      </c>
      <c r="AD99">
        <f>IF(OR(R99=0,R99=""),"",ABS((R99-IF($C99="LT",Config!$F$13,Config!$F$25))/IF($C99="LT",Config!$G$13,Config!$G$25)))</f>
        <v/>
      </c>
    </row>
    <row r="100">
      <c r="A100" t="inlineStr">
        <is>
          <t>04C0126120727</t>
        </is>
      </c>
      <c r="B100" t="inlineStr">
        <is>
          <t>CRS0000675</t>
        </is>
      </c>
      <c r="C100" t="inlineStr">
        <is>
          <t>LT</t>
        </is>
      </c>
      <c r="D100" t="inlineStr">
        <is>
          <t>ALX440U-DS3B01</t>
        </is>
      </c>
      <c r="E100" s="2" t="n">
        <v>46082</v>
      </c>
      <c r="F100" t="inlineStr">
        <is>
          <t>Pass</t>
        </is>
      </c>
      <c r="G100" t="n">
        <v>151.3</v>
      </c>
      <c r="H100" t="n">
        <v>99.2</v>
      </c>
      <c r="I100" t="n">
        <v>-1957.8</v>
      </c>
      <c r="J100" t="n">
        <v>67.3</v>
      </c>
      <c r="K100" t="n">
        <v>0</v>
      </c>
      <c r="L100" t="n">
        <v>1.2</v>
      </c>
      <c r="M100" t="n">
        <v>0</v>
      </c>
      <c r="N100" t="n">
        <v>68.5</v>
      </c>
      <c r="O100" t="n">
        <v>111.72</v>
      </c>
      <c r="P100" t="n">
        <v>113.26</v>
      </c>
      <c r="Q100" t="n">
        <v>8.15</v>
      </c>
      <c r="R100" t="n">
        <v>8.01</v>
      </c>
      <c r="S100">
        <f>IF(OR(G100=0,G100=""),"",ABS((G100-IF($C100="LT",Config!$F$2,Config!$F$14))/IF($C100="LT",Config!$G$2,Config!$G$14)))</f>
        <v/>
      </c>
      <c r="T100">
        <f>IF(OR(H100=0,H100=""),"",ABS((H100-IF($C100="LT",Config!$F$3,Config!$F$15))/IF($C100="LT",Config!$G$3,Config!$G$15)))</f>
        <v/>
      </c>
      <c r="U100">
        <f>IF(OR(I100=0,I100=""),"",ABS((I100-IF($C100="LT",Config!$F$4,Config!$F$16))/IF($C100="LT",Config!$G$4,Config!$G$16)))</f>
        <v/>
      </c>
      <c r="V100">
        <f>IF(OR(J100=0,J100=""),"",ABS((J100-IF($C100="LT",Config!$F$5,Config!$F$17))/IF($C100="LT",Config!$G$5,Config!$G$17)))</f>
        <v/>
      </c>
      <c r="W100">
        <f>IF(OR(K100=0,K100=""),"",ABS((K100-IF($C100="LT",Config!$F$6,Config!$F$18))/IF($C100="LT",Config!$G$6,Config!$G$18)))</f>
        <v/>
      </c>
      <c r="X100">
        <f>IF(OR(L100=0,L100=""),"",ABS((L100-IF($C100="LT",Config!$F$7,Config!$F$19))/IF($C100="LT",Config!$G$7,Config!$G$19)))</f>
        <v/>
      </c>
      <c r="Y100">
        <f>IF(OR(M100=0,M100=""),"",ABS((M100-IF($C100="LT",Config!$F$8,Config!$F$20))/IF($C100="LT",Config!$G$8,Config!$G$20)))</f>
        <v/>
      </c>
      <c r="Z100">
        <f>IF(OR(N100=0,N100=""),"",ABS((N100-IF($C100="LT",Config!$F$9,Config!$F$21))/IF($C100="LT",Config!$G$9,Config!$G$21)))</f>
        <v/>
      </c>
      <c r="AA100">
        <f>IF(OR(O100=0,O100=""),"",ABS((O100-IF($C100="LT",Config!$F$10,Config!$F$22))/IF($C100="LT",Config!$G$10,Config!$G$22)))</f>
        <v/>
      </c>
      <c r="AB100">
        <f>IF(OR(P100=0,P100=""),"",ABS((P100-IF($C100="LT",Config!$F$11,Config!$F$23))/IF($C100="LT",Config!$G$11,Config!$G$23)))</f>
        <v/>
      </c>
      <c r="AC100">
        <f>IF(OR(Q100=0,Q100=""),"",ABS((Q100-IF($C100="LT",Config!$F$12,Config!$F$24))/IF($C100="LT",Config!$G$12,Config!$G$24)))</f>
        <v/>
      </c>
      <c r="AD100">
        <f>IF(OR(R100=0,R100=""),"",ABS((R100-IF($C100="LT",Config!$F$13,Config!$F$25))/IF($C100="LT",Config!$G$13,Config!$G$25)))</f>
        <v/>
      </c>
    </row>
    <row r="101">
      <c r="A101" t="inlineStr">
        <is>
          <t>04B2626120700</t>
        </is>
      </c>
      <c r="B101" t="inlineStr">
        <is>
          <t>CRS0000675</t>
        </is>
      </c>
      <c r="C101" t="inlineStr">
        <is>
          <t>LT</t>
        </is>
      </c>
      <c r="D101" t="inlineStr">
        <is>
          <t>ALX440U-DS3B01</t>
        </is>
      </c>
      <c r="E101" s="2" t="n">
        <v>46083</v>
      </c>
      <c r="F101" t="inlineStr">
        <is>
          <t>Fail</t>
        </is>
      </c>
      <c r="G101" t="n">
        <v>110.2</v>
      </c>
      <c r="H101" t="n">
        <v>97.3</v>
      </c>
      <c r="I101" t="n">
        <v>-1957.8</v>
      </c>
      <c r="J101" t="n">
        <v>67.3</v>
      </c>
      <c r="K101" t="n">
        <v>0</v>
      </c>
      <c r="L101" t="n">
        <v>2.6</v>
      </c>
      <c r="M101" t="n">
        <v>0</v>
      </c>
      <c r="N101" t="n">
        <v>69.90000000000001</v>
      </c>
      <c r="O101" t="n">
        <v>112.23</v>
      </c>
      <c r="P101" t="n">
        <v>116.85</v>
      </c>
      <c r="Q101" t="n">
        <v>7.47</v>
      </c>
      <c r="R101" t="n">
        <v>7.47</v>
      </c>
      <c r="S101">
        <f>IF(OR(G101=0,G101=""),"",ABS((G101-IF($C101="LT",Config!$F$2,Config!$F$14))/IF($C101="LT",Config!$G$2,Config!$G$14)))</f>
        <v/>
      </c>
      <c r="T101">
        <f>IF(OR(H101=0,H101=""),"",ABS((H101-IF($C101="LT",Config!$F$3,Config!$F$15))/IF($C101="LT",Config!$G$3,Config!$G$15)))</f>
        <v/>
      </c>
      <c r="U101">
        <f>IF(OR(I101=0,I101=""),"",ABS((I101-IF($C101="LT",Config!$F$4,Config!$F$16))/IF($C101="LT",Config!$G$4,Config!$G$16)))</f>
        <v/>
      </c>
      <c r="V101">
        <f>IF(OR(J101=0,J101=""),"",ABS((J101-IF($C101="LT",Config!$F$5,Config!$F$17))/IF($C101="LT",Config!$G$5,Config!$G$17)))</f>
        <v/>
      </c>
      <c r="W101">
        <f>IF(OR(K101=0,K101=""),"",ABS((K101-IF($C101="LT",Config!$F$6,Config!$F$18))/IF($C101="LT",Config!$G$6,Config!$G$18)))</f>
        <v/>
      </c>
      <c r="X101">
        <f>IF(OR(L101=0,L101=""),"",ABS((L101-IF($C101="LT",Config!$F$7,Config!$F$19))/IF($C101="LT",Config!$G$7,Config!$G$19)))</f>
        <v/>
      </c>
      <c r="Y101">
        <f>IF(OR(M101=0,M101=""),"",ABS((M101-IF($C101="LT",Config!$F$8,Config!$F$20))/IF($C101="LT",Config!$G$8,Config!$G$20)))</f>
        <v/>
      </c>
      <c r="Z101">
        <f>IF(OR(N101=0,N101=""),"",ABS((N101-IF($C101="LT",Config!$F$9,Config!$F$21))/IF($C101="LT",Config!$G$9,Config!$G$21)))</f>
        <v/>
      </c>
      <c r="AA101">
        <f>IF(OR(O101=0,O101=""),"",ABS((O101-IF($C101="LT",Config!$F$10,Config!$F$22))/IF($C101="LT",Config!$G$10,Config!$G$22)))</f>
        <v/>
      </c>
      <c r="AB101">
        <f>IF(OR(P101=0,P101=""),"",ABS((P101-IF($C101="LT",Config!$F$11,Config!$F$23))/IF($C101="LT",Config!$G$11,Config!$G$23)))</f>
        <v/>
      </c>
      <c r="AC101">
        <f>IF(OR(Q101=0,Q101=""),"",ABS((Q101-IF($C101="LT",Config!$F$12,Config!$F$24))/IF($C101="LT",Config!$G$12,Config!$G$24)))</f>
        <v/>
      </c>
      <c r="AD101">
        <f>IF(OR(R101=0,R101=""),"",ABS((R101-IF($C101="LT",Config!$F$13,Config!$F$25))/IF($C101="LT",Config!$G$13,Config!$G$25)))</f>
        <v/>
      </c>
    </row>
    <row r="102">
      <c r="A102" t="inlineStr">
        <is>
          <t>04B2626120700</t>
        </is>
      </c>
      <c r="B102" t="inlineStr">
        <is>
          <t>CRS0000675</t>
        </is>
      </c>
      <c r="C102" t="inlineStr">
        <is>
          <t>LT</t>
        </is>
      </c>
      <c r="D102" t="inlineStr">
        <is>
          <t>ALX440U-DS3B01</t>
        </is>
      </c>
      <c r="E102" s="2" t="n">
        <v>46083</v>
      </c>
      <c r="F102" t="inlineStr">
        <is>
          <t>Pass</t>
        </is>
      </c>
      <c r="G102" t="n">
        <v>153.9</v>
      </c>
      <c r="H102" t="n">
        <v>101</v>
      </c>
      <c r="I102" t="n">
        <v>-1957.8</v>
      </c>
      <c r="J102" t="n">
        <v>67.7</v>
      </c>
      <c r="K102" t="n">
        <v>0</v>
      </c>
      <c r="L102" t="n">
        <v>4.2</v>
      </c>
      <c r="M102" t="n">
        <v>0</v>
      </c>
      <c r="N102" t="n">
        <v>71.90000000000001</v>
      </c>
      <c r="O102" t="n">
        <v>115.02</v>
      </c>
      <c r="P102" t="n">
        <v>114.87</v>
      </c>
      <c r="Q102" t="n">
        <v>7.54</v>
      </c>
      <c r="R102" t="n">
        <v>7.89</v>
      </c>
      <c r="S102">
        <f>IF(OR(G102=0,G102=""),"",ABS((G102-IF($C102="LT",Config!$F$2,Config!$F$14))/IF($C102="LT",Config!$G$2,Config!$G$14)))</f>
        <v/>
      </c>
      <c r="T102">
        <f>IF(OR(H102=0,H102=""),"",ABS((H102-IF($C102="LT",Config!$F$3,Config!$F$15))/IF($C102="LT",Config!$G$3,Config!$G$15)))</f>
        <v/>
      </c>
      <c r="U102">
        <f>IF(OR(I102=0,I102=""),"",ABS((I102-IF($C102="LT",Config!$F$4,Config!$F$16))/IF($C102="LT",Config!$G$4,Config!$G$16)))</f>
        <v/>
      </c>
      <c r="V102">
        <f>IF(OR(J102=0,J102=""),"",ABS((J102-IF($C102="LT",Config!$F$5,Config!$F$17))/IF($C102="LT",Config!$G$5,Config!$G$17)))</f>
        <v/>
      </c>
      <c r="W102">
        <f>IF(OR(K102=0,K102=""),"",ABS((K102-IF($C102="LT",Config!$F$6,Config!$F$18))/IF($C102="LT",Config!$G$6,Config!$G$18)))</f>
        <v/>
      </c>
      <c r="X102">
        <f>IF(OR(L102=0,L102=""),"",ABS((L102-IF($C102="LT",Config!$F$7,Config!$F$19))/IF($C102="LT",Config!$G$7,Config!$G$19)))</f>
        <v/>
      </c>
      <c r="Y102">
        <f>IF(OR(M102=0,M102=""),"",ABS((M102-IF($C102="LT",Config!$F$8,Config!$F$20))/IF($C102="LT",Config!$G$8,Config!$G$20)))</f>
        <v/>
      </c>
      <c r="Z102">
        <f>IF(OR(N102=0,N102=""),"",ABS((N102-IF($C102="LT",Config!$F$9,Config!$F$21))/IF($C102="LT",Config!$G$9,Config!$G$21)))</f>
        <v/>
      </c>
      <c r="AA102">
        <f>IF(OR(O102=0,O102=""),"",ABS((O102-IF($C102="LT",Config!$F$10,Config!$F$22))/IF($C102="LT",Config!$G$10,Config!$G$22)))</f>
        <v/>
      </c>
      <c r="AB102">
        <f>IF(OR(P102=0,P102=""),"",ABS((P102-IF($C102="LT",Config!$F$11,Config!$F$23))/IF($C102="LT",Config!$G$11,Config!$G$23)))</f>
        <v/>
      </c>
      <c r="AC102">
        <f>IF(OR(Q102=0,Q102=""),"",ABS((Q102-IF($C102="LT",Config!$F$12,Config!$F$24))/IF($C102="LT",Config!$G$12,Config!$G$24)))</f>
        <v/>
      </c>
      <c r="AD102">
        <f>IF(OR(R102=0,R102=""),"",ABS((R102-IF($C102="LT",Config!$F$13,Config!$F$25))/IF($C102="LT",Config!$G$13,Config!$G$25)))</f>
        <v/>
      </c>
    </row>
    <row r="103">
      <c r="A103" t="inlineStr">
        <is>
          <t>04B2726120703</t>
        </is>
      </c>
      <c r="B103" t="inlineStr">
        <is>
          <t>CRS0000675</t>
        </is>
      </c>
      <c r="C103" t="inlineStr">
        <is>
          <t>LT</t>
        </is>
      </c>
      <c r="D103" t="inlineStr">
        <is>
          <t>ALX440U-DS3B01</t>
        </is>
      </c>
      <c r="E103" s="2" t="n">
        <v>46083</v>
      </c>
      <c r="F103" t="inlineStr">
        <is>
          <t>Fail</t>
        </is>
      </c>
      <c r="G103" t="n">
        <v>141</v>
      </c>
      <c r="H103" t="n">
        <v>88.3</v>
      </c>
      <c r="I103" t="n">
        <v>-1957.8</v>
      </c>
      <c r="J103" t="n">
        <v>67.3</v>
      </c>
      <c r="K103" t="n">
        <v>0</v>
      </c>
      <c r="L103" t="n">
        <v>1.7</v>
      </c>
      <c r="M103" t="n">
        <v>0</v>
      </c>
      <c r="N103" t="n">
        <v>69</v>
      </c>
      <c r="O103" t="n">
        <v>111.79</v>
      </c>
      <c r="P103" t="n">
        <v>113.48</v>
      </c>
      <c r="Q103" t="n">
        <v>6.98</v>
      </c>
      <c r="R103" t="n">
        <v>7.3</v>
      </c>
      <c r="S103">
        <f>IF(OR(G103=0,G103=""),"",ABS((G103-IF($C103="LT",Config!$F$2,Config!$F$14))/IF($C103="LT",Config!$G$2,Config!$G$14)))</f>
        <v/>
      </c>
      <c r="T103">
        <f>IF(OR(H103=0,H103=""),"",ABS((H103-IF($C103="LT",Config!$F$3,Config!$F$15))/IF($C103="LT",Config!$G$3,Config!$G$15)))</f>
        <v/>
      </c>
      <c r="U103">
        <f>IF(OR(I103=0,I103=""),"",ABS((I103-IF($C103="LT",Config!$F$4,Config!$F$16))/IF($C103="LT",Config!$G$4,Config!$G$16)))</f>
        <v/>
      </c>
      <c r="V103">
        <f>IF(OR(J103=0,J103=""),"",ABS((J103-IF($C103="LT",Config!$F$5,Config!$F$17))/IF($C103="LT",Config!$G$5,Config!$G$17)))</f>
        <v/>
      </c>
      <c r="W103">
        <f>IF(OR(K103=0,K103=""),"",ABS((K103-IF($C103="LT",Config!$F$6,Config!$F$18))/IF($C103="LT",Config!$G$6,Config!$G$18)))</f>
        <v/>
      </c>
      <c r="X103">
        <f>IF(OR(L103=0,L103=""),"",ABS((L103-IF($C103="LT",Config!$F$7,Config!$F$19))/IF($C103="LT",Config!$G$7,Config!$G$19)))</f>
        <v/>
      </c>
      <c r="Y103">
        <f>IF(OR(M103=0,M103=""),"",ABS((M103-IF($C103="LT",Config!$F$8,Config!$F$20))/IF($C103="LT",Config!$G$8,Config!$G$20)))</f>
        <v/>
      </c>
      <c r="Z103">
        <f>IF(OR(N103=0,N103=""),"",ABS((N103-IF($C103="LT",Config!$F$9,Config!$F$21))/IF($C103="LT",Config!$G$9,Config!$G$21)))</f>
        <v/>
      </c>
      <c r="AA103">
        <f>IF(OR(O103=0,O103=""),"",ABS((O103-IF($C103="LT",Config!$F$10,Config!$F$22))/IF($C103="LT",Config!$G$10,Config!$G$22)))</f>
        <v/>
      </c>
      <c r="AB103">
        <f>IF(OR(P103=0,P103=""),"",ABS((P103-IF($C103="LT",Config!$F$11,Config!$F$23))/IF($C103="LT",Config!$G$11,Config!$G$23)))</f>
        <v/>
      </c>
      <c r="AC103">
        <f>IF(OR(Q103=0,Q103=""),"",ABS((Q103-IF($C103="LT",Config!$F$12,Config!$F$24))/IF($C103="LT",Config!$G$12,Config!$G$24)))</f>
        <v/>
      </c>
      <c r="AD103">
        <f>IF(OR(R103=0,R103=""),"",ABS((R103-IF($C103="LT",Config!$F$13,Config!$F$25))/IF($C103="LT",Config!$G$13,Config!$G$25)))</f>
        <v/>
      </c>
    </row>
    <row r="104">
      <c r="A104" t="inlineStr">
        <is>
          <t>04B2726120703</t>
        </is>
      </c>
      <c r="B104" t="inlineStr">
        <is>
          <t>CRS0000675</t>
        </is>
      </c>
      <c r="C104" t="inlineStr">
        <is>
          <t>LT</t>
        </is>
      </c>
      <c r="D104" t="inlineStr">
        <is>
          <t>ALX440U-DS3B01</t>
        </is>
      </c>
      <c r="E104" s="2" t="n">
        <v>46083</v>
      </c>
      <c r="F104" t="inlineStr">
        <is>
          <t>Pass</t>
        </is>
      </c>
      <c r="G104" t="n">
        <v>153.5</v>
      </c>
      <c r="H104" t="n">
        <v>103.7</v>
      </c>
      <c r="I104" t="n">
        <v>-1957.8</v>
      </c>
      <c r="J104" t="n">
        <v>67.3</v>
      </c>
      <c r="K104" t="n">
        <v>0</v>
      </c>
      <c r="L104" t="n">
        <v>2.1</v>
      </c>
      <c r="M104" t="n">
        <v>0</v>
      </c>
      <c r="N104" t="n">
        <v>69.40000000000001</v>
      </c>
      <c r="O104" t="n">
        <v>111.94</v>
      </c>
      <c r="P104" t="n">
        <v>113.26</v>
      </c>
      <c r="Q104" t="n">
        <v>7.74</v>
      </c>
      <c r="R104" t="n">
        <v>8.06</v>
      </c>
      <c r="S104">
        <f>IF(OR(G104=0,G104=""),"",ABS((G104-IF($C104="LT",Config!$F$2,Config!$F$14))/IF($C104="LT",Config!$G$2,Config!$G$14)))</f>
        <v/>
      </c>
      <c r="T104">
        <f>IF(OR(H104=0,H104=""),"",ABS((H104-IF($C104="LT",Config!$F$3,Config!$F$15))/IF($C104="LT",Config!$G$3,Config!$G$15)))</f>
        <v/>
      </c>
      <c r="U104">
        <f>IF(OR(I104=0,I104=""),"",ABS((I104-IF($C104="LT",Config!$F$4,Config!$F$16))/IF($C104="LT",Config!$G$4,Config!$G$16)))</f>
        <v/>
      </c>
      <c r="V104">
        <f>IF(OR(J104=0,J104=""),"",ABS((J104-IF($C104="LT",Config!$F$5,Config!$F$17))/IF($C104="LT",Config!$G$5,Config!$G$17)))</f>
        <v/>
      </c>
      <c r="W104">
        <f>IF(OR(K104=0,K104=""),"",ABS((K104-IF($C104="LT",Config!$F$6,Config!$F$18))/IF($C104="LT",Config!$G$6,Config!$G$18)))</f>
        <v/>
      </c>
      <c r="X104">
        <f>IF(OR(L104=0,L104=""),"",ABS((L104-IF($C104="LT",Config!$F$7,Config!$F$19))/IF($C104="LT",Config!$G$7,Config!$G$19)))</f>
        <v/>
      </c>
      <c r="Y104">
        <f>IF(OR(M104=0,M104=""),"",ABS((M104-IF($C104="LT",Config!$F$8,Config!$F$20))/IF($C104="LT",Config!$G$8,Config!$G$20)))</f>
        <v/>
      </c>
      <c r="Z104">
        <f>IF(OR(N104=0,N104=""),"",ABS((N104-IF($C104="LT",Config!$F$9,Config!$F$21))/IF($C104="LT",Config!$G$9,Config!$G$21)))</f>
        <v/>
      </c>
      <c r="AA104">
        <f>IF(OR(O104=0,O104=""),"",ABS((O104-IF($C104="LT",Config!$F$10,Config!$F$22))/IF($C104="LT",Config!$G$10,Config!$G$22)))</f>
        <v/>
      </c>
      <c r="AB104">
        <f>IF(OR(P104=0,P104=""),"",ABS((P104-IF($C104="LT",Config!$F$11,Config!$F$23))/IF($C104="LT",Config!$G$11,Config!$G$23)))</f>
        <v/>
      </c>
      <c r="AC104">
        <f>IF(OR(Q104=0,Q104=""),"",ABS((Q104-IF($C104="LT",Config!$F$12,Config!$F$24))/IF($C104="LT",Config!$G$12,Config!$G$24)))</f>
        <v/>
      </c>
      <c r="AD104">
        <f>IF(OR(R104=0,R104=""),"",ABS((R104-IF($C104="LT",Config!$F$13,Config!$F$25))/IF($C104="LT",Config!$G$13,Config!$G$25)))</f>
        <v/>
      </c>
    </row>
    <row r="105">
      <c r="A105" t="inlineStr">
        <is>
          <t>04C0126120729</t>
        </is>
      </c>
      <c r="B105" t="inlineStr">
        <is>
          <t>CRS0000674</t>
        </is>
      </c>
      <c r="C105" t="inlineStr">
        <is>
          <t>MT</t>
        </is>
      </c>
      <c r="D105" t="inlineStr">
        <is>
          <t>TCX413U-DS1B01</t>
        </is>
      </c>
      <c r="E105" s="2" t="n">
        <v>46083</v>
      </c>
      <c r="F105" t="inlineStr">
        <is>
          <t>Pass</t>
        </is>
      </c>
      <c r="G105" t="n">
        <v>113.3</v>
      </c>
      <c r="H105" t="n">
        <v>83.8</v>
      </c>
      <c r="I105" t="n">
        <v>-1957.8</v>
      </c>
      <c r="J105" t="n">
        <v>67.3</v>
      </c>
      <c r="K105" t="n">
        <v>0</v>
      </c>
      <c r="L105" t="n">
        <v>1.6</v>
      </c>
      <c r="M105" t="n">
        <v>0</v>
      </c>
      <c r="N105" t="n">
        <v>68.90000000000001</v>
      </c>
      <c r="O105" t="n">
        <v>111.35</v>
      </c>
      <c r="P105" t="n">
        <v>112.82</v>
      </c>
      <c r="Q105" t="n">
        <v>3.78</v>
      </c>
      <c r="R105" t="n">
        <v>3.86</v>
      </c>
      <c r="S105">
        <f>IF(OR(G105=0,G105=""),"",ABS((G105-IF($C105="LT",Config!$F$2,Config!$F$14))/IF($C105="LT",Config!$G$2,Config!$G$14)))</f>
        <v/>
      </c>
      <c r="T105">
        <f>IF(OR(H105=0,H105=""),"",ABS((H105-IF($C105="LT",Config!$F$3,Config!$F$15))/IF($C105="LT",Config!$G$3,Config!$G$15)))</f>
        <v/>
      </c>
      <c r="U105">
        <f>IF(OR(I105=0,I105=""),"",ABS((I105-IF($C105="LT",Config!$F$4,Config!$F$16))/IF($C105="LT",Config!$G$4,Config!$G$16)))</f>
        <v/>
      </c>
      <c r="V105">
        <f>IF(OR(J105=0,J105=""),"",ABS((J105-IF($C105="LT",Config!$F$5,Config!$F$17))/IF($C105="LT",Config!$G$5,Config!$G$17)))</f>
        <v/>
      </c>
      <c r="W105">
        <f>IF(OR(K105=0,K105=""),"",ABS((K105-IF($C105="LT",Config!$F$6,Config!$F$18))/IF($C105="LT",Config!$G$6,Config!$G$18)))</f>
        <v/>
      </c>
      <c r="X105">
        <f>IF(OR(L105=0,L105=""),"",ABS((L105-IF($C105="LT",Config!$F$7,Config!$F$19))/IF($C105="LT",Config!$G$7,Config!$G$19)))</f>
        <v/>
      </c>
      <c r="Y105">
        <f>IF(OR(M105=0,M105=""),"",ABS((M105-IF($C105="LT",Config!$F$8,Config!$F$20))/IF($C105="LT",Config!$G$8,Config!$G$20)))</f>
        <v/>
      </c>
      <c r="Z105">
        <f>IF(OR(N105=0,N105=""),"",ABS((N105-IF($C105="LT",Config!$F$9,Config!$F$21))/IF($C105="LT",Config!$G$9,Config!$G$21)))</f>
        <v/>
      </c>
      <c r="AA105">
        <f>IF(OR(O105=0,O105=""),"",ABS((O105-IF($C105="LT",Config!$F$10,Config!$F$22))/IF($C105="LT",Config!$G$10,Config!$G$22)))</f>
        <v/>
      </c>
      <c r="AB105">
        <f>IF(OR(P105=0,P105=""),"",ABS((P105-IF($C105="LT",Config!$F$11,Config!$F$23))/IF($C105="LT",Config!$G$11,Config!$G$23)))</f>
        <v/>
      </c>
      <c r="AC105">
        <f>IF(OR(Q105=0,Q105=""),"",ABS((Q105-IF($C105="LT",Config!$F$12,Config!$F$24))/IF($C105="LT",Config!$G$12,Config!$G$24)))</f>
        <v/>
      </c>
      <c r="AD105">
        <f>IF(OR(R105=0,R105=""),"",ABS((R105-IF($C105="LT",Config!$F$13,Config!$F$25))/IF($C105="LT",Config!$G$13,Config!$G$25)))</f>
        <v/>
      </c>
    </row>
    <row r="106">
      <c r="A106" t="inlineStr">
        <is>
          <t>04C0126120730</t>
        </is>
      </c>
      <c r="B106" t="inlineStr">
        <is>
          <t>CRS0000674</t>
        </is>
      </c>
      <c r="C106" t="inlineStr">
        <is>
          <t>MT</t>
        </is>
      </c>
      <c r="D106" t="inlineStr">
        <is>
          <t>TCX413U-DS1B01</t>
        </is>
      </c>
      <c r="E106" s="2" t="n">
        <v>46083</v>
      </c>
      <c r="F106" t="inlineStr">
        <is>
          <t>Pass</t>
        </is>
      </c>
      <c r="G106" t="n">
        <v>107</v>
      </c>
      <c r="H106" t="n">
        <v>77.90000000000001</v>
      </c>
      <c r="I106" t="n">
        <v>-1957.8</v>
      </c>
      <c r="J106" t="n">
        <v>67.7</v>
      </c>
      <c r="K106" t="n">
        <v>0</v>
      </c>
      <c r="L106" t="n">
        <v>4.1</v>
      </c>
      <c r="M106" t="n">
        <v>0</v>
      </c>
      <c r="N106" t="n">
        <v>71.8</v>
      </c>
      <c r="O106" t="n">
        <v>116.41</v>
      </c>
      <c r="P106" t="n">
        <v>112.82</v>
      </c>
      <c r="Q106" t="n">
        <v>3.81</v>
      </c>
      <c r="R106" t="n">
        <v>3.96</v>
      </c>
      <c r="S106">
        <f>IF(OR(G106=0,G106=""),"",ABS((G106-IF($C106="LT",Config!$F$2,Config!$F$14))/IF($C106="LT",Config!$G$2,Config!$G$14)))</f>
        <v/>
      </c>
      <c r="T106">
        <f>IF(OR(H106=0,H106=""),"",ABS((H106-IF($C106="LT",Config!$F$3,Config!$F$15))/IF($C106="LT",Config!$G$3,Config!$G$15)))</f>
        <v/>
      </c>
      <c r="U106">
        <f>IF(OR(I106=0,I106=""),"",ABS((I106-IF($C106="LT",Config!$F$4,Config!$F$16))/IF($C106="LT",Config!$G$4,Config!$G$16)))</f>
        <v/>
      </c>
      <c r="V106">
        <f>IF(OR(J106=0,J106=""),"",ABS((J106-IF($C106="LT",Config!$F$5,Config!$F$17))/IF($C106="LT",Config!$G$5,Config!$G$17)))</f>
        <v/>
      </c>
      <c r="W106">
        <f>IF(OR(K106=0,K106=""),"",ABS((K106-IF($C106="LT",Config!$F$6,Config!$F$18))/IF($C106="LT",Config!$G$6,Config!$G$18)))</f>
        <v/>
      </c>
      <c r="X106">
        <f>IF(OR(L106=0,L106=""),"",ABS((L106-IF($C106="LT",Config!$F$7,Config!$F$19))/IF($C106="LT",Config!$G$7,Config!$G$19)))</f>
        <v/>
      </c>
      <c r="Y106">
        <f>IF(OR(M106=0,M106=""),"",ABS((M106-IF($C106="LT",Config!$F$8,Config!$F$20))/IF($C106="LT",Config!$G$8,Config!$G$20)))</f>
        <v/>
      </c>
      <c r="Z106">
        <f>IF(OR(N106=0,N106=""),"",ABS((N106-IF($C106="LT",Config!$F$9,Config!$F$21))/IF($C106="LT",Config!$G$9,Config!$G$21)))</f>
        <v/>
      </c>
      <c r="AA106">
        <f>IF(OR(O106=0,O106=""),"",ABS((O106-IF($C106="LT",Config!$F$10,Config!$F$22))/IF($C106="LT",Config!$G$10,Config!$G$22)))</f>
        <v/>
      </c>
      <c r="AB106">
        <f>IF(OR(P106=0,P106=""),"",ABS((P106-IF($C106="LT",Config!$F$11,Config!$F$23))/IF($C106="LT",Config!$G$11,Config!$G$23)))</f>
        <v/>
      </c>
      <c r="AC106">
        <f>IF(OR(Q106=0,Q106=""),"",ABS((Q106-IF($C106="LT",Config!$F$12,Config!$F$24))/IF($C106="LT",Config!$G$12,Config!$G$24)))</f>
        <v/>
      </c>
      <c r="AD106">
        <f>IF(OR(R106=0,R106=""),"",ABS((R106-IF($C106="LT",Config!$F$13,Config!$F$25))/IF($C106="LT",Config!$G$13,Config!$G$25)))</f>
        <v/>
      </c>
    </row>
    <row r="107">
      <c r="A107" t="inlineStr">
        <is>
          <t>04C0126120731</t>
        </is>
      </c>
      <c r="B107" t="inlineStr">
        <is>
          <t>CRS0000674</t>
        </is>
      </c>
      <c r="C107" t="inlineStr">
        <is>
          <t>MT</t>
        </is>
      </c>
      <c r="D107" t="inlineStr">
        <is>
          <t>TCX413U-DS1B01</t>
        </is>
      </c>
      <c r="E107" s="2" t="n">
        <v>46083</v>
      </c>
      <c r="F107" t="inlineStr">
        <is>
          <t>Pass</t>
        </is>
      </c>
      <c r="G107" t="n">
        <v>111.1</v>
      </c>
      <c r="H107" t="n">
        <v>82.5</v>
      </c>
      <c r="I107" t="n">
        <v>-1957.8</v>
      </c>
      <c r="J107" t="n">
        <v>67.7</v>
      </c>
      <c r="K107" t="n">
        <v>0</v>
      </c>
      <c r="L107" t="n">
        <v>3.7</v>
      </c>
      <c r="M107" t="n">
        <v>0</v>
      </c>
      <c r="N107" t="n">
        <v>71.40000000000001</v>
      </c>
      <c r="O107" t="n">
        <v>111.79</v>
      </c>
      <c r="P107" t="n">
        <v>113.33</v>
      </c>
      <c r="Q107" t="n">
        <v>3.93</v>
      </c>
      <c r="R107" t="n">
        <v>3.93</v>
      </c>
      <c r="S107">
        <f>IF(OR(G107=0,G107=""),"",ABS((G107-IF($C107="LT",Config!$F$2,Config!$F$14))/IF($C107="LT",Config!$G$2,Config!$G$14)))</f>
        <v/>
      </c>
      <c r="T107">
        <f>IF(OR(H107=0,H107=""),"",ABS((H107-IF($C107="LT",Config!$F$3,Config!$F$15))/IF($C107="LT",Config!$G$3,Config!$G$15)))</f>
        <v/>
      </c>
      <c r="U107">
        <f>IF(OR(I107=0,I107=""),"",ABS((I107-IF($C107="LT",Config!$F$4,Config!$F$16))/IF($C107="LT",Config!$G$4,Config!$G$16)))</f>
        <v/>
      </c>
      <c r="V107">
        <f>IF(OR(J107=0,J107=""),"",ABS((J107-IF($C107="LT",Config!$F$5,Config!$F$17))/IF($C107="LT",Config!$G$5,Config!$G$17)))</f>
        <v/>
      </c>
      <c r="W107">
        <f>IF(OR(K107=0,K107=""),"",ABS((K107-IF($C107="LT",Config!$F$6,Config!$F$18))/IF($C107="LT",Config!$G$6,Config!$G$18)))</f>
        <v/>
      </c>
      <c r="X107">
        <f>IF(OR(L107=0,L107=""),"",ABS((L107-IF($C107="LT",Config!$F$7,Config!$F$19))/IF($C107="LT",Config!$G$7,Config!$G$19)))</f>
        <v/>
      </c>
      <c r="Y107">
        <f>IF(OR(M107=0,M107=""),"",ABS((M107-IF($C107="LT",Config!$F$8,Config!$F$20))/IF($C107="LT",Config!$G$8,Config!$G$20)))</f>
        <v/>
      </c>
      <c r="Z107">
        <f>IF(OR(N107=0,N107=""),"",ABS((N107-IF($C107="LT",Config!$F$9,Config!$F$21))/IF($C107="LT",Config!$G$9,Config!$G$21)))</f>
        <v/>
      </c>
      <c r="AA107">
        <f>IF(OR(O107=0,O107=""),"",ABS((O107-IF($C107="LT",Config!$F$10,Config!$F$22))/IF($C107="LT",Config!$G$10,Config!$G$22)))</f>
        <v/>
      </c>
      <c r="AB107">
        <f>IF(OR(P107=0,P107=""),"",ABS((P107-IF($C107="LT",Config!$F$11,Config!$F$23))/IF($C107="LT",Config!$G$11,Config!$G$23)))</f>
        <v/>
      </c>
      <c r="AC107">
        <f>IF(OR(Q107=0,Q107=""),"",ABS((Q107-IF($C107="LT",Config!$F$12,Config!$F$24))/IF($C107="LT",Config!$G$12,Config!$G$24)))</f>
        <v/>
      </c>
      <c r="AD107">
        <f>IF(OR(R107=0,R107=""),"",ABS((R107-IF($C107="LT",Config!$F$13,Config!$F$25))/IF($C107="LT",Config!$G$13,Config!$G$25)))</f>
        <v/>
      </c>
    </row>
    <row r="108">
      <c r="A108" t="inlineStr">
        <is>
          <t>04C0126120732</t>
        </is>
      </c>
      <c r="B108" t="inlineStr">
        <is>
          <t>CRS0000674</t>
        </is>
      </c>
      <c r="C108" t="inlineStr">
        <is>
          <t>MT</t>
        </is>
      </c>
      <c r="D108" t="inlineStr">
        <is>
          <t>TCX413U-DS1B01</t>
        </is>
      </c>
      <c r="E108" s="2" t="n">
        <v>46083</v>
      </c>
      <c r="F108" t="inlineStr">
        <is>
          <t>Pass</t>
        </is>
      </c>
      <c r="G108" t="n">
        <v>113.3</v>
      </c>
      <c r="H108" t="n">
        <v>83.40000000000001</v>
      </c>
      <c r="I108" t="n">
        <v>-1957.8</v>
      </c>
      <c r="J108" t="n">
        <v>67.7</v>
      </c>
      <c r="K108" t="n">
        <v>0</v>
      </c>
      <c r="L108" t="n">
        <v>3.5</v>
      </c>
      <c r="M108" t="n">
        <v>0</v>
      </c>
      <c r="N108" t="n">
        <v>71.2</v>
      </c>
      <c r="O108" t="n">
        <v>111.79</v>
      </c>
      <c r="P108" t="n">
        <v>113.18</v>
      </c>
      <c r="Q108" t="n">
        <v>3.83</v>
      </c>
      <c r="R108" t="n">
        <v>3.83</v>
      </c>
      <c r="S108">
        <f>IF(OR(G108=0,G108=""),"",ABS((G108-IF($C108="LT",Config!$F$2,Config!$F$14))/IF($C108="LT",Config!$G$2,Config!$G$14)))</f>
        <v/>
      </c>
      <c r="T108">
        <f>IF(OR(H108=0,H108=""),"",ABS((H108-IF($C108="LT",Config!$F$3,Config!$F$15))/IF($C108="LT",Config!$G$3,Config!$G$15)))</f>
        <v/>
      </c>
      <c r="U108">
        <f>IF(OR(I108=0,I108=""),"",ABS((I108-IF($C108="LT",Config!$F$4,Config!$F$16))/IF($C108="LT",Config!$G$4,Config!$G$16)))</f>
        <v/>
      </c>
      <c r="V108">
        <f>IF(OR(J108=0,J108=""),"",ABS((J108-IF($C108="LT",Config!$F$5,Config!$F$17))/IF($C108="LT",Config!$G$5,Config!$G$17)))</f>
        <v/>
      </c>
      <c r="W108">
        <f>IF(OR(K108=0,K108=""),"",ABS((K108-IF($C108="LT",Config!$F$6,Config!$F$18))/IF($C108="LT",Config!$G$6,Config!$G$18)))</f>
        <v/>
      </c>
      <c r="X108">
        <f>IF(OR(L108=0,L108=""),"",ABS((L108-IF($C108="LT",Config!$F$7,Config!$F$19))/IF($C108="LT",Config!$G$7,Config!$G$19)))</f>
        <v/>
      </c>
      <c r="Y108">
        <f>IF(OR(M108=0,M108=""),"",ABS((M108-IF($C108="LT",Config!$F$8,Config!$F$20))/IF($C108="LT",Config!$G$8,Config!$G$20)))</f>
        <v/>
      </c>
      <c r="Z108">
        <f>IF(OR(N108=0,N108=""),"",ABS((N108-IF($C108="LT",Config!$F$9,Config!$F$21))/IF($C108="LT",Config!$G$9,Config!$G$21)))</f>
        <v/>
      </c>
      <c r="AA108">
        <f>IF(OR(O108=0,O108=""),"",ABS((O108-IF($C108="LT",Config!$F$10,Config!$F$22))/IF($C108="LT",Config!$G$10,Config!$G$22)))</f>
        <v/>
      </c>
      <c r="AB108">
        <f>IF(OR(P108=0,P108=""),"",ABS((P108-IF($C108="LT",Config!$F$11,Config!$F$23))/IF($C108="LT",Config!$G$11,Config!$G$23)))</f>
        <v/>
      </c>
      <c r="AC108">
        <f>IF(OR(Q108=0,Q108=""),"",ABS((Q108-IF($C108="LT",Config!$F$12,Config!$F$24))/IF($C108="LT",Config!$G$12,Config!$G$24)))</f>
        <v/>
      </c>
      <c r="AD108">
        <f>IF(OR(R108=0,R108=""),"",ABS((R108-IF($C108="LT",Config!$F$13,Config!$F$25))/IF($C108="LT",Config!$G$13,Config!$G$25)))</f>
        <v/>
      </c>
    </row>
    <row r="109">
      <c r="A109" t="inlineStr">
        <is>
          <t>04C0126120733</t>
        </is>
      </c>
      <c r="B109" t="inlineStr">
        <is>
          <t>CRS0000674</t>
        </is>
      </c>
      <c r="C109" t="inlineStr">
        <is>
          <t>MT</t>
        </is>
      </c>
      <c r="D109" t="inlineStr">
        <is>
          <t>TCX413U-DS1B01</t>
        </is>
      </c>
      <c r="E109" s="2" t="n">
        <v>46083</v>
      </c>
      <c r="F109" t="inlineStr">
        <is>
          <t>Pass</t>
        </is>
      </c>
      <c r="G109" t="n">
        <v>111.5</v>
      </c>
      <c r="H109" t="n">
        <v>82.90000000000001</v>
      </c>
      <c r="I109" t="n">
        <v>-1957.8</v>
      </c>
      <c r="J109" t="n">
        <v>67.7</v>
      </c>
      <c r="K109" t="n">
        <v>0</v>
      </c>
      <c r="L109" t="n">
        <v>4</v>
      </c>
      <c r="M109" t="n">
        <v>0</v>
      </c>
      <c r="N109" t="n">
        <v>71.7</v>
      </c>
      <c r="O109" t="n">
        <v>111.64</v>
      </c>
      <c r="P109" t="n">
        <v>116.78</v>
      </c>
      <c r="Q109" t="n">
        <v>3.98</v>
      </c>
      <c r="R109" t="n">
        <v>3.98</v>
      </c>
      <c r="S109">
        <f>IF(OR(G109=0,G109=""),"",ABS((G109-IF($C109="LT",Config!$F$2,Config!$F$14))/IF($C109="LT",Config!$G$2,Config!$G$14)))</f>
        <v/>
      </c>
      <c r="T109">
        <f>IF(OR(H109=0,H109=""),"",ABS((H109-IF($C109="LT",Config!$F$3,Config!$F$15))/IF($C109="LT",Config!$G$3,Config!$G$15)))</f>
        <v/>
      </c>
      <c r="U109">
        <f>IF(OR(I109=0,I109=""),"",ABS((I109-IF($C109="LT",Config!$F$4,Config!$F$16))/IF($C109="LT",Config!$G$4,Config!$G$16)))</f>
        <v/>
      </c>
      <c r="V109">
        <f>IF(OR(J109=0,J109=""),"",ABS((J109-IF($C109="LT",Config!$F$5,Config!$F$17))/IF($C109="LT",Config!$G$5,Config!$G$17)))</f>
        <v/>
      </c>
      <c r="W109">
        <f>IF(OR(K109=0,K109=""),"",ABS((K109-IF($C109="LT",Config!$F$6,Config!$F$18))/IF($C109="LT",Config!$G$6,Config!$G$18)))</f>
        <v/>
      </c>
      <c r="X109">
        <f>IF(OR(L109=0,L109=""),"",ABS((L109-IF($C109="LT",Config!$F$7,Config!$F$19))/IF($C109="LT",Config!$G$7,Config!$G$19)))</f>
        <v/>
      </c>
      <c r="Y109">
        <f>IF(OR(M109=0,M109=""),"",ABS((M109-IF($C109="LT",Config!$F$8,Config!$F$20))/IF($C109="LT",Config!$G$8,Config!$G$20)))</f>
        <v/>
      </c>
      <c r="Z109">
        <f>IF(OR(N109=0,N109=""),"",ABS((N109-IF($C109="LT",Config!$F$9,Config!$F$21))/IF($C109="LT",Config!$G$9,Config!$G$21)))</f>
        <v/>
      </c>
      <c r="AA109">
        <f>IF(OR(O109=0,O109=""),"",ABS((O109-IF($C109="LT",Config!$F$10,Config!$F$22))/IF($C109="LT",Config!$G$10,Config!$G$22)))</f>
        <v/>
      </c>
      <c r="AB109">
        <f>IF(OR(P109=0,P109=""),"",ABS((P109-IF($C109="LT",Config!$F$11,Config!$F$23))/IF($C109="LT",Config!$G$11,Config!$G$23)))</f>
        <v/>
      </c>
      <c r="AC109">
        <f>IF(OR(Q109=0,Q109=""),"",ABS((Q109-IF($C109="LT",Config!$F$12,Config!$F$24))/IF($C109="LT",Config!$G$12,Config!$G$24)))</f>
        <v/>
      </c>
      <c r="AD109">
        <f>IF(OR(R109=0,R109=""),"",ABS((R109-IF($C109="LT",Config!$F$13,Config!$F$25))/IF($C109="LT",Config!$G$13,Config!$G$25)))</f>
        <v/>
      </c>
    </row>
    <row r="110">
      <c r="A110" t="inlineStr">
        <is>
          <t>04B2826120724</t>
        </is>
      </c>
      <c r="B110" t="inlineStr">
        <is>
          <t>CRS0000675</t>
        </is>
      </c>
      <c r="C110" t="inlineStr">
        <is>
          <t>LT</t>
        </is>
      </c>
      <c r="D110" t="inlineStr">
        <is>
          <t>ALX440U-DS3B01</t>
        </is>
      </c>
      <c r="E110" s="2" t="n">
        <v>46083</v>
      </c>
      <c r="F110" t="inlineStr">
        <is>
          <t>Pass</t>
        </is>
      </c>
      <c r="G110" t="n">
        <v>145.5</v>
      </c>
      <c r="H110" t="n">
        <v>98.3</v>
      </c>
      <c r="I110" t="n">
        <v>-1957.8</v>
      </c>
      <c r="J110" t="n">
        <v>68.2</v>
      </c>
      <c r="K110" t="n">
        <v>0</v>
      </c>
      <c r="L110" t="n">
        <v>3.4</v>
      </c>
      <c r="M110" t="n">
        <v>0</v>
      </c>
      <c r="N110" t="n">
        <v>71.59999999999999</v>
      </c>
      <c r="O110" t="n">
        <v>111.5</v>
      </c>
      <c r="P110" t="n">
        <v>113.11</v>
      </c>
      <c r="Q110" t="n">
        <v>8.449999999999999</v>
      </c>
      <c r="R110" t="n">
        <v>8.08</v>
      </c>
      <c r="S110">
        <f>IF(OR(G110=0,G110=""),"",ABS((G110-IF($C110="LT",Config!$F$2,Config!$F$14))/IF($C110="LT",Config!$G$2,Config!$G$14)))</f>
        <v/>
      </c>
      <c r="T110">
        <f>IF(OR(H110=0,H110=""),"",ABS((H110-IF($C110="LT",Config!$F$3,Config!$F$15))/IF($C110="LT",Config!$G$3,Config!$G$15)))</f>
        <v/>
      </c>
      <c r="U110">
        <f>IF(OR(I110=0,I110=""),"",ABS((I110-IF($C110="LT",Config!$F$4,Config!$F$16))/IF($C110="LT",Config!$G$4,Config!$G$16)))</f>
        <v/>
      </c>
      <c r="V110">
        <f>IF(OR(J110=0,J110=""),"",ABS((J110-IF($C110="LT",Config!$F$5,Config!$F$17))/IF($C110="LT",Config!$G$5,Config!$G$17)))</f>
        <v/>
      </c>
      <c r="W110">
        <f>IF(OR(K110=0,K110=""),"",ABS((K110-IF($C110="LT",Config!$F$6,Config!$F$18))/IF($C110="LT",Config!$G$6,Config!$G$18)))</f>
        <v/>
      </c>
      <c r="X110">
        <f>IF(OR(L110=0,L110=""),"",ABS((L110-IF($C110="LT",Config!$F$7,Config!$F$19))/IF($C110="LT",Config!$G$7,Config!$G$19)))</f>
        <v/>
      </c>
      <c r="Y110">
        <f>IF(OR(M110=0,M110=""),"",ABS((M110-IF($C110="LT",Config!$F$8,Config!$F$20))/IF($C110="LT",Config!$G$8,Config!$G$20)))</f>
        <v/>
      </c>
      <c r="Z110">
        <f>IF(OR(N110=0,N110=""),"",ABS((N110-IF($C110="LT",Config!$F$9,Config!$F$21))/IF($C110="LT",Config!$G$9,Config!$G$21)))</f>
        <v/>
      </c>
      <c r="AA110">
        <f>IF(OR(O110=0,O110=""),"",ABS((O110-IF($C110="LT",Config!$F$10,Config!$F$22))/IF($C110="LT",Config!$G$10,Config!$G$22)))</f>
        <v/>
      </c>
      <c r="AB110">
        <f>IF(OR(P110=0,P110=""),"",ABS((P110-IF($C110="LT",Config!$F$11,Config!$F$23))/IF($C110="LT",Config!$G$11,Config!$G$23)))</f>
        <v/>
      </c>
      <c r="AC110">
        <f>IF(OR(Q110=0,Q110=""),"",ABS((Q110-IF($C110="LT",Config!$F$12,Config!$F$24))/IF($C110="LT",Config!$G$12,Config!$G$24)))</f>
        <v/>
      </c>
      <c r="AD110">
        <f>IF(OR(R110=0,R110=""),"",ABS((R110-IF($C110="LT",Config!$F$13,Config!$F$25))/IF($C110="LT",Config!$G$13,Config!$G$25)))</f>
        <v/>
      </c>
    </row>
    <row r="111">
      <c r="A111" t="inlineStr">
        <is>
          <t>04C0226120734</t>
        </is>
      </c>
      <c r="B111" t="inlineStr">
        <is>
          <t>CRS0000674</t>
        </is>
      </c>
      <c r="C111" t="inlineStr">
        <is>
          <t>MT</t>
        </is>
      </c>
      <c r="D111" t="inlineStr">
        <is>
          <t>TCX413U-DS1B01</t>
        </is>
      </c>
      <c r="E111" s="2" t="n">
        <v>46083</v>
      </c>
      <c r="F111" t="inlineStr">
        <is>
          <t>Pass</t>
        </is>
      </c>
      <c r="G111" t="n">
        <v>110.2</v>
      </c>
      <c r="H111" t="n">
        <v>78.40000000000001</v>
      </c>
      <c r="I111" t="n">
        <v>-1957.8</v>
      </c>
      <c r="J111" t="n">
        <v>68.2</v>
      </c>
      <c r="K111" t="n">
        <v>0</v>
      </c>
      <c r="L111" t="n">
        <v>3.4</v>
      </c>
      <c r="M111" t="n">
        <v>0</v>
      </c>
      <c r="N111" t="n">
        <v>71.59999999999999</v>
      </c>
      <c r="O111" t="n">
        <v>111.94</v>
      </c>
      <c r="P111" t="n">
        <v>113.4</v>
      </c>
      <c r="Q111" t="n">
        <v>3.74</v>
      </c>
      <c r="R111" t="n">
        <v>3.74</v>
      </c>
      <c r="S111">
        <f>IF(OR(G111=0,G111=""),"",ABS((G111-IF($C111="LT",Config!$F$2,Config!$F$14))/IF($C111="LT",Config!$G$2,Config!$G$14)))</f>
        <v/>
      </c>
      <c r="T111">
        <f>IF(OR(H111=0,H111=""),"",ABS((H111-IF($C111="LT",Config!$F$3,Config!$F$15))/IF($C111="LT",Config!$G$3,Config!$G$15)))</f>
        <v/>
      </c>
      <c r="U111">
        <f>IF(OR(I111=0,I111=""),"",ABS((I111-IF($C111="LT",Config!$F$4,Config!$F$16))/IF($C111="LT",Config!$G$4,Config!$G$16)))</f>
        <v/>
      </c>
      <c r="V111">
        <f>IF(OR(J111=0,J111=""),"",ABS((J111-IF($C111="LT",Config!$F$5,Config!$F$17))/IF($C111="LT",Config!$G$5,Config!$G$17)))</f>
        <v/>
      </c>
      <c r="W111">
        <f>IF(OR(K111=0,K111=""),"",ABS((K111-IF($C111="LT",Config!$F$6,Config!$F$18))/IF($C111="LT",Config!$G$6,Config!$G$18)))</f>
        <v/>
      </c>
      <c r="X111">
        <f>IF(OR(L111=0,L111=""),"",ABS((L111-IF($C111="LT",Config!$F$7,Config!$F$19))/IF($C111="LT",Config!$G$7,Config!$G$19)))</f>
        <v/>
      </c>
      <c r="Y111">
        <f>IF(OR(M111=0,M111=""),"",ABS((M111-IF($C111="LT",Config!$F$8,Config!$F$20))/IF($C111="LT",Config!$G$8,Config!$G$20)))</f>
        <v/>
      </c>
      <c r="Z111">
        <f>IF(OR(N111=0,N111=""),"",ABS((N111-IF($C111="LT",Config!$F$9,Config!$F$21))/IF($C111="LT",Config!$G$9,Config!$G$21)))</f>
        <v/>
      </c>
      <c r="AA111">
        <f>IF(OR(O111=0,O111=""),"",ABS((O111-IF($C111="LT",Config!$F$10,Config!$F$22))/IF($C111="LT",Config!$G$10,Config!$G$22)))</f>
        <v/>
      </c>
      <c r="AB111">
        <f>IF(OR(P111=0,P111=""),"",ABS((P111-IF($C111="LT",Config!$F$11,Config!$F$23))/IF($C111="LT",Config!$G$11,Config!$G$23)))</f>
        <v/>
      </c>
      <c r="AC111">
        <f>IF(OR(Q111=0,Q111=""),"",ABS((Q111-IF($C111="LT",Config!$F$12,Config!$F$24))/IF($C111="LT",Config!$G$12,Config!$G$24)))</f>
        <v/>
      </c>
      <c r="AD111">
        <f>IF(OR(R111=0,R111=""),"",ABS((R111-IF($C111="LT",Config!$F$13,Config!$F$25))/IF($C111="LT",Config!$G$13,Config!$G$25)))</f>
        <v/>
      </c>
    </row>
    <row r="112">
      <c r="A112" t="inlineStr">
        <is>
          <t>04C0226120735</t>
        </is>
      </c>
      <c r="B112" t="inlineStr">
        <is>
          <t>CRS0000674</t>
        </is>
      </c>
      <c r="C112" t="inlineStr">
        <is>
          <t>MT</t>
        </is>
      </c>
      <c r="D112" t="inlineStr">
        <is>
          <t>TCX413U-DS1B01</t>
        </is>
      </c>
      <c r="E112" s="2" t="n">
        <v>46083</v>
      </c>
      <c r="F112" t="inlineStr">
        <is>
          <t>Pass</t>
        </is>
      </c>
      <c r="G112" t="n">
        <v>113.7</v>
      </c>
      <c r="H112" t="n">
        <v>83.8</v>
      </c>
      <c r="I112" t="n">
        <v>-1957.8</v>
      </c>
      <c r="J112" t="n">
        <v>67.7</v>
      </c>
      <c r="K112" t="n">
        <v>0</v>
      </c>
      <c r="L112" t="n">
        <v>2.4</v>
      </c>
      <c r="M112" t="n">
        <v>0</v>
      </c>
      <c r="N112" t="n">
        <v>70.09999999999999</v>
      </c>
      <c r="O112" t="n">
        <v>112.16</v>
      </c>
      <c r="P112" t="n">
        <v>116.48</v>
      </c>
      <c r="Q112" t="n">
        <v>3.83</v>
      </c>
      <c r="R112" t="n">
        <v>3.83</v>
      </c>
      <c r="S112">
        <f>IF(OR(G112=0,G112=""),"",ABS((G112-IF($C112="LT",Config!$F$2,Config!$F$14))/IF($C112="LT",Config!$G$2,Config!$G$14)))</f>
        <v/>
      </c>
      <c r="T112">
        <f>IF(OR(H112=0,H112=""),"",ABS((H112-IF($C112="LT",Config!$F$3,Config!$F$15))/IF($C112="LT",Config!$G$3,Config!$G$15)))</f>
        <v/>
      </c>
      <c r="U112">
        <f>IF(OR(I112=0,I112=""),"",ABS((I112-IF($C112="LT",Config!$F$4,Config!$F$16))/IF($C112="LT",Config!$G$4,Config!$G$16)))</f>
        <v/>
      </c>
      <c r="V112">
        <f>IF(OR(J112=0,J112=""),"",ABS((J112-IF($C112="LT",Config!$F$5,Config!$F$17))/IF($C112="LT",Config!$G$5,Config!$G$17)))</f>
        <v/>
      </c>
      <c r="W112">
        <f>IF(OR(K112=0,K112=""),"",ABS((K112-IF($C112="LT",Config!$F$6,Config!$F$18))/IF($C112="LT",Config!$G$6,Config!$G$18)))</f>
        <v/>
      </c>
      <c r="X112">
        <f>IF(OR(L112=0,L112=""),"",ABS((L112-IF($C112="LT",Config!$F$7,Config!$F$19))/IF($C112="LT",Config!$G$7,Config!$G$19)))</f>
        <v/>
      </c>
      <c r="Y112">
        <f>IF(OR(M112=0,M112=""),"",ABS((M112-IF($C112="LT",Config!$F$8,Config!$F$20))/IF($C112="LT",Config!$G$8,Config!$G$20)))</f>
        <v/>
      </c>
      <c r="Z112">
        <f>IF(OR(N112=0,N112=""),"",ABS((N112-IF($C112="LT",Config!$F$9,Config!$F$21))/IF($C112="LT",Config!$G$9,Config!$G$21)))</f>
        <v/>
      </c>
      <c r="AA112">
        <f>IF(OR(O112=0,O112=""),"",ABS((O112-IF($C112="LT",Config!$F$10,Config!$F$22))/IF($C112="LT",Config!$G$10,Config!$G$22)))</f>
        <v/>
      </c>
      <c r="AB112">
        <f>IF(OR(P112=0,P112=""),"",ABS((P112-IF($C112="LT",Config!$F$11,Config!$F$23))/IF($C112="LT",Config!$G$11,Config!$G$23)))</f>
        <v/>
      </c>
      <c r="AC112">
        <f>IF(OR(Q112=0,Q112=""),"",ABS((Q112-IF($C112="LT",Config!$F$12,Config!$F$24))/IF($C112="LT",Config!$G$12,Config!$G$24)))</f>
        <v/>
      </c>
      <c r="AD112">
        <f>IF(OR(R112=0,R112=""),"",ABS((R112-IF($C112="LT",Config!$F$13,Config!$F$25))/IF($C112="LT",Config!$G$13,Config!$G$25)))</f>
        <v/>
      </c>
    </row>
    <row r="113">
      <c r="A113" t="inlineStr">
        <is>
          <t>04C0226120737</t>
        </is>
      </c>
      <c r="B113" t="inlineStr">
        <is>
          <t>CRS0000674</t>
        </is>
      </c>
      <c r="C113" t="inlineStr">
        <is>
          <t>MT</t>
        </is>
      </c>
      <c r="D113" t="inlineStr">
        <is>
          <t>TCX413U-DS1B01</t>
        </is>
      </c>
      <c r="E113" s="2" t="n">
        <v>46083</v>
      </c>
      <c r="F113" t="inlineStr">
        <is>
          <t>Pass</t>
        </is>
      </c>
      <c r="G113" t="n">
        <v>116.9</v>
      </c>
      <c r="H113" t="n">
        <v>85.2</v>
      </c>
      <c r="I113" t="n">
        <v>-1957.8</v>
      </c>
      <c r="J113" t="n">
        <v>68.2</v>
      </c>
      <c r="K113" t="n">
        <v>0</v>
      </c>
      <c r="L113" t="n">
        <v>3.7</v>
      </c>
      <c r="M113" t="n">
        <v>0</v>
      </c>
      <c r="N113" t="n">
        <v>71.90000000000001</v>
      </c>
      <c r="O113" t="n">
        <v>115.02</v>
      </c>
      <c r="P113" t="n">
        <v>114.94</v>
      </c>
      <c r="Q113" t="n">
        <v>3.83</v>
      </c>
      <c r="R113" t="n">
        <v>3.98</v>
      </c>
      <c r="S113">
        <f>IF(OR(G113=0,G113=""),"",ABS((G113-IF($C113="LT",Config!$F$2,Config!$F$14))/IF($C113="LT",Config!$G$2,Config!$G$14)))</f>
        <v/>
      </c>
      <c r="T113">
        <f>IF(OR(H113=0,H113=""),"",ABS((H113-IF($C113="LT",Config!$F$3,Config!$F$15))/IF($C113="LT",Config!$G$3,Config!$G$15)))</f>
        <v/>
      </c>
      <c r="U113">
        <f>IF(OR(I113=0,I113=""),"",ABS((I113-IF($C113="LT",Config!$F$4,Config!$F$16))/IF($C113="LT",Config!$G$4,Config!$G$16)))</f>
        <v/>
      </c>
      <c r="V113">
        <f>IF(OR(J113=0,J113=""),"",ABS((J113-IF($C113="LT",Config!$F$5,Config!$F$17))/IF($C113="LT",Config!$G$5,Config!$G$17)))</f>
        <v/>
      </c>
      <c r="W113">
        <f>IF(OR(K113=0,K113=""),"",ABS((K113-IF($C113="LT",Config!$F$6,Config!$F$18))/IF($C113="LT",Config!$G$6,Config!$G$18)))</f>
        <v/>
      </c>
      <c r="X113">
        <f>IF(OR(L113=0,L113=""),"",ABS((L113-IF($C113="LT",Config!$F$7,Config!$F$19))/IF($C113="LT",Config!$G$7,Config!$G$19)))</f>
        <v/>
      </c>
      <c r="Y113">
        <f>IF(OR(M113=0,M113=""),"",ABS((M113-IF($C113="LT",Config!$F$8,Config!$F$20))/IF($C113="LT",Config!$G$8,Config!$G$20)))</f>
        <v/>
      </c>
      <c r="Z113">
        <f>IF(OR(N113=0,N113=""),"",ABS((N113-IF($C113="LT",Config!$F$9,Config!$F$21))/IF($C113="LT",Config!$G$9,Config!$G$21)))</f>
        <v/>
      </c>
      <c r="AA113">
        <f>IF(OR(O113=0,O113=""),"",ABS((O113-IF($C113="LT",Config!$F$10,Config!$F$22))/IF($C113="LT",Config!$G$10,Config!$G$22)))</f>
        <v/>
      </c>
      <c r="AB113">
        <f>IF(OR(P113=0,P113=""),"",ABS((P113-IF($C113="LT",Config!$F$11,Config!$F$23))/IF($C113="LT",Config!$G$11,Config!$G$23)))</f>
        <v/>
      </c>
      <c r="AC113">
        <f>IF(OR(Q113=0,Q113=""),"",ABS((Q113-IF($C113="LT",Config!$F$12,Config!$F$24))/IF($C113="LT",Config!$G$12,Config!$G$24)))</f>
        <v/>
      </c>
      <c r="AD113">
        <f>IF(OR(R113=0,R113=""),"",ABS((R113-IF($C113="LT",Config!$F$13,Config!$F$25))/IF($C113="LT",Config!$G$13,Config!$G$25)))</f>
        <v/>
      </c>
    </row>
    <row r="114">
      <c r="A114" t="inlineStr">
        <is>
          <t>04C0226120738</t>
        </is>
      </c>
      <c r="B114" t="inlineStr">
        <is>
          <t>CRS0000674</t>
        </is>
      </c>
      <c r="C114" t="inlineStr">
        <is>
          <t>MT</t>
        </is>
      </c>
      <c r="D114" t="inlineStr">
        <is>
          <t>TCX413U-DS1B01</t>
        </is>
      </c>
      <c r="E114" s="2" t="n">
        <v>46083</v>
      </c>
      <c r="F114" t="inlineStr">
        <is>
          <t>Pass</t>
        </is>
      </c>
      <c r="G114" t="n">
        <v>114.6</v>
      </c>
      <c r="H114" t="n">
        <v>83.40000000000001</v>
      </c>
      <c r="I114" t="n">
        <v>-1957.8</v>
      </c>
      <c r="J114" t="n">
        <v>68.59999999999999</v>
      </c>
      <c r="K114" t="n">
        <v>0</v>
      </c>
      <c r="L114" t="n">
        <v>3.4</v>
      </c>
      <c r="M114" t="n">
        <v>0</v>
      </c>
      <c r="N114" t="n">
        <v>72</v>
      </c>
      <c r="O114" t="n">
        <v>112.23</v>
      </c>
      <c r="P114" t="n">
        <v>116.41</v>
      </c>
      <c r="Q114" t="n">
        <v>3.91</v>
      </c>
      <c r="R114" t="n">
        <v>3.86</v>
      </c>
      <c r="S114">
        <f>IF(OR(G114=0,G114=""),"",ABS((G114-IF($C114="LT",Config!$F$2,Config!$F$14))/IF($C114="LT",Config!$G$2,Config!$G$14)))</f>
        <v/>
      </c>
      <c r="T114">
        <f>IF(OR(H114=0,H114=""),"",ABS((H114-IF($C114="LT",Config!$F$3,Config!$F$15))/IF($C114="LT",Config!$G$3,Config!$G$15)))</f>
        <v/>
      </c>
      <c r="U114">
        <f>IF(OR(I114=0,I114=""),"",ABS((I114-IF($C114="LT",Config!$F$4,Config!$F$16))/IF($C114="LT",Config!$G$4,Config!$G$16)))</f>
        <v/>
      </c>
      <c r="V114">
        <f>IF(OR(J114=0,J114=""),"",ABS((J114-IF($C114="LT",Config!$F$5,Config!$F$17))/IF($C114="LT",Config!$G$5,Config!$G$17)))</f>
        <v/>
      </c>
      <c r="W114">
        <f>IF(OR(K114=0,K114=""),"",ABS((K114-IF($C114="LT",Config!$F$6,Config!$F$18))/IF($C114="LT",Config!$G$6,Config!$G$18)))</f>
        <v/>
      </c>
      <c r="X114">
        <f>IF(OR(L114=0,L114=""),"",ABS((L114-IF($C114="LT",Config!$F$7,Config!$F$19))/IF($C114="LT",Config!$G$7,Config!$G$19)))</f>
        <v/>
      </c>
      <c r="Y114">
        <f>IF(OR(M114=0,M114=""),"",ABS((M114-IF($C114="LT",Config!$F$8,Config!$F$20))/IF($C114="LT",Config!$G$8,Config!$G$20)))</f>
        <v/>
      </c>
      <c r="Z114">
        <f>IF(OR(N114=0,N114=""),"",ABS((N114-IF($C114="LT",Config!$F$9,Config!$F$21))/IF($C114="LT",Config!$G$9,Config!$G$21)))</f>
        <v/>
      </c>
      <c r="AA114">
        <f>IF(OR(O114=0,O114=""),"",ABS((O114-IF($C114="LT",Config!$F$10,Config!$F$22))/IF($C114="LT",Config!$G$10,Config!$G$22)))</f>
        <v/>
      </c>
      <c r="AB114">
        <f>IF(OR(P114=0,P114=""),"",ABS((P114-IF($C114="LT",Config!$F$11,Config!$F$23))/IF($C114="LT",Config!$G$11,Config!$G$23)))</f>
        <v/>
      </c>
      <c r="AC114">
        <f>IF(OR(Q114=0,Q114=""),"",ABS((Q114-IF($C114="LT",Config!$F$12,Config!$F$24))/IF($C114="LT",Config!$G$12,Config!$G$24)))</f>
        <v/>
      </c>
      <c r="AD114">
        <f>IF(OR(R114=0,R114=""),"",ABS((R114-IF($C114="LT",Config!$F$13,Config!$F$25))/IF($C114="LT",Config!$G$13,Config!$G$25)))</f>
        <v/>
      </c>
    </row>
    <row r="115">
      <c r="A115" t="inlineStr">
        <is>
          <t>04B2826120726</t>
        </is>
      </c>
      <c r="B115" t="inlineStr">
        <is>
          <t>CRS0000675</t>
        </is>
      </c>
      <c r="C115" t="inlineStr">
        <is>
          <t>LT</t>
        </is>
      </c>
      <c r="D115" t="inlineStr">
        <is>
          <t>ALX440U-DS3B01</t>
        </is>
      </c>
      <c r="E115" s="2" t="n">
        <v>46083</v>
      </c>
      <c r="F115" t="inlineStr">
        <is>
          <t>Fail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>
        <f>IF(OR(G115=0,G115=""),"",ABS((G115-IF($C115="LT",Config!$F$2,Config!$F$14))/IF($C115="LT",Config!$G$2,Config!$G$14)))</f>
        <v/>
      </c>
      <c r="T115">
        <f>IF(OR(H115=0,H115=""),"",ABS((H115-IF($C115="LT",Config!$F$3,Config!$F$15))/IF($C115="LT",Config!$G$3,Config!$G$15)))</f>
        <v/>
      </c>
      <c r="U115">
        <f>IF(OR(I115=0,I115=""),"",ABS((I115-IF($C115="LT",Config!$F$4,Config!$F$16))/IF($C115="LT",Config!$G$4,Config!$G$16)))</f>
        <v/>
      </c>
      <c r="V115">
        <f>IF(OR(J115=0,J115=""),"",ABS((J115-IF($C115="LT",Config!$F$5,Config!$F$17))/IF($C115="LT",Config!$G$5,Config!$G$17)))</f>
        <v/>
      </c>
      <c r="W115">
        <f>IF(OR(K115=0,K115=""),"",ABS((K115-IF($C115="LT",Config!$F$6,Config!$F$18))/IF($C115="LT",Config!$G$6,Config!$G$18)))</f>
        <v/>
      </c>
      <c r="X115">
        <f>IF(OR(L115=0,L115=""),"",ABS((L115-IF($C115="LT",Config!$F$7,Config!$F$19))/IF($C115="LT",Config!$G$7,Config!$G$19)))</f>
        <v/>
      </c>
      <c r="Y115">
        <f>IF(OR(M115=0,M115=""),"",ABS((M115-IF($C115="LT",Config!$F$8,Config!$F$20))/IF($C115="LT",Config!$G$8,Config!$G$20)))</f>
        <v/>
      </c>
      <c r="Z115">
        <f>IF(OR(N115=0,N115=""),"",ABS((N115-IF($C115="LT",Config!$F$9,Config!$F$21))/IF($C115="LT",Config!$G$9,Config!$G$21)))</f>
        <v/>
      </c>
      <c r="AA115">
        <f>IF(OR(O115=0,O115=""),"",ABS((O115-IF($C115="LT",Config!$F$10,Config!$F$22))/IF($C115="LT",Config!$G$10,Config!$G$22)))</f>
        <v/>
      </c>
      <c r="AB115">
        <f>IF(OR(P115=0,P115=""),"",ABS((P115-IF($C115="LT",Config!$F$11,Config!$F$23))/IF($C115="LT",Config!$G$11,Config!$G$23)))</f>
        <v/>
      </c>
      <c r="AC115">
        <f>IF(OR(Q115=0,Q115=""),"",ABS((Q115-IF($C115="LT",Config!$F$12,Config!$F$24))/IF($C115="LT",Config!$G$12,Config!$G$24)))</f>
        <v/>
      </c>
      <c r="AD115">
        <f>IF(OR(R115=0,R115=""),"",ABS((R115-IF($C115="LT",Config!$F$13,Config!$F$25))/IF($C115="LT",Config!$G$13,Config!$G$25)))</f>
        <v/>
      </c>
    </row>
    <row r="116">
      <c r="A116" t="inlineStr">
        <is>
          <t>04B2826120726</t>
        </is>
      </c>
      <c r="B116" t="inlineStr">
        <is>
          <t>CRS0000675</t>
        </is>
      </c>
      <c r="C116" t="inlineStr">
        <is>
          <t>LT</t>
        </is>
      </c>
      <c r="D116" t="inlineStr">
        <is>
          <t>ALX440U-DS3B01</t>
        </is>
      </c>
      <c r="E116" s="2" t="n">
        <v>46083</v>
      </c>
      <c r="F116" t="inlineStr">
        <is>
          <t>Pass</t>
        </is>
      </c>
      <c r="G116" t="n">
        <v>145</v>
      </c>
      <c r="H116" t="n">
        <v>94.2</v>
      </c>
      <c r="I116" t="n">
        <v>-1957.8</v>
      </c>
      <c r="J116" t="n">
        <v>68.59999999999999</v>
      </c>
      <c r="K116" t="n">
        <v>0</v>
      </c>
      <c r="L116" t="n">
        <v>0.7</v>
      </c>
      <c r="M116" t="n">
        <v>0</v>
      </c>
      <c r="N116" t="n">
        <v>69.3</v>
      </c>
      <c r="O116" t="n">
        <v>112.01</v>
      </c>
      <c r="P116" t="n">
        <v>113.26</v>
      </c>
      <c r="Q116" t="n">
        <v>7.1</v>
      </c>
      <c r="R116" t="n">
        <v>7.67</v>
      </c>
      <c r="S116">
        <f>IF(OR(G116=0,G116=""),"",ABS((G116-IF($C116="LT",Config!$F$2,Config!$F$14))/IF($C116="LT",Config!$G$2,Config!$G$14)))</f>
        <v/>
      </c>
      <c r="T116">
        <f>IF(OR(H116=0,H116=""),"",ABS((H116-IF($C116="LT",Config!$F$3,Config!$F$15))/IF($C116="LT",Config!$G$3,Config!$G$15)))</f>
        <v/>
      </c>
      <c r="U116">
        <f>IF(OR(I116=0,I116=""),"",ABS((I116-IF($C116="LT",Config!$F$4,Config!$F$16))/IF($C116="LT",Config!$G$4,Config!$G$16)))</f>
        <v/>
      </c>
      <c r="V116">
        <f>IF(OR(J116=0,J116=""),"",ABS((J116-IF($C116="LT",Config!$F$5,Config!$F$17))/IF($C116="LT",Config!$G$5,Config!$G$17)))</f>
        <v/>
      </c>
      <c r="W116">
        <f>IF(OR(K116=0,K116=""),"",ABS((K116-IF($C116="LT",Config!$F$6,Config!$F$18))/IF($C116="LT",Config!$G$6,Config!$G$18)))</f>
        <v/>
      </c>
      <c r="X116">
        <f>IF(OR(L116=0,L116=""),"",ABS((L116-IF($C116="LT",Config!$F$7,Config!$F$19))/IF($C116="LT",Config!$G$7,Config!$G$19)))</f>
        <v/>
      </c>
      <c r="Y116">
        <f>IF(OR(M116=0,M116=""),"",ABS((M116-IF($C116="LT",Config!$F$8,Config!$F$20))/IF($C116="LT",Config!$G$8,Config!$G$20)))</f>
        <v/>
      </c>
      <c r="Z116">
        <f>IF(OR(N116=0,N116=""),"",ABS((N116-IF($C116="LT",Config!$F$9,Config!$F$21))/IF($C116="LT",Config!$G$9,Config!$G$21)))</f>
        <v/>
      </c>
      <c r="AA116">
        <f>IF(OR(O116=0,O116=""),"",ABS((O116-IF($C116="LT",Config!$F$10,Config!$F$22))/IF($C116="LT",Config!$G$10,Config!$G$22)))</f>
        <v/>
      </c>
      <c r="AB116">
        <f>IF(OR(P116=0,P116=""),"",ABS((P116-IF($C116="LT",Config!$F$11,Config!$F$23))/IF($C116="LT",Config!$G$11,Config!$G$23)))</f>
        <v/>
      </c>
      <c r="AC116">
        <f>IF(OR(Q116=0,Q116=""),"",ABS((Q116-IF($C116="LT",Config!$F$12,Config!$F$24))/IF($C116="LT",Config!$G$12,Config!$G$24)))</f>
        <v/>
      </c>
      <c r="AD116">
        <f>IF(OR(R116=0,R116=""),"",ABS((R116-IF($C116="LT",Config!$F$13,Config!$F$25))/IF($C116="LT",Config!$G$13,Config!$G$25)))</f>
        <v/>
      </c>
    </row>
    <row r="117">
      <c r="A117" t="inlineStr">
        <is>
          <t>04C0226120739</t>
        </is>
      </c>
      <c r="B117" t="inlineStr">
        <is>
          <t>CRS0000674</t>
        </is>
      </c>
      <c r="C117" t="inlineStr">
        <is>
          <t>MT</t>
        </is>
      </c>
      <c r="D117" t="inlineStr">
        <is>
          <t>TCX413U-DS1B01</t>
        </is>
      </c>
      <c r="E117" s="2" t="n">
        <v>46083</v>
      </c>
      <c r="F117" t="inlineStr">
        <is>
          <t>Pass</t>
        </is>
      </c>
      <c r="G117" t="n">
        <v>110.6</v>
      </c>
      <c r="H117" t="n">
        <v>79.3</v>
      </c>
      <c r="I117" t="n">
        <v>-1957.8</v>
      </c>
      <c r="J117" t="n">
        <v>68.59999999999999</v>
      </c>
      <c r="K117" t="n">
        <v>0</v>
      </c>
      <c r="L117" t="n">
        <v>2.6</v>
      </c>
      <c r="M117" t="n">
        <v>0</v>
      </c>
      <c r="N117" t="n">
        <v>71.2</v>
      </c>
      <c r="O117" t="n">
        <v>114.94</v>
      </c>
      <c r="P117" t="n">
        <v>115.02</v>
      </c>
      <c r="Q117" t="n">
        <v>3.76</v>
      </c>
      <c r="R117" t="n">
        <v>3.81</v>
      </c>
      <c r="S117">
        <f>IF(OR(G117=0,G117=""),"",ABS((G117-IF($C117="LT",Config!$F$2,Config!$F$14))/IF($C117="LT",Config!$G$2,Config!$G$14)))</f>
        <v/>
      </c>
      <c r="T117">
        <f>IF(OR(H117=0,H117=""),"",ABS((H117-IF($C117="LT",Config!$F$3,Config!$F$15))/IF($C117="LT",Config!$G$3,Config!$G$15)))</f>
        <v/>
      </c>
      <c r="U117">
        <f>IF(OR(I117=0,I117=""),"",ABS((I117-IF($C117="LT",Config!$F$4,Config!$F$16))/IF($C117="LT",Config!$G$4,Config!$G$16)))</f>
        <v/>
      </c>
      <c r="V117">
        <f>IF(OR(J117=0,J117=""),"",ABS((J117-IF($C117="LT",Config!$F$5,Config!$F$17))/IF($C117="LT",Config!$G$5,Config!$G$17)))</f>
        <v/>
      </c>
      <c r="W117">
        <f>IF(OR(K117=0,K117=""),"",ABS((K117-IF($C117="LT",Config!$F$6,Config!$F$18))/IF($C117="LT",Config!$G$6,Config!$G$18)))</f>
        <v/>
      </c>
      <c r="X117">
        <f>IF(OR(L117=0,L117=""),"",ABS((L117-IF($C117="LT",Config!$F$7,Config!$F$19))/IF($C117="LT",Config!$G$7,Config!$G$19)))</f>
        <v/>
      </c>
      <c r="Y117">
        <f>IF(OR(M117=0,M117=""),"",ABS((M117-IF($C117="LT",Config!$F$8,Config!$F$20))/IF($C117="LT",Config!$G$8,Config!$G$20)))</f>
        <v/>
      </c>
      <c r="Z117">
        <f>IF(OR(N117=0,N117=""),"",ABS((N117-IF($C117="LT",Config!$F$9,Config!$F$21))/IF($C117="LT",Config!$G$9,Config!$G$21)))</f>
        <v/>
      </c>
      <c r="AA117">
        <f>IF(OR(O117=0,O117=""),"",ABS((O117-IF($C117="LT",Config!$F$10,Config!$F$22))/IF($C117="LT",Config!$G$10,Config!$G$22)))</f>
        <v/>
      </c>
      <c r="AB117">
        <f>IF(OR(P117=0,P117=""),"",ABS((P117-IF($C117="LT",Config!$F$11,Config!$F$23))/IF($C117="LT",Config!$G$11,Config!$G$23)))</f>
        <v/>
      </c>
      <c r="AC117">
        <f>IF(OR(Q117=0,Q117=""),"",ABS((Q117-IF($C117="LT",Config!$F$12,Config!$F$24))/IF($C117="LT",Config!$G$12,Config!$G$24)))</f>
        <v/>
      </c>
      <c r="AD117">
        <f>IF(OR(R117=0,R117=""),"",ABS((R117-IF($C117="LT",Config!$F$13,Config!$F$25))/IF($C117="LT",Config!$G$13,Config!$G$25)))</f>
        <v/>
      </c>
    </row>
    <row r="118">
      <c r="A118" t="inlineStr">
        <is>
          <t>04C0226120740</t>
        </is>
      </c>
      <c r="B118" t="inlineStr">
        <is>
          <t>CRS0000674</t>
        </is>
      </c>
      <c r="C118" t="inlineStr">
        <is>
          <t>MT</t>
        </is>
      </c>
      <c r="D118" t="inlineStr">
        <is>
          <t>TCX413U-DS1B01</t>
        </is>
      </c>
      <c r="E118" s="2" t="n">
        <v>46083</v>
      </c>
      <c r="F118" t="inlineStr">
        <is>
          <t>Fail</t>
        </is>
      </c>
      <c r="G118" t="n">
        <v>109.3</v>
      </c>
      <c r="H118" t="n">
        <v>78.40000000000001</v>
      </c>
      <c r="I118" t="n">
        <v>-1957.8</v>
      </c>
      <c r="J118" t="n">
        <v>68.59999999999999</v>
      </c>
      <c r="K118" t="n">
        <v>0</v>
      </c>
      <c r="L118" t="n">
        <v>2.2</v>
      </c>
      <c r="M118" t="n">
        <v>0</v>
      </c>
      <c r="N118" t="n">
        <v>70.8</v>
      </c>
      <c r="O118" t="n">
        <v>112.38</v>
      </c>
      <c r="P118" t="n">
        <v>116.63</v>
      </c>
      <c r="Q118" t="n">
        <v>3.69</v>
      </c>
      <c r="R118" t="n">
        <v>3.71</v>
      </c>
      <c r="S118">
        <f>IF(OR(G118=0,G118=""),"",ABS((G118-IF($C118="LT",Config!$F$2,Config!$F$14))/IF($C118="LT",Config!$G$2,Config!$G$14)))</f>
        <v/>
      </c>
      <c r="T118">
        <f>IF(OR(H118=0,H118=""),"",ABS((H118-IF($C118="LT",Config!$F$3,Config!$F$15))/IF($C118="LT",Config!$G$3,Config!$G$15)))</f>
        <v/>
      </c>
      <c r="U118">
        <f>IF(OR(I118=0,I118=""),"",ABS((I118-IF($C118="LT",Config!$F$4,Config!$F$16))/IF($C118="LT",Config!$G$4,Config!$G$16)))</f>
        <v/>
      </c>
      <c r="V118">
        <f>IF(OR(J118=0,J118=""),"",ABS((J118-IF($C118="LT",Config!$F$5,Config!$F$17))/IF($C118="LT",Config!$G$5,Config!$G$17)))</f>
        <v/>
      </c>
      <c r="W118">
        <f>IF(OR(K118=0,K118=""),"",ABS((K118-IF($C118="LT",Config!$F$6,Config!$F$18))/IF($C118="LT",Config!$G$6,Config!$G$18)))</f>
        <v/>
      </c>
      <c r="X118">
        <f>IF(OR(L118=0,L118=""),"",ABS((L118-IF($C118="LT",Config!$F$7,Config!$F$19))/IF($C118="LT",Config!$G$7,Config!$G$19)))</f>
        <v/>
      </c>
      <c r="Y118">
        <f>IF(OR(M118=0,M118=""),"",ABS((M118-IF($C118="LT",Config!$F$8,Config!$F$20))/IF($C118="LT",Config!$G$8,Config!$G$20)))</f>
        <v/>
      </c>
      <c r="Z118">
        <f>IF(OR(N118=0,N118=""),"",ABS((N118-IF($C118="LT",Config!$F$9,Config!$F$21))/IF($C118="LT",Config!$G$9,Config!$G$21)))</f>
        <v/>
      </c>
      <c r="AA118">
        <f>IF(OR(O118=0,O118=""),"",ABS((O118-IF($C118="LT",Config!$F$10,Config!$F$22))/IF($C118="LT",Config!$G$10,Config!$G$22)))</f>
        <v/>
      </c>
      <c r="AB118">
        <f>IF(OR(P118=0,P118=""),"",ABS((P118-IF($C118="LT",Config!$F$11,Config!$F$23))/IF($C118="LT",Config!$G$11,Config!$G$23)))</f>
        <v/>
      </c>
      <c r="AC118">
        <f>IF(OR(Q118=0,Q118=""),"",ABS((Q118-IF($C118="LT",Config!$F$12,Config!$F$24))/IF($C118="LT",Config!$G$12,Config!$G$24)))</f>
        <v/>
      </c>
      <c r="AD118">
        <f>IF(OR(R118=0,R118=""),"",ABS((R118-IF($C118="LT",Config!$F$13,Config!$F$25))/IF($C118="LT",Config!$G$13,Config!$G$25)))</f>
        <v/>
      </c>
    </row>
    <row r="119">
      <c r="A119" t="inlineStr">
        <is>
          <t>04C0226120740</t>
        </is>
      </c>
      <c r="B119" t="inlineStr">
        <is>
          <t>CRS0000674</t>
        </is>
      </c>
      <c r="C119" t="inlineStr">
        <is>
          <t>MT</t>
        </is>
      </c>
      <c r="D119" t="inlineStr">
        <is>
          <t>TCX413U-DS1B01</t>
        </is>
      </c>
      <c r="E119" s="2" t="n">
        <v>46083</v>
      </c>
      <c r="F119" t="inlineStr">
        <is>
          <t>Pass</t>
        </is>
      </c>
      <c r="G119" t="n">
        <v>118.7</v>
      </c>
      <c r="H119" t="n">
        <v>85.2</v>
      </c>
      <c r="I119" t="n">
        <v>-1957.8</v>
      </c>
      <c r="J119" t="n">
        <v>68.59999999999999</v>
      </c>
      <c r="K119" t="n">
        <v>0</v>
      </c>
      <c r="L119" t="n">
        <v>2.8</v>
      </c>
      <c r="M119" t="n">
        <v>0</v>
      </c>
      <c r="N119" t="n">
        <v>71.40000000000001</v>
      </c>
      <c r="O119" t="n">
        <v>115.09</v>
      </c>
      <c r="P119" t="n">
        <v>114.8</v>
      </c>
      <c r="Q119" t="n">
        <v>3.86</v>
      </c>
      <c r="R119" t="n">
        <v>3.96</v>
      </c>
      <c r="S119">
        <f>IF(OR(G119=0,G119=""),"",ABS((G119-IF($C119="LT",Config!$F$2,Config!$F$14))/IF($C119="LT",Config!$G$2,Config!$G$14)))</f>
        <v/>
      </c>
      <c r="T119">
        <f>IF(OR(H119=0,H119=""),"",ABS((H119-IF($C119="LT",Config!$F$3,Config!$F$15))/IF($C119="LT",Config!$G$3,Config!$G$15)))</f>
        <v/>
      </c>
      <c r="U119">
        <f>IF(OR(I119=0,I119=""),"",ABS((I119-IF($C119="LT",Config!$F$4,Config!$F$16))/IF($C119="LT",Config!$G$4,Config!$G$16)))</f>
        <v/>
      </c>
      <c r="V119">
        <f>IF(OR(J119=0,J119=""),"",ABS((J119-IF($C119="LT",Config!$F$5,Config!$F$17))/IF($C119="LT",Config!$G$5,Config!$G$17)))</f>
        <v/>
      </c>
      <c r="W119">
        <f>IF(OR(K119=0,K119=""),"",ABS((K119-IF($C119="LT",Config!$F$6,Config!$F$18))/IF($C119="LT",Config!$G$6,Config!$G$18)))</f>
        <v/>
      </c>
      <c r="X119">
        <f>IF(OR(L119=0,L119=""),"",ABS((L119-IF($C119="LT",Config!$F$7,Config!$F$19))/IF($C119="LT",Config!$G$7,Config!$G$19)))</f>
        <v/>
      </c>
      <c r="Y119">
        <f>IF(OR(M119=0,M119=""),"",ABS((M119-IF($C119="LT",Config!$F$8,Config!$F$20))/IF($C119="LT",Config!$G$8,Config!$G$20)))</f>
        <v/>
      </c>
      <c r="Z119">
        <f>IF(OR(N119=0,N119=""),"",ABS((N119-IF($C119="LT",Config!$F$9,Config!$F$21))/IF($C119="LT",Config!$G$9,Config!$G$21)))</f>
        <v/>
      </c>
      <c r="AA119">
        <f>IF(OR(O119=0,O119=""),"",ABS((O119-IF($C119="LT",Config!$F$10,Config!$F$22))/IF($C119="LT",Config!$G$10,Config!$G$22)))</f>
        <v/>
      </c>
      <c r="AB119">
        <f>IF(OR(P119=0,P119=""),"",ABS((P119-IF($C119="LT",Config!$F$11,Config!$F$23))/IF($C119="LT",Config!$G$11,Config!$G$23)))</f>
        <v/>
      </c>
      <c r="AC119">
        <f>IF(OR(Q119=0,Q119=""),"",ABS((Q119-IF($C119="LT",Config!$F$12,Config!$F$24))/IF($C119="LT",Config!$G$12,Config!$G$24)))</f>
        <v/>
      </c>
      <c r="AD119">
        <f>IF(OR(R119=0,R119=""),"",ABS((R119-IF($C119="LT",Config!$F$13,Config!$F$25))/IF($C119="LT",Config!$G$13,Config!$G$25)))</f>
        <v/>
      </c>
    </row>
    <row r="120">
      <c r="A120" t="inlineStr">
        <is>
          <t>04C0226120741</t>
        </is>
      </c>
      <c r="B120" t="inlineStr">
        <is>
          <t>CRS0000674</t>
        </is>
      </c>
      <c r="C120" t="inlineStr">
        <is>
          <t>MT</t>
        </is>
      </c>
      <c r="D120" t="inlineStr">
        <is>
          <t>TCX413U-DS1B01</t>
        </is>
      </c>
      <c r="E120" s="2" t="n">
        <v>46083</v>
      </c>
      <c r="F120" t="inlineStr">
        <is>
          <t>Pass</t>
        </is>
      </c>
      <c r="G120" t="n">
        <v>116.9</v>
      </c>
      <c r="H120" t="n">
        <v>84.7</v>
      </c>
      <c r="I120" t="n">
        <v>-1957.8</v>
      </c>
      <c r="J120" t="n">
        <v>69.09999999999999</v>
      </c>
      <c r="K120" t="n">
        <v>0</v>
      </c>
      <c r="L120" t="n">
        <v>1.2</v>
      </c>
      <c r="M120" t="n">
        <v>0</v>
      </c>
      <c r="N120" t="n">
        <v>70.3</v>
      </c>
      <c r="O120" t="n">
        <v>111.79</v>
      </c>
      <c r="P120" t="n">
        <v>113.33</v>
      </c>
      <c r="Q120" t="n">
        <v>3.86</v>
      </c>
      <c r="R120" t="n">
        <v>3.96</v>
      </c>
      <c r="S120">
        <f>IF(OR(G120=0,G120=""),"",ABS((G120-IF($C120="LT",Config!$F$2,Config!$F$14))/IF($C120="LT",Config!$G$2,Config!$G$14)))</f>
        <v/>
      </c>
      <c r="T120">
        <f>IF(OR(H120=0,H120=""),"",ABS((H120-IF($C120="LT",Config!$F$3,Config!$F$15))/IF($C120="LT",Config!$G$3,Config!$G$15)))</f>
        <v/>
      </c>
      <c r="U120">
        <f>IF(OR(I120=0,I120=""),"",ABS((I120-IF($C120="LT",Config!$F$4,Config!$F$16))/IF($C120="LT",Config!$G$4,Config!$G$16)))</f>
        <v/>
      </c>
      <c r="V120">
        <f>IF(OR(J120=0,J120=""),"",ABS((J120-IF($C120="LT",Config!$F$5,Config!$F$17))/IF($C120="LT",Config!$G$5,Config!$G$17)))</f>
        <v/>
      </c>
      <c r="W120">
        <f>IF(OR(K120=0,K120=""),"",ABS((K120-IF($C120="LT",Config!$F$6,Config!$F$18))/IF($C120="LT",Config!$G$6,Config!$G$18)))</f>
        <v/>
      </c>
      <c r="X120">
        <f>IF(OR(L120=0,L120=""),"",ABS((L120-IF($C120="LT",Config!$F$7,Config!$F$19))/IF($C120="LT",Config!$G$7,Config!$G$19)))</f>
        <v/>
      </c>
      <c r="Y120">
        <f>IF(OR(M120=0,M120=""),"",ABS((M120-IF($C120="LT",Config!$F$8,Config!$F$20))/IF($C120="LT",Config!$G$8,Config!$G$20)))</f>
        <v/>
      </c>
      <c r="Z120">
        <f>IF(OR(N120=0,N120=""),"",ABS((N120-IF($C120="LT",Config!$F$9,Config!$F$21))/IF($C120="LT",Config!$G$9,Config!$G$21)))</f>
        <v/>
      </c>
      <c r="AA120">
        <f>IF(OR(O120=0,O120=""),"",ABS((O120-IF($C120="LT",Config!$F$10,Config!$F$22))/IF($C120="LT",Config!$G$10,Config!$G$22)))</f>
        <v/>
      </c>
      <c r="AB120">
        <f>IF(OR(P120=0,P120=""),"",ABS((P120-IF($C120="LT",Config!$F$11,Config!$F$23))/IF($C120="LT",Config!$G$11,Config!$G$23)))</f>
        <v/>
      </c>
      <c r="AC120">
        <f>IF(OR(Q120=0,Q120=""),"",ABS((Q120-IF($C120="LT",Config!$F$12,Config!$F$24))/IF($C120="LT",Config!$G$12,Config!$G$24)))</f>
        <v/>
      </c>
      <c r="AD120">
        <f>IF(OR(R120=0,R120=""),"",ABS((R120-IF($C120="LT",Config!$F$13,Config!$F$25))/IF($C120="LT",Config!$G$13,Config!$G$25)))</f>
        <v/>
      </c>
    </row>
    <row r="121">
      <c r="A121" t="inlineStr">
        <is>
          <t>04C0226120742</t>
        </is>
      </c>
      <c r="B121" t="inlineStr">
        <is>
          <t>CRS0000674</t>
        </is>
      </c>
      <c r="C121" t="inlineStr">
        <is>
          <t>MT</t>
        </is>
      </c>
      <c r="D121" t="inlineStr">
        <is>
          <t>TCX413U-DS1B01</t>
        </is>
      </c>
      <c r="E121" s="2" t="n">
        <v>46083</v>
      </c>
      <c r="F121" t="inlineStr">
        <is>
          <t>Pass</t>
        </is>
      </c>
      <c r="G121" t="n">
        <v>111.1</v>
      </c>
      <c r="H121" t="n">
        <v>84.3</v>
      </c>
      <c r="I121" t="n">
        <v>-1957.8</v>
      </c>
      <c r="J121" t="n">
        <v>69.09999999999999</v>
      </c>
      <c r="K121" t="n">
        <v>0</v>
      </c>
      <c r="L121" t="n">
        <v>1.2</v>
      </c>
      <c r="M121" t="n">
        <v>0</v>
      </c>
      <c r="N121" t="n">
        <v>70.3</v>
      </c>
      <c r="O121" t="n">
        <v>115.24</v>
      </c>
      <c r="P121" t="n">
        <v>115.24</v>
      </c>
      <c r="Q121" t="n">
        <v>3.69</v>
      </c>
      <c r="R121" t="n">
        <v>3.81</v>
      </c>
      <c r="S121">
        <f>IF(OR(G121=0,G121=""),"",ABS((G121-IF($C121="LT",Config!$F$2,Config!$F$14))/IF($C121="LT",Config!$G$2,Config!$G$14)))</f>
        <v/>
      </c>
      <c r="T121">
        <f>IF(OR(H121=0,H121=""),"",ABS((H121-IF($C121="LT",Config!$F$3,Config!$F$15))/IF($C121="LT",Config!$G$3,Config!$G$15)))</f>
        <v/>
      </c>
      <c r="U121">
        <f>IF(OR(I121=0,I121=""),"",ABS((I121-IF($C121="LT",Config!$F$4,Config!$F$16))/IF($C121="LT",Config!$G$4,Config!$G$16)))</f>
        <v/>
      </c>
      <c r="V121">
        <f>IF(OR(J121=0,J121=""),"",ABS((J121-IF($C121="LT",Config!$F$5,Config!$F$17))/IF($C121="LT",Config!$G$5,Config!$G$17)))</f>
        <v/>
      </c>
      <c r="W121">
        <f>IF(OR(K121=0,K121=""),"",ABS((K121-IF($C121="LT",Config!$F$6,Config!$F$18))/IF($C121="LT",Config!$G$6,Config!$G$18)))</f>
        <v/>
      </c>
      <c r="X121">
        <f>IF(OR(L121=0,L121=""),"",ABS((L121-IF($C121="LT",Config!$F$7,Config!$F$19))/IF($C121="LT",Config!$G$7,Config!$G$19)))</f>
        <v/>
      </c>
      <c r="Y121">
        <f>IF(OR(M121=0,M121=""),"",ABS((M121-IF($C121="LT",Config!$F$8,Config!$F$20))/IF($C121="LT",Config!$G$8,Config!$G$20)))</f>
        <v/>
      </c>
      <c r="Z121">
        <f>IF(OR(N121=0,N121=""),"",ABS((N121-IF($C121="LT",Config!$F$9,Config!$F$21))/IF($C121="LT",Config!$G$9,Config!$G$21)))</f>
        <v/>
      </c>
      <c r="AA121">
        <f>IF(OR(O121=0,O121=""),"",ABS((O121-IF($C121="LT",Config!$F$10,Config!$F$22))/IF($C121="LT",Config!$G$10,Config!$G$22)))</f>
        <v/>
      </c>
      <c r="AB121">
        <f>IF(OR(P121=0,P121=""),"",ABS((P121-IF($C121="LT",Config!$F$11,Config!$F$23))/IF($C121="LT",Config!$G$11,Config!$G$23)))</f>
        <v/>
      </c>
      <c r="AC121">
        <f>IF(OR(Q121=0,Q121=""),"",ABS((Q121-IF($C121="LT",Config!$F$12,Config!$F$24))/IF($C121="LT",Config!$G$12,Config!$G$24)))</f>
        <v/>
      </c>
      <c r="AD121">
        <f>IF(OR(R121=0,R121=""),"",ABS((R121-IF($C121="LT",Config!$F$13,Config!$F$25))/IF($C121="LT",Config!$G$13,Config!$G$25)))</f>
        <v/>
      </c>
    </row>
    <row r="122">
      <c r="A122" t="inlineStr">
        <is>
          <t>04C0226120743</t>
        </is>
      </c>
      <c r="B122" t="inlineStr">
        <is>
          <t>CRS0000674</t>
        </is>
      </c>
      <c r="C122" t="inlineStr">
        <is>
          <t>MT</t>
        </is>
      </c>
      <c r="D122" t="inlineStr">
        <is>
          <t>TCX413U-DS1B01</t>
        </is>
      </c>
      <c r="E122" s="2" t="n">
        <v>46083</v>
      </c>
      <c r="F122" t="inlineStr">
        <is>
          <t>Pass</t>
        </is>
      </c>
      <c r="G122" t="n">
        <v>107.9</v>
      </c>
      <c r="H122" t="n">
        <v>81.59999999999999</v>
      </c>
      <c r="I122" t="n">
        <v>-1957.8</v>
      </c>
      <c r="J122" t="n">
        <v>69.09999999999999</v>
      </c>
      <c r="K122" t="n">
        <v>0</v>
      </c>
      <c r="L122" t="n">
        <v>1.4</v>
      </c>
      <c r="M122" t="n">
        <v>0</v>
      </c>
      <c r="N122" t="n">
        <v>70.5</v>
      </c>
      <c r="O122" t="n">
        <v>112.16</v>
      </c>
      <c r="P122" t="n">
        <v>113.62</v>
      </c>
      <c r="Q122" t="n">
        <v>3.78</v>
      </c>
      <c r="R122" t="n">
        <v>3.86</v>
      </c>
      <c r="S122">
        <f>IF(OR(G122=0,G122=""),"",ABS((G122-IF($C122="LT",Config!$F$2,Config!$F$14))/IF($C122="LT",Config!$G$2,Config!$G$14)))</f>
        <v/>
      </c>
      <c r="T122">
        <f>IF(OR(H122=0,H122=""),"",ABS((H122-IF($C122="LT",Config!$F$3,Config!$F$15))/IF($C122="LT",Config!$G$3,Config!$G$15)))</f>
        <v/>
      </c>
      <c r="U122">
        <f>IF(OR(I122=0,I122=""),"",ABS((I122-IF($C122="LT",Config!$F$4,Config!$F$16))/IF($C122="LT",Config!$G$4,Config!$G$16)))</f>
        <v/>
      </c>
      <c r="V122">
        <f>IF(OR(J122=0,J122=""),"",ABS((J122-IF($C122="LT",Config!$F$5,Config!$F$17))/IF($C122="LT",Config!$G$5,Config!$G$17)))</f>
        <v/>
      </c>
      <c r="W122">
        <f>IF(OR(K122=0,K122=""),"",ABS((K122-IF($C122="LT",Config!$F$6,Config!$F$18))/IF($C122="LT",Config!$G$6,Config!$G$18)))</f>
        <v/>
      </c>
      <c r="X122">
        <f>IF(OR(L122=0,L122=""),"",ABS((L122-IF($C122="LT",Config!$F$7,Config!$F$19))/IF($C122="LT",Config!$G$7,Config!$G$19)))</f>
        <v/>
      </c>
      <c r="Y122">
        <f>IF(OR(M122=0,M122=""),"",ABS((M122-IF($C122="LT",Config!$F$8,Config!$F$20))/IF($C122="LT",Config!$G$8,Config!$G$20)))</f>
        <v/>
      </c>
      <c r="Z122">
        <f>IF(OR(N122=0,N122=""),"",ABS((N122-IF($C122="LT",Config!$F$9,Config!$F$21))/IF($C122="LT",Config!$G$9,Config!$G$21)))</f>
        <v/>
      </c>
      <c r="AA122">
        <f>IF(OR(O122=0,O122=""),"",ABS((O122-IF($C122="LT",Config!$F$10,Config!$F$22))/IF($C122="LT",Config!$G$10,Config!$G$22)))</f>
        <v/>
      </c>
      <c r="AB122">
        <f>IF(OR(P122=0,P122=""),"",ABS((P122-IF($C122="LT",Config!$F$11,Config!$F$23))/IF($C122="LT",Config!$G$11,Config!$G$23)))</f>
        <v/>
      </c>
      <c r="AC122">
        <f>IF(OR(Q122=0,Q122=""),"",ABS((Q122-IF($C122="LT",Config!$F$12,Config!$F$24))/IF($C122="LT",Config!$G$12,Config!$G$24)))</f>
        <v/>
      </c>
      <c r="AD122">
        <f>IF(OR(R122=0,R122=""),"",ABS((R122-IF($C122="LT",Config!$F$13,Config!$F$25))/IF($C122="LT",Config!$G$13,Config!$G$25)))</f>
        <v/>
      </c>
    </row>
    <row r="123">
      <c r="A123" t="inlineStr">
        <is>
          <t>04C0226120744</t>
        </is>
      </c>
      <c r="B123" t="inlineStr">
        <is>
          <t>CRS0000674</t>
        </is>
      </c>
      <c r="C123" t="inlineStr">
        <is>
          <t>MT</t>
        </is>
      </c>
      <c r="D123" t="inlineStr">
        <is>
          <t>TCX413U-DS1B01</t>
        </is>
      </c>
      <c r="E123" s="2" t="n">
        <v>46083</v>
      </c>
      <c r="F123" t="inlineStr">
        <is>
          <t>Pass</t>
        </is>
      </c>
      <c r="G123" t="n">
        <v>112.4</v>
      </c>
      <c r="H123" t="n">
        <v>82.5</v>
      </c>
      <c r="I123" t="n">
        <v>-1957.8</v>
      </c>
      <c r="J123" t="n">
        <v>69.5</v>
      </c>
      <c r="K123" t="n">
        <v>0</v>
      </c>
      <c r="L123" t="n">
        <v>1</v>
      </c>
      <c r="M123" t="n">
        <v>0</v>
      </c>
      <c r="N123" t="n">
        <v>70.5</v>
      </c>
      <c r="O123" t="n">
        <v>111.72</v>
      </c>
      <c r="P123" t="n">
        <v>113.26</v>
      </c>
      <c r="Q123" t="n">
        <v>3.88</v>
      </c>
      <c r="R123" t="n">
        <v>3.96</v>
      </c>
      <c r="S123">
        <f>IF(OR(G123=0,G123=""),"",ABS((G123-IF($C123="LT",Config!$F$2,Config!$F$14))/IF($C123="LT",Config!$G$2,Config!$G$14)))</f>
        <v/>
      </c>
      <c r="T123">
        <f>IF(OR(H123=0,H123=""),"",ABS((H123-IF($C123="LT",Config!$F$3,Config!$F$15))/IF($C123="LT",Config!$G$3,Config!$G$15)))</f>
        <v/>
      </c>
      <c r="U123">
        <f>IF(OR(I123=0,I123=""),"",ABS((I123-IF($C123="LT",Config!$F$4,Config!$F$16))/IF($C123="LT",Config!$G$4,Config!$G$16)))</f>
        <v/>
      </c>
      <c r="V123">
        <f>IF(OR(J123=0,J123=""),"",ABS((J123-IF($C123="LT",Config!$F$5,Config!$F$17))/IF($C123="LT",Config!$G$5,Config!$G$17)))</f>
        <v/>
      </c>
      <c r="W123">
        <f>IF(OR(K123=0,K123=""),"",ABS((K123-IF($C123="LT",Config!$F$6,Config!$F$18))/IF($C123="LT",Config!$G$6,Config!$G$18)))</f>
        <v/>
      </c>
      <c r="X123">
        <f>IF(OR(L123=0,L123=""),"",ABS((L123-IF($C123="LT",Config!$F$7,Config!$F$19))/IF($C123="LT",Config!$G$7,Config!$G$19)))</f>
        <v/>
      </c>
      <c r="Y123">
        <f>IF(OR(M123=0,M123=""),"",ABS((M123-IF($C123="LT",Config!$F$8,Config!$F$20))/IF($C123="LT",Config!$G$8,Config!$G$20)))</f>
        <v/>
      </c>
      <c r="Z123">
        <f>IF(OR(N123=0,N123=""),"",ABS((N123-IF($C123="LT",Config!$F$9,Config!$F$21))/IF($C123="LT",Config!$G$9,Config!$G$21)))</f>
        <v/>
      </c>
      <c r="AA123">
        <f>IF(OR(O123=0,O123=""),"",ABS((O123-IF($C123="LT",Config!$F$10,Config!$F$22))/IF($C123="LT",Config!$G$10,Config!$G$22)))</f>
        <v/>
      </c>
      <c r="AB123">
        <f>IF(OR(P123=0,P123=""),"",ABS((P123-IF($C123="LT",Config!$F$11,Config!$F$23))/IF($C123="LT",Config!$G$11,Config!$G$23)))</f>
        <v/>
      </c>
      <c r="AC123">
        <f>IF(OR(Q123=0,Q123=""),"",ABS((Q123-IF($C123="LT",Config!$F$12,Config!$F$24))/IF($C123="LT",Config!$G$12,Config!$G$24)))</f>
        <v/>
      </c>
      <c r="AD123">
        <f>IF(OR(R123=0,R123=""),"",ABS((R123-IF($C123="LT",Config!$F$13,Config!$F$25))/IF($C123="LT",Config!$G$13,Config!$G$25)))</f>
        <v/>
      </c>
    </row>
    <row r="124">
      <c r="A124" t="inlineStr">
        <is>
          <t>04C0226120745</t>
        </is>
      </c>
      <c r="B124" t="inlineStr">
        <is>
          <t>CRS0000675</t>
        </is>
      </c>
      <c r="C124" t="inlineStr">
        <is>
          <t>LT</t>
        </is>
      </c>
      <c r="D124" t="inlineStr">
        <is>
          <t>ALX440U-DS3B01</t>
        </is>
      </c>
      <c r="E124" s="2" t="n">
        <v>46083</v>
      </c>
      <c r="F124" t="inlineStr">
        <is>
          <t>Pass</t>
        </is>
      </c>
      <c r="G124" t="n">
        <v>147.2</v>
      </c>
      <c r="H124" t="n">
        <v>105</v>
      </c>
      <c r="I124" t="n">
        <v>-1957.8</v>
      </c>
      <c r="J124" t="n">
        <v>69.5</v>
      </c>
      <c r="K124" t="n">
        <v>0</v>
      </c>
      <c r="L124" t="n">
        <v>1.2</v>
      </c>
      <c r="M124" t="n">
        <v>0</v>
      </c>
      <c r="N124" t="n">
        <v>70.7</v>
      </c>
      <c r="O124" t="n">
        <v>114.5</v>
      </c>
      <c r="P124" t="n">
        <v>117.88</v>
      </c>
      <c r="Q124" t="n">
        <v>8.52</v>
      </c>
      <c r="R124" t="n">
        <v>8.15</v>
      </c>
      <c r="S124">
        <f>IF(OR(G124=0,G124=""),"",ABS((G124-IF($C124="LT",Config!$F$2,Config!$F$14))/IF($C124="LT",Config!$G$2,Config!$G$14)))</f>
        <v/>
      </c>
      <c r="T124">
        <f>IF(OR(H124=0,H124=""),"",ABS((H124-IF($C124="LT",Config!$F$3,Config!$F$15))/IF($C124="LT",Config!$G$3,Config!$G$15)))</f>
        <v/>
      </c>
      <c r="U124">
        <f>IF(OR(I124=0,I124=""),"",ABS((I124-IF($C124="LT",Config!$F$4,Config!$F$16))/IF($C124="LT",Config!$G$4,Config!$G$16)))</f>
        <v/>
      </c>
      <c r="V124">
        <f>IF(OR(J124=0,J124=""),"",ABS((J124-IF($C124="LT",Config!$F$5,Config!$F$17))/IF($C124="LT",Config!$G$5,Config!$G$17)))</f>
        <v/>
      </c>
      <c r="W124">
        <f>IF(OR(K124=0,K124=""),"",ABS((K124-IF($C124="LT",Config!$F$6,Config!$F$18))/IF($C124="LT",Config!$G$6,Config!$G$18)))</f>
        <v/>
      </c>
      <c r="X124">
        <f>IF(OR(L124=0,L124=""),"",ABS((L124-IF($C124="LT",Config!$F$7,Config!$F$19))/IF($C124="LT",Config!$G$7,Config!$G$19)))</f>
        <v/>
      </c>
      <c r="Y124">
        <f>IF(OR(M124=0,M124=""),"",ABS((M124-IF($C124="LT",Config!$F$8,Config!$F$20))/IF($C124="LT",Config!$G$8,Config!$G$20)))</f>
        <v/>
      </c>
      <c r="Z124">
        <f>IF(OR(N124=0,N124=""),"",ABS((N124-IF($C124="LT",Config!$F$9,Config!$F$21))/IF($C124="LT",Config!$G$9,Config!$G$21)))</f>
        <v/>
      </c>
      <c r="AA124">
        <f>IF(OR(O124=0,O124=""),"",ABS((O124-IF($C124="LT",Config!$F$10,Config!$F$22))/IF($C124="LT",Config!$G$10,Config!$G$22)))</f>
        <v/>
      </c>
      <c r="AB124">
        <f>IF(OR(P124=0,P124=""),"",ABS((P124-IF($C124="LT",Config!$F$11,Config!$F$23))/IF($C124="LT",Config!$G$11,Config!$G$23)))</f>
        <v/>
      </c>
      <c r="AC124">
        <f>IF(OR(Q124=0,Q124=""),"",ABS((Q124-IF($C124="LT",Config!$F$12,Config!$F$24))/IF($C124="LT",Config!$G$12,Config!$G$24)))</f>
        <v/>
      </c>
      <c r="AD124">
        <f>IF(OR(R124=0,R124=""),"",ABS((R124-IF($C124="LT",Config!$F$13,Config!$F$25))/IF($C124="LT",Config!$G$13,Config!$G$25)))</f>
        <v/>
      </c>
    </row>
    <row r="125">
      <c r="A125" t="inlineStr">
        <is>
          <t>04B1226120598</t>
        </is>
      </c>
      <c r="B125" t="inlineStr">
        <is>
          <t>CRS0000675</t>
        </is>
      </c>
      <c r="C125" t="inlineStr">
        <is>
          <t>LT</t>
        </is>
      </c>
      <c r="D125" t="inlineStr">
        <is>
          <t>ALX440U-DS3B01</t>
        </is>
      </c>
      <c r="E125" s="2" t="n">
        <v>46083</v>
      </c>
      <c r="F125" t="inlineStr">
        <is>
          <t>Fail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>
        <f>IF(OR(G125=0,G125=""),"",ABS((G125-IF($C125="LT",Config!$F$2,Config!$F$14))/IF($C125="LT",Config!$G$2,Config!$G$14)))</f>
        <v/>
      </c>
      <c r="T125">
        <f>IF(OR(H125=0,H125=""),"",ABS((H125-IF($C125="LT",Config!$F$3,Config!$F$15))/IF($C125="LT",Config!$G$3,Config!$G$15)))</f>
        <v/>
      </c>
      <c r="U125">
        <f>IF(OR(I125=0,I125=""),"",ABS((I125-IF($C125="LT",Config!$F$4,Config!$F$16))/IF($C125="LT",Config!$G$4,Config!$G$16)))</f>
        <v/>
      </c>
      <c r="V125">
        <f>IF(OR(J125=0,J125=""),"",ABS((J125-IF($C125="LT",Config!$F$5,Config!$F$17))/IF($C125="LT",Config!$G$5,Config!$G$17)))</f>
        <v/>
      </c>
      <c r="W125">
        <f>IF(OR(K125=0,K125=""),"",ABS((K125-IF($C125="LT",Config!$F$6,Config!$F$18))/IF($C125="LT",Config!$G$6,Config!$G$18)))</f>
        <v/>
      </c>
      <c r="X125">
        <f>IF(OR(L125=0,L125=""),"",ABS((L125-IF($C125="LT",Config!$F$7,Config!$F$19))/IF($C125="LT",Config!$G$7,Config!$G$19)))</f>
        <v/>
      </c>
      <c r="Y125">
        <f>IF(OR(M125=0,M125=""),"",ABS((M125-IF($C125="LT",Config!$F$8,Config!$F$20))/IF($C125="LT",Config!$G$8,Config!$G$20)))</f>
        <v/>
      </c>
      <c r="Z125">
        <f>IF(OR(N125=0,N125=""),"",ABS((N125-IF($C125="LT",Config!$F$9,Config!$F$21))/IF($C125="LT",Config!$G$9,Config!$G$21)))</f>
        <v/>
      </c>
      <c r="AA125">
        <f>IF(OR(O125=0,O125=""),"",ABS((O125-IF($C125="LT",Config!$F$10,Config!$F$22))/IF($C125="LT",Config!$G$10,Config!$G$22)))</f>
        <v/>
      </c>
      <c r="AB125">
        <f>IF(OR(P125=0,P125=""),"",ABS((P125-IF($C125="LT",Config!$F$11,Config!$F$23))/IF($C125="LT",Config!$G$11,Config!$G$23)))</f>
        <v/>
      </c>
      <c r="AC125">
        <f>IF(OR(Q125=0,Q125=""),"",ABS((Q125-IF($C125="LT",Config!$F$12,Config!$F$24))/IF($C125="LT",Config!$G$12,Config!$G$24)))</f>
        <v/>
      </c>
      <c r="AD125">
        <f>IF(OR(R125=0,R125=""),"",ABS((R125-IF($C125="LT",Config!$F$13,Config!$F$25))/IF($C125="LT",Config!$G$13,Config!$G$25)))</f>
        <v/>
      </c>
    </row>
    <row r="126">
      <c r="A126" t="inlineStr">
        <is>
          <t>04C0226120746</t>
        </is>
      </c>
      <c r="B126" t="inlineStr">
        <is>
          <t>CRS0000675</t>
        </is>
      </c>
      <c r="C126" t="inlineStr">
        <is>
          <t>LT</t>
        </is>
      </c>
      <c r="D126" t="inlineStr">
        <is>
          <t>ALX440U-DS3B01</t>
        </is>
      </c>
      <c r="E126" s="2" t="n">
        <v>46083</v>
      </c>
      <c r="F126" t="inlineStr">
        <is>
          <t>Pass</t>
        </is>
      </c>
      <c r="G126" t="n">
        <v>155.7</v>
      </c>
      <c r="H126" t="n">
        <v>105.5</v>
      </c>
      <c r="I126" t="n">
        <v>-1957.8</v>
      </c>
      <c r="J126" t="n">
        <v>69.5</v>
      </c>
      <c r="K126" t="n">
        <v>0</v>
      </c>
      <c r="L126" t="n">
        <v>1.1</v>
      </c>
      <c r="M126" t="n">
        <v>0</v>
      </c>
      <c r="N126" t="n">
        <v>70.59999999999999</v>
      </c>
      <c r="O126" t="n">
        <v>115.09</v>
      </c>
      <c r="P126" t="n">
        <v>115.09</v>
      </c>
      <c r="Q126" t="n">
        <v>8.42</v>
      </c>
      <c r="R126" t="n">
        <v>8.279999999999999</v>
      </c>
      <c r="S126">
        <f>IF(OR(G126=0,G126=""),"",ABS((G126-IF($C126="LT",Config!$F$2,Config!$F$14))/IF($C126="LT",Config!$G$2,Config!$G$14)))</f>
        <v/>
      </c>
      <c r="T126">
        <f>IF(OR(H126=0,H126=""),"",ABS((H126-IF($C126="LT",Config!$F$3,Config!$F$15))/IF($C126="LT",Config!$G$3,Config!$G$15)))</f>
        <v/>
      </c>
      <c r="U126">
        <f>IF(OR(I126=0,I126=""),"",ABS((I126-IF($C126="LT",Config!$F$4,Config!$F$16))/IF($C126="LT",Config!$G$4,Config!$G$16)))</f>
        <v/>
      </c>
      <c r="V126">
        <f>IF(OR(J126=0,J126=""),"",ABS((J126-IF($C126="LT",Config!$F$5,Config!$F$17))/IF($C126="LT",Config!$G$5,Config!$G$17)))</f>
        <v/>
      </c>
      <c r="W126">
        <f>IF(OR(K126=0,K126=""),"",ABS((K126-IF($C126="LT",Config!$F$6,Config!$F$18))/IF($C126="LT",Config!$G$6,Config!$G$18)))</f>
        <v/>
      </c>
      <c r="X126">
        <f>IF(OR(L126=0,L126=""),"",ABS((L126-IF($C126="LT",Config!$F$7,Config!$F$19))/IF($C126="LT",Config!$G$7,Config!$G$19)))</f>
        <v/>
      </c>
      <c r="Y126">
        <f>IF(OR(M126=0,M126=""),"",ABS((M126-IF($C126="LT",Config!$F$8,Config!$F$20))/IF($C126="LT",Config!$G$8,Config!$G$20)))</f>
        <v/>
      </c>
      <c r="Z126">
        <f>IF(OR(N126=0,N126=""),"",ABS((N126-IF($C126="LT",Config!$F$9,Config!$F$21))/IF($C126="LT",Config!$G$9,Config!$G$21)))</f>
        <v/>
      </c>
      <c r="AA126">
        <f>IF(OR(O126=0,O126=""),"",ABS((O126-IF($C126="LT",Config!$F$10,Config!$F$22))/IF($C126="LT",Config!$G$10,Config!$G$22)))</f>
        <v/>
      </c>
      <c r="AB126">
        <f>IF(OR(P126=0,P126=""),"",ABS((P126-IF($C126="LT",Config!$F$11,Config!$F$23))/IF($C126="LT",Config!$G$11,Config!$G$23)))</f>
        <v/>
      </c>
      <c r="AC126">
        <f>IF(OR(Q126=0,Q126=""),"",ABS((Q126-IF($C126="LT",Config!$F$12,Config!$F$24))/IF($C126="LT",Config!$G$12,Config!$G$24)))</f>
        <v/>
      </c>
      <c r="AD126">
        <f>IF(OR(R126=0,R126=""),"",ABS((R126-IF($C126="LT",Config!$F$13,Config!$F$25))/IF($C126="LT",Config!$G$13,Config!$G$25)))</f>
        <v/>
      </c>
    </row>
    <row r="127">
      <c r="A127" t="inlineStr">
        <is>
          <t>04C0226120747</t>
        </is>
      </c>
      <c r="B127" t="inlineStr">
        <is>
          <t>CRS0000675</t>
        </is>
      </c>
      <c r="C127" t="inlineStr">
        <is>
          <t>LT</t>
        </is>
      </c>
      <c r="D127" t="inlineStr">
        <is>
          <t>ALX440U-DS3B01</t>
        </is>
      </c>
      <c r="E127" s="2" t="n">
        <v>46084</v>
      </c>
      <c r="F127" t="inlineStr">
        <is>
          <t>Fail</t>
        </is>
      </c>
      <c r="G127" t="n">
        <v>144.1</v>
      </c>
      <c r="H127" t="n">
        <v>93.7</v>
      </c>
      <c r="I127" t="n">
        <v>-1957.8</v>
      </c>
      <c r="J127" t="n">
        <v>67.7</v>
      </c>
      <c r="K127" t="n">
        <v>0</v>
      </c>
      <c r="L127" t="n">
        <v>2.2</v>
      </c>
      <c r="M127" t="n">
        <v>0</v>
      </c>
      <c r="N127" t="n">
        <v>69.90000000000001</v>
      </c>
      <c r="O127" t="n">
        <v>114.8</v>
      </c>
      <c r="P127" t="n">
        <v>114.8</v>
      </c>
      <c r="Q127" t="n">
        <v>7.25</v>
      </c>
      <c r="R127" t="n">
        <v>7.47</v>
      </c>
      <c r="S127">
        <f>IF(OR(G127=0,G127=""),"",ABS((G127-IF($C127="LT",Config!$F$2,Config!$F$14))/IF($C127="LT",Config!$G$2,Config!$G$14)))</f>
        <v/>
      </c>
      <c r="T127">
        <f>IF(OR(H127=0,H127=""),"",ABS((H127-IF($C127="LT",Config!$F$3,Config!$F$15))/IF($C127="LT",Config!$G$3,Config!$G$15)))</f>
        <v/>
      </c>
      <c r="U127">
        <f>IF(OR(I127=0,I127=""),"",ABS((I127-IF($C127="LT",Config!$F$4,Config!$F$16))/IF($C127="LT",Config!$G$4,Config!$G$16)))</f>
        <v/>
      </c>
      <c r="V127">
        <f>IF(OR(J127=0,J127=""),"",ABS((J127-IF($C127="LT",Config!$F$5,Config!$F$17))/IF($C127="LT",Config!$G$5,Config!$G$17)))</f>
        <v/>
      </c>
      <c r="W127">
        <f>IF(OR(K127=0,K127=""),"",ABS((K127-IF($C127="LT",Config!$F$6,Config!$F$18))/IF($C127="LT",Config!$G$6,Config!$G$18)))</f>
        <v/>
      </c>
      <c r="X127">
        <f>IF(OR(L127=0,L127=""),"",ABS((L127-IF($C127="LT",Config!$F$7,Config!$F$19))/IF($C127="LT",Config!$G$7,Config!$G$19)))</f>
        <v/>
      </c>
      <c r="Y127">
        <f>IF(OR(M127=0,M127=""),"",ABS((M127-IF($C127="LT",Config!$F$8,Config!$F$20))/IF($C127="LT",Config!$G$8,Config!$G$20)))</f>
        <v/>
      </c>
      <c r="Z127">
        <f>IF(OR(N127=0,N127=""),"",ABS((N127-IF($C127="LT",Config!$F$9,Config!$F$21))/IF($C127="LT",Config!$G$9,Config!$G$21)))</f>
        <v/>
      </c>
      <c r="AA127">
        <f>IF(OR(O127=0,O127=""),"",ABS((O127-IF($C127="LT",Config!$F$10,Config!$F$22))/IF($C127="LT",Config!$G$10,Config!$G$22)))</f>
        <v/>
      </c>
      <c r="AB127">
        <f>IF(OR(P127=0,P127=""),"",ABS((P127-IF($C127="LT",Config!$F$11,Config!$F$23))/IF($C127="LT",Config!$G$11,Config!$G$23)))</f>
        <v/>
      </c>
      <c r="AC127">
        <f>IF(OR(Q127=0,Q127=""),"",ABS((Q127-IF($C127="LT",Config!$F$12,Config!$F$24))/IF($C127="LT",Config!$G$12,Config!$G$24)))</f>
        <v/>
      </c>
      <c r="AD127">
        <f>IF(OR(R127=0,R127=""),"",ABS((R127-IF($C127="LT",Config!$F$13,Config!$F$25))/IF($C127="LT",Config!$G$13,Config!$G$25)))</f>
        <v/>
      </c>
    </row>
    <row r="128">
      <c r="A128" t="inlineStr">
        <is>
          <t>04C0226120747</t>
        </is>
      </c>
      <c r="B128" t="inlineStr">
        <is>
          <t>CRS0000675</t>
        </is>
      </c>
      <c r="C128" t="inlineStr">
        <is>
          <t>LT</t>
        </is>
      </c>
      <c r="D128" t="inlineStr">
        <is>
          <t>ALX440U-DS3B01</t>
        </is>
      </c>
      <c r="E128" s="2" t="n">
        <v>46084</v>
      </c>
      <c r="F128" t="inlineStr">
        <is>
          <t>Pass</t>
        </is>
      </c>
      <c r="G128" t="n">
        <v>152.2</v>
      </c>
      <c r="H128" t="n">
        <v>96</v>
      </c>
      <c r="I128" t="n">
        <v>-1957.8</v>
      </c>
      <c r="J128" t="n">
        <v>67.7</v>
      </c>
      <c r="K128" t="n">
        <v>0</v>
      </c>
      <c r="L128" t="n">
        <v>2.3</v>
      </c>
      <c r="M128" t="n">
        <v>0</v>
      </c>
      <c r="N128" t="n">
        <v>70</v>
      </c>
      <c r="O128" t="n">
        <v>112.23</v>
      </c>
      <c r="P128" t="n">
        <v>113.48</v>
      </c>
      <c r="Q128" t="n">
        <v>7.47</v>
      </c>
      <c r="R128" t="n">
        <v>7.79</v>
      </c>
      <c r="S128">
        <f>IF(OR(G128=0,G128=""),"",ABS((G128-IF($C128="LT",Config!$F$2,Config!$F$14))/IF($C128="LT",Config!$G$2,Config!$G$14)))</f>
        <v/>
      </c>
      <c r="T128">
        <f>IF(OR(H128=0,H128=""),"",ABS((H128-IF($C128="LT",Config!$F$3,Config!$F$15))/IF($C128="LT",Config!$G$3,Config!$G$15)))</f>
        <v/>
      </c>
      <c r="U128">
        <f>IF(OR(I128=0,I128=""),"",ABS((I128-IF($C128="LT",Config!$F$4,Config!$F$16))/IF($C128="LT",Config!$G$4,Config!$G$16)))</f>
        <v/>
      </c>
      <c r="V128">
        <f>IF(OR(J128=0,J128=""),"",ABS((J128-IF($C128="LT",Config!$F$5,Config!$F$17))/IF($C128="LT",Config!$G$5,Config!$G$17)))</f>
        <v/>
      </c>
      <c r="W128">
        <f>IF(OR(K128=0,K128=""),"",ABS((K128-IF($C128="LT",Config!$F$6,Config!$F$18))/IF($C128="LT",Config!$G$6,Config!$G$18)))</f>
        <v/>
      </c>
      <c r="X128">
        <f>IF(OR(L128=0,L128=""),"",ABS((L128-IF($C128="LT",Config!$F$7,Config!$F$19))/IF($C128="LT",Config!$G$7,Config!$G$19)))</f>
        <v/>
      </c>
      <c r="Y128">
        <f>IF(OR(M128=0,M128=""),"",ABS((M128-IF($C128="LT",Config!$F$8,Config!$F$20))/IF($C128="LT",Config!$G$8,Config!$G$20)))</f>
        <v/>
      </c>
      <c r="Z128">
        <f>IF(OR(N128=0,N128=""),"",ABS((N128-IF($C128="LT",Config!$F$9,Config!$F$21))/IF($C128="LT",Config!$G$9,Config!$G$21)))</f>
        <v/>
      </c>
      <c r="AA128">
        <f>IF(OR(O128=0,O128=""),"",ABS((O128-IF($C128="LT",Config!$F$10,Config!$F$22))/IF($C128="LT",Config!$G$10,Config!$G$22)))</f>
        <v/>
      </c>
      <c r="AB128">
        <f>IF(OR(P128=0,P128=""),"",ABS((P128-IF($C128="LT",Config!$F$11,Config!$F$23))/IF($C128="LT",Config!$G$11,Config!$G$23)))</f>
        <v/>
      </c>
      <c r="AC128">
        <f>IF(OR(Q128=0,Q128=""),"",ABS((Q128-IF($C128="LT",Config!$F$12,Config!$F$24))/IF($C128="LT",Config!$G$12,Config!$G$24)))</f>
        <v/>
      </c>
      <c r="AD128">
        <f>IF(OR(R128=0,R128=""),"",ABS((R128-IF($C128="LT",Config!$F$13,Config!$F$25))/IF($C128="LT",Config!$G$13,Config!$G$25)))</f>
        <v/>
      </c>
    </row>
    <row r="129">
      <c r="A129" t="inlineStr">
        <is>
          <t>04C0226120748</t>
        </is>
      </c>
      <c r="B129" t="inlineStr">
        <is>
          <t>CRS0000675</t>
        </is>
      </c>
      <c r="C129" t="inlineStr">
        <is>
          <t>LT</t>
        </is>
      </c>
      <c r="D129" t="inlineStr">
        <is>
          <t>ALX440U-DS3B01</t>
        </is>
      </c>
      <c r="E129" s="2" t="n">
        <v>46084</v>
      </c>
      <c r="F129" t="inlineStr">
        <is>
          <t>Pass</t>
        </is>
      </c>
      <c r="G129" t="n">
        <v>153</v>
      </c>
      <c r="H129" t="n">
        <v>101.4</v>
      </c>
      <c r="I129" t="n">
        <v>-1957.8</v>
      </c>
      <c r="J129" t="n">
        <v>68.2</v>
      </c>
      <c r="K129" t="n">
        <v>0</v>
      </c>
      <c r="L129" t="n">
        <v>3.4</v>
      </c>
      <c r="M129" t="n">
        <v>0</v>
      </c>
      <c r="N129" t="n">
        <v>71.59999999999999</v>
      </c>
      <c r="O129" t="n">
        <v>111.42</v>
      </c>
      <c r="P129" t="n">
        <v>117.66</v>
      </c>
      <c r="Q129" t="n">
        <v>9.01</v>
      </c>
      <c r="R129" t="n">
        <v>8.25</v>
      </c>
      <c r="S129">
        <f>IF(OR(G129=0,G129=""),"",ABS((G129-IF($C129="LT",Config!$F$2,Config!$F$14))/IF($C129="LT",Config!$G$2,Config!$G$14)))</f>
        <v/>
      </c>
      <c r="T129">
        <f>IF(OR(H129=0,H129=""),"",ABS((H129-IF($C129="LT",Config!$F$3,Config!$F$15))/IF($C129="LT",Config!$G$3,Config!$G$15)))</f>
        <v/>
      </c>
      <c r="U129">
        <f>IF(OR(I129=0,I129=""),"",ABS((I129-IF($C129="LT",Config!$F$4,Config!$F$16))/IF($C129="LT",Config!$G$4,Config!$G$16)))</f>
        <v/>
      </c>
      <c r="V129">
        <f>IF(OR(J129=0,J129=""),"",ABS((J129-IF($C129="LT",Config!$F$5,Config!$F$17))/IF($C129="LT",Config!$G$5,Config!$G$17)))</f>
        <v/>
      </c>
      <c r="W129">
        <f>IF(OR(K129=0,K129=""),"",ABS((K129-IF($C129="LT",Config!$F$6,Config!$F$18))/IF($C129="LT",Config!$G$6,Config!$G$18)))</f>
        <v/>
      </c>
      <c r="X129">
        <f>IF(OR(L129=0,L129=""),"",ABS((L129-IF($C129="LT",Config!$F$7,Config!$F$19))/IF($C129="LT",Config!$G$7,Config!$G$19)))</f>
        <v/>
      </c>
      <c r="Y129">
        <f>IF(OR(M129=0,M129=""),"",ABS((M129-IF($C129="LT",Config!$F$8,Config!$F$20))/IF($C129="LT",Config!$G$8,Config!$G$20)))</f>
        <v/>
      </c>
      <c r="Z129">
        <f>IF(OR(N129=0,N129=""),"",ABS((N129-IF($C129="LT",Config!$F$9,Config!$F$21))/IF($C129="LT",Config!$G$9,Config!$G$21)))</f>
        <v/>
      </c>
      <c r="AA129">
        <f>IF(OR(O129=0,O129=""),"",ABS((O129-IF($C129="LT",Config!$F$10,Config!$F$22))/IF($C129="LT",Config!$G$10,Config!$G$22)))</f>
        <v/>
      </c>
      <c r="AB129">
        <f>IF(OR(P129=0,P129=""),"",ABS((P129-IF($C129="LT",Config!$F$11,Config!$F$23))/IF($C129="LT",Config!$G$11,Config!$G$23)))</f>
        <v/>
      </c>
      <c r="AC129">
        <f>IF(OR(Q129=0,Q129=""),"",ABS((Q129-IF($C129="LT",Config!$F$12,Config!$F$24))/IF($C129="LT",Config!$G$12,Config!$G$24)))</f>
        <v/>
      </c>
      <c r="AD129">
        <f>IF(OR(R129=0,R129=""),"",ABS((R129-IF($C129="LT",Config!$F$13,Config!$F$25))/IF($C129="LT",Config!$G$13,Config!$G$25)))</f>
        <v/>
      </c>
    </row>
    <row r="130">
      <c r="A130" t="inlineStr">
        <is>
          <t>04C0226120749</t>
        </is>
      </c>
      <c r="B130" t="inlineStr">
        <is>
          <t>CRS0000675</t>
        </is>
      </c>
      <c r="C130" t="inlineStr">
        <is>
          <t>LT</t>
        </is>
      </c>
      <c r="D130" t="inlineStr">
        <is>
          <t>ALX440U-DS3B01</t>
        </is>
      </c>
      <c r="E130" s="2" t="n">
        <v>46084</v>
      </c>
      <c r="F130" t="inlineStr">
        <is>
          <t>Pass</t>
        </is>
      </c>
      <c r="G130" t="n">
        <v>145.9</v>
      </c>
      <c r="H130" t="n">
        <v>97.3</v>
      </c>
      <c r="I130" t="n">
        <v>-1957.8</v>
      </c>
      <c r="J130" t="n">
        <v>68.2</v>
      </c>
      <c r="K130" t="n">
        <v>0</v>
      </c>
      <c r="L130" t="n">
        <v>3.7</v>
      </c>
      <c r="M130" t="n">
        <v>0</v>
      </c>
      <c r="N130" t="n">
        <v>71.90000000000001</v>
      </c>
      <c r="O130" t="n">
        <v>114.14</v>
      </c>
      <c r="P130" t="n">
        <v>117.58</v>
      </c>
      <c r="Q130" t="n">
        <v>8.57</v>
      </c>
      <c r="R130" t="n">
        <v>8.08</v>
      </c>
      <c r="S130">
        <f>IF(OR(G130=0,G130=""),"",ABS((G130-IF($C130="LT",Config!$F$2,Config!$F$14))/IF($C130="LT",Config!$G$2,Config!$G$14)))</f>
        <v/>
      </c>
      <c r="T130">
        <f>IF(OR(H130=0,H130=""),"",ABS((H130-IF($C130="LT",Config!$F$3,Config!$F$15))/IF($C130="LT",Config!$G$3,Config!$G$15)))</f>
        <v/>
      </c>
      <c r="U130">
        <f>IF(OR(I130=0,I130=""),"",ABS((I130-IF($C130="LT",Config!$F$4,Config!$F$16))/IF($C130="LT",Config!$G$4,Config!$G$16)))</f>
        <v/>
      </c>
      <c r="V130">
        <f>IF(OR(J130=0,J130=""),"",ABS((J130-IF($C130="LT",Config!$F$5,Config!$F$17))/IF($C130="LT",Config!$G$5,Config!$G$17)))</f>
        <v/>
      </c>
      <c r="W130">
        <f>IF(OR(K130=0,K130=""),"",ABS((K130-IF($C130="LT",Config!$F$6,Config!$F$18))/IF($C130="LT",Config!$G$6,Config!$G$18)))</f>
        <v/>
      </c>
      <c r="X130">
        <f>IF(OR(L130=0,L130=""),"",ABS((L130-IF($C130="LT",Config!$F$7,Config!$F$19))/IF($C130="LT",Config!$G$7,Config!$G$19)))</f>
        <v/>
      </c>
      <c r="Y130">
        <f>IF(OR(M130=0,M130=""),"",ABS((M130-IF($C130="LT",Config!$F$8,Config!$F$20))/IF($C130="LT",Config!$G$8,Config!$G$20)))</f>
        <v/>
      </c>
      <c r="Z130">
        <f>IF(OR(N130=0,N130=""),"",ABS((N130-IF($C130="LT",Config!$F$9,Config!$F$21))/IF($C130="LT",Config!$G$9,Config!$G$21)))</f>
        <v/>
      </c>
      <c r="AA130">
        <f>IF(OR(O130=0,O130=""),"",ABS((O130-IF($C130="LT",Config!$F$10,Config!$F$22))/IF($C130="LT",Config!$G$10,Config!$G$22)))</f>
        <v/>
      </c>
      <c r="AB130">
        <f>IF(OR(P130=0,P130=""),"",ABS((P130-IF($C130="LT",Config!$F$11,Config!$F$23))/IF($C130="LT",Config!$G$11,Config!$G$23)))</f>
        <v/>
      </c>
      <c r="AC130">
        <f>IF(OR(Q130=0,Q130=""),"",ABS((Q130-IF($C130="LT",Config!$F$12,Config!$F$24))/IF($C130="LT",Config!$G$12,Config!$G$24)))</f>
        <v/>
      </c>
      <c r="AD130">
        <f>IF(OR(R130=0,R130=""),"",ABS((R130-IF($C130="LT",Config!$F$13,Config!$F$25))/IF($C130="LT",Config!$G$13,Config!$G$25)))</f>
        <v/>
      </c>
    </row>
    <row r="131">
      <c r="A131" t="inlineStr">
        <is>
          <t>04C0226120750</t>
        </is>
      </c>
      <c r="B131" t="inlineStr">
        <is>
          <t>CRS0000675</t>
        </is>
      </c>
      <c r="C131" t="inlineStr">
        <is>
          <t>LT</t>
        </is>
      </c>
      <c r="D131" t="inlineStr">
        <is>
          <t>ALX440U-DS3B01</t>
        </is>
      </c>
      <c r="E131" s="2" t="n">
        <v>46084</v>
      </c>
      <c r="F131" t="inlineStr">
        <is>
          <t>Pass</t>
        </is>
      </c>
      <c r="G131" t="n">
        <v>153</v>
      </c>
      <c r="H131" t="n">
        <v>100.5</v>
      </c>
      <c r="I131" t="n">
        <v>-1957.8</v>
      </c>
      <c r="J131" t="n">
        <v>68.59999999999999</v>
      </c>
      <c r="K131" t="n">
        <v>0</v>
      </c>
      <c r="L131" t="n">
        <v>4.5</v>
      </c>
      <c r="M131" t="n">
        <v>0</v>
      </c>
      <c r="N131" t="n">
        <v>73.09999999999999</v>
      </c>
      <c r="O131" t="n">
        <v>114.43</v>
      </c>
      <c r="P131" t="n">
        <v>117.73</v>
      </c>
      <c r="Q131" t="n">
        <v>8.859999999999999</v>
      </c>
      <c r="R131" t="n">
        <v>8.33</v>
      </c>
      <c r="S131">
        <f>IF(OR(G131=0,G131=""),"",ABS((G131-IF($C131="LT",Config!$F$2,Config!$F$14))/IF($C131="LT",Config!$G$2,Config!$G$14)))</f>
        <v/>
      </c>
      <c r="T131">
        <f>IF(OR(H131=0,H131=""),"",ABS((H131-IF($C131="LT",Config!$F$3,Config!$F$15))/IF($C131="LT",Config!$G$3,Config!$G$15)))</f>
        <v/>
      </c>
      <c r="U131">
        <f>IF(OR(I131=0,I131=""),"",ABS((I131-IF($C131="LT",Config!$F$4,Config!$F$16))/IF($C131="LT",Config!$G$4,Config!$G$16)))</f>
        <v/>
      </c>
      <c r="V131">
        <f>IF(OR(J131=0,J131=""),"",ABS((J131-IF($C131="LT",Config!$F$5,Config!$F$17))/IF($C131="LT",Config!$G$5,Config!$G$17)))</f>
        <v/>
      </c>
      <c r="W131">
        <f>IF(OR(K131=0,K131=""),"",ABS((K131-IF($C131="LT",Config!$F$6,Config!$F$18))/IF($C131="LT",Config!$G$6,Config!$G$18)))</f>
        <v/>
      </c>
      <c r="X131">
        <f>IF(OR(L131=0,L131=""),"",ABS((L131-IF($C131="LT",Config!$F$7,Config!$F$19))/IF($C131="LT",Config!$G$7,Config!$G$19)))</f>
        <v/>
      </c>
      <c r="Y131">
        <f>IF(OR(M131=0,M131=""),"",ABS((M131-IF($C131="LT",Config!$F$8,Config!$F$20))/IF($C131="LT",Config!$G$8,Config!$G$20)))</f>
        <v/>
      </c>
      <c r="Z131">
        <f>IF(OR(N131=0,N131=""),"",ABS((N131-IF($C131="LT",Config!$F$9,Config!$F$21))/IF($C131="LT",Config!$G$9,Config!$G$21)))</f>
        <v/>
      </c>
      <c r="AA131">
        <f>IF(OR(O131=0,O131=""),"",ABS((O131-IF($C131="LT",Config!$F$10,Config!$F$22))/IF($C131="LT",Config!$G$10,Config!$G$22)))</f>
        <v/>
      </c>
      <c r="AB131">
        <f>IF(OR(P131=0,P131=""),"",ABS((P131-IF($C131="LT",Config!$F$11,Config!$F$23))/IF($C131="LT",Config!$G$11,Config!$G$23)))</f>
        <v/>
      </c>
      <c r="AC131">
        <f>IF(OR(Q131=0,Q131=""),"",ABS((Q131-IF($C131="LT",Config!$F$12,Config!$F$24))/IF($C131="LT",Config!$G$12,Config!$G$24)))</f>
        <v/>
      </c>
      <c r="AD131">
        <f>IF(OR(R131=0,R131=""),"",ABS((R131-IF($C131="LT",Config!$F$13,Config!$F$25))/IF($C131="LT",Config!$G$13,Config!$G$25)))</f>
        <v/>
      </c>
    </row>
    <row r="132">
      <c r="A132" t="inlineStr">
        <is>
          <t>04C0226120751</t>
        </is>
      </c>
      <c r="B132" t="inlineStr">
        <is>
          <t>CRS0000674</t>
        </is>
      </c>
      <c r="C132" t="inlineStr">
        <is>
          <t>MT</t>
        </is>
      </c>
      <c r="D132" t="inlineStr">
        <is>
          <t>TCX413U-DS1B01</t>
        </is>
      </c>
      <c r="E132" s="2" t="n">
        <v>46084</v>
      </c>
      <c r="F132" t="inlineStr">
        <is>
          <t>Pass</t>
        </is>
      </c>
      <c r="G132" t="n">
        <v>114.6</v>
      </c>
      <c r="H132" t="n">
        <v>81.09999999999999</v>
      </c>
      <c r="I132" t="n">
        <v>-1957.8</v>
      </c>
      <c r="J132" t="n">
        <v>68.59999999999999</v>
      </c>
      <c r="K132" t="n">
        <v>0</v>
      </c>
      <c r="L132" t="n">
        <v>1.4</v>
      </c>
      <c r="M132" t="n">
        <v>0</v>
      </c>
      <c r="N132" t="n">
        <v>70</v>
      </c>
      <c r="O132" t="n">
        <v>114.43</v>
      </c>
      <c r="P132" t="n">
        <v>116.19</v>
      </c>
      <c r="Q132" t="n">
        <v>3.83</v>
      </c>
      <c r="R132" t="n">
        <v>3.98</v>
      </c>
      <c r="S132">
        <f>IF(OR(G132=0,G132=""),"",ABS((G132-IF($C132="LT",Config!$F$2,Config!$F$14))/IF($C132="LT",Config!$G$2,Config!$G$14)))</f>
        <v/>
      </c>
      <c r="T132">
        <f>IF(OR(H132=0,H132=""),"",ABS((H132-IF($C132="LT",Config!$F$3,Config!$F$15))/IF($C132="LT",Config!$G$3,Config!$G$15)))</f>
        <v/>
      </c>
      <c r="U132">
        <f>IF(OR(I132=0,I132=""),"",ABS((I132-IF($C132="LT",Config!$F$4,Config!$F$16))/IF($C132="LT",Config!$G$4,Config!$G$16)))</f>
        <v/>
      </c>
      <c r="V132">
        <f>IF(OR(J132=0,J132=""),"",ABS((J132-IF($C132="LT",Config!$F$5,Config!$F$17))/IF($C132="LT",Config!$G$5,Config!$G$17)))</f>
        <v/>
      </c>
      <c r="W132">
        <f>IF(OR(K132=0,K132=""),"",ABS((K132-IF($C132="LT",Config!$F$6,Config!$F$18))/IF($C132="LT",Config!$G$6,Config!$G$18)))</f>
        <v/>
      </c>
      <c r="X132">
        <f>IF(OR(L132=0,L132=""),"",ABS((L132-IF($C132="LT",Config!$F$7,Config!$F$19))/IF($C132="LT",Config!$G$7,Config!$G$19)))</f>
        <v/>
      </c>
      <c r="Y132">
        <f>IF(OR(M132=0,M132=""),"",ABS((M132-IF($C132="LT",Config!$F$8,Config!$F$20))/IF($C132="LT",Config!$G$8,Config!$G$20)))</f>
        <v/>
      </c>
      <c r="Z132">
        <f>IF(OR(N132=0,N132=""),"",ABS((N132-IF($C132="LT",Config!$F$9,Config!$F$21))/IF($C132="LT",Config!$G$9,Config!$G$21)))</f>
        <v/>
      </c>
      <c r="AA132">
        <f>IF(OR(O132=0,O132=""),"",ABS((O132-IF($C132="LT",Config!$F$10,Config!$F$22))/IF($C132="LT",Config!$G$10,Config!$G$22)))</f>
        <v/>
      </c>
      <c r="AB132">
        <f>IF(OR(P132=0,P132=""),"",ABS((P132-IF($C132="LT",Config!$F$11,Config!$F$23))/IF($C132="LT",Config!$G$11,Config!$G$23)))</f>
        <v/>
      </c>
      <c r="AC132">
        <f>IF(OR(Q132=0,Q132=""),"",ABS((Q132-IF($C132="LT",Config!$F$12,Config!$F$24))/IF($C132="LT",Config!$G$12,Config!$G$24)))</f>
        <v/>
      </c>
      <c r="AD132">
        <f>IF(OR(R132=0,R132=""),"",ABS((R132-IF($C132="LT",Config!$F$13,Config!$F$25))/IF($C132="LT",Config!$G$13,Config!$G$25)))</f>
        <v/>
      </c>
    </row>
    <row r="133">
      <c r="A133" t="inlineStr">
        <is>
          <t>04C0226120752</t>
        </is>
      </c>
      <c r="B133" t="inlineStr">
        <is>
          <t>CRS0000674</t>
        </is>
      </c>
      <c r="C133" t="inlineStr">
        <is>
          <t>MT</t>
        </is>
      </c>
      <c r="D133" t="inlineStr">
        <is>
          <t>TCX413U-DS1B01</t>
        </is>
      </c>
      <c r="E133" s="2" t="n">
        <v>46084</v>
      </c>
      <c r="F133" t="inlineStr">
        <is>
          <t>Pass</t>
        </is>
      </c>
      <c r="G133" t="n">
        <v>116.4</v>
      </c>
      <c r="H133" t="n">
        <v>84.3</v>
      </c>
      <c r="I133" t="n">
        <v>-1957.8</v>
      </c>
      <c r="J133" t="n">
        <v>69.5</v>
      </c>
      <c r="K133" t="n">
        <v>0</v>
      </c>
      <c r="L133" t="n">
        <v>4.9</v>
      </c>
      <c r="M133" t="n">
        <v>0</v>
      </c>
      <c r="N133" t="n">
        <v>74.40000000000001</v>
      </c>
      <c r="O133" t="n">
        <v>115.24</v>
      </c>
      <c r="P133" t="n">
        <v>115.24</v>
      </c>
      <c r="Q133" t="n">
        <v>3.98</v>
      </c>
      <c r="R133" t="n">
        <v>4.08</v>
      </c>
      <c r="S133">
        <f>IF(OR(G133=0,G133=""),"",ABS((G133-IF($C133="LT",Config!$F$2,Config!$F$14))/IF($C133="LT",Config!$G$2,Config!$G$14)))</f>
        <v/>
      </c>
      <c r="T133">
        <f>IF(OR(H133=0,H133=""),"",ABS((H133-IF($C133="LT",Config!$F$3,Config!$F$15))/IF($C133="LT",Config!$G$3,Config!$G$15)))</f>
        <v/>
      </c>
      <c r="U133">
        <f>IF(OR(I133=0,I133=""),"",ABS((I133-IF($C133="LT",Config!$F$4,Config!$F$16))/IF($C133="LT",Config!$G$4,Config!$G$16)))</f>
        <v/>
      </c>
      <c r="V133">
        <f>IF(OR(J133=0,J133=""),"",ABS((J133-IF($C133="LT",Config!$F$5,Config!$F$17))/IF($C133="LT",Config!$G$5,Config!$G$17)))</f>
        <v/>
      </c>
      <c r="W133">
        <f>IF(OR(K133=0,K133=""),"",ABS((K133-IF($C133="LT",Config!$F$6,Config!$F$18))/IF($C133="LT",Config!$G$6,Config!$G$18)))</f>
        <v/>
      </c>
      <c r="X133">
        <f>IF(OR(L133=0,L133=""),"",ABS((L133-IF($C133="LT",Config!$F$7,Config!$F$19))/IF($C133="LT",Config!$G$7,Config!$G$19)))</f>
        <v/>
      </c>
      <c r="Y133">
        <f>IF(OR(M133=0,M133=""),"",ABS((M133-IF($C133="LT",Config!$F$8,Config!$F$20))/IF($C133="LT",Config!$G$8,Config!$G$20)))</f>
        <v/>
      </c>
      <c r="Z133">
        <f>IF(OR(N133=0,N133=""),"",ABS((N133-IF($C133="LT",Config!$F$9,Config!$F$21))/IF($C133="LT",Config!$G$9,Config!$G$21)))</f>
        <v/>
      </c>
      <c r="AA133">
        <f>IF(OR(O133=0,O133=""),"",ABS((O133-IF($C133="LT",Config!$F$10,Config!$F$22))/IF($C133="LT",Config!$G$10,Config!$G$22)))</f>
        <v/>
      </c>
      <c r="AB133">
        <f>IF(OR(P133=0,P133=""),"",ABS((P133-IF($C133="LT",Config!$F$11,Config!$F$23))/IF($C133="LT",Config!$G$11,Config!$G$23)))</f>
        <v/>
      </c>
      <c r="AC133">
        <f>IF(OR(Q133=0,Q133=""),"",ABS((Q133-IF($C133="LT",Config!$F$12,Config!$F$24))/IF($C133="LT",Config!$G$12,Config!$G$24)))</f>
        <v/>
      </c>
      <c r="AD133">
        <f>IF(OR(R133=0,R133=""),"",ABS((R133-IF($C133="LT",Config!$F$13,Config!$F$25))/IF($C133="LT",Config!$G$13,Config!$G$25)))</f>
        <v/>
      </c>
    </row>
    <row r="134">
      <c r="A134" t="inlineStr">
        <is>
          <t>04C0226120753</t>
        </is>
      </c>
      <c r="B134" t="inlineStr">
        <is>
          <t>CRS0000674</t>
        </is>
      </c>
      <c r="C134" t="inlineStr">
        <is>
          <t>MT</t>
        </is>
      </c>
      <c r="D134" t="inlineStr">
        <is>
          <t>TCX413U-DS1B01</t>
        </is>
      </c>
      <c r="E134" s="2" t="n">
        <v>46084</v>
      </c>
      <c r="F134" t="inlineStr">
        <is>
          <t>Pass</t>
        </is>
      </c>
      <c r="G134" t="n">
        <v>117.3</v>
      </c>
      <c r="H134" t="n">
        <v>84.7</v>
      </c>
      <c r="I134" t="n">
        <v>-1957.8</v>
      </c>
      <c r="J134" t="n">
        <v>70</v>
      </c>
      <c r="K134" t="n">
        <v>0</v>
      </c>
      <c r="L134" t="n">
        <v>1.3</v>
      </c>
      <c r="M134" t="n">
        <v>0</v>
      </c>
      <c r="N134" t="n">
        <v>71.3</v>
      </c>
      <c r="O134" t="n">
        <v>115.09</v>
      </c>
      <c r="P134" t="n">
        <v>115.09</v>
      </c>
      <c r="Q134" t="n">
        <v>3.81</v>
      </c>
      <c r="R134" t="n">
        <v>3.93</v>
      </c>
      <c r="S134">
        <f>IF(OR(G134=0,G134=""),"",ABS((G134-IF($C134="LT",Config!$F$2,Config!$F$14))/IF($C134="LT",Config!$G$2,Config!$G$14)))</f>
        <v/>
      </c>
      <c r="T134">
        <f>IF(OR(H134=0,H134=""),"",ABS((H134-IF($C134="LT",Config!$F$3,Config!$F$15))/IF($C134="LT",Config!$G$3,Config!$G$15)))</f>
        <v/>
      </c>
      <c r="U134">
        <f>IF(OR(I134=0,I134=""),"",ABS((I134-IF($C134="LT",Config!$F$4,Config!$F$16))/IF($C134="LT",Config!$G$4,Config!$G$16)))</f>
        <v/>
      </c>
      <c r="V134">
        <f>IF(OR(J134=0,J134=""),"",ABS((J134-IF($C134="LT",Config!$F$5,Config!$F$17))/IF($C134="LT",Config!$G$5,Config!$G$17)))</f>
        <v/>
      </c>
      <c r="W134">
        <f>IF(OR(K134=0,K134=""),"",ABS((K134-IF($C134="LT",Config!$F$6,Config!$F$18))/IF($C134="LT",Config!$G$6,Config!$G$18)))</f>
        <v/>
      </c>
      <c r="X134">
        <f>IF(OR(L134=0,L134=""),"",ABS((L134-IF($C134="LT",Config!$F$7,Config!$F$19))/IF($C134="LT",Config!$G$7,Config!$G$19)))</f>
        <v/>
      </c>
      <c r="Y134">
        <f>IF(OR(M134=0,M134=""),"",ABS((M134-IF($C134="LT",Config!$F$8,Config!$F$20))/IF($C134="LT",Config!$G$8,Config!$G$20)))</f>
        <v/>
      </c>
      <c r="Z134">
        <f>IF(OR(N134=0,N134=""),"",ABS((N134-IF($C134="LT",Config!$F$9,Config!$F$21))/IF($C134="LT",Config!$G$9,Config!$G$21)))</f>
        <v/>
      </c>
      <c r="AA134">
        <f>IF(OR(O134=0,O134=""),"",ABS((O134-IF($C134="LT",Config!$F$10,Config!$F$22))/IF($C134="LT",Config!$G$10,Config!$G$22)))</f>
        <v/>
      </c>
      <c r="AB134">
        <f>IF(OR(P134=0,P134=""),"",ABS((P134-IF($C134="LT",Config!$F$11,Config!$F$23))/IF($C134="LT",Config!$G$11,Config!$G$23)))</f>
        <v/>
      </c>
      <c r="AC134">
        <f>IF(OR(Q134=0,Q134=""),"",ABS((Q134-IF($C134="LT",Config!$F$12,Config!$F$24))/IF($C134="LT",Config!$G$12,Config!$G$24)))</f>
        <v/>
      </c>
      <c r="AD134">
        <f>IF(OR(R134=0,R134=""),"",ABS((R134-IF($C134="LT",Config!$F$13,Config!$F$25))/IF($C134="LT",Config!$G$13,Config!$G$25)))</f>
        <v/>
      </c>
    </row>
    <row r="135">
      <c r="A135" t="inlineStr">
        <is>
          <t>04C0226120754</t>
        </is>
      </c>
      <c r="B135" t="inlineStr">
        <is>
          <t>CRS0000674</t>
        </is>
      </c>
      <c r="C135" t="inlineStr">
        <is>
          <t>MT</t>
        </is>
      </c>
      <c r="D135" t="inlineStr">
        <is>
          <t>TCX413U-DS1B01</t>
        </is>
      </c>
      <c r="E135" s="2" t="n">
        <v>46084</v>
      </c>
      <c r="F135" t="inlineStr">
        <is>
          <t>Pass</t>
        </is>
      </c>
      <c r="G135" t="n">
        <v>116.9</v>
      </c>
      <c r="H135" t="n">
        <v>84.3</v>
      </c>
      <c r="I135" t="n">
        <v>-1957.8</v>
      </c>
      <c r="J135" t="n">
        <v>69.5</v>
      </c>
      <c r="K135" t="n">
        <v>0</v>
      </c>
      <c r="L135" t="n">
        <v>1</v>
      </c>
      <c r="M135" t="n">
        <v>0</v>
      </c>
      <c r="N135" t="n">
        <v>70.5</v>
      </c>
      <c r="O135" t="n">
        <v>111.79</v>
      </c>
      <c r="P135" t="n">
        <v>113.48</v>
      </c>
      <c r="Q135" t="n">
        <v>3.96</v>
      </c>
      <c r="R135" t="n">
        <v>3.98</v>
      </c>
      <c r="S135">
        <f>IF(OR(G135=0,G135=""),"",ABS((G135-IF($C135="LT",Config!$F$2,Config!$F$14))/IF($C135="LT",Config!$G$2,Config!$G$14)))</f>
        <v/>
      </c>
      <c r="T135">
        <f>IF(OR(H135=0,H135=""),"",ABS((H135-IF($C135="LT",Config!$F$3,Config!$F$15))/IF($C135="LT",Config!$G$3,Config!$G$15)))</f>
        <v/>
      </c>
      <c r="U135">
        <f>IF(OR(I135=0,I135=""),"",ABS((I135-IF($C135="LT",Config!$F$4,Config!$F$16))/IF($C135="LT",Config!$G$4,Config!$G$16)))</f>
        <v/>
      </c>
      <c r="V135">
        <f>IF(OR(J135=0,J135=""),"",ABS((J135-IF($C135="LT",Config!$F$5,Config!$F$17))/IF($C135="LT",Config!$G$5,Config!$G$17)))</f>
        <v/>
      </c>
      <c r="W135">
        <f>IF(OR(K135=0,K135=""),"",ABS((K135-IF($C135="LT",Config!$F$6,Config!$F$18))/IF($C135="LT",Config!$G$6,Config!$G$18)))</f>
        <v/>
      </c>
      <c r="X135">
        <f>IF(OR(L135=0,L135=""),"",ABS((L135-IF($C135="LT",Config!$F$7,Config!$F$19))/IF($C135="LT",Config!$G$7,Config!$G$19)))</f>
        <v/>
      </c>
      <c r="Y135">
        <f>IF(OR(M135=0,M135=""),"",ABS((M135-IF($C135="LT",Config!$F$8,Config!$F$20))/IF($C135="LT",Config!$G$8,Config!$G$20)))</f>
        <v/>
      </c>
      <c r="Z135">
        <f>IF(OR(N135=0,N135=""),"",ABS((N135-IF($C135="LT",Config!$F$9,Config!$F$21))/IF($C135="LT",Config!$G$9,Config!$G$21)))</f>
        <v/>
      </c>
      <c r="AA135">
        <f>IF(OR(O135=0,O135=""),"",ABS((O135-IF($C135="LT",Config!$F$10,Config!$F$22))/IF($C135="LT",Config!$G$10,Config!$G$22)))</f>
        <v/>
      </c>
      <c r="AB135">
        <f>IF(OR(P135=0,P135=""),"",ABS((P135-IF($C135="LT",Config!$F$11,Config!$F$23))/IF($C135="LT",Config!$G$11,Config!$G$23)))</f>
        <v/>
      </c>
      <c r="AC135">
        <f>IF(OR(Q135=0,Q135=""),"",ABS((Q135-IF($C135="LT",Config!$F$12,Config!$F$24))/IF($C135="LT",Config!$G$12,Config!$G$24)))</f>
        <v/>
      </c>
      <c r="AD135">
        <f>IF(OR(R135=0,R135=""),"",ABS((R135-IF($C135="LT",Config!$F$13,Config!$F$25))/IF($C135="LT",Config!$G$13,Config!$G$25)))</f>
        <v/>
      </c>
    </row>
    <row r="136">
      <c r="A136" t="inlineStr">
        <is>
          <t>04C0226120736</t>
        </is>
      </c>
      <c r="B136" t="inlineStr">
        <is>
          <t>CRS0000674</t>
        </is>
      </c>
      <c r="C136" t="inlineStr">
        <is>
          <t>MT</t>
        </is>
      </c>
      <c r="D136" t="inlineStr">
        <is>
          <t>TCX413U-DS1B01</t>
        </is>
      </c>
      <c r="E136" s="2" t="n">
        <v>46084</v>
      </c>
      <c r="F136" t="inlineStr">
        <is>
          <t>Pass</t>
        </is>
      </c>
      <c r="G136" t="n">
        <v>117.3</v>
      </c>
      <c r="H136" t="n">
        <v>85.2</v>
      </c>
      <c r="I136" t="n">
        <v>-1957.8</v>
      </c>
      <c r="J136" t="n">
        <v>69.09999999999999</v>
      </c>
      <c r="K136" t="n">
        <v>0</v>
      </c>
      <c r="L136" t="n">
        <v>1.8</v>
      </c>
      <c r="M136" t="n">
        <v>0</v>
      </c>
      <c r="N136" t="n">
        <v>70.90000000000001</v>
      </c>
      <c r="O136" t="n">
        <v>111.5</v>
      </c>
      <c r="P136" t="n">
        <v>113.18</v>
      </c>
      <c r="Q136" t="n">
        <v>3.93</v>
      </c>
      <c r="R136" t="n">
        <v>4.03</v>
      </c>
      <c r="S136">
        <f>IF(OR(G136=0,G136=""),"",ABS((G136-IF($C136="LT",Config!$F$2,Config!$F$14))/IF($C136="LT",Config!$G$2,Config!$G$14)))</f>
        <v/>
      </c>
      <c r="T136">
        <f>IF(OR(H136=0,H136=""),"",ABS((H136-IF($C136="LT",Config!$F$3,Config!$F$15))/IF($C136="LT",Config!$G$3,Config!$G$15)))</f>
        <v/>
      </c>
      <c r="U136">
        <f>IF(OR(I136=0,I136=""),"",ABS((I136-IF($C136="LT",Config!$F$4,Config!$F$16))/IF($C136="LT",Config!$G$4,Config!$G$16)))</f>
        <v/>
      </c>
      <c r="V136">
        <f>IF(OR(J136=0,J136=""),"",ABS((J136-IF($C136="LT",Config!$F$5,Config!$F$17))/IF($C136="LT",Config!$G$5,Config!$G$17)))</f>
        <v/>
      </c>
      <c r="W136">
        <f>IF(OR(K136=0,K136=""),"",ABS((K136-IF($C136="LT",Config!$F$6,Config!$F$18))/IF($C136="LT",Config!$G$6,Config!$G$18)))</f>
        <v/>
      </c>
      <c r="X136">
        <f>IF(OR(L136=0,L136=""),"",ABS((L136-IF($C136="LT",Config!$F$7,Config!$F$19))/IF($C136="LT",Config!$G$7,Config!$G$19)))</f>
        <v/>
      </c>
      <c r="Y136">
        <f>IF(OR(M136=0,M136=""),"",ABS((M136-IF($C136="LT",Config!$F$8,Config!$F$20))/IF($C136="LT",Config!$G$8,Config!$G$20)))</f>
        <v/>
      </c>
      <c r="Z136">
        <f>IF(OR(N136=0,N136=""),"",ABS((N136-IF($C136="LT",Config!$F$9,Config!$F$21))/IF($C136="LT",Config!$G$9,Config!$G$21)))</f>
        <v/>
      </c>
      <c r="AA136">
        <f>IF(OR(O136=0,O136=""),"",ABS((O136-IF($C136="LT",Config!$F$10,Config!$F$22))/IF($C136="LT",Config!$G$10,Config!$G$22)))</f>
        <v/>
      </c>
      <c r="AB136">
        <f>IF(OR(P136=0,P136=""),"",ABS((P136-IF($C136="LT",Config!$F$11,Config!$F$23))/IF($C136="LT",Config!$G$11,Config!$G$23)))</f>
        <v/>
      </c>
      <c r="AC136">
        <f>IF(OR(Q136=0,Q136=""),"",ABS((Q136-IF($C136="LT",Config!$F$12,Config!$F$24))/IF($C136="LT",Config!$G$12,Config!$G$24)))</f>
        <v/>
      </c>
      <c r="AD136">
        <f>IF(OR(R136=0,R136=""),"",ABS((R136-IF($C136="LT",Config!$F$13,Config!$F$25))/IF($C136="LT",Config!$G$13,Config!$G$25)))</f>
        <v/>
      </c>
    </row>
    <row r="137">
      <c r="A137" t="inlineStr">
        <is>
          <t>04C0326120755</t>
        </is>
      </c>
      <c r="B137" t="inlineStr">
        <is>
          <t>CRS0000674</t>
        </is>
      </c>
      <c r="C137" t="inlineStr">
        <is>
          <t>MT</t>
        </is>
      </c>
      <c r="D137" t="inlineStr">
        <is>
          <t>TCX413U-DS1B01</t>
        </is>
      </c>
      <c r="E137" s="2" t="n">
        <v>46084</v>
      </c>
      <c r="F137" t="inlineStr">
        <is>
          <t>Pass</t>
        </is>
      </c>
      <c r="G137" t="n">
        <v>107</v>
      </c>
      <c r="H137" t="n">
        <v>78.40000000000001</v>
      </c>
      <c r="I137" t="n">
        <v>-1957.8</v>
      </c>
      <c r="J137" t="n">
        <v>69.09999999999999</v>
      </c>
      <c r="K137" t="n">
        <v>0</v>
      </c>
      <c r="L137" t="n">
        <v>2.6</v>
      </c>
      <c r="M137" t="n">
        <v>0</v>
      </c>
      <c r="N137" t="n">
        <v>71.7</v>
      </c>
      <c r="O137" t="n">
        <v>111.86</v>
      </c>
      <c r="P137" t="n">
        <v>113.7</v>
      </c>
      <c r="Q137" t="n">
        <v>3.83</v>
      </c>
      <c r="R137" t="n">
        <v>3.83</v>
      </c>
      <c r="S137">
        <f>IF(OR(G137=0,G137=""),"",ABS((G137-IF($C137="LT",Config!$F$2,Config!$F$14))/IF($C137="LT",Config!$G$2,Config!$G$14)))</f>
        <v/>
      </c>
      <c r="T137">
        <f>IF(OR(H137=0,H137=""),"",ABS((H137-IF($C137="LT",Config!$F$3,Config!$F$15))/IF($C137="LT",Config!$G$3,Config!$G$15)))</f>
        <v/>
      </c>
      <c r="U137">
        <f>IF(OR(I137=0,I137=""),"",ABS((I137-IF($C137="LT",Config!$F$4,Config!$F$16))/IF($C137="LT",Config!$G$4,Config!$G$16)))</f>
        <v/>
      </c>
      <c r="V137">
        <f>IF(OR(J137=0,J137=""),"",ABS((J137-IF($C137="LT",Config!$F$5,Config!$F$17))/IF($C137="LT",Config!$G$5,Config!$G$17)))</f>
        <v/>
      </c>
      <c r="W137">
        <f>IF(OR(K137=0,K137=""),"",ABS((K137-IF($C137="LT",Config!$F$6,Config!$F$18))/IF($C137="LT",Config!$G$6,Config!$G$18)))</f>
        <v/>
      </c>
      <c r="X137">
        <f>IF(OR(L137=0,L137=""),"",ABS((L137-IF($C137="LT",Config!$F$7,Config!$F$19))/IF($C137="LT",Config!$G$7,Config!$G$19)))</f>
        <v/>
      </c>
      <c r="Y137">
        <f>IF(OR(M137=0,M137=""),"",ABS((M137-IF($C137="LT",Config!$F$8,Config!$F$20))/IF($C137="LT",Config!$G$8,Config!$G$20)))</f>
        <v/>
      </c>
      <c r="Z137">
        <f>IF(OR(N137=0,N137=""),"",ABS((N137-IF($C137="LT",Config!$F$9,Config!$F$21))/IF($C137="LT",Config!$G$9,Config!$G$21)))</f>
        <v/>
      </c>
      <c r="AA137">
        <f>IF(OR(O137=0,O137=""),"",ABS((O137-IF($C137="LT",Config!$F$10,Config!$F$22))/IF($C137="LT",Config!$G$10,Config!$G$22)))</f>
        <v/>
      </c>
      <c r="AB137">
        <f>IF(OR(P137=0,P137=""),"",ABS((P137-IF($C137="LT",Config!$F$11,Config!$F$23))/IF($C137="LT",Config!$G$11,Config!$G$23)))</f>
        <v/>
      </c>
      <c r="AC137">
        <f>IF(OR(Q137=0,Q137=""),"",ABS((Q137-IF($C137="LT",Config!$F$12,Config!$F$24))/IF($C137="LT",Config!$G$12,Config!$G$24)))</f>
        <v/>
      </c>
      <c r="AD137">
        <f>IF(OR(R137=0,R137=""),"",ABS((R137-IF($C137="LT",Config!$F$13,Config!$F$25))/IF($C137="LT",Config!$G$13,Config!$G$25)))</f>
        <v/>
      </c>
    </row>
    <row r="138">
      <c r="A138" t="inlineStr">
        <is>
          <t>04C0326120756</t>
        </is>
      </c>
      <c r="B138" t="inlineStr">
        <is>
          <t>CRS0000674</t>
        </is>
      </c>
      <c r="C138" t="inlineStr">
        <is>
          <t>MT</t>
        </is>
      </c>
      <c r="D138" t="inlineStr">
        <is>
          <t>TCX413U-DS1B01</t>
        </is>
      </c>
      <c r="E138" s="2" t="n">
        <v>46084</v>
      </c>
      <c r="F138" t="inlineStr">
        <is>
          <t>Fail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>
        <f>IF(OR(G138=0,G138=""),"",ABS((G138-IF($C138="LT",Config!$F$2,Config!$F$14))/IF($C138="LT",Config!$G$2,Config!$G$14)))</f>
        <v/>
      </c>
      <c r="T138">
        <f>IF(OR(H138=0,H138=""),"",ABS((H138-IF($C138="LT",Config!$F$3,Config!$F$15))/IF($C138="LT",Config!$G$3,Config!$G$15)))</f>
        <v/>
      </c>
      <c r="U138">
        <f>IF(OR(I138=0,I138=""),"",ABS((I138-IF($C138="LT",Config!$F$4,Config!$F$16))/IF($C138="LT",Config!$G$4,Config!$G$16)))</f>
        <v/>
      </c>
      <c r="V138">
        <f>IF(OR(J138=0,J138=""),"",ABS((J138-IF($C138="LT",Config!$F$5,Config!$F$17))/IF($C138="LT",Config!$G$5,Config!$G$17)))</f>
        <v/>
      </c>
      <c r="W138">
        <f>IF(OR(K138=0,K138=""),"",ABS((K138-IF($C138="LT",Config!$F$6,Config!$F$18))/IF($C138="LT",Config!$G$6,Config!$G$18)))</f>
        <v/>
      </c>
      <c r="X138">
        <f>IF(OR(L138=0,L138=""),"",ABS((L138-IF($C138="LT",Config!$F$7,Config!$F$19))/IF($C138="LT",Config!$G$7,Config!$G$19)))</f>
        <v/>
      </c>
      <c r="Y138">
        <f>IF(OR(M138=0,M138=""),"",ABS((M138-IF($C138="LT",Config!$F$8,Config!$F$20))/IF($C138="LT",Config!$G$8,Config!$G$20)))</f>
        <v/>
      </c>
      <c r="Z138">
        <f>IF(OR(N138=0,N138=""),"",ABS((N138-IF($C138="LT",Config!$F$9,Config!$F$21))/IF($C138="LT",Config!$G$9,Config!$G$21)))</f>
        <v/>
      </c>
      <c r="AA138">
        <f>IF(OR(O138=0,O138=""),"",ABS((O138-IF($C138="LT",Config!$F$10,Config!$F$22))/IF($C138="LT",Config!$G$10,Config!$G$22)))</f>
        <v/>
      </c>
      <c r="AB138">
        <f>IF(OR(P138=0,P138=""),"",ABS((P138-IF($C138="LT",Config!$F$11,Config!$F$23))/IF($C138="LT",Config!$G$11,Config!$G$23)))</f>
        <v/>
      </c>
      <c r="AC138">
        <f>IF(OR(Q138=0,Q138=""),"",ABS((Q138-IF($C138="LT",Config!$F$12,Config!$F$24))/IF($C138="LT",Config!$G$12,Config!$G$24)))</f>
        <v/>
      </c>
      <c r="AD138">
        <f>IF(OR(R138=0,R138=""),"",ABS((R138-IF($C138="LT",Config!$F$13,Config!$F$25))/IF($C138="LT",Config!$G$13,Config!$G$25)))</f>
        <v/>
      </c>
    </row>
    <row r="139">
      <c r="A139" t="inlineStr">
        <is>
          <t>04C0326120756</t>
        </is>
      </c>
      <c r="B139" t="inlineStr">
        <is>
          <t>CRS0000674</t>
        </is>
      </c>
      <c r="C139" t="inlineStr">
        <is>
          <t>MT</t>
        </is>
      </c>
      <c r="D139" t="inlineStr">
        <is>
          <t>TCX413U-DS1B01</t>
        </is>
      </c>
      <c r="E139" s="2" t="n">
        <v>46084</v>
      </c>
      <c r="F139" t="inlineStr">
        <is>
          <t>Pass</t>
        </is>
      </c>
      <c r="G139" t="n">
        <v>114.6</v>
      </c>
      <c r="H139" t="n">
        <v>85.2</v>
      </c>
      <c r="I139" t="n">
        <v>-1957.8</v>
      </c>
      <c r="J139" t="n">
        <v>69.5</v>
      </c>
      <c r="K139" t="n">
        <v>0</v>
      </c>
      <c r="L139" t="n">
        <v>3</v>
      </c>
      <c r="M139" t="n">
        <v>0</v>
      </c>
      <c r="N139" t="n">
        <v>72.5</v>
      </c>
      <c r="O139" t="n">
        <v>112.16</v>
      </c>
      <c r="P139" t="n">
        <v>116.26</v>
      </c>
      <c r="Q139" t="n">
        <v>3.98</v>
      </c>
      <c r="R139" t="n">
        <v>3.93</v>
      </c>
      <c r="S139">
        <f>IF(OR(G139=0,G139=""),"",ABS((G139-IF($C139="LT",Config!$F$2,Config!$F$14))/IF($C139="LT",Config!$G$2,Config!$G$14)))</f>
        <v/>
      </c>
      <c r="T139">
        <f>IF(OR(H139=0,H139=""),"",ABS((H139-IF($C139="LT",Config!$F$3,Config!$F$15))/IF($C139="LT",Config!$G$3,Config!$G$15)))</f>
        <v/>
      </c>
      <c r="U139">
        <f>IF(OR(I139=0,I139=""),"",ABS((I139-IF($C139="LT",Config!$F$4,Config!$F$16))/IF($C139="LT",Config!$G$4,Config!$G$16)))</f>
        <v/>
      </c>
      <c r="V139">
        <f>IF(OR(J139=0,J139=""),"",ABS((J139-IF($C139="LT",Config!$F$5,Config!$F$17))/IF($C139="LT",Config!$G$5,Config!$G$17)))</f>
        <v/>
      </c>
      <c r="W139">
        <f>IF(OR(K139=0,K139=""),"",ABS((K139-IF($C139="LT",Config!$F$6,Config!$F$18))/IF($C139="LT",Config!$G$6,Config!$G$18)))</f>
        <v/>
      </c>
      <c r="X139">
        <f>IF(OR(L139=0,L139=""),"",ABS((L139-IF($C139="LT",Config!$F$7,Config!$F$19))/IF($C139="LT",Config!$G$7,Config!$G$19)))</f>
        <v/>
      </c>
      <c r="Y139">
        <f>IF(OR(M139=0,M139=""),"",ABS((M139-IF($C139="LT",Config!$F$8,Config!$F$20))/IF($C139="LT",Config!$G$8,Config!$G$20)))</f>
        <v/>
      </c>
      <c r="Z139">
        <f>IF(OR(N139=0,N139=""),"",ABS((N139-IF($C139="LT",Config!$F$9,Config!$F$21))/IF($C139="LT",Config!$G$9,Config!$G$21)))</f>
        <v/>
      </c>
      <c r="AA139">
        <f>IF(OR(O139=0,O139=""),"",ABS((O139-IF($C139="LT",Config!$F$10,Config!$F$22))/IF($C139="LT",Config!$G$10,Config!$G$22)))</f>
        <v/>
      </c>
      <c r="AB139">
        <f>IF(OR(P139=0,P139=""),"",ABS((P139-IF($C139="LT",Config!$F$11,Config!$F$23))/IF($C139="LT",Config!$G$11,Config!$G$23)))</f>
        <v/>
      </c>
      <c r="AC139">
        <f>IF(OR(Q139=0,Q139=""),"",ABS((Q139-IF($C139="LT",Config!$F$12,Config!$F$24))/IF($C139="LT",Config!$G$12,Config!$G$24)))</f>
        <v/>
      </c>
      <c r="AD139">
        <f>IF(OR(R139=0,R139=""),"",ABS((R139-IF($C139="LT",Config!$F$13,Config!$F$25))/IF($C139="LT",Config!$G$13,Config!$G$25)))</f>
        <v/>
      </c>
    </row>
    <row r="140">
      <c r="A140" t="inlineStr">
        <is>
          <t>04C0326120757</t>
        </is>
      </c>
      <c r="B140" t="inlineStr">
        <is>
          <t>CRS0000674</t>
        </is>
      </c>
      <c r="C140" t="inlineStr">
        <is>
          <t>MT</t>
        </is>
      </c>
      <c r="D140" t="inlineStr">
        <is>
          <t>TCX413U-DS1B01</t>
        </is>
      </c>
      <c r="E140" s="2" t="n">
        <v>46084</v>
      </c>
      <c r="F140" t="inlineStr">
        <is>
          <t>Pass</t>
        </is>
      </c>
      <c r="G140" t="n">
        <v>117.3</v>
      </c>
      <c r="H140" t="n">
        <v>85.2</v>
      </c>
      <c r="I140" t="n">
        <v>-1957.8</v>
      </c>
      <c r="J140" t="n">
        <v>69.5</v>
      </c>
      <c r="K140" t="n">
        <v>0</v>
      </c>
      <c r="L140" t="n">
        <v>1.8</v>
      </c>
      <c r="M140" t="n">
        <v>0</v>
      </c>
      <c r="N140" t="n">
        <v>71.3</v>
      </c>
      <c r="O140" t="n">
        <v>112.16</v>
      </c>
      <c r="P140" t="n">
        <v>116.26</v>
      </c>
      <c r="Q140" t="n">
        <v>3.91</v>
      </c>
      <c r="R140" t="n">
        <v>3.96</v>
      </c>
      <c r="S140">
        <f>IF(OR(G140=0,G140=""),"",ABS((G140-IF($C140="LT",Config!$F$2,Config!$F$14))/IF($C140="LT",Config!$G$2,Config!$G$14)))</f>
        <v/>
      </c>
      <c r="T140">
        <f>IF(OR(H140=0,H140=""),"",ABS((H140-IF($C140="LT",Config!$F$3,Config!$F$15))/IF($C140="LT",Config!$G$3,Config!$G$15)))</f>
        <v/>
      </c>
      <c r="U140">
        <f>IF(OR(I140=0,I140=""),"",ABS((I140-IF($C140="LT",Config!$F$4,Config!$F$16))/IF($C140="LT",Config!$G$4,Config!$G$16)))</f>
        <v/>
      </c>
      <c r="V140">
        <f>IF(OR(J140=0,J140=""),"",ABS((J140-IF($C140="LT",Config!$F$5,Config!$F$17))/IF($C140="LT",Config!$G$5,Config!$G$17)))</f>
        <v/>
      </c>
      <c r="W140">
        <f>IF(OR(K140=0,K140=""),"",ABS((K140-IF($C140="LT",Config!$F$6,Config!$F$18))/IF($C140="LT",Config!$G$6,Config!$G$18)))</f>
        <v/>
      </c>
      <c r="X140">
        <f>IF(OR(L140=0,L140=""),"",ABS((L140-IF($C140="LT",Config!$F$7,Config!$F$19))/IF($C140="LT",Config!$G$7,Config!$G$19)))</f>
        <v/>
      </c>
      <c r="Y140">
        <f>IF(OR(M140=0,M140=""),"",ABS((M140-IF($C140="LT",Config!$F$8,Config!$F$20))/IF($C140="LT",Config!$G$8,Config!$G$20)))</f>
        <v/>
      </c>
      <c r="Z140">
        <f>IF(OR(N140=0,N140=""),"",ABS((N140-IF($C140="LT",Config!$F$9,Config!$F$21))/IF($C140="LT",Config!$G$9,Config!$G$21)))</f>
        <v/>
      </c>
      <c r="AA140">
        <f>IF(OR(O140=0,O140=""),"",ABS((O140-IF($C140="LT",Config!$F$10,Config!$F$22))/IF($C140="LT",Config!$G$10,Config!$G$22)))</f>
        <v/>
      </c>
      <c r="AB140">
        <f>IF(OR(P140=0,P140=""),"",ABS((P140-IF($C140="LT",Config!$F$11,Config!$F$23))/IF($C140="LT",Config!$G$11,Config!$G$23)))</f>
        <v/>
      </c>
      <c r="AC140">
        <f>IF(OR(Q140=0,Q140=""),"",ABS((Q140-IF($C140="LT",Config!$F$12,Config!$F$24))/IF($C140="LT",Config!$G$12,Config!$G$24)))</f>
        <v/>
      </c>
      <c r="AD140">
        <f>IF(OR(R140=0,R140=""),"",ABS((R140-IF($C140="LT",Config!$F$13,Config!$F$25))/IF($C140="LT",Config!$G$13,Config!$G$25)))</f>
        <v/>
      </c>
    </row>
    <row r="141">
      <c r="A141" t="inlineStr">
        <is>
          <t>04C0326120758</t>
        </is>
      </c>
      <c r="B141" t="inlineStr">
        <is>
          <t>CRS0000674</t>
        </is>
      </c>
      <c r="C141" t="inlineStr">
        <is>
          <t>MT</t>
        </is>
      </c>
      <c r="D141" t="inlineStr">
        <is>
          <t>TCX413U-DS1B01</t>
        </is>
      </c>
      <c r="E141" s="2" t="n">
        <v>46084</v>
      </c>
      <c r="F141" t="inlineStr">
        <is>
          <t>Pass</t>
        </is>
      </c>
      <c r="G141" t="n">
        <v>110.6</v>
      </c>
      <c r="H141" t="n">
        <v>80.7</v>
      </c>
      <c r="I141" t="n">
        <v>-1957.8</v>
      </c>
      <c r="J141" t="n">
        <v>70.40000000000001</v>
      </c>
      <c r="K141" t="n">
        <v>0</v>
      </c>
      <c r="L141" t="n">
        <v>2.7</v>
      </c>
      <c r="M141" t="n">
        <v>0</v>
      </c>
      <c r="N141" t="n">
        <v>73.09999999999999</v>
      </c>
      <c r="O141" t="n">
        <v>115.31</v>
      </c>
      <c r="P141" t="n">
        <v>115.24</v>
      </c>
      <c r="Q141" t="n">
        <v>3.76</v>
      </c>
      <c r="R141" t="n">
        <v>3.83</v>
      </c>
      <c r="S141">
        <f>IF(OR(G141=0,G141=""),"",ABS((G141-IF($C141="LT",Config!$F$2,Config!$F$14))/IF($C141="LT",Config!$G$2,Config!$G$14)))</f>
        <v/>
      </c>
      <c r="T141">
        <f>IF(OR(H141=0,H141=""),"",ABS((H141-IF($C141="LT",Config!$F$3,Config!$F$15))/IF($C141="LT",Config!$G$3,Config!$G$15)))</f>
        <v/>
      </c>
      <c r="U141">
        <f>IF(OR(I141=0,I141=""),"",ABS((I141-IF($C141="LT",Config!$F$4,Config!$F$16))/IF($C141="LT",Config!$G$4,Config!$G$16)))</f>
        <v/>
      </c>
      <c r="V141">
        <f>IF(OR(J141=0,J141=""),"",ABS((J141-IF($C141="LT",Config!$F$5,Config!$F$17))/IF($C141="LT",Config!$G$5,Config!$G$17)))</f>
        <v/>
      </c>
      <c r="W141">
        <f>IF(OR(K141=0,K141=""),"",ABS((K141-IF($C141="LT",Config!$F$6,Config!$F$18))/IF($C141="LT",Config!$G$6,Config!$G$18)))</f>
        <v/>
      </c>
      <c r="X141">
        <f>IF(OR(L141=0,L141=""),"",ABS((L141-IF($C141="LT",Config!$F$7,Config!$F$19))/IF($C141="LT",Config!$G$7,Config!$G$19)))</f>
        <v/>
      </c>
      <c r="Y141">
        <f>IF(OR(M141=0,M141=""),"",ABS((M141-IF($C141="LT",Config!$F$8,Config!$F$20))/IF($C141="LT",Config!$G$8,Config!$G$20)))</f>
        <v/>
      </c>
      <c r="Z141">
        <f>IF(OR(N141=0,N141=""),"",ABS((N141-IF($C141="LT",Config!$F$9,Config!$F$21))/IF($C141="LT",Config!$G$9,Config!$G$21)))</f>
        <v/>
      </c>
      <c r="AA141">
        <f>IF(OR(O141=0,O141=""),"",ABS((O141-IF($C141="LT",Config!$F$10,Config!$F$22))/IF($C141="LT",Config!$G$10,Config!$G$22)))</f>
        <v/>
      </c>
      <c r="AB141">
        <f>IF(OR(P141=0,P141=""),"",ABS((P141-IF($C141="LT",Config!$F$11,Config!$F$23))/IF($C141="LT",Config!$G$11,Config!$G$23)))</f>
        <v/>
      </c>
      <c r="AC141">
        <f>IF(OR(Q141=0,Q141=""),"",ABS((Q141-IF($C141="LT",Config!$F$12,Config!$F$24))/IF($C141="LT",Config!$G$12,Config!$G$24)))</f>
        <v/>
      </c>
      <c r="AD141">
        <f>IF(OR(R141=0,R141=""),"",ABS((R141-IF($C141="LT",Config!$F$13,Config!$F$25))/IF($C141="LT",Config!$G$13,Config!$G$25)))</f>
        <v/>
      </c>
    </row>
    <row r="142">
      <c r="A142" t="inlineStr">
        <is>
          <t>04C0126120728</t>
        </is>
      </c>
      <c r="B142" t="inlineStr">
        <is>
          <t>CRS0000675</t>
        </is>
      </c>
      <c r="C142" t="inlineStr">
        <is>
          <t>LT</t>
        </is>
      </c>
      <c r="D142" t="inlineStr">
        <is>
          <t>ALX440U-DS3B01</t>
        </is>
      </c>
      <c r="E142" s="2" t="n">
        <v>46084</v>
      </c>
      <c r="F142" t="inlineStr">
        <is>
          <t>Pass</t>
        </is>
      </c>
      <c r="G142" t="n">
        <v>163.3</v>
      </c>
      <c r="H142" t="n">
        <v>110.9</v>
      </c>
      <c r="I142" t="n">
        <v>-1957.8</v>
      </c>
      <c r="J142" t="n">
        <v>70</v>
      </c>
      <c r="K142" t="n">
        <v>0</v>
      </c>
      <c r="L142" t="n">
        <v>3.2</v>
      </c>
      <c r="M142" t="n">
        <v>0</v>
      </c>
      <c r="N142" t="n">
        <v>73.2</v>
      </c>
      <c r="O142" t="n">
        <v>111.35</v>
      </c>
      <c r="P142" t="n">
        <v>117.58</v>
      </c>
      <c r="Q142" t="n">
        <v>9.16</v>
      </c>
      <c r="R142" t="n">
        <v>8.57</v>
      </c>
      <c r="S142">
        <f>IF(OR(G142=0,G142=""),"",ABS((G142-IF($C142="LT",Config!$F$2,Config!$F$14))/IF($C142="LT",Config!$G$2,Config!$G$14)))</f>
        <v/>
      </c>
      <c r="T142">
        <f>IF(OR(H142=0,H142=""),"",ABS((H142-IF($C142="LT",Config!$F$3,Config!$F$15))/IF($C142="LT",Config!$G$3,Config!$G$15)))</f>
        <v/>
      </c>
      <c r="U142">
        <f>IF(OR(I142=0,I142=""),"",ABS((I142-IF($C142="LT",Config!$F$4,Config!$F$16))/IF($C142="LT",Config!$G$4,Config!$G$16)))</f>
        <v/>
      </c>
      <c r="V142">
        <f>IF(OR(J142=0,J142=""),"",ABS((J142-IF($C142="LT",Config!$F$5,Config!$F$17))/IF($C142="LT",Config!$G$5,Config!$G$17)))</f>
        <v/>
      </c>
      <c r="W142">
        <f>IF(OR(K142=0,K142=""),"",ABS((K142-IF($C142="LT",Config!$F$6,Config!$F$18))/IF($C142="LT",Config!$G$6,Config!$G$18)))</f>
        <v/>
      </c>
      <c r="X142">
        <f>IF(OR(L142=0,L142=""),"",ABS((L142-IF($C142="LT",Config!$F$7,Config!$F$19))/IF($C142="LT",Config!$G$7,Config!$G$19)))</f>
        <v/>
      </c>
      <c r="Y142">
        <f>IF(OR(M142=0,M142=""),"",ABS((M142-IF($C142="LT",Config!$F$8,Config!$F$20))/IF($C142="LT",Config!$G$8,Config!$G$20)))</f>
        <v/>
      </c>
      <c r="Z142">
        <f>IF(OR(N142=0,N142=""),"",ABS((N142-IF($C142="LT",Config!$F$9,Config!$F$21))/IF($C142="LT",Config!$G$9,Config!$G$21)))</f>
        <v/>
      </c>
      <c r="AA142">
        <f>IF(OR(O142=0,O142=""),"",ABS((O142-IF($C142="LT",Config!$F$10,Config!$F$22))/IF($C142="LT",Config!$G$10,Config!$G$22)))</f>
        <v/>
      </c>
      <c r="AB142">
        <f>IF(OR(P142=0,P142=""),"",ABS((P142-IF($C142="LT",Config!$F$11,Config!$F$23))/IF($C142="LT",Config!$G$11,Config!$G$23)))</f>
        <v/>
      </c>
      <c r="AC142">
        <f>IF(OR(Q142=0,Q142=""),"",ABS((Q142-IF($C142="LT",Config!$F$12,Config!$F$24))/IF($C142="LT",Config!$G$12,Config!$G$24)))</f>
        <v/>
      </c>
      <c r="AD142">
        <f>IF(OR(R142=0,R142=""),"",ABS((R142-IF($C142="LT",Config!$F$13,Config!$F$25))/IF($C142="LT",Config!$G$13,Config!$G$25)))</f>
        <v/>
      </c>
    </row>
    <row r="143">
      <c r="A143" t="inlineStr">
        <is>
          <t>04C0326120759</t>
        </is>
      </c>
      <c r="B143" t="inlineStr">
        <is>
          <t>CRS0000674</t>
        </is>
      </c>
      <c r="C143" t="inlineStr">
        <is>
          <t>MT</t>
        </is>
      </c>
      <c r="D143" t="inlineStr">
        <is>
          <t>TCX413U-DS1B01</t>
        </is>
      </c>
      <c r="E143" s="2" t="n">
        <v>46084</v>
      </c>
      <c r="F143" t="inlineStr">
        <is>
          <t>Pass</t>
        </is>
      </c>
      <c r="G143" t="n">
        <v>110.6</v>
      </c>
      <c r="H143" t="n">
        <v>82.90000000000001</v>
      </c>
      <c r="I143" t="n">
        <v>-1957.8</v>
      </c>
      <c r="J143" t="n">
        <v>69.5</v>
      </c>
      <c r="K143" t="n">
        <v>0</v>
      </c>
      <c r="L143" t="n">
        <v>0.2</v>
      </c>
      <c r="M143" t="n">
        <v>0</v>
      </c>
      <c r="N143" t="n">
        <v>69.7</v>
      </c>
      <c r="O143" t="n">
        <v>115.6</v>
      </c>
      <c r="P143" t="n">
        <v>113.77</v>
      </c>
      <c r="Q143" t="n">
        <v>3.76</v>
      </c>
      <c r="R143" t="n">
        <v>3.86</v>
      </c>
      <c r="S143">
        <f>IF(OR(G143=0,G143=""),"",ABS((G143-IF($C143="LT",Config!$F$2,Config!$F$14))/IF($C143="LT",Config!$G$2,Config!$G$14)))</f>
        <v/>
      </c>
      <c r="T143">
        <f>IF(OR(H143=0,H143=""),"",ABS((H143-IF($C143="LT",Config!$F$3,Config!$F$15))/IF($C143="LT",Config!$G$3,Config!$G$15)))</f>
        <v/>
      </c>
      <c r="U143">
        <f>IF(OR(I143=0,I143=""),"",ABS((I143-IF($C143="LT",Config!$F$4,Config!$F$16))/IF($C143="LT",Config!$G$4,Config!$G$16)))</f>
        <v/>
      </c>
      <c r="V143">
        <f>IF(OR(J143=0,J143=""),"",ABS((J143-IF($C143="LT",Config!$F$5,Config!$F$17))/IF($C143="LT",Config!$G$5,Config!$G$17)))</f>
        <v/>
      </c>
      <c r="W143">
        <f>IF(OR(K143=0,K143=""),"",ABS((K143-IF($C143="LT",Config!$F$6,Config!$F$18))/IF($C143="LT",Config!$G$6,Config!$G$18)))</f>
        <v/>
      </c>
      <c r="X143">
        <f>IF(OR(L143=0,L143=""),"",ABS((L143-IF($C143="LT",Config!$F$7,Config!$F$19))/IF($C143="LT",Config!$G$7,Config!$G$19)))</f>
        <v/>
      </c>
      <c r="Y143">
        <f>IF(OR(M143=0,M143=""),"",ABS((M143-IF($C143="LT",Config!$F$8,Config!$F$20))/IF($C143="LT",Config!$G$8,Config!$G$20)))</f>
        <v/>
      </c>
      <c r="Z143">
        <f>IF(OR(N143=0,N143=""),"",ABS((N143-IF($C143="LT",Config!$F$9,Config!$F$21))/IF($C143="LT",Config!$G$9,Config!$G$21)))</f>
        <v/>
      </c>
      <c r="AA143">
        <f>IF(OR(O143=0,O143=""),"",ABS((O143-IF($C143="LT",Config!$F$10,Config!$F$22))/IF($C143="LT",Config!$G$10,Config!$G$22)))</f>
        <v/>
      </c>
      <c r="AB143">
        <f>IF(OR(P143=0,P143=""),"",ABS((P143-IF($C143="LT",Config!$F$11,Config!$F$23))/IF($C143="LT",Config!$G$11,Config!$G$23)))</f>
        <v/>
      </c>
      <c r="AC143">
        <f>IF(OR(Q143=0,Q143=""),"",ABS((Q143-IF($C143="LT",Config!$F$12,Config!$F$24))/IF($C143="LT",Config!$G$12,Config!$G$24)))</f>
        <v/>
      </c>
      <c r="AD143">
        <f>IF(OR(R143=0,R143=""),"",ABS((R143-IF($C143="LT",Config!$F$13,Config!$F$25))/IF($C143="LT",Config!$G$13,Config!$G$25)))</f>
        <v/>
      </c>
    </row>
    <row r="144">
      <c r="A144" t="inlineStr">
        <is>
          <t>04C0326120760</t>
        </is>
      </c>
      <c r="B144" t="inlineStr">
        <is>
          <t>CRS0000674</t>
        </is>
      </c>
      <c r="C144" t="inlineStr">
        <is>
          <t>MT</t>
        </is>
      </c>
      <c r="D144" t="inlineStr">
        <is>
          <t>TCX413U-DS1B01</t>
        </is>
      </c>
      <c r="E144" s="2" t="n">
        <v>46084</v>
      </c>
      <c r="F144" t="inlineStr">
        <is>
          <t>Pass</t>
        </is>
      </c>
      <c r="G144" t="n">
        <v>113.7</v>
      </c>
      <c r="H144" t="n">
        <v>83.8</v>
      </c>
      <c r="I144" t="n">
        <v>-1957.8</v>
      </c>
      <c r="J144" t="n">
        <v>69.09999999999999</v>
      </c>
      <c r="K144" t="n">
        <v>0</v>
      </c>
      <c r="L144" t="n">
        <v>0.6</v>
      </c>
      <c r="M144" t="n">
        <v>0</v>
      </c>
      <c r="N144" t="n">
        <v>69.7</v>
      </c>
      <c r="O144" t="n">
        <v>115.46</v>
      </c>
      <c r="P144" t="n">
        <v>115.38</v>
      </c>
      <c r="Q144" t="n">
        <v>3.76</v>
      </c>
      <c r="R144" t="n">
        <v>3.86</v>
      </c>
      <c r="S144">
        <f>IF(OR(G144=0,G144=""),"",ABS((G144-IF($C144="LT",Config!$F$2,Config!$F$14))/IF($C144="LT",Config!$G$2,Config!$G$14)))</f>
        <v/>
      </c>
      <c r="T144">
        <f>IF(OR(H144=0,H144=""),"",ABS((H144-IF($C144="LT",Config!$F$3,Config!$F$15))/IF($C144="LT",Config!$G$3,Config!$G$15)))</f>
        <v/>
      </c>
      <c r="U144">
        <f>IF(OR(I144=0,I144=""),"",ABS((I144-IF($C144="LT",Config!$F$4,Config!$F$16))/IF($C144="LT",Config!$G$4,Config!$G$16)))</f>
        <v/>
      </c>
      <c r="V144">
        <f>IF(OR(J144=0,J144=""),"",ABS((J144-IF($C144="LT",Config!$F$5,Config!$F$17))/IF($C144="LT",Config!$G$5,Config!$G$17)))</f>
        <v/>
      </c>
      <c r="W144">
        <f>IF(OR(K144=0,K144=""),"",ABS((K144-IF($C144="LT",Config!$F$6,Config!$F$18))/IF($C144="LT",Config!$G$6,Config!$G$18)))</f>
        <v/>
      </c>
      <c r="X144">
        <f>IF(OR(L144=0,L144=""),"",ABS((L144-IF($C144="LT",Config!$F$7,Config!$F$19))/IF($C144="LT",Config!$G$7,Config!$G$19)))</f>
        <v/>
      </c>
      <c r="Y144">
        <f>IF(OR(M144=0,M144=""),"",ABS((M144-IF($C144="LT",Config!$F$8,Config!$F$20))/IF($C144="LT",Config!$G$8,Config!$G$20)))</f>
        <v/>
      </c>
      <c r="Z144">
        <f>IF(OR(N144=0,N144=""),"",ABS((N144-IF($C144="LT",Config!$F$9,Config!$F$21))/IF($C144="LT",Config!$G$9,Config!$G$21)))</f>
        <v/>
      </c>
      <c r="AA144">
        <f>IF(OR(O144=0,O144=""),"",ABS((O144-IF($C144="LT",Config!$F$10,Config!$F$22))/IF($C144="LT",Config!$G$10,Config!$G$22)))</f>
        <v/>
      </c>
      <c r="AB144">
        <f>IF(OR(P144=0,P144=""),"",ABS((P144-IF($C144="LT",Config!$F$11,Config!$F$23))/IF($C144="LT",Config!$G$11,Config!$G$23)))</f>
        <v/>
      </c>
      <c r="AC144">
        <f>IF(OR(Q144=0,Q144=""),"",ABS((Q144-IF($C144="LT",Config!$F$12,Config!$F$24))/IF($C144="LT",Config!$G$12,Config!$G$24)))</f>
        <v/>
      </c>
      <c r="AD144">
        <f>IF(OR(R144=0,R144=""),"",ABS((R144-IF($C144="LT",Config!$F$13,Config!$F$25))/IF($C144="LT",Config!$G$13,Config!$G$25)))</f>
        <v/>
      </c>
    </row>
    <row r="145">
      <c r="A145" t="inlineStr">
        <is>
          <t>04C0326120761</t>
        </is>
      </c>
      <c r="B145" t="inlineStr">
        <is>
          <t>CRS0000674</t>
        </is>
      </c>
      <c r="C145" t="inlineStr">
        <is>
          <t>MT</t>
        </is>
      </c>
      <c r="D145" t="inlineStr">
        <is>
          <t>TCX413U-DS1B01</t>
        </is>
      </c>
      <c r="E145" s="2" t="n">
        <v>46084</v>
      </c>
      <c r="F145" t="inlineStr">
        <is>
          <t>Pass</t>
        </is>
      </c>
      <c r="G145" t="n">
        <v>114.6</v>
      </c>
      <c r="H145" t="n">
        <v>82.5</v>
      </c>
      <c r="I145" t="n">
        <v>-1957.8</v>
      </c>
      <c r="J145" t="n">
        <v>69.5</v>
      </c>
      <c r="K145" t="n">
        <v>0</v>
      </c>
      <c r="L145" t="n">
        <v>4</v>
      </c>
      <c r="M145" t="n">
        <v>0</v>
      </c>
      <c r="N145" t="n">
        <v>73.5</v>
      </c>
      <c r="O145" t="n">
        <v>112.08</v>
      </c>
      <c r="P145" t="n">
        <v>116.85</v>
      </c>
      <c r="Q145" t="n">
        <v>3.96</v>
      </c>
      <c r="R145" t="n">
        <v>3.88</v>
      </c>
      <c r="S145">
        <f>IF(OR(G145=0,G145=""),"",ABS((G145-IF($C145="LT",Config!$F$2,Config!$F$14))/IF($C145="LT",Config!$G$2,Config!$G$14)))</f>
        <v/>
      </c>
      <c r="T145">
        <f>IF(OR(H145=0,H145=""),"",ABS((H145-IF($C145="LT",Config!$F$3,Config!$F$15))/IF($C145="LT",Config!$G$3,Config!$G$15)))</f>
        <v/>
      </c>
      <c r="U145">
        <f>IF(OR(I145=0,I145=""),"",ABS((I145-IF($C145="LT",Config!$F$4,Config!$F$16))/IF($C145="LT",Config!$G$4,Config!$G$16)))</f>
        <v/>
      </c>
      <c r="V145">
        <f>IF(OR(J145=0,J145=""),"",ABS((J145-IF($C145="LT",Config!$F$5,Config!$F$17))/IF($C145="LT",Config!$G$5,Config!$G$17)))</f>
        <v/>
      </c>
      <c r="W145">
        <f>IF(OR(K145=0,K145=""),"",ABS((K145-IF($C145="LT",Config!$F$6,Config!$F$18))/IF($C145="LT",Config!$G$6,Config!$G$18)))</f>
        <v/>
      </c>
      <c r="X145">
        <f>IF(OR(L145=0,L145=""),"",ABS((L145-IF($C145="LT",Config!$F$7,Config!$F$19))/IF($C145="LT",Config!$G$7,Config!$G$19)))</f>
        <v/>
      </c>
      <c r="Y145">
        <f>IF(OR(M145=0,M145=""),"",ABS((M145-IF($C145="LT",Config!$F$8,Config!$F$20))/IF($C145="LT",Config!$G$8,Config!$G$20)))</f>
        <v/>
      </c>
      <c r="Z145">
        <f>IF(OR(N145=0,N145=""),"",ABS((N145-IF($C145="LT",Config!$F$9,Config!$F$21))/IF($C145="LT",Config!$G$9,Config!$G$21)))</f>
        <v/>
      </c>
      <c r="AA145">
        <f>IF(OR(O145=0,O145=""),"",ABS((O145-IF($C145="LT",Config!$F$10,Config!$F$22))/IF($C145="LT",Config!$G$10,Config!$G$22)))</f>
        <v/>
      </c>
      <c r="AB145">
        <f>IF(OR(P145=0,P145=""),"",ABS((P145-IF($C145="LT",Config!$F$11,Config!$F$23))/IF($C145="LT",Config!$G$11,Config!$G$23)))</f>
        <v/>
      </c>
      <c r="AC145">
        <f>IF(OR(Q145=0,Q145=""),"",ABS((Q145-IF($C145="LT",Config!$F$12,Config!$F$24))/IF($C145="LT",Config!$G$12,Config!$G$24)))</f>
        <v/>
      </c>
      <c r="AD145">
        <f>IF(OR(R145=0,R145=""),"",ABS((R145-IF($C145="LT",Config!$F$13,Config!$F$25))/IF($C145="LT",Config!$G$13,Config!$G$25)))</f>
        <v/>
      </c>
    </row>
    <row r="146">
      <c r="A146" t="inlineStr">
        <is>
          <t>04C0326120762</t>
        </is>
      </c>
      <c r="B146" t="inlineStr">
        <is>
          <t>CRS0000674</t>
        </is>
      </c>
      <c r="C146" t="inlineStr">
        <is>
          <t>MT</t>
        </is>
      </c>
      <c r="D146" t="inlineStr">
        <is>
          <t>TCX413U-DS1B01</t>
        </is>
      </c>
      <c r="E146" s="2" t="n">
        <v>46084</v>
      </c>
      <c r="F146" t="inlineStr">
        <is>
          <t>Pass</t>
        </is>
      </c>
      <c r="G146" t="n">
        <v>118.7</v>
      </c>
      <c r="H146" t="n">
        <v>85.2</v>
      </c>
      <c r="I146" t="n">
        <v>-1957.8</v>
      </c>
      <c r="J146" t="n">
        <v>70</v>
      </c>
      <c r="K146" t="n">
        <v>0</v>
      </c>
      <c r="L146" t="n">
        <v>3.8</v>
      </c>
      <c r="M146" t="n">
        <v>0</v>
      </c>
      <c r="N146" t="n">
        <v>73.8</v>
      </c>
      <c r="O146" t="n">
        <v>115.38</v>
      </c>
      <c r="P146" t="n">
        <v>115.24</v>
      </c>
      <c r="Q146" t="n">
        <v>3.98</v>
      </c>
      <c r="R146" t="n">
        <v>4.03</v>
      </c>
      <c r="S146">
        <f>IF(OR(G146=0,G146=""),"",ABS((G146-IF($C146="LT",Config!$F$2,Config!$F$14))/IF($C146="LT",Config!$G$2,Config!$G$14)))</f>
        <v/>
      </c>
      <c r="T146">
        <f>IF(OR(H146=0,H146=""),"",ABS((H146-IF($C146="LT",Config!$F$3,Config!$F$15))/IF($C146="LT",Config!$G$3,Config!$G$15)))</f>
        <v/>
      </c>
      <c r="U146">
        <f>IF(OR(I146=0,I146=""),"",ABS((I146-IF($C146="LT",Config!$F$4,Config!$F$16))/IF($C146="LT",Config!$G$4,Config!$G$16)))</f>
        <v/>
      </c>
      <c r="V146">
        <f>IF(OR(J146=0,J146=""),"",ABS((J146-IF($C146="LT",Config!$F$5,Config!$F$17))/IF($C146="LT",Config!$G$5,Config!$G$17)))</f>
        <v/>
      </c>
      <c r="W146">
        <f>IF(OR(K146=0,K146=""),"",ABS((K146-IF($C146="LT",Config!$F$6,Config!$F$18))/IF($C146="LT",Config!$G$6,Config!$G$18)))</f>
        <v/>
      </c>
      <c r="X146">
        <f>IF(OR(L146=0,L146=""),"",ABS((L146-IF($C146="LT",Config!$F$7,Config!$F$19))/IF($C146="LT",Config!$G$7,Config!$G$19)))</f>
        <v/>
      </c>
      <c r="Y146">
        <f>IF(OR(M146=0,M146=""),"",ABS((M146-IF($C146="LT",Config!$F$8,Config!$F$20))/IF($C146="LT",Config!$G$8,Config!$G$20)))</f>
        <v/>
      </c>
      <c r="Z146">
        <f>IF(OR(N146=0,N146=""),"",ABS((N146-IF($C146="LT",Config!$F$9,Config!$F$21))/IF($C146="LT",Config!$G$9,Config!$G$21)))</f>
        <v/>
      </c>
      <c r="AA146">
        <f>IF(OR(O146=0,O146=""),"",ABS((O146-IF($C146="LT",Config!$F$10,Config!$F$22))/IF($C146="LT",Config!$G$10,Config!$G$22)))</f>
        <v/>
      </c>
      <c r="AB146">
        <f>IF(OR(P146=0,P146=""),"",ABS((P146-IF($C146="LT",Config!$F$11,Config!$F$23))/IF($C146="LT",Config!$G$11,Config!$G$23)))</f>
        <v/>
      </c>
      <c r="AC146">
        <f>IF(OR(Q146=0,Q146=""),"",ABS((Q146-IF($C146="LT",Config!$F$12,Config!$F$24))/IF($C146="LT",Config!$G$12,Config!$G$24)))</f>
        <v/>
      </c>
      <c r="AD146">
        <f>IF(OR(R146=0,R146=""),"",ABS((R146-IF($C146="LT",Config!$F$13,Config!$F$25))/IF($C146="LT",Config!$G$13,Config!$G$25)))</f>
        <v/>
      </c>
    </row>
    <row r="147">
      <c r="A147" t="inlineStr">
        <is>
          <t>04C0326120763</t>
        </is>
      </c>
      <c r="B147" t="inlineStr">
        <is>
          <t>CRS0000674</t>
        </is>
      </c>
      <c r="C147" t="inlineStr">
        <is>
          <t>MT</t>
        </is>
      </c>
      <c r="D147" t="inlineStr">
        <is>
          <t>TCX413U-DS1B01</t>
        </is>
      </c>
      <c r="E147" s="2" t="n">
        <v>46084</v>
      </c>
      <c r="F147" t="inlineStr">
        <is>
          <t>Pass</t>
        </is>
      </c>
      <c r="G147" t="n">
        <v>102.6</v>
      </c>
      <c r="H147" t="n">
        <v>78.40000000000001</v>
      </c>
      <c r="I147" t="n">
        <v>-1957.8</v>
      </c>
      <c r="J147" t="n">
        <v>69.5</v>
      </c>
      <c r="K147" t="n">
        <v>0</v>
      </c>
      <c r="L147" t="n">
        <v>1.1</v>
      </c>
      <c r="M147" t="n">
        <v>0</v>
      </c>
      <c r="N147" t="n">
        <v>70.59999999999999</v>
      </c>
      <c r="O147" t="n">
        <v>112.3</v>
      </c>
      <c r="P147" t="n">
        <v>113.84</v>
      </c>
      <c r="Q147" t="n">
        <v>3.74</v>
      </c>
      <c r="R147" t="n">
        <v>3.76</v>
      </c>
      <c r="S147">
        <f>IF(OR(G147=0,G147=""),"",ABS((G147-IF($C147="LT",Config!$F$2,Config!$F$14))/IF($C147="LT",Config!$G$2,Config!$G$14)))</f>
        <v/>
      </c>
      <c r="T147">
        <f>IF(OR(H147=0,H147=""),"",ABS((H147-IF($C147="LT",Config!$F$3,Config!$F$15))/IF($C147="LT",Config!$G$3,Config!$G$15)))</f>
        <v/>
      </c>
      <c r="U147">
        <f>IF(OR(I147=0,I147=""),"",ABS((I147-IF($C147="LT",Config!$F$4,Config!$F$16))/IF($C147="LT",Config!$G$4,Config!$G$16)))</f>
        <v/>
      </c>
      <c r="V147">
        <f>IF(OR(J147=0,J147=""),"",ABS((J147-IF($C147="LT",Config!$F$5,Config!$F$17))/IF($C147="LT",Config!$G$5,Config!$G$17)))</f>
        <v/>
      </c>
      <c r="W147">
        <f>IF(OR(K147=0,K147=""),"",ABS((K147-IF($C147="LT",Config!$F$6,Config!$F$18))/IF($C147="LT",Config!$G$6,Config!$G$18)))</f>
        <v/>
      </c>
      <c r="X147">
        <f>IF(OR(L147=0,L147=""),"",ABS((L147-IF($C147="LT",Config!$F$7,Config!$F$19))/IF($C147="LT",Config!$G$7,Config!$G$19)))</f>
        <v/>
      </c>
      <c r="Y147">
        <f>IF(OR(M147=0,M147=""),"",ABS((M147-IF($C147="LT",Config!$F$8,Config!$F$20))/IF($C147="LT",Config!$G$8,Config!$G$20)))</f>
        <v/>
      </c>
      <c r="Z147">
        <f>IF(OR(N147=0,N147=""),"",ABS((N147-IF($C147="LT",Config!$F$9,Config!$F$21))/IF($C147="LT",Config!$G$9,Config!$G$21)))</f>
        <v/>
      </c>
      <c r="AA147">
        <f>IF(OR(O147=0,O147=""),"",ABS((O147-IF($C147="LT",Config!$F$10,Config!$F$22))/IF($C147="LT",Config!$G$10,Config!$G$22)))</f>
        <v/>
      </c>
      <c r="AB147">
        <f>IF(OR(P147=0,P147=""),"",ABS((P147-IF($C147="LT",Config!$F$11,Config!$F$23))/IF($C147="LT",Config!$G$11,Config!$G$23)))</f>
        <v/>
      </c>
      <c r="AC147">
        <f>IF(OR(Q147=0,Q147=""),"",ABS((Q147-IF($C147="LT",Config!$F$12,Config!$F$24))/IF($C147="LT",Config!$G$12,Config!$G$24)))</f>
        <v/>
      </c>
      <c r="AD147">
        <f>IF(OR(R147=0,R147=""),"",ABS((R147-IF($C147="LT",Config!$F$13,Config!$F$25))/IF($C147="LT",Config!$G$13,Config!$G$25)))</f>
        <v/>
      </c>
    </row>
    <row r="148">
      <c r="A148" t="inlineStr">
        <is>
          <t>04C0326120767</t>
        </is>
      </c>
      <c r="B148" t="inlineStr">
        <is>
          <t>CRS0000674</t>
        </is>
      </c>
      <c r="C148" t="inlineStr">
        <is>
          <t>MT</t>
        </is>
      </c>
      <c r="D148" t="inlineStr">
        <is>
          <t>TCX413U-DS1B01</t>
        </is>
      </c>
      <c r="E148" s="2" t="n">
        <v>46084</v>
      </c>
      <c r="F148" t="inlineStr">
        <is>
          <t>Pass</t>
        </is>
      </c>
      <c r="G148" t="n">
        <v>107.5</v>
      </c>
      <c r="H148" t="n">
        <v>81.59999999999999</v>
      </c>
      <c r="I148" t="n">
        <v>-1957.8</v>
      </c>
      <c r="J148" t="n">
        <v>70</v>
      </c>
      <c r="K148" t="n">
        <v>0</v>
      </c>
      <c r="L148" t="n">
        <v>2.9</v>
      </c>
      <c r="M148" t="n">
        <v>0</v>
      </c>
      <c r="N148" t="n">
        <v>72.90000000000001</v>
      </c>
      <c r="O148" t="n">
        <v>115.02</v>
      </c>
      <c r="P148" t="n">
        <v>115.09</v>
      </c>
      <c r="Q148" t="n">
        <v>3.71</v>
      </c>
      <c r="R148" t="n">
        <v>3.81</v>
      </c>
      <c r="S148">
        <f>IF(OR(G148=0,G148=""),"",ABS((G148-IF($C148="LT",Config!$F$2,Config!$F$14))/IF($C148="LT",Config!$G$2,Config!$G$14)))</f>
        <v/>
      </c>
      <c r="T148">
        <f>IF(OR(H148=0,H148=""),"",ABS((H148-IF($C148="LT",Config!$F$3,Config!$F$15))/IF($C148="LT",Config!$G$3,Config!$G$15)))</f>
        <v/>
      </c>
      <c r="U148">
        <f>IF(OR(I148=0,I148=""),"",ABS((I148-IF($C148="LT",Config!$F$4,Config!$F$16))/IF($C148="LT",Config!$G$4,Config!$G$16)))</f>
        <v/>
      </c>
      <c r="V148">
        <f>IF(OR(J148=0,J148=""),"",ABS((J148-IF($C148="LT",Config!$F$5,Config!$F$17))/IF($C148="LT",Config!$G$5,Config!$G$17)))</f>
        <v/>
      </c>
      <c r="W148">
        <f>IF(OR(K148=0,K148=""),"",ABS((K148-IF($C148="LT",Config!$F$6,Config!$F$18))/IF($C148="LT",Config!$G$6,Config!$G$18)))</f>
        <v/>
      </c>
      <c r="X148">
        <f>IF(OR(L148=0,L148=""),"",ABS((L148-IF($C148="LT",Config!$F$7,Config!$F$19))/IF($C148="LT",Config!$G$7,Config!$G$19)))</f>
        <v/>
      </c>
      <c r="Y148">
        <f>IF(OR(M148=0,M148=""),"",ABS((M148-IF($C148="LT",Config!$F$8,Config!$F$20))/IF($C148="LT",Config!$G$8,Config!$G$20)))</f>
        <v/>
      </c>
      <c r="Z148">
        <f>IF(OR(N148=0,N148=""),"",ABS((N148-IF($C148="LT",Config!$F$9,Config!$F$21))/IF($C148="LT",Config!$G$9,Config!$G$21)))</f>
        <v/>
      </c>
      <c r="AA148">
        <f>IF(OR(O148=0,O148=""),"",ABS((O148-IF($C148="LT",Config!$F$10,Config!$F$22))/IF($C148="LT",Config!$G$10,Config!$G$22)))</f>
        <v/>
      </c>
      <c r="AB148">
        <f>IF(OR(P148=0,P148=""),"",ABS((P148-IF($C148="LT",Config!$F$11,Config!$F$23))/IF($C148="LT",Config!$G$11,Config!$G$23)))</f>
        <v/>
      </c>
      <c r="AC148">
        <f>IF(OR(Q148=0,Q148=""),"",ABS((Q148-IF($C148="LT",Config!$F$12,Config!$F$24))/IF($C148="LT",Config!$G$12,Config!$G$24)))</f>
        <v/>
      </c>
      <c r="AD148">
        <f>IF(OR(R148=0,R148=""),"",ABS((R148-IF($C148="LT",Config!$F$13,Config!$F$25))/IF($C148="LT",Config!$G$13,Config!$G$25)))</f>
        <v/>
      </c>
    </row>
    <row r="149">
      <c r="A149" t="inlineStr">
        <is>
          <t>04C0326120768</t>
        </is>
      </c>
      <c r="B149" t="inlineStr">
        <is>
          <t>CRS0000674</t>
        </is>
      </c>
      <c r="C149" t="inlineStr">
        <is>
          <t>MT</t>
        </is>
      </c>
      <c r="D149" t="inlineStr">
        <is>
          <t>TCX413U-DS1B01</t>
        </is>
      </c>
      <c r="E149" s="2" t="n">
        <v>46085</v>
      </c>
      <c r="F149" t="inlineStr">
        <is>
          <t>Pass</t>
        </is>
      </c>
      <c r="G149" t="n">
        <v>105.3</v>
      </c>
      <c r="H149" t="n">
        <v>78.40000000000001</v>
      </c>
      <c r="I149" t="n">
        <v>-1957.8</v>
      </c>
      <c r="J149" t="n">
        <v>68.59999999999999</v>
      </c>
      <c r="K149" t="n">
        <v>0</v>
      </c>
      <c r="L149" t="n">
        <v>2.1</v>
      </c>
      <c r="M149" t="n">
        <v>0</v>
      </c>
      <c r="N149" t="n">
        <v>70.7</v>
      </c>
      <c r="O149" t="n">
        <v>112.23</v>
      </c>
      <c r="P149" t="n">
        <v>116.92</v>
      </c>
      <c r="Q149" t="n">
        <v>3.69</v>
      </c>
      <c r="R149" t="n">
        <v>3.74</v>
      </c>
      <c r="S149">
        <f>IF(OR(G149=0,G149=""),"",ABS((G149-IF($C149="LT",Config!$F$2,Config!$F$14))/IF($C149="LT",Config!$G$2,Config!$G$14)))</f>
        <v/>
      </c>
      <c r="T149">
        <f>IF(OR(H149=0,H149=""),"",ABS((H149-IF($C149="LT",Config!$F$3,Config!$F$15))/IF($C149="LT",Config!$G$3,Config!$G$15)))</f>
        <v/>
      </c>
      <c r="U149">
        <f>IF(OR(I149=0,I149=""),"",ABS((I149-IF($C149="LT",Config!$F$4,Config!$F$16))/IF($C149="LT",Config!$G$4,Config!$G$16)))</f>
        <v/>
      </c>
      <c r="V149">
        <f>IF(OR(J149=0,J149=""),"",ABS((J149-IF($C149="LT",Config!$F$5,Config!$F$17))/IF($C149="LT",Config!$G$5,Config!$G$17)))</f>
        <v/>
      </c>
      <c r="W149">
        <f>IF(OR(K149=0,K149=""),"",ABS((K149-IF($C149="LT",Config!$F$6,Config!$F$18))/IF($C149="LT",Config!$G$6,Config!$G$18)))</f>
        <v/>
      </c>
      <c r="X149">
        <f>IF(OR(L149=0,L149=""),"",ABS((L149-IF($C149="LT",Config!$F$7,Config!$F$19))/IF($C149="LT",Config!$G$7,Config!$G$19)))</f>
        <v/>
      </c>
      <c r="Y149">
        <f>IF(OR(M149=0,M149=""),"",ABS((M149-IF($C149="LT",Config!$F$8,Config!$F$20))/IF($C149="LT",Config!$G$8,Config!$G$20)))</f>
        <v/>
      </c>
      <c r="Z149">
        <f>IF(OR(N149=0,N149=""),"",ABS((N149-IF($C149="LT",Config!$F$9,Config!$F$21))/IF($C149="LT",Config!$G$9,Config!$G$21)))</f>
        <v/>
      </c>
      <c r="AA149">
        <f>IF(OR(O149=0,O149=""),"",ABS((O149-IF($C149="LT",Config!$F$10,Config!$F$22))/IF($C149="LT",Config!$G$10,Config!$G$22)))</f>
        <v/>
      </c>
      <c r="AB149">
        <f>IF(OR(P149=0,P149=""),"",ABS((P149-IF($C149="LT",Config!$F$11,Config!$F$23))/IF($C149="LT",Config!$G$11,Config!$G$23)))</f>
        <v/>
      </c>
      <c r="AC149">
        <f>IF(OR(Q149=0,Q149=""),"",ABS((Q149-IF($C149="LT",Config!$F$12,Config!$F$24))/IF($C149="LT",Config!$G$12,Config!$G$24)))</f>
        <v/>
      </c>
      <c r="AD149">
        <f>IF(OR(R149=0,R149=""),"",ABS((R149-IF($C149="LT",Config!$F$13,Config!$F$25))/IF($C149="LT",Config!$G$13,Config!$G$25)))</f>
        <v/>
      </c>
    </row>
    <row r="150">
      <c r="A150" t="inlineStr">
        <is>
          <t>04C0326120769</t>
        </is>
      </c>
      <c r="B150" t="inlineStr">
        <is>
          <t>CRS0000674</t>
        </is>
      </c>
      <c r="C150" t="inlineStr">
        <is>
          <t>MT</t>
        </is>
      </c>
      <c r="D150" t="inlineStr">
        <is>
          <t>TCX413U-DS1B01</t>
        </is>
      </c>
      <c r="E150" s="2" t="n">
        <v>46085</v>
      </c>
      <c r="F150" t="inlineStr">
        <is>
          <t>Pass</t>
        </is>
      </c>
      <c r="G150" t="n">
        <v>112</v>
      </c>
      <c r="H150" t="n">
        <v>82.90000000000001</v>
      </c>
      <c r="I150" t="n">
        <v>-1957.8</v>
      </c>
      <c r="J150" t="n">
        <v>69.09999999999999</v>
      </c>
      <c r="K150" t="n">
        <v>0</v>
      </c>
      <c r="L150" t="n">
        <v>3.9</v>
      </c>
      <c r="M150" t="n">
        <v>0</v>
      </c>
      <c r="N150" t="n">
        <v>73</v>
      </c>
      <c r="O150" t="n">
        <v>112.08</v>
      </c>
      <c r="P150" t="n">
        <v>113.4</v>
      </c>
      <c r="Q150" t="n">
        <v>3.64</v>
      </c>
      <c r="R150" t="n">
        <v>3.81</v>
      </c>
      <c r="S150">
        <f>IF(OR(G150=0,G150=""),"",ABS((G150-IF($C150="LT",Config!$F$2,Config!$F$14))/IF($C150="LT",Config!$G$2,Config!$G$14)))</f>
        <v/>
      </c>
      <c r="T150">
        <f>IF(OR(H150=0,H150=""),"",ABS((H150-IF($C150="LT",Config!$F$3,Config!$F$15))/IF($C150="LT",Config!$G$3,Config!$G$15)))</f>
        <v/>
      </c>
      <c r="U150">
        <f>IF(OR(I150=0,I150=""),"",ABS((I150-IF($C150="LT",Config!$F$4,Config!$F$16))/IF($C150="LT",Config!$G$4,Config!$G$16)))</f>
        <v/>
      </c>
      <c r="V150">
        <f>IF(OR(J150=0,J150=""),"",ABS((J150-IF($C150="LT",Config!$F$5,Config!$F$17))/IF($C150="LT",Config!$G$5,Config!$G$17)))</f>
        <v/>
      </c>
      <c r="W150">
        <f>IF(OR(K150=0,K150=""),"",ABS((K150-IF($C150="LT",Config!$F$6,Config!$F$18))/IF($C150="LT",Config!$G$6,Config!$G$18)))</f>
        <v/>
      </c>
      <c r="X150">
        <f>IF(OR(L150=0,L150=""),"",ABS((L150-IF($C150="LT",Config!$F$7,Config!$F$19))/IF($C150="LT",Config!$G$7,Config!$G$19)))</f>
        <v/>
      </c>
      <c r="Y150">
        <f>IF(OR(M150=0,M150=""),"",ABS((M150-IF($C150="LT",Config!$F$8,Config!$F$20))/IF($C150="LT",Config!$G$8,Config!$G$20)))</f>
        <v/>
      </c>
      <c r="Z150">
        <f>IF(OR(N150=0,N150=""),"",ABS((N150-IF($C150="LT",Config!$F$9,Config!$F$21))/IF($C150="LT",Config!$G$9,Config!$G$21)))</f>
        <v/>
      </c>
      <c r="AA150">
        <f>IF(OR(O150=0,O150=""),"",ABS((O150-IF($C150="LT",Config!$F$10,Config!$F$22))/IF($C150="LT",Config!$G$10,Config!$G$22)))</f>
        <v/>
      </c>
      <c r="AB150">
        <f>IF(OR(P150=0,P150=""),"",ABS((P150-IF($C150="LT",Config!$F$11,Config!$F$23))/IF($C150="LT",Config!$G$11,Config!$G$23)))</f>
        <v/>
      </c>
      <c r="AC150">
        <f>IF(OR(Q150=0,Q150=""),"",ABS((Q150-IF($C150="LT",Config!$F$12,Config!$F$24))/IF($C150="LT",Config!$G$12,Config!$G$24)))</f>
        <v/>
      </c>
      <c r="AD150">
        <f>IF(OR(R150=0,R150=""),"",ABS((R150-IF($C150="LT",Config!$F$13,Config!$F$25))/IF($C150="LT",Config!$G$13,Config!$G$25)))</f>
        <v/>
      </c>
    </row>
    <row r="151">
      <c r="A151" t="inlineStr">
        <is>
          <t>04C0326120770</t>
        </is>
      </c>
      <c r="B151" t="inlineStr">
        <is>
          <t>CRS0000674</t>
        </is>
      </c>
      <c r="C151" t="inlineStr">
        <is>
          <t>MT</t>
        </is>
      </c>
      <c r="D151" t="inlineStr">
        <is>
          <t>TCX413U-DS1B01</t>
        </is>
      </c>
      <c r="E151" s="2" t="n">
        <v>46085</v>
      </c>
      <c r="F151" t="inlineStr">
        <is>
          <t>Pass</t>
        </is>
      </c>
      <c r="G151" t="n">
        <v>110.6</v>
      </c>
      <c r="H151" t="n">
        <v>82</v>
      </c>
      <c r="I151" t="n">
        <v>-1957.8</v>
      </c>
      <c r="J151" t="n">
        <v>69.5</v>
      </c>
      <c r="K151" t="n">
        <v>0</v>
      </c>
      <c r="L151" t="n">
        <v>3.6</v>
      </c>
      <c r="M151" t="n">
        <v>0</v>
      </c>
      <c r="N151" t="n">
        <v>73.09999999999999</v>
      </c>
      <c r="O151" t="n">
        <v>115.02</v>
      </c>
      <c r="P151" t="n">
        <v>114.87</v>
      </c>
      <c r="Q151" t="n">
        <v>3.66</v>
      </c>
      <c r="R151" t="n">
        <v>3.78</v>
      </c>
      <c r="S151">
        <f>IF(OR(G151=0,G151=""),"",ABS((G151-IF($C151="LT",Config!$F$2,Config!$F$14))/IF($C151="LT",Config!$G$2,Config!$G$14)))</f>
        <v/>
      </c>
      <c r="T151">
        <f>IF(OR(H151=0,H151=""),"",ABS((H151-IF($C151="LT",Config!$F$3,Config!$F$15))/IF($C151="LT",Config!$G$3,Config!$G$15)))</f>
        <v/>
      </c>
      <c r="U151">
        <f>IF(OR(I151=0,I151=""),"",ABS((I151-IF($C151="LT",Config!$F$4,Config!$F$16))/IF($C151="LT",Config!$G$4,Config!$G$16)))</f>
        <v/>
      </c>
      <c r="V151">
        <f>IF(OR(J151=0,J151=""),"",ABS((J151-IF($C151="LT",Config!$F$5,Config!$F$17))/IF($C151="LT",Config!$G$5,Config!$G$17)))</f>
        <v/>
      </c>
      <c r="W151">
        <f>IF(OR(K151=0,K151=""),"",ABS((K151-IF($C151="LT",Config!$F$6,Config!$F$18))/IF($C151="LT",Config!$G$6,Config!$G$18)))</f>
        <v/>
      </c>
      <c r="X151">
        <f>IF(OR(L151=0,L151=""),"",ABS((L151-IF($C151="LT",Config!$F$7,Config!$F$19))/IF($C151="LT",Config!$G$7,Config!$G$19)))</f>
        <v/>
      </c>
      <c r="Y151">
        <f>IF(OR(M151=0,M151=""),"",ABS((M151-IF($C151="LT",Config!$F$8,Config!$F$20))/IF($C151="LT",Config!$G$8,Config!$G$20)))</f>
        <v/>
      </c>
      <c r="Z151">
        <f>IF(OR(N151=0,N151=""),"",ABS((N151-IF($C151="LT",Config!$F$9,Config!$F$21))/IF($C151="LT",Config!$G$9,Config!$G$21)))</f>
        <v/>
      </c>
      <c r="AA151">
        <f>IF(OR(O151=0,O151=""),"",ABS((O151-IF($C151="LT",Config!$F$10,Config!$F$22))/IF($C151="LT",Config!$G$10,Config!$G$22)))</f>
        <v/>
      </c>
      <c r="AB151">
        <f>IF(OR(P151=0,P151=""),"",ABS((P151-IF($C151="LT",Config!$F$11,Config!$F$23))/IF($C151="LT",Config!$G$11,Config!$G$23)))</f>
        <v/>
      </c>
      <c r="AC151">
        <f>IF(OR(Q151=0,Q151=""),"",ABS((Q151-IF($C151="LT",Config!$F$12,Config!$F$24))/IF($C151="LT",Config!$G$12,Config!$G$24)))</f>
        <v/>
      </c>
      <c r="AD151">
        <f>IF(OR(R151=0,R151=""),"",ABS((R151-IF($C151="LT",Config!$F$13,Config!$F$25))/IF($C151="LT",Config!$G$13,Config!$G$25)))</f>
        <v/>
      </c>
    </row>
    <row r="152">
      <c r="A152" t="inlineStr">
        <is>
          <t>04C0326120771</t>
        </is>
      </c>
      <c r="B152" t="inlineStr">
        <is>
          <t>CRS0000674</t>
        </is>
      </c>
      <c r="C152" t="inlineStr">
        <is>
          <t>MT</t>
        </is>
      </c>
      <c r="D152" t="inlineStr">
        <is>
          <t>TCX413U-DS1B01</t>
        </is>
      </c>
      <c r="E152" s="2" t="n">
        <v>46085</v>
      </c>
      <c r="F152" t="inlineStr">
        <is>
          <t>Pass</t>
        </is>
      </c>
      <c r="G152" t="n">
        <v>108.8</v>
      </c>
      <c r="H152" t="n">
        <v>81.09999999999999</v>
      </c>
      <c r="I152" t="n">
        <v>-1957.8</v>
      </c>
      <c r="J152" t="n">
        <v>69.5</v>
      </c>
      <c r="K152" t="n">
        <v>0</v>
      </c>
      <c r="L152" t="n">
        <v>2</v>
      </c>
      <c r="M152" t="n">
        <v>0</v>
      </c>
      <c r="N152" t="n">
        <v>71.5</v>
      </c>
      <c r="O152" t="n">
        <v>115.16</v>
      </c>
      <c r="P152" t="n">
        <v>115.09</v>
      </c>
      <c r="Q152" t="n">
        <v>3.59</v>
      </c>
      <c r="R152" t="n">
        <v>3.78</v>
      </c>
      <c r="S152">
        <f>IF(OR(G152=0,G152=""),"",ABS((G152-IF($C152="LT",Config!$F$2,Config!$F$14))/IF($C152="LT",Config!$G$2,Config!$G$14)))</f>
        <v/>
      </c>
      <c r="T152">
        <f>IF(OR(H152=0,H152=""),"",ABS((H152-IF($C152="LT",Config!$F$3,Config!$F$15))/IF($C152="LT",Config!$G$3,Config!$G$15)))</f>
        <v/>
      </c>
      <c r="U152">
        <f>IF(OR(I152=0,I152=""),"",ABS((I152-IF($C152="LT",Config!$F$4,Config!$F$16))/IF($C152="LT",Config!$G$4,Config!$G$16)))</f>
        <v/>
      </c>
      <c r="V152">
        <f>IF(OR(J152=0,J152=""),"",ABS((J152-IF($C152="LT",Config!$F$5,Config!$F$17))/IF($C152="LT",Config!$G$5,Config!$G$17)))</f>
        <v/>
      </c>
      <c r="W152">
        <f>IF(OR(K152=0,K152=""),"",ABS((K152-IF($C152="LT",Config!$F$6,Config!$F$18))/IF($C152="LT",Config!$G$6,Config!$G$18)))</f>
        <v/>
      </c>
      <c r="X152">
        <f>IF(OR(L152=0,L152=""),"",ABS((L152-IF($C152="LT",Config!$F$7,Config!$F$19))/IF($C152="LT",Config!$G$7,Config!$G$19)))</f>
        <v/>
      </c>
      <c r="Y152">
        <f>IF(OR(M152=0,M152=""),"",ABS((M152-IF($C152="LT",Config!$F$8,Config!$F$20))/IF($C152="LT",Config!$G$8,Config!$G$20)))</f>
        <v/>
      </c>
      <c r="Z152">
        <f>IF(OR(N152=0,N152=""),"",ABS((N152-IF($C152="LT",Config!$F$9,Config!$F$21))/IF($C152="LT",Config!$G$9,Config!$G$21)))</f>
        <v/>
      </c>
      <c r="AA152">
        <f>IF(OR(O152=0,O152=""),"",ABS((O152-IF($C152="LT",Config!$F$10,Config!$F$22))/IF($C152="LT",Config!$G$10,Config!$G$22)))</f>
        <v/>
      </c>
      <c r="AB152">
        <f>IF(OR(P152=0,P152=""),"",ABS((P152-IF($C152="LT",Config!$F$11,Config!$F$23))/IF($C152="LT",Config!$G$11,Config!$G$23)))</f>
        <v/>
      </c>
      <c r="AC152">
        <f>IF(OR(Q152=0,Q152=""),"",ABS((Q152-IF($C152="LT",Config!$F$12,Config!$F$24))/IF($C152="LT",Config!$G$12,Config!$G$24)))</f>
        <v/>
      </c>
      <c r="AD152">
        <f>IF(OR(R152=0,R152=""),"",ABS((R152-IF($C152="LT",Config!$F$13,Config!$F$25))/IF($C152="LT",Config!$G$13,Config!$G$25)))</f>
        <v/>
      </c>
    </row>
    <row r="153">
      <c r="A153" t="inlineStr">
        <is>
          <t>04C0326120772</t>
        </is>
      </c>
      <c r="B153" t="inlineStr">
        <is>
          <t>CRS0000674</t>
        </is>
      </c>
      <c r="C153" t="inlineStr">
        <is>
          <t>MT</t>
        </is>
      </c>
      <c r="D153" t="inlineStr">
        <is>
          <t>TCX413U-DS1B01</t>
        </is>
      </c>
      <c r="E153" s="2" t="n">
        <v>46085</v>
      </c>
      <c r="F153" t="inlineStr">
        <is>
          <t>Pass</t>
        </is>
      </c>
      <c r="G153" t="n">
        <v>104.8</v>
      </c>
      <c r="H153" t="n">
        <v>78.40000000000001</v>
      </c>
      <c r="I153" t="n">
        <v>-1957.8</v>
      </c>
      <c r="J153" t="n">
        <v>69.5</v>
      </c>
      <c r="K153" t="n">
        <v>0</v>
      </c>
      <c r="L153" t="n">
        <v>2.5</v>
      </c>
      <c r="M153" t="n">
        <v>0</v>
      </c>
      <c r="N153" t="n">
        <v>72</v>
      </c>
      <c r="O153" t="n">
        <v>112.45</v>
      </c>
      <c r="P153" t="n">
        <v>116.56</v>
      </c>
      <c r="Q153" t="n">
        <v>3.66</v>
      </c>
      <c r="R153" t="n">
        <v>3.71</v>
      </c>
      <c r="S153">
        <f>IF(OR(G153=0,G153=""),"",ABS((G153-IF($C153="LT",Config!$F$2,Config!$F$14))/IF($C153="LT",Config!$G$2,Config!$G$14)))</f>
        <v/>
      </c>
      <c r="T153">
        <f>IF(OR(H153=0,H153=""),"",ABS((H153-IF($C153="LT",Config!$F$3,Config!$F$15))/IF($C153="LT",Config!$G$3,Config!$G$15)))</f>
        <v/>
      </c>
      <c r="U153">
        <f>IF(OR(I153=0,I153=""),"",ABS((I153-IF($C153="LT",Config!$F$4,Config!$F$16))/IF($C153="LT",Config!$G$4,Config!$G$16)))</f>
        <v/>
      </c>
      <c r="V153">
        <f>IF(OR(J153=0,J153=""),"",ABS((J153-IF($C153="LT",Config!$F$5,Config!$F$17))/IF($C153="LT",Config!$G$5,Config!$G$17)))</f>
        <v/>
      </c>
      <c r="W153">
        <f>IF(OR(K153=0,K153=""),"",ABS((K153-IF($C153="LT",Config!$F$6,Config!$F$18))/IF($C153="LT",Config!$G$6,Config!$G$18)))</f>
        <v/>
      </c>
      <c r="X153">
        <f>IF(OR(L153=0,L153=""),"",ABS((L153-IF($C153="LT",Config!$F$7,Config!$F$19))/IF($C153="LT",Config!$G$7,Config!$G$19)))</f>
        <v/>
      </c>
      <c r="Y153">
        <f>IF(OR(M153=0,M153=""),"",ABS((M153-IF($C153="LT",Config!$F$8,Config!$F$20))/IF($C153="LT",Config!$G$8,Config!$G$20)))</f>
        <v/>
      </c>
      <c r="Z153">
        <f>IF(OR(N153=0,N153=""),"",ABS((N153-IF($C153="LT",Config!$F$9,Config!$F$21))/IF($C153="LT",Config!$G$9,Config!$G$21)))</f>
        <v/>
      </c>
      <c r="AA153">
        <f>IF(OR(O153=0,O153=""),"",ABS((O153-IF($C153="LT",Config!$F$10,Config!$F$22))/IF($C153="LT",Config!$G$10,Config!$G$22)))</f>
        <v/>
      </c>
      <c r="AB153">
        <f>IF(OR(P153=0,P153=""),"",ABS((P153-IF($C153="LT",Config!$F$11,Config!$F$23))/IF($C153="LT",Config!$G$11,Config!$G$23)))</f>
        <v/>
      </c>
      <c r="AC153">
        <f>IF(OR(Q153=0,Q153=""),"",ABS((Q153-IF($C153="LT",Config!$F$12,Config!$F$24))/IF($C153="LT",Config!$G$12,Config!$G$24)))</f>
        <v/>
      </c>
      <c r="AD153">
        <f>IF(OR(R153=0,R153=""),"",ABS((R153-IF($C153="LT",Config!$F$13,Config!$F$25))/IF($C153="LT",Config!$G$13,Config!$G$25)))</f>
        <v/>
      </c>
    </row>
    <row r="154">
      <c r="A154" t="inlineStr">
        <is>
          <t>04C0326120773</t>
        </is>
      </c>
      <c r="B154" t="inlineStr">
        <is>
          <t>CRS0000674</t>
        </is>
      </c>
      <c r="C154" t="inlineStr">
        <is>
          <t>MT</t>
        </is>
      </c>
      <c r="D154" t="inlineStr">
        <is>
          <t>TCX413U-DS1B01</t>
        </is>
      </c>
      <c r="E154" s="2" t="n">
        <v>46085</v>
      </c>
      <c r="F154" t="inlineStr">
        <is>
          <t>Pass</t>
        </is>
      </c>
      <c r="G154" t="n">
        <v>109.7</v>
      </c>
      <c r="H154" t="n">
        <v>78.90000000000001</v>
      </c>
      <c r="I154" t="n">
        <v>-1957.8</v>
      </c>
      <c r="J154" t="n">
        <v>69.5</v>
      </c>
      <c r="K154" t="n">
        <v>0</v>
      </c>
      <c r="L154" t="n">
        <v>3.9</v>
      </c>
      <c r="M154" t="n">
        <v>0</v>
      </c>
      <c r="N154" t="n">
        <v>73.40000000000001</v>
      </c>
      <c r="O154" t="n">
        <v>115.09</v>
      </c>
      <c r="P154" t="n">
        <v>115.09</v>
      </c>
      <c r="Q154" t="n">
        <v>3.81</v>
      </c>
      <c r="R154" t="n">
        <v>3.93</v>
      </c>
      <c r="S154">
        <f>IF(OR(G154=0,G154=""),"",ABS((G154-IF($C154="LT",Config!$F$2,Config!$F$14))/IF($C154="LT",Config!$G$2,Config!$G$14)))</f>
        <v/>
      </c>
      <c r="T154">
        <f>IF(OR(H154=0,H154=""),"",ABS((H154-IF($C154="LT",Config!$F$3,Config!$F$15))/IF($C154="LT",Config!$G$3,Config!$G$15)))</f>
        <v/>
      </c>
      <c r="U154">
        <f>IF(OR(I154=0,I154=""),"",ABS((I154-IF($C154="LT",Config!$F$4,Config!$F$16))/IF($C154="LT",Config!$G$4,Config!$G$16)))</f>
        <v/>
      </c>
      <c r="V154">
        <f>IF(OR(J154=0,J154=""),"",ABS((J154-IF($C154="LT",Config!$F$5,Config!$F$17))/IF($C154="LT",Config!$G$5,Config!$G$17)))</f>
        <v/>
      </c>
      <c r="W154">
        <f>IF(OR(K154=0,K154=""),"",ABS((K154-IF($C154="LT",Config!$F$6,Config!$F$18))/IF($C154="LT",Config!$G$6,Config!$G$18)))</f>
        <v/>
      </c>
      <c r="X154">
        <f>IF(OR(L154=0,L154=""),"",ABS((L154-IF($C154="LT",Config!$F$7,Config!$F$19))/IF($C154="LT",Config!$G$7,Config!$G$19)))</f>
        <v/>
      </c>
      <c r="Y154">
        <f>IF(OR(M154=0,M154=""),"",ABS((M154-IF($C154="LT",Config!$F$8,Config!$F$20))/IF($C154="LT",Config!$G$8,Config!$G$20)))</f>
        <v/>
      </c>
      <c r="Z154">
        <f>IF(OR(N154=0,N154=""),"",ABS((N154-IF($C154="LT",Config!$F$9,Config!$F$21))/IF($C154="LT",Config!$G$9,Config!$G$21)))</f>
        <v/>
      </c>
      <c r="AA154">
        <f>IF(OR(O154=0,O154=""),"",ABS((O154-IF($C154="LT",Config!$F$10,Config!$F$22))/IF($C154="LT",Config!$G$10,Config!$G$22)))</f>
        <v/>
      </c>
      <c r="AB154">
        <f>IF(OR(P154=0,P154=""),"",ABS((P154-IF($C154="LT",Config!$F$11,Config!$F$23))/IF($C154="LT",Config!$G$11,Config!$G$23)))</f>
        <v/>
      </c>
      <c r="AC154">
        <f>IF(OR(Q154=0,Q154=""),"",ABS((Q154-IF($C154="LT",Config!$F$12,Config!$F$24))/IF($C154="LT",Config!$G$12,Config!$G$24)))</f>
        <v/>
      </c>
      <c r="AD154">
        <f>IF(OR(R154=0,R154=""),"",ABS((R154-IF($C154="LT",Config!$F$13,Config!$F$25))/IF($C154="LT",Config!$G$13,Config!$G$25)))</f>
        <v/>
      </c>
    </row>
    <row r="155">
      <c r="A155" t="inlineStr">
        <is>
          <t>04C0326120774</t>
        </is>
      </c>
      <c r="B155" t="inlineStr">
        <is>
          <t>CRS0000674</t>
        </is>
      </c>
      <c r="C155" t="inlineStr">
        <is>
          <t>MT</t>
        </is>
      </c>
      <c r="D155" t="inlineStr">
        <is>
          <t>TCX413U-DS1B01</t>
        </is>
      </c>
      <c r="E155" s="2" t="n">
        <v>46085</v>
      </c>
      <c r="F155" t="inlineStr">
        <is>
          <t>Pass</t>
        </is>
      </c>
      <c r="G155" t="n">
        <v>107.5</v>
      </c>
      <c r="H155" t="n">
        <v>85.59999999999999</v>
      </c>
      <c r="I155" t="n">
        <v>-1957.8</v>
      </c>
      <c r="J155" t="n">
        <v>70</v>
      </c>
      <c r="K155" t="n">
        <v>0</v>
      </c>
      <c r="L155" t="n">
        <v>3.2</v>
      </c>
      <c r="M155" t="n">
        <v>0</v>
      </c>
      <c r="N155" t="n">
        <v>73.2</v>
      </c>
      <c r="O155" t="n">
        <v>112.16</v>
      </c>
      <c r="P155" t="n">
        <v>116.78</v>
      </c>
      <c r="Q155" t="n">
        <v>3.91</v>
      </c>
      <c r="R155" t="n">
        <v>3.91</v>
      </c>
      <c r="S155">
        <f>IF(OR(G155=0,G155=""),"",ABS((G155-IF($C155="LT",Config!$F$2,Config!$F$14))/IF($C155="LT",Config!$G$2,Config!$G$14)))</f>
        <v/>
      </c>
      <c r="T155">
        <f>IF(OR(H155=0,H155=""),"",ABS((H155-IF($C155="LT",Config!$F$3,Config!$F$15))/IF($C155="LT",Config!$G$3,Config!$G$15)))</f>
        <v/>
      </c>
      <c r="U155">
        <f>IF(OR(I155=0,I155=""),"",ABS((I155-IF($C155="LT",Config!$F$4,Config!$F$16))/IF($C155="LT",Config!$G$4,Config!$G$16)))</f>
        <v/>
      </c>
      <c r="V155">
        <f>IF(OR(J155=0,J155=""),"",ABS((J155-IF($C155="LT",Config!$F$5,Config!$F$17))/IF($C155="LT",Config!$G$5,Config!$G$17)))</f>
        <v/>
      </c>
      <c r="W155">
        <f>IF(OR(K155=0,K155=""),"",ABS((K155-IF($C155="LT",Config!$F$6,Config!$F$18))/IF($C155="LT",Config!$G$6,Config!$G$18)))</f>
        <v/>
      </c>
      <c r="X155">
        <f>IF(OR(L155=0,L155=""),"",ABS((L155-IF($C155="LT",Config!$F$7,Config!$F$19))/IF($C155="LT",Config!$G$7,Config!$G$19)))</f>
        <v/>
      </c>
      <c r="Y155">
        <f>IF(OR(M155=0,M155=""),"",ABS((M155-IF($C155="LT",Config!$F$8,Config!$F$20))/IF($C155="LT",Config!$G$8,Config!$G$20)))</f>
        <v/>
      </c>
      <c r="Z155">
        <f>IF(OR(N155=0,N155=""),"",ABS((N155-IF($C155="LT",Config!$F$9,Config!$F$21))/IF($C155="LT",Config!$G$9,Config!$G$21)))</f>
        <v/>
      </c>
      <c r="AA155">
        <f>IF(OR(O155=0,O155=""),"",ABS((O155-IF($C155="LT",Config!$F$10,Config!$F$22))/IF($C155="LT",Config!$G$10,Config!$G$22)))</f>
        <v/>
      </c>
      <c r="AB155">
        <f>IF(OR(P155=0,P155=""),"",ABS((P155-IF($C155="LT",Config!$F$11,Config!$F$23))/IF($C155="LT",Config!$G$11,Config!$G$23)))</f>
        <v/>
      </c>
      <c r="AC155">
        <f>IF(OR(Q155=0,Q155=""),"",ABS((Q155-IF($C155="LT",Config!$F$12,Config!$F$24))/IF($C155="LT",Config!$G$12,Config!$G$24)))</f>
        <v/>
      </c>
      <c r="AD155">
        <f>IF(OR(R155=0,R155=""),"",ABS((R155-IF($C155="LT",Config!$F$13,Config!$F$25))/IF($C155="LT",Config!$G$13,Config!$G$25)))</f>
        <v/>
      </c>
    </row>
    <row r="156">
      <c r="A156" t="inlineStr">
        <is>
          <t>04C0326120775</t>
        </is>
      </c>
      <c r="B156" t="inlineStr">
        <is>
          <t>CRS0000674</t>
        </is>
      </c>
      <c r="C156" t="inlineStr">
        <is>
          <t>MT</t>
        </is>
      </c>
      <c r="D156" t="inlineStr">
        <is>
          <t>TCX413U-DS1B01</t>
        </is>
      </c>
      <c r="E156" s="2" t="n">
        <v>46085</v>
      </c>
      <c r="F156" t="inlineStr">
        <is>
          <t>Pass</t>
        </is>
      </c>
      <c r="G156" t="n">
        <v>109.3</v>
      </c>
      <c r="H156" t="n">
        <v>79.8</v>
      </c>
      <c r="I156" t="n">
        <v>-1957.8</v>
      </c>
      <c r="J156" t="n">
        <v>69.5</v>
      </c>
      <c r="K156" t="n">
        <v>0</v>
      </c>
      <c r="L156" t="n">
        <v>2.9</v>
      </c>
      <c r="M156" t="n">
        <v>0</v>
      </c>
      <c r="N156" t="n">
        <v>72.40000000000001</v>
      </c>
      <c r="O156" t="n">
        <v>115.38</v>
      </c>
      <c r="P156" t="n">
        <v>115.46</v>
      </c>
      <c r="Q156" t="n">
        <v>3.69</v>
      </c>
      <c r="R156" t="n">
        <v>3.76</v>
      </c>
      <c r="S156">
        <f>IF(OR(G156=0,G156=""),"",ABS((G156-IF($C156="LT",Config!$F$2,Config!$F$14))/IF($C156="LT",Config!$G$2,Config!$G$14)))</f>
        <v/>
      </c>
      <c r="T156">
        <f>IF(OR(H156=0,H156=""),"",ABS((H156-IF($C156="LT",Config!$F$3,Config!$F$15))/IF($C156="LT",Config!$G$3,Config!$G$15)))</f>
        <v/>
      </c>
      <c r="U156">
        <f>IF(OR(I156=0,I156=""),"",ABS((I156-IF($C156="LT",Config!$F$4,Config!$F$16))/IF($C156="LT",Config!$G$4,Config!$G$16)))</f>
        <v/>
      </c>
      <c r="V156">
        <f>IF(OR(J156=0,J156=""),"",ABS((J156-IF($C156="LT",Config!$F$5,Config!$F$17))/IF($C156="LT",Config!$G$5,Config!$G$17)))</f>
        <v/>
      </c>
      <c r="W156">
        <f>IF(OR(K156=0,K156=""),"",ABS((K156-IF($C156="LT",Config!$F$6,Config!$F$18))/IF($C156="LT",Config!$G$6,Config!$G$18)))</f>
        <v/>
      </c>
      <c r="X156">
        <f>IF(OR(L156=0,L156=""),"",ABS((L156-IF($C156="LT",Config!$F$7,Config!$F$19))/IF($C156="LT",Config!$G$7,Config!$G$19)))</f>
        <v/>
      </c>
      <c r="Y156">
        <f>IF(OR(M156=0,M156=""),"",ABS((M156-IF($C156="LT",Config!$F$8,Config!$F$20))/IF($C156="LT",Config!$G$8,Config!$G$20)))</f>
        <v/>
      </c>
      <c r="Z156">
        <f>IF(OR(N156=0,N156=""),"",ABS((N156-IF($C156="LT",Config!$F$9,Config!$F$21))/IF($C156="LT",Config!$G$9,Config!$G$21)))</f>
        <v/>
      </c>
      <c r="AA156">
        <f>IF(OR(O156=0,O156=""),"",ABS((O156-IF($C156="LT",Config!$F$10,Config!$F$22))/IF($C156="LT",Config!$G$10,Config!$G$22)))</f>
        <v/>
      </c>
      <c r="AB156">
        <f>IF(OR(P156=0,P156=""),"",ABS((P156-IF($C156="LT",Config!$F$11,Config!$F$23))/IF($C156="LT",Config!$G$11,Config!$G$23)))</f>
        <v/>
      </c>
      <c r="AC156">
        <f>IF(OR(Q156=0,Q156=""),"",ABS((Q156-IF($C156="LT",Config!$F$12,Config!$F$24))/IF($C156="LT",Config!$G$12,Config!$G$24)))</f>
        <v/>
      </c>
      <c r="AD156">
        <f>IF(OR(R156=0,R156=""),"",ABS((R156-IF($C156="LT",Config!$F$13,Config!$F$25))/IF($C156="LT",Config!$G$13,Config!$G$25)))</f>
        <v/>
      </c>
    </row>
    <row r="157">
      <c r="A157" t="inlineStr">
        <is>
          <t>04C0326120776</t>
        </is>
      </c>
      <c r="B157" t="inlineStr">
        <is>
          <t>CRS0000674</t>
        </is>
      </c>
      <c r="C157" t="inlineStr">
        <is>
          <t>MT</t>
        </is>
      </c>
      <c r="D157" t="inlineStr">
        <is>
          <t>TCX413U-DS1B01</t>
        </is>
      </c>
      <c r="E157" s="2" t="n">
        <v>46085</v>
      </c>
      <c r="F157" t="inlineStr">
        <is>
          <t>Pass</t>
        </is>
      </c>
      <c r="G157" t="n">
        <v>111.1</v>
      </c>
      <c r="H157" t="n">
        <v>80.2</v>
      </c>
      <c r="I157" t="n">
        <v>-1957.8</v>
      </c>
      <c r="J157" t="n">
        <v>69.5</v>
      </c>
      <c r="K157" t="n">
        <v>0</v>
      </c>
      <c r="L157" t="n">
        <v>2.9</v>
      </c>
      <c r="M157" t="n">
        <v>0</v>
      </c>
      <c r="N157" t="n">
        <v>72.40000000000001</v>
      </c>
      <c r="O157" t="n">
        <v>115.53</v>
      </c>
      <c r="P157" t="n">
        <v>113.62</v>
      </c>
      <c r="Q157" t="n">
        <v>3.74</v>
      </c>
      <c r="R157" t="n">
        <v>3.83</v>
      </c>
      <c r="S157">
        <f>IF(OR(G157=0,G157=""),"",ABS((G157-IF($C157="LT",Config!$F$2,Config!$F$14))/IF($C157="LT",Config!$G$2,Config!$G$14)))</f>
        <v/>
      </c>
      <c r="T157">
        <f>IF(OR(H157=0,H157=""),"",ABS((H157-IF($C157="LT",Config!$F$3,Config!$F$15))/IF($C157="LT",Config!$G$3,Config!$G$15)))</f>
        <v/>
      </c>
      <c r="U157">
        <f>IF(OR(I157=0,I157=""),"",ABS((I157-IF($C157="LT",Config!$F$4,Config!$F$16))/IF($C157="LT",Config!$G$4,Config!$G$16)))</f>
        <v/>
      </c>
      <c r="V157">
        <f>IF(OR(J157=0,J157=""),"",ABS((J157-IF($C157="LT",Config!$F$5,Config!$F$17))/IF($C157="LT",Config!$G$5,Config!$G$17)))</f>
        <v/>
      </c>
      <c r="W157">
        <f>IF(OR(K157=0,K157=""),"",ABS((K157-IF($C157="LT",Config!$F$6,Config!$F$18))/IF($C157="LT",Config!$G$6,Config!$G$18)))</f>
        <v/>
      </c>
      <c r="X157">
        <f>IF(OR(L157=0,L157=""),"",ABS((L157-IF($C157="LT",Config!$F$7,Config!$F$19))/IF($C157="LT",Config!$G$7,Config!$G$19)))</f>
        <v/>
      </c>
      <c r="Y157">
        <f>IF(OR(M157=0,M157=""),"",ABS((M157-IF($C157="LT",Config!$F$8,Config!$F$20))/IF($C157="LT",Config!$G$8,Config!$G$20)))</f>
        <v/>
      </c>
      <c r="Z157">
        <f>IF(OR(N157=0,N157=""),"",ABS((N157-IF($C157="LT",Config!$F$9,Config!$F$21))/IF($C157="LT",Config!$G$9,Config!$G$21)))</f>
        <v/>
      </c>
      <c r="AA157">
        <f>IF(OR(O157=0,O157=""),"",ABS((O157-IF($C157="LT",Config!$F$10,Config!$F$22))/IF($C157="LT",Config!$G$10,Config!$G$22)))</f>
        <v/>
      </c>
      <c r="AB157">
        <f>IF(OR(P157=0,P157=""),"",ABS((P157-IF($C157="LT",Config!$F$11,Config!$F$23))/IF($C157="LT",Config!$G$11,Config!$G$23)))</f>
        <v/>
      </c>
      <c r="AC157">
        <f>IF(OR(Q157=0,Q157=""),"",ABS((Q157-IF($C157="LT",Config!$F$12,Config!$F$24))/IF($C157="LT",Config!$G$12,Config!$G$24)))</f>
        <v/>
      </c>
      <c r="AD157">
        <f>IF(OR(R157=0,R157=""),"",ABS((R157-IF($C157="LT",Config!$F$13,Config!$F$25))/IF($C157="LT",Config!$G$13,Config!$G$25)))</f>
        <v/>
      </c>
    </row>
    <row r="158">
      <c r="A158" t="inlineStr">
        <is>
          <t>04C0326120778</t>
        </is>
      </c>
      <c r="B158" t="inlineStr">
        <is>
          <t>CRS0000674</t>
        </is>
      </c>
      <c r="C158" t="inlineStr">
        <is>
          <t>MT</t>
        </is>
      </c>
      <c r="D158" t="inlineStr">
        <is>
          <t>TCX413U-DS1B01</t>
        </is>
      </c>
      <c r="E158" s="2" t="n">
        <v>46085</v>
      </c>
      <c r="F158" t="inlineStr">
        <is>
          <t>Pass</t>
        </is>
      </c>
      <c r="G158" t="n">
        <v>116</v>
      </c>
      <c r="H158" t="n">
        <v>86.09999999999999</v>
      </c>
      <c r="I158" t="n">
        <v>-1957.8</v>
      </c>
      <c r="J158" t="n">
        <v>70</v>
      </c>
      <c r="K158" t="n">
        <v>0</v>
      </c>
      <c r="L158" t="n">
        <v>3.2</v>
      </c>
      <c r="M158" t="n">
        <v>0</v>
      </c>
      <c r="N158" t="n">
        <v>73.2</v>
      </c>
      <c r="O158" t="n">
        <v>115.38</v>
      </c>
      <c r="P158" t="n">
        <v>115.38</v>
      </c>
      <c r="Q158" t="n">
        <v>3.78</v>
      </c>
      <c r="R158" t="n">
        <v>3.93</v>
      </c>
      <c r="S158">
        <f>IF(OR(G158=0,G158=""),"",ABS((G158-IF($C158="LT",Config!$F$2,Config!$F$14))/IF($C158="LT",Config!$G$2,Config!$G$14)))</f>
        <v/>
      </c>
      <c r="T158">
        <f>IF(OR(H158=0,H158=""),"",ABS((H158-IF($C158="LT",Config!$F$3,Config!$F$15))/IF($C158="LT",Config!$G$3,Config!$G$15)))</f>
        <v/>
      </c>
      <c r="U158">
        <f>IF(OR(I158=0,I158=""),"",ABS((I158-IF($C158="LT",Config!$F$4,Config!$F$16))/IF($C158="LT",Config!$G$4,Config!$G$16)))</f>
        <v/>
      </c>
      <c r="V158">
        <f>IF(OR(J158=0,J158=""),"",ABS((J158-IF($C158="LT",Config!$F$5,Config!$F$17))/IF($C158="LT",Config!$G$5,Config!$G$17)))</f>
        <v/>
      </c>
      <c r="W158">
        <f>IF(OR(K158=0,K158=""),"",ABS((K158-IF($C158="LT",Config!$F$6,Config!$F$18))/IF($C158="LT",Config!$G$6,Config!$G$18)))</f>
        <v/>
      </c>
      <c r="X158">
        <f>IF(OR(L158=0,L158=""),"",ABS((L158-IF($C158="LT",Config!$F$7,Config!$F$19))/IF($C158="LT",Config!$G$7,Config!$G$19)))</f>
        <v/>
      </c>
      <c r="Y158">
        <f>IF(OR(M158=0,M158=""),"",ABS((M158-IF($C158="LT",Config!$F$8,Config!$F$20))/IF($C158="LT",Config!$G$8,Config!$G$20)))</f>
        <v/>
      </c>
      <c r="Z158">
        <f>IF(OR(N158=0,N158=""),"",ABS((N158-IF($C158="LT",Config!$F$9,Config!$F$21))/IF($C158="LT",Config!$G$9,Config!$G$21)))</f>
        <v/>
      </c>
      <c r="AA158">
        <f>IF(OR(O158=0,O158=""),"",ABS((O158-IF($C158="LT",Config!$F$10,Config!$F$22))/IF($C158="LT",Config!$G$10,Config!$G$22)))</f>
        <v/>
      </c>
      <c r="AB158">
        <f>IF(OR(P158=0,P158=""),"",ABS((P158-IF($C158="LT",Config!$F$11,Config!$F$23))/IF($C158="LT",Config!$G$11,Config!$G$23)))</f>
        <v/>
      </c>
      <c r="AC158">
        <f>IF(OR(Q158=0,Q158=""),"",ABS((Q158-IF($C158="LT",Config!$F$12,Config!$F$24))/IF($C158="LT",Config!$G$12,Config!$G$24)))</f>
        <v/>
      </c>
      <c r="AD158">
        <f>IF(OR(R158=0,R158=""),"",ABS((R158-IF($C158="LT",Config!$F$13,Config!$F$25))/IF($C158="LT",Config!$G$13,Config!$G$25)))</f>
        <v/>
      </c>
    </row>
    <row r="159">
      <c r="A159" t="inlineStr">
        <is>
          <t>04C0326120779</t>
        </is>
      </c>
      <c r="B159" t="inlineStr">
        <is>
          <t>CRS0000675</t>
        </is>
      </c>
      <c r="C159" t="inlineStr">
        <is>
          <t>LT</t>
        </is>
      </c>
      <c r="D159" t="inlineStr">
        <is>
          <t>ALX440U-DS3B01</t>
        </is>
      </c>
      <c r="E159" s="2" t="n">
        <v>46085</v>
      </c>
      <c r="F159" t="inlineStr">
        <is>
          <t>Fail</t>
        </is>
      </c>
      <c r="G159" t="n">
        <v>154.8</v>
      </c>
      <c r="H159" t="n">
        <v>101.4</v>
      </c>
      <c r="I159" t="n">
        <v>-1957.8</v>
      </c>
      <c r="J159" t="n">
        <v>69.5</v>
      </c>
      <c r="K159" t="n">
        <v>0</v>
      </c>
      <c r="L159" t="n">
        <v>1.1</v>
      </c>
      <c r="M159" t="n">
        <v>0</v>
      </c>
      <c r="N159" t="n">
        <v>70.59999999999999</v>
      </c>
      <c r="O159" t="n">
        <v>114.8</v>
      </c>
      <c r="P159" t="n">
        <v>114.72</v>
      </c>
      <c r="Q159" t="n">
        <v>8.300000000000001</v>
      </c>
      <c r="R159" t="n">
        <v>8.279999999999999</v>
      </c>
      <c r="S159">
        <f>IF(OR(G159=0,G159=""),"",ABS((G159-IF($C159="LT",Config!$F$2,Config!$F$14))/IF($C159="LT",Config!$G$2,Config!$G$14)))</f>
        <v/>
      </c>
      <c r="T159">
        <f>IF(OR(H159=0,H159=""),"",ABS((H159-IF($C159="LT",Config!$F$3,Config!$F$15))/IF($C159="LT",Config!$G$3,Config!$G$15)))</f>
        <v/>
      </c>
      <c r="U159">
        <f>IF(OR(I159=0,I159=""),"",ABS((I159-IF($C159="LT",Config!$F$4,Config!$F$16))/IF($C159="LT",Config!$G$4,Config!$G$16)))</f>
        <v/>
      </c>
      <c r="V159">
        <f>IF(OR(J159=0,J159=""),"",ABS((J159-IF($C159="LT",Config!$F$5,Config!$F$17))/IF($C159="LT",Config!$G$5,Config!$G$17)))</f>
        <v/>
      </c>
      <c r="W159">
        <f>IF(OR(K159=0,K159=""),"",ABS((K159-IF($C159="LT",Config!$F$6,Config!$F$18))/IF($C159="LT",Config!$G$6,Config!$G$18)))</f>
        <v/>
      </c>
      <c r="X159">
        <f>IF(OR(L159=0,L159=""),"",ABS((L159-IF($C159="LT",Config!$F$7,Config!$F$19))/IF($C159="LT",Config!$G$7,Config!$G$19)))</f>
        <v/>
      </c>
      <c r="Y159">
        <f>IF(OR(M159=0,M159=""),"",ABS((M159-IF($C159="LT",Config!$F$8,Config!$F$20))/IF($C159="LT",Config!$G$8,Config!$G$20)))</f>
        <v/>
      </c>
      <c r="Z159">
        <f>IF(OR(N159=0,N159=""),"",ABS((N159-IF($C159="LT",Config!$F$9,Config!$F$21))/IF($C159="LT",Config!$G$9,Config!$G$21)))</f>
        <v/>
      </c>
      <c r="AA159">
        <f>IF(OR(O159=0,O159=""),"",ABS((O159-IF($C159="LT",Config!$F$10,Config!$F$22))/IF($C159="LT",Config!$G$10,Config!$G$22)))</f>
        <v/>
      </c>
      <c r="AB159">
        <f>IF(OR(P159=0,P159=""),"",ABS((P159-IF($C159="LT",Config!$F$11,Config!$F$23))/IF($C159="LT",Config!$G$11,Config!$G$23)))</f>
        <v/>
      </c>
      <c r="AC159">
        <f>IF(OR(Q159=0,Q159=""),"",ABS((Q159-IF($C159="LT",Config!$F$12,Config!$F$24))/IF($C159="LT",Config!$G$12,Config!$G$24)))</f>
        <v/>
      </c>
      <c r="AD159">
        <f>IF(OR(R159=0,R159=""),"",ABS((R159-IF($C159="LT",Config!$F$13,Config!$F$25))/IF($C159="LT",Config!$G$13,Config!$G$25)))</f>
        <v/>
      </c>
    </row>
    <row r="160">
      <c r="A160" t="inlineStr">
        <is>
          <t>04C0326120779</t>
        </is>
      </c>
      <c r="B160" t="inlineStr">
        <is>
          <t>CRS0000675</t>
        </is>
      </c>
      <c r="C160" t="inlineStr">
        <is>
          <t>LT</t>
        </is>
      </c>
      <c r="D160" t="inlineStr">
        <is>
          <t>ALX440U-DS3B01</t>
        </is>
      </c>
      <c r="E160" s="2" t="n">
        <v>46085</v>
      </c>
      <c r="F160" t="inlineStr">
        <is>
          <t>Pass</t>
        </is>
      </c>
      <c r="G160" t="n">
        <v>152.2</v>
      </c>
      <c r="H160" t="n">
        <v>99.59999999999999</v>
      </c>
      <c r="I160" t="n">
        <v>-1957.8</v>
      </c>
      <c r="J160" t="n">
        <v>68.2</v>
      </c>
      <c r="K160" t="n">
        <v>0</v>
      </c>
      <c r="L160" t="n">
        <v>1</v>
      </c>
      <c r="M160" t="n">
        <v>0</v>
      </c>
      <c r="N160" t="n">
        <v>69.2</v>
      </c>
      <c r="O160" t="n">
        <v>115.09</v>
      </c>
      <c r="P160" t="n">
        <v>114.87</v>
      </c>
      <c r="Q160" t="n">
        <v>7.62</v>
      </c>
      <c r="R160" t="n">
        <v>8.06</v>
      </c>
      <c r="S160">
        <f>IF(OR(G160=0,G160=""),"",ABS((G160-IF($C160="LT",Config!$F$2,Config!$F$14))/IF($C160="LT",Config!$G$2,Config!$G$14)))</f>
        <v/>
      </c>
      <c r="T160">
        <f>IF(OR(H160=0,H160=""),"",ABS((H160-IF($C160="LT",Config!$F$3,Config!$F$15))/IF($C160="LT",Config!$G$3,Config!$G$15)))</f>
        <v/>
      </c>
      <c r="U160">
        <f>IF(OR(I160=0,I160=""),"",ABS((I160-IF($C160="LT",Config!$F$4,Config!$F$16))/IF($C160="LT",Config!$G$4,Config!$G$16)))</f>
        <v/>
      </c>
      <c r="V160">
        <f>IF(OR(J160=0,J160=""),"",ABS((J160-IF($C160="LT",Config!$F$5,Config!$F$17))/IF($C160="LT",Config!$G$5,Config!$G$17)))</f>
        <v/>
      </c>
      <c r="W160">
        <f>IF(OR(K160=0,K160=""),"",ABS((K160-IF($C160="LT",Config!$F$6,Config!$F$18))/IF($C160="LT",Config!$G$6,Config!$G$18)))</f>
        <v/>
      </c>
      <c r="X160">
        <f>IF(OR(L160=0,L160=""),"",ABS((L160-IF($C160="LT",Config!$F$7,Config!$F$19))/IF($C160="LT",Config!$G$7,Config!$G$19)))</f>
        <v/>
      </c>
      <c r="Y160">
        <f>IF(OR(M160=0,M160=""),"",ABS((M160-IF($C160="LT",Config!$F$8,Config!$F$20))/IF($C160="LT",Config!$G$8,Config!$G$20)))</f>
        <v/>
      </c>
      <c r="Z160">
        <f>IF(OR(N160=0,N160=""),"",ABS((N160-IF($C160="LT",Config!$F$9,Config!$F$21))/IF($C160="LT",Config!$G$9,Config!$G$21)))</f>
        <v/>
      </c>
      <c r="AA160">
        <f>IF(OR(O160=0,O160=""),"",ABS((O160-IF($C160="LT",Config!$F$10,Config!$F$22))/IF($C160="LT",Config!$G$10,Config!$G$22)))</f>
        <v/>
      </c>
      <c r="AB160">
        <f>IF(OR(P160=0,P160=""),"",ABS((P160-IF($C160="LT",Config!$F$11,Config!$F$23))/IF($C160="LT",Config!$G$11,Config!$G$23)))</f>
        <v/>
      </c>
      <c r="AC160">
        <f>IF(OR(Q160=0,Q160=""),"",ABS((Q160-IF($C160="LT",Config!$F$12,Config!$F$24))/IF($C160="LT",Config!$G$12,Config!$G$24)))</f>
        <v/>
      </c>
      <c r="AD160">
        <f>IF(OR(R160=0,R160=""),"",ABS((R160-IF($C160="LT",Config!$F$13,Config!$F$25))/IF($C160="LT",Config!$G$13,Config!$G$25)))</f>
        <v/>
      </c>
    </row>
    <row r="161">
      <c r="A161" t="inlineStr">
        <is>
          <t>04C0326120777</t>
        </is>
      </c>
      <c r="B161" t="inlineStr">
        <is>
          <t>CRS0000675</t>
        </is>
      </c>
      <c r="C161" t="inlineStr">
        <is>
          <t>LT</t>
        </is>
      </c>
      <c r="D161" t="inlineStr">
        <is>
          <t>ALX440U-DS3B01</t>
        </is>
      </c>
      <c r="E161" s="2" t="n">
        <v>46085</v>
      </c>
      <c r="F161" t="inlineStr">
        <is>
          <t>Pass</t>
        </is>
      </c>
      <c r="G161" t="n">
        <v>149.5</v>
      </c>
      <c r="H161" t="n">
        <v>97.3</v>
      </c>
      <c r="I161" t="n">
        <v>-1957.8</v>
      </c>
      <c r="J161" t="n">
        <v>68.2</v>
      </c>
      <c r="K161" t="n">
        <v>0</v>
      </c>
      <c r="L161" t="n">
        <v>1</v>
      </c>
      <c r="M161" t="n">
        <v>0</v>
      </c>
      <c r="N161" t="n">
        <v>69.2</v>
      </c>
      <c r="O161" t="n">
        <v>111.72</v>
      </c>
      <c r="P161" t="n">
        <v>113.11</v>
      </c>
      <c r="Q161" t="n">
        <v>8.199999999999999</v>
      </c>
      <c r="R161" t="n">
        <v>7.86</v>
      </c>
      <c r="S161">
        <f>IF(OR(G161=0,G161=""),"",ABS((G161-IF($C161="LT",Config!$F$2,Config!$F$14))/IF($C161="LT",Config!$G$2,Config!$G$14)))</f>
        <v/>
      </c>
      <c r="T161">
        <f>IF(OR(H161=0,H161=""),"",ABS((H161-IF($C161="LT",Config!$F$3,Config!$F$15))/IF($C161="LT",Config!$G$3,Config!$G$15)))</f>
        <v/>
      </c>
      <c r="U161">
        <f>IF(OR(I161=0,I161=""),"",ABS((I161-IF($C161="LT",Config!$F$4,Config!$F$16))/IF($C161="LT",Config!$G$4,Config!$G$16)))</f>
        <v/>
      </c>
      <c r="V161">
        <f>IF(OR(J161=0,J161=""),"",ABS((J161-IF($C161="LT",Config!$F$5,Config!$F$17))/IF($C161="LT",Config!$G$5,Config!$G$17)))</f>
        <v/>
      </c>
      <c r="W161">
        <f>IF(OR(K161=0,K161=""),"",ABS((K161-IF($C161="LT",Config!$F$6,Config!$F$18))/IF($C161="LT",Config!$G$6,Config!$G$18)))</f>
        <v/>
      </c>
      <c r="X161">
        <f>IF(OR(L161=0,L161=""),"",ABS((L161-IF($C161="LT",Config!$F$7,Config!$F$19))/IF($C161="LT",Config!$G$7,Config!$G$19)))</f>
        <v/>
      </c>
      <c r="Y161">
        <f>IF(OR(M161=0,M161=""),"",ABS((M161-IF($C161="LT",Config!$F$8,Config!$F$20))/IF($C161="LT",Config!$G$8,Config!$G$20)))</f>
        <v/>
      </c>
      <c r="Z161">
        <f>IF(OR(N161=0,N161=""),"",ABS((N161-IF($C161="LT",Config!$F$9,Config!$F$21))/IF($C161="LT",Config!$G$9,Config!$G$21)))</f>
        <v/>
      </c>
      <c r="AA161">
        <f>IF(OR(O161=0,O161=""),"",ABS((O161-IF($C161="LT",Config!$F$10,Config!$F$22))/IF($C161="LT",Config!$G$10,Config!$G$22)))</f>
        <v/>
      </c>
      <c r="AB161">
        <f>IF(OR(P161=0,P161=""),"",ABS((P161-IF($C161="LT",Config!$F$11,Config!$F$23))/IF($C161="LT",Config!$G$11,Config!$G$23)))</f>
        <v/>
      </c>
      <c r="AC161">
        <f>IF(OR(Q161=0,Q161=""),"",ABS((Q161-IF($C161="LT",Config!$F$12,Config!$F$24))/IF($C161="LT",Config!$G$12,Config!$G$24)))</f>
        <v/>
      </c>
      <c r="AD161">
        <f>IF(OR(R161=0,R161=""),"",ABS((R161-IF($C161="LT",Config!$F$13,Config!$F$25))/IF($C161="LT",Config!$G$13,Config!$G$25)))</f>
        <v/>
      </c>
    </row>
    <row r="162">
      <c r="A162" t="inlineStr">
        <is>
          <t>04C0426120780</t>
        </is>
      </c>
      <c r="B162" t="inlineStr">
        <is>
          <t>CRS0000675</t>
        </is>
      </c>
      <c r="C162" t="inlineStr">
        <is>
          <t>LT</t>
        </is>
      </c>
      <c r="D162" t="inlineStr">
        <is>
          <t>ALX440U-DS3B01</t>
        </is>
      </c>
      <c r="E162" s="2" t="n">
        <v>46085</v>
      </c>
      <c r="F162" t="inlineStr">
        <is>
          <t>Pass</t>
        </is>
      </c>
      <c r="G162" t="n">
        <v>148.6</v>
      </c>
      <c r="H162" t="n">
        <v>97.8</v>
      </c>
      <c r="I162" t="n">
        <v>-1957.8</v>
      </c>
      <c r="J162" t="n">
        <v>67.7</v>
      </c>
      <c r="K162" t="n">
        <v>0</v>
      </c>
      <c r="L162" t="n">
        <v>1.6</v>
      </c>
      <c r="M162" t="n">
        <v>0</v>
      </c>
      <c r="N162" t="n">
        <v>69.3</v>
      </c>
      <c r="O162" t="n">
        <v>111.72</v>
      </c>
      <c r="P162" t="n">
        <v>113.11</v>
      </c>
      <c r="Q162" t="n">
        <v>8.35</v>
      </c>
      <c r="R162" t="n">
        <v>8.06</v>
      </c>
      <c r="S162">
        <f>IF(OR(G162=0,G162=""),"",ABS((G162-IF($C162="LT",Config!$F$2,Config!$F$14))/IF($C162="LT",Config!$G$2,Config!$G$14)))</f>
        <v/>
      </c>
      <c r="T162">
        <f>IF(OR(H162=0,H162=""),"",ABS((H162-IF($C162="LT",Config!$F$3,Config!$F$15))/IF($C162="LT",Config!$G$3,Config!$G$15)))</f>
        <v/>
      </c>
      <c r="U162">
        <f>IF(OR(I162=0,I162=""),"",ABS((I162-IF($C162="LT",Config!$F$4,Config!$F$16))/IF($C162="LT",Config!$G$4,Config!$G$16)))</f>
        <v/>
      </c>
      <c r="V162">
        <f>IF(OR(J162=0,J162=""),"",ABS((J162-IF($C162="LT",Config!$F$5,Config!$F$17))/IF($C162="LT",Config!$G$5,Config!$G$17)))</f>
        <v/>
      </c>
      <c r="W162">
        <f>IF(OR(K162=0,K162=""),"",ABS((K162-IF($C162="LT",Config!$F$6,Config!$F$18))/IF($C162="LT",Config!$G$6,Config!$G$18)))</f>
        <v/>
      </c>
      <c r="X162">
        <f>IF(OR(L162=0,L162=""),"",ABS((L162-IF($C162="LT",Config!$F$7,Config!$F$19))/IF($C162="LT",Config!$G$7,Config!$G$19)))</f>
        <v/>
      </c>
      <c r="Y162">
        <f>IF(OR(M162=0,M162=""),"",ABS((M162-IF($C162="LT",Config!$F$8,Config!$F$20))/IF($C162="LT",Config!$G$8,Config!$G$20)))</f>
        <v/>
      </c>
      <c r="Z162">
        <f>IF(OR(N162=0,N162=""),"",ABS((N162-IF($C162="LT",Config!$F$9,Config!$F$21))/IF($C162="LT",Config!$G$9,Config!$G$21)))</f>
        <v/>
      </c>
      <c r="AA162">
        <f>IF(OR(O162=0,O162=""),"",ABS((O162-IF($C162="LT",Config!$F$10,Config!$F$22))/IF($C162="LT",Config!$G$10,Config!$G$22)))</f>
        <v/>
      </c>
      <c r="AB162">
        <f>IF(OR(P162=0,P162=""),"",ABS((P162-IF($C162="LT",Config!$F$11,Config!$F$23))/IF($C162="LT",Config!$G$11,Config!$G$23)))</f>
        <v/>
      </c>
      <c r="AC162">
        <f>IF(OR(Q162=0,Q162=""),"",ABS((Q162-IF($C162="LT",Config!$F$12,Config!$F$24))/IF($C162="LT",Config!$G$12,Config!$G$24)))</f>
        <v/>
      </c>
      <c r="AD162">
        <f>IF(OR(R162=0,R162=""),"",ABS((R162-IF($C162="LT",Config!$F$13,Config!$F$25))/IF($C162="LT",Config!$G$13,Config!$G$25)))</f>
        <v/>
      </c>
    </row>
    <row r="163">
      <c r="A163" t="inlineStr">
        <is>
          <t>04C0426120781</t>
        </is>
      </c>
      <c r="B163" t="inlineStr">
        <is>
          <t>CRS0000675</t>
        </is>
      </c>
      <c r="C163" t="inlineStr">
        <is>
          <t>LT</t>
        </is>
      </c>
      <c r="D163" t="inlineStr">
        <is>
          <t>ALX440U-DS3B01</t>
        </is>
      </c>
      <c r="E163" s="2" t="n">
        <v>46085</v>
      </c>
      <c r="F163" t="inlineStr">
        <is>
          <t>Pass</t>
        </is>
      </c>
      <c r="G163" t="n">
        <v>149</v>
      </c>
      <c r="H163" t="n">
        <v>97.3</v>
      </c>
      <c r="I163" t="n">
        <v>-1957.8</v>
      </c>
      <c r="J163" t="n">
        <v>68.59999999999999</v>
      </c>
      <c r="K163" t="n">
        <v>0</v>
      </c>
      <c r="L163" t="n">
        <v>2.1</v>
      </c>
      <c r="M163" t="n">
        <v>0</v>
      </c>
      <c r="N163" t="n">
        <v>70.7</v>
      </c>
      <c r="O163" t="n">
        <v>111.57</v>
      </c>
      <c r="P163" t="n">
        <v>113.11</v>
      </c>
      <c r="Q163" t="n">
        <v>8.279999999999999</v>
      </c>
      <c r="R163" t="n">
        <v>8.029999999999999</v>
      </c>
      <c r="S163">
        <f>IF(OR(G163=0,G163=""),"",ABS((G163-IF($C163="LT",Config!$F$2,Config!$F$14))/IF($C163="LT",Config!$G$2,Config!$G$14)))</f>
        <v/>
      </c>
      <c r="T163">
        <f>IF(OR(H163=0,H163=""),"",ABS((H163-IF($C163="LT",Config!$F$3,Config!$F$15))/IF($C163="LT",Config!$G$3,Config!$G$15)))</f>
        <v/>
      </c>
      <c r="U163">
        <f>IF(OR(I163=0,I163=""),"",ABS((I163-IF($C163="LT",Config!$F$4,Config!$F$16))/IF($C163="LT",Config!$G$4,Config!$G$16)))</f>
        <v/>
      </c>
      <c r="V163">
        <f>IF(OR(J163=0,J163=""),"",ABS((J163-IF($C163="LT",Config!$F$5,Config!$F$17))/IF($C163="LT",Config!$G$5,Config!$G$17)))</f>
        <v/>
      </c>
      <c r="W163">
        <f>IF(OR(K163=0,K163=""),"",ABS((K163-IF($C163="LT",Config!$F$6,Config!$F$18))/IF($C163="LT",Config!$G$6,Config!$G$18)))</f>
        <v/>
      </c>
      <c r="X163">
        <f>IF(OR(L163=0,L163=""),"",ABS((L163-IF($C163="LT",Config!$F$7,Config!$F$19))/IF($C163="LT",Config!$G$7,Config!$G$19)))</f>
        <v/>
      </c>
      <c r="Y163">
        <f>IF(OR(M163=0,M163=""),"",ABS((M163-IF($C163="LT",Config!$F$8,Config!$F$20))/IF($C163="LT",Config!$G$8,Config!$G$20)))</f>
        <v/>
      </c>
      <c r="Z163">
        <f>IF(OR(N163=0,N163=""),"",ABS((N163-IF($C163="LT",Config!$F$9,Config!$F$21))/IF($C163="LT",Config!$G$9,Config!$G$21)))</f>
        <v/>
      </c>
      <c r="AA163">
        <f>IF(OR(O163=0,O163=""),"",ABS((O163-IF($C163="LT",Config!$F$10,Config!$F$22))/IF($C163="LT",Config!$G$10,Config!$G$22)))</f>
        <v/>
      </c>
      <c r="AB163">
        <f>IF(OR(P163=0,P163=""),"",ABS((P163-IF($C163="LT",Config!$F$11,Config!$F$23))/IF($C163="LT",Config!$G$11,Config!$G$23)))</f>
        <v/>
      </c>
      <c r="AC163">
        <f>IF(OR(Q163=0,Q163=""),"",ABS((Q163-IF($C163="LT",Config!$F$12,Config!$F$24))/IF($C163="LT",Config!$G$12,Config!$G$24)))</f>
        <v/>
      </c>
      <c r="AD163">
        <f>IF(OR(R163=0,R163=""),"",ABS((R163-IF($C163="LT",Config!$F$13,Config!$F$25))/IF($C163="LT",Config!$G$13,Config!$G$25)))</f>
        <v/>
      </c>
    </row>
    <row r="164">
      <c r="A164" t="inlineStr">
        <is>
          <t>04C0426120782</t>
        </is>
      </c>
      <c r="B164" t="inlineStr">
        <is>
          <t>CRS0000675</t>
        </is>
      </c>
      <c r="C164" t="inlineStr">
        <is>
          <t>LT</t>
        </is>
      </c>
      <c r="D164" t="inlineStr">
        <is>
          <t>ALX440U-DS3B01</t>
        </is>
      </c>
      <c r="E164" s="2" t="n">
        <v>46085</v>
      </c>
      <c r="F164" t="inlineStr">
        <is>
          <t>Pass</t>
        </is>
      </c>
      <c r="G164" t="n">
        <v>145.5</v>
      </c>
      <c r="H164" t="n">
        <v>95.09999999999999</v>
      </c>
      <c r="I164" t="n">
        <v>-1957.8</v>
      </c>
      <c r="J164" t="n">
        <v>67.3</v>
      </c>
      <c r="K164" t="n">
        <v>0</v>
      </c>
      <c r="L164" t="n">
        <v>1.9</v>
      </c>
      <c r="M164" t="n">
        <v>0</v>
      </c>
      <c r="N164" t="n">
        <v>69.2</v>
      </c>
      <c r="O164" t="n">
        <v>111.64</v>
      </c>
      <c r="P164" t="n">
        <v>113.11</v>
      </c>
      <c r="Q164" t="n">
        <v>8.15</v>
      </c>
      <c r="R164" t="n">
        <v>7.86</v>
      </c>
      <c r="S164">
        <f>IF(OR(G164=0,G164=""),"",ABS((G164-IF($C164="LT",Config!$F$2,Config!$F$14))/IF($C164="LT",Config!$G$2,Config!$G$14)))</f>
        <v/>
      </c>
      <c r="T164">
        <f>IF(OR(H164=0,H164=""),"",ABS((H164-IF($C164="LT",Config!$F$3,Config!$F$15))/IF($C164="LT",Config!$G$3,Config!$G$15)))</f>
        <v/>
      </c>
      <c r="U164">
        <f>IF(OR(I164=0,I164=""),"",ABS((I164-IF($C164="LT",Config!$F$4,Config!$F$16))/IF($C164="LT",Config!$G$4,Config!$G$16)))</f>
        <v/>
      </c>
      <c r="V164">
        <f>IF(OR(J164=0,J164=""),"",ABS((J164-IF($C164="LT",Config!$F$5,Config!$F$17))/IF($C164="LT",Config!$G$5,Config!$G$17)))</f>
        <v/>
      </c>
      <c r="W164">
        <f>IF(OR(K164=0,K164=""),"",ABS((K164-IF($C164="LT",Config!$F$6,Config!$F$18))/IF($C164="LT",Config!$G$6,Config!$G$18)))</f>
        <v/>
      </c>
      <c r="X164">
        <f>IF(OR(L164=0,L164=""),"",ABS((L164-IF($C164="LT",Config!$F$7,Config!$F$19))/IF($C164="LT",Config!$G$7,Config!$G$19)))</f>
        <v/>
      </c>
      <c r="Y164">
        <f>IF(OR(M164=0,M164=""),"",ABS((M164-IF($C164="LT",Config!$F$8,Config!$F$20))/IF($C164="LT",Config!$G$8,Config!$G$20)))</f>
        <v/>
      </c>
      <c r="Z164">
        <f>IF(OR(N164=0,N164=""),"",ABS((N164-IF($C164="LT",Config!$F$9,Config!$F$21))/IF($C164="LT",Config!$G$9,Config!$G$21)))</f>
        <v/>
      </c>
      <c r="AA164">
        <f>IF(OR(O164=0,O164=""),"",ABS((O164-IF($C164="LT",Config!$F$10,Config!$F$22))/IF($C164="LT",Config!$G$10,Config!$G$22)))</f>
        <v/>
      </c>
      <c r="AB164">
        <f>IF(OR(P164=0,P164=""),"",ABS((P164-IF($C164="LT",Config!$F$11,Config!$F$23))/IF($C164="LT",Config!$G$11,Config!$G$23)))</f>
        <v/>
      </c>
      <c r="AC164">
        <f>IF(OR(Q164=0,Q164=""),"",ABS((Q164-IF($C164="LT",Config!$F$12,Config!$F$24))/IF($C164="LT",Config!$G$12,Config!$G$24)))</f>
        <v/>
      </c>
      <c r="AD164">
        <f>IF(OR(R164=0,R164=""),"",ABS((R164-IF($C164="LT",Config!$F$13,Config!$F$25))/IF($C164="LT",Config!$G$13,Config!$G$25)))</f>
        <v/>
      </c>
    </row>
    <row r="165">
      <c r="A165" t="inlineStr">
        <is>
          <t>04C0426120783</t>
        </is>
      </c>
      <c r="B165" t="inlineStr">
        <is>
          <t>CRS0000675</t>
        </is>
      </c>
      <c r="C165" t="inlineStr">
        <is>
          <t>LT</t>
        </is>
      </c>
      <c r="D165" t="inlineStr">
        <is>
          <t>ALX440U-DS3B01</t>
        </is>
      </c>
      <c r="E165" s="2" t="n">
        <v>46085</v>
      </c>
      <c r="F165" t="inlineStr">
        <is>
          <t>Pass</t>
        </is>
      </c>
      <c r="G165" t="n">
        <v>153.9</v>
      </c>
      <c r="H165" t="n">
        <v>90.59999999999999</v>
      </c>
      <c r="I165" t="n">
        <v>-1957.8</v>
      </c>
      <c r="J165" t="n">
        <v>66.40000000000001</v>
      </c>
      <c r="K165" t="n">
        <v>0</v>
      </c>
      <c r="L165" t="n">
        <v>2.4</v>
      </c>
      <c r="M165" t="n">
        <v>0</v>
      </c>
      <c r="N165" t="n">
        <v>68.8</v>
      </c>
      <c r="O165" t="n">
        <v>112.08</v>
      </c>
      <c r="P165" t="n">
        <v>113.48</v>
      </c>
      <c r="Q165" t="n">
        <v>7.84</v>
      </c>
      <c r="R165" t="n">
        <v>7.64</v>
      </c>
      <c r="S165">
        <f>IF(OR(G165=0,G165=""),"",ABS((G165-IF($C165="LT",Config!$F$2,Config!$F$14))/IF($C165="LT",Config!$G$2,Config!$G$14)))</f>
        <v/>
      </c>
      <c r="T165">
        <f>IF(OR(H165=0,H165=""),"",ABS((H165-IF($C165="LT",Config!$F$3,Config!$F$15))/IF($C165="LT",Config!$G$3,Config!$G$15)))</f>
        <v/>
      </c>
      <c r="U165">
        <f>IF(OR(I165=0,I165=""),"",ABS((I165-IF($C165="LT",Config!$F$4,Config!$F$16))/IF($C165="LT",Config!$G$4,Config!$G$16)))</f>
        <v/>
      </c>
      <c r="V165">
        <f>IF(OR(J165=0,J165=""),"",ABS((J165-IF($C165="LT",Config!$F$5,Config!$F$17))/IF($C165="LT",Config!$G$5,Config!$G$17)))</f>
        <v/>
      </c>
      <c r="W165">
        <f>IF(OR(K165=0,K165=""),"",ABS((K165-IF($C165="LT",Config!$F$6,Config!$F$18))/IF($C165="LT",Config!$G$6,Config!$G$18)))</f>
        <v/>
      </c>
      <c r="X165">
        <f>IF(OR(L165=0,L165=""),"",ABS((L165-IF($C165="LT",Config!$F$7,Config!$F$19))/IF($C165="LT",Config!$G$7,Config!$G$19)))</f>
        <v/>
      </c>
      <c r="Y165">
        <f>IF(OR(M165=0,M165=""),"",ABS((M165-IF($C165="LT",Config!$F$8,Config!$F$20))/IF($C165="LT",Config!$G$8,Config!$G$20)))</f>
        <v/>
      </c>
      <c r="Z165">
        <f>IF(OR(N165=0,N165=""),"",ABS((N165-IF($C165="LT",Config!$F$9,Config!$F$21))/IF($C165="LT",Config!$G$9,Config!$G$21)))</f>
        <v/>
      </c>
      <c r="AA165">
        <f>IF(OR(O165=0,O165=""),"",ABS((O165-IF($C165="LT",Config!$F$10,Config!$F$22))/IF($C165="LT",Config!$G$10,Config!$G$22)))</f>
        <v/>
      </c>
      <c r="AB165">
        <f>IF(OR(P165=0,P165=""),"",ABS((P165-IF($C165="LT",Config!$F$11,Config!$F$23))/IF($C165="LT",Config!$G$11,Config!$G$23)))</f>
        <v/>
      </c>
      <c r="AC165">
        <f>IF(OR(Q165=0,Q165=""),"",ABS((Q165-IF($C165="LT",Config!$F$12,Config!$F$24))/IF($C165="LT",Config!$G$12,Config!$G$24)))</f>
        <v/>
      </c>
      <c r="AD165">
        <f>IF(OR(R165=0,R165=""),"",ABS((R165-IF($C165="LT",Config!$F$13,Config!$F$25))/IF($C165="LT",Config!$G$13,Config!$G$25)))</f>
        <v/>
      </c>
    </row>
    <row r="166">
      <c r="A166" t="inlineStr">
        <is>
          <t>04C0426120784</t>
        </is>
      </c>
      <c r="B166" t="inlineStr">
        <is>
          <t>CRS0000675</t>
        </is>
      </c>
      <c r="C166" t="inlineStr">
        <is>
          <t>LT</t>
        </is>
      </c>
      <c r="D166" t="inlineStr">
        <is>
          <t>ALX440U-DS3B01</t>
        </is>
      </c>
      <c r="E166" s="2" t="n">
        <v>46085</v>
      </c>
      <c r="F166" t="inlineStr">
        <is>
          <t>Pass</t>
        </is>
      </c>
      <c r="G166" t="n">
        <v>148.1</v>
      </c>
      <c r="H166" t="n">
        <v>96.90000000000001</v>
      </c>
      <c r="I166" t="n">
        <v>-1957.8</v>
      </c>
      <c r="J166" t="n">
        <v>66.40000000000001</v>
      </c>
      <c r="K166" t="n">
        <v>0</v>
      </c>
      <c r="L166" t="n">
        <v>2.2</v>
      </c>
      <c r="M166" t="n">
        <v>0</v>
      </c>
      <c r="N166" t="n">
        <v>68.59999999999999</v>
      </c>
      <c r="O166" t="n">
        <v>114.43</v>
      </c>
      <c r="P166" t="n">
        <v>113.4</v>
      </c>
      <c r="Q166" t="n">
        <v>8.109999999999999</v>
      </c>
      <c r="R166" t="n">
        <v>7.84</v>
      </c>
      <c r="S166">
        <f>IF(OR(G166=0,G166=""),"",ABS((G166-IF($C166="LT",Config!$F$2,Config!$F$14))/IF($C166="LT",Config!$G$2,Config!$G$14)))</f>
        <v/>
      </c>
      <c r="T166">
        <f>IF(OR(H166=0,H166=""),"",ABS((H166-IF($C166="LT",Config!$F$3,Config!$F$15))/IF($C166="LT",Config!$G$3,Config!$G$15)))</f>
        <v/>
      </c>
      <c r="U166">
        <f>IF(OR(I166=0,I166=""),"",ABS((I166-IF($C166="LT",Config!$F$4,Config!$F$16))/IF($C166="LT",Config!$G$4,Config!$G$16)))</f>
        <v/>
      </c>
      <c r="V166">
        <f>IF(OR(J166=0,J166=""),"",ABS((J166-IF($C166="LT",Config!$F$5,Config!$F$17))/IF($C166="LT",Config!$G$5,Config!$G$17)))</f>
        <v/>
      </c>
      <c r="W166">
        <f>IF(OR(K166=0,K166=""),"",ABS((K166-IF($C166="LT",Config!$F$6,Config!$F$18))/IF($C166="LT",Config!$G$6,Config!$G$18)))</f>
        <v/>
      </c>
      <c r="X166">
        <f>IF(OR(L166=0,L166=""),"",ABS((L166-IF($C166="LT",Config!$F$7,Config!$F$19))/IF($C166="LT",Config!$G$7,Config!$G$19)))</f>
        <v/>
      </c>
      <c r="Y166">
        <f>IF(OR(M166=0,M166=""),"",ABS((M166-IF($C166="LT",Config!$F$8,Config!$F$20))/IF($C166="LT",Config!$G$8,Config!$G$20)))</f>
        <v/>
      </c>
      <c r="Z166">
        <f>IF(OR(N166=0,N166=""),"",ABS((N166-IF($C166="LT",Config!$F$9,Config!$F$21))/IF($C166="LT",Config!$G$9,Config!$G$21)))</f>
        <v/>
      </c>
      <c r="AA166">
        <f>IF(OR(O166=0,O166=""),"",ABS((O166-IF($C166="LT",Config!$F$10,Config!$F$22))/IF($C166="LT",Config!$G$10,Config!$G$22)))</f>
        <v/>
      </c>
      <c r="AB166">
        <f>IF(OR(P166=0,P166=""),"",ABS((P166-IF($C166="LT",Config!$F$11,Config!$F$23))/IF($C166="LT",Config!$G$11,Config!$G$23)))</f>
        <v/>
      </c>
      <c r="AC166">
        <f>IF(OR(Q166=0,Q166=""),"",ABS((Q166-IF($C166="LT",Config!$F$12,Config!$F$24))/IF($C166="LT",Config!$G$12,Config!$G$24)))</f>
        <v/>
      </c>
      <c r="AD166">
        <f>IF(OR(R166=0,R166=""),"",ABS((R166-IF($C166="LT",Config!$F$13,Config!$F$25))/IF($C166="LT",Config!$G$13,Config!$G$25)))</f>
        <v/>
      </c>
    </row>
    <row r="167">
      <c r="A167" t="inlineStr">
        <is>
          <t>04C0426120785</t>
        </is>
      </c>
      <c r="B167" t="inlineStr">
        <is>
          <t>CRS0000675</t>
        </is>
      </c>
      <c r="C167" t="inlineStr">
        <is>
          <t>LT</t>
        </is>
      </c>
      <c r="D167" t="inlineStr">
        <is>
          <t>ALX440U-DS3B01</t>
        </is>
      </c>
      <c r="E167" s="2" t="n">
        <v>46085</v>
      </c>
      <c r="F167" t="inlineStr">
        <is>
          <t>Pass</t>
        </is>
      </c>
      <c r="G167" t="n">
        <v>145.9</v>
      </c>
      <c r="H167" t="n">
        <v>94.59999999999999</v>
      </c>
      <c r="I167" t="n">
        <v>-1957.8</v>
      </c>
      <c r="J167" t="n">
        <v>65.90000000000001</v>
      </c>
      <c r="K167" t="n">
        <v>0</v>
      </c>
      <c r="L167" t="n">
        <v>2.9</v>
      </c>
      <c r="M167" t="n">
        <v>0</v>
      </c>
      <c r="N167" t="n">
        <v>68.8</v>
      </c>
      <c r="O167" t="n">
        <v>114.94</v>
      </c>
      <c r="P167" t="n">
        <v>114.87</v>
      </c>
      <c r="Q167" t="n">
        <v>7.86</v>
      </c>
      <c r="R167" t="n">
        <v>7.76</v>
      </c>
      <c r="S167">
        <f>IF(OR(G167=0,G167=""),"",ABS((G167-IF($C167="LT",Config!$F$2,Config!$F$14))/IF($C167="LT",Config!$G$2,Config!$G$14)))</f>
        <v/>
      </c>
      <c r="T167">
        <f>IF(OR(H167=0,H167=""),"",ABS((H167-IF($C167="LT",Config!$F$3,Config!$F$15))/IF($C167="LT",Config!$G$3,Config!$G$15)))</f>
        <v/>
      </c>
      <c r="U167">
        <f>IF(OR(I167=0,I167=""),"",ABS((I167-IF($C167="LT",Config!$F$4,Config!$F$16))/IF($C167="LT",Config!$G$4,Config!$G$16)))</f>
        <v/>
      </c>
      <c r="V167">
        <f>IF(OR(J167=0,J167=""),"",ABS((J167-IF($C167="LT",Config!$F$5,Config!$F$17))/IF($C167="LT",Config!$G$5,Config!$G$17)))</f>
        <v/>
      </c>
      <c r="W167">
        <f>IF(OR(K167=0,K167=""),"",ABS((K167-IF($C167="LT",Config!$F$6,Config!$F$18))/IF($C167="LT",Config!$G$6,Config!$G$18)))</f>
        <v/>
      </c>
      <c r="X167">
        <f>IF(OR(L167=0,L167=""),"",ABS((L167-IF($C167="LT",Config!$F$7,Config!$F$19))/IF($C167="LT",Config!$G$7,Config!$G$19)))</f>
        <v/>
      </c>
      <c r="Y167">
        <f>IF(OR(M167=0,M167=""),"",ABS((M167-IF($C167="LT",Config!$F$8,Config!$F$20))/IF($C167="LT",Config!$G$8,Config!$G$20)))</f>
        <v/>
      </c>
      <c r="Z167">
        <f>IF(OR(N167=0,N167=""),"",ABS((N167-IF($C167="LT",Config!$F$9,Config!$F$21))/IF($C167="LT",Config!$G$9,Config!$G$21)))</f>
        <v/>
      </c>
      <c r="AA167">
        <f>IF(OR(O167=0,O167=""),"",ABS((O167-IF($C167="LT",Config!$F$10,Config!$F$22))/IF($C167="LT",Config!$G$10,Config!$G$22)))</f>
        <v/>
      </c>
      <c r="AB167">
        <f>IF(OR(P167=0,P167=""),"",ABS((P167-IF($C167="LT",Config!$F$11,Config!$F$23))/IF($C167="LT",Config!$G$11,Config!$G$23)))</f>
        <v/>
      </c>
      <c r="AC167">
        <f>IF(OR(Q167=0,Q167=""),"",ABS((Q167-IF($C167="LT",Config!$F$12,Config!$F$24))/IF($C167="LT",Config!$G$12,Config!$G$24)))</f>
        <v/>
      </c>
      <c r="AD167">
        <f>IF(OR(R167=0,R167=""),"",ABS((R167-IF($C167="LT",Config!$F$13,Config!$F$25))/IF($C167="LT",Config!$G$13,Config!$G$25)))</f>
        <v/>
      </c>
    </row>
    <row r="168">
      <c r="A168" t="inlineStr">
        <is>
          <t>04C0426120786</t>
        </is>
      </c>
      <c r="B168" t="inlineStr">
        <is>
          <t>CRS0000675</t>
        </is>
      </c>
      <c r="C168" t="inlineStr">
        <is>
          <t>LT</t>
        </is>
      </c>
      <c r="D168" t="inlineStr">
        <is>
          <t>ALX440U-DS3B01</t>
        </is>
      </c>
      <c r="E168" s="2" t="n">
        <v>46085</v>
      </c>
      <c r="F168" t="inlineStr">
        <is>
          <t>Fail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>
        <f>IF(OR(G168=0,G168=""),"",ABS((G168-IF($C168="LT",Config!$F$2,Config!$F$14))/IF($C168="LT",Config!$G$2,Config!$G$14)))</f>
        <v/>
      </c>
      <c r="T168">
        <f>IF(OR(H168=0,H168=""),"",ABS((H168-IF($C168="LT",Config!$F$3,Config!$F$15))/IF($C168="LT",Config!$G$3,Config!$G$15)))</f>
        <v/>
      </c>
      <c r="U168">
        <f>IF(OR(I168=0,I168=""),"",ABS((I168-IF($C168="LT",Config!$F$4,Config!$F$16))/IF($C168="LT",Config!$G$4,Config!$G$16)))</f>
        <v/>
      </c>
      <c r="V168">
        <f>IF(OR(J168=0,J168=""),"",ABS((J168-IF($C168="LT",Config!$F$5,Config!$F$17))/IF($C168="LT",Config!$G$5,Config!$G$17)))</f>
        <v/>
      </c>
      <c r="W168">
        <f>IF(OR(K168=0,K168=""),"",ABS((K168-IF($C168="LT",Config!$F$6,Config!$F$18))/IF($C168="LT",Config!$G$6,Config!$G$18)))</f>
        <v/>
      </c>
      <c r="X168">
        <f>IF(OR(L168=0,L168=""),"",ABS((L168-IF($C168="LT",Config!$F$7,Config!$F$19))/IF($C168="LT",Config!$G$7,Config!$G$19)))</f>
        <v/>
      </c>
      <c r="Y168">
        <f>IF(OR(M168=0,M168=""),"",ABS((M168-IF($C168="LT",Config!$F$8,Config!$F$20))/IF($C168="LT",Config!$G$8,Config!$G$20)))</f>
        <v/>
      </c>
      <c r="Z168">
        <f>IF(OR(N168=0,N168=""),"",ABS((N168-IF($C168="LT",Config!$F$9,Config!$F$21))/IF($C168="LT",Config!$G$9,Config!$G$21)))</f>
        <v/>
      </c>
      <c r="AA168">
        <f>IF(OR(O168=0,O168=""),"",ABS((O168-IF($C168="LT",Config!$F$10,Config!$F$22))/IF($C168="LT",Config!$G$10,Config!$G$22)))</f>
        <v/>
      </c>
      <c r="AB168">
        <f>IF(OR(P168=0,P168=""),"",ABS((P168-IF($C168="LT",Config!$F$11,Config!$F$23))/IF($C168="LT",Config!$G$11,Config!$G$23)))</f>
        <v/>
      </c>
      <c r="AC168">
        <f>IF(OR(Q168=0,Q168=""),"",ABS((Q168-IF($C168="LT",Config!$F$12,Config!$F$24))/IF($C168="LT",Config!$G$12,Config!$G$24)))</f>
        <v/>
      </c>
      <c r="AD168">
        <f>IF(OR(R168=0,R168=""),"",ABS((R168-IF($C168="LT",Config!$F$13,Config!$F$25))/IF($C168="LT",Config!$G$13,Config!$G$25)))</f>
        <v/>
      </c>
    </row>
    <row r="169">
      <c r="A169" t="inlineStr">
        <is>
          <t>04C0426120786</t>
        </is>
      </c>
      <c r="B169" t="inlineStr">
        <is>
          <t>CRS0000675</t>
        </is>
      </c>
      <c r="C169" t="inlineStr">
        <is>
          <t>LT</t>
        </is>
      </c>
      <c r="D169" t="inlineStr">
        <is>
          <t>ALX440U-DS3B01</t>
        </is>
      </c>
      <c r="E169" s="2" t="n">
        <v>46085</v>
      </c>
      <c r="F169" t="inlineStr">
        <is>
          <t>Fail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>
        <f>IF(OR(G169=0,G169=""),"",ABS((G169-IF($C169="LT",Config!$F$2,Config!$F$14))/IF($C169="LT",Config!$G$2,Config!$G$14)))</f>
        <v/>
      </c>
      <c r="T169">
        <f>IF(OR(H169=0,H169=""),"",ABS((H169-IF($C169="LT",Config!$F$3,Config!$F$15))/IF($C169="LT",Config!$G$3,Config!$G$15)))</f>
        <v/>
      </c>
      <c r="U169">
        <f>IF(OR(I169=0,I169=""),"",ABS((I169-IF($C169="LT",Config!$F$4,Config!$F$16))/IF($C169="LT",Config!$G$4,Config!$G$16)))</f>
        <v/>
      </c>
      <c r="V169">
        <f>IF(OR(J169=0,J169=""),"",ABS((J169-IF($C169="LT",Config!$F$5,Config!$F$17))/IF($C169="LT",Config!$G$5,Config!$G$17)))</f>
        <v/>
      </c>
      <c r="W169">
        <f>IF(OR(K169=0,K169=""),"",ABS((K169-IF($C169="LT",Config!$F$6,Config!$F$18))/IF($C169="LT",Config!$G$6,Config!$G$18)))</f>
        <v/>
      </c>
      <c r="X169">
        <f>IF(OR(L169=0,L169=""),"",ABS((L169-IF($C169="LT",Config!$F$7,Config!$F$19))/IF($C169="LT",Config!$G$7,Config!$G$19)))</f>
        <v/>
      </c>
      <c r="Y169">
        <f>IF(OR(M169=0,M169=""),"",ABS((M169-IF($C169="LT",Config!$F$8,Config!$F$20))/IF($C169="LT",Config!$G$8,Config!$G$20)))</f>
        <v/>
      </c>
      <c r="Z169">
        <f>IF(OR(N169=0,N169=""),"",ABS((N169-IF($C169="LT",Config!$F$9,Config!$F$21))/IF($C169="LT",Config!$G$9,Config!$G$21)))</f>
        <v/>
      </c>
      <c r="AA169">
        <f>IF(OR(O169=0,O169=""),"",ABS((O169-IF($C169="LT",Config!$F$10,Config!$F$22))/IF($C169="LT",Config!$G$10,Config!$G$22)))</f>
        <v/>
      </c>
      <c r="AB169">
        <f>IF(OR(P169=0,P169=""),"",ABS((P169-IF($C169="LT",Config!$F$11,Config!$F$23))/IF($C169="LT",Config!$G$11,Config!$G$23)))</f>
        <v/>
      </c>
      <c r="AC169">
        <f>IF(OR(Q169=0,Q169=""),"",ABS((Q169-IF($C169="LT",Config!$F$12,Config!$F$24))/IF($C169="LT",Config!$G$12,Config!$G$24)))</f>
        <v/>
      </c>
      <c r="AD169">
        <f>IF(OR(R169=0,R169=""),"",ABS((R169-IF($C169="LT",Config!$F$13,Config!$F$25))/IF($C169="LT",Config!$G$13,Config!$G$25)))</f>
        <v/>
      </c>
    </row>
    <row r="170">
      <c r="A170" t="inlineStr">
        <is>
          <t>04C0426120786</t>
        </is>
      </c>
      <c r="B170" t="inlineStr">
        <is>
          <t>CRS0000675</t>
        </is>
      </c>
      <c r="C170" t="inlineStr">
        <is>
          <t>LT</t>
        </is>
      </c>
      <c r="D170" t="inlineStr">
        <is>
          <t>ALX440U-DS3B01</t>
        </is>
      </c>
      <c r="E170" s="2" t="n">
        <v>46085</v>
      </c>
      <c r="F170" t="inlineStr">
        <is>
          <t>Fail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>
        <f>IF(OR(G170=0,G170=""),"",ABS((G170-IF($C170="LT",Config!$F$2,Config!$F$14))/IF($C170="LT",Config!$G$2,Config!$G$14)))</f>
        <v/>
      </c>
      <c r="T170">
        <f>IF(OR(H170=0,H170=""),"",ABS((H170-IF($C170="LT",Config!$F$3,Config!$F$15))/IF($C170="LT",Config!$G$3,Config!$G$15)))</f>
        <v/>
      </c>
      <c r="U170">
        <f>IF(OR(I170=0,I170=""),"",ABS((I170-IF($C170="LT",Config!$F$4,Config!$F$16))/IF($C170="LT",Config!$G$4,Config!$G$16)))</f>
        <v/>
      </c>
      <c r="V170">
        <f>IF(OR(J170=0,J170=""),"",ABS((J170-IF($C170="LT",Config!$F$5,Config!$F$17))/IF($C170="LT",Config!$G$5,Config!$G$17)))</f>
        <v/>
      </c>
      <c r="W170">
        <f>IF(OR(K170=0,K170=""),"",ABS((K170-IF($C170="LT",Config!$F$6,Config!$F$18))/IF($C170="LT",Config!$G$6,Config!$G$18)))</f>
        <v/>
      </c>
      <c r="X170">
        <f>IF(OR(L170=0,L170=""),"",ABS((L170-IF($C170="LT",Config!$F$7,Config!$F$19))/IF($C170="LT",Config!$G$7,Config!$G$19)))</f>
        <v/>
      </c>
      <c r="Y170">
        <f>IF(OR(M170=0,M170=""),"",ABS((M170-IF($C170="LT",Config!$F$8,Config!$F$20))/IF($C170="LT",Config!$G$8,Config!$G$20)))</f>
        <v/>
      </c>
      <c r="Z170">
        <f>IF(OR(N170=0,N170=""),"",ABS((N170-IF($C170="LT",Config!$F$9,Config!$F$21))/IF($C170="LT",Config!$G$9,Config!$G$21)))</f>
        <v/>
      </c>
      <c r="AA170">
        <f>IF(OR(O170=0,O170=""),"",ABS((O170-IF($C170="LT",Config!$F$10,Config!$F$22))/IF($C170="LT",Config!$G$10,Config!$G$22)))</f>
        <v/>
      </c>
      <c r="AB170">
        <f>IF(OR(P170=0,P170=""),"",ABS((P170-IF($C170="LT",Config!$F$11,Config!$F$23))/IF($C170="LT",Config!$G$11,Config!$G$23)))</f>
        <v/>
      </c>
      <c r="AC170">
        <f>IF(OR(Q170=0,Q170=""),"",ABS((Q170-IF($C170="LT",Config!$F$12,Config!$F$24))/IF($C170="LT",Config!$G$12,Config!$G$24)))</f>
        <v/>
      </c>
      <c r="AD170">
        <f>IF(OR(R170=0,R170=""),"",ABS((R170-IF($C170="LT",Config!$F$13,Config!$F$25))/IF($C170="LT",Config!$G$13,Config!$G$25)))</f>
        <v/>
      </c>
    </row>
    <row r="171">
      <c r="A171" t="inlineStr">
        <is>
          <t>04C0426120787</t>
        </is>
      </c>
      <c r="B171" t="inlineStr">
        <is>
          <t>CRS0000675</t>
        </is>
      </c>
      <c r="C171" t="inlineStr">
        <is>
          <t>LT</t>
        </is>
      </c>
      <c r="D171" t="inlineStr">
        <is>
          <t>ALX440U-DS3B01</t>
        </is>
      </c>
      <c r="E171" s="2" t="n">
        <v>46085</v>
      </c>
      <c r="F171" t="inlineStr">
        <is>
          <t>Pass</t>
        </is>
      </c>
      <c r="G171" t="n">
        <v>152.2</v>
      </c>
      <c r="H171" t="n">
        <v>96.90000000000001</v>
      </c>
      <c r="I171" t="n">
        <v>-1957.8</v>
      </c>
      <c r="J171" t="n">
        <v>66.8</v>
      </c>
      <c r="K171" t="n">
        <v>0</v>
      </c>
      <c r="L171" t="n">
        <v>2.4</v>
      </c>
      <c r="M171" t="n">
        <v>0</v>
      </c>
      <c r="N171" t="n">
        <v>69.2</v>
      </c>
      <c r="O171" t="n">
        <v>114.8</v>
      </c>
      <c r="P171" t="n">
        <v>115.02</v>
      </c>
      <c r="Q171" t="n">
        <v>8.08</v>
      </c>
      <c r="R171" t="n">
        <v>7.84</v>
      </c>
      <c r="S171">
        <f>IF(OR(G171=0,G171=""),"",ABS((G171-IF($C171="LT",Config!$F$2,Config!$F$14))/IF($C171="LT",Config!$G$2,Config!$G$14)))</f>
        <v/>
      </c>
      <c r="T171">
        <f>IF(OR(H171=0,H171=""),"",ABS((H171-IF($C171="LT",Config!$F$3,Config!$F$15))/IF($C171="LT",Config!$G$3,Config!$G$15)))</f>
        <v/>
      </c>
      <c r="U171">
        <f>IF(OR(I171=0,I171=""),"",ABS((I171-IF($C171="LT",Config!$F$4,Config!$F$16))/IF($C171="LT",Config!$G$4,Config!$G$16)))</f>
        <v/>
      </c>
      <c r="V171">
        <f>IF(OR(J171=0,J171=""),"",ABS((J171-IF($C171="LT",Config!$F$5,Config!$F$17))/IF($C171="LT",Config!$G$5,Config!$G$17)))</f>
        <v/>
      </c>
      <c r="W171">
        <f>IF(OR(K171=0,K171=""),"",ABS((K171-IF($C171="LT",Config!$F$6,Config!$F$18))/IF($C171="LT",Config!$G$6,Config!$G$18)))</f>
        <v/>
      </c>
      <c r="X171">
        <f>IF(OR(L171=0,L171=""),"",ABS((L171-IF($C171="LT",Config!$F$7,Config!$F$19))/IF($C171="LT",Config!$G$7,Config!$G$19)))</f>
        <v/>
      </c>
      <c r="Y171">
        <f>IF(OR(M171=0,M171=""),"",ABS((M171-IF($C171="LT",Config!$F$8,Config!$F$20))/IF($C171="LT",Config!$G$8,Config!$G$20)))</f>
        <v/>
      </c>
      <c r="Z171">
        <f>IF(OR(N171=0,N171=""),"",ABS((N171-IF($C171="LT",Config!$F$9,Config!$F$21))/IF($C171="LT",Config!$G$9,Config!$G$21)))</f>
        <v/>
      </c>
      <c r="AA171">
        <f>IF(OR(O171=0,O171=""),"",ABS((O171-IF($C171="LT",Config!$F$10,Config!$F$22))/IF($C171="LT",Config!$G$10,Config!$G$22)))</f>
        <v/>
      </c>
      <c r="AB171">
        <f>IF(OR(P171=0,P171=""),"",ABS((P171-IF($C171="LT",Config!$F$11,Config!$F$23))/IF($C171="LT",Config!$G$11,Config!$G$23)))</f>
        <v/>
      </c>
      <c r="AC171">
        <f>IF(OR(Q171=0,Q171=""),"",ABS((Q171-IF($C171="LT",Config!$F$12,Config!$F$24))/IF($C171="LT",Config!$G$12,Config!$G$24)))</f>
        <v/>
      </c>
      <c r="AD171">
        <f>IF(OR(R171=0,R171=""),"",ABS((R171-IF($C171="LT",Config!$F$13,Config!$F$25))/IF($C171="LT",Config!$G$13,Config!$G$25)))</f>
        <v/>
      </c>
    </row>
    <row r="172">
      <c r="A172" t="inlineStr">
        <is>
          <t>04C0426120786</t>
        </is>
      </c>
      <c r="B172" t="inlineStr">
        <is>
          <t>CRS0000675</t>
        </is>
      </c>
      <c r="C172" t="inlineStr">
        <is>
          <t>LT</t>
        </is>
      </c>
      <c r="D172" t="inlineStr">
        <is>
          <t>ALX440U-DS3B01</t>
        </is>
      </c>
      <c r="E172" s="2" t="n">
        <v>46085</v>
      </c>
      <c r="F172" t="inlineStr">
        <is>
          <t>Fail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>
        <f>IF(OR(G172=0,G172=""),"",ABS((G172-IF($C172="LT",Config!$F$2,Config!$F$14))/IF($C172="LT",Config!$G$2,Config!$G$14)))</f>
        <v/>
      </c>
      <c r="T172">
        <f>IF(OR(H172=0,H172=""),"",ABS((H172-IF($C172="LT",Config!$F$3,Config!$F$15))/IF($C172="LT",Config!$G$3,Config!$G$15)))</f>
        <v/>
      </c>
      <c r="U172">
        <f>IF(OR(I172=0,I172=""),"",ABS((I172-IF($C172="LT",Config!$F$4,Config!$F$16))/IF($C172="LT",Config!$G$4,Config!$G$16)))</f>
        <v/>
      </c>
      <c r="V172">
        <f>IF(OR(J172=0,J172=""),"",ABS((J172-IF($C172="LT",Config!$F$5,Config!$F$17))/IF($C172="LT",Config!$G$5,Config!$G$17)))</f>
        <v/>
      </c>
      <c r="W172">
        <f>IF(OR(K172=0,K172=""),"",ABS((K172-IF($C172="LT",Config!$F$6,Config!$F$18))/IF($C172="LT",Config!$G$6,Config!$G$18)))</f>
        <v/>
      </c>
      <c r="X172">
        <f>IF(OR(L172=0,L172=""),"",ABS((L172-IF($C172="LT",Config!$F$7,Config!$F$19))/IF($C172="LT",Config!$G$7,Config!$G$19)))</f>
        <v/>
      </c>
      <c r="Y172">
        <f>IF(OR(M172=0,M172=""),"",ABS((M172-IF($C172="LT",Config!$F$8,Config!$F$20))/IF($C172="LT",Config!$G$8,Config!$G$20)))</f>
        <v/>
      </c>
      <c r="Z172">
        <f>IF(OR(N172=0,N172=""),"",ABS((N172-IF($C172="LT",Config!$F$9,Config!$F$21))/IF($C172="LT",Config!$G$9,Config!$G$21)))</f>
        <v/>
      </c>
      <c r="AA172">
        <f>IF(OR(O172=0,O172=""),"",ABS((O172-IF($C172="LT",Config!$F$10,Config!$F$22))/IF($C172="LT",Config!$G$10,Config!$G$22)))</f>
        <v/>
      </c>
      <c r="AB172">
        <f>IF(OR(P172=0,P172=""),"",ABS((P172-IF($C172="LT",Config!$F$11,Config!$F$23))/IF($C172="LT",Config!$G$11,Config!$G$23)))</f>
        <v/>
      </c>
      <c r="AC172">
        <f>IF(OR(Q172=0,Q172=""),"",ABS((Q172-IF($C172="LT",Config!$F$12,Config!$F$24))/IF($C172="LT",Config!$G$12,Config!$G$24)))</f>
        <v/>
      </c>
      <c r="AD172">
        <f>IF(OR(R172=0,R172=""),"",ABS((R172-IF($C172="LT",Config!$F$13,Config!$F$25))/IF($C172="LT",Config!$G$13,Config!$G$25)))</f>
        <v/>
      </c>
    </row>
    <row r="173">
      <c r="A173" t="inlineStr">
        <is>
          <t>04C0426120788</t>
        </is>
      </c>
      <c r="B173" t="inlineStr">
        <is>
          <t>CRS0000675</t>
        </is>
      </c>
      <c r="C173" t="inlineStr">
        <is>
          <t>LT</t>
        </is>
      </c>
      <c r="D173" t="inlineStr">
        <is>
          <t>ALX440U-DS3B01</t>
        </is>
      </c>
      <c r="E173" s="2" t="n">
        <v>46085</v>
      </c>
      <c r="F173" t="inlineStr">
        <is>
          <t>Pass</t>
        </is>
      </c>
      <c r="G173" t="n">
        <v>157.1</v>
      </c>
      <c r="H173" t="n">
        <v>101.4</v>
      </c>
      <c r="I173" t="n">
        <v>-1957.8</v>
      </c>
      <c r="J173" t="n">
        <v>67.3</v>
      </c>
      <c r="K173" t="n">
        <v>0</v>
      </c>
      <c r="L173" t="n">
        <v>2.2</v>
      </c>
      <c r="M173" t="n">
        <v>0</v>
      </c>
      <c r="N173" t="n">
        <v>69.5</v>
      </c>
      <c r="O173" t="n">
        <v>111.06</v>
      </c>
      <c r="P173" t="n">
        <v>118.02</v>
      </c>
      <c r="Q173" t="n">
        <v>10.21</v>
      </c>
      <c r="R173" t="n">
        <v>8.74</v>
      </c>
      <c r="S173">
        <f>IF(OR(G173=0,G173=""),"",ABS((G173-IF($C173="LT",Config!$F$2,Config!$F$14))/IF($C173="LT",Config!$G$2,Config!$G$14)))</f>
        <v/>
      </c>
      <c r="T173">
        <f>IF(OR(H173=0,H173=""),"",ABS((H173-IF($C173="LT",Config!$F$3,Config!$F$15))/IF($C173="LT",Config!$G$3,Config!$G$15)))</f>
        <v/>
      </c>
      <c r="U173">
        <f>IF(OR(I173=0,I173=""),"",ABS((I173-IF($C173="LT",Config!$F$4,Config!$F$16))/IF($C173="LT",Config!$G$4,Config!$G$16)))</f>
        <v/>
      </c>
      <c r="V173">
        <f>IF(OR(J173=0,J173=""),"",ABS((J173-IF($C173="LT",Config!$F$5,Config!$F$17))/IF($C173="LT",Config!$G$5,Config!$G$17)))</f>
        <v/>
      </c>
      <c r="W173">
        <f>IF(OR(K173=0,K173=""),"",ABS((K173-IF($C173="LT",Config!$F$6,Config!$F$18))/IF($C173="LT",Config!$G$6,Config!$G$18)))</f>
        <v/>
      </c>
      <c r="X173">
        <f>IF(OR(L173=0,L173=""),"",ABS((L173-IF($C173="LT",Config!$F$7,Config!$F$19))/IF($C173="LT",Config!$G$7,Config!$G$19)))</f>
        <v/>
      </c>
      <c r="Y173">
        <f>IF(OR(M173=0,M173=""),"",ABS((M173-IF($C173="LT",Config!$F$8,Config!$F$20))/IF($C173="LT",Config!$G$8,Config!$G$20)))</f>
        <v/>
      </c>
      <c r="Z173">
        <f>IF(OR(N173=0,N173=""),"",ABS((N173-IF($C173="LT",Config!$F$9,Config!$F$21))/IF($C173="LT",Config!$G$9,Config!$G$21)))</f>
        <v/>
      </c>
      <c r="AA173">
        <f>IF(OR(O173=0,O173=""),"",ABS((O173-IF($C173="LT",Config!$F$10,Config!$F$22))/IF($C173="LT",Config!$G$10,Config!$G$22)))</f>
        <v/>
      </c>
      <c r="AB173">
        <f>IF(OR(P173=0,P173=""),"",ABS((P173-IF($C173="LT",Config!$F$11,Config!$F$23))/IF($C173="LT",Config!$G$11,Config!$G$23)))</f>
        <v/>
      </c>
      <c r="AC173">
        <f>IF(OR(Q173=0,Q173=""),"",ABS((Q173-IF($C173="LT",Config!$F$12,Config!$F$24))/IF($C173="LT",Config!$G$12,Config!$G$24)))</f>
        <v/>
      </c>
      <c r="AD173">
        <f>IF(OR(R173=0,R173=""),"",ABS((R173-IF($C173="LT",Config!$F$13,Config!$F$25))/IF($C173="LT",Config!$G$13,Config!$G$25)))</f>
        <v/>
      </c>
    </row>
    <row r="174">
      <c r="A174" t="inlineStr">
        <is>
          <t>04C0426120786</t>
        </is>
      </c>
      <c r="B174" t="inlineStr">
        <is>
          <t>CRS0000675</t>
        </is>
      </c>
      <c r="C174" t="inlineStr">
        <is>
          <t>LT</t>
        </is>
      </c>
      <c r="D174" t="inlineStr">
        <is>
          <t>ALX440U-DS3B01</t>
        </is>
      </c>
      <c r="E174" s="2" t="n">
        <v>46085</v>
      </c>
      <c r="F174" t="inlineStr">
        <is>
          <t>Fail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>
        <f>IF(OR(G174=0,G174=""),"",ABS((G174-IF($C174="LT",Config!$F$2,Config!$F$14))/IF($C174="LT",Config!$G$2,Config!$G$14)))</f>
        <v/>
      </c>
      <c r="T174">
        <f>IF(OR(H174=0,H174=""),"",ABS((H174-IF($C174="LT",Config!$F$3,Config!$F$15))/IF($C174="LT",Config!$G$3,Config!$G$15)))</f>
        <v/>
      </c>
      <c r="U174">
        <f>IF(OR(I174=0,I174=""),"",ABS((I174-IF($C174="LT",Config!$F$4,Config!$F$16))/IF($C174="LT",Config!$G$4,Config!$G$16)))</f>
        <v/>
      </c>
      <c r="V174">
        <f>IF(OR(J174=0,J174=""),"",ABS((J174-IF($C174="LT",Config!$F$5,Config!$F$17))/IF($C174="LT",Config!$G$5,Config!$G$17)))</f>
        <v/>
      </c>
      <c r="W174">
        <f>IF(OR(K174=0,K174=""),"",ABS((K174-IF($C174="LT",Config!$F$6,Config!$F$18))/IF($C174="LT",Config!$G$6,Config!$G$18)))</f>
        <v/>
      </c>
      <c r="X174">
        <f>IF(OR(L174=0,L174=""),"",ABS((L174-IF($C174="LT",Config!$F$7,Config!$F$19))/IF($C174="LT",Config!$G$7,Config!$G$19)))</f>
        <v/>
      </c>
      <c r="Y174">
        <f>IF(OR(M174=0,M174=""),"",ABS((M174-IF($C174="LT",Config!$F$8,Config!$F$20))/IF($C174="LT",Config!$G$8,Config!$G$20)))</f>
        <v/>
      </c>
      <c r="Z174">
        <f>IF(OR(N174=0,N174=""),"",ABS((N174-IF($C174="LT",Config!$F$9,Config!$F$21))/IF($C174="LT",Config!$G$9,Config!$G$21)))</f>
        <v/>
      </c>
      <c r="AA174">
        <f>IF(OR(O174=0,O174=""),"",ABS((O174-IF($C174="LT",Config!$F$10,Config!$F$22))/IF($C174="LT",Config!$G$10,Config!$G$22)))</f>
        <v/>
      </c>
      <c r="AB174">
        <f>IF(OR(P174=0,P174=""),"",ABS((P174-IF($C174="LT",Config!$F$11,Config!$F$23))/IF($C174="LT",Config!$G$11,Config!$G$23)))</f>
        <v/>
      </c>
      <c r="AC174">
        <f>IF(OR(Q174=0,Q174=""),"",ABS((Q174-IF($C174="LT",Config!$F$12,Config!$F$24))/IF($C174="LT",Config!$G$12,Config!$G$24)))</f>
        <v/>
      </c>
      <c r="AD174">
        <f>IF(OR(R174=0,R174=""),"",ABS((R174-IF($C174="LT",Config!$F$13,Config!$F$25))/IF($C174="LT",Config!$G$13,Config!$G$25)))</f>
        <v/>
      </c>
    </row>
    <row r="175">
      <c r="A175" t="inlineStr">
        <is>
          <t>04C0426120786</t>
        </is>
      </c>
      <c r="B175" t="inlineStr">
        <is>
          <t>CRS0000675</t>
        </is>
      </c>
      <c r="C175" t="inlineStr">
        <is>
          <t>LT</t>
        </is>
      </c>
      <c r="D175" t="inlineStr">
        <is>
          <t>ALX440U-DS3B01</t>
        </is>
      </c>
      <c r="E175" s="2" t="n">
        <v>46085</v>
      </c>
      <c r="F175" t="inlineStr">
        <is>
          <t>Pass</t>
        </is>
      </c>
      <c r="G175" t="n">
        <v>164.2</v>
      </c>
      <c r="H175" t="n">
        <v>101</v>
      </c>
      <c r="I175" t="n">
        <v>-1957.8</v>
      </c>
      <c r="J175" t="n">
        <v>70.40000000000001</v>
      </c>
      <c r="K175" t="n">
        <v>0</v>
      </c>
      <c r="L175" t="n">
        <v>2.9</v>
      </c>
      <c r="M175" t="n">
        <v>0</v>
      </c>
      <c r="N175" t="n">
        <v>73.3</v>
      </c>
      <c r="O175" t="n">
        <v>115.75</v>
      </c>
      <c r="P175" t="n">
        <v>117.29</v>
      </c>
      <c r="Q175" t="n">
        <v>7.5</v>
      </c>
      <c r="R175" t="n">
        <v>7.76</v>
      </c>
      <c r="S175">
        <f>IF(OR(G175=0,G175=""),"",ABS((G175-IF($C175="LT",Config!$F$2,Config!$F$14))/IF($C175="LT",Config!$G$2,Config!$G$14)))</f>
        <v/>
      </c>
      <c r="T175">
        <f>IF(OR(H175=0,H175=""),"",ABS((H175-IF($C175="LT",Config!$F$3,Config!$F$15))/IF($C175="LT",Config!$G$3,Config!$G$15)))</f>
        <v/>
      </c>
      <c r="U175">
        <f>IF(OR(I175=0,I175=""),"",ABS((I175-IF($C175="LT",Config!$F$4,Config!$F$16))/IF($C175="LT",Config!$G$4,Config!$G$16)))</f>
        <v/>
      </c>
      <c r="V175">
        <f>IF(OR(J175=0,J175=""),"",ABS((J175-IF($C175="LT",Config!$F$5,Config!$F$17))/IF($C175="LT",Config!$G$5,Config!$G$17)))</f>
        <v/>
      </c>
      <c r="W175">
        <f>IF(OR(K175=0,K175=""),"",ABS((K175-IF($C175="LT",Config!$F$6,Config!$F$18))/IF($C175="LT",Config!$G$6,Config!$G$18)))</f>
        <v/>
      </c>
      <c r="X175">
        <f>IF(OR(L175=0,L175=""),"",ABS((L175-IF($C175="LT",Config!$F$7,Config!$F$19))/IF($C175="LT",Config!$G$7,Config!$G$19)))</f>
        <v/>
      </c>
      <c r="Y175">
        <f>IF(OR(M175=0,M175=""),"",ABS((M175-IF($C175="LT",Config!$F$8,Config!$F$20))/IF($C175="LT",Config!$G$8,Config!$G$20)))</f>
        <v/>
      </c>
      <c r="Z175">
        <f>IF(OR(N175=0,N175=""),"",ABS((N175-IF($C175="LT",Config!$F$9,Config!$F$21))/IF($C175="LT",Config!$G$9,Config!$G$21)))</f>
        <v/>
      </c>
      <c r="AA175">
        <f>IF(OR(O175=0,O175=""),"",ABS((O175-IF($C175="LT",Config!$F$10,Config!$F$22))/IF($C175="LT",Config!$G$10,Config!$G$22)))</f>
        <v/>
      </c>
      <c r="AB175">
        <f>IF(OR(P175=0,P175=""),"",ABS((P175-IF($C175="LT",Config!$F$11,Config!$F$23))/IF($C175="LT",Config!$G$11,Config!$G$23)))</f>
        <v/>
      </c>
      <c r="AC175">
        <f>IF(OR(Q175=0,Q175=""),"",ABS((Q175-IF($C175="LT",Config!$F$12,Config!$F$24))/IF($C175="LT",Config!$G$12,Config!$G$24)))</f>
        <v/>
      </c>
      <c r="AD175">
        <f>IF(OR(R175=0,R175=""),"",ABS((R175-IF($C175="LT",Config!$F$13,Config!$F$25))/IF($C175="LT",Config!$G$13,Config!$G$25)))</f>
        <v/>
      </c>
    </row>
    <row r="176">
      <c r="A176" t="inlineStr">
        <is>
          <t>04C0426120789</t>
        </is>
      </c>
      <c r="B176" t="inlineStr">
        <is>
          <t>CRS0000675</t>
        </is>
      </c>
      <c r="C176" t="inlineStr">
        <is>
          <t>LT</t>
        </is>
      </c>
      <c r="D176" t="inlineStr">
        <is>
          <t>ALX440U-DS3B01</t>
        </is>
      </c>
      <c r="E176" s="2" t="n">
        <v>46085</v>
      </c>
      <c r="F176" t="inlineStr">
        <is>
          <t>Pass</t>
        </is>
      </c>
      <c r="G176" t="n">
        <v>152.2</v>
      </c>
      <c r="H176" t="n">
        <v>100.5</v>
      </c>
      <c r="I176" t="n">
        <v>-1957.8</v>
      </c>
      <c r="J176" t="n">
        <v>70.40000000000001</v>
      </c>
      <c r="K176" t="n">
        <v>0</v>
      </c>
      <c r="L176" t="n">
        <v>0.1</v>
      </c>
      <c r="M176" t="n">
        <v>0</v>
      </c>
      <c r="N176" t="n">
        <v>70.3</v>
      </c>
      <c r="O176" t="n">
        <v>115.6</v>
      </c>
      <c r="P176" t="n">
        <v>117.14</v>
      </c>
      <c r="Q176" t="n">
        <v>8.130000000000001</v>
      </c>
      <c r="R176" t="n">
        <v>7.84</v>
      </c>
      <c r="S176">
        <f>IF(OR(G176=0,G176=""),"",ABS((G176-IF($C176="LT",Config!$F$2,Config!$F$14))/IF($C176="LT",Config!$G$2,Config!$G$14)))</f>
        <v/>
      </c>
      <c r="T176">
        <f>IF(OR(H176=0,H176=""),"",ABS((H176-IF($C176="LT",Config!$F$3,Config!$F$15))/IF($C176="LT",Config!$G$3,Config!$G$15)))</f>
        <v/>
      </c>
      <c r="U176">
        <f>IF(OR(I176=0,I176=""),"",ABS((I176-IF($C176="LT",Config!$F$4,Config!$F$16))/IF($C176="LT",Config!$G$4,Config!$G$16)))</f>
        <v/>
      </c>
      <c r="V176">
        <f>IF(OR(J176=0,J176=""),"",ABS((J176-IF($C176="LT",Config!$F$5,Config!$F$17))/IF($C176="LT",Config!$G$5,Config!$G$17)))</f>
        <v/>
      </c>
      <c r="W176">
        <f>IF(OR(K176=0,K176=""),"",ABS((K176-IF($C176="LT",Config!$F$6,Config!$F$18))/IF($C176="LT",Config!$G$6,Config!$G$18)))</f>
        <v/>
      </c>
      <c r="X176">
        <f>IF(OR(L176=0,L176=""),"",ABS((L176-IF($C176="LT",Config!$F$7,Config!$F$19))/IF($C176="LT",Config!$G$7,Config!$G$19)))</f>
        <v/>
      </c>
      <c r="Y176">
        <f>IF(OR(M176=0,M176=""),"",ABS((M176-IF($C176="LT",Config!$F$8,Config!$F$20))/IF($C176="LT",Config!$G$8,Config!$G$20)))</f>
        <v/>
      </c>
      <c r="Z176">
        <f>IF(OR(N176=0,N176=""),"",ABS((N176-IF($C176="LT",Config!$F$9,Config!$F$21))/IF($C176="LT",Config!$G$9,Config!$G$21)))</f>
        <v/>
      </c>
      <c r="AA176">
        <f>IF(OR(O176=0,O176=""),"",ABS((O176-IF($C176="LT",Config!$F$10,Config!$F$22))/IF($C176="LT",Config!$G$10,Config!$G$22)))</f>
        <v/>
      </c>
      <c r="AB176">
        <f>IF(OR(P176=0,P176=""),"",ABS((P176-IF($C176="LT",Config!$F$11,Config!$F$23))/IF($C176="LT",Config!$G$11,Config!$G$23)))</f>
        <v/>
      </c>
      <c r="AC176">
        <f>IF(OR(Q176=0,Q176=""),"",ABS((Q176-IF($C176="LT",Config!$F$12,Config!$F$24))/IF($C176="LT",Config!$G$12,Config!$G$24)))</f>
        <v/>
      </c>
      <c r="AD176">
        <f>IF(OR(R176=0,R176=""),"",ABS((R176-IF($C176="LT",Config!$F$13,Config!$F$25))/IF($C176="LT",Config!$G$13,Config!$G$25)))</f>
        <v/>
      </c>
    </row>
    <row r="177">
      <c r="A177" t="inlineStr">
        <is>
          <t>04C0426120790</t>
        </is>
      </c>
      <c r="B177" t="inlineStr">
        <is>
          <t>CRS0000675</t>
        </is>
      </c>
      <c r="C177" t="inlineStr">
        <is>
          <t>LT</t>
        </is>
      </c>
      <c r="D177" t="inlineStr">
        <is>
          <t>ALX440U-DS3B01</t>
        </is>
      </c>
      <c r="E177" s="2" t="n">
        <v>46085</v>
      </c>
      <c r="F177" t="inlineStr">
        <is>
          <t>Pass</t>
        </is>
      </c>
      <c r="G177" t="n">
        <v>149.9</v>
      </c>
      <c r="H177" t="n">
        <v>94.2</v>
      </c>
      <c r="I177" t="n">
        <v>-1957.8</v>
      </c>
      <c r="J177" t="n">
        <v>69.5</v>
      </c>
      <c r="K177" t="n">
        <v>0</v>
      </c>
      <c r="L177" t="n">
        <v>1</v>
      </c>
      <c r="M177" t="n">
        <v>0</v>
      </c>
      <c r="N177" t="n">
        <v>68.5</v>
      </c>
      <c r="O177" t="n">
        <v>115.53</v>
      </c>
      <c r="P177" t="n">
        <v>113.62</v>
      </c>
      <c r="Q177" t="n">
        <v>8.130000000000001</v>
      </c>
      <c r="R177" t="n">
        <v>8.08</v>
      </c>
      <c r="S177">
        <f>IF(OR(G177=0,G177=""),"",ABS((G177-IF($C177="LT",Config!$F$2,Config!$F$14))/IF($C177="LT",Config!$G$2,Config!$G$14)))</f>
        <v/>
      </c>
      <c r="T177">
        <f>IF(OR(H177=0,H177=""),"",ABS((H177-IF($C177="LT",Config!$F$3,Config!$F$15))/IF($C177="LT",Config!$G$3,Config!$G$15)))</f>
        <v/>
      </c>
      <c r="U177">
        <f>IF(OR(I177=0,I177=""),"",ABS((I177-IF($C177="LT",Config!$F$4,Config!$F$16))/IF($C177="LT",Config!$G$4,Config!$G$16)))</f>
        <v/>
      </c>
      <c r="V177">
        <f>IF(OR(J177=0,J177=""),"",ABS((J177-IF($C177="LT",Config!$F$5,Config!$F$17))/IF($C177="LT",Config!$G$5,Config!$G$17)))</f>
        <v/>
      </c>
      <c r="W177">
        <f>IF(OR(K177=0,K177=""),"",ABS((K177-IF($C177="LT",Config!$F$6,Config!$F$18))/IF($C177="LT",Config!$G$6,Config!$G$18)))</f>
        <v/>
      </c>
      <c r="X177">
        <f>IF(OR(L177=0,L177=""),"",ABS((L177-IF($C177="LT",Config!$F$7,Config!$F$19))/IF($C177="LT",Config!$G$7,Config!$G$19)))</f>
        <v/>
      </c>
      <c r="Y177">
        <f>IF(OR(M177=0,M177=""),"",ABS((M177-IF($C177="LT",Config!$F$8,Config!$F$20))/IF($C177="LT",Config!$G$8,Config!$G$20)))</f>
        <v/>
      </c>
      <c r="Z177">
        <f>IF(OR(N177=0,N177=""),"",ABS((N177-IF($C177="LT",Config!$F$9,Config!$F$21))/IF($C177="LT",Config!$G$9,Config!$G$21)))</f>
        <v/>
      </c>
      <c r="AA177">
        <f>IF(OR(O177=0,O177=""),"",ABS((O177-IF($C177="LT",Config!$F$10,Config!$F$22))/IF($C177="LT",Config!$G$10,Config!$G$22)))</f>
        <v/>
      </c>
      <c r="AB177">
        <f>IF(OR(P177=0,P177=""),"",ABS((P177-IF($C177="LT",Config!$F$11,Config!$F$23))/IF($C177="LT",Config!$G$11,Config!$G$23)))</f>
        <v/>
      </c>
      <c r="AC177">
        <f>IF(OR(Q177=0,Q177=""),"",ABS((Q177-IF($C177="LT",Config!$F$12,Config!$F$24))/IF($C177="LT",Config!$G$12,Config!$G$24)))</f>
        <v/>
      </c>
      <c r="AD177">
        <f>IF(OR(R177=0,R177=""),"",ABS((R177-IF($C177="LT",Config!$F$13,Config!$F$25))/IF($C177="LT",Config!$G$13,Config!$G$25)))</f>
        <v/>
      </c>
    </row>
    <row r="178">
      <c r="A178" t="inlineStr">
        <is>
          <t>04c526120791</t>
        </is>
      </c>
      <c r="B178" t="inlineStr">
        <is>
          <t>CRS0000675</t>
        </is>
      </c>
      <c r="C178" t="inlineStr">
        <is>
          <t>LT</t>
        </is>
      </c>
      <c r="D178" t="inlineStr">
        <is>
          <t>ALX440U-DS3B01</t>
        </is>
      </c>
      <c r="E178" s="2" t="n">
        <v>46086</v>
      </c>
      <c r="F178" t="inlineStr">
        <is>
          <t>Pass</t>
        </is>
      </c>
      <c r="G178" t="n">
        <v>153.9</v>
      </c>
      <c r="H178" t="n">
        <v>99.2</v>
      </c>
      <c r="I178" t="n">
        <v>-1957.8</v>
      </c>
      <c r="J178" t="n">
        <v>68.2</v>
      </c>
      <c r="K178" t="n">
        <v>0</v>
      </c>
      <c r="L178" t="n">
        <v>1</v>
      </c>
      <c r="M178" t="n">
        <v>0</v>
      </c>
      <c r="N178" t="n">
        <v>67.2</v>
      </c>
      <c r="O178" t="n">
        <v>111.94</v>
      </c>
      <c r="P178" t="n">
        <v>113.48</v>
      </c>
      <c r="Q178" t="n">
        <v>8.4</v>
      </c>
      <c r="R178" t="n">
        <v>8.08</v>
      </c>
      <c r="S178">
        <f>IF(OR(G178=0,G178=""),"",ABS((G178-IF($C178="LT",Config!$F$2,Config!$F$14))/IF($C178="LT",Config!$G$2,Config!$G$14)))</f>
        <v/>
      </c>
      <c r="T178">
        <f>IF(OR(H178=0,H178=""),"",ABS((H178-IF($C178="LT",Config!$F$3,Config!$F$15))/IF($C178="LT",Config!$G$3,Config!$G$15)))</f>
        <v/>
      </c>
      <c r="U178">
        <f>IF(OR(I178=0,I178=""),"",ABS((I178-IF($C178="LT",Config!$F$4,Config!$F$16))/IF($C178="LT",Config!$G$4,Config!$G$16)))</f>
        <v/>
      </c>
      <c r="V178">
        <f>IF(OR(J178=0,J178=""),"",ABS((J178-IF($C178="LT",Config!$F$5,Config!$F$17))/IF($C178="LT",Config!$G$5,Config!$G$17)))</f>
        <v/>
      </c>
      <c r="W178">
        <f>IF(OR(K178=0,K178=""),"",ABS((K178-IF($C178="LT",Config!$F$6,Config!$F$18))/IF($C178="LT",Config!$G$6,Config!$G$18)))</f>
        <v/>
      </c>
      <c r="X178">
        <f>IF(OR(L178=0,L178=""),"",ABS((L178-IF($C178="LT",Config!$F$7,Config!$F$19))/IF($C178="LT",Config!$G$7,Config!$G$19)))</f>
        <v/>
      </c>
      <c r="Y178">
        <f>IF(OR(M178=0,M178=""),"",ABS((M178-IF($C178="LT",Config!$F$8,Config!$F$20))/IF($C178="LT",Config!$G$8,Config!$G$20)))</f>
        <v/>
      </c>
      <c r="Z178">
        <f>IF(OR(N178=0,N178=""),"",ABS((N178-IF($C178="LT",Config!$F$9,Config!$F$21))/IF($C178="LT",Config!$G$9,Config!$G$21)))</f>
        <v/>
      </c>
      <c r="AA178">
        <f>IF(OR(O178=0,O178=""),"",ABS((O178-IF($C178="LT",Config!$F$10,Config!$F$22))/IF($C178="LT",Config!$G$10,Config!$G$22)))</f>
        <v/>
      </c>
      <c r="AB178">
        <f>IF(OR(P178=0,P178=""),"",ABS((P178-IF($C178="LT",Config!$F$11,Config!$F$23))/IF($C178="LT",Config!$G$11,Config!$G$23)))</f>
        <v/>
      </c>
      <c r="AC178">
        <f>IF(OR(Q178=0,Q178=""),"",ABS((Q178-IF($C178="LT",Config!$F$12,Config!$F$24))/IF($C178="LT",Config!$G$12,Config!$G$24)))</f>
        <v/>
      </c>
      <c r="AD178">
        <f>IF(OR(R178=0,R178=""),"",ABS((R178-IF($C178="LT",Config!$F$13,Config!$F$25))/IF($C178="LT",Config!$G$13,Config!$G$25)))</f>
        <v/>
      </c>
    </row>
    <row r="179">
      <c r="A179" t="inlineStr">
        <is>
          <t>04c526120792</t>
        </is>
      </c>
      <c r="B179" t="inlineStr">
        <is>
          <t>CRS0000675</t>
        </is>
      </c>
      <c r="C179" t="inlineStr">
        <is>
          <t>LT</t>
        </is>
      </c>
      <c r="D179" t="inlineStr">
        <is>
          <t>ALX440U-DS3B01</t>
        </is>
      </c>
      <c r="E179" s="2" t="n">
        <v>46086</v>
      </c>
      <c r="F179" t="inlineStr">
        <is>
          <t>Pass</t>
        </is>
      </c>
      <c r="G179" t="n">
        <v>160.2</v>
      </c>
      <c r="H179" t="n">
        <v>98.7</v>
      </c>
      <c r="I179" t="n">
        <v>-1957.8</v>
      </c>
      <c r="J179" t="n">
        <v>68.2</v>
      </c>
      <c r="K179" t="n">
        <v>0</v>
      </c>
      <c r="L179" t="n">
        <v>1.3</v>
      </c>
      <c r="M179" t="n">
        <v>0</v>
      </c>
      <c r="N179" t="n">
        <v>66.90000000000001</v>
      </c>
      <c r="O179" t="n">
        <v>115.46</v>
      </c>
      <c r="P179" t="n">
        <v>115.53</v>
      </c>
      <c r="Q179" t="n">
        <v>8.42</v>
      </c>
      <c r="R179" t="n">
        <v>8.08</v>
      </c>
      <c r="S179">
        <f>IF(OR(G179=0,G179=""),"",ABS((G179-IF($C179="LT",Config!$F$2,Config!$F$14))/IF($C179="LT",Config!$G$2,Config!$G$14)))</f>
        <v/>
      </c>
      <c r="T179">
        <f>IF(OR(H179=0,H179=""),"",ABS((H179-IF($C179="LT",Config!$F$3,Config!$F$15))/IF($C179="LT",Config!$G$3,Config!$G$15)))</f>
        <v/>
      </c>
      <c r="U179">
        <f>IF(OR(I179=0,I179=""),"",ABS((I179-IF($C179="LT",Config!$F$4,Config!$F$16))/IF($C179="LT",Config!$G$4,Config!$G$16)))</f>
        <v/>
      </c>
      <c r="V179">
        <f>IF(OR(J179=0,J179=""),"",ABS((J179-IF($C179="LT",Config!$F$5,Config!$F$17))/IF($C179="LT",Config!$G$5,Config!$G$17)))</f>
        <v/>
      </c>
      <c r="W179">
        <f>IF(OR(K179=0,K179=""),"",ABS((K179-IF($C179="LT",Config!$F$6,Config!$F$18))/IF($C179="LT",Config!$G$6,Config!$G$18)))</f>
        <v/>
      </c>
      <c r="X179">
        <f>IF(OR(L179=0,L179=""),"",ABS((L179-IF($C179="LT",Config!$F$7,Config!$F$19))/IF($C179="LT",Config!$G$7,Config!$G$19)))</f>
        <v/>
      </c>
      <c r="Y179">
        <f>IF(OR(M179=0,M179=""),"",ABS((M179-IF($C179="LT",Config!$F$8,Config!$F$20))/IF($C179="LT",Config!$G$8,Config!$G$20)))</f>
        <v/>
      </c>
      <c r="Z179">
        <f>IF(OR(N179=0,N179=""),"",ABS((N179-IF($C179="LT",Config!$F$9,Config!$F$21))/IF($C179="LT",Config!$G$9,Config!$G$21)))</f>
        <v/>
      </c>
      <c r="AA179">
        <f>IF(OR(O179=0,O179=""),"",ABS((O179-IF($C179="LT",Config!$F$10,Config!$F$22))/IF($C179="LT",Config!$G$10,Config!$G$22)))</f>
        <v/>
      </c>
      <c r="AB179">
        <f>IF(OR(P179=0,P179=""),"",ABS((P179-IF($C179="LT",Config!$F$11,Config!$F$23))/IF($C179="LT",Config!$G$11,Config!$G$23)))</f>
        <v/>
      </c>
      <c r="AC179">
        <f>IF(OR(Q179=0,Q179=""),"",ABS((Q179-IF($C179="LT",Config!$F$12,Config!$F$24))/IF($C179="LT",Config!$G$12,Config!$G$24)))</f>
        <v/>
      </c>
      <c r="AD179">
        <f>IF(OR(R179=0,R179=""),"",ABS((R179-IF($C179="LT",Config!$F$13,Config!$F$25))/IF($C179="LT",Config!$G$13,Config!$G$25)))</f>
        <v/>
      </c>
    </row>
    <row r="180">
      <c r="A180" t="inlineStr">
        <is>
          <t>04C0526120793</t>
        </is>
      </c>
      <c r="B180" t="inlineStr">
        <is>
          <t>CRS0000674</t>
        </is>
      </c>
      <c r="C180" t="inlineStr">
        <is>
          <t>MT</t>
        </is>
      </c>
      <c r="D180" t="inlineStr">
        <is>
          <t>TCX413U-DS1B01</t>
        </is>
      </c>
      <c r="E180" s="2" t="n">
        <v>46086</v>
      </c>
      <c r="F180" t="inlineStr">
        <is>
          <t>Pass</t>
        </is>
      </c>
      <c r="G180" t="n">
        <v>112</v>
      </c>
      <c r="H180" t="n">
        <v>82.5</v>
      </c>
      <c r="I180" t="n">
        <v>-1957.8</v>
      </c>
      <c r="J180" t="n">
        <v>67.3</v>
      </c>
      <c r="K180" t="n">
        <v>0</v>
      </c>
      <c r="L180" t="n">
        <v>0.1</v>
      </c>
      <c r="M180" t="n">
        <v>0</v>
      </c>
      <c r="N180" t="n">
        <v>67.2</v>
      </c>
      <c r="O180" t="n">
        <v>111.57</v>
      </c>
      <c r="P180" t="n">
        <v>113.04</v>
      </c>
      <c r="Q180" t="n">
        <v>3.98</v>
      </c>
      <c r="R180" t="n">
        <v>4.05</v>
      </c>
      <c r="S180">
        <f>IF(OR(G180=0,G180=""),"",ABS((G180-IF($C180="LT",Config!$F$2,Config!$F$14))/IF($C180="LT",Config!$G$2,Config!$G$14)))</f>
        <v/>
      </c>
      <c r="T180">
        <f>IF(OR(H180=0,H180=""),"",ABS((H180-IF($C180="LT",Config!$F$3,Config!$F$15))/IF($C180="LT",Config!$G$3,Config!$G$15)))</f>
        <v/>
      </c>
      <c r="U180">
        <f>IF(OR(I180=0,I180=""),"",ABS((I180-IF($C180="LT",Config!$F$4,Config!$F$16))/IF($C180="LT",Config!$G$4,Config!$G$16)))</f>
        <v/>
      </c>
      <c r="V180">
        <f>IF(OR(J180=0,J180=""),"",ABS((J180-IF($C180="LT",Config!$F$5,Config!$F$17))/IF($C180="LT",Config!$G$5,Config!$G$17)))</f>
        <v/>
      </c>
      <c r="W180">
        <f>IF(OR(K180=0,K180=""),"",ABS((K180-IF($C180="LT",Config!$F$6,Config!$F$18))/IF($C180="LT",Config!$G$6,Config!$G$18)))</f>
        <v/>
      </c>
      <c r="X180">
        <f>IF(OR(L180=0,L180=""),"",ABS((L180-IF($C180="LT",Config!$F$7,Config!$F$19))/IF($C180="LT",Config!$G$7,Config!$G$19)))</f>
        <v/>
      </c>
      <c r="Y180">
        <f>IF(OR(M180=0,M180=""),"",ABS((M180-IF($C180="LT",Config!$F$8,Config!$F$20))/IF($C180="LT",Config!$G$8,Config!$G$20)))</f>
        <v/>
      </c>
      <c r="Z180">
        <f>IF(OR(N180=0,N180=""),"",ABS((N180-IF($C180="LT",Config!$F$9,Config!$F$21))/IF($C180="LT",Config!$G$9,Config!$G$21)))</f>
        <v/>
      </c>
      <c r="AA180">
        <f>IF(OR(O180=0,O180=""),"",ABS((O180-IF($C180="LT",Config!$F$10,Config!$F$22))/IF($C180="LT",Config!$G$10,Config!$G$22)))</f>
        <v/>
      </c>
      <c r="AB180">
        <f>IF(OR(P180=0,P180=""),"",ABS((P180-IF($C180="LT",Config!$F$11,Config!$F$23))/IF($C180="LT",Config!$G$11,Config!$G$23)))</f>
        <v/>
      </c>
      <c r="AC180">
        <f>IF(OR(Q180=0,Q180=""),"",ABS((Q180-IF($C180="LT",Config!$F$12,Config!$F$24))/IF($C180="LT",Config!$G$12,Config!$G$24)))</f>
        <v/>
      </c>
      <c r="AD180">
        <f>IF(OR(R180=0,R180=""),"",ABS((R180-IF($C180="LT",Config!$F$13,Config!$F$25))/IF($C180="LT",Config!$G$13,Config!$G$25)))</f>
        <v/>
      </c>
    </row>
    <row r="181">
      <c r="A181" t="inlineStr">
        <is>
          <t>04C0526120794</t>
        </is>
      </c>
      <c r="B181" t="inlineStr">
        <is>
          <t>CRS0000674</t>
        </is>
      </c>
      <c r="C181" t="inlineStr">
        <is>
          <t>MT</t>
        </is>
      </c>
      <c r="D181" t="inlineStr">
        <is>
          <t>TCX413U-DS1B01</t>
        </is>
      </c>
      <c r="E181" s="2" t="n">
        <v>46086</v>
      </c>
      <c r="F181" t="inlineStr">
        <is>
          <t>Pass</t>
        </is>
      </c>
      <c r="G181" t="n">
        <v>107</v>
      </c>
      <c r="H181" t="n">
        <v>82</v>
      </c>
      <c r="I181" t="n">
        <v>-1957.8</v>
      </c>
      <c r="J181" t="n">
        <v>68.2</v>
      </c>
      <c r="K181" t="n">
        <v>0</v>
      </c>
      <c r="L181" t="n">
        <v>0.6</v>
      </c>
      <c r="M181" t="n">
        <v>0</v>
      </c>
      <c r="N181" t="n">
        <v>67.59999999999999</v>
      </c>
      <c r="O181" t="n">
        <v>111.2</v>
      </c>
      <c r="P181" t="n">
        <v>112.67</v>
      </c>
      <c r="Q181" t="n">
        <v>3.81</v>
      </c>
      <c r="R181" t="n">
        <v>3.86</v>
      </c>
      <c r="S181">
        <f>IF(OR(G181=0,G181=""),"",ABS((G181-IF($C181="LT",Config!$F$2,Config!$F$14))/IF($C181="LT",Config!$G$2,Config!$G$14)))</f>
        <v/>
      </c>
      <c r="T181">
        <f>IF(OR(H181=0,H181=""),"",ABS((H181-IF($C181="LT",Config!$F$3,Config!$F$15))/IF($C181="LT",Config!$G$3,Config!$G$15)))</f>
        <v/>
      </c>
      <c r="U181">
        <f>IF(OR(I181=0,I181=""),"",ABS((I181-IF($C181="LT",Config!$F$4,Config!$F$16))/IF($C181="LT",Config!$G$4,Config!$G$16)))</f>
        <v/>
      </c>
      <c r="V181">
        <f>IF(OR(J181=0,J181=""),"",ABS((J181-IF($C181="LT",Config!$F$5,Config!$F$17))/IF($C181="LT",Config!$G$5,Config!$G$17)))</f>
        <v/>
      </c>
      <c r="W181">
        <f>IF(OR(K181=0,K181=""),"",ABS((K181-IF($C181="LT",Config!$F$6,Config!$F$18))/IF($C181="LT",Config!$G$6,Config!$G$18)))</f>
        <v/>
      </c>
      <c r="X181">
        <f>IF(OR(L181=0,L181=""),"",ABS((L181-IF($C181="LT",Config!$F$7,Config!$F$19))/IF($C181="LT",Config!$G$7,Config!$G$19)))</f>
        <v/>
      </c>
      <c r="Y181">
        <f>IF(OR(M181=0,M181=""),"",ABS((M181-IF($C181="LT",Config!$F$8,Config!$F$20))/IF($C181="LT",Config!$G$8,Config!$G$20)))</f>
        <v/>
      </c>
      <c r="Z181">
        <f>IF(OR(N181=0,N181=""),"",ABS((N181-IF($C181="LT",Config!$F$9,Config!$F$21))/IF($C181="LT",Config!$G$9,Config!$G$21)))</f>
        <v/>
      </c>
      <c r="AA181">
        <f>IF(OR(O181=0,O181=""),"",ABS((O181-IF($C181="LT",Config!$F$10,Config!$F$22))/IF($C181="LT",Config!$G$10,Config!$G$22)))</f>
        <v/>
      </c>
      <c r="AB181">
        <f>IF(OR(P181=0,P181=""),"",ABS((P181-IF($C181="LT",Config!$F$11,Config!$F$23))/IF($C181="LT",Config!$G$11,Config!$G$23)))</f>
        <v/>
      </c>
      <c r="AC181">
        <f>IF(OR(Q181=0,Q181=""),"",ABS((Q181-IF($C181="LT",Config!$F$12,Config!$F$24))/IF($C181="LT",Config!$G$12,Config!$G$24)))</f>
        <v/>
      </c>
      <c r="AD181">
        <f>IF(OR(R181=0,R181=""),"",ABS((R181-IF($C181="LT",Config!$F$13,Config!$F$25))/IF($C181="LT",Config!$G$13,Config!$G$25)))</f>
        <v/>
      </c>
    </row>
    <row r="182">
      <c r="A182" t="inlineStr">
        <is>
          <t>04C0526120795</t>
        </is>
      </c>
      <c r="B182" t="inlineStr">
        <is>
          <t>CRS0000674</t>
        </is>
      </c>
      <c r="C182" t="inlineStr">
        <is>
          <t>MT</t>
        </is>
      </c>
      <c r="D182" t="inlineStr">
        <is>
          <t>TCX413U-DS1B01</t>
        </is>
      </c>
      <c r="E182" s="2" t="n">
        <v>46086</v>
      </c>
      <c r="F182" t="inlineStr">
        <is>
          <t>Pass</t>
        </is>
      </c>
      <c r="G182" t="n">
        <v>116.9</v>
      </c>
      <c r="H182" t="n">
        <v>83.40000000000001</v>
      </c>
      <c r="I182" t="n">
        <v>-1957.8</v>
      </c>
      <c r="J182" t="n">
        <v>68.2</v>
      </c>
      <c r="K182" t="n">
        <v>0</v>
      </c>
      <c r="L182" t="n">
        <v>0.4</v>
      </c>
      <c r="M182" t="n">
        <v>0</v>
      </c>
      <c r="N182" t="n">
        <v>67.8</v>
      </c>
      <c r="O182" t="n">
        <v>112.01</v>
      </c>
      <c r="P182" t="n">
        <v>116.56</v>
      </c>
      <c r="Q182" t="n">
        <v>4.03</v>
      </c>
      <c r="R182" t="n">
        <v>3.98</v>
      </c>
      <c r="S182">
        <f>IF(OR(G182=0,G182=""),"",ABS((G182-IF($C182="LT",Config!$F$2,Config!$F$14))/IF($C182="LT",Config!$G$2,Config!$G$14)))</f>
        <v/>
      </c>
      <c r="T182">
        <f>IF(OR(H182=0,H182=""),"",ABS((H182-IF($C182="LT",Config!$F$3,Config!$F$15))/IF($C182="LT",Config!$G$3,Config!$G$15)))</f>
        <v/>
      </c>
      <c r="U182">
        <f>IF(OR(I182=0,I182=""),"",ABS((I182-IF($C182="LT",Config!$F$4,Config!$F$16))/IF($C182="LT",Config!$G$4,Config!$G$16)))</f>
        <v/>
      </c>
      <c r="V182">
        <f>IF(OR(J182=0,J182=""),"",ABS((J182-IF($C182="LT",Config!$F$5,Config!$F$17))/IF($C182="LT",Config!$G$5,Config!$G$17)))</f>
        <v/>
      </c>
      <c r="W182">
        <f>IF(OR(K182=0,K182=""),"",ABS((K182-IF($C182="LT",Config!$F$6,Config!$F$18))/IF($C182="LT",Config!$G$6,Config!$G$18)))</f>
        <v/>
      </c>
      <c r="X182">
        <f>IF(OR(L182=0,L182=""),"",ABS((L182-IF($C182="LT",Config!$F$7,Config!$F$19))/IF($C182="LT",Config!$G$7,Config!$G$19)))</f>
        <v/>
      </c>
      <c r="Y182">
        <f>IF(OR(M182=0,M182=""),"",ABS((M182-IF($C182="LT",Config!$F$8,Config!$F$20))/IF($C182="LT",Config!$G$8,Config!$G$20)))</f>
        <v/>
      </c>
      <c r="Z182">
        <f>IF(OR(N182=0,N182=""),"",ABS((N182-IF($C182="LT",Config!$F$9,Config!$F$21))/IF($C182="LT",Config!$G$9,Config!$G$21)))</f>
        <v/>
      </c>
      <c r="AA182">
        <f>IF(OR(O182=0,O182=""),"",ABS((O182-IF($C182="LT",Config!$F$10,Config!$F$22))/IF($C182="LT",Config!$G$10,Config!$G$22)))</f>
        <v/>
      </c>
      <c r="AB182">
        <f>IF(OR(P182=0,P182=""),"",ABS((P182-IF($C182="LT",Config!$F$11,Config!$F$23))/IF($C182="LT",Config!$G$11,Config!$G$23)))</f>
        <v/>
      </c>
      <c r="AC182">
        <f>IF(OR(Q182=0,Q182=""),"",ABS((Q182-IF($C182="LT",Config!$F$12,Config!$F$24))/IF($C182="LT",Config!$G$12,Config!$G$24)))</f>
        <v/>
      </c>
      <c r="AD182">
        <f>IF(OR(R182=0,R182=""),"",ABS((R182-IF($C182="LT",Config!$F$13,Config!$F$25))/IF($C182="LT",Config!$G$13,Config!$G$25)))</f>
        <v/>
      </c>
    </row>
    <row r="183">
      <c r="A183" t="inlineStr">
        <is>
          <t>04C0526120796</t>
        </is>
      </c>
      <c r="B183" t="inlineStr">
        <is>
          <t>CRS0000674</t>
        </is>
      </c>
      <c r="C183" t="inlineStr">
        <is>
          <t>MT</t>
        </is>
      </c>
      <c r="D183" t="inlineStr">
        <is>
          <t>TCX413U-DS1B01</t>
        </is>
      </c>
      <c r="E183" s="2" t="n">
        <v>46086</v>
      </c>
      <c r="F183" t="inlineStr">
        <is>
          <t>Pass</t>
        </is>
      </c>
      <c r="G183" t="n">
        <v>115.5</v>
      </c>
      <c r="H183" t="n">
        <v>80.7</v>
      </c>
      <c r="I183" t="n">
        <v>-1957.8</v>
      </c>
      <c r="J183" t="n">
        <v>67.7</v>
      </c>
      <c r="K183" t="n">
        <v>0</v>
      </c>
      <c r="L183" t="n">
        <v>0.7</v>
      </c>
      <c r="M183" t="n">
        <v>0</v>
      </c>
      <c r="N183" t="n">
        <v>68.40000000000001</v>
      </c>
      <c r="O183" t="n">
        <v>112.45</v>
      </c>
      <c r="P183" t="n">
        <v>116.7</v>
      </c>
      <c r="Q183" t="n">
        <v>3.83</v>
      </c>
      <c r="R183" t="n">
        <v>3.81</v>
      </c>
      <c r="S183">
        <f>IF(OR(G183=0,G183=""),"",ABS((G183-IF($C183="LT",Config!$F$2,Config!$F$14))/IF($C183="LT",Config!$G$2,Config!$G$14)))</f>
        <v/>
      </c>
      <c r="T183">
        <f>IF(OR(H183=0,H183=""),"",ABS((H183-IF($C183="LT",Config!$F$3,Config!$F$15))/IF($C183="LT",Config!$G$3,Config!$G$15)))</f>
        <v/>
      </c>
      <c r="U183">
        <f>IF(OR(I183=0,I183=""),"",ABS((I183-IF($C183="LT",Config!$F$4,Config!$F$16))/IF($C183="LT",Config!$G$4,Config!$G$16)))</f>
        <v/>
      </c>
      <c r="V183">
        <f>IF(OR(J183=0,J183=""),"",ABS((J183-IF($C183="LT",Config!$F$5,Config!$F$17))/IF($C183="LT",Config!$G$5,Config!$G$17)))</f>
        <v/>
      </c>
      <c r="W183">
        <f>IF(OR(K183=0,K183=""),"",ABS((K183-IF($C183="LT",Config!$F$6,Config!$F$18))/IF($C183="LT",Config!$G$6,Config!$G$18)))</f>
        <v/>
      </c>
      <c r="X183">
        <f>IF(OR(L183=0,L183=""),"",ABS((L183-IF($C183="LT",Config!$F$7,Config!$F$19))/IF($C183="LT",Config!$G$7,Config!$G$19)))</f>
        <v/>
      </c>
      <c r="Y183">
        <f>IF(OR(M183=0,M183=""),"",ABS((M183-IF($C183="LT",Config!$F$8,Config!$F$20))/IF($C183="LT",Config!$G$8,Config!$G$20)))</f>
        <v/>
      </c>
      <c r="Z183">
        <f>IF(OR(N183=0,N183=""),"",ABS((N183-IF($C183="LT",Config!$F$9,Config!$F$21))/IF($C183="LT",Config!$G$9,Config!$G$21)))</f>
        <v/>
      </c>
      <c r="AA183">
        <f>IF(OR(O183=0,O183=""),"",ABS((O183-IF($C183="LT",Config!$F$10,Config!$F$22))/IF($C183="LT",Config!$G$10,Config!$G$22)))</f>
        <v/>
      </c>
      <c r="AB183">
        <f>IF(OR(P183=0,P183=""),"",ABS((P183-IF($C183="LT",Config!$F$11,Config!$F$23))/IF($C183="LT",Config!$G$11,Config!$G$23)))</f>
        <v/>
      </c>
      <c r="AC183">
        <f>IF(OR(Q183=0,Q183=""),"",ABS((Q183-IF($C183="LT",Config!$F$12,Config!$F$24))/IF($C183="LT",Config!$G$12,Config!$G$24)))</f>
        <v/>
      </c>
      <c r="AD183">
        <f>IF(OR(R183=0,R183=""),"",ABS((R183-IF($C183="LT",Config!$F$13,Config!$F$25))/IF($C183="LT",Config!$G$13,Config!$G$25)))</f>
        <v/>
      </c>
    </row>
    <row r="184">
      <c r="A184" t="inlineStr">
        <is>
          <t>04C0526120797</t>
        </is>
      </c>
      <c r="B184" t="inlineStr">
        <is>
          <t>CRS0000674</t>
        </is>
      </c>
      <c r="C184" t="inlineStr">
        <is>
          <t>MT</t>
        </is>
      </c>
      <c r="D184" t="inlineStr">
        <is>
          <t>TCX413U-DS1B01</t>
        </is>
      </c>
      <c r="E184" s="2" t="n">
        <v>46087</v>
      </c>
      <c r="F184" t="inlineStr">
        <is>
          <t>Pass</t>
        </is>
      </c>
      <c r="G184" t="n">
        <v>113.7</v>
      </c>
      <c r="H184" t="n">
        <v>82.5</v>
      </c>
      <c r="I184" t="n">
        <v>-1957.8</v>
      </c>
      <c r="J184" t="n">
        <v>70</v>
      </c>
      <c r="K184" t="n">
        <v>0</v>
      </c>
      <c r="L184" t="n">
        <v>0.8</v>
      </c>
      <c r="M184" t="n">
        <v>0</v>
      </c>
      <c r="N184" t="n">
        <v>69.2</v>
      </c>
      <c r="O184" t="n">
        <v>115.31</v>
      </c>
      <c r="P184" t="n">
        <v>115.38</v>
      </c>
      <c r="Q184" t="n">
        <v>3.74</v>
      </c>
      <c r="R184" t="n">
        <v>3.81</v>
      </c>
      <c r="S184">
        <f>IF(OR(G184=0,G184=""),"",ABS((G184-IF($C184="LT",Config!$F$2,Config!$F$14))/IF($C184="LT",Config!$G$2,Config!$G$14)))</f>
        <v/>
      </c>
      <c r="T184">
        <f>IF(OR(H184=0,H184=""),"",ABS((H184-IF($C184="LT",Config!$F$3,Config!$F$15))/IF($C184="LT",Config!$G$3,Config!$G$15)))</f>
        <v/>
      </c>
      <c r="U184">
        <f>IF(OR(I184=0,I184=""),"",ABS((I184-IF($C184="LT",Config!$F$4,Config!$F$16))/IF($C184="LT",Config!$G$4,Config!$G$16)))</f>
        <v/>
      </c>
      <c r="V184">
        <f>IF(OR(J184=0,J184=""),"",ABS((J184-IF($C184="LT",Config!$F$5,Config!$F$17))/IF($C184="LT",Config!$G$5,Config!$G$17)))</f>
        <v/>
      </c>
      <c r="W184">
        <f>IF(OR(K184=0,K184=""),"",ABS((K184-IF($C184="LT",Config!$F$6,Config!$F$18))/IF($C184="LT",Config!$G$6,Config!$G$18)))</f>
        <v/>
      </c>
      <c r="X184">
        <f>IF(OR(L184=0,L184=""),"",ABS((L184-IF($C184="LT",Config!$F$7,Config!$F$19))/IF($C184="LT",Config!$G$7,Config!$G$19)))</f>
        <v/>
      </c>
      <c r="Y184">
        <f>IF(OR(M184=0,M184=""),"",ABS((M184-IF($C184="LT",Config!$F$8,Config!$F$20))/IF($C184="LT",Config!$G$8,Config!$G$20)))</f>
        <v/>
      </c>
      <c r="Z184">
        <f>IF(OR(N184=0,N184=""),"",ABS((N184-IF($C184="LT",Config!$F$9,Config!$F$21))/IF($C184="LT",Config!$G$9,Config!$G$21)))</f>
        <v/>
      </c>
      <c r="AA184">
        <f>IF(OR(O184=0,O184=""),"",ABS((O184-IF($C184="LT",Config!$F$10,Config!$F$22))/IF($C184="LT",Config!$G$10,Config!$G$22)))</f>
        <v/>
      </c>
      <c r="AB184">
        <f>IF(OR(P184=0,P184=""),"",ABS((P184-IF($C184="LT",Config!$F$11,Config!$F$23))/IF($C184="LT",Config!$G$11,Config!$G$23)))</f>
        <v/>
      </c>
      <c r="AC184">
        <f>IF(OR(Q184=0,Q184=""),"",ABS((Q184-IF($C184="LT",Config!$F$12,Config!$F$24))/IF($C184="LT",Config!$G$12,Config!$G$24)))</f>
        <v/>
      </c>
      <c r="AD184">
        <f>IF(OR(R184=0,R184=""),"",ABS((R184-IF($C184="LT",Config!$F$13,Config!$F$25))/IF($C184="LT",Config!$G$13,Config!$G$25)))</f>
        <v/>
      </c>
    </row>
    <row r="185">
      <c r="A185" t="inlineStr">
        <is>
          <t>04C0526120798</t>
        </is>
      </c>
      <c r="B185" t="inlineStr">
        <is>
          <t>CRS0000674</t>
        </is>
      </c>
      <c r="C185" t="inlineStr">
        <is>
          <t>MT</t>
        </is>
      </c>
      <c r="D185" t="inlineStr">
        <is>
          <t>TCX413U-DS1B01</t>
        </is>
      </c>
      <c r="E185" s="2" t="n">
        <v>46087</v>
      </c>
      <c r="F185" t="inlineStr">
        <is>
          <t>Pass</t>
        </is>
      </c>
      <c r="G185" t="n">
        <v>115.5</v>
      </c>
      <c r="H185" t="n">
        <v>80.7</v>
      </c>
      <c r="I185" t="n">
        <v>-1957.8</v>
      </c>
      <c r="J185" t="n">
        <v>69.09999999999999</v>
      </c>
      <c r="K185" t="n">
        <v>0</v>
      </c>
      <c r="L185" t="n">
        <v>0.1</v>
      </c>
      <c r="M185" t="n">
        <v>0</v>
      </c>
      <c r="N185" t="n">
        <v>69.2</v>
      </c>
      <c r="O185" t="n">
        <v>115.46</v>
      </c>
      <c r="P185" t="n">
        <v>115.46</v>
      </c>
      <c r="Q185" t="n">
        <v>3.76</v>
      </c>
      <c r="R185" t="n">
        <v>3.88</v>
      </c>
      <c r="S185">
        <f>IF(OR(G185=0,G185=""),"",ABS((G185-IF($C185="LT",Config!$F$2,Config!$F$14))/IF($C185="LT",Config!$G$2,Config!$G$14)))</f>
        <v/>
      </c>
      <c r="T185">
        <f>IF(OR(H185=0,H185=""),"",ABS((H185-IF($C185="LT",Config!$F$3,Config!$F$15))/IF($C185="LT",Config!$G$3,Config!$G$15)))</f>
        <v/>
      </c>
      <c r="U185">
        <f>IF(OR(I185=0,I185=""),"",ABS((I185-IF($C185="LT",Config!$F$4,Config!$F$16))/IF($C185="LT",Config!$G$4,Config!$G$16)))</f>
        <v/>
      </c>
      <c r="V185">
        <f>IF(OR(J185=0,J185=""),"",ABS((J185-IF($C185="LT",Config!$F$5,Config!$F$17))/IF($C185="LT",Config!$G$5,Config!$G$17)))</f>
        <v/>
      </c>
      <c r="W185">
        <f>IF(OR(K185=0,K185=""),"",ABS((K185-IF($C185="LT",Config!$F$6,Config!$F$18))/IF($C185="LT",Config!$G$6,Config!$G$18)))</f>
        <v/>
      </c>
      <c r="X185">
        <f>IF(OR(L185=0,L185=""),"",ABS((L185-IF($C185="LT",Config!$F$7,Config!$F$19))/IF($C185="LT",Config!$G$7,Config!$G$19)))</f>
        <v/>
      </c>
      <c r="Y185">
        <f>IF(OR(M185=0,M185=""),"",ABS((M185-IF($C185="LT",Config!$F$8,Config!$F$20))/IF($C185="LT",Config!$G$8,Config!$G$20)))</f>
        <v/>
      </c>
      <c r="Z185">
        <f>IF(OR(N185=0,N185=""),"",ABS((N185-IF($C185="LT",Config!$F$9,Config!$F$21))/IF($C185="LT",Config!$G$9,Config!$G$21)))</f>
        <v/>
      </c>
      <c r="AA185">
        <f>IF(OR(O185=0,O185=""),"",ABS((O185-IF($C185="LT",Config!$F$10,Config!$F$22))/IF($C185="LT",Config!$G$10,Config!$G$22)))</f>
        <v/>
      </c>
      <c r="AB185">
        <f>IF(OR(P185=0,P185=""),"",ABS((P185-IF($C185="LT",Config!$F$11,Config!$F$23))/IF($C185="LT",Config!$G$11,Config!$G$23)))</f>
        <v/>
      </c>
      <c r="AC185">
        <f>IF(OR(Q185=0,Q185=""),"",ABS((Q185-IF($C185="LT",Config!$F$12,Config!$F$24))/IF($C185="LT",Config!$G$12,Config!$G$24)))</f>
        <v/>
      </c>
      <c r="AD185">
        <f>IF(OR(R185=0,R185=""),"",ABS((R185-IF($C185="LT",Config!$F$13,Config!$F$25))/IF($C185="LT",Config!$G$13,Config!$G$25)))</f>
        <v/>
      </c>
    </row>
    <row r="186">
      <c r="A186" t="inlineStr">
        <is>
          <t>04C0526120799</t>
        </is>
      </c>
      <c r="B186" t="inlineStr">
        <is>
          <t>CRS0000674</t>
        </is>
      </c>
      <c r="C186" t="inlineStr">
        <is>
          <t>MT</t>
        </is>
      </c>
      <c r="D186" t="inlineStr">
        <is>
          <t>TCX413U-DS1B01</t>
        </is>
      </c>
      <c r="E186" s="2" t="n">
        <v>46087</v>
      </c>
      <c r="F186" t="inlineStr">
        <is>
          <t>Pass</t>
        </is>
      </c>
      <c r="G186" t="n">
        <v>112.4</v>
      </c>
      <c r="H186" t="n">
        <v>75.2</v>
      </c>
      <c r="I186" t="n">
        <v>-1957.8</v>
      </c>
      <c r="J186" t="n">
        <v>69.09999999999999</v>
      </c>
      <c r="K186" t="n">
        <v>0</v>
      </c>
      <c r="L186" t="n">
        <v>0.2</v>
      </c>
      <c r="M186" t="n">
        <v>0</v>
      </c>
      <c r="N186" t="n">
        <v>68.90000000000001</v>
      </c>
      <c r="O186" t="n">
        <v>112.08</v>
      </c>
      <c r="P186" t="n">
        <v>116.7</v>
      </c>
      <c r="Q186" t="n">
        <v>3.81</v>
      </c>
      <c r="R186" t="n">
        <v>3.81</v>
      </c>
      <c r="S186">
        <f>IF(OR(G186=0,G186=""),"",ABS((G186-IF($C186="LT",Config!$F$2,Config!$F$14))/IF($C186="LT",Config!$G$2,Config!$G$14)))</f>
        <v/>
      </c>
      <c r="T186">
        <f>IF(OR(H186=0,H186=""),"",ABS((H186-IF($C186="LT",Config!$F$3,Config!$F$15))/IF($C186="LT",Config!$G$3,Config!$G$15)))</f>
        <v/>
      </c>
      <c r="U186">
        <f>IF(OR(I186=0,I186=""),"",ABS((I186-IF($C186="LT",Config!$F$4,Config!$F$16))/IF($C186="LT",Config!$G$4,Config!$G$16)))</f>
        <v/>
      </c>
      <c r="V186">
        <f>IF(OR(J186=0,J186=""),"",ABS((J186-IF($C186="LT",Config!$F$5,Config!$F$17))/IF($C186="LT",Config!$G$5,Config!$G$17)))</f>
        <v/>
      </c>
      <c r="W186">
        <f>IF(OR(K186=0,K186=""),"",ABS((K186-IF($C186="LT",Config!$F$6,Config!$F$18))/IF($C186="LT",Config!$G$6,Config!$G$18)))</f>
        <v/>
      </c>
      <c r="X186">
        <f>IF(OR(L186=0,L186=""),"",ABS((L186-IF($C186="LT",Config!$F$7,Config!$F$19))/IF($C186="LT",Config!$G$7,Config!$G$19)))</f>
        <v/>
      </c>
      <c r="Y186">
        <f>IF(OR(M186=0,M186=""),"",ABS((M186-IF($C186="LT",Config!$F$8,Config!$F$20))/IF($C186="LT",Config!$G$8,Config!$G$20)))</f>
        <v/>
      </c>
      <c r="Z186">
        <f>IF(OR(N186=0,N186=""),"",ABS((N186-IF($C186="LT",Config!$F$9,Config!$F$21))/IF($C186="LT",Config!$G$9,Config!$G$21)))</f>
        <v/>
      </c>
      <c r="AA186">
        <f>IF(OR(O186=0,O186=""),"",ABS((O186-IF($C186="LT",Config!$F$10,Config!$F$22))/IF($C186="LT",Config!$G$10,Config!$G$22)))</f>
        <v/>
      </c>
      <c r="AB186">
        <f>IF(OR(P186=0,P186=""),"",ABS((P186-IF($C186="LT",Config!$F$11,Config!$F$23))/IF($C186="LT",Config!$G$11,Config!$G$23)))</f>
        <v/>
      </c>
      <c r="AC186">
        <f>IF(OR(Q186=0,Q186=""),"",ABS((Q186-IF($C186="LT",Config!$F$12,Config!$F$24))/IF($C186="LT",Config!$G$12,Config!$G$24)))</f>
        <v/>
      </c>
      <c r="AD186">
        <f>IF(OR(R186=0,R186=""),"",ABS((R186-IF($C186="LT",Config!$F$13,Config!$F$25))/IF($C186="LT",Config!$G$13,Config!$G$25)))</f>
        <v/>
      </c>
    </row>
    <row r="187">
      <c r="A187" t="inlineStr">
        <is>
          <t>04B1226120598</t>
        </is>
      </c>
      <c r="B187" t="inlineStr">
        <is>
          <t>CRS0000675</t>
        </is>
      </c>
      <c r="C187" t="inlineStr">
        <is>
          <t>LT</t>
        </is>
      </c>
      <c r="D187" t="inlineStr">
        <is>
          <t>ALX440U-DS3B01</t>
        </is>
      </c>
      <c r="E187" s="2" t="n">
        <v>46088</v>
      </c>
      <c r="F187" t="inlineStr">
        <is>
          <t>Fail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>
        <f>IF(OR(G187=0,G187=""),"",ABS((G187-IF($C187="LT",Config!$F$2,Config!$F$14))/IF($C187="LT",Config!$G$2,Config!$G$14)))</f>
        <v/>
      </c>
      <c r="T187">
        <f>IF(OR(H187=0,H187=""),"",ABS((H187-IF($C187="LT",Config!$F$3,Config!$F$15))/IF($C187="LT",Config!$G$3,Config!$G$15)))</f>
        <v/>
      </c>
      <c r="U187">
        <f>IF(OR(I187=0,I187=""),"",ABS((I187-IF($C187="LT",Config!$F$4,Config!$F$16))/IF($C187="LT",Config!$G$4,Config!$G$16)))</f>
        <v/>
      </c>
      <c r="V187">
        <f>IF(OR(J187=0,J187=""),"",ABS((J187-IF($C187="LT",Config!$F$5,Config!$F$17))/IF($C187="LT",Config!$G$5,Config!$G$17)))</f>
        <v/>
      </c>
      <c r="W187">
        <f>IF(OR(K187=0,K187=""),"",ABS((K187-IF($C187="LT",Config!$F$6,Config!$F$18))/IF($C187="LT",Config!$G$6,Config!$G$18)))</f>
        <v/>
      </c>
      <c r="X187">
        <f>IF(OR(L187=0,L187=""),"",ABS((L187-IF($C187="LT",Config!$F$7,Config!$F$19))/IF($C187="LT",Config!$G$7,Config!$G$19)))</f>
        <v/>
      </c>
      <c r="Y187">
        <f>IF(OR(M187=0,M187=""),"",ABS((M187-IF($C187="LT",Config!$F$8,Config!$F$20))/IF($C187="LT",Config!$G$8,Config!$G$20)))</f>
        <v/>
      </c>
      <c r="Z187">
        <f>IF(OR(N187=0,N187=""),"",ABS((N187-IF($C187="LT",Config!$F$9,Config!$F$21))/IF($C187="LT",Config!$G$9,Config!$G$21)))</f>
        <v/>
      </c>
      <c r="AA187">
        <f>IF(OR(O187=0,O187=""),"",ABS((O187-IF($C187="LT",Config!$F$10,Config!$F$22))/IF($C187="LT",Config!$G$10,Config!$G$22)))</f>
        <v/>
      </c>
      <c r="AB187">
        <f>IF(OR(P187=0,P187=""),"",ABS((P187-IF($C187="LT",Config!$F$11,Config!$F$23))/IF($C187="LT",Config!$G$11,Config!$G$23)))</f>
        <v/>
      </c>
      <c r="AC187">
        <f>IF(OR(Q187=0,Q187=""),"",ABS((Q187-IF($C187="LT",Config!$F$12,Config!$F$24))/IF($C187="LT",Config!$G$12,Config!$G$24)))</f>
        <v/>
      </c>
      <c r="AD187">
        <f>IF(OR(R187=0,R187=""),"",ABS((R187-IF($C187="LT",Config!$F$13,Config!$F$25))/IF($C187="LT",Config!$G$13,Config!$G$25)))</f>
        <v/>
      </c>
    </row>
    <row r="188">
      <c r="A188" t="inlineStr">
        <is>
          <t>04C0226120741</t>
        </is>
      </c>
      <c r="B188" t="inlineStr">
        <is>
          <t>CRS0000674</t>
        </is>
      </c>
      <c r="C188" t="inlineStr">
        <is>
          <t>MT</t>
        </is>
      </c>
      <c r="D188" t="inlineStr">
        <is>
          <t>TCX413U-DS1B01</t>
        </is>
      </c>
      <c r="E188" s="2" t="n">
        <v>46090</v>
      </c>
      <c r="F188" t="inlineStr">
        <is>
          <t>Pass</t>
        </is>
      </c>
      <c r="G188" t="n">
        <v>110.2</v>
      </c>
      <c r="H188" t="n">
        <v>79.3</v>
      </c>
      <c r="I188" t="n">
        <v>-1957.8</v>
      </c>
      <c r="J188" t="n">
        <v>67.3</v>
      </c>
      <c r="K188" t="n">
        <v>0</v>
      </c>
      <c r="L188" t="n">
        <v>0.2</v>
      </c>
      <c r="M188" t="n">
        <v>0</v>
      </c>
      <c r="N188" t="n">
        <v>67.09999999999999</v>
      </c>
      <c r="O188" t="n">
        <v>111.57</v>
      </c>
      <c r="P188" t="n">
        <v>113.04</v>
      </c>
      <c r="Q188" t="n">
        <v>3.49</v>
      </c>
      <c r="R188" t="n">
        <v>3.56</v>
      </c>
      <c r="S188">
        <f>IF(OR(G188=0,G188=""),"",ABS((G188-IF($C188="LT",Config!$F$2,Config!$F$14))/IF($C188="LT",Config!$G$2,Config!$G$14)))</f>
        <v/>
      </c>
      <c r="T188">
        <f>IF(OR(H188=0,H188=""),"",ABS((H188-IF($C188="LT",Config!$F$3,Config!$F$15))/IF($C188="LT",Config!$G$3,Config!$G$15)))</f>
        <v/>
      </c>
      <c r="U188">
        <f>IF(OR(I188=0,I188=""),"",ABS((I188-IF($C188="LT",Config!$F$4,Config!$F$16))/IF($C188="LT",Config!$G$4,Config!$G$16)))</f>
        <v/>
      </c>
      <c r="V188">
        <f>IF(OR(J188=0,J188=""),"",ABS((J188-IF($C188="LT",Config!$F$5,Config!$F$17))/IF($C188="LT",Config!$G$5,Config!$G$17)))</f>
        <v/>
      </c>
      <c r="W188">
        <f>IF(OR(K188=0,K188=""),"",ABS((K188-IF($C188="LT",Config!$F$6,Config!$F$18))/IF($C188="LT",Config!$G$6,Config!$G$18)))</f>
        <v/>
      </c>
      <c r="X188">
        <f>IF(OR(L188=0,L188=""),"",ABS((L188-IF($C188="LT",Config!$F$7,Config!$F$19))/IF($C188="LT",Config!$G$7,Config!$G$19)))</f>
        <v/>
      </c>
      <c r="Y188">
        <f>IF(OR(M188=0,M188=""),"",ABS((M188-IF($C188="LT",Config!$F$8,Config!$F$20))/IF($C188="LT",Config!$G$8,Config!$G$20)))</f>
        <v/>
      </c>
      <c r="Z188">
        <f>IF(OR(N188=0,N188=""),"",ABS((N188-IF($C188="LT",Config!$F$9,Config!$F$21))/IF($C188="LT",Config!$G$9,Config!$G$21)))</f>
        <v/>
      </c>
      <c r="AA188">
        <f>IF(OR(O188=0,O188=""),"",ABS((O188-IF($C188="LT",Config!$F$10,Config!$F$22))/IF($C188="LT",Config!$G$10,Config!$G$22)))</f>
        <v/>
      </c>
      <c r="AB188">
        <f>IF(OR(P188=0,P188=""),"",ABS((P188-IF($C188="LT",Config!$F$11,Config!$F$23))/IF($C188="LT",Config!$G$11,Config!$G$23)))</f>
        <v/>
      </c>
      <c r="AC188">
        <f>IF(OR(Q188=0,Q188=""),"",ABS((Q188-IF($C188="LT",Config!$F$12,Config!$F$24))/IF($C188="LT",Config!$G$12,Config!$G$24)))</f>
        <v/>
      </c>
      <c r="AD188">
        <f>IF(OR(R188=0,R188=""),"",ABS((R188-IF($C188="LT",Config!$F$13,Config!$F$25))/IF($C188="LT",Config!$G$13,Config!$G$25)))</f>
        <v/>
      </c>
    </row>
    <row r="189">
      <c r="A189" t="inlineStr">
        <is>
          <t>04C0526120801</t>
        </is>
      </c>
      <c r="B189" t="inlineStr">
        <is>
          <t>CRS0000674</t>
        </is>
      </c>
      <c r="C189" t="inlineStr">
        <is>
          <t>MT</t>
        </is>
      </c>
      <c r="D189" t="inlineStr">
        <is>
          <t>TCX413U-DS1B01</t>
        </is>
      </c>
      <c r="E189" s="2" t="n">
        <v>46090</v>
      </c>
      <c r="F189" t="inlineStr">
        <is>
          <t>Pass</t>
        </is>
      </c>
      <c r="G189" t="n">
        <v>112.4</v>
      </c>
      <c r="H189" t="n">
        <v>82</v>
      </c>
      <c r="I189" t="n">
        <v>-1957.8</v>
      </c>
      <c r="J189" t="n">
        <v>69.09999999999999</v>
      </c>
      <c r="K189" t="n">
        <v>0</v>
      </c>
      <c r="L189" t="n">
        <v>1.3</v>
      </c>
      <c r="M189" t="n">
        <v>0</v>
      </c>
      <c r="N189" t="n">
        <v>70.40000000000001</v>
      </c>
      <c r="O189" t="n">
        <v>111.86</v>
      </c>
      <c r="P189" t="n">
        <v>113.04</v>
      </c>
      <c r="Q189" t="n">
        <v>3.76</v>
      </c>
      <c r="R189" t="n">
        <v>3.86</v>
      </c>
      <c r="S189">
        <f>IF(OR(G189=0,G189=""),"",ABS((G189-IF($C189="LT",Config!$F$2,Config!$F$14))/IF($C189="LT",Config!$G$2,Config!$G$14)))</f>
        <v/>
      </c>
      <c r="T189">
        <f>IF(OR(H189=0,H189=""),"",ABS((H189-IF($C189="LT",Config!$F$3,Config!$F$15))/IF($C189="LT",Config!$G$3,Config!$G$15)))</f>
        <v/>
      </c>
      <c r="U189">
        <f>IF(OR(I189=0,I189=""),"",ABS((I189-IF($C189="LT",Config!$F$4,Config!$F$16))/IF($C189="LT",Config!$G$4,Config!$G$16)))</f>
        <v/>
      </c>
      <c r="V189">
        <f>IF(OR(J189=0,J189=""),"",ABS((J189-IF($C189="LT",Config!$F$5,Config!$F$17))/IF($C189="LT",Config!$G$5,Config!$G$17)))</f>
        <v/>
      </c>
      <c r="W189">
        <f>IF(OR(K189=0,K189=""),"",ABS((K189-IF($C189="LT",Config!$F$6,Config!$F$18))/IF($C189="LT",Config!$G$6,Config!$G$18)))</f>
        <v/>
      </c>
      <c r="X189">
        <f>IF(OR(L189=0,L189=""),"",ABS((L189-IF($C189="LT",Config!$F$7,Config!$F$19))/IF($C189="LT",Config!$G$7,Config!$G$19)))</f>
        <v/>
      </c>
      <c r="Y189">
        <f>IF(OR(M189=0,M189=""),"",ABS((M189-IF($C189="LT",Config!$F$8,Config!$F$20))/IF($C189="LT",Config!$G$8,Config!$G$20)))</f>
        <v/>
      </c>
      <c r="Z189">
        <f>IF(OR(N189=0,N189=""),"",ABS((N189-IF($C189="LT",Config!$F$9,Config!$F$21))/IF($C189="LT",Config!$G$9,Config!$G$21)))</f>
        <v/>
      </c>
      <c r="AA189">
        <f>IF(OR(O189=0,O189=""),"",ABS((O189-IF($C189="LT",Config!$F$10,Config!$F$22))/IF($C189="LT",Config!$G$10,Config!$G$22)))</f>
        <v/>
      </c>
      <c r="AB189">
        <f>IF(OR(P189=0,P189=""),"",ABS((P189-IF($C189="LT",Config!$F$11,Config!$F$23))/IF($C189="LT",Config!$G$11,Config!$G$23)))</f>
        <v/>
      </c>
      <c r="AC189">
        <f>IF(OR(Q189=0,Q189=""),"",ABS((Q189-IF($C189="LT",Config!$F$12,Config!$F$24))/IF($C189="LT",Config!$G$12,Config!$G$24)))</f>
        <v/>
      </c>
      <c r="AD189">
        <f>IF(OR(R189=0,R189=""),"",ABS((R189-IF($C189="LT",Config!$F$13,Config!$F$25))/IF($C189="LT",Config!$G$13,Config!$G$25)))</f>
        <v/>
      </c>
    </row>
    <row r="190">
      <c r="A190" t="inlineStr">
        <is>
          <t>04C0926120836</t>
        </is>
      </c>
      <c r="B190" t="inlineStr">
        <is>
          <t>CRS0000674</t>
        </is>
      </c>
      <c r="C190" t="inlineStr">
        <is>
          <t>MT</t>
        </is>
      </c>
      <c r="D190" t="inlineStr">
        <is>
          <t>TCX413U-DS1B01</t>
        </is>
      </c>
      <c r="E190" s="2" t="n">
        <v>46091</v>
      </c>
      <c r="F190" t="inlineStr">
        <is>
          <t>Pass</t>
        </is>
      </c>
      <c r="G190" t="n">
        <v>107.9</v>
      </c>
      <c r="H190" t="n">
        <v>81.59999999999999</v>
      </c>
      <c r="I190" t="n">
        <v>-1957.8</v>
      </c>
      <c r="J190" t="n">
        <v>69.09999999999999</v>
      </c>
      <c r="K190" t="n">
        <v>0</v>
      </c>
      <c r="L190" t="n">
        <v>1.3</v>
      </c>
      <c r="M190" t="n">
        <v>0</v>
      </c>
      <c r="N190" t="n">
        <v>67.8</v>
      </c>
      <c r="O190" t="n">
        <v>112.16</v>
      </c>
      <c r="P190" t="n">
        <v>116.48</v>
      </c>
      <c r="Q190" t="n">
        <v>3.83</v>
      </c>
      <c r="R190" t="n">
        <v>3.83</v>
      </c>
      <c r="S190">
        <f>IF(OR(G190=0,G190=""),"",ABS((G190-IF($C190="LT",Config!$F$2,Config!$F$14))/IF($C190="LT",Config!$G$2,Config!$G$14)))</f>
        <v/>
      </c>
      <c r="T190">
        <f>IF(OR(H190=0,H190=""),"",ABS((H190-IF($C190="LT",Config!$F$3,Config!$F$15))/IF($C190="LT",Config!$G$3,Config!$G$15)))</f>
        <v/>
      </c>
      <c r="U190">
        <f>IF(OR(I190=0,I190=""),"",ABS((I190-IF($C190="LT",Config!$F$4,Config!$F$16))/IF($C190="LT",Config!$G$4,Config!$G$16)))</f>
        <v/>
      </c>
      <c r="V190">
        <f>IF(OR(J190=0,J190=""),"",ABS((J190-IF($C190="LT",Config!$F$5,Config!$F$17))/IF($C190="LT",Config!$G$5,Config!$G$17)))</f>
        <v/>
      </c>
      <c r="W190">
        <f>IF(OR(K190=0,K190=""),"",ABS((K190-IF($C190="LT",Config!$F$6,Config!$F$18))/IF($C190="LT",Config!$G$6,Config!$G$18)))</f>
        <v/>
      </c>
      <c r="X190">
        <f>IF(OR(L190=0,L190=""),"",ABS((L190-IF($C190="LT",Config!$F$7,Config!$F$19))/IF($C190="LT",Config!$G$7,Config!$G$19)))</f>
        <v/>
      </c>
      <c r="Y190">
        <f>IF(OR(M190=0,M190=""),"",ABS((M190-IF($C190="LT",Config!$F$8,Config!$F$20))/IF($C190="LT",Config!$G$8,Config!$G$20)))</f>
        <v/>
      </c>
      <c r="Z190">
        <f>IF(OR(N190=0,N190=""),"",ABS((N190-IF($C190="LT",Config!$F$9,Config!$F$21))/IF($C190="LT",Config!$G$9,Config!$G$21)))</f>
        <v/>
      </c>
      <c r="AA190">
        <f>IF(OR(O190=0,O190=""),"",ABS((O190-IF($C190="LT",Config!$F$10,Config!$F$22))/IF($C190="LT",Config!$G$10,Config!$G$22)))</f>
        <v/>
      </c>
      <c r="AB190">
        <f>IF(OR(P190=0,P190=""),"",ABS((P190-IF($C190="LT",Config!$F$11,Config!$F$23))/IF($C190="LT",Config!$G$11,Config!$G$23)))</f>
        <v/>
      </c>
      <c r="AC190">
        <f>IF(OR(Q190=0,Q190=""),"",ABS((Q190-IF($C190="LT",Config!$F$12,Config!$F$24))/IF($C190="LT",Config!$G$12,Config!$G$24)))</f>
        <v/>
      </c>
      <c r="AD190">
        <f>IF(OR(R190=0,R190=""),"",ABS((R190-IF($C190="LT",Config!$F$13,Config!$F$25))/IF($C190="LT",Config!$G$13,Config!$G$25)))</f>
        <v/>
      </c>
    </row>
    <row r="191">
      <c r="A191" t="inlineStr">
        <is>
          <t>04C0926120837</t>
        </is>
      </c>
      <c r="B191" t="inlineStr">
        <is>
          <t>CRS0000674</t>
        </is>
      </c>
      <c r="C191" t="inlineStr">
        <is>
          <t>MT</t>
        </is>
      </c>
      <c r="D191" t="inlineStr">
        <is>
          <t>TCX413U-DS1B01</t>
        </is>
      </c>
      <c r="E191" s="2" t="n">
        <v>46091</v>
      </c>
      <c r="F191" t="inlineStr">
        <is>
          <t>Pass</t>
        </is>
      </c>
      <c r="G191" t="n">
        <v>110.6</v>
      </c>
      <c r="H191" t="n">
        <v>79.8</v>
      </c>
      <c r="I191" t="n">
        <v>-1957.8</v>
      </c>
      <c r="J191" t="n">
        <v>69.09999999999999</v>
      </c>
      <c r="K191" t="n">
        <v>0</v>
      </c>
      <c r="L191" t="n">
        <v>1.3</v>
      </c>
      <c r="M191" t="n">
        <v>0</v>
      </c>
      <c r="N191" t="n">
        <v>67.8</v>
      </c>
      <c r="O191" t="n">
        <v>111.72</v>
      </c>
      <c r="P191" t="n">
        <v>113.26</v>
      </c>
      <c r="Q191" t="n">
        <v>3.98</v>
      </c>
      <c r="R191" t="n">
        <v>4</v>
      </c>
      <c r="S191">
        <f>IF(OR(G191=0,G191=""),"",ABS((G191-IF($C191="LT",Config!$F$2,Config!$F$14))/IF($C191="LT",Config!$G$2,Config!$G$14)))</f>
        <v/>
      </c>
      <c r="T191">
        <f>IF(OR(H191=0,H191=""),"",ABS((H191-IF($C191="LT",Config!$F$3,Config!$F$15))/IF($C191="LT",Config!$G$3,Config!$G$15)))</f>
        <v/>
      </c>
      <c r="U191">
        <f>IF(OR(I191=0,I191=""),"",ABS((I191-IF($C191="LT",Config!$F$4,Config!$F$16))/IF($C191="LT",Config!$G$4,Config!$G$16)))</f>
        <v/>
      </c>
      <c r="V191">
        <f>IF(OR(J191=0,J191=""),"",ABS((J191-IF($C191="LT",Config!$F$5,Config!$F$17))/IF($C191="LT",Config!$G$5,Config!$G$17)))</f>
        <v/>
      </c>
      <c r="W191">
        <f>IF(OR(K191=0,K191=""),"",ABS((K191-IF($C191="LT",Config!$F$6,Config!$F$18))/IF($C191="LT",Config!$G$6,Config!$G$18)))</f>
        <v/>
      </c>
      <c r="X191">
        <f>IF(OR(L191=0,L191=""),"",ABS((L191-IF($C191="LT",Config!$F$7,Config!$F$19))/IF($C191="LT",Config!$G$7,Config!$G$19)))</f>
        <v/>
      </c>
      <c r="Y191">
        <f>IF(OR(M191=0,M191=""),"",ABS((M191-IF($C191="LT",Config!$F$8,Config!$F$20))/IF($C191="LT",Config!$G$8,Config!$G$20)))</f>
        <v/>
      </c>
      <c r="Z191">
        <f>IF(OR(N191=0,N191=""),"",ABS((N191-IF($C191="LT",Config!$F$9,Config!$F$21))/IF($C191="LT",Config!$G$9,Config!$G$21)))</f>
        <v/>
      </c>
      <c r="AA191">
        <f>IF(OR(O191=0,O191=""),"",ABS((O191-IF($C191="LT",Config!$F$10,Config!$F$22))/IF($C191="LT",Config!$G$10,Config!$G$22)))</f>
        <v/>
      </c>
      <c r="AB191">
        <f>IF(OR(P191=0,P191=""),"",ABS((P191-IF($C191="LT",Config!$F$11,Config!$F$23))/IF($C191="LT",Config!$G$11,Config!$G$23)))</f>
        <v/>
      </c>
      <c r="AC191">
        <f>IF(OR(Q191=0,Q191=""),"",ABS((Q191-IF($C191="LT",Config!$F$12,Config!$F$24))/IF($C191="LT",Config!$G$12,Config!$G$24)))</f>
        <v/>
      </c>
      <c r="AD191">
        <f>IF(OR(R191=0,R191=""),"",ABS((R191-IF($C191="LT",Config!$F$13,Config!$F$25))/IF($C191="LT",Config!$G$13,Config!$G$25)))</f>
        <v/>
      </c>
    </row>
    <row r="192">
      <c r="A192" t="inlineStr">
        <is>
          <t>04C0926120838</t>
        </is>
      </c>
      <c r="B192" t="inlineStr">
        <is>
          <t>CRS0000674</t>
        </is>
      </c>
      <c r="C192" t="inlineStr">
        <is>
          <t>MT</t>
        </is>
      </c>
      <c r="D192" t="inlineStr">
        <is>
          <t>TCX413U-DS1B01</t>
        </is>
      </c>
      <c r="E192" s="2" t="n">
        <v>46091</v>
      </c>
      <c r="F192" t="inlineStr">
        <is>
          <t>Fail</t>
        </is>
      </c>
      <c r="G192" t="n">
        <v>94.5</v>
      </c>
      <c r="H192" t="n">
        <v>79.8</v>
      </c>
      <c r="I192" t="n">
        <v>-1957.8</v>
      </c>
      <c r="J192" t="n">
        <v>69.09999999999999</v>
      </c>
      <c r="K192" t="n">
        <v>0</v>
      </c>
      <c r="L192" t="n">
        <v>1.9</v>
      </c>
      <c r="M192" t="n">
        <v>0</v>
      </c>
      <c r="N192" t="n">
        <v>67.2</v>
      </c>
      <c r="O192" t="n">
        <v>112.23</v>
      </c>
      <c r="P192" t="n">
        <v>116.48</v>
      </c>
      <c r="Q192" t="n">
        <v>3.86</v>
      </c>
      <c r="R192" t="n">
        <v>3.78</v>
      </c>
      <c r="S192">
        <f>IF(OR(G192=0,G192=""),"",ABS((G192-IF($C192="LT",Config!$F$2,Config!$F$14))/IF($C192="LT",Config!$G$2,Config!$G$14)))</f>
        <v/>
      </c>
      <c r="T192">
        <f>IF(OR(H192=0,H192=""),"",ABS((H192-IF($C192="LT",Config!$F$3,Config!$F$15))/IF($C192="LT",Config!$G$3,Config!$G$15)))</f>
        <v/>
      </c>
      <c r="U192">
        <f>IF(OR(I192=0,I192=""),"",ABS((I192-IF($C192="LT",Config!$F$4,Config!$F$16))/IF($C192="LT",Config!$G$4,Config!$G$16)))</f>
        <v/>
      </c>
      <c r="V192">
        <f>IF(OR(J192=0,J192=""),"",ABS((J192-IF($C192="LT",Config!$F$5,Config!$F$17))/IF($C192="LT",Config!$G$5,Config!$G$17)))</f>
        <v/>
      </c>
      <c r="W192">
        <f>IF(OR(K192=0,K192=""),"",ABS((K192-IF($C192="LT",Config!$F$6,Config!$F$18))/IF($C192="LT",Config!$G$6,Config!$G$18)))</f>
        <v/>
      </c>
      <c r="X192">
        <f>IF(OR(L192=0,L192=""),"",ABS((L192-IF($C192="LT",Config!$F$7,Config!$F$19))/IF($C192="LT",Config!$G$7,Config!$G$19)))</f>
        <v/>
      </c>
      <c r="Y192">
        <f>IF(OR(M192=0,M192=""),"",ABS((M192-IF($C192="LT",Config!$F$8,Config!$F$20))/IF($C192="LT",Config!$G$8,Config!$G$20)))</f>
        <v/>
      </c>
      <c r="Z192">
        <f>IF(OR(N192=0,N192=""),"",ABS((N192-IF($C192="LT",Config!$F$9,Config!$F$21))/IF($C192="LT",Config!$G$9,Config!$G$21)))</f>
        <v/>
      </c>
      <c r="AA192">
        <f>IF(OR(O192=0,O192=""),"",ABS((O192-IF($C192="LT",Config!$F$10,Config!$F$22))/IF($C192="LT",Config!$G$10,Config!$G$22)))</f>
        <v/>
      </c>
      <c r="AB192">
        <f>IF(OR(P192=0,P192=""),"",ABS((P192-IF($C192="LT",Config!$F$11,Config!$F$23))/IF($C192="LT",Config!$G$11,Config!$G$23)))</f>
        <v/>
      </c>
      <c r="AC192">
        <f>IF(OR(Q192=0,Q192=""),"",ABS((Q192-IF($C192="LT",Config!$F$12,Config!$F$24))/IF($C192="LT",Config!$G$12,Config!$G$24)))</f>
        <v/>
      </c>
      <c r="AD192">
        <f>IF(OR(R192=0,R192=""),"",ABS((R192-IF($C192="LT",Config!$F$13,Config!$F$25))/IF($C192="LT",Config!$G$13,Config!$G$25)))</f>
        <v/>
      </c>
    </row>
    <row r="193">
      <c r="A193" t="inlineStr">
        <is>
          <t>04C0926120838</t>
        </is>
      </c>
      <c r="B193" t="inlineStr">
        <is>
          <t>CRS0000674</t>
        </is>
      </c>
      <c r="C193" t="inlineStr">
        <is>
          <t>MT</t>
        </is>
      </c>
      <c r="D193" t="inlineStr">
        <is>
          <t>TCX413U-DS1B01</t>
        </is>
      </c>
      <c r="E193" s="2" t="n">
        <v>46091</v>
      </c>
      <c r="F193" t="inlineStr">
        <is>
          <t>Pass</t>
        </is>
      </c>
      <c r="G193" t="n">
        <v>115.1</v>
      </c>
      <c r="H193" t="n">
        <v>80.2</v>
      </c>
      <c r="I193" t="n">
        <v>-1957.8</v>
      </c>
      <c r="J193" t="n">
        <v>69.09999999999999</v>
      </c>
      <c r="K193" t="n">
        <v>0</v>
      </c>
      <c r="L193" t="n">
        <v>1.2</v>
      </c>
      <c r="M193" t="n">
        <v>0</v>
      </c>
      <c r="N193" t="n">
        <v>67.90000000000001</v>
      </c>
      <c r="O193" t="n">
        <v>115.09</v>
      </c>
      <c r="P193" t="n">
        <v>115.02</v>
      </c>
      <c r="Q193" t="n">
        <v>3.83</v>
      </c>
      <c r="R193" t="n">
        <v>3.86</v>
      </c>
      <c r="S193">
        <f>IF(OR(G193=0,G193=""),"",ABS((G193-IF($C193="LT",Config!$F$2,Config!$F$14))/IF($C193="LT",Config!$G$2,Config!$G$14)))</f>
        <v/>
      </c>
      <c r="T193">
        <f>IF(OR(H193=0,H193=""),"",ABS((H193-IF($C193="LT",Config!$F$3,Config!$F$15))/IF($C193="LT",Config!$G$3,Config!$G$15)))</f>
        <v/>
      </c>
      <c r="U193">
        <f>IF(OR(I193=0,I193=""),"",ABS((I193-IF($C193="LT",Config!$F$4,Config!$F$16))/IF($C193="LT",Config!$G$4,Config!$G$16)))</f>
        <v/>
      </c>
      <c r="V193">
        <f>IF(OR(J193=0,J193=""),"",ABS((J193-IF($C193="LT",Config!$F$5,Config!$F$17))/IF($C193="LT",Config!$G$5,Config!$G$17)))</f>
        <v/>
      </c>
      <c r="W193">
        <f>IF(OR(K193=0,K193=""),"",ABS((K193-IF($C193="LT",Config!$F$6,Config!$F$18))/IF($C193="LT",Config!$G$6,Config!$G$18)))</f>
        <v/>
      </c>
      <c r="X193">
        <f>IF(OR(L193=0,L193=""),"",ABS((L193-IF($C193="LT",Config!$F$7,Config!$F$19))/IF($C193="LT",Config!$G$7,Config!$G$19)))</f>
        <v/>
      </c>
      <c r="Y193">
        <f>IF(OR(M193=0,M193=""),"",ABS((M193-IF($C193="LT",Config!$F$8,Config!$F$20))/IF($C193="LT",Config!$G$8,Config!$G$20)))</f>
        <v/>
      </c>
      <c r="Z193">
        <f>IF(OR(N193=0,N193=""),"",ABS((N193-IF($C193="LT",Config!$F$9,Config!$F$21))/IF($C193="LT",Config!$G$9,Config!$G$21)))</f>
        <v/>
      </c>
      <c r="AA193">
        <f>IF(OR(O193=0,O193=""),"",ABS((O193-IF($C193="LT",Config!$F$10,Config!$F$22))/IF($C193="LT",Config!$G$10,Config!$G$22)))</f>
        <v/>
      </c>
      <c r="AB193">
        <f>IF(OR(P193=0,P193=""),"",ABS((P193-IF($C193="LT",Config!$F$11,Config!$F$23))/IF($C193="LT",Config!$G$11,Config!$G$23)))</f>
        <v/>
      </c>
      <c r="AC193">
        <f>IF(OR(Q193=0,Q193=""),"",ABS((Q193-IF($C193="LT",Config!$F$12,Config!$F$24))/IF($C193="LT",Config!$G$12,Config!$G$24)))</f>
        <v/>
      </c>
      <c r="AD193">
        <f>IF(OR(R193=0,R193=""),"",ABS((R193-IF($C193="LT",Config!$F$13,Config!$F$25))/IF($C193="LT",Config!$G$13,Config!$G$25)))</f>
        <v/>
      </c>
    </row>
    <row r="194">
      <c r="A194" t="inlineStr">
        <is>
          <t>04C1026120839</t>
        </is>
      </c>
      <c r="B194" t="inlineStr">
        <is>
          <t>CRS0000674</t>
        </is>
      </c>
      <c r="C194" t="inlineStr">
        <is>
          <t>MT</t>
        </is>
      </c>
      <c r="D194" t="inlineStr">
        <is>
          <t>TCX413U-DS1B01</t>
        </is>
      </c>
      <c r="E194" s="2" t="n">
        <v>46091</v>
      </c>
      <c r="F194" t="inlineStr">
        <is>
          <t>Fail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>
        <f>IF(OR(G194=0,G194=""),"",ABS((G194-IF($C194="LT",Config!$F$2,Config!$F$14))/IF($C194="LT",Config!$G$2,Config!$G$14)))</f>
        <v/>
      </c>
      <c r="T194">
        <f>IF(OR(H194=0,H194=""),"",ABS((H194-IF($C194="LT",Config!$F$3,Config!$F$15))/IF($C194="LT",Config!$G$3,Config!$G$15)))</f>
        <v/>
      </c>
      <c r="U194">
        <f>IF(OR(I194=0,I194=""),"",ABS((I194-IF($C194="LT",Config!$F$4,Config!$F$16))/IF($C194="LT",Config!$G$4,Config!$G$16)))</f>
        <v/>
      </c>
      <c r="V194">
        <f>IF(OR(J194=0,J194=""),"",ABS((J194-IF($C194="LT",Config!$F$5,Config!$F$17))/IF($C194="LT",Config!$G$5,Config!$G$17)))</f>
        <v/>
      </c>
      <c r="W194">
        <f>IF(OR(K194=0,K194=""),"",ABS((K194-IF($C194="LT",Config!$F$6,Config!$F$18))/IF($C194="LT",Config!$G$6,Config!$G$18)))</f>
        <v/>
      </c>
      <c r="X194">
        <f>IF(OR(L194=0,L194=""),"",ABS((L194-IF($C194="LT",Config!$F$7,Config!$F$19))/IF($C194="LT",Config!$G$7,Config!$G$19)))</f>
        <v/>
      </c>
      <c r="Y194">
        <f>IF(OR(M194=0,M194=""),"",ABS((M194-IF($C194="LT",Config!$F$8,Config!$F$20))/IF($C194="LT",Config!$G$8,Config!$G$20)))</f>
        <v/>
      </c>
      <c r="Z194">
        <f>IF(OR(N194=0,N194=""),"",ABS((N194-IF($C194="LT",Config!$F$9,Config!$F$21))/IF($C194="LT",Config!$G$9,Config!$G$21)))</f>
        <v/>
      </c>
      <c r="AA194">
        <f>IF(OR(O194=0,O194=""),"",ABS((O194-IF($C194="LT",Config!$F$10,Config!$F$22))/IF($C194="LT",Config!$G$10,Config!$G$22)))</f>
        <v/>
      </c>
      <c r="AB194">
        <f>IF(OR(P194=0,P194=""),"",ABS((P194-IF($C194="LT",Config!$F$11,Config!$F$23))/IF($C194="LT",Config!$G$11,Config!$G$23)))</f>
        <v/>
      </c>
      <c r="AC194">
        <f>IF(OR(Q194=0,Q194=""),"",ABS((Q194-IF($C194="LT",Config!$F$12,Config!$F$24))/IF($C194="LT",Config!$G$12,Config!$G$24)))</f>
        <v/>
      </c>
      <c r="AD194">
        <f>IF(OR(R194=0,R194=""),"",ABS((R194-IF($C194="LT",Config!$F$13,Config!$F$25))/IF($C194="LT",Config!$G$13,Config!$G$25)))</f>
        <v/>
      </c>
    </row>
    <row r="195">
      <c r="A195" t="inlineStr">
        <is>
          <t>04C1026120839</t>
        </is>
      </c>
      <c r="B195" t="inlineStr">
        <is>
          <t>CRS0000674</t>
        </is>
      </c>
      <c r="C195" t="inlineStr">
        <is>
          <t>MT</t>
        </is>
      </c>
      <c r="D195" t="inlineStr">
        <is>
          <t>TCX413U-DS1B01</t>
        </is>
      </c>
      <c r="E195" s="2" t="n">
        <v>46091</v>
      </c>
      <c r="F195" t="inlineStr">
        <is>
          <t>Fail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>
        <f>IF(OR(G195=0,G195=""),"",ABS((G195-IF($C195="LT",Config!$F$2,Config!$F$14))/IF($C195="LT",Config!$G$2,Config!$G$14)))</f>
        <v/>
      </c>
      <c r="T195">
        <f>IF(OR(H195=0,H195=""),"",ABS((H195-IF($C195="LT",Config!$F$3,Config!$F$15))/IF($C195="LT",Config!$G$3,Config!$G$15)))</f>
        <v/>
      </c>
      <c r="U195">
        <f>IF(OR(I195=0,I195=""),"",ABS((I195-IF($C195="LT",Config!$F$4,Config!$F$16))/IF($C195="LT",Config!$G$4,Config!$G$16)))</f>
        <v/>
      </c>
      <c r="V195">
        <f>IF(OR(J195=0,J195=""),"",ABS((J195-IF($C195="LT",Config!$F$5,Config!$F$17))/IF($C195="LT",Config!$G$5,Config!$G$17)))</f>
        <v/>
      </c>
      <c r="W195">
        <f>IF(OR(K195=0,K195=""),"",ABS((K195-IF($C195="LT",Config!$F$6,Config!$F$18))/IF($C195="LT",Config!$G$6,Config!$G$18)))</f>
        <v/>
      </c>
      <c r="X195">
        <f>IF(OR(L195=0,L195=""),"",ABS((L195-IF($C195="LT",Config!$F$7,Config!$F$19))/IF($C195="LT",Config!$G$7,Config!$G$19)))</f>
        <v/>
      </c>
      <c r="Y195">
        <f>IF(OR(M195=0,M195=""),"",ABS((M195-IF($C195="LT",Config!$F$8,Config!$F$20))/IF($C195="LT",Config!$G$8,Config!$G$20)))</f>
        <v/>
      </c>
      <c r="Z195">
        <f>IF(OR(N195=0,N195=""),"",ABS((N195-IF($C195="LT",Config!$F$9,Config!$F$21))/IF($C195="LT",Config!$G$9,Config!$G$21)))</f>
        <v/>
      </c>
      <c r="AA195">
        <f>IF(OR(O195=0,O195=""),"",ABS((O195-IF($C195="LT",Config!$F$10,Config!$F$22))/IF($C195="LT",Config!$G$10,Config!$G$22)))</f>
        <v/>
      </c>
      <c r="AB195">
        <f>IF(OR(P195=0,P195=""),"",ABS((P195-IF($C195="LT",Config!$F$11,Config!$F$23))/IF($C195="LT",Config!$G$11,Config!$G$23)))</f>
        <v/>
      </c>
      <c r="AC195">
        <f>IF(OR(Q195=0,Q195=""),"",ABS((Q195-IF($C195="LT",Config!$F$12,Config!$F$24))/IF($C195="LT",Config!$G$12,Config!$G$24)))</f>
        <v/>
      </c>
      <c r="AD195">
        <f>IF(OR(R195=0,R195=""),"",ABS((R195-IF($C195="LT",Config!$F$13,Config!$F$25))/IF($C195="LT",Config!$G$13,Config!$G$25)))</f>
        <v/>
      </c>
    </row>
    <row r="196">
      <c r="A196" t="inlineStr">
        <is>
          <t>04C1026120839</t>
        </is>
      </c>
      <c r="B196" t="inlineStr">
        <is>
          <t>CRS0000674</t>
        </is>
      </c>
      <c r="C196" t="inlineStr">
        <is>
          <t>MT</t>
        </is>
      </c>
      <c r="D196" t="inlineStr">
        <is>
          <t>TCX413U-DS1B01</t>
        </is>
      </c>
      <c r="E196" s="2" t="n">
        <v>46091</v>
      </c>
      <c r="F196" t="inlineStr">
        <is>
          <t>Pass</t>
        </is>
      </c>
      <c r="G196" t="n">
        <v>113.3</v>
      </c>
      <c r="H196" t="n">
        <v>82</v>
      </c>
      <c r="I196" t="n">
        <v>-1957.8</v>
      </c>
      <c r="J196" t="n">
        <v>69.5</v>
      </c>
      <c r="K196" t="n">
        <v>0</v>
      </c>
      <c r="L196" t="n">
        <v>1.6</v>
      </c>
      <c r="M196" t="n">
        <v>0</v>
      </c>
      <c r="N196" t="n">
        <v>67.90000000000001</v>
      </c>
      <c r="O196" t="n">
        <v>115.38</v>
      </c>
      <c r="P196" t="n">
        <v>115.31</v>
      </c>
      <c r="Q196" t="n">
        <v>3.88</v>
      </c>
      <c r="R196" t="n">
        <v>4</v>
      </c>
      <c r="S196">
        <f>IF(OR(G196=0,G196=""),"",ABS((G196-IF($C196="LT",Config!$F$2,Config!$F$14))/IF($C196="LT",Config!$G$2,Config!$G$14)))</f>
        <v/>
      </c>
      <c r="T196">
        <f>IF(OR(H196=0,H196=""),"",ABS((H196-IF($C196="LT",Config!$F$3,Config!$F$15))/IF($C196="LT",Config!$G$3,Config!$G$15)))</f>
        <v/>
      </c>
      <c r="U196">
        <f>IF(OR(I196=0,I196=""),"",ABS((I196-IF($C196="LT",Config!$F$4,Config!$F$16))/IF($C196="LT",Config!$G$4,Config!$G$16)))</f>
        <v/>
      </c>
      <c r="V196">
        <f>IF(OR(J196=0,J196=""),"",ABS((J196-IF($C196="LT",Config!$F$5,Config!$F$17))/IF($C196="LT",Config!$G$5,Config!$G$17)))</f>
        <v/>
      </c>
      <c r="W196">
        <f>IF(OR(K196=0,K196=""),"",ABS((K196-IF($C196="LT",Config!$F$6,Config!$F$18))/IF($C196="LT",Config!$G$6,Config!$G$18)))</f>
        <v/>
      </c>
      <c r="X196">
        <f>IF(OR(L196=0,L196=""),"",ABS((L196-IF($C196="LT",Config!$F$7,Config!$F$19))/IF($C196="LT",Config!$G$7,Config!$G$19)))</f>
        <v/>
      </c>
      <c r="Y196">
        <f>IF(OR(M196=0,M196=""),"",ABS((M196-IF($C196="LT",Config!$F$8,Config!$F$20))/IF($C196="LT",Config!$G$8,Config!$G$20)))</f>
        <v/>
      </c>
      <c r="Z196">
        <f>IF(OR(N196=0,N196=""),"",ABS((N196-IF($C196="LT",Config!$F$9,Config!$F$21))/IF($C196="LT",Config!$G$9,Config!$G$21)))</f>
        <v/>
      </c>
      <c r="AA196">
        <f>IF(OR(O196=0,O196=""),"",ABS((O196-IF($C196="LT",Config!$F$10,Config!$F$22))/IF($C196="LT",Config!$G$10,Config!$G$22)))</f>
        <v/>
      </c>
      <c r="AB196">
        <f>IF(OR(P196=0,P196=""),"",ABS((P196-IF($C196="LT",Config!$F$11,Config!$F$23))/IF($C196="LT",Config!$G$11,Config!$G$23)))</f>
        <v/>
      </c>
      <c r="AC196">
        <f>IF(OR(Q196=0,Q196=""),"",ABS((Q196-IF($C196="LT",Config!$F$12,Config!$F$24))/IF($C196="LT",Config!$G$12,Config!$G$24)))</f>
        <v/>
      </c>
      <c r="AD196">
        <f>IF(OR(R196=0,R196=""),"",ABS((R196-IF($C196="LT",Config!$F$13,Config!$F$25))/IF($C196="LT",Config!$G$13,Config!$G$25)))</f>
        <v/>
      </c>
    </row>
    <row r="197">
      <c r="A197" t="inlineStr">
        <is>
          <t>04B1226120598</t>
        </is>
      </c>
      <c r="B197" t="inlineStr">
        <is>
          <t>CRS0000674</t>
        </is>
      </c>
      <c r="C197" t="inlineStr">
        <is>
          <t>MT</t>
        </is>
      </c>
      <c r="D197" t="inlineStr">
        <is>
          <t>TCX413U-DS1B01</t>
        </is>
      </c>
      <c r="E197" s="2" t="n">
        <v>46091</v>
      </c>
      <c r="F197" t="inlineStr">
        <is>
          <t>Fail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>
        <f>IF(OR(G197=0,G197=""),"",ABS((G197-IF($C197="LT",Config!$F$2,Config!$F$14))/IF($C197="LT",Config!$G$2,Config!$G$14)))</f>
        <v/>
      </c>
      <c r="T197">
        <f>IF(OR(H197=0,H197=""),"",ABS((H197-IF($C197="LT",Config!$F$3,Config!$F$15))/IF($C197="LT",Config!$G$3,Config!$G$15)))</f>
        <v/>
      </c>
      <c r="U197">
        <f>IF(OR(I197=0,I197=""),"",ABS((I197-IF($C197="LT",Config!$F$4,Config!$F$16))/IF($C197="LT",Config!$G$4,Config!$G$16)))</f>
        <v/>
      </c>
      <c r="V197">
        <f>IF(OR(J197=0,J197=""),"",ABS((J197-IF($C197="LT",Config!$F$5,Config!$F$17))/IF($C197="LT",Config!$G$5,Config!$G$17)))</f>
        <v/>
      </c>
      <c r="W197">
        <f>IF(OR(K197=0,K197=""),"",ABS((K197-IF($C197="LT",Config!$F$6,Config!$F$18))/IF($C197="LT",Config!$G$6,Config!$G$18)))</f>
        <v/>
      </c>
      <c r="X197">
        <f>IF(OR(L197=0,L197=""),"",ABS((L197-IF($C197="LT",Config!$F$7,Config!$F$19))/IF($C197="LT",Config!$G$7,Config!$G$19)))</f>
        <v/>
      </c>
      <c r="Y197">
        <f>IF(OR(M197=0,M197=""),"",ABS((M197-IF($C197="LT",Config!$F$8,Config!$F$20))/IF($C197="LT",Config!$G$8,Config!$G$20)))</f>
        <v/>
      </c>
      <c r="Z197">
        <f>IF(OR(N197=0,N197=""),"",ABS((N197-IF($C197="LT",Config!$F$9,Config!$F$21))/IF($C197="LT",Config!$G$9,Config!$G$21)))</f>
        <v/>
      </c>
      <c r="AA197">
        <f>IF(OR(O197=0,O197=""),"",ABS((O197-IF($C197="LT",Config!$F$10,Config!$F$22))/IF($C197="LT",Config!$G$10,Config!$G$22)))</f>
        <v/>
      </c>
      <c r="AB197">
        <f>IF(OR(P197=0,P197=""),"",ABS((P197-IF($C197="LT",Config!$F$11,Config!$F$23))/IF($C197="LT",Config!$G$11,Config!$G$23)))</f>
        <v/>
      </c>
      <c r="AC197">
        <f>IF(OR(Q197=0,Q197=""),"",ABS((Q197-IF($C197="LT",Config!$F$12,Config!$F$24))/IF($C197="LT",Config!$G$12,Config!$G$24)))</f>
        <v/>
      </c>
      <c r="AD197">
        <f>IF(OR(R197=0,R197=""),"",ABS((R197-IF($C197="LT",Config!$F$13,Config!$F$25))/IF($C197="LT",Config!$G$13,Config!$G$25)))</f>
        <v/>
      </c>
    </row>
    <row r="198">
      <c r="A198" t="inlineStr">
        <is>
          <t>04C1026120840</t>
        </is>
      </c>
      <c r="B198" t="inlineStr">
        <is>
          <t>CRS0000675</t>
        </is>
      </c>
      <c r="C198" t="inlineStr">
        <is>
          <t>LT</t>
        </is>
      </c>
      <c r="D198" t="inlineStr">
        <is>
          <t>ALX440U-DS3B01</t>
        </is>
      </c>
      <c r="E198" s="2" t="n">
        <v>46091</v>
      </c>
      <c r="F198" t="inlineStr">
        <is>
          <t>Pass</t>
        </is>
      </c>
      <c r="G198" t="n">
        <v>156.6</v>
      </c>
      <c r="H198" t="n">
        <v>93.3</v>
      </c>
      <c r="I198" t="n">
        <v>-1957.8</v>
      </c>
      <c r="J198" t="n">
        <v>69.09999999999999</v>
      </c>
      <c r="K198" t="n">
        <v>0</v>
      </c>
      <c r="L198" t="n">
        <v>1</v>
      </c>
      <c r="M198" t="n">
        <v>0</v>
      </c>
      <c r="N198" t="n">
        <v>68.09999999999999</v>
      </c>
      <c r="O198" t="n">
        <v>114.72</v>
      </c>
      <c r="P198" t="n">
        <v>114.8</v>
      </c>
      <c r="Q198" t="n">
        <v>8.470000000000001</v>
      </c>
      <c r="R198" t="n">
        <v>8.279999999999999</v>
      </c>
      <c r="S198">
        <f>IF(OR(G198=0,G198=""),"",ABS((G198-IF($C198="LT",Config!$F$2,Config!$F$14))/IF($C198="LT",Config!$G$2,Config!$G$14)))</f>
        <v/>
      </c>
      <c r="T198">
        <f>IF(OR(H198=0,H198=""),"",ABS((H198-IF($C198="LT",Config!$F$3,Config!$F$15))/IF($C198="LT",Config!$G$3,Config!$G$15)))</f>
        <v/>
      </c>
      <c r="U198">
        <f>IF(OR(I198=0,I198=""),"",ABS((I198-IF($C198="LT",Config!$F$4,Config!$F$16))/IF($C198="LT",Config!$G$4,Config!$G$16)))</f>
        <v/>
      </c>
      <c r="V198">
        <f>IF(OR(J198=0,J198=""),"",ABS((J198-IF($C198="LT",Config!$F$5,Config!$F$17))/IF($C198="LT",Config!$G$5,Config!$G$17)))</f>
        <v/>
      </c>
      <c r="W198">
        <f>IF(OR(K198=0,K198=""),"",ABS((K198-IF($C198="LT",Config!$F$6,Config!$F$18))/IF($C198="LT",Config!$G$6,Config!$G$18)))</f>
        <v/>
      </c>
      <c r="X198">
        <f>IF(OR(L198=0,L198=""),"",ABS((L198-IF($C198="LT",Config!$F$7,Config!$F$19))/IF($C198="LT",Config!$G$7,Config!$G$19)))</f>
        <v/>
      </c>
      <c r="Y198">
        <f>IF(OR(M198=0,M198=""),"",ABS((M198-IF($C198="LT",Config!$F$8,Config!$F$20))/IF($C198="LT",Config!$G$8,Config!$G$20)))</f>
        <v/>
      </c>
      <c r="Z198">
        <f>IF(OR(N198=0,N198=""),"",ABS((N198-IF($C198="LT",Config!$F$9,Config!$F$21))/IF($C198="LT",Config!$G$9,Config!$G$21)))</f>
        <v/>
      </c>
      <c r="AA198">
        <f>IF(OR(O198=0,O198=""),"",ABS((O198-IF($C198="LT",Config!$F$10,Config!$F$22))/IF($C198="LT",Config!$G$10,Config!$G$22)))</f>
        <v/>
      </c>
      <c r="AB198">
        <f>IF(OR(P198=0,P198=""),"",ABS((P198-IF($C198="LT",Config!$F$11,Config!$F$23))/IF($C198="LT",Config!$G$11,Config!$G$23)))</f>
        <v/>
      </c>
      <c r="AC198">
        <f>IF(OR(Q198=0,Q198=""),"",ABS((Q198-IF($C198="LT",Config!$F$12,Config!$F$24))/IF($C198="LT",Config!$G$12,Config!$G$24)))</f>
        <v/>
      </c>
      <c r="AD198">
        <f>IF(OR(R198=0,R198=""),"",ABS((R198-IF($C198="LT",Config!$F$13,Config!$F$25))/IF($C198="LT",Config!$G$13,Config!$G$25)))</f>
        <v/>
      </c>
    </row>
    <row r="199">
      <c r="A199" t="inlineStr">
        <is>
          <t>04C1026120841</t>
        </is>
      </c>
      <c r="B199" t="inlineStr">
        <is>
          <t>CRS0000675</t>
        </is>
      </c>
      <c r="C199" t="inlineStr">
        <is>
          <t>LT</t>
        </is>
      </c>
      <c r="D199" t="inlineStr">
        <is>
          <t>ALX440U-DS3B01</t>
        </is>
      </c>
      <c r="E199" s="2" t="n">
        <v>46091</v>
      </c>
      <c r="F199" t="inlineStr">
        <is>
          <t>Fail</t>
        </is>
      </c>
      <c r="G199" t="n">
        <v>143.7</v>
      </c>
      <c r="H199" t="n">
        <v>78.90000000000001</v>
      </c>
      <c r="I199" t="n">
        <v>-1957.8</v>
      </c>
      <c r="J199" t="n">
        <v>69.09999999999999</v>
      </c>
      <c r="K199" t="n">
        <v>0</v>
      </c>
      <c r="L199" t="n">
        <v>0.8</v>
      </c>
      <c r="M199" t="n">
        <v>0</v>
      </c>
      <c r="N199" t="n">
        <v>68.3</v>
      </c>
      <c r="O199" t="n">
        <v>111.64</v>
      </c>
      <c r="P199" t="n">
        <v>113.11</v>
      </c>
      <c r="Q199" t="n">
        <v>8.890000000000001</v>
      </c>
      <c r="R199" t="n">
        <v>8.59</v>
      </c>
      <c r="S199">
        <f>IF(OR(G199=0,G199=""),"",ABS((G199-IF($C199="LT",Config!$F$2,Config!$F$14))/IF($C199="LT",Config!$G$2,Config!$G$14)))</f>
        <v/>
      </c>
      <c r="T199">
        <f>IF(OR(H199=0,H199=""),"",ABS((H199-IF($C199="LT",Config!$F$3,Config!$F$15))/IF($C199="LT",Config!$G$3,Config!$G$15)))</f>
        <v/>
      </c>
      <c r="U199">
        <f>IF(OR(I199=0,I199=""),"",ABS((I199-IF($C199="LT",Config!$F$4,Config!$F$16))/IF($C199="LT",Config!$G$4,Config!$G$16)))</f>
        <v/>
      </c>
      <c r="V199">
        <f>IF(OR(J199=0,J199=""),"",ABS((J199-IF($C199="LT",Config!$F$5,Config!$F$17))/IF($C199="LT",Config!$G$5,Config!$G$17)))</f>
        <v/>
      </c>
      <c r="W199">
        <f>IF(OR(K199=0,K199=""),"",ABS((K199-IF($C199="LT",Config!$F$6,Config!$F$18))/IF($C199="LT",Config!$G$6,Config!$G$18)))</f>
        <v/>
      </c>
      <c r="X199">
        <f>IF(OR(L199=0,L199=""),"",ABS((L199-IF($C199="LT",Config!$F$7,Config!$F$19))/IF($C199="LT",Config!$G$7,Config!$G$19)))</f>
        <v/>
      </c>
      <c r="Y199">
        <f>IF(OR(M199=0,M199=""),"",ABS((M199-IF($C199="LT",Config!$F$8,Config!$F$20))/IF($C199="LT",Config!$G$8,Config!$G$20)))</f>
        <v/>
      </c>
      <c r="Z199">
        <f>IF(OR(N199=0,N199=""),"",ABS((N199-IF($C199="LT",Config!$F$9,Config!$F$21))/IF($C199="LT",Config!$G$9,Config!$G$21)))</f>
        <v/>
      </c>
      <c r="AA199">
        <f>IF(OR(O199=0,O199=""),"",ABS((O199-IF($C199="LT",Config!$F$10,Config!$F$22))/IF($C199="LT",Config!$G$10,Config!$G$22)))</f>
        <v/>
      </c>
      <c r="AB199">
        <f>IF(OR(P199=0,P199=""),"",ABS((P199-IF($C199="LT",Config!$F$11,Config!$F$23))/IF($C199="LT",Config!$G$11,Config!$G$23)))</f>
        <v/>
      </c>
      <c r="AC199">
        <f>IF(OR(Q199=0,Q199=""),"",ABS((Q199-IF($C199="LT",Config!$F$12,Config!$F$24))/IF($C199="LT",Config!$G$12,Config!$G$24)))</f>
        <v/>
      </c>
      <c r="AD199">
        <f>IF(OR(R199=0,R199=""),"",ABS((R199-IF($C199="LT",Config!$F$13,Config!$F$25))/IF($C199="LT",Config!$G$13,Config!$G$25)))</f>
        <v/>
      </c>
    </row>
    <row r="200">
      <c r="A200" t="inlineStr">
        <is>
          <t>04C1026120841</t>
        </is>
      </c>
      <c r="B200" t="inlineStr">
        <is>
          <t>CRS0000675</t>
        </is>
      </c>
      <c r="C200" t="inlineStr">
        <is>
          <t>LT</t>
        </is>
      </c>
      <c r="D200" t="inlineStr">
        <is>
          <t>ALX440U-DS3B01</t>
        </is>
      </c>
      <c r="E200" s="2" t="n">
        <v>46091</v>
      </c>
      <c r="F200" t="inlineStr">
        <is>
          <t>Fail</t>
        </is>
      </c>
      <c r="G200" t="n">
        <v>149</v>
      </c>
      <c r="H200" t="n">
        <v>82.5</v>
      </c>
      <c r="I200" t="n">
        <v>-1957.8</v>
      </c>
      <c r="J200" t="n">
        <v>69.09999999999999</v>
      </c>
      <c r="K200" t="n">
        <v>0</v>
      </c>
      <c r="L200" t="n">
        <v>0.7</v>
      </c>
      <c r="M200" t="n">
        <v>0</v>
      </c>
      <c r="N200" t="n">
        <v>68.40000000000001</v>
      </c>
      <c r="O200" t="n">
        <v>114.5</v>
      </c>
      <c r="P200" t="n">
        <v>114.06</v>
      </c>
      <c r="Q200" t="n">
        <v>8.33</v>
      </c>
      <c r="R200" t="n">
        <v>8.35</v>
      </c>
      <c r="S200">
        <f>IF(OR(G200=0,G200=""),"",ABS((G200-IF($C200="LT",Config!$F$2,Config!$F$14))/IF($C200="LT",Config!$G$2,Config!$G$14)))</f>
        <v/>
      </c>
      <c r="T200">
        <f>IF(OR(H200=0,H200=""),"",ABS((H200-IF($C200="LT",Config!$F$3,Config!$F$15))/IF($C200="LT",Config!$G$3,Config!$G$15)))</f>
        <v/>
      </c>
      <c r="U200">
        <f>IF(OR(I200=0,I200=""),"",ABS((I200-IF($C200="LT",Config!$F$4,Config!$F$16))/IF($C200="LT",Config!$G$4,Config!$G$16)))</f>
        <v/>
      </c>
      <c r="V200">
        <f>IF(OR(J200=0,J200=""),"",ABS((J200-IF($C200="LT",Config!$F$5,Config!$F$17))/IF($C200="LT",Config!$G$5,Config!$G$17)))</f>
        <v/>
      </c>
      <c r="W200">
        <f>IF(OR(K200=0,K200=""),"",ABS((K200-IF($C200="LT",Config!$F$6,Config!$F$18))/IF($C200="LT",Config!$G$6,Config!$G$18)))</f>
        <v/>
      </c>
      <c r="X200">
        <f>IF(OR(L200=0,L200=""),"",ABS((L200-IF($C200="LT",Config!$F$7,Config!$F$19))/IF($C200="LT",Config!$G$7,Config!$G$19)))</f>
        <v/>
      </c>
      <c r="Y200">
        <f>IF(OR(M200=0,M200=""),"",ABS((M200-IF($C200="LT",Config!$F$8,Config!$F$20))/IF($C200="LT",Config!$G$8,Config!$G$20)))</f>
        <v/>
      </c>
      <c r="Z200">
        <f>IF(OR(N200=0,N200=""),"",ABS((N200-IF($C200="LT",Config!$F$9,Config!$F$21))/IF($C200="LT",Config!$G$9,Config!$G$21)))</f>
        <v/>
      </c>
      <c r="AA200">
        <f>IF(OR(O200=0,O200=""),"",ABS((O200-IF($C200="LT",Config!$F$10,Config!$F$22))/IF($C200="LT",Config!$G$10,Config!$G$22)))</f>
        <v/>
      </c>
      <c r="AB200">
        <f>IF(OR(P200=0,P200=""),"",ABS((P200-IF($C200="LT",Config!$F$11,Config!$F$23))/IF($C200="LT",Config!$G$11,Config!$G$23)))</f>
        <v/>
      </c>
      <c r="AC200">
        <f>IF(OR(Q200=0,Q200=""),"",ABS((Q200-IF($C200="LT",Config!$F$12,Config!$F$24))/IF($C200="LT",Config!$G$12,Config!$G$24)))</f>
        <v/>
      </c>
      <c r="AD200">
        <f>IF(OR(R200=0,R200=""),"",ABS((R200-IF($C200="LT",Config!$F$13,Config!$F$25))/IF($C200="LT",Config!$G$13,Config!$G$25)))</f>
        <v/>
      </c>
    </row>
    <row r="201">
      <c r="A201" t="inlineStr">
        <is>
          <t>04C1026120841</t>
        </is>
      </c>
      <c r="B201" t="inlineStr">
        <is>
          <t>CRS0000675</t>
        </is>
      </c>
      <c r="C201" t="inlineStr">
        <is>
          <t>LT</t>
        </is>
      </c>
      <c r="D201" t="inlineStr">
        <is>
          <t>ALX440U-DS3B01</t>
        </is>
      </c>
      <c r="E201" s="2" t="n">
        <v>46091</v>
      </c>
      <c r="F201" t="inlineStr">
        <is>
          <t>Pass</t>
        </is>
      </c>
      <c r="G201" t="n">
        <v>151.7</v>
      </c>
      <c r="H201" t="n">
        <v>101.4</v>
      </c>
      <c r="I201" t="n">
        <v>-1957.8</v>
      </c>
      <c r="J201" t="n">
        <v>69.09999999999999</v>
      </c>
      <c r="K201" t="n">
        <v>0</v>
      </c>
      <c r="L201" t="n">
        <v>0.7</v>
      </c>
      <c r="M201" t="n">
        <v>0</v>
      </c>
      <c r="N201" t="n">
        <v>68.40000000000001</v>
      </c>
      <c r="O201" t="n">
        <v>114.5</v>
      </c>
      <c r="P201" t="n">
        <v>114.36</v>
      </c>
      <c r="Q201" t="n">
        <v>8.25</v>
      </c>
      <c r="R201" t="n">
        <v>8.449999999999999</v>
      </c>
      <c r="S201">
        <f>IF(OR(G201=0,G201=""),"",ABS((G201-IF($C201="LT",Config!$F$2,Config!$F$14))/IF($C201="LT",Config!$G$2,Config!$G$14)))</f>
        <v/>
      </c>
      <c r="T201">
        <f>IF(OR(H201=0,H201=""),"",ABS((H201-IF($C201="LT",Config!$F$3,Config!$F$15))/IF($C201="LT",Config!$G$3,Config!$G$15)))</f>
        <v/>
      </c>
      <c r="U201">
        <f>IF(OR(I201=0,I201=""),"",ABS((I201-IF($C201="LT",Config!$F$4,Config!$F$16))/IF($C201="LT",Config!$G$4,Config!$G$16)))</f>
        <v/>
      </c>
      <c r="V201">
        <f>IF(OR(J201=0,J201=""),"",ABS((J201-IF($C201="LT",Config!$F$5,Config!$F$17))/IF($C201="LT",Config!$G$5,Config!$G$17)))</f>
        <v/>
      </c>
      <c r="W201">
        <f>IF(OR(K201=0,K201=""),"",ABS((K201-IF($C201="LT",Config!$F$6,Config!$F$18))/IF($C201="LT",Config!$G$6,Config!$G$18)))</f>
        <v/>
      </c>
      <c r="X201">
        <f>IF(OR(L201=0,L201=""),"",ABS((L201-IF($C201="LT",Config!$F$7,Config!$F$19))/IF($C201="LT",Config!$G$7,Config!$G$19)))</f>
        <v/>
      </c>
      <c r="Y201">
        <f>IF(OR(M201=0,M201=""),"",ABS((M201-IF($C201="LT",Config!$F$8,Config!$F$20))/IF($C201="LT",Config!$G$8,Config!$G$20)))</f>
        <v/>
      </c>
      <c r="Z201">
        <f>IF(OR(N201=0,N201=""),"",ABS((N201-IF($C201="LT",Config!$F$9,Config!$F$21))/IF($C201="LT",Config!$G$9,Config!$G$21)))</f>
        <v/>
      </c>
      <c r="AA201">
        <f>IF(OR(O201=0,O201=""),"",ABS((O201-IF($C201="LT",Config!$F$10,Config!$F$22))/IF($C201="LT",Config!$G$10,Config!$G$22)))</f>
        <v/>
      </c>
      <c r="AB201">
        <f>IF(OR(P201=0,P201=""),"",ABS((P201-IF($C201="LT",Config!$F$11,Config!$F$23))/IF($C201="LT",Config!$G$11,Config!$G$23)))</f>
        <v/>
      </c>
      <c r="AC201">
        <f>IF(OR(Q201=0,Q201=""),"",ABS((Q201-IF($C201="LT",Config!$F$12,Config!$F$24))/IF($C201="LT",Config!$G$12,Config!$G$24)))</f>
        <v/>
      </c>
      <c r="AD201">
        <f>IF(OR(R201=0,R201=""),"",ABS((R201-IF($C201="LT",Config!$F$13,Config!$F$25))/IF($C201="LT",Config!$G$13,Config!$G$25)))</f>
        <v/>
      </c>
    </row>
    <row r="202">
      <c r="A202" t="inlineStr">
        <is>
          <t>04C1026120842</t>
        </is>
      </c>
      <c r="B202" t="inlineStr">
        <is>
          <t>CRS0000675</t>
        </is>
      </c>
      <c r="C202" t="inlineStr">
        <is>
          <t>LT</t>
        </is>
      </c>
      <c r="D202" t="inlineStr">
        <is>
          <t>ALX440U-DS3B01</t>
        </is>
      </c>
      <c r="E202" s="2" t="n">
        <v>46091</v>
      </c>
      <c r="F202" t="inlineStr">
        <is>
          <t>Fail</t>
        </is>
      </c>
      <c r="G202" t="n">
        <v>135.6</v>
      </c>
      <c r="H202" t="n">
        <v>97.3</v>
      </c>
      <c r="I202" t="n">
        <v>-1957.8</v>
      </c>
      <c r="J202" t="n">
        <v>69.09999999999999</v>
      </c>
      <c r="K202" t="n">
        <v>0</v>
      </c>
      <c r="L202" t="n">
        <v>1.2</v>
      </c>
      <c r="M202" t="n">
        <v>0</v>
      </c>
      <c r="N202" t="n">
        <v>67.90000000000001</v>
      </c>
      <c r="O202" t="n">
        <v>111.2</v>
      </c>
      <c r="P202" t="n">
        <v>117.44</v>
      </c>
      <c r="Q202" t="n">
        <v>8.4</v>
      </c>
      <c r="R202" t="n">
        <v>7.79</v>
      </c>
      <c r="S202">
        <f>IF(OR(G202=0,G202=""),"",ABS((G202-IF($C202="LT",Config!$F$2,Config!$F$14))/IF($C202="LT",Config!$G$2,Config!$G$14)))</f>
        <v/>
      </c>
      <c r="T202">
        <f>IF(OR(H202=0,H202=""),"",ABS((H202-IF($C202="LT",Config!$F$3,Config!$F$15))/IF($C202="LT",Config!$G$3,Config!$G$15)))</f>
        <v/>
      </c>
      <c r="U202">
        <f>IF(OR(I202=0,I202=""),"",ABS((I202-IF($C202="LT",Config!$F$4,Config!$F$16))/IF($C202="LT",Config!$G$4,Config!$G$16)))</f>
        <v/>
      </c>
      <c r="V202">
        <f>IF(OR(J202=0,J202=""),"",ABS((J202-IF($C202="LT",Config!$F$5,Config!$F$17))/IF($C202="LT",Config!$G$5,Config!$G$17)))</f>
        <v/>
      </c>
      <c r="W202">
        <f>IF(OR(K202=0,K202=""),"",ABS((K202-IF($C202="LT",Config!$F$6,Config!$F$18))/IF($C202="LT",Config!$G$6,Config!$G$18)))</f>
        <v/>
      </c>
      <c r="X202">
        <f>IF(OR(L202=0,L202=""),"",ABS((L202-IF($C202="LT",Config!$F$7,Config!$F$19))/IF($C202="LT",Config!$G$7,Config!$G$19)))</f>
        <v/>
      </c>
      <c r="Y202">
        <f>IF(OR(M202=0,M202=""),"",ABS((M202-IF($C202="LT",Config!$F$8,Config!$F$20))/IF($C202="LT",Config!$G$8,Config!$G$20)))</f>
        <v/>
      </c>
      <c r="Z202">
        <f>IF(OR(N202=0,N202=""),"",ABS((N202-IF($C202="LT",Config!$F$9,Config!$F$21))/IF($C202="LT",Config!$G$9,Config!$G$21)))</f>
        <v/>
      </c>
      <c r="AA202">
        <f>IF(OR(O202=0,O202=""),"",ABS((O202-IF($C202="LT",Config!$F$10,Config!$F$22))/IF($C202="LT",Config!$G$10,Config!$G$22)))</f>
        <v/>
      </c>
      <c r="AB202">
        <f>IF(OR(P202=0,P202=""),"",ABS((P202-IF($C202="LT",Config!$F$11,Config!$F$23))/IF($C202="LT",Config!$G$11,Config!$G$23)))</f>
        <v/>
      </c>
      <c r="AC202">
        <f>IF(OR(Q202=0,Q202=""),"",ABS((Q202-IF($C202="LT",Config!$F$12,Config!$F$24))/IF($C202="LT",Config!$G$12,Config!$G$24)))</f>
        <v/>
      </c>
      <c r="AD202">
        <f>IF(OR(R202=0,R202=""),"",ABS((R202-IF($C202="LT",Config!$F$13,Config!$F$25))/IF($C202="LT",Config!$G$13,Config!$G$25)))</f>
        <v/>
      </c>
    </row>
    <row r="203">
      <c r="A203" t="inlineStr">
        <is>
          <t>04C1026120842</t>
        </is>
      </c>
      <c r="B203" t="inlineStr">
        <is>
          <t>CRS0000675</t>
        </is>
      </c>
      <c r="C203" t="inlineStr">
        <is>
          <t>LT</t>
        </is>
      </c>
      <c r="D203" t="inlineStr">
        <is>
          <t>ALX440U-DS3B01</t>
        </is>
      </c>
      <c r="E203" s="2" t="n">
        <v>46091</v>
      </c>
      <c r="F203" t="inlineStr">
        <is>
          <t>Pass</t>
        </is>
      </c>
      <c r="G203" t="n">
        <v>158</v>
      </c>
      <c r="H203" t="n">
        <v>96.90000000000001</v>
      </c>
      <c r="I203" t="n">
        <v>-1957.8</v>
      </c>
      <c r="J203" t="n">
        <v>69.5</v>
      </c>
      <c r="K203" t="n">
        <v>0</v>
      </c>
      <c r="L203" t="n">
        <v>0.6</v>
      </c>
      <c r="M203" t="n">
        <v>0</v>
      </c>
      <c r="N203" t="n">
        <v>68.90000000000001</v>
      </c>
      <c r="O203" t="n">
        <v>111.28</v>
      </c>
      <c r="P203" t="n">
        <v>117.44</v>
      </c>
      <c r="Q203" t="n">
        <v>8.130000000000001</v>
      </c>
      <c r="R203" t="n">
        <v>7.84</v>
      </c>
      <c r="S203">
        <f>IF(OR(G203=0,G203=""),"",ABS((G203-IF($C203="LT",Config!$F$2,Config!$F$14))/IF($C203="LT",Config!$G$2,Config!$G$14)))</f>
        <v/>
      </c>
      <c r="T203">
        <f>IF(OR(H203=0,H203=""),"",ABS((H203-IF($C203="LT",Config!$F$3,Config!$F$15))/IF($C203="LT",Config!$G$3,Config!$G$15)))</f>
        <v/>
      </c>
      <c r="U203">
        <f>IF(OR(I203=0,I203=""),"",ABS((I203-IF($C203="LT",Config!$F$4,Config!$F$16))/IF($C203="LT",Config!$G$4,Config!$G$16)))</f>
        <v/>
      </c>
      <c r="V203">
        <f>IF(OR(J203=0,J203=""),"",ABS((J203-IF($C203="LT",Config!$F$5,Config!$F$17))/IF($C203="LT",Config!$G$5,Config!$G$17)))</f>
        <v/>
      </c>
      <c r="W203">
        <f>IF(OR(K203=0,K203=""),"",ABS((K203-IF($C203="LT",Config!$F$6,Config!$F$18))/IF($C203="LT",Config!$G$6,Config!$G$18)))</f>
        <v/>
      </c>
      <c r="X203">
        <f>IF(OR(L203=0,L203=""),"",ABS((L203-IF($C203="LT",Config!$F$7,Config!$F$19))/IF($C203="LT",Config!$G$7,Config!$G$19)))</f>
        <v/>
      </c>
      <c r="Y203">
        <f>IF(OR(M203=0,M203=""),"",ABS((M203-IF($C203="LT",Config!$F$8,Config!$F$20))/IF($C203="LT",Config!$G$8,Config!$G$20)))</f>
        <v/>
      </c>
      <c r="Z203">
        <f>IF(OR(N203=0,N203=""),"",ABS((N203-IF($C203="LT",Config!$F$9,Config!$F$21))/IF($C203="LT",Config!$G$9,Config!$G$21)))</f>
        <v/>
      </c>
      <c r="AA203">
        <f>IF(OR(O203=0,O203=""),"",ABS((O203-IF($C203="LT",Config!$F$10,Config!$F$22))/IF($C203="LT",Config!$G$10,Config!$G$22)))</f>
        <v/>
      </c>
      <c r="AB203">
        <f>IF(OR(P203=0,P203=""),"",ABS((P203-IF($C203="LT",Config!$F$11,Config!$F$23))/IF($C203="LT",Config!$G$11,Config!$G$23)))</f>
        <v/>
      </c>
      <c r="AC203">
        <f>IF(OR(Q203=0,Q203=""),"",ABS((Q203-IF($C203="LT",Config!$F$12,Config!$F$24))/IF($C203="LT",Config!$G$12,Config!$G$24)))</f>
        <v/>
      </c>
      <c r="AD203">
        <f>IF(OR(R203=0,R203=""),"",ABS((R203-IF($C203="LT",Config!$F$13,Config!$F$25))/IF($C203="LT",Config!$G$13,Config!$G$25)))</f>
        <v/>
      </c>
    </row>
    <row r="204">
      <c r="A204" t="inlineStr">
        <is>
          <t>04C1026120889</t>
        </is>
      </c>
      <c r="B204" t="inlineStr">
        <is>
          <t>CRS0000675</t>
        </is>
      </c>
      <c r="C204" t="inlineStr">
        <is>
          <t>LT</t>
        </is>
      </c>
      <c r="D204" t="inlineStr">
        <is>
          <t>ALX440U-DS3B01</t>
        </is>
      </c>
      <c r="E204" s="2" t="n">
        <v>46091</v>
      </c>
      <c r="F204" t="inlineStr">
        <is>
          <t>Pass</t>
        </is>
      </c>
      <c r="G204" t="n">
        <v>153</v>
      </c>
      <c r="H204" t="n">
        <v>103.7</v>
      </c>
      <c r="I204" t="n">
        <v>-1957.8</v>
      </c>
      <c r="J204" t="n">
        <v>69.5</v>
      </c>
      <c r="K204" t="n">
        <v>0</v>
      </c>
      <c r="L204" t="n">
        <v>0.3</v>
      </c>
      <c r="M204" t="n">
        <v>0</v>
      </c>
      <c r="N204" t="n">
        <v>69.2</v>
      </c>
      <c r="O204" t="n">
        <v>110.98</v>
      </c>
      <c r="P204" t="n">
        <v>117.29</v>
      </c>
      <c r="Q204" t="n">
        <v>8.91</v>
      </c>
      <c r="R204" t="n">
        <v>8.25</v>
      </c>
      <c r="S204">
        <f>IF(OR(G204=0,G204=""),"",ABS((G204-IF($C204="LT",Config!$F$2,Config!$F$14))/IF($C204="LT",Config!$G$2,Config!$G$14)))</f>
        <v/>
      </c>
      <c r="T204">
        <f>IF(OR(H204=0,H204=""),"",ABS((H204-IF($C204="LT",Config!$F$3,Config!$F$15))/IF($C204="LT",Config!$G$3,Config!$G$15)))</f>
        <v/>
      </c>
      <c r="U204">
        <f>IF(OR(I204=0,I204=""),"",ABS((I204-IF($C204="LT",Config!$F$4,Config!$F$16))/IF($C204="LT",Config!$G$4,Config!$G$16)))</f>
        <v/>
      </c>
      <c r="V204">
        <f>IF(OR(J204=0,J204=""),"",ABS((J204-IF($C204="LT",Config!$F$5,Config!$F$17))/IF($C204="LT",Config!$G$5,Config!$G$17)))</f>
        <v/>
      </c>
      <c r="W204">
        <f>IF(OR(K204=0,K204=""),"",ABS((K204-IF($C204="LT",Config!$F$6,Config!$F$18))/IF($C204="LT",Config!$G$6,Config!$G$18)))</f>
        <v/>
      </c>
      <c r="X204">
        <f>IF(OR(L204=0,L204=""),"",ABS((L204-IF($C204="LT",Config!$F$7,Config!$F$19))/IF($C204="LT",Config!$G$7,Config!$G$19)))</f>
        <v/>
      </c>
      <c r="Y204">
        <f>IF(OR(M204=0,M204=""),"",ABS((M204-IF($C204="LT",Config!$F$8,Config!$F$20))/IF($C204="LT",Config!$G$8,Config!$G$20)))</f>
        <v/>
      </c>
      <c r="Z204">
        <f>IF(OR(N204=0,N204=""),"",ABS((N204-IF($C204="LT",Config!$F$9,Config!$F$21))/IF($C204="LT",Config!$G$9,Config!$G$21)))</f>
        <v/>
      </c>
      <c r="AA204">
        <f>IF(OR(O204=0,O204=""),"",ABS((O204-IF($C204="LT",Config!$F$10,Config!$F$22))/IF($C204="LT",Config!$G$10,Config!$G$22)))</f>
        <v/>
      </c>
      <c r="AB204">
        <f>IF(OR(P204=0,P204=""),"",ABS((P204-IF($C204="LT",Config!$F$11,Config!$F$23))/IF($C204="LT",Config!$G$11,Config!$G$23)))</f>
        <v/>
      </c>
      <c r="AC204">
        <f>IF(OR(Q204=0,Q204=""),"",ABS((Q204-IF($C204="LT",Config!$F$12,Config!$F$24))/IF($C204="LT",Config!$G$12,Config!$G$24)))</f>
        <v/>
      </c>
      <c r="AD204">
        <f>IF(OR(R204=0,R204=""),"",ABS((R204-IF($C204="LT",Config!$F$13,Config!$F$25))/IF($C204="LT",Config!$G$13,Config!$G$25)))</f>
        <v/>
      </c>
    </row>
    <row r="205">
      <c r="A205" t="inlineStr">
        <is>
          <t>04C1026120844</t>
        </is>
      </c>
      <c r="B205" t="inlineStr">
        <is>
          <t>CRS0000675</t>
        </is>
      </c>
      <c r="C205" t="inlineStr">
        <is>
          <t>LT</t>
        </is>
      </c>
      <c r="D205" t="inlineStr">
        <is>
          <t>ALX440U-DS3B01</t>
        </is>
      </c>
      <c r="E205" s="2" t="n">
        <v>46091</v>
      </c>
      <c r="F205" t="inlineStr">
        <is>
          <t>Fail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>
        <f>IF(OR(G205=0,G205=""),"",ABS((G205-IF($C205="LT",Config!$F$2,Config!$F$14))/IF($C205="LT",Config!$G$2,Config!$G$14)))</f>
        <v/>
      </c>
      <c r="T205">
        <f>IF(OR(H205=0,H205=""),"",ABS((H205-IF($C205="LT",Config!$F$3,Config!$F$15))/IF($C205="LT",Config!$G$3,Config!$G$15)))</f>
        <v/>
      </c>
      <c r="U205">
        <f>IF(OR(I205=0,I205=""),"",ABS((I205-IF($C205="LT",Config!$F$4,Config!$F$16))/IF($C205="LT",Config!$G$4,Config!$G$16)))</f>
        <v/>
      </c>
      <c r="V205">
        <f>IF(OR(J205=0,J205=""),"",ABS((J205-IF($C205="LT",Config!$F$5,Config!$F$17))/IF($C205="LT",Config!$G$5,Config!$G$17)))</f>
        <v/>
      </c>
      <c r="W205">
        <f>IF(OR(K205=0,K205=""),"",ABS((K205-IF($C205="LT",Config!$F$6,Config!$F$18))/IF($C205="LT",Config!$G$6,Config!$G$18)))</f>
        <v/>
      </c>
      <c r="X205">
        <f>IF(OR(L205=0,L205=""),"",ABS((L205-IF($C205="LT",Config!$F$7,Config!$F$19))/IF($C205="LT",Config!$G$7,Config!$G$19)))</f>
        <v/>
      </c>
      <c r="Y205">
        <f>IF(OR(M205=0,M205=""),"",ABS((M205-IF($C205="LT",Config!$F$8,Config!$F$20))/IF($C205="LT",Config!$G$8,Config!$G$20)))</f>
        <v/>
      </c>
      <c r="Z205">
        <f>IF(OR(N205=0,N205=""),"",ABS((N205-IF($C205="LT",Config!$F$9,Config!$F$21))/IF($C205="LT",Config!$G$9,Config!$G$21)))</f>
        <v/>
      </c>
      <c r="AA205">
        <f>IF(OR(O205=0,O205=""),"",ABS((O205-IF($C205="LT",Config!$F$10,Config!$F$22))/IF($C205="LT",Config!$G$10,Config!$G$22)))</f>
        <v/>
      </c>
      <c r="AB205">
        <f>IF(OR(P205=0,P205=""),"",ABS((P205-IF($C205="LT",Config!$F$11,Config!$F$23))/IF($C205="LT",Config!$G$11,Config!$G$23)))</f>
        <v/>
      </c>
      <c r="AC205">
        <f>IF(OR(Q205=0,Q205=""),"",ABS((Q205-IF($C205="LT",Config!$F$12,Config!$F$24))/IF($C205="LT",Config!$G$12,Config!$G$24)))</f>
        <v/>
      </c>
      <c r="AD205">
        <f>IF(OR(R205=0,R205=""),"",ABS((R205-IF($C205="LT",Config!$F$13,Config!$F$25))/IF($C205="LT",Config!$G$13,Config!$G$25)))</f>
        <v/>
      </c>
    </row>
    <row r="206">
      <c r="A206" t="inlineStr">
        <is>
          <t>04C1026120844</t>
        </is>
      </c>
      <c r="B206" t="inlineStr">
        <is>
          <t>CRS0000675</t>
        </is>
      </c>
      <c r="C206" t="inlineStr">
        <is>
          <t>LT</t>
        </is>
      </c>
      <c r="D206" t="inlineStr">
        <is>
          <t>ALX440U-DS3B01</t>
        </is>
      </c>
      <c r="E206" s="2" t="n">
        <v>46091</v>
      </c>
      <c r="F206" t="inlineStr">
        <is>
          <t>Fail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>
        <f>IF(OR(G206=0,G206=""),"",ABS((G206-IF($C206="LT",Config!$F$2,Config!$F$14))/IF($C206="LT",Config!$G$2,Config!$G$14)))</f>
        <v/>
      </c>
      <c r="T206">
        <f>IF(OR(H206=0,H206=""),"",ABS((H206-IF($C206="LT",Config!$F$3,Config!$F$15))/IF($C206="LT",Config!$G$3,Config!$G$15)))</f>
        <v/>
      </c>
      <c r="U206">
        <f>IF(OR(I206=0,I206=""),"",ABS((I206-IF($C206="LT",Config!$F$4,Config!$F$16))/IF($C206="LT",Config!$G$4,Config!$G$16)))</f>
        <v/>
      </c>
      <c r="V206">
        <f>IF(OR(J206=0,J206=""),"",ABS((J206-IF($C206="LT",Config!$F$5,Config!$F$17))/IF($C206="LT",Config!$G$5,Config!$G$17)))</f>
        <v/>
      </c>
      <c r="W206">
        <f>IF(OR(K206=0,K206=""),"",ABS((K206-IF($C206="LT",Config!$F$6,Config!$F$18))/IF($C206="LT",Config!$G$6,Config!$G$18)))</f>
        <v/>
      </c>
      <c r="X206">
        <f>IF(OR(L206=0,L206=""),"",ABS((L206-IF($C206="LT",Config!$F$7,Config!$F$19))/IF($C206="LT",Config!$G$7,Config!$G$19)))</f>
        <v/>
      </c>
      <c r="Y206">
        <f>IF(OR(M206=0,M206=""),"",ABS((M206-IF($C206="LT",Config!$F$8,Config!$F$20))/IF($C206="LT",Config!$G$8,Config!$G$20)))</f>
        <v/>
      </c>
      <c r="Z206">
        <f>IF(OR(N206=0,N206=""),"",ABS((N206-IF($C206="LT",Config!$F$9,Config!$F$21))/IF($C206="LT",Config!$G$9,Config!$G$21)))</f>
        <v/>
      </c>
      <c r="AA206">
        <f>IF(OR(O206=0,O206=""),"",ABS((O206-IF($C206="LT",Config!$F$10,Config!$F$22))/IF($C206="LT",Config!$G$10,Config!$G$22)))</f>
        <v/>
      </c>
      <c r="AB206">
        <f>IF(OR(P206=0,P206=""),"",ABS((P206-IF($C206="LT",Config!$F$11,Config!$F$23))/IF($C206="LT",Config!$G$11,Config!$G$23)))</f>
        <v/>
      </c>
      <c r="AC206">
        <f>IF(OR(Q206=0,Q206=""),"",ABS((Q206-IF($C206="LT",Config!$F$12,Config!$F$24))/IF($C206="LT",Config!$G$12,Config!$G$24)))</f>
        <v/>
      </c>
      <c r="AD206">
        <f>IF(OR(R206=0,R206=""),"",ABS((R206-IF($C206="LT",Config!$F$13,Config!$F$25))/IF($C206="LT",Config!$G$13,Config!$G$25)))</f>
        <v/>
      </c>
    </row>
    <row r="207">
      <c r="A207" t="inlineStr">
        <is>
          <t>04C1026120844</t>
        </is>
      </c>
      <c r="B207" t="inlineStr">
        <is>
          <t>CRS0000675</t>
        </is>
      </c>
      <c r="C207" t="inlineStr">
        <is>
          <t>LT</t>
        </is>
      </c>
      <c r="D207" t="inlineStr">
        <is>
          <t>ALX440U-DS3B01</t>
        </is>
      </c>
      <c r="E207" s="2" t="n">
        <v>46091</v>
      </c>
      <c r="F207" t="inlineStr">
        <is>
          <t>Pass</t>
        </is>
      </c>
      <c r="G207" t="n">
        <v>158.4</v>
      </c>
      <c r="H207" t="n">
        <v>103.7</v>
      </c>
      <c r="I207" t="n">
        <v>-1957.8</v>
      </c>
      <c r="J207" t="n">
        <v>70.8</v>
      </c>
      <c r="K207" t="n">
        <v>0</v>
      </c>
      <c r="L207" t="n">
        <v>1.1</v>
      </c>
      <c r="M207" t="n">
        <v>0</v>
      </c>
      <c r="N207" t="n">
        <v>69.7</v>
      </c>
      <c r="O207" t="n">
        <v>111.79</v>
      </c>
      <c r="P207" t="n">
        <v>113.11</v>
      </c>
      <c r="Q207" t="n">
        <v>8.59</v>
      </c>
      <c r="R207" t="n">
        <v>8.5</v>
      </c>
      <c r="S207">
        <f>IF(OR(G207=0,G207=""),"",ABS((G207-IF($C207="LT",Config!$F$2,Config!$F$14))/IF($C207="LT",Config!$G$2,Config!$G$14)))</f>
        <v/>
      </c>
      <c r="T207">
        <f>IF(OR(H207=0,H207=""),"",ABS((H207-IF($C207="LT",Config!$F$3,Config!$F$15))/IF($C207="LT",Config!$G$3,Config!$G$15)))</f>
        <v/>
      </c>
      <c r="U207">
        <f>IF(OR(I207=0,I207=""),"",ABS((I207-IF($C207="LT",Config!$F$4,Config!$F$16))/IF($C207="LT",Config!$G$4,Config!$G$16)))</f>
        <v/>
      </c>
      <c r="V207">
        <f>IF(OR(J207=0,J207=""),"",ABS((J207-IF($C207="LT",Config!$F$5,Config!$F$17))/IF($C207="LT",Config!$G$5,Config!$G$17)))</f>
        <v/>
      </c>
      <c r="W207">
        <f>IF(OR(K207=0,K207=""),"",ABS((K207-IF($C207="LT",Config!$F$6,Config!$F$18))/IF($C207="LT",Config!$G$6,Config!$G$18)))</f>
        <v/>
      </c>
      <c r="X207">
        <f>IF(OR(L207=0,L207=""),"",ABS((L207-IF($C207="LT",Config!$F$7,Config!$F$19))/IF($C207="LT",Config!$G$7,Config!$G$19)))</f>
        <v/>
      </c>
      <c r="Y207">
        <f>IF(OR(M207=0,M207=""),"",ABS((M207-IF($C207="LT",Config!$F$8,Config!$F$20))/IF($C207="LT",Config!$G$8,Config!$G$20)))</f>
        <v/>
      </c>
      <c r="Z207">
        <f>IF(OR(N207=0,N207=""),"",ABS((N207-IF($C207="LT",Config!$F$9,Config!$F$21))/IF($C207="LT",Config!$G$9,Config!$G$21)))</f>
        <v/>
      </c>
      <c r="AA207">
        <f>IF(OR(O207=0,O207=""),"",ABS((O207-IF($C207="LT",Config!$F$10,Config!$F$22))/IF($C207="LT",Config!$G$10,Config!$G$22)))</f>
        <v/>
      </c>
      <c r="AB207">
        <f>IF(OR(P207=0,P207=""),"",ABS((P207-IF($C207="LT",Config!$F$11,Config!$F$23))/IF($C207="LT",Config!$G$11,Config!$G$23)))</f>
        <v/>
      </c>
      <c r="AC207">
        <f>IF(OR(Q207=0,Q207=""),"",ABS((Q207-IF($C207="LT",Config!$F$12,Config!$F$24))/IF($C207="LT",Config!$G$12,Config!$G$24)))</f>
        <v/>
      </c>
      <c r="AD207">
        <f>IF(OR(R207=0,R207=""),"",ABS((R207-IF($C207="LT",Config!$F$13,Config!$F$25))/IF($C207="LT",Config!$G$13,Config!$G$25)))</f>
        <v/>
      </c>
    </row>
    <row r="208">
      <c r="A208" t="inlineStr">
        <is>
          <t>04C1026120844</t>
        </is>
      </c>
      <c r="B208" t="inlineStr">
        <is>
          <t>CRS0000675</t>
        </is>
      </c>
      <c r="C208" t="inlineStr">
        <is>
          <t>LT</t>
        </is>
      </c>
      <c r="D208" t="inlineStr">
        <is>
          <t>ALX440U-DS3B01</t>
        </is>
      </c>
      <c r="E208" s="2" t="n">
        <v>46091</v>
      </c>
      <c r="F208" t="inlineStr">
        <is>
          <t>Pass</t>
        </is>
      </c>
      <c r="G208" t="n">
        <v>147.7</v>
      </c>
      <c r="H208" t="n">
        <v>100.5</v>
      </c>
      <c r="I208" t="n">
        <v>-1957.8</v>
      </c>
      <c r="J208" t="n">
        <v>70.8</v>
      </c>
      <c r="K208" t="n">
        <v>0</v>
      </c>
      <c r="L208" t="n">
        <v>1.6</v>
      </c>
      <c r="M208" t="n">
        <v>0</v>
      </c>
      <c r="N208" t="n">
        <v>69.2</v>
      </c>
      <c r="O208" t="n">
        <v>111.72</v>
      </c>
      <c r="P208" t="n">
        <v>113.18</v>
      </c>
      <c r="Q208" t="n">
        <v>8.06</v>
      </c>
      <c r="R208" t="n">
        <v>8.15</v>
      </c>
      <c r="S208">
        <f>IF(OR(G208=0,G208=""),"",ABS((G208-IF($C208="LT",Config!$F$2,Config!$F$14))/IF($C208="LT",Config!$G$2,Config!$G$14)))</f>
        <v/>
      </c>
      <c r="T208">
        <f>IF(OR(H208=0,H208=""),"",ABS((H208-IF($C208="LT",Config!$F$3,Config!$F$15))/IF($C208="LT",Config!$G$3,Config!$G$15)))</f>
        <v/>
      </c>
      <c r="U208">
        <f>IF(OR(I208=0,I208=""),"",ABS((I208-IF($C208="LT",Config!$F$4,Config!$F$16))/IF($C208="LT",Config!$G$4,Config!$G$16)))</f>
        <v/>
      </c>
      <c r="V208">
        <f>IF(OR(J208=0,J208=""),"",ABS((J208-IF($C208="LT",Config!$F$5,Config!$F$17))/IF($C208="LT",Config!$G$5,Config!$G$17)))</f>
        <v/>
      </c>
      <c r="W208">
        <f>IF(OR(K208=0,K208=""),"",ABS((K208-IF($C208="LT",Config!$F$6,Config!$F$18))/IF($C208="LT",Config!$G$6,Config!$G$18)))</f>
        <v/>
      </c>
      <c r="X208">
        <f>IF(OR(L208=0,L208=""),"",ABS((L208-IF($C208="LT",Config!$F$7,Config!$F$19))/IF($C208="LT",Config!$G$7,Config!$G$19)))</f>
        <v/>
      </c>
      <c r="Y208">
        <f>IF(OR(M208=0,M208=""),"",ABS((M208-IF($C208="LT",Config!$F$8,Config!$F$20))/IF($C208="LT",Config!$G$8,Config!$G$20)))</f>
        <v/>
      </c>
      <c r="Z208">
        <f>IF(OR(N208=0,N208=""),"",ABS((N208-IF($C208="LT",Config!$F$9,Config!$F$21))/IF($C208="LT",Config!$G$9,Config!$G$21)))</f>
        <v/>
      </c>
      <c r="AA208">
        <f>IF(OR(O208=0,O208=""),"",ABS((O208-IF($C208="LT",Config!$F$10,Config!$F$22))/IF($C208="LT",Config!$G$10,Config!$G$22)))</f>
        <v/>
      </c>
      <c r="AB208">
        <f>IF(OR(P208=0,P208=""),"",ABS((P208-IF($C208="LT",Config!$F$11,Config!$F$23))/IF($C208="LT",Config!$G$11,Config!$G$23)))</f>
        <v/>
      </c>
      <c r="AC208">
        <f>IF(OR(Q208=0,Q208=""),"",ABS((Q208-IF($C208="LT",Config!$F$12,Config!$F$24))/IF($C208="LT",Config!$G$12,Config!$G$24)))</f>
        <v/>
      </c>
      <c r="AD208">
        <f>IF(OR(R208=0,R208=""),"",ABS((R208-IF($C208="LT",Config!$F$13,Config!$F$25))/IF($C208="LT",Config!$G$13,Config!$G$25)))</f>
        <v/>
      </c>
    </row>
    <row r="209">
      <c r="A209" t="inlineStr">
        <is>
          <t>04C1026120845</t>
        </is>
      </c>
      <c r="B209" t="inlineStr">
        <is>
          <t>CRS0000675</t>
        </is>
      </c>
      <c r="C209" t="inlineStr">
        <is>
          <t>LT</t>
        </is>
      </c>
      <c r="D209" t="inlineStr">
        <is>
          <t>ALX440U-DS3B01</t>
        </is>
      </c>
      <c r="E209" s="2" t="n">
        <v>46091</v>
      </c>
      <c r="F209" t="inlineStr">
        <is>
          <t>Fail</t>
        </is>
      </c>
      <c r="G209" t="n">
        <v>141.9</v>
      </c>
      <c r="H209" t="n">
        <v>95.5</v>
      </c>
      <c r="I209" t="n">
        <v>-1957.8</v>
      </c>
      <c r="J209" t="n">
        <v>71.3</v>
      </c>
      <c r="K209" t="n">
        <v>0</v>
      </c>
      <c r="L209" t="n">
        <v>2</v>
      </c>
      <c r="M209" t="n">
        <v>0</v>
      </c>
      <c r="N209" t="n">
        <v>69.3</v>
      </c>
      <c r="O209" t="n">
        <v>114.43</v>
      </c>
      <c r="P209" t="n">
        <v>114.5</v>
      </c>
      <c r="Q209" t="n">
        <v>8.539999999999999</v>
      </c>
      <c r="R209" t="n">
        <v>8.369999999999999</v>
      </c>
      <c r="S209">
        <f>IF(OR(G209=0,G209=""),"",ABS((G209-IF($C209="LT",Config!$F$2,Config!$F$14))/IF($C209="LT",Config!$G$2,Config!$G$14)))</f>
        <v/>
      </c>
      <c r="T209">
        <f>IF(OR(H209=0,H209=""),"",ABS((H209-IF($C209="LT",Config!$F$3,Config!$F$15))/IF($C209="LT",Config!$G$3,Config!$G$15)))</f>
        <v/>
      </c>
      <c r="U209">
        <f>IF(OR(I209=0,I209=""),"",ABS((I209-IF($C209="LT",Config!$F$4,Config!$F$16))/IF($C209="LT",Config!$G$4,Config!$G$16)))</f>
        <v/>
      </c>
      <c r="V209">
        <f>IF(OR(J209=0,J209=""),"",ABS((J209-IF($C209="LT",Config!$F$5,Config!$F$17))/IF($C209="LT",Config!$G$5,Config!$G$17)))</f>
        <v/>
      </c>
      <c r="W209">
        <f>IF(OR(K209=0,K209=""),"",ABS((K209-IF($C209="LT",Config!$F$6,Config!$F$18))/IF($C209="LT",Config!$G$6,Config!$G$18)))</f>
        <v/>
      </c>
      <c r="X209">
        <f>IF(OR(L209=0,L209=""),"",ABS((L209-IF($C209="LT",Config!$F$7,Config!$F$19))/IF($C209="LT",Config!$G$7,Config!$G$19)))</f>
        <v/>
      </c>
      <c r="Y209">
        <f>IF(OR(M209=0,M209=""),"",ABS((M209-IF($C209="LT",Config!$F$8,Config!$F$20))/IF($C209="LT",Config!$G$8,Config!$G$20)))</f>
        <v/>
      </c>
      <c r="Z209">
        <f>IF(OR(N209=0,N209=""),"",ABS((N209-IF($C209="LT",Config!$F$9,Config!$F$21))/IF($C209="LT",Config!$G$9,Config!$G$21)))</f>
        <v/>
      </c>
      <c r="AA209">
        <f>IF(OR(O209=0,O209=""),"",ABS((O209-IF($C209="LT",Config!$F$10,Config!$F$22))/IF($C209="LT",Config!$G$10,Config!$G$22)))</f>
        <v/>
      </c>
      <c r="AB209">
        <f>IF(OR(P209=0,P209=""),"",ABS((P209-IF($C209="LT",Config!$F$11,Config!$F$23))/IF($C209="LT",Config!$G$11,Config!$G$23)))</f>
        <v/>
      </c>
      <c r="AC209">
        <f>IF(OR(Q209=0,Q209=""),"",ABS((Q209-IF($C209="LT",Config!$F$12,Config!$F$24))/IF($C209="LT",Config!$G$12,Config!$G$24)))</f>
        <v/>
      </c>
      <c r="AD209">
        <f>IF(OR(R209=0,R209=""),"",ABS((R209-IF($C209="LT",Config!$F$13,Config!$F$25))/IF($C209="LT",Config!$G$13,Config!$G$25)))</f>
        <v/>
      </c>
    </row>
    <row r="210">
      <c r="A210" t="inlineStr">
        <is>
          <t>04C1026120845</t>
        </is>
      </c>
      <c r="B210" t="inlineStr">
        <is>
          <t>CRS0000675</t>
        </is>
      </c>
      <c r="C210" t="inlineStr">
        <is>
          <t>LT</t>
        </is>
      </c>
      <c r="D210" t="inlineStr">
        <is>
          <t>ALX440U-DS3B01</t>
        </is>
      </c>
      <c r="E210" s="2" t="n">
        <v>46091</v>
      </c>
      <c r="F210" t="inlineStr">
        <is>
          <t>Fail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111.57</v>
      </c>
      <c r="P210" t="n">
        <v>0</v>
      </c>
      <c r="Q210" t="n">
        <v>8.470000000000001</v>
      </c>
      <c r="R210" t="n">
        <v>0</v>
      </c>
      <c r="S210">
        <f>IF(OR(G210=0,G210=""),"",ABS((G210-IF($C210="LT",Config!$F$2,Config!$F$14))/IF($C210="LT",Config!$G$2,Config!$G$14)))</f>
        <v/>
      </c>
      <c r="T210">
        <f>IF(OR(H210=0,H210=""),"",ABS((H210-IF($C210="LT",Config!$F$3,Config!$F$15))/IF($C210="LT",Config!$G$3,Config!$G$15)))</f>
        <v/>
      </c>
      <c r="U210">
        <f>IF(OR(I210=0,I210=""),"",ABS((I210-IF($C210="LT",Config!$F$4,Config!$F$16))/IF($C210="LT",Config!$G$4,Config!$G$16)))</f>
        <v/>
      </c>
      <c r="V210">
        <f>IF(OR(J210=0,J210=""),"",ABS((J210-IF($C210="LT",Config!$F$5,Config!$F$17))/IF($C210="LT",Config!$G$5,Config!$G$17)))</f>
        <v/>
      </c>
      <c r="W210">
        <f>IF(OR(K210=0,K210=""),"",ABS((K210-IF($C210="LT",Config!$F$6,Config!$F$18))/IF($C210="LT",Config!$G$6,Config!$G$18)))</f>
        <v/>
      </c>
      <c r="X210">
        <f>IF(OR(L210=0,L210=""),"",ABS((L210-IF($C210="LT",Config!$F$7,Config!$F$19))/IF($C210="LT",Config!$G$7,Config!$G$19)))</f>
        <v/>
      </c>
      <c r="Y210">
        <f>IF(OR(M210=0,M210=""),"",ABS((M210-IF($C210="LT",Config!$F$8,Config!$F$20))/IF($C210="LT",Config!$G$8,Config!$G$20)))</f>
        <v/>
      </c>
      <c r="Z210">
        <f>IF(OR(N210=0,N210=""),"",ABS((N210-IF($C210="LT",Config!$F$9,Config!$F$21))/IF($C210="LT",Config!$G$9,Config!$G$21)))</f>
        <v/>
      </c>
      <c r="AA210">
        <f>IF(OR(O210=0,O210=""),"",ABS((O210-IF($C210="LT",Config!$F$10,Config!$F$22))/IF($C210="LT",Config!$G$10,Config!$G$22)))</f>
        <v/>
      </c>
      <c r="AB210">
        <f>IF(OR(P210=0,P210=""),"",ABS((P210-IF($C210="LT",Config!$F$11,Config!$F$23))/IF($C210="LT",Config!$G$11,Config!$G$23)))</f>
        <v/>
      </c>
      <c r="AC210">
        <f>IF(OR(Q210=0,Q210=""),"",ABS((Q210-IF($C210="LT",Config!$F$12,Config!$F$24))/IF($C210="LT",Config!$G$12,Config!$G$24)))</f>
        <v/>
      </c>
      <c r="AD210">
        <f>IF(OR(R210=0,R210=""),"",ABS((R210-IF($C210="LT",Config!$F$13,Config!$F$25))/IF($C210="LT",Config!$G$13,Config!$G$25)))</f>
        <v/>
      </c>
    </row>
    <row r="211">
      <c r="A211" t="inlineStr">
        <is>
          <t>04C1026120845</t>
        </is>
      </c>
      <c r="B211" t="inlineStr">
        <is>
          <t>CRS0000675</t>
        </is>
      </c>
      <c r="C211" t="inlineStr">
        <is>
          <t>LT</t>
        </is>
      </c>
      <c r="D211" t="inlineStr">
        <is>
          <t>ALX440U-DS3B01</t>
        </is>
      </c>
      <c r="E211" s="2" t="n">
        <v>46091</v>
      </c>
      <c r="F211" t="inlineStr">
        <is>
          <t>Fail</t>
        </is>
      </c>
      <c r="G211" t="n">
        <v>149.9</v>
      </c>
      <c r="H211" t="n">
        <v>-1973.8</v>
      </c>
      <c r="I211" t="n">
        <v>-1957.8</v>
      </c>
      <c r="J211" t="n">
        <v>71.3</v>
      </c>
      <c r="K211" t="n">
        <v>0</v>
      </c>
      <c r="L211" t="n">
        <v>2</v>
      </c>
      <c r="M211" t="n">
        <v>0</v>
      </c>
      <c r="N211" t="n">
        <v>69.3</v>
      </c>
      <c r="O211" t="n">
        <v>111.57</v>
      </c>
      <c r="P211" t="n">
        <v>113.26</v>
      </c>
      <c r="Q211" t="n">
        <v>8.4</v>
      </c>
      <c r="R211" t="n">
        <v>8.52</v>
      </c>
      <c r="S211">
        <f>IF(OR(G211=0,G211=""),"",ABS((G211-IF($C211="LT",Config!$F$2,Config!$F$14))/IF($C211="LT",Config!$G$2,Config!$G$14)))</f>
        <v/>
      </c>
      <c r="T211">
        <f>IF(OR(H211=0,H211=""),"",ABS((H211-IF($C211="LT",Config!$F$3,Config!$F$15))/IF($C211="LT",Config!$G$3,Config!$G$15)))</f>
        <v/>
      </c>
      <c r="U211">
        <f>IF(OR(I211=0,I211=""),"",ABS((I211-IF($C211="LT",Config!$F$4,Config!$F$16))/IF($C211="LT",Config!$G$4,Config!$G$16)))</f>
        <v/>
      </c>
      <c r="V211">
        <f>IF(OR(J211=0,J211=""),"",ABS((J211-IF($C211="LT",Config!$F$5,Config!$F$17))/IF($C211="LT",Config!$G$5,Config!$G$17)))</f>
        <v/>
      </c>
      <c r="W211">
        <f>IF(OR(K211=0,K211=""),"",ABS((K211-IF($C211="LT",Config!$F$6,Config!$F$18))/IF($C211="LT",Config!$G$6,Config!$G$18)))</f>
        <v/>
      </c>
      <c r="X211">
        <f>IF(OR(L211=0,L211=""),"",ABS((L211-IF($C211="LT",Config!$F$7,Config!$F$19))/IF($C211="LT",Config!$G$7,Config!$G$19)))</f>
        <v/>
      </c>
      <c r="Y211">
        <f>IF(OR(M211=0,M211=""),"",ABS((M211-IF($C211="LT",Config!$F$8,Config!$F$20))/IF($C211="LT",Config!$G$8,Config!$G$20)))</f>
        <v/>
      </c>
      <c r="Z211">
        <f>IF(OR(N211=0,N211=""),"",ABS((N211-IF($C211="LT",Config!$F$9,Config!$F$21))/IF($C211="LT",Config!$G$9,Config!$G$21)))</f>
        <v/>
      </c>
      <c r="AA211">
        <f>IF(OR(O211=0,O211=""),"",ABS((O211-IF($C211="LT",Config!$F$10,Config!$F$22))/IF($C211="LT",Config!$G$10,Config!$G$22)))</f>
        <v/>
      </c>
      <c r="AB211">
        <f>IF(OR(P211=0,P211=""),"",ABS((P211-IF($C211="LT",Config!$F$11,Config!$F$23))/IF($C211="LT",Config!$G$11,Config!$G$23)))</f>
        <v/>
      </c>
      <c r="AC211">
        <f>IF(OR(Q211=0,Q211=""),"",ABS((Q211-IF($C211="LT",Config!$F$12,Config!$F$24))/IF($C211="LT",Config!$G$12,Config!$G$24)))</f>
        <v/>
      </c>
      <c r="AD211">
        <f>IF(OR(R211=0,R211=""),"",ABS((R211-IF($C211="LT",Config!$F$13,Config!$F$25))/IF($C211="LT",Config!$G$13,Config!$G$25)))</f>
        <v/>
      </c>
    </row>
    <row r="212">
      <c r="A212" t="inlineStr">
        <is>
          <t>04C1026120845</t>
        </is>
      </c>
      <c r="B212" t="inlineStr">
        <is>
          <t>CRS0000675</t>
        </is>
      </c>
      <c r="C212" t="inlineStr">
        <is>
          <t>LT</t>
        </is>
      </c>
      <c r="D212" t="inlineStr">
        <is>
          <t>ALX440U-DS3B01</t>
        </is>
      </c>
      <c r="E212" s="2" t="n">
        <v>46091</v>
      </c>
      <c r="F212" t="inlineStr">
        <is>
          <t>Pass</t>
        </is>
      </c>
      <c r="G212" t="n">
        <v>161.1</v>
      </c>
      <c r="H212" t="n">
        <v>96.90000000000001</v>
      </c>
      <c r="I212" t="n">
        <v>-1957.8</v>
      </c>
      <c r="J212" t="n">
        <v>71.3</v>
      </c>
      <c r="K212" t="n">
        <v>0</v>
      </c>
      <c r="L212" t="n">
        <v>2.4</v>
      </c>
      <c r="M212" t="n">
        <v>0</v>
      </c>
      <c r="N212" t="n">
        <v>68.90000000000001</v>
      </c>
      <c r="O212" t="n">
        <v>114.58</v>
      </c>
      <c r="P212" t="n">
        <v>114.58</v>
      </c>
      <c r="Q212" t="n">
        <v>8.15</v>
      </c>
      <c r="R212" t="n">
        <v>8.539999999999999</v>
      </c>
      <c r="S212">
        <f>IF(OR(G212=0,G212=""),"",ABS((G212-IF($C212="LT",Config!$F$2,Config!$F$14))/IF($C212="LT",Config!$G$2,Config!$G$14)))</f>
        <v/>
      </c>
      <c r="T212">
        <f>IF(OR(H212=0,H212=""),"",ABS((H212-IF($C212="LT",Config!$F$3,Config!$F$15))/IF($C212="LT",Config!$G$3,Config!$G$15)))</f>
        <v/>
      </c>
      <c r="U212">
        <f>IF(OR(I212=0,I212=""),"",ABS((I212-IF($C212="LT",Config!$F$4,Config!$F$16))/IF($C212="LT",Config!$G$4,Config!$G$16)))</f>
        <v/>
      </c>
      <c r="V212">
        <f>IF(OR(J212=0,J212=""),"",ABS((J212-IF($C212="LT",Config!$F$5,Config!$F$17))/IF($C212="LT",Config!$G$5,Config!$G$17)))</f>
        <v/>
      </c>
      <c r="W212">
        <f>IF(OR(K212=0,K212=""),"",ABS((K212-IF($C212="LT",Config!$F$6,Config!$F$18))/IF($C212="LT",Config!$G$6,Config!$G$18)))</f>
        <v/>
      </c>
      <c r="X212">
        <f>IF(OR(L212=0,L212=""),"",ABS((L212-IF($C212="LT",Config!$F$7,Config!$F$19))/IF($C212="LT",Config!$G$7,Config!$G$19)))</f>
        <v/>
      </c>
      <c r="Y212">
        <f>IF(OR(M212=0,M212=""),"",ABS((M212-IF($C212="LT",Config!$F$8,Config!$F$20))/IF($C212="LT",Config!$G$8,Config!$G$20)))</f>
        <v/>
      </c>
      <c r="Z212">
        <f>IF(OR(N212=0,N212=""),"",ABS((N212-IF($C212="LT",Config!$F$9,Config!$F$21))/IF($C212="LT",Config!$G$9,Config!$G$21)))</f>
        <v/>
      </c>
      <c r="AA212">
        <f>IF(OR(O212=0,O212=""),"",ABS((O212-IF($C212="LT",Config!$F$10,Config!$F$22))/IF($C212="LT",Config!$G$10,Config!$G$22)))</f>
        <v/>
      </c>
      <c r="AB212">
        <f>IF(OR(P212=0,P212=""),"",ABS((P212-IF($C212="LT",Config!$F$11,Config!$F$23))/IF($C212="LT",Config!$G$11,Config!$G$23)))</f>
        <v/>
      </c>
      <c r="AC212">
        <f>IF(OR(Q212=0,Q212=""),"",ABS((Q212-IF($C212="LT",Config!$F$12,Config!$F$24))/IF($C212="LT",Config!$G$12,Config!$G$24)))</f>
        <v/>
      </c>
      <c r="AD212">
        <f>IF(OR(R212=0,R212=""),"",ABS((R212-IF($C212="LT",Config!$F$13,Config!$F$25))/IF($C212="LT",Config!$G$13,Config!$G$25)))</f>
        <v/>
      </c>
    </row>
    <row r="213">
      <c r="A213" t="inlineStr">
        <is>
          <t>04C1026120846</t>
        </is>
      </c>
      <c r="B213" t="inlineStr">
        <is>
          <t>CRS0000675</t>
        </is>
      </c>
      <c r="C213" t="inlineStr">
        <is>
          <t>LT</t>
        </is>
      </c>
      <c r="D213" t="inlineStr">
        <is>
          <t>ALX440U-DS3B01</t>
        </is>
      </c>
      <c r="E213" s="2" t="n">
        <v>46092</v>
      </c>
      <c r="F213" t="inlineStr">
        <is>
          <t>Fail</t>
        </is>
      </c>
      <c r="G213" t="n">
        <v>143.2</v>
      </c>
      <c r="H213" t="n">
        <v>47.7</v>
      </c>
      <c r="I213" t="n">
        <v>-1957.8</v>
      </c>
      <c r="J213" t="n">
        <v>70.40000000000001</v>
      </c>
      <c r="K213" t="n">
        <v>0</v>
      </c>
      <c r="L213" t="n">
        <v>0.6</v>
      </c>
      <c r="M213" t="n">
        <v>0</v>
      </c>
      <c r="N213" t="n">
        <v>69.8</v>
      </c>
      <c r="O213" t="n">
        <v>115.09</v>
      </c>
      <c r="P213" t="n">
        <v>114.94</v>
      </c>
      <c r="Q213" t="n">
        <v>7.1</v>
      </c>
      <c r="R213" t="n">
        <v>7.81</v>
      </c>
      <c r="S213">
        <f>IF(OR(G213=0,G213=""),"",ABS((G213-IF($C213="LT",Config!$F$2,Config!$F$14))/IF($C213="LT",Config!$G$2,Config!$G$14)))</f>
        <v/>
      </c>
      <c r="T213">
        <f>IF(OR(H213=0,H213=""),"",ABS((H213-IF($C213="LT",Config!$F$3,Config!$F$15))/IF($C213="LT",Config!$G$3,Config!$G$15)))</f>
        <v/>
      </c>
      <c r="U213">
        <f>IF(OR(I213=0,I213=""),"",ABS((I213-IF($C213="LT",Config!$F$4,Config!$F$16))/IF($C213="LT",Config!$G$4,Config!$G$16)))</f>
        <v/>
      </c>
      <c r="V213">
        <f>IF(OR(J213=0,J213=""),"",ABS((J213-IF($C213="LT",Config!$F$5,Config!$F$17))/IF($C213="LT",Config!$G$5,Config!$G$17)))</f>
        <v/>
      </c>
      <c r="W213">
        <f>IF(OR(K213=0,K213=""),"",ABS((K213-IF($C213="LT",Config!$F$6,Config!$F$18))/IF($C213="LT",Config!$G$6,Config!$G$18)))</f>
        <v/>
      </c>
      <c r="X213">
        <f>IF(OR(L213=0,L213=""),"",ABS((L213-IF($C213="LT",Config!$F$7,Config!$F$19))/IF($C213="LT",Config!$G$7,Config!$G$19)))</f>
        <v/>
      </c>
      <c r="Y213">
        <f>IF(OR(M213=0,M213=""),"",ABS((M213-IF($C213="LT",Config!$F$8,Config!$F$20))/IF($C213="LT",Config!$G$8,Config!$G$20)))</f>
        <v/>
      </c>
      <c r="Z213">
        <f>IF(OR(N213=0,N213=""),"",ABS((N213-IF($C213="LT",Config!$F$9,Config!$F$21))/IF($C213="LT",Config!$G$9,Config!$G$21)))</f>
        <v/>
      </c>
      <c r="AA213">
        <f>IF(OR(O213=0,O213=""),"",ABS((O213-IF($C213="LT",Config!$F$10,Config!$F$22))/IF($C213="LT",Config!$G$10,Config!$G$22)))</f>
        <v/>
      </c>
      <c r="AB213">
        <f>IF(OR(P213=0,P213=""),"",ABS((P213-IF($C213="LT",Config!$F$11,Config!$F$23))/IF($C213="LT",Config!$G$11,Config!$G$23)))</f>
        <v/>
      </c>
      <c r="AC213">
        <f>IF(OR(Q213=0,Q213=""),"",ABS((Q213-IF($C213="LT",Config!$F$12,Config!$F$24))/IF($C213="LT",Config!$G$12,Config!$G$24)))</f>
        <v/>
      </c>
      <c r="AD213">
        <f>IF(OR(R213=0,R213=""),"",ABS((R213-IF($C213="LT",Config!$F$13,Config!$F$25))/IF($C213="LT",Config!$G$13,Config!$G$25)))</f>
        <v/>
      </c>
    </row>
    <row r="214">
      <c r="A214" t="inlineStr">
        <is>
          <t>04C1026120846</t>
        </is>
      </c>
      <c r="B214" t="inlineStr">
        <is>
          <t>CRS0000675</t>
        </is>
      </c>
      <c r="C214" t="inlineStr">
        <is>
          <t>LT</t>
        </is>
      </c>
      <c r="D214" t="inlineStr">
        <is>
          <t>ALX440U-DS3B01</t>
        </is>
      </c>
      <c r="E214" s="2" t="n">
        <v>46092</v>
      </c>
      <c r="F214" t="inlineStr">
        <is>
          <t>Pass</t>
        </is>
      </c>
      <c r="G214" t="n">
        <v>157.1</v>
      </c>
      <c r="H214" t="n">
        <v>97.3</v>
      </c>
      <c r="I214" t="n">
        <v>-1957.8</v>
      </c>
      <c r="J214" t="n">
        <v>74.40000000000001</v>
      </c>
      <c r="K214" t="n">
        <v>0</v>
      </c>
      <c r="L214" t="n">
        <v>3.2</v>
      </c>
      <c r="M214" t="n">
        <v>0</v>
      </c>
      <c r="N214" t="n">
        <v>71.2</v>
      </c>
      <c r="O214" t="n">
        <v>111.79</v>
      </c>
      <c r="P214" t="n">
        <v>113.18</v>
      </c>
      <c r="Q214" t="n">
        <v>8.18</v>
      </c>
      <c r="R214" t="n">
        <v>8.52</v>
      </c>
      <c r="S214">
        <f>IF(OR(G214=0,G214=""),"",ABS((G214-IF($C214="LT",Config!$F$2,Config!$F$14))/IF($C214="LT",Config!$G$2,Config!$G$14)))</f>
        <v/>
      </c>
      <c r="T214">
        <f>IF(OR(H214=0,H214=""),"",ABS((H214-IF($C214="LT",Config!$F$3,Config!$F$15))/IF($C214="LT",Config!$G$3,Config!$G$15)))</f>
        <v/>
      </c>
      <c r="U214">
        <f>IF(OR(I214=0,I214=""),"",ABS((I214-IF($C214="LT",Config!$F$4,Config!$F$16))/IF($C214="LT",Config!$G$4,Config!$G$16)))</f>
        <v/>
      </c>
      <c r="V214">
        <f>IF(OR(J214=0,J214=""),"",ABS((J214-IF($C214="LT",Config!$F$5,Config!$F$17))/IF($C214="LT",Config!$G$5,Config!$G$17)))</f>
        <v/>
      </c>
      <c r="W214">
        <f>IF(OR(K214=0,K214=""),"",ABS((K214-IF($C214="LT",Config!$F$6,Config!$F$18))/IF($C214="LT",Config!$G$6,Config!$G$18)))</f>
        <v/>
      </c>
      <c r="X214">
        <f>IF(OR(L214=0,L214=""),"",ABS((L214-IF($C214="LT",Config!$F$7,Config!$F$19))/IF($C214="LT",Config!$G$7,Config!$G$19)))</f>
        <v/>
      </c>
      <c r="Y214">
        <f>IF(OR(M214=0,M214=""),"",ABS((M214-IF($C214="LT",Config!$F$8,Config!$F$20))/IF($C214="LT",Config!$G$8,Config!$G$20)))</f>
        <v/>
      </c>
      <c r="Z214">
        <f>IF(OR(N214=0,N214=""),"",ABS((N214-IF($C214="LT",Config!$F$9,Config!$F$21))/IF($C214="LT",Config!$G$9,Config!$G$21)))</f>
        <v/>
      </c>
      <c r="AA214">
        <f>IF(OR(O214=0,O214=""),"",ABS((O214-IF($C214="LT",Config!$F$10,Config!$F$22))/IF($C214="LT",Config!$G$10,Config!$G$22)))</f>
        <v/>
      </c>
      <c r="AB214">
        <f>IF(OR(P214=0,P214=""),"",ABS((P214-IF($C214="LT",Config!$F$11,Config!$F$23))/IF($C214="LT",Config!$G$11,Config!$G$23)))</f>
        <v/>
      </c>
      <c r="AC214">
        <f>IF(OR(Q214=0,Q214=""),"",ABS((Q214-IF($C214="LT",Config!$F$12,Config!$F$24))/IF($C214="LT",Config!$G$12,Config!$G$24)))</f>
        <v/>
      </c>
      <c r="AD214">
        <f>IF(OR(R214=0,R214=""),"",ABS((R214-IF($C214="LT",Config!$F$13,Config!$F$25))/IF($C214="LT",Config!$G$13,Config!$G$25)))</f>
        <v/>
      </c>
    </row>
    <row r="215">
      <c r="A215" t="inlineStr">
        <is>
          <t>04C1026120895</t>
        </is>
      </c>
      <c r="B215" t="inlineStr">
        <is>
          <t>CRS0000675</t>
        </is>
      </c>
      <c r="C215" t="inlineStr">
        <is>
          <t>LT</t>
        </is>
      </c>
      <c r="D215" t="inlineStr">
        <is>
          <t>ALX440U-DS3B01</t>
        </is>
      </c>
      <c r="E215" s="2" t="n">
        <v>46092</v>
      </c>
      <c r="F215" t="inlineStr">
        <is>
          <t>Pass</t>
        </is>
      </c>
      <c r="G215" t="n">
        <v>153</v>
      </c>
      <c r="H215" t="n">
        <v>85.2</v>
      </c>
      <c r="I215" t="n">
        <v>-1957.8</v>
      </c>
      <c r="J215" t="n">
        <v>73.5</v>
      </c>
      <c r="K215" t="n">
        <v>0</v>
      </c>
      <c r="L215" t="n">
        <v>1.2</v>
      </c>
      <c r="M215" t="n">
        <v>0</v>
      </c>
      <c r="N215" t="n">
        <v>72.3</v>
      </c>
      <c r="O215" t="n">
        <v>110.98</v>
      </c>
      <c r="P215" t="n">
        <v>111.42</v>
      </c>
      <c r="Q215" t="n">
        <v>8.5</v>
      </c>
      <c r="R215" t="n">
        <v>8.4</v>
      </c>
      <c r="S215">
        <f>IF(OR(G215=0,G215=""),"",ABS((G215-IF($C215="LT",Config!$F$2,Config!$F$14))/IF($C215="LT",Config!$G$2,Config!$G$14)))</f>
        <v/>
      </c>
      <c r="T215">
        <f>IF(OR(H215=0,H215=""),"",ABS((H215-IF($C215="LT",Config!$F$3,Config!$F$15))/IF($C215="LT",Config!$G$3,Config!$G$15)))</f>
        <v/>
      </c>
      <c r="U215">
        <f>IF(OR(I215=0,I215=""),"",ABS((I215-IF($C215="LT",Config!$F$4,Config!$F$16))/IF($C215="LT",Config!$G$4,Config!$G$16)))</f>
        <v/>
      </c>
      <c r="V215">
        <f>IF(OR(J215=0,J215=""),"",ABS((J215-IF($C215="LT",Config!$F$5,Config!$F$17))/IF($C215="LT",Config!$G$5,Config!$G$17)))</f>
        <v/>
      </c>
      <c r="W215">
        <f>IF(OR(K215=0,K215=""),"",ABS((K215-IF($C215="LT",Config!$F$6,Config!$F$18))/IF($C215="LT",Config!$G$6,Config!$G$18)))</f>
        <v/>
      </c>
      <c r="X215">
        <f>IF(OR(L215=0,L215=""),"",ABS((L215-IF($C215="LT",Config!$F$7,Config!$F$19))/IF($C215="LT",Config!$G$7,Config!$G$19)))</f>
        <v/>
      </c>
      <c r="Y215">
        <f>IF(OR(M215=0,M215=""),"",ABS((M215-IF($C215="LT",Config!$F$8,Config!$F$20))/IF($C215="LT",Config!$G$8,Config!$G$20)))</f>
        <v/>
      </c>
      <c r="Z215">
        <f>IF(OR(N215=0,N215=""),"",ABS((N215-IF($C215="LT",Config!$F$9,Config!$F$21))/IF($C215="LT",Config!$G$9,Config!$G$21)))</f>
        <v/>
      </c>
      <c r="AA215">
        <f>IF(OR(O215=0,O215=""),"",ABS((O215-IF($C215="LT",Config!$F$10,Config!$F$22))/IF($C215="LT",Config!$G$10,Config!$G$22)))</f>
        <v/>
      </c>
      <c r="AB215">
        <f>IF(OR(P215=0,P215=""),"",ABS((P215-IF($C215="LT",Config!$F$11,Config!$F$23))/IF($C215="LT",Config!$G$11,Config!$G$23)))</f>
        <v/>
      </c>
      <c r="AC215">
        <f>IF(OR(Q215=0,Q215=""),"",ABS((Q215-IF($C215="LT",Config!$F$12,Config!$F$24))/IF($C215="LT",Config!$G$12,Config!$G$24)))</f>
        <v/>
      </c>
      <c r="AD215">
        <f>IF(OR(R215=0,R215=""),"",ABS((R215-IF($C215="LT",Config!$F$13,Config!$F$25))/IF($C215="LT",Config!$G$13,Config!$G$25)))</f>
        <v/>
      </c>
    </row>
    <row r="216">
      <c r="A216" t="inlineStr">
        <is>
          <t>04C1026120896</t>
        </is>
      </c>
      <c r="B216" t="inlineStr">
        <is>
          <t>CRS0000675</t>
        </is>
      </c>
      <c r="C216" t="inlineStr">
        <is>
          <t>LT</t>
        </is>
      </c>
      <c r="D216" t="inlineStr">
        <is>
          <t>ALX440U-DS3B01</t>
        </is>
      </c>
      <c r="E216" s="2" t="n">
        <v>46092</v>
      </c>
      <c r="F216" t="inlineStr">
        <is>
          <t>Fail</t>
        </is>
      </c>
      <c r="G216" t="n">
        <v>154.8</v>
      </c>
      <c r="H216" t="n">
        <v>101.9</v>
      </c>
      <c r="I216" t="n">
        <v>-1957.8</v>
      </c>
      <c r="J216" t="n">
        <v>72.59999999999999</v>
      </c>
      <c r="K216" t="n">
        <v>0</v>
      </c>
      <c r="L216" t="n">
        <v>1.6</v>
      </c>
      <c r="M216" t="n">
        <v>0</v>
      </c>
      <c r="N216" t="n">
        <v>71</v>
      </c>
      <c r="O216" t="n">
        <v>111.86</v>
      </c>
      <c r="P216" t="n">
        <v>111.72</v>
      </c>
      <c r="Q216" t="n">
        <v>7.91</v>
      </c>
      <c r="R216" t="n">
        <v>8.449999999999999</v>
      </c>
      <c r="S216">
        <f>IF(OR(G216=0,G216=""),"",ABS((G216-IF($C216="LT",Config!$F$2,Config!$F$14))/IF($C216="LT",Config!$G$2,Config!$G$14)))</f>
        <v/>
      </c>
      <c r="T216">
        <f>IF(OR(H216=0,H216=""),"",ABS((H216-IF($C216="LT",Config!$F$3,Config!$F$15))/IF($C216="LT",Config!$G$3,Config!$G$15)))</f>
        <v/>
      </c>
      <c r="U216">
        <f>IF(OR(I216=0,I216=""),"",ABS((I216-IF($C216="LT",Config!$F$4,Config!$F$16))/IF($C216="LT",Config!$G$4,Config!$G$16)))</f>
        <v/>
      </c>
      <c r="V216">
        <f>IF(OR(J216=0,J216=""),"",ABS((J216-IF($C216="LT",Config!$F$5,Config!$F$17))/IF($C216="LT",Config!$G$5,Config!$G$17)))</f>
        <v/>
      </c>
      <c r="W216">
        <f>IF(OR(K216=0,K216=""),"",ABS((K216-IF($C216="LT",Config!$F$6,Config!$F$18))/IF($C216="LT",Config!$G$6,Config!$G$18)))</f>
        <v/>
      </c>
      <c r="X216">
        <f>IF(OR(L216=0,L216=""),"",ABS((L216-IF($C216="LT",Config!$F$7,Config!$F$19))/IF($C216="LT",Config!$G$7,Config!$G$19)))</f>
        <v/>
      </c>
      <c r="Y216">
        <f>IF(OR(M216=0,M216=""),"",ABS((M216-IF($C216="LT",Config!$F$8,Config!$F$20))/IF($C216="LT",Config!$G$8,Config!$G$20)))</f>
        <v/>
      </c>
      <c r="Z216">
        <f>IF(OR(N216=0,N216=""),"",ABS((N216-IF($C216="LT",Config!$F$9,Config!$F$21))/IF($C216="LT",Config!$G$9,Config!$G$21)))</f>
        <v/>
      </c>
      <c r="AA216">
        <f>IF(OR(O216=0,O216=""),"",ABS((O216-IF($C216="LT",Config!$F$10,Config!$F$22))/IF($C216="LT",Config!$G$10,Config!$G$22)))</f>
        <v/>
      </c>
      <c r="AB216">
        <f>IF(OR(P216=0,P216=""),"",ABS((P216-IF($C216="LT",Config!$F$11,Config!$F$23))/IF($C216="LT",Config!$G$11,Config!$G$23)))</f>
        <v/>
      </c>
      <c r="AC216">
        <f>IF(OR(Q216=0,Q216=""),"",ABS((Q216-IF($C216="LT",Config!$F$12,Config!$F$24))/IF($C216="LT",Config!$G$12,Config!$G$24)))</f>
        <v/>
      </c>
      <c r="AD216">
        <f>IF(OR(R216=0,R216=""),"",ABS((R216-IF($C216="LT",Config!$F$13,Config!$F$25))/IF($C216="LT",Config!$G$13,Config!$G$25)))</f>
        <v/>
      </c>
    </row>
    <row r="217">
      <c r="A217" t="inlineStr">
        <is>
          <t>04C1026120896</t>
        </is>
      </c>
      <c r="B217" t="inlineStr">
        <is>
          <t>CRS0000675</t>
        </is>
      </c>
      <c r="C217" t="inlineStr">
        <is>
          <t>LT</t>
        </is>
      </c>
      <c r="D217" t="inlineStr">
        <is>
          <t>ALX440U-DS3B01</t>
        </is>
      </c>
      <c r="E217" s="2" t="n">
        <v>46092</v>
      </c>
      <c r="F217" t="inlineStr">
        <is>
          <t>Pass</t>
        </is>
      </c>
      <c r="G217" t="n">
        <v>156.6</v>
      </c>
      <c r="H217" t="n">
        <v>100.1</v>
      </c>
      <c r="I217" t="n">
        <v>-1957.8</v>
      </c>
      <c r="J217" t="n">
        <v>72.59999999999999</v>
      </c>
      <c r="K217" t="n">
        <v>0</v>
      </c>
      <c r="L217" t="n">
        <v>2.1</v>
      </c>
      <c r="M217" t="n">
        <v>0</v>
      </c>
      <c r="N217" t="n">
        <v>70.5</v>
      </c>
      <c r="O217" t="n">
        <v>111.86</v>
      </c>
      <c r="P217" t="n">
        <v>113.04</v>
      </c>
      <c r="Q217" t="n">
        <v>8.01</v>
      </c>
      <c r="R217" t="n">
        <v>8.279999999999999</v>
      </c>
      <c r="S217">
        <f>IF(OR(G217=0,G217=""),"",ABS((G217-IF($C217="LT",Config!$F$2,Config!$F$14))/IF($C217="LT",Config!$G$2,Config!$G$14)))</f>
        <v/>
      </c>
      <c r="T217">
        <f>IF(OR(H217=0,H217=""),"",ABS((H217-IF($C217="LT",Config!$F$3,Config!$F$15))/IF($C217="LT",Config!$G$3,Config!$G$15)))</f>
        <v/>
      </c>
      <c r="U217">
        <f>IF(OR(I217=0,I217=""),"",ABS((I217-IF($C217="LT",Config!$F$4,Config!$F$16))/IF($C217="LT",Config!$G$4,Config!$G$16)))</f>
        <v/>
      </c>
      <c r="V217">
        <f>IF(OR(J217=0,J217=""),"",ABS((J217-IF($C217="LT",Config!$F$5,Config!$F$17))/IF($C217="LT",Config!$G$5,Config!$G$17)))</f>
        <v/>
      </c>
      <c r="W217">
        <f>IF(OR(K217=0,K217=""),"",ABS((K217-IF($C217="LT",Config!$F$6,Config!$F$18))/IF($C217="LT",Config!$G$6,Config!$G$18)))</f>
        <v/>
      </c>
      <c r="X217">
        <f>IF(OR(L217=0,L217=""),"",ABS((L217-IF($C217="LT",Config!$F$7,Config!$F$19))/IF($C217="LT",Config!$G$7,Config!$G$19)))</f>
        <v/>
      </c>
      <c r="Y217">
        <f>IF(OR(M217=0,M217=""),"",ABS((M217-IF($C217="LT",Config!$F$8,Config!$F$20))/IF($C217="LT",Config!$G$8,Config!$G$20)))</f>
        <v/>
      </c>
      <c r="Z217">
        <f>IF(OR(N217=0,N217=""),"",ABS((N217-IF($C217="LT",Config!$F$9,Config!$F$21))/IF($C217="LT",Config!$G$9,Config!$G$21)))</f>
        <v/>
      </c>
      <c r="AA217">
        <f>IF(OR(O217=0,O217=""),"",ABS((O217-IF($C217="LT",Config!$F$10,Config!$F$22))/IF($C217="LT",Config!$G$10,Config!$G$22)))</f>
        <v/>
      </c>
      <c r="AB217">
        <f>IF(OR(P217=0,P217=""),"",ABS((P217-IF($C217="LT",Config!$F$11,Config!$F$23))/IF($C217="LT",Config!$G$11,Config!$G$23)))</f>
        <v/>
      </c>
      <c r="AC217">
        <f>IF(OR(Q217=0,Q217=""),"",ABS((Q217-IF($C217="LT",Config!$F$12,Config!$F$24))/IF($C217="LT",Config!$G$12,Config!$G$24)))</f>
        <v/>
      </c>
      <c r="AD217">
        <f>IF(OR(R217=0,R217=""),"",ABS((R217-IF($C217="LT",Config!$F$13,Config!$F$25))/IF($C217="LT",Config!$G$13,Config!$G$25)))</f>
        <v/>
      </c>
    </row>
    <row r="218">
      <c r="A218" t="inlineStr">
        <is>
          <t>04C1026120897</t>
        </is>
      </c>
      <c r="B218" t="inlineStr">
        <is>
          <t>CRS0000675</t>
        </is>
      </c>
      <c r="C218" t="inlineStr">
        <is>
          <t>LT</t>
        </is>
      </c>
      <c r="D218" t="inlineStr">
        <is>
          <t>ALX440U-DS3B01</t>
        </is>
      </c>
      <c r="E218" s="2" t="n">
        <v>46092</v>
      </c>
      <c r="F218" t="inlineStr">
        <is>
          <t>Pass</t>
        </is>
      </c>
      <c r="G218" t="n">
        <v>147.2</v>
      </c>
      <c r="H218" t="n">
        <v>87.90000000000001</v>
      </c>
      <c r="I218" t="n">
        <v>-1957.8</v>
      </c>
      <c r="J218" t="n">
        <v>71.3</v>
      </c>
      <c r="K218" t="n">
        <v>0</v>
      </c>
      <c r="L218" t="n">
        <v>1.9</v>
      </c>
      <c r="M218" t="n">
        <v>0</v>
      </c>
      <c r="N218" t="n">
        <v>69.40000000000001</v>
      </c>
      <c r="O218" t="n">
        <v>114.58</v>
      </c>
      <c r="P218" t="n">
        <v>114.43</v>
      </c>
      <c r="Q218" t="n">
        <v>7.89</v>
      </c>
      <c r="R218" t="n">
        <v>7.93</v>
      </c>
      <c r="S218">
        <f>IF(OR(G218=0,G218=""),"",ABS((G218-IF($C218="LT",Config!$F$2,Config!$F$14))/IF($C218="LT",Config!$G$2,Config!$G$14)))</f>
        <v/>
      </c>
      <c r="T218">
        <f>IF(OR(H218=0,H218=""),"",ABS((H218-IF($C218="LT",Config!$F$3,Config!$F$15))/IF($C218="LT",Config!$G$3,Config!$G$15)))</f>
        <v/>
      </c>
      <c r="U218">
        <f>IF(OR(I218=0,I218=""),"",ABS((I218-IF($C218="LT",Config!$F$4,Config!$F$16))/IF($C218="LT",Config!$G$4,Config!$G$16)))</f>
        <v/>
      </c>
      <c r="V218">
        <f>IF(OR(J218=0,J218=""),"",ABS((J218-IF($C218="LT",Config!$F$5,Config!$F$17))/IF($C218="LT",Config!$G$5,Config!$G$17)))</f>
        <v/>
      </c>
      <c r="W218">
        <f>IF(OR(K218=0,K218=""),"",ABS((K218-IF($C218="LT",Config!$F$6,Config!$F$18))/IF($C218="LT",Config!$G$6,Config!$G$18)))</f>
        <v/>
      </c>
      <c r="X218">
        <f>IF(OR(L218=0,L218=""),"",ABS((L218-IF($C218="LT",Config!$F$7,Config!$F$19))/IF($C218="LT",Config!$G$7,Config!$G$19)))</f>
        <v/>
      </c>
      <c r="Y218">
        <f>IF(OR(M218=0,M218=""),"",ABS((M218-IF($C218="LT",Config!$F$8,Config!$F$20))/IF($C218="LT",Config!$G$8,Config!$G$20)))</f>
        <v/>
      </c>
      <c r="Z218">
        <f>IF(OR(N218=0,N218=""),"",ABS((N218-IF($C218="LT",Config!$F$9,Config!$F$21))/IF($C218="LT",Config!$G$9,Config!$G$21)))</f>
        <v/>
      </c>
      <c r="AA218">
        <f>IF(OR(O218=0,O218=""),"",ABS((O218-IF($C218="LT",Config!$F$10,Config!$F$22))/IF($C218="LT",Config!$G$10,Config!$G$22)))</f>
        <v/>
      </c>
      <c r="AB218">
        <f>IF(OR(P218=0,P218=""),"",ABS((P218-IF($C218="LT",Config!$F$11,Config!$F$23))/IF($C218="LT",Config!$G$11,Config!$G$23)))</f>
        <v/>
      </c>
      <c r="AC218">
        <f>IF(OR(Q218=0,Q218=""),"",ABS((Q218-IF($C218="LT",Config!$F$12,Config!$F$24))/IF($C218="LT",Config!$G$12,Config!$G$24)))</f>
        <v/>
      </c>
      <c r="AD218">
        <f>IF(OR(R218=0,R218=""),"",ABS((R218-IF($C218="LT",Config!$F$13,Config!$F$25))/IF($C218="LT",Config!$G$13,Config!$G$25)))</f>
        <v/>
      </c>
    </row>
    <row r="219">
      <c r="A219" t="inlineStr">
        <is>
          <t>04C1026120898</t>
        </is>
      </c>
      <c r="B219" t="inlineStr">
        <is>
          <t>CRS0000675</t>
        </is>
      </c>
      <c r="C219" t="inlineStr">
        <is>
          <t>LT</t>
        </is>
      </c>
      <c r="D219" t="inlineStr">
        <is>
          <t>ALX440U-DS3B01</t>
        </is>
      </c>
      <c r="E219" s="2" t="n">
        <v>46092</v>
      </c>
      <c r="F219" t="inlineStr">
        <is>
          <t>Fail</t>
        </is>
      </c>
      <c r="G219" t="n">
        <v>129.8</v>
      </c>
      <c r="H219" t="n">
        <v>85.2</v>
      </c>
      <c r="I219" t="n">
        <v>-1957.8</v>
      </c>
      <c r="J219" t="n">
        <v>71.3</v>
      </c>
      <c r="K219" t="n">
        <v>0</v>
      </c>
      <c r="L219" t="n">
        <v>2.4</v>
      </c>
      <c r="M219" t="n">
        <v>0</v>
      </c>
      <c r="N219" t="n">
        <v>68.90000000000001</v>
      </c>
      <c r="O219" t="n">
        <v>114.58</v>
      </c>
      <c r="P219" t="n">
        <v>114.58</v>
      </c>
      <c r="Q219" t="n">
        <v>8.15</v>
      </c>
      <c r="R219" t="n">
        <v>8.109999999999999</v>
      </c>
      <c r="S219">
        <f>IF(OR(G219=0,G219=""),"",ABS((G219-IF($C219="LT",Config!$F$2,Config!$F$14))/IF($C219="LT",Config!$G$2,Config!$G$14)))</f>
        <v/>
      </c>
      <c r="T219">
        <f>IF(OR(H219=0,H219=""),"",ABS((H219-IF($C219="LT",Config!$F$3,Config!$F$15))/IF($C219="LT",Config!$G$3,Config!$G$15)))</f>
        <v/>
      </c>
      <c r="U219">
        <f>IF(OR(I219=0,I219=""),"",ABS((I219-IF($C219="LT",Config!$F$4,Config!$F$16))/IF($C219="LT",Config!$G$4,Config!$G$16)))</f>
        <v/>
      </c>
      <c r="V219">
        <f>IF(OR(J219=0,J219=""),"",ABS((J219-IF($C219="LT",Config!$F$5,Config!$F$17))/IF($C219="LT",Config!$G$5,Config!$G$17)))</f>
        <v/>
      </c>
      <c r="W219">
        <f>IF(OR(K219=0,K219=""),"",ABS((K219-IF($C219="LT",Config!$F$6,Config!$F$18))/IF($C219="LT",Config!$G$6,Config!$G$18)))</f>
        <v/>
      </c>
      <c r="X219">
        <f>IF(OR(L219=0,L219=""),"",ABS((L219-IF($C219="LT",Config!$F$7,Config!$F$19))/IF($C219="LT",Config!$G$7,Config!$G$19)))</f>
        <v/>
      </c>
      <c r="Y219">
        <f>IF(OR(M219=0,M219=""),"",ABS((M219-IF($C219="LT",Config!$F$8,Config!$F$20))/IF($C219="LT",Config!$G$8,Config!$G$20)))</f>
        <v/>
      </c>
      <c r="Z219">
        <f>IF(OR(N219=0,N219=""),"",ABS((N219-IF($C219="LT",Config!$F$9,Config!$F$21))/IF($C219="LT",Config!$G$9,Config!$G$21)))</f>
        <v/>
      </c>
      <c r="AA219">
        <f>IF(OR(O219=0,O219=""),"",ABS((O219-IF($C219="LT",Config!$F$10,Config!$F$22))/IF($C219="LT",Config!$G$10,Config!$G$22)))</f>
        <v/>
      </c>
      <c r="AB219">
        <f>IF(OR(P219=0,P219=""),"",ABS((P219-IF($C219="LT",Config!$F$11,Config!$F$23))/IF($C219="LT",Config!$G$11,Config!$G$23)))</f>
        <v/>
      </c>
      <c r="AC219">
        <f>IF(OR(Q219=0,Q219=""),"",ABS((Q219-IF($C219="LT",Config!$F$12,Config!$F$24))/IF($C219="LT",Config!$G$12,Config!$G$24)))</f>
        <v/>
      </c>
      <c r="AD219">
        <f>IF(OR(R219=0,R219=""),"",ABS((R219-IF($C219="LT",Config!$F$13,Config!$F$25))/IF($C219="LT",Config!$G$13,Config!$G$25)))</f>
        <v/>
      </c>
    </row>
    <row r="220">
      <c r="A220" t="inlineStr">
        <is>
          <t>04C1026120898</t>
        </is>
      </c>
      <c r="B220" t="inlineStr">
        <is>
          <t>CRS0000675</t>
        </is>
      </c>
      <c r="C220" t="inlineStr">
        <is>
          <t>LT</t>
        </is>
      </c>
      <c r="D220" t="inlineStr">
        <is>
          <t>ALX440U-DS3B01</t>
        </is>
      </c>
      <c r="E220" s="2" t="n">
        <v>46092</v>
      </c>
      <c r="F220" t="inlineStr">
        <is>
          <t>Fail</t>
        </is>
      </c>
      <c r="G220" t="n">
        <v>137.4</v>
      </c>
      <c r="H220" t="n">
        <v>87</v>
      </c>
      <c r="I220" t="n">
        <v>-1957.8</v>
      </c>
      <c r="J220" t="n">
        <v>71.3</v>
      </c>
      <c r="K220" t="n">
        <v>0</v>
      </c>
      <c r="L220" t="n">
        <v>1.5</v>
      </c>
      <c r="M220" t="n">
        <v>0</v>
      </c>
      <c r="N220" t="n">
        <v>69.8</v>
      </c>
      <c r="O220" t="n">
        <v>111.72</v>
      </c>
      <c r="P220" t="n">
        <v>113.11</v>
      </c>
      <c r="Q220" t="n">
        <v>8.25</v>
      </c>
      <c r="R220" t="n">
        <v>8.5</v>
      </c>
      <c r="S220">
        <f>IF(OR(G220=0,G220=""),"",ABS((G220-IF($C220="LT",Config!$F$2,Config!$F$14))/IF($C220="LT",Config!$G$2,Config!$G$14)))</f>
        <v/>
      </c>
      <c r="T220">
        <f>IF(OR(H220=0,H220=""),"",ABS((H220-IF($C220="LT",Config!$F$3,Config!$F$15))/IF($C220="LT",Config!$G$3,Config!$G$15)))</f>
        <v/>
      </c>
      <c r="U220">
        <f>IF(OR(I220=0,I220=""),"",ABS((I220-IF($C220="LT",Config!$F$4,Config!$F$16))/IF($C220="LT",Config!$G$4,Config!$G$16)))</f>
        <v/>
      </c>
      <c r="V220">
        <f>IF(OR(J220=0,J220=""),"",ABS((J220-IF($C220="LT",Config!$F$5,Config!$F$17))/IF($C220="LT",Config!$G$5,Config!$G$17)))</f>
        <v/>
      </c>
      <c r="W220">
        <f>IF(OR(K220=0,K220=""),"",ABS((K220-IF($C220="LT",Config!$F$6,Config!$F$18))/IF($C220="LT",Config!$G$6,Config!$G$18)))</f>
        <v/>
      </c>
      <c r="X220">
        <f>IF(OR(L220=0,L220=""),"",ABS((L220-IF($C220="LT",Config!$F$7,Config!$F$19))/IF($C220="LT",Config!$G$7,Config!$G$19)))</f>
        <v/>
      </c>
      <c r="Y220">
        <f>IF(OR(M220=0,M220=""),"",ABS((M220-IF($C220="LT",Config!$F$8,Config!$F$20))/IF($C220="LT",Config!$G$8,Config!$G$20)))</f>
        <v/>
      </c>
      <c r="Z220">
        <f>IF(OR(N220=0,N220=""),"",ABS((N220-IF($C220="LT",Config!$F$9,Config!$F$21))/IF($C220="LT",Config!$G$9,Config!$G$21)))</f>
        <v/>
      </c>
      <c r="AA220">
        <f>IF(OR(O220=0,O220=""),"",ABS((O220-IF($C220="LT",Config!$F$10,Config!$F$22))/IF($C220="LT",Config!$G$10,Config!$G$22)))</f>
        <v/>
      </c>
      <c r="AB220">
        <f>IF(OR(P220=0,P220=""),"",ABS((P220-IF($C220="LT",Config!$F$11,Config!$F$23))/IF($C220="LT",Config!$G$11,Config!$G$23)))</f>
        <v/>
      </c>
      <c r="AC220">
        <f>IF(OR(Q220=0,Q220=""),"",ABS((Q220-IF($C220="LT",Config!$F$12,Config!$F$24))/IF($C220="LT",Config!$G$12,Config!$G$24)))</f>
        <v/>
      </c>
      <c r="AD220">
        <f>IF(OR(R220=0,R220=""),"",ABS((R220-IF($C220="LT",Config!$F$13,Config!$F$25))/IF($C220="LT",Config!$G$13,Config!$G$25)))</f>
        <v/>
      </c>
    </row>
    <row r="221">
      <c r="A221" t="inlineStr">
        <is>
          <t>04C1026120898</t>
        </is>
      </c>
      <c r="B221" t="inlineStr">
        <is>
          <t>CRS0000675</t>
        </is>
      </c>
      <c r="C221" t="inlineStr">
        <is>
          <t>LT</t>
        </is>
      </c>
      <c r="D221" t="inlineStr">
        <is>
          <t>ALX440U-DS3B01</t>
        </is>
      </c>
      <c r="E221" s="2" t="n">
        <v>46092</v>
      </c>
      <c r="F221" t="inlineStr">
        <is>
          <t>Pass</t>
        </is>
      </c>
      <c r="G221" t="n">
        <v>156.6</v>
      </c>
      <c r="H221" t="n">
        <v>86.5</v>
      </c>
      <c r="I221" t="n">
        <v>-1957.8</v>
      </c>
      <c r="J221" t="n">
        <v>70.8</v>
      </c>
      <c r="K221" t="n">
        <v>0</v>
      </c>
      <c r="L221" t="n">
        <v>1.7</v>
      </c>
      <c r="M221" t="n">
        <v>0</v>
      </c>
      <c r="N221" t="n">
        <v>69.09999999999999</v>
      </c>
      <c r="O221" t="n">
        <v>111.42</v>
      </c>
      <c r="P221" t="n">
        <v>112.67</v>
      </c>
      <c r="Q221" t="n">
        <v>8.130000000000001</v>
      </c>
      <c r="R221" t="n">
        <v>8.5</v>
      </c>
      <c r="S221">
        <f>IF(OR(G221=0,G221=""),"",ABS((G221-IF($C221="LT",Config!$F$2,Config!$F$14))/IF($C221="LT",Config!$G$2,Config!$G$14)))</f>
        <v/>
      </c>
      <c r="T221">
        <f>IF(OR(H221=0,H221=""),"",ABS((H221-IF($C221="LT",Config!$F$3,Config!$F$15))/IF($C221="LT",Config!$G$3,Config!$G$15)))</f>
        <v/>
      </c>
      <c r="U221">
        <f>IF(OR(I221=0,I221=""),"",ABS((I221-IF($C221="LT",Config!$F$4,Config!$F$16))/IF($C221="LT",Config!$G$4,Config!$G$16)))</f>
        <v/>
      </c>
      <c r="V221">
        <f>IF(OR(J221=0,J221=""),"",ABS((J221-IF($C221="LT",Config!$F$5,Config!$F$17))/IF($C221="LT",Config!$G$5,Config!$G$17)))</f>
        <v/>
      </c>
      <c r="W221">
        <f>IF(OR(K221=0,K221=""),"",ABS((K221-IF($C221="LT",Config!$F$6,Config!$F$18))/IF($C221="LT",Config!$G$6,Config!$G$18)))</f>
        <v/>
      </c>
      <c r="X221">
        <f>IF(OR(L221=0,L221=""),"",ABS((L221-IF($C221="LT",Config!$F$7,Config!$F$19))/IF($C221="LT",Config!$G$7,Config!$G$19)))</f>
        <v/>
      </c>
      <c r="Y221">
        <f>IF(OR(M221=0,M221=""),"",ABS((M221-IF($C221="LT",Config!$F$8,Config!$F$20))/IF($C221="LT",Config!$G$8,Config!$G$20)))</f>
        <v/>
      </c>
      <c r="Z221">
        <f>IF(OR(N221=0,N221=""),"",ABS((N221-IF($C221="LT",Config!$F$9,Config!$F$21))/IF($C221="LT",Config!$G$9,Config!$G$21)))</f>
        <v/>
      </c>
      <c r="AA221">
        <f>IF(OR(O221=0,O221=""),"",ABS((O221-IF($C221="LT",Config!$F$10,Config!$F$22))/IF($C221="LT",Config!$G$10,Config!$G$22)))</f>
        <v/>
      </c>
      <c r="AB221">
        <f>IF(OR(P221=0,P221=""),"",ABS((P221-IF($C221="LT",Config!$F$11,Config!$F$23))/IF($C221="LT",Config!$G$11,Config!$G$23)))</f>
        <v/>
      </c>
      <c r="AC221">
        <f>IF(OR(Q221=0,Q221=""),"",ABS((Q221-IF($C221="LT",Config!$F$12,Config!$F$24))/IF($C221="LT",Config!$G$12,Config!$G$24)))</f>
        <v/>
      </c>
      <c r="AD221">
        <f>IF(OR(R221=0,R221=""),"",ABS((R221-IF($C221="LT",Config!$F$13,Config!$F$25))/IF($C221="LT",Config!$G$13,Config!$G$25)))</f>
        <v/>
      </c>
    </row>
    <row r="222">
      <c r="A222" t="inlineStr">
        <is>
          <t>04C1026120899</t>
        </is>
      </c>
      <c r="B222" t="inlineStr">
        <is>
          <t>CRS0000675</t>
        </is>
      </c>
      <c r="C222" t="inlineStr">
        <is>
          <t>LT</t>
        </is>
      </c>
      <c r="D222" t="inlineStr">
        <is>
          <t>ALX440U-DS3B01</t>
        </is>
      </c>
      <c r="E222" s="2" t="n">
        <v>46092</v>
      </c>
      <c r="F222" t="inlineStr">
        <is>
          <t>Pass</t>
        </is>
      </c>
      <c r="G222" t="n">
        <v>155.3</v>
      </c>
      <c r="H222" t="n">
        <v>87</v>
      </c>
      <c r="I222" t="n">
        <v>-1957.8</v>
      </c>
      <c r="J222" t="n">
        <v>71.3</v>
      </c>
      <c r="K222" t="n">
        <v>0</v>
      </c>
      <c r="L222" t="n">
        <v>2</v>
      </c>
      <c r="M222" t="n">
        <v>0</v>
      </c>
      <c r="N222" t="n">
        <v>69.3</v>
      </c>
      <c r="O222" t="n">
        <v>114.5</v>
      </c>
      <c r="P222" t="n">
        <v>114.58</v>
      </c>
      <c r="Q222" t="n">
        <v>8.35</v>
      </c>
      <c r="R222" t="n">
        <v>8.15</v>
      </c>
      <c r="S222">
        <f>IF(OR(G222=0,G222=""),"",ABS((G222-IF($C222="LT",Config!$F$2,Config!$F$14))/IF($C222="LT",Config!$G$2,Config!$G$14)))</f>
        <v/>
      </c>
      <c r="T222">
        <f>IF(OR(H222=0,H222=""),"",ABS((H222-IF($C222="LT",Config!$F$3,Config!$F$15))/IF($C222="LT",Config!$G$3,Config!$G$15)))</f>
        <v/>
      </c>
      <c r="U222">
        <f>IF(OR(I222=0,I222=""),"",ABS((I222-IF($C222="LT",Config!$F$4,Config!$F$16))/IF($C222="LT",Config!$G$4,Config!$G$16)))</f>
        <v/>
      </c>
      <c r="V222">
        <f>IF(OR(J222=0,J222=""),"",ABS((J222-IF($C222="LT",Config!$F$5,Config!$F$17))/IF($C222="LT",Config!$G$5,Config!$G$17)))</f>
        <v/>
      </c>
      <c r="W222">
        <f>IF(OR(K222=0,K222=""),"",ABS((K222-IF($C222="LT",Config!$F$6,Config!$F$18))/IF($C222="LT",Config!$G$6,Config!$G$18)))</f>
        <v/>
      </c>
      <c r="X222">
        <f>IF(OR(L222=0,L222=""),"",ABS((L222-IF($C222="LT",Config!$F$7,Config!$F$19))/IF($C222="LT",Config!$G$7,Config!$G$19)))</f>
        <v/>
      </c>
      <c r="Y222">
        <f>IF(OR(M222=0,M222=""),"",ABS((M222-IF($C222="LT",Config!$F$8,Config!$F$20))/IF($C222="LT",Config!$G$8,Config!$G$20)))</f>
        <v/>
      </c>
      <c r="Z222">
        <f>IF(OR(N222=0,N222=""),"",ABS((N222-IF($C222="LT",Config!$F$9,Config!$F$21))/IF($C222="LT",Config!$G$9,Config!$G$21)))</f>
        <v/>
      </c>
      <c r="AA222">
        <f>IF(OR(O222=0,O222=""),"",ABS((O222-IF($C222="LT",Config!$F$10,Config!$F$22))/IF($C222="LT",Config!$G$10,Config!$G$22)))</f>
        <v/>
      </c>
      <c r="AB222">
        <f>IF(OR(P222=0,P222=""),"",ABS((P222-IF($C222="LT",Config!$F$11,Config!$F$23))/IF($C222="LT",Config!$G$11,Config!$G$23)))</f>
        <v/>
      </c>
      <c r="AC222">
        <f>IF(OR(Q222=0,Q222=""),"",ABS((Q222-IF($C222="LT",Config!$F$12,Config!$F$24))/IF($C222="LT",Config!$G$12,Config!$G$24)))</f>
        <v/>
      </c>
      <c r="AD222">
        <f>IF(OR(R222=0,R222=""),"",ABS((R222-IF($C222="LT",Config!$F$13,Config!$F$25))/IF($C222="LT",Config!$G$13,Config!$G$25)))</f>
        <v/>
      </c>
    </row>
    <row r="223">
      <c r="A223" t="inlineStr">
        <is>
          <t>04C1026120900</t>
        </is>
      </c>
      <c r="B223" t="inlineStr">
        <is>
          <t>CRS0000675</t>
        </is>
      </c>
      <c r="C223" t="inlineStr">
        <is>
          <t>LT</t>
        </is>
      </c>
      <c r="D223" t="inlineStr">
        <is>
          <t>ALX440U-DS3B01</t>
        </is>
      </c>
      <c r="E223" s="2" t="n">
        <v>46092</v>
      </c>
      <c r="F223" t="inlineStr">
        <is>
          <t>Pass</t>
        </is>
      </c>
      <c r="G223" t="n">
        <v>150.8</v>
      </c>
      <c r="H223" t="n">
        <v>85.2</v>
      </c>
      <c r="I223" t="n">
        <v>-1957.8</v>
      </c>
      <c r="J223" t="n">
        <v>71.3</v>
      </c>
      <c r="K223" t="n">
        <v>0</v>
      </c>
      <c r="L223" t="n">
        <v>2.2</v>
      </c>
      <c r="M223" t="n">
        <v>0</v>
      </c>
      <c r="N223" t="n">
        <v>69.09999999999999</v>
      </c>
      <c r="O223" t="n">
        <v>111.06</v>
      </c>
      <c r="P223" t="n">
        <v>117.44</v>
      </c>
      <c r="Q223" t="n">
        <v>8.5</v>
      </c>
      <c r="R223" t="n">
        <v>7.96</v>
      </c>
      <c r="S223">
        <f>IF(OR(G223=0,G223=""),"",ABS((G223-IF($C223="LT",Config!$F$2,Config!$F$14))/IF($C223="LT",Config!$G$2,Config!$G$14)))</f>
        <v/>
      </c>
      <c r="T223">
        <f>IF(OR(H223=0,H223=""),"",ABS((H223-IF($C223="LT",Config!$F$3,Config!$F$15))/IF($C223="LT",Config!$G$3,Config!$G$15)))</f>
        <v/>
      </c>
      <c r="U223">
        <f>IF(OR(I223=0,I223=""),"",ABS((I223-IF($C223="LT",Config!$F$4,Config!$F$16))/IF($C223="LT",Config!$G$4,Config!$G$16)))</f>
        <v/>
      </c>
      <c r="V223">
        <f>IF(OR(J223=0,J223=""),"",ABS((J223-IF($C223="LT",Config!$F$5,Config!$F$17))/IF($C223="LT",Config!$G$5,Config!$G$17)))</f>
        <v/>
      </c>
      <c r="W223">
        <f>IF(OR(K223=0,K223=""),"",ABS((K223-IF($C223="LT",Config!$F$6,Config!$F$18))/IF($C223="LT",Config!$G$6,Config!$G$18)))</f>
        <v/>
      </c>
      <c r="X223">
        <f>IF(OR(L223=0,L223=""),"",ABS((L223-IF($C223="LT",Config!$F$7,Config!$F$19))/IF($C223="LT",Config!$G$7,Config!$G$19)))</f>
        <v/>
      </c>
      <c r="Y223">
        <f>IF(OR(M223=0,M223=""),"",ABS((M223-IF($C223="LT",Config!$F$8,Config!$F$20))/IF($C223="LT",Config!$G$8,Config!$G$20)))</f>
        <v/>
      </c>
      <c r="Z223">
        <f>IF(OR(N223=0,N223=""),"",ABS((N223-IF($C223="LT",Config!$F$9,Config!$F$21))/IF($C223="LT",Config!$G$9,Config!$G$21)))</f>
        <v/>
      </c>
      <c r="AA223">
        <f>IF(OR(O223=0,O223=""),"",ABS((O223-IF($C223="LT",Config!$F$10,Config!$F$22))/IF($C223="LT",Config!$G$10,Config!$G$22)))</f>
        <v/>
      </c>
      <c r="AB223">
        <f>IF(OR(P223=0,P223=""),"",ABS((P223-IF($C223="LT",Config!$F$11,Config!$F$23))/IF($C223="LT",Config!$G$11,Config!$G$23)))</f>
        <v/>
      </c>
      <c r="AC223">
        <f>IF(OR(Q223=0,Q223=""),"",ABS((Q223-IF($C223="LT",Config!$F$12,Config!$F$24))/IF($C223="LT",Config!$G$12,Config!$G$24)))</f>
        <v/>
      </c>
      <c r="AD223">
        <f>IF(OR(R223=0,R223=""),"",ABS((R223-IF($C223="LT",Config!$F$13,Config!$F$25))/IF($C223="LT",Config!$G$13,Config!$G$25)))</f>
        <v/>
      </c>
    </row>
    <row r="224">
      <c r="A224" t="inlineStr">
        <is>
          <t>04C1126120901</t>
        </is>
      </c>
      <c r="B224" t="inlineStr">
        <is>
          <t>CRS0000675</t>
        </is>
      </c>
      <c r="C224" t="inlineStr">
        <is>
          <t>LT</t>
        </is>
      </c>
      <c r="D224" t="inlineStr">
        <is>
          <t>ALX440U-DS3B01</t>
        </is>
      </c>
      <c r="E224" s="2" t="n">
        <v>46092</v>
      </c>
      <c r="F224" t="inlineStr">
        <is>
          <t>Pass</t>
        </is>
      </c>
      <c r="G224" t="n">
        <v>149.9</v>
      </c>
      <c r="H224" t="n">
        <v>92.40000000000001</v>
      </c>
      <c r="I224" t="n">
        <v>-1957.8</v>
      </c>
      <c r="J224" t="n">
        <v>70.8</v>
      </c>
      <c r="K224" t="n">
        <v>0</v>
      </c>
      <c r="L224" t="n">
        <v>1.1</v>
      </c>
      <c r="M224" t="n">
        <v>0</v>
      </c>
      <c r="N224" t="n">
        <v>69.7</v>
      </c>
      <c r="O224" t="n">
        <v>114.43</v>
      </c>
      <c r="P224" t="n">
        <v>112.96</v>
      </c>
      <c r="Q224" t="n">
        <v>8.130000000000001</v>
      </c>
      <c r="R224" t="n">
        <v>8.18</v>
      </c>
      <c r="S224">
        <f>IF(OR(G224=0,G224=""),"",ABS((G224-IF($C224="LT",Config!$F$2,Config!$F$14))/IF($C224="LT",Config!$G$2,Config!$G$14)))</f>
        <v/>
      </c>
      <c r="T224">
        <f>IF(OR(H224=0,H224=""),"",ABS((H224-IF($C224="LT",Config!$F$3,Config!$F$15))/IF($C224="LT",Config!$G$3,Config!$G$15)))</f>
        <v/>
      </c>
      <c r="U224">
        <f>IF(OR(I224=0,I224=""),"",ABS((I224-IF($C224="LT",Config!$F$4,Config!$F$16))/IF($C224="LT",Config!$G$4,Config!$G$16)))</f>
        <v/>
      </c>
      <c r="V224">
        <f>IF(OR(J224=0,J224=""),"",ABS((J224-IF($C224="LT",Config!$F$5,Config!$F$17))/IF($C224="LT",Config!$G$5,Config!$G$17)))</f>
        <v/>
      </c>
      <c r="W224">
        <f>IF(OR(K224=0,K224=""),"",ABS((K224-IF($C224="LT",Config!$F$6,Config!$F$18))/IF($C224="LT",Config!$G$6,Config!$G$18)))</f>
        <v/>
      </c>
      <c r="X224">
        <f>IF(OR(L224=0,L224=""),"",ABS((L224-IF($C224="LT",Config!$F$7,Config!$F$19))/IF($C224="LT",Config!$G$7,Config!$G$19)))</f>
        <v/>
      </c>
      <c r="Y224">
        <f>IF(OR(M224=0,M224=""),"",ABS((M224-IF($C224="LT",Config!$F$8,Config!$F$20))/IF($C224="LT",Config!$G$8,Config!$G$20)))</f>
        <v/>
      </c>
      <c r="Z224">
        <f>IF(OR(N224=0,N224=""),"",ABS((N224-IF($C224="LT",Config!$F$9,Config!$F$21))/IF($C224="LT",Config!$G$9,Config!$G$21)))</f>
        <v/>
      </c>
      <c r="AA224">
        <f>IF(OR(O224=0,O224=""),"",ABS((O224-IF($C224="LT",Config!$F$10,Config!$F$22))/IF($C224="LT",Config!$G$10,Config!$G$22)))</f>
        <v/>
      </c>
      <c r="AB224">
        <f>IF(OR(P224=0,P224=""),"",ABS((P224-IF($C224="LT",Config!$F$11,Config!$F$23))/IF($C224="LT",Config!$G$11,Config!$G$23)))</f>
        <v/>
      </c>
      <c r="AC224">
        <f>IF(OR(Q224=0,Q224=""),"",ABS((Q224-IF($C224="LT",Config!$F$12,Config!$F$24))/IF($C224="LT",Config!$G$12,Config!$G$24)))</f>
        <v/>
      </c>
      <c r="AD224">
        <f>IF(OR(R224=0,R224=""),"",ABS((R224-IF($C224="LT",Config!$F$13,Config!$F$25))/IF($C224="LT",Config!$G$13,Config!$G$25)))</f>
        <v/>
      </c>
    </row>
    <row r="225">
      <c r="A225" t="inlineStr">
        <is>
          <t>04C1126120902</t>
        </is>
      </c>
      <c r="B225" t="inlineStr">
        <is>
          <t>CRS0000675</t>
        </is>
      </c>
      <c r="C225" t="inlineStr">
        <is>
          <t>LT</t>
        </is>
      </c>
      <c r="D225" t="inlineStr">
        <is>
          <t>ALX440U-DS3B01</t>
        </is>
      </c>
      <c r="E225" s="2" t="n">
        <v>46092</v>
      </c>
      <c r="F225" t="inlineStr">
        <is>
          <t>Pass</t>
        </is>
      </c>
      <c r="G225" t="n">
        <v>153.9</v>
      </c>
      <c r="H225" t="n">
        <v>96</v>
      </c>
      <c r="I225" t="n">
        <v>-1957.8</v>
      </c>
      <c r="J225" t="n">
        <v>71.3</v>
      </c>
      <c r="K225" t="n">
        <v>0</v>
      </c>
      <c r="L225" t="n">
        <v>2.1</v>
      </c>
      <c r="M225" t="n">
        <v>0</v>
      </c>
      <c r="N225" t="n">
        <v>69.2</v>
      </c>
      <c r="O225" t="n">
        <v>113.7</v>
      </c>
      <c r="P225" t="n">
        <v>116.56</v>
      </c>
      <c r="Q225" t="n">
        <v>7.67</v>
      </c>
      <c r="R225" t="n">
        <v>7.37</v>
      </c>
      <c r="S225">
        <f>IF(OR(G225=0,G225=""),"",ABS((G225-IF($C225="LT",Config!$F$2,Config!$F$14))/IF($C225="LT",Config!$G$2,Config!$G$14)))</f>
        <v/>
      </c>
      <c r="T225">
        <f>IF(OR(H225=0,H225=""),"",ABS((H225-IF($C225="LT",Config!$F$3,Config!$F$15))/IF($C225="LT",Config!$G$3,Config!$G$15)))</f>
        <v/>
      </c>
      <c r="U225">
        <f>IF(OR(I225=0,I225=""),"",ABS((I225-IF($C225="LT",Config!$F$4,Config!$F$16))/IF($C225="LT",Config!$G$4,Config!$G$16)))</f>
        <v/>
      </c>
      <c r="V225">
        <f>IF(OR(J225=0,J225=""),"",ABS((J225-IF($C225="LT",Config!$F$5,Config!$F$17))/IF($C225="LT",Config!$G$5,Config!$G$17)))</f>
        <v/>
      </c>
      <c r="W225">
        <f>IF(OR(K225=0,K225=""),"",ABS((K225-IF($C225="LT",Config!$F$6,Config!$F$18))/IF($C225="LT",Config!$G$6,Config!$G$18)))</f>
        <v/>
      </c>
      <c r="X225">
        <f>IF(OR(L225=0,L225=""),"",ABS((L225-IF($C225="LT",Config!$F$7,Config!$F$19))/IF($C225="LT",Config!$G$7,Config!$G$19)))</f>
        <v/>
      </c>
      <c r="Y225">
        <f>IF(OR(M225=0,M225=""),"",ABS((M225-IF($C225="LT",Config!$F$8,Config!$F$20))/IF($C225="LT",Config!$G$8,Config!$G$20)))</f>
        <v/>
      </c>
      <c r="Z225">
        <f>IF(OR(N225=0,N225=""),"",ABS((N225-IF($C225="LT",Config!$F$9,Config!$F$21))/IF($C225="LT",Config!$G$9,Config!$G$21)))</f>
        <v/>
      </c>
      <c r="AA225">
        <f>IF(OR(O225=0,O225=""),"",ABS((O225-IF($C225="LT",Config!$F$10,Config!$F$22))/IF($C225="LT",Config!$G$10,Config!$G$22)))</f>
        <v/>
      </c>
      <c r="AB225">
        <f>IF(OR(P225=0,P225=""),"",ABS((P225-IF($C225="LT",Config!$F$11,Config!$F$23))/IF($C225="LT",Config!$G$11,Config!$G$23)))</f>
        <v/>
      </c>
      <c r="AC225">
        <f>IF(OR(Q225=0,Q225=""),"",ABS((Q225-IF($C225="LT",Config!$F$12,Config!$F$24))/IF($C225="LT",Config!$G$12,Config!$G$24)))</f>
        <v/>
      </c>
      <c r="AD225">
        <f>IF(OR(R225=0,R225=""),"",ABS((R225-IF($C225="LT",Config!$F$13,Config!$F$25))/IF($C225="LT",Config!$G$13,Config!$G$25)))</f>
        <v/>
      </c>
    </row>
    <row r="226">
      <c r="A226" t="inlineStr">
        <is>
          <t>04C1126120903</t>
        </is>
      </c>
      <c r="B226" t="inlineStr">
        <is>
          <t>CRS0000675</t>
        </is>
      </c>
      <c r="C226" t="inlineStr">
        <is>
          <t>LT</t>
        </is>
      </c>
      <c r="D226" t="inlineStr">
        <is>
          <t>ALX440U-DS3B01</t>
        </is>
      </c>
      <c r="E226" s="2" t="n">
        <v>46092</v>
      </c>
      <c r="F226" t="inlineStr">
        <is>
          <t>Pass</t>
        </is>
      </c>
      <c r="G226" t="n">
        <v>153.9</v>
      </c>
      <c r="H226" t="n">
        <v>91.5</v>
      </c>
      <c r="I226" t="n">
        <v>-1957.8</v>
      </c>
      <c r="J226" t="n">
        <v>71.3</v>
      </c>
      <c r="K226" t="n">
        <v>0</v>
      </c>
      <c r="L226" t="n">
        <v>1.8</v>
      </c>
      <c r="M226" t="n">
        <v>0</v>
      </c>
      <c r="N226" t="n">
        <v>69.5</v>
      </c>
      <c r="O226" t="n">
        <v>114.72</v>
      </c>
      <c r="P226" t="n">
        <v>114.72</v>
      </c>
      <c r="Q226" t="n">
        <v>8.01</v>
      </c>
      <c r="R226" t="n">
        <v>8.109999999999999</v>
      </c>
      <c r="S226">
        <f>IF(OR(G226=0,G226=""),"",ABS((G226-IF($C226="LT",Config!$F$2,Config!$F$14))/IF($C226="LT",Config!$G$2,Config!$G$14)))</f>
        <v/>
      </c>
      <c r="T226">
        <f>IF(OR(H226=0,H226=""),"",ABS((H226-IF($C226="LT",Config!$F$3,Config!$F$15))/IF($C226="LT",Config!$G$3,Config!$G$15)))</f>
        <v/>
      </c>
      <c r="U226">
        <f>IF(OR(I226=0,I226=""),"",ABS((I226-IF($C226="LT",Config!$F$4,Config!$F$16))/IF($C226="LT",Config!$G$4,Config!$G$16)))</f>
        <v/>
      </c>
      <c r="V226">
        <f>IF(OR(J226=0,J226=""),"",ABS((J226-IF($C226="LT",Config!$F$5,Config!$F$17))/IF($C226="LT",Config!$G$5,Config!$G$17)))</f>
        <v/>
      </c>
      <c r="W226">
        <f>IF(OR(K226=0,K226=""),"",ABS((K226-IF($C226="LT",Config!$F$6,Config!$F$18))/IF($C226="LT",Config!$G$6,Config!$G$18)))</f>
        <v/>
      </c>
      <c r="X226">
        <f>IF(OR(L226=0,L226=""),"",ABS((L226-IF($C226="LT",Config!$F$7,Config!$F$19))/IF($C226="LT",Config!$G$7,Config!$G$19)))</f>
        <v/>
      </c>
      <c r="Y226">
        <f>IF(OR(M226=0,M226=""),"",ABS((M226-IF($C226="LT",Config!$F$8,Config!$F$20))/IF($C226="LT",Config!$G$8,Config!$G$20)))</f>
        <v/>
      </c>
      <c r="Z226">
        <f>IF(OR(N226=0,N226=""),"",ABS((N226-IF($C226="LT",Config!$F$9,Config!$F$21))/IF($C226="LT",Config!$G$9,Config!$G$21)))</f>
        <v/>
      </c>
      <c r="AA226">
        <f>IF(OR(O226=0,O226=""),"",ABS((O226-IF($C226="LT",Config!$F$10,Config!$F$22))/IF($C226="LT",Config!$G$10,Config!$G$22)))</f>
        <v/>
      </c>
      <c r="AB226">
        <f>IF(OR(P226=0,P226=""),"",ABS((P226-IF($C226="LT",Config!$F$11,Config!$F$23))/IF($C226="LT",Config!$G$11,Config!$G$23)))</f>
        <v/>
      </c>
      <c r="AC226">
        <f>IF(OR(Q226=0,Q226=""),"",ABS((Q226-IF($C226="LT",Config!$F$12,Config!$F$24))/IF($C226="LT",Config!$G$12,Config!$G$24)))</f>
        <v/>
      </c>
      <c r="AD226">
        <f>IF(OR(R226=0,R226=""),"",ABS((R226-IF($C226="LT",Config!$F$13,Config!$F$25))/IF($C226="LT",Config!$G$13,Config!$G$25)))</f>
        <v/>
      </c>
    </row>
    <row r="227">
      <c r="A227" t="inlineStr">
        <is>
          <t>04C1126120905</t>
        </is>
      </c>
      <c r="B227" t="inlineStr">
        <is>
          <t>CRS0000674</t>
        </is>
      </c>
      <c r="C227" t="inlineStr">
        <is>
          <t>MT</t>
        </is>
      </c>
      <c r="D227" t="inlineStr">
        <is>
          <t>TCX413U-DS1B01</t>
        </is>
      </c>
      <c r="E227" s="2" t="n">
        <v>46092</v>
      </c>
      <c r="F227" t="inlineStr">
        <is>
          <t>Pass</t>
        </is>
      </c>
      <c r="G227" t="n">
        <v>113.7</v>
      </c>
      <c r="H227" t="n">
        <v>81.59999999999999</v>
      </c>
      <c r="I227" t="n">
        <v>-1957.8</v>
      </c>
      <c r="J227" t="n">
        <v>70.8</v>
      </c>
      <c r="K227" t="n">
        <v>0</v>
      </c>
      <c r="L227" t="n">
        <v>1.1</v>
      </c>
      <c r="M227" t="n">
        <v>0</v>
      </c>
      <c r="N227" t="n">
        <v>69.7</v>
      </c>
      <c r="O227" t="n">
        <v>115.09</v>
      </c>
      <c r="P227" t="n">
        <v>115.09</v>
      </c>
      <c r="Q227" t="n">
        <v>3.78</v>
      </c>
      <c r="R227" t="n">
        <v>3.96</v>
      </c>
      <c r="S227">
        <f>IF(OR(G227=0,G227=""),"",ABS((G227-IF($C227="LT",Config!$F$2,Config!$F$14))/IF($C227="LT",Config!$G$2,Config!$G$14)))</f>
        <v/>
      </c>
      <c r="T227">
        <f>IF(OR(H227=0,H227=""),"",ABS((H227-IF($C227="LT",Config!$F$3,Config!$F$15))/IF($C227="LT",Config!$G$3,Config!$G$15)))</f>
        <v/>
      </c>
      <c r="U227">
        <f>IF(OR(I227=0,I227=""),"",ABS((I227-IF($C227="LT",Config!$F$4,Config!$F$16))/IF($C227="LT",Config!$G$4,Config!$G$16)))</f>
        <v/>
      </c>
      <c r="V227">
        <f>IF(OR(J227=0,J227=""),"",ABS((J227-IF($C227="LT",Config!$F$5,Config!$F$17))/IF($C227="LT",Config!$G$5,Config!$G$17)))</f>
        <v/>
      </c>
      <c r="W227">
        <f>IF(OR(K227=0,K227=""),"",ABS((K227-IF($C227="LT",Config!$F$6,Config!$F$18))/IF($C227="LT",Config!$G$6,Config!$G$18)))</f>
        <v/>
      </c>
      <c r="X227">
        <f>IF(OR(L227=0,L227=""),"",ABS((L227-IF($C227="LT",Config!$F$7,Config!$F$19))/IF($C227="LT",Config!$G$7,Config!$G$19)))</f>
        <v/>
      </c>
      <c r="Y227">
        <f>IF(OR(M227=0,M227=""),"",ABS((M227-IF($C227="LT",Config!$F$8,Config!$F$20))/IF($C227="LT",Config!$G$8,Config!$G$20)))</f>
        <v/>
      </c>
      <c r="Z227">
        <f>IF(OR(N227=0,N227=""),"",ABS((N227-IF($C227="LT",Config!$F$9,Config!$F$21))/IF($C227="LT",Config!$G$9,Config!$G$21)))</f>
        <v/>
      </c>
      <c r="AA227">
        <f>IF(OR(O227=0,O227=""),"",ABS((O227-IF($C227="LT",Config!$F$10,Config!$F$22))/IF($C227="LT",Config!$G$10,Config!$G$22)))</f>
        <v/>
      </c>
      <c r="AB227">
        <f>IF(OR(P227=0,P227=""),"",ABS((P227-IF($C227="LT",Config!$F$11,Config!$F$23))/IF($C227="LT",Config!$G$11,Config!$G$23)))</f>
        <v/>
      </c>
      <c r="AC227">
        <f>IF(OR(Q227=0,Q227=""),"",ABS((Q227-IF($C227="LT",Config!$F$12,Config!$F$24))/IF($C227="LT",Config!$G$12,Config!$G$24)))</f>
        <v/>
      </c>
      <c r="AD227">
        <f>IF(OR(R227=0,R227=""),"",ABS((R227-IF($C227="LT",Config!$F$13,Config!$F$25))/IF($C227="LT",Config!$G$13,Config!$G$25)))</f>
        <v/>
      </c>
    </row>
    <row r="228">
      <c r="A228" t="inlineStr">
        <is>
          <t>04C1126120906</t>
        </is>
      </c>
      <c r="B228" t="inlineStr">
        <is>
          <t>CRS0000674</t>
        </is>
      </c>
      <c r="C228" t="inlineStr">
        <is>
          <t>MT</t>
        </is>
      </c>
      <c r="D228" t="inlineStr">
        <is>
          <t>TCX413U-DS1B01</t>
        </is>
      </c>
      <c r="E228" s="2" t="n">
        <v>46092</v>
      </c>
      <c r="F228" t="inlineStr">
        <is>
          <t>Pass</t>
        </is>
      </c>
      <c r="G228" t="n">
        <v>114.2</v>
      </c>
      <c r="H228" t="n">
        <v>81.09999999999999</v>
      </c>
      <c r="I228" t="n">
        <v>-1957.8</v>
      </c>
      <c r="J228" t="n">
        <v>71.3</v>
      </c>
      <c r="K228" t="n">
        <v>0</v>
      </c>
      <c r="L228" t="n">
        <v>1.9</v>
      </c>
      <c r="M228" t="n">
        <v>0</v>
      </c>
      <c r="N228" t="n">
        <v>69.40000000000001</v>
      </c>
      <c r="O228" t="n">
        <v>115.38</v>
      </c>
      <c r="P228" t="n">
        <v>115.46</v>
      </c>
      <c r="Q228" t="n">
        <v>3.81</v>
      </c>
      <c r="R228" t="n">
        <v>3.93</v>
      </c>
      <c r="S228">
        <f>IF(OR(G228=0,G228=""),"",ABS((G228-IF($C228="LT",Config!$F$2,Config!$F$14))/IF($C228="LT",Config!$G$2,Config!$G$14)))</f>
        <v/>
      </c>
      <c r="T228">
        <f>IF(OR(H228=0,H228=""),"",ABS((H228-IF($C228="LT",Config!$F$3,Config!$F$15))/IF($C228="LT",Config!$G$3,Config!$G$15)))</f>
        <v/>
      </c>
      <c r="U228">
        <f>IF(OR(I228=0,I228=""),"",ABS((I228-IF($C228="LT",Config!$F$4,Config!$F$16))/IF($C228="LT",Config!$G$4,Config!$G$16)))</f>
        <v/>
      </c>
      <c r="V228">
        <f>IF(OR(J228=0,J228=""),"",ABS((J228-IF($C228="LT",Config!$F$5,Config!$F$17))/IF($C228="LT",Config!$G$5,Config!$G$17)))</f>
        <v/>
      </c>
      <c r="W228">
        <f>IF(OR(K228=0,K228=""),"",ABS((K228-IF($C228="LT",Config!$F$6,Config!$F$18))/IF($C228="LT",Config!$G$6,Config!$G$18)))</f>
        <v/>
      </c>
      <c r="X228">
        <f>IF(OR(L228=0,L228=""),"",ABS((L228-IF($C228="LT",Config!$F$7,Config!$F$19))/IF($C228="LT",Config!$G$7,Config!$G$19)))</f>
        <v/>
      </c>
      <c r="Y228">
        <f>IF(OR(M228=0,M228=""),"",ABS((M228-IF($C228="LT",Config!$F$8,Config!$F$20))/IF($C228="LT",Config!$G$8,Config!$G$20)))</f>
        <v/>
      </c>
      <c r="Z228">
        <f>IF(OR(N228=0,N228=""),"",ABS((N228-IF($C228="LT",Config!$F$9,Config!$F$21))/IF($C228="LT",Config!$G$9,Config!$G$21)))</f>
        <v/>
      </c>
      <c r="AA228">
        <f>IF(OR(O228=0,O228=""),"",ABS((O228-IF($C228="LT",Config!$F$10,Config!$F$22))/IF($C228="LT",Config!$G$10,Config!$G$22)))</f>
        <v/>
      </c>
      <c r="AB228">
        <f>IF(OR(P228=0,P228=""),"",ABS((P228-IF($C228="LT",Config!$F$11,Config!$F$23))/IF($C228="LT",Config!$G$11,Config!$G$23)))</f>
        <v/>
      </c>
      <c r="AC228">
        <f>IF(OR(Q228=0,Q228=""),"",ABS((Q228-IF($C228="LT",Config!$F$12,Config!$F$24))/IF($C228="LT",Config!$G$12,Config!$G$24)))</f>
        <v/>
      </c>
      <c r="AD228">
        <f>IF(OR(R228=0,R228=""),"",ABS((R228-IF($C228="LT",Config!$F$13,Config!$F$25))/IF($C228="LT",Config!$G$13,Config!$G$25)))</f>
        <v/>
      </c>
    </row>
    <row r="229">
      <c r="A229" t="inlineStr">
        <is>
          <t>04C1126120907</t>
        </is>
      </c>
      <c r="B229" t="inlineStr">
        <is>
          <t>CRS0000674</t>
        </is>
      </c>
      <c r="C229" t="inlineStr">
        <is>
          <t>MT</t>
        </is>
      </c>
      <c r="D229" t="inlineStr">
        <is>
          <t>TCX413U-DS1B01</t>
        </is>
      </c>
      <c r="E229" s="2" t="n">
        <v>46092</v>
      </c>
      <c r="F229" t="inlineStr">
        <is>
          <t>Pass</t>
        </is>
      </c>
      <c r="G229" t="n">
        <v>110.2</v>
      </c>
      <c r="H229" t="n">
        <v>80.7</v>
      </c>
      <c r="I229" t="n">
        <v>-1957.8</v>
      </c>
      <c r="J229" t="n">
        <v>71.3</v>
      </c>
      <c r="K229" t="n">
        <v>0</v>
      </c>
      <c r="L229" t="n">
        <v>2.4</v>
      </c>
      <c r="M229" t="n">
        <v>0</v>
      </c>
      <c r="N229" t="n">
        <v>68.90000000000001</v>
      </c>
      <c r="O229" t="n">
        <v>115.75</v>
      </c>
      <c r="P229" t="n">
        <v>117.29</v>
      </c>
      <c r="Q229" t="n">
        <v>3.81</v>
      </c>
      <c r="R229" t="n">
        <v>3.81</v>
      </c>
      <c r="S229">
        <f>IF(OR(G229=0,G229=""),"",ABS((G229-IF($C229="LT",Config!$F$2,Config!$F$14))/IF($C229="LT",Config!$G$2,Config!$G$14)))</f>
        <v/>
      </c>
      <c r="T229">
        <f>IF(OR(H229=0,H229=""),"",ABS((H229-IF($C229="LT",Config!$F$3,Config!$F$15))/IF($C229="LT",Config!$G$3,Config!$G$15)))</f>
        <v/>
      </c>
      <c r="U229">
        <f>IF(OR(I229=0,I229=""),"",ABS((I229-IF($C229="LT",Config!$F$4,Config!$F$16))/IF($C229="LT",Config!$G$4,Config!$G$16)))</f>
        <v/>
      </c>
      <c r="V229">
        <f>IF(OR(J229=0,J229=""),"",ABS((J229-IF($C229="LT",Config!$F$5,Config!$F$17))/IF($C229="LT",Config!$G$5,Config!$G$17)))</f>
        <v/>
      </c>
      <c r="W229">
        <f>IF(OR(K229=0,K229=""),"",ABS((K229-IF($C229="LT",Config!$F$6,Config!$F$18))/IF($C229="LT",Config!$G$6,Config!$G$18)))</f>
        <v/>
      </c>
      <c r="X229">
        <f>IF(OR(L229=0,L229=""),"",ABS((L229-IF($C229="LT",Config!$F$7,Config!$F$19))/IF($C229="LT",Config!$G$7,Config!$G$19)))</f>
        <v/>
      </c>
      <c r="Y229">
        <f>IF(OR(M229=0,M229=""),"",ABS((M229-IF($C229="LT",Config!$F$8,Config!$F$20))/IF($C229="LT",Config!$G$8,Config!$G$20)))</f>
        <v/>
      </c>
      <c r="Z229">
        <f>IF(OR(N229=0,N229=""),"",ABS((N229-IF($C229="LT",Config!$F$9,Config!$F$21))/IF($C229="LT",Config!$G$9,Config!$G$21)))</f>
        <v/>
      </c>
      <c r="AA229">
        <f>IF(OR(O229=0,O229=""),"",ABS((O229-IF($C229="LT",Config!$F$10,Config!$F$22))/IF($C229="LT",Config!$G$10,Config!$G$22)))</f>
        <v/>
      </c>
      <c r="AB229">
        <f>IF(OR(P229=0,P229=""),"",ABS((P229-IF($C229="LT",Config!$F$11,Config!$F$23))/IF($C229="LT",Config!$G$11,Config!$G$23)))</f>
        <v/>
      </c>
      <c r="AC229">
        <f>IF(OR(Q229=0,Q229=""),"",ABS((Q229-IF($C229="LT",Config!$F$12,Config!$F$24))/IF($C229="LT",Config!$G$12,Config!$G$24)))</f>
        <v/>
      </c>
      <c r="AD229">
        <f>IF(OR(R229=0,R229=""),"",ABS((R229-IF($C229="LT",Config!$F$13,Config!$F$25))/IF($C229="LT",Config!$G$13,Config!$G$25)))</f>
        <v/>
      </c>
    </row>
    <row r="230">
      <c r="A230" t="inlineStr">
        <is>
          <t>04C1126120908</t>
        </is>
      </c>
      <c r="B230" t="inlineStr">
        <is>
          <t>CRS0000674</t>
        </is>
      </c>
      <c r="C230" t="inlineStr">
        <is>
          <t>MT</t>
        </is>
      </c>
      <c r="D230" t="inlineStr">
        <is>
          <t>TCX413U-DS1B01</t>
        </is>
      </c>
      <c r="E230" s="2" t="n">
        <v>46092</v>
      </c>
      <c r="F230" t="inlineStr">
        <is>
          <t>Pass</t>
        </is>
      </c>
      <c r="G230" t="n">
        <v>115.1</v>
      </c>
      <c r="H230" t="n">
        <v>77.90000000000001</v>
      </c>
      <c r="I230" t="n">
        <v>-1957.8</v>
      </c>
      <c r="J230" t="n">
        <v>71.3</v>
      </c>
      <c r="K230" t="n">
        <v>0</v>
      </c>
      <c r="L230" t="n">
        <v>2.2</v>
      </c>
      <c r="M230" t="n">
        <v>0</v>
      </c>
      <c r="N230" t="n">
        <v>69.09999999999999</v>
      </c>
      <c r="O230" t="n">
        <v>115.31</v>
      </c>
      <c r="P230" t="n">
        <v>115.24</v>
      </c>
      <c r="Q230" t="n">
        <v>3.88</v>
      </c>
      <c r="R230" t="n">
        <v>3.98</v>
      </c>
      <c r="S230">
        <f>IF(OR(G230=0,G230=""),"",ABS((G230-IF($C230="LT",Config!$F$2,Config!$F$14))/IF($C230="LT",Config!$G$2,Config!$G$14)))</f>
        <v/>
      </c>
      <c r="T230">
        <f>IF(OR(H230=0,H230=""),"",ABS((H230-IF($C230="LT",Config!$F$3,Config!$F$15))/IF($C230="LT",Config!$G$3,Config!$G$15)))</f>
        <v/>
      </c>
      <c r="U230">
        <f>IF(OR(I230=0,I230=""),"",ABS((I230-IF($C230="LT",Config!$F$4,Config!$F$16))/IF($C230="LT",Config!$G$4,Config!$G$16)))</f>
        <v/>
      </c>
      <c r="V230">
        <f>IF(OR(J230=0,J230=""),"",ABS((J230-IF($C230="LT",Config!$F$5,Config!$F$17))/IF($C230="LT",Config!$G$5,Config!$G$17)))</f>
        <v/>
      </c>
      <c r="W230">
        <f>IF(OR(K230=0,K230=""),"",ABS((K230-IF($C230="LT",Config!$F$6,Config!$F$18))/IF($C230="LT",Config!$G$6,Config!$G$18)))</f>
        <v/>
      </c>
      <c r="X230">
        <f>IF(OR(L230=0,L230=""),"",ABS((L230-IF($C230="LT",Config!$F$7,Config!$F$19))/IF($C230="LT",Config!$G$7,Config!$G$19)))</f>
        <v/>
      </c>
      <c r="Y230">
        <f>IF(OR(M230=0,M230=""),"",ABS((M230-IF($C230="LT",Config!$F$8,Config!$F$20))/IF($C230="LT",Config!$G$8,Config!$G$20)))</f>
        <v/>
      </c>
      <c r="Z230">
        <f>IF(OR(N230=0,N230=""),"",ABS((N230-IF($C230="LT",Config!$F$9,Config!$F$21))/IF($C230="LT",Config!$G$9,Config!$G$21)))</f>
        <v/>
      </c>
      <c r="AA230">
        <f>IF(OR(O230=0,O230=""),"",ABS((O230-IF($C230="LT",Config!$F$10,Config!$F$22))/IF($C230="LT",Config!$G$10,Config!$G$22)))</f>
        <v/>
      </c>
      <c r="AB230">
        <f>IF(OR(P230=0,P230=""),"",ABS((P230-IF($C230="LT",Config!$F$11,Config!$F$23))/IF($C230="LT",Config!$G$11,Config!$G$23)))</f>
        <v/>
      </c>
      <c r="AC230">
        <f>IF(OR(Q230=0,Q230=""),"",ABS((Q230-IF($C230="LT",Config!$F$12,Config!$F$24))/IF($C230="LT",Config!$G$12,Config!$G$24)))</f>
        <v/>
      </c>
      <c r="AD230">
        <f>IF(OR(R230=0,R230=""),"",ABS((R230-IF($C230="LT",Config!$F$13,Config!$F$25))/IF($C230="LT",Config!$G$13,Config!$G$25)))</f>
        <v/>
      </c>
    </row>
    <row r="231">
      <c r="A231" t="inlineStr">
        <is>
          <t>04C1126120909</t>
        </is>
      </c>
      <c r="B231" t="inlineStr">
        <is>
          <t>CRS0000674</t>
        </is>
      </c>
      <c r="C231" t="inlineStr">
        <is>
          <t>MT</t>
        </is>
      </c>
      <c r="D231" t="inlineStr">
        <is>
          <t>TCX413U-DS1B01</t>
        </is>
      </c>
      <c r="E231" s="2" t="n">
        <v>46092</v>
      </c>
      <c r="F231" t="inlineStr">
        <is>
          <t>Pass</t>
        </is>
      </c>
      <c r="G231" t="n">
        <v>108.8</v>
      </c>
      <c r="H231" t="n">
        <v>82.5</v>
      </c>
      <c r="I231" t="n">
        <v>-1957.8</v>
      </c>
      <c r="J231" t="n">
        <v>71.3</v>
      </c>
      <c r="K231" t="n">
        <v>0</v>
      </c>
      <c r="L231" t="n">
        <v>2.9</v>
      </c>
      <c r="M231" t="n">
        <v>0</v>
      </c>
      <c r="N231" t="n">
        <v>68.40000000000001</v>
      </c>
      <c r="O231" t="n">
        <v>115.6</v>
      </c>
      <c r="P231" t="n">
        <v>117</v>
      </c>
      <c r="Q231" t="n">
        <v>3.52</v>
      </c>
      <c r="R231" t="n">
        <v>3.56</v>
      </c>
      <c r="S231">
        <f>IF(OR(G231=0,G231=""),"",ABS((G231-IF($C231="LT",Config!$F$2,Config!$F$14))/IF($C231="LT",Config!$G$2,Config!$G$14)))</f>
        <v/>
      </c>
      <c r="T231">
        <f>IF(OR(H231=0,H231=""),"",ABS((H231-IF($C231="LT",Config!$F$3,Config!$F$15))/IF($C231="LT",Config!$G$3,Config!$G$15)))</f>
        <v/>
      </c>
      <c r="U231">
        <f>IF(OR(I231=0,I231=""),"",ABS((I231-IF($C231="LT",Config!$F$4,Config!$F$16))/IF($C231="LT",Config!$G$4,Config!$G$16)))</f>
        <v/>
      </c>
      <c r="V231">
        <f>IF(OR(J231=0,J231=""),"",ABS((J231-IF($C231="LT",Config!$F$5,Config!$F$17))/IF($C231="LT",Config!$G$5,Config!$G$17)))</f>
        <v/>
      </c>
      <c r="W231">
        <f>IF(OR(K231=0,K231=""),"",ABS((K231-IF($C231="LT",Config!$F$6,Config!$F$18))/IF($C231="LT",Config!$G$6,Config!$G$18)))</f>
        <v/>
      </c>
      <c r="X231">
        <f>IF(OR(L231=0,L231=""),"",ABS((L231-IF($C231="LT",Config!$F$7,Config!$F$19))/IF($C231="LT",Config!$G$7,Config!$G$19)))</f>
        <v/>
      </c>
      <c r="Y231">
        <f>IF(OR(M231=0,M231=""),"",ABS((M231-IF($C231="LT",Config!$F$8,Config!$F$20))/IF($C231="LT",Config!$G$8,Config!$G$20)))</f>
        <v/>
      </c>
      <c r="Z231">
        <f>IF(OR(N231=0,N231=""),"",ABS((N231-IF($C231="LT",Config!$F$9,Config!$F$21))/IF($C231="LT",Config!$G$9,Config!$G$21)))</f>
        <v/>
      </c>
      <c r="AA231">
        <f>IF(OR(O231=0,O231=""),"",ABS((O231-IF($C231="LT",Config!$F$10,Config!$F$22))/IF($C231="LT",Config!$G$10,Config!$G$22)))</f>
        <v/>
      </c>
      <c r="AB231">
        <f>IF(OR(P231=0,P231=""),"",ABS((P231-IF($C231="LT",Config!$F$11,Config!$F$23))/IF($C231="LT",Config!$G$11,Config!$G$23)))</f>
        <v/>
      </c>
      <c r="AC231">
        <f>IF(OR(Q231=0,Q231=""),"",ABS((Q231-IF($C231="LT",Config!$F$12,Config!$F$24))/IF($C231="LT",Config!$G$12,Config!$G$24)))</f>
        <v/>
      </c>
      <c r="AD231">
        <f>IF(OR(R231=0,R231=""),"",ABS((R231-IF($C231="LT",Config!$F$13,Config!$F$25))/IF($C231="LT",Config!$G$13,Config!$G$25)))</f>
        <v/>
      </c>
    </row>
    <row r="232">
      <c r="A232" t="inlineStr">
        <is>
          <t>04C1126120910</t>
        </is>
      </c>
      <c r="B232" t="inlineStr">
        <is>
          <t>CRS0000674</t>
        </is>
      </c>
      <c r="C232" t="inlineStr">
        <is>
          <t>MT</t>
        </is>
      </c>
      <c r="D232" t="inlineStr">
        <is>
          <t>TCX413U-DS1B01</t>
        </is>
      </c>
      <c r="E232" s="2" t="n">
        <v>46092</v>
      </c>
      <c r="F232" t="inlineStr">
        <is>
          <t>Pass</t>
        </is>
      </c>
      <c r="G232" t="n">
        <v>116.4</v>
      </c>
      <c r="H232" t="n">
        <v>84.3</v>
      </c>
      <c r="I232" t="n">
        <v>-1957.8</v>
      </c>
      <c r="J232" t="n">
        <v>70.8</v>
      </c>
      <c r="K232" t="n">
        <v>0</v>
      </c>
      <c r="L232" t="n">
        <v>2</v>
      </c>
      <c r="M232" t="n">
        <v>0</v>
      </c>
      <c r="N232" t="n">
        <v>68.8</v>
      </c>
      <c r="O232" t="n">
        <v>115.46</v>
      </c>
      <c r="P232" t="n">
        <v>115.38</v>
      </c>
      <c r="Q232" t="n">
        <v>3.81</v>
      </c>
      <c r="R232" t="n">
        <v>3.86</v>
      </c>
      <c r="S232">
        <f>IF(OR(G232=0,G232=""),"",ABS((G232-IF($C232="LT",Config!$F$2,Config!$F$14))/IF($C232="LT",Config!$G$2,Config!$G$14)))</f>
        <v/>
      </c>
      <c r="T232">
        <f>IF(OR(H232=0,H232=""),"",ABS((H232-IF($C232="LT",Config!$F$3,Config!$F$15))/IF($C232="LT",Config!$G$3,Config!$G$15)))</f>
        <v/>
      </c>
      <c r="U232">
        <f>IF(OR(I232=0,I232=""),"",ABS((I232-IF($C232="LT",Config!$F$4,Config!$F$16))/IF($C232="LT",Config!$G$4,Config!$G$16)))</f>
        <v/>
      </c>
      <c r="V232">
        <f>IF(OR(J232=0,J232=""),"",ABS((J232-IF($C232="LT",Config!$F$5,Config!$F$17))/IF($C232="LT",Config!$G$5,Config!$G$17)))</f>
        <v/>
      </c>
      <c r="W232">
        <f>IF(OR(K232=0,K232=""),"",ABS((K232-IF($C232="LT",Config!$F$6,Config!$F$18))/IF($C232="LT",Config!$G$6,Config!$G$18)))</f>
        <v/>
      </c>
      <c r="X232">
        <f>IF(OR(L232=0,L232=""),"",ABS((L232-IF($C232="LT",Config!$F$7,Config!$F$19))/IF($C232="LT",Config!$G$7,Config!$G$19)))</f>
        <v/>
      </c>
      <c r="Y232">
        <f>IF(OR(M232=0,M232=""),"",ABS((M232-IF($C232="LT",Config!$F$8,Config!$F$20))/IF($C232="LT",Config!$G$8,Config!$G$20)))</f>
        <v/>
      </c>
      <c r="Z232">
        <f>IF(OR(N232=0,N232=""),"",ABS((N232-IF($C232="LT",Config!$F$9,Config!$F$21))/IF($C232="LT",Config!$G$9,Config!$G$21)))</f>
        <v/>
      </c>
      <c r="AA232">
        <f>IF(OR(O232=0,O232=""),"",ABS((O232-IF($C232="LT",Config!$F$10,Config!$F$22))/IF($C232="LT",Config!$G$10,Config!$G$22)))</f>
        <v/>
      </c>
      <c r="AB232">
        <f>IF(OR(P232=0,P232=""),"",ABS((P232-IF($C232="LT",Config!$F$11,Config!$F$23))/IF($C232="LT",Config!$G$11,Config!$G$23)))</f>
        <v/>
      </c>
      <c r="AC232">
        <f>IF(OR(Q232=0,Q232=""),"",ABS((Q232-IF($C232="LT",Config!$F$12,Config!$F$24))/IF($C232="LT",Config!$G$12,Config!$G$24)))</f>
        <v/>
      </c>
      <c r="AD232">
        <f>IF(OR(R232=0,R232=""),"",ABS((R232-IF($C232="LT",Config!$F$13,Config!$F$25))/IF($C232="LT",Config!$G$13,Config!$G$25)))</f>
        <v/>
      </c>
    </row>
    <row r="233">
      <c r="A233" t="inlineStr">
        <is>
          <t>04C1126120911</t>
        </is>
      </c>
      <c r="B233" t="inlineStr">
        <is>
          <t>CRS0000674</t>
        </is>
      </c>
      <c r="C233" t="inlineStr">
        <is>
          <t>MT</t>
        </is>
      </c>
      <c r="D233" t="inlineStr">
        <is>
          <t>TCX413U-DS1B01</t>
        </is>
      </c>
      <c r="E233" s="2" t="n">
        <v>46092</v>
      </c>
      <c r="F233" t="inlineStr">
        <is>
          <t>Pass</t>
        </is>
      </c>
      <c r="G233" t="n">
        <v>113.7</v>
      </c>
      <c r="H233" t="n">
        <v>83.40000000000001</v>
      </c>
      <c r="I233" t="n">
        <v>-1957.8</v>
      </c>
      <c r="J233" t="n">
        <v>70.8</v>
      </c>
      <c r="K233" t="n">
        <v>0</v>
      </c>
      <c r="L233" t="n">
        <v>1.9</v>
      </c>
      <c r="M233" t="n">
        <v>0</v>
      </c>
      <c r="N233" t="n">
        <v>68.90000000000001</v>
      </c>
      <c r="O233" t="n">
        <v>115.46</v>
      </c>
      <c r="P233" t="n">
        <v>115.38</v>
      </c>
      <c r="Q233" t="n">
        <v>3.81</v>
      </c>
      <c r="R233" t="n">
        <v>3.88</v>
      </c>
      <c r="S233">
        <f>IF(OR(G233=0,G233=""),"",ABS((G233-IF($C233="LT",Config!$F$2,Config!$F$14))/IF($C233="LT",Config!$G$2,Config!$G$14)))</f>
        <v/>
      </c>
      <c r="T233">
        <f>IF(OR(H233=0,H233=""),"",ABS((H233-IF($C233="LT",Config!$F$3,Config!$F$15))/IF($C233="LT",Config!$G$3,Config!$G$15)))</f>
        <v/>
      </c>
      <c r="U233">
        <f>IF(OR(I233=0,I233=""),"",ABS((I233-IF($C233="LT",Config!$F$4,Config!$F$16))/IF($C233="LT",Config!$G$4,Config!$G$16)))</f>
        <v/>
      </c>
      <c r="V233">
        <f>IF(OR(J233=0,J233=""),"",ABS((J233-IF($C233="LT",Config!$F$5,Config!$F$17))/IF($C233="LT",Config!$G$5,Config!$G$17)))</f>
        <v/>
      </c>
      <c r="W233">
        <f>IF(OR(K233=0,K233=""),"",ABS((K233-IF($C233="LT",Config!$F$6,Config!$F$18))/IF($C233="LT",Config!$G$6,Config!$G$18)))</f>
        <v/>
      </c>
      <c r="X233">
        <f>IF(OR(L233=0,L233=""),"",ABS((L233-IF($C233="LT",Config!$F$7,Config!$F$19))/IF($C233="LT",Config!$G$7,Config!$G$19)))</f>
        <v/>
      </c>
      <c r="Y233">
        <f>IF(OR(M233=0,M233=""),"",ABS((M233-IF($C233="LT",Config!$F$8,Config!$F$20))/IF($C233="LT",Config!$G$8,Config!$G$20)))</f>
        <v/>
      </c>
      <c r="Z233">
        <f>IF(OR(N233=0,N233=""),"",ABS((N233-IF($C233="LT",Config!$F$9,Config!$F$21))/IF($C233="LT",Config!$G$9,Config!$G$21)))</f>
        <v/>
      </c>
      <c r="AA233">
        <f>IF(OR(O233=0,O233=""),"",ABS((O233-IF($C233="LT",Config!$F$10,Config!$F$22))/IF($C233="LT",Config!$G$10,Config!$G$22)))</f>
        <v/>
      </c>
      <c r="AB233">
        <f>IF(OR(P233=0,P233=""),"",ABS((P233-IF($C233="LT",Config!$F$11,Config!$F$23))/IF($C233="LT",Config!$G$11,Config!$G$23)))</f>
        <v/>
      </c>
      <c r="AC233">
        <f>IF(OR(Q233=0,Q233=""),"",ABS((Q233-IF($C233="LT",Config!$F$12,Config!$F$24))/IF($C233="LT",Config!$G$12,Config!$G$24)))</f>
        <v/>
      </c>
      <c r="AD233">
        <f>IF(OR(R233=0,R233=""),"",ABS((R233-IF($C233="LT",Config!$F$13,Config!$F$25))/IF($C233="LT",Config!$G$13,Config!$G$25)))</f>
        <v/>
      </c>
    </row>
    <row r="234">
      <c r="A234" t="inlineStr">
        <is>
          <t>04C1126120904</t>
        </is>
      </c>
      <c r="B234" t="inlineStr">
        <is>
          <t>CRS0000674</t>
        </is>
      </c>
      <c r="C234" t="inlineStr">
        <is>
          <t>MT</t>
        </is>
      </c>
      <c r="D234" t="inlineStr">
        <is>
          <t>TCX413U-DS1B01</t>
        </is>
      </c>
      <c r="E234" s="2" t="n">
        <v>46092</v>
      </c>
      <c r="F234" t="inlineStr">
        <is>
          <t>Fail</t>
        </is>
      </c>
      <c r="G234" t="n">
        <v>137.4</v>
      </c>
      <c r="H234" t="n">
        <v>143.8</v>
      </c>
      <c r="I234" t="n">
        <v>-1957.8</v>
      </c>
      <c r="J234" t="n">
        <v>71.3</v>
      </c>
      <c r="K234" t="n">
        <v>0</v>
      </c>
      <c r="L234" t="n">
        <v>2.9</v>
      </c>
      <c r="M234" t="n">
        <v>0</v>
      </c>
      <c r="N234" t="n">
        <v>68.40000000000001</v>
      </c>
      <c r="O234" t="n">
        <v>111.86</v>
      </c>
      <c r="P234" t="n">
        <v>112.96</v>
      </c>
      <c r="Q234" t="n">
        <v>5.05</v>
      </c>
      <c r="R234" t="n">
        <v>6.1</v>
      </c>
      <c r="S234">
        <f>IF(OR(G234=0,G234=""),"",ABS((G234-IF($C234="LT",Config!$F$2,Config!$F$14))/IF($C234="LT",Config!$G$2,Config!$G$14)))</f>
        <v/>
      </c>
      <c r="T234">
        <f>IF(OR(H234=0,H234=""),"",ABS((H234-IF($C234="LT",Config!$F$3,Config!$F$15))/IF($C234="LT",Config!$G$3,Config!$G$15)))</f>
        <v/>
      </c>
      <c r="U234">
        <f>IF(OR(I234=0,I234=""),"",ABS((I234-IF($C234="LT",Config!$F$4,Config!$F$16))/IF($C234="LT",Config!$G$4,Config!$G$16)))</f>
        <v/>
      </c>
      <c r="V234">
        <f>IF(OR(J234=0,J234=""),"",ABS((J234-IF($C234="LT",Config!$F$5,Config!$F$17))/IF($C234="LT",Config!$G$5,Config!$G$17)))</f>
        <v/>
      </c>
      <c r="W234">
        <f>IF(OR(K234=0,K234=""),"",ABS((K234-IF($C234="LT",Config!$F$6,Config!$F$18))/IF($C234="LT",Config!$G$6,Config!$G$18)))</f>
        <v/>
      </c>
      <c r="X234">
        <f>IF(OR(L234=0,L234=""),"",ABS((L234-IF($C234="LT",Config!$F$7,Config!$F$19))/IF($C234="LT",Config!$G$7,Config!$G$19)))</f>
        <v/>
      </c>
      <c r="Y234">
        <f>IF(OR(M234=0,M234=""),"",ABS((M234-IF($C234="LT",Config!$F$8,Config!$F$20))/IF($C234="LT",Config!$G$8,Config!$G$20)))</f>
        <v/>
      </c>
      <c r="Z234">
        <f>IF(OR(N234=0,N234=""),"",ABS((N234-IF($C234="LT",Config!$F$9,Config!$F$21))/IF($C234="LT",Config!$G$9,Config!$G$21)))</f>
        <v/>
      </c>
      <c r="AA234">
        <f>IF(OR(O234=0,O234=""),"",ABS((O234-IF($C234="LT",Config!$F$10,Config!$F$22))/IF($C234="LT",Config!$G$10,Config!$G$22)))</f>
        <v/>
      </c>
      <c r="AB234">
        <f>IF(OR(P234=0,P234=""),"",ABS((P234-IF($C234="LT",Config!$F$11,Config!$F$23))/IF($C234="LT",Config!$G$11,Config!$G$23)))</f>
        <v/>
      </c>
      <c r="AC234">
        <f>IF(OR(Q234=0,Q234=""),"",ABS((Q234-IF($C234="LT",Config!$F$12,Config!$F$24))/IF($C234="LT",Config!$G$12,Config!$G$24)))</f>
        <v/>
      </c>
      <c r="AD234">
        <f>IF(OR(R234=0,R234=""),"",ABS((R234-IF($C234="LT",Config!$F$13,Config!$F$25))/IF($C234="LT",Config!$G$13,Config!$G$25)))</f>
        <v/>
      </c>
    </row>
    <row r="235">
      <c r="A235" t="inlineStr">
        <is>
          <t>04C1126120904</t>
        </is>
      </c>
      <c r="B235" t="inlineStr">
        <is>
          <t>CRS0000674</t>
        </is>
      </c>
      <c r="C235" t="inlineStr">
        <is>
          <t>MT</t>
        </is>
      </c>
      <c r="D235" t="inlineStr">
        <is>
          <t>TCX413U-DS1B01</t>
        </is>
      </c>
      <c r="E235" s="2" t="n">
        <v>46092</v>
      </c>
      <c r="F235" t="inlineStr">
        <is>
          <t>Pass</t>
        </is>
      </c>
      <c r="G235" t="n">
        <v>110.6</v>
      </c>
      <c r="H235" t="n">
        <v>84.3</v>
      </c>
      <c r="I235" t="n">
        <v>-1957.8</v>
      </c>
      <c r="J235" t="n">
        <v>70.8</v>
      </c>
      <c r="K235" t="n">
        <v>0</v>
      </c>
      <c r="L235" t="n">
        <v>1.6</v>
      </c>
      <c r="M235" t="n">
        <v>0</v>
      </c>
      <c r="N235" t="n">
        <v>69.2</v>
      </c>
      <c r="O235" t="n">
        <v>112.16</v>
      </c>
      <c r="P235" t="n">
        <v>116.7</v>
      </c>
      <c r="Q235" t="n">
        <v>4.05</v>
      </c>
      <c r="R235" t="n">
        <v>3.98</v>
      </c>
      <c r="S235">
        <f>IF(OR(G235=0,G235=""),"",ABS((G235-IF($C235="LT",Config!$F$2,Config!$F$14))/IF($C235="LT",Config!$G$2,Config!$G$14)))</f>
        <v/>
      </c>
      <c r="T235">
        <f>IF(OR(H235=0,H235=""),"",ABS((H235-IF($C235="LT",Config!$F$3,Config!$F$15))/IF($C235="LT",Config!$G$3,Config!$G$15)))</f>
        <v/>
      </c>
      <c r="U235">
        <f>IF(OR(I235=0,I235=""),"",ABS((I235-IF($C235="LT",Config!$F$4,Config!$F$16))/IF($C235="LT",Config!$G$4,Config!$G$16)))</f>
        <v/>
      </c>
      <c r="V235">
        <f>IF(OR(J235=0,J235=""),"",ABS((J235-IF($C235="LT",Config!$F$5,Config!$F$17))/IF($C235="LT",Config!$G$5,Config!$G$17)))</f>
        <v/>
      </c>
      <c r="W235">
        <f>IF(OR(K235=0,K235=""),"",ABS((K235-IF($C235="LT",Config!$F$6,Config!$F$18))/IF($C235="LT",Config!$G$6,Config!$G$18)))</f>
        <v/>
      </c>
      <c r="X235">
        <f>IF(OR(L235=0,L235=""),"",ABS((L235-IF($C235="LT",Config!$F$7,Config!$F$19))/IF($C235="LT",Config!$G$7,Config!$G$19)))</f>
        <v/>
      </c>
      <c r="Y235">
        <f>IF(OR(M235=0,M235=""),"",ABS((M235-IF($C235="LT",Config!$F$8,Config!$F$20))/IF($C235="LT",Config!$G$8,Config!$G$20)))</f>
        <v/>
      </c>
      <c r="Z235">
        <f>IF(OR(N235=0,N235=""),"",ABS((N235-IF($C235="LT",Config!$F$9,Config!$F$21))/IF($C235="LT",Config!$G$9,Config!$G$21)))</f>
        <v/>
      </c>
      <c r="AA235">
        <f>IF(OR(O235=0,O235=""),"",ABS((O235-IF($C235="LT",Config!$F$10,Config!$F$22))/IF($C235="LT",Config!$G$10,Config!$G$22)))</f>
        <v/>
      </c>
      <c r="AB235">
        <f>IF(OR(P235=0,P235=""),"",ABS((P235-IF($C235="LT",Config!$F$11,Config!$F$23))/IF($C235="LT",Config!$G$11,Config!$G$23)))</f>
        <v/>
      </c>
      <c r="AC235">
        <f>IF(OR(Q235=0,Q235=""),"",ABS((Q235-IF($C235="LT",Config!$F$12,Config!$F$24))/IF($C235="LT",Config!$G$12,Config!$G$24)))</f>
        <v/>
      </c>
      <c r="AD235">
        <f>IF(OR(R235=0,R235=""),"",ABS((R235-IF($C235="LT",Config!$F$13,Config!$F$25))/IF($C235="LT",Config!$G$13,Config!$G$25)))</f>
        <v/>
      </c>
    </row>
    <row r="236">
      <c r="A236" t="inlineStr">
        <is>
          <t>04C1126120912</t>
        </is>
      </c>
      <c r="B236" t="inlineStr">
        <is>
          <t>CRS0000675</t>
        </is>
      </c>
      <c r="C236" t="inlineStr">
        <is>
          <t>LT</t>
        </is>
      </c>
      <c r="D236" t="inlineStr">
        <is>
          <t>ALX440U-DS3B01</t>
        </is>
      </c>
      <c r="E236" s="2" t="n">
        <v>46093</v>
      </c>
      <c r="F236" t="inlineStr">
        <is>
          <t>Fail</t>
        </is>
      </c>
      <c r="G236" t="n">
        <v>137.4</v>
      </c>
      <c r="H236" t="n">
        <v>90.09999999999999</v>
      </c>
      <c r="I236" t="n">
        <v>-1957.8</v>
      </c>
      <c r="J236" t="n">
        <v>65.90000000000001</v>
      </c>
      <c r="K236" t="n">
        <v>0</v>
      </c>
      <c r="L236" t="n">
        <v>0.9</v>
      </c>
      <c r="M236" t="n">
        <v>0</v>
      </c>
      <c r="N236" t="n">
        <v>65</v>
      </c>
      <c r="O236" t="n">
        <v>111.42</v>
      </c>
      <c r="P236" t="n">
        <v>117.73</v>
      </c>
      <c r="Q236" t="n">
        <v>8.42</v>
      </c>
      <c r="R236" t="n">
        <v>7.71</v>
      </c>
      <c r="S236">
        <f>IF(OR(G236=0,G236=""),"",ABS((G236-IF($C236="LT",Config!$F$2,Config!$F$14))/IF($C236="LT",Config!$G$2,Config!$G$14)))</f>
        <v/>
      </c>
      <c r="T236">
        <f>IF(OR(H236=0,H236=""),"",ABS((H236-IF($C236="LT",Config!$F$3,Config!$F$15))/IF($C236="LT",Config!$G$3,Config!$G$15)))</f>
        <v/>
      </c>
      <c r="U236">
        <f>IF(OR(I236=0,I236=""),"",ABS((I236-IF($C236="LT",Config!$F$4,Config!$F$16))/IF($C236="LT",Config!$G$4,Config!$G$16)))</f>
        <v/>
      </c>
      <c r="V236">
        <f>IF(OR(J236=0,J236=""),"",ABS((J236-IF($C236="LT",Config!$F$5,Config!$F$17))/IF($C236="LT",Config!$G$5,Config!$G$17)))</f>
        <v/>
      </c>
      <c r="W236">
        <f>IF(OR(K236=0,K236=""),"",ABS((K236-IF($C236="LT",Config!$F$6,Config!$F$18))/IF($C236="LT",Config!$G$6,Config!$G$18)))</f>
        <v/>
      </c>
      <c r="X236">
        <f>IF(OR(L236=0,L236=""),"",ABS((L236-IF($C236="LT",Config!$F$7,Config!$F$19))/IF($C236="LT",Config!$G$7,Config!$G$19)))</f>
        <v/>
      </c>
      <c r="Y236">
        <f>IF(OR(M236=0,M236=""),"",ABS((M236-IF($C236="LT",Config!$F$8,Config!$F$20))/IF($C236="LT",Config!$G$8,Config!$G$20)))</f>
        <v/>
      </c>
      <c r="Z236">
        <f>IF(OR(N236=0,N236=""),"",ABS((N236-IF($C236="LT",Config!$F$9,Config!$F$21))/IF($C236="LT",Config!$G$9,Config!$G$21)))</f>
        <v/>
      </c>
      <c r="AA236">
        <f>IF(OR(O236=0,O236=""),"",ABS((O236-IF($C236="LT",Config!$F$10,Config!$F$22))/IF($C236="LT",Config!$G$10,Config!$G$22)))</f>
        <v/>
      </c>
      <c r="AB236">
        <f>IF(OR(P236=0,P236=""),"",ABS((P236-IF($C236="LT",Config!$F$11,Config!$F$23))/IF($C236="LT",Config!$G$11,Config!$G$23)))</f>
        <v/>
      </c>
      <c r="AC236">
        <f>IF(OR(Q236=0,Q236=""),"",ABS((Q236-IF($C236="LT",Config!$F$12,Config!$F$24))/IF($C236="LT",Config!$G$12,Config!$G$24)))</f>
        <v/>
      </c>
      <c r="AD236">
        <f>IF(OR(R236=0,R236=""),"",ABS((R236-IF($C236="LT",Config!$F$13,Config!$F$25))/IF($C236="LT",Config!$G$13,Config!$G$25)))</f>
        <v/>
      </c>
    </row>
    <row r="237">
      <c r="A237" t="inlineStr">
        <is>
          <t>04C1126120912</t>
        </is>
      </c>
      <c r="B237" t="inlineStr">
        <is>
          <t>CRS0000675</t>
        </is>
      </c>
      <c r="C237" t="inlineStr">
        <is>
          <t>LT</t>
        </is>
      </c>
      <c r="D237" t="inlineStr">
        <is>
          <t>ALX440U-DS3B01</t>
        </is>
      </c>
      <c r="E237" s="2" t="n">
        <v>46093</v>
      </c>
      <c r="F237" t="inlineStr">
        <is>
          <t>Fail</t>
        </is>
      </c>
      <c r="G237" t="n">
        <v>144.6</v>
      </c>
      <c r="H237" t="n">
        <v>93.7</v>
      </c>
      <c r="I237" t="n">
        <v>-1957.8</v>
      </c>
      <c r="J237" t="n">
        <v>65.90000000000001</v>
      </c>
      <c r="K237" t="n">
        <v>0</v>
      </c>
      <c r="L237" t="n">
        <v>1.2</v>
      </c>
      <c r="M237" t="n">
        <v>0</v>
      </c>
      <c r="N237" t="n">
        <v>64.7</v>
      </c>
      <c r="O237" t="n">
        <v>111.79</v>
      </c>
      <c r="P237" t="n">
        <v>113.33</v>
      </c>
      <c r="Q237" t="n">
        <v>7.79</v>
      </c>
      <c r="R237" t="n">
        <v>7.71</v>
      </c>
      <c r="S237">
        <f>IF(OR(G237=0,G237=""),"",ABS((G237-IF($C237="LT",Config!$F$2,Config!$F$14))/IF($C237="LT",Config!$G$2,Config!$G$14)))</f>
        <v/>
      </c>
      <c r="T237">
        <f>IF(OR(H237=0,H237=""),"",ABS((H237-IF($C237="LT",Config!$F$3,Config!$F$15))/IF($C237="LT",Config!$G$3,Config!$G$15)))</f>
        <v/>
      </c>
      <c r="U237">
        <f>IF(OR(I237=0,I237=""),"",ABS((I237-IF($C237="LT",Config!$F$4,Config!$F$16))/IF($C237="LT",Config!$G$4,Config!$G$16)))</f>
        <v/>
      </c>
      <c r="V237">
        <f>IF(OR(J237=0,J237=""),"",ABS((J237-IF($C237="LT",Config!$F$5,Config!$F$17))/IF($C237="LT",Config!$G$5,Config!$G$17)))</f>
        <v/>
      </c>
      <c r="W237">
        <f>IF(OR(K237=0,K237=""),"",ABS((K237-IF($C237="LT",Config!$F$6,Config!$F$18))/IF($C237="LT",Config!$G$6,Config!$G$18)))</f>
        <v/>
      </c>
      <c r="X237">
        <f>IF(OR(L237=0,L237=""),"",ABS((L237-IF($C237="LT",Config!$F$7,Config!$F$19))/IF($C237="LT",Config!$G$7,Config!$G$19)))</f>
        <v/>
      </c>
      <c r="Y237">
        <f>IF(OR(M237=0,M237=""),"",ABS((M237-IF($C237="LT",Config!$F$8,Config!$F$20))/IF($C237="LT",Config!$G$8,Config!$G$20)))</f>
        <v/>
      </c>
      <c r="Z237">
        <f>IF(OR(N237=0,N237=""),"",ABS((N237-IF($C237="LT",Config!$F$9,Config!$F$21))/IF($C237="LT",Config!$G$9,Config!$G$21)))</f>
        <v/>
      </c>
      <c r="AA237">
        <f>IF(OR(O237=0,O237=""),"",ABS((O237-IF($C237="LT",Config!$F$10,Config!$F$22))/IF($C237="LT",Config!$G$10,Config!$G$22)))</f>
        <v/>
      </c>
      <c r="AB237">
        <f>IF(OR(P237=0,P237=""),"",ABS((P237-IF($C237="LT",Config!$F$11,Config!$F$23))/IF($C237="LT",Config!$G$11,Config!$G$23)))</f>
        <v/>
      </c>
      <c r="AC237">
        <f>IF(OR(Q237=0,Q237=""),"",ABS((Q237-IF($C237="LT",Config!$F$12,Config!$F$24))/IF($C237="LT",Config!$G$12,Config!$G$24)))</f>
        <v/>
      </c>
      <c r="AD237">
        <f>IF(OR(R237=0,R237=""),"",ABS((R237-IF($C237="LT",Config!$F$13,Config!$F$25))/IF($C237="LT",Config!$G$13,Config!$G$25)))</f>
        <v/>
      </c>
    </row>
    <row r="238">
      <c r="A238" t="inlineStr">
        <is>
          <t>04C1126120912</t>
        </is>
      </c>
      <c r="B238" t="inlineStr">
        <is>
          <t>CRS0000675</t>
        </is>
      </c>
      <c r="C238" t="inlineStr">
        <is>
          <t>LT</t>
        </is>
      </c>
      <c r="D238" t="inlineStr">
        <is>
          <t>ALX440U-DS3B01</t>
        </is>
      </c>
      <c r="E238" s="2" t="n">
        <v>46093</v>
      </c>
      <c r="F238" t="inlineStr">
        <is>
          <t>Pass</t>
        </is>
      </c>
      <c r="G238" t="n">
        <v>149</v>
      </c>
      <c r="H238" t="n">
        <v>97.3</v>
      </c>
      <c r="I238" t="n">
        <v>-1957.8</v>
      </c>
      <c r="J238" t="n">
        <v>65.90000000000001</v>
      </c>
      <c r="K238" t="n">
        <v>0</v>
      </c>
      <c r="L238" t="n">
        <v>0.8</v>
      </c>
      <c r="M238" t="n">
        <v>0</v>
      </c>
      <c r="N238" t="n">
        <v>65.09999999999999</v>
      </c>
      <c r="O238" t="n">
        <v>111.72</v>
      </c>
      <c r="P238" t="n">
        <v>112.74</v>
      </c>
      <c r="Q238" t="n">
        <v>7.69</v>
      </c>
      <c r="R238" t="n">
        <v>7.98</v>
      </c>
      <c r="S238">
        <f>IF(OR(G238=0,G238=""),"",ABS((G238-IF($C238="LT",Config!$F$2,Config!$F$14))/IF($C238="LT",Config!$G$2,Config!$G$14)))</f>
        <v/>
      </c>
      <c r="T238">
        <f>IF(OR(H238=0,H238=""),"",ABS((H238-IF($C238="LT",Config!$F$3,Config!$F$15))/IF($C238="LT",Config!$G$3,Config!$G$15)))</f>
        <v/>
      </c>
      <c r="U238">
        <f>IF(OR(I238=0,I238=""),"",ABS((I238-IF($C238="LT",Config!$F$4,Config!$F$16))/IF($C238="LT",Config!$G$4,Config!$G$16)))</f>
        <v/>
      </c>
      <c r="V238">
        <f>IF(OR(J238=0,J238=""),"",ABS((J238-IF($C238="LT",Config!$F$5,Config!$F$17))/IF($C238="LT",Config!$G$5,Config!$G$17)))</f>
        <v/>
      </c>
      <c r="W238">
        <f>IF(OR(K238=0,K238=""),"",ABS((K238-IF($C238="LT",Config!$F$6,Config!$F$18))/IF($C238="LT",Config!$G$6,Config!$G$18)))</f>
        <v/>
      </c>
      <c r="X238">
        <f>IF(OR(L238=0,L238=""),"",ABS((L238-IF($C238="LT",Config!$F$7,Config!$F$19))/IF($C238="LT",Config!$G$7,Config!$G$19)))</f>
        <v/>
      </c>
      <c r="Y238">
        <f>IF(OR(M238=0,M238=""),"",ABS((M238-IF($C238="LT",Config!$F$8,Config!$F$20))/IF($C238="LT",Config!$G$8,Config!$G$20)))</f>
        <v/>
      </c>
      <c r="Z238">
        <f>IF(OR(N238=0,N238=""),"",ABS((N238-IF($C238="LT",Config!$F$9,Config!$F$21))/IF($C238="LT",Config!$G$9,Config!$G$21)))</f>
        <v/>
      </c>
      <c r="AA238">
        <f>IF(OR(O238=0,O238=""),"",ABS((O238-IF($C238="LT",Config!$F$10,Config!$F$22))/IF($C238="LT",Config!$G$10,Config!$G$22)))</f>
        <v/>
      </c>
      <c r="AB238">
        <f>IF(OR(P238=0,P238=""),"",ABS((P238-IF($C238="LT",Config!$F$11,Config!$F$23))/IF($C238="LT",Config!$G$11,Config!$G$23)))</f>
        <v/>
      </c>
      <c r="AC238">
        <f>IF(OR(Q238=0,Q238=""),"",ABS((Q238-IF($C238="LT",Config!$F$12,Config!$F$24))/IF($C238="LT",Config!$G$12,Config!$G$24)))</f>
        <v/>
      </c>
      <c r="AD238">
        <f>IF(OR(R238=0,R238=""),"",ABS((R238-IF($C238="LT",Config!$F$13,Config!$F$25))/IF($C238="LT",Config!$G$13,Config!$G$25)))</f>
        <v/>
      </c>
    </row>
    <row r="239">
      <c r="A239" t="inlineStr">
        <is>
          <t>04C1126120913</t>
        </is>
      </c>
      <c r="B239" t="inlineStr">
        <is>
          <t>CRS0000675</t>
        </is>
      </c>
      <c r="C239" t="inlineStr">
        <is>
          <t>LT</t>
        </is>
      </c>
      <c r="D239" t="inlineStr">
        <is>
          <t>ALX440U-DS3B01</t>
        </is>
      </c>
      <c r="E239" s="2" t="n">
        <v>46093</v>
      </c>
      <c r="F239" t="inlineStr">
        <is>
          <t>Fail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>
        <f>IF(OR(G239=0,G239=""),"",ABS((G239-IF($C239="LT",Config!$F$2,Config!$F$14))/IF($C239="LT",Config!$G$2,Config!$G$14)))</f>
        <v/>
      </c>
      <c r="T239">
        <f>IF(OR(H239=0,H239=""),"",ABS((H239-IF($C239="LT",Config!$F$3,Config!$F$15))/IF($C239="LT",Config!$G$3,Config!$G$15)))</f>
        <v/>
      </c>
      <c r="U239">
        <f>IF(OR(I239=0,I239=""),"",ABS((I239-IF($C239="LT",Config!$F$4,Config!$F$16))/IF($C239="LT",Config!$G$4,Config!$G$16)))</f>
        <v/>
      </c>
      <c r="V239">
        <f>IF(OR(J239=0,J239=""),"",ABS((J239-IF($C239="LT",Config!$F$5,Config!$F$17))/IF($C239="LT",Config!$G$5,Config!$G$17)))</f>
        <v/>
      </c>
      <c r="W239">
        <f>IF(OR(K239=0,K239=""),"",ABS((K239-IF($C239="LT",Config!$F$6,Config!$F$18))/IF($C239="LT",Config!$G$6,Config!$G$18)))</f>
        <v/>
      </c>
      <c r="X239">
        <f>IF(OR(L239=0,L239=""),"",ABS((L239-IF($C239="LT",Config!$F$7,Config!$F$19))/IF($C239="LT",Config!$G$7,Config!$G$19)))</f>
        <v/>
      </c>
      <c r="Y239">
        <f>IF(OR(M239=0,M239=""),"",ABS((M239-IF($C239="LT",Config!$F$8,Config!$F$20))/IF($C239="LT",Config!$G$8,Config!$G$20)))</f>
        <v/>
      </c>
      <c r="Z239">
        <f>IF(OR(N239=0,N239=""),"",ABS((N239-IF($C239="LT",Config!$F$9,Config!$F$21))/IF($C239="LT",Config!$G$9,Config!$G$21)))</f>
        <v/>
      </c>
      <c r="AA239">
        <f>IF(OR(O239=0,O239=""),"",ABS((O239-IF($C239="LT",Config!$F$10,Config!$F$22))/IF($C239="LT",Config!$G$10,Config!$G$22)))</f>
        <v/>
      </c>
      <c r="AB239">
        <f>IF(OR(P239=0,P239=""),"",ABS((P239-IF($C239="LT",Config!$F$11,Config!$F$23))/IF($C239="LT",Config!$G$11,Config!$G$23)))</f>
        <v/>
      </c>
      <c r="AC239">
        <f>IF(OR(Q239=0,Q239=""),"",ABS((Q239-IF($C239="LT",Config!$F$12,Config!$F$24))/IF($C239="LT",Config!$G$12,Config!$G$24)))</f>
        <v/>
      </c>
      <c r="AD239">
        <f>IF(OR(R239=0,R239=""),"",ABS((R239-IF($C239="LT",Config!$F$13,Config!$F$25))/IF($C239="LT",Config!$G$13,Config!$G$25)))</f>
        <v/>
      </c>
    </row>
    <row r="240">
      <c r="A240" t="inlineStr">
        <is>
          <t>04C1126120913</t>
        </is>
      </c>
      <c r="B240" t="inlineStr">
        <is>
          <t>CRS0000675</t>
        </is>
      </c>
      <c r="C240" t="inlineStr">
        <is>
          <t>LT</t>
        </is>
      </c>
      <c r="D240" t="inlineStr">
        <is>
          <t>ALX440U-DS3B01</t>
        </is>
      </c>
      <c r="E240" s="2" t="n">
        <v>46093</v>
      </c>
      <c r="F240" t="inlineStr">
        <is>
          <t>Fail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>
        <f>IF(OR(G240=0,G240=""),"",ABS((G240-IF($C240="LT",Config!$F$2,Config!$F$14))/IF($C240="LT",Config!$G$2,Config!$G$14)))</f>
        <v/>
      </c>
      <c r="T240">
        <f>IF(OR(H240=0,H240=""),"",ABS((H240-IF($C240="LT",Config!$F$3,Config!$F$15))/IF($C240="LT",Config!$G$3,Config!$G$15)))</f>
        <v/>
      </c>
      <c r="U240">
        <f>IF(OR(I240=0,I240=""),"",ABS((I240-IF($C240="LT",Config!$F$4,Config!$F$16))/IF($C240="LT",Config!$G$4,Config!$G$16)))</f>
        <v/>
      </c>
      <c r="V240">
        <f>IF(OR(J240=0,J240=""),"",ABS((J240-IF($C240="LT",Config!$F$5,Config!$F$17))/IF($C240="LT",Config!$G$5,Config!$G$17)))</f>
        <v/>
      </c>
      <c r="W240">
        <f>IF(OR(K240=0,K240=""),"",ABS((K240-IF($C240="LT",Config!$F$6,Config!$F$18))/IF($C240="LT",Config!$G$6,Config!$G$18)))</f>
        <v/>
      </c>
      <c r="X240">
        <f>IF(OR(L240=0,L240=""),"",ABS((L240-IF($C240="LT",Config!$F$7,Config!$F$19))/IF($C240="LT",Config!$G$7,Config!$G$19)))</f>
        <v/>
      </c>
      <c r="Y240">
        <f>IF(OR(M240=0,M240=""),"",ABS((M240-IF($C240="LT",Config!$F$8,Config!$F$20))/IF($C240="LT",Config!$G$8,Config!$G$20)))</f>
        <v/>
      </c>
      <c r="Z240">
        <f>IF(OR(N240=0,N240=""),"",ABS((N240-IF($C240="LT",Config!$F$9,Config!$F$21))/IF($C240="LT",Config!$G$9,Config!$G$21)))</f>
        <v/>
      </c>
      <c r="AA240">
        <f>IF(OR(O240=0,O240=""),"",ABS((O240-IF($C240="LT",Config!$F$10,Config!$F$22))/IF($C240="LT",Config!$G$10,Config!$G$22)))</f>
        <v/>
      </c>
      <c r="AB240">
        <f>IF(OR(P240=0,P240=""),"",ABS((P240-IF($C240="LT",Config!$F$11,Config!$F$23))/IF($C240="LT",Config!$G$11,Config!$G$23)))</f>
        <v/>
      </c>
      <c r="AC240">
        <f>IF(OR(Q240=0,Q240=""),"",ABS((Q240-IF($C240="LT",Config!$F$12,Config!$F$24))/IF($C240="LT",Config!$G$12,Config!$G$24)))</f>
        <v/>
      </c>
      <c r="AD240">
        <f>IF(OR(R240=0,R240=""),"",ABS((R240-IF($C240="LT",Config!$F$13,Config!$F$25))/IF($C240="LT",Config!$G$13,Config!$G$25)))</f>
        <v/>
      </c>
    </row>
    <row r="241">
      <c r="A241" t="inlineStr">
        <is>
          <t>04C1126120913</t>
        </is>
      </c>
      <c r="B241" t="inlineStr">
        <is>
          <t>CRS0000675</t>
        </is>
      </c>
      <c r="C241" t="inlineStr">
        <is>
          <t>LT</t>
        </is>
      </c>
      <c r="D241" t="inlineStr">
        <is>
          <t>ALX440U-DS3B01</t>
        </is>
      </c>
      <c r="E241" s="2" t="n">
        <v>46093</v>
      </c>
      <c r="F241" t="inlineStr">
        <is>
          <t>Fail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>
        <f>IF(OR(G241=0,G241=""),"",ABS((G241-IF($C241="LT",Config!$F$2,Config!$F$14))/IF($C241="LT",Config!$G$2,Config!$G$14)))</f>
        <v/>
      </c>
      <c r="T241">
        <f>IF(OR(H241=0,H241=""),"",ABS((H241-IF($C241="LT",Config!$F$3,Config!$F$15))/IF($C241="LT",Config!$G$3,Config!$G$15)))</f>
        <v/>
      </c>
      <c r="U241">
        <f>IF(OR(I241=0,I241=""),"",ABS((I241-IF($C241="LT",Config!$F$4,Config!$F$16))/IF($C241="LT",Config!$G$4,Config!$G$16)))</f>
        <v/>
      </c>
      <c r="V241">
        <f>IF(OR(J241=0,J241=""),"",ABS((J241-IF($C241="LT",Config!$F$5,Config!$F$17))/IF($C241="LT",Config!$G$5,Config!$G$17)))</f>
        <v/>
      </c>
      <c r="W241">
        <f>IF(OR(K241=0,K241=""),"",ABS((K241-IF($C241="LT",Config!$F$6,Config!$F$18))/IF($C241="LT",Config!$G$6,Config!$G$18)))</f>
        <v/>
      </c>
      <c r="X241">
        <f>IF(OR(L241=0,L241=""),"",ABS((L241-IF($C241="LT",Config!$F$7,Config!$F$19))/IF($C241="LT",Config!$G$7,Config!$G$19)))</f>
        <v/>
      </c>
      <c r="Y241">
        <f>IF(OR(M241=0,M241=""),"",ABS((M241-IF($C241="LT",Config!$F$8,Config!$F$20))/IF($C241="LT",Config!$G$8,Config!$G$20)))</f>
        <v/>
      </c>
      <c r="Z241">
        <f>IF(OR(N241=0,N241=""),"",ABS((N241-IF($C241="LT",Config!$F$9,Config!$F$21))/IF($C241="LT",Config!$G$9,Config!$G$21)))</f>
        <v/>
      </c>
      <c r="AA241">
        <f>IF(OR(O241=0,O241=""),"",ABS((O241-IF($C241="LT",Config!$F$10,Config!$F$22))/IF($C241="LT",Config!$G$10,Config!$G$22)))</f>
        <v/>
      </c>
      <c r="AB241">
        <f>IF(OR(P241=0,P241=""),"",ABS((P241-IF($C241="LT",Config!$F$11,Config!$F$23))/IF($C241="LT",Config!$G$11,Config!$G$23)))</f>
        <v/>
      </c>
      <c r="AC241">
        <f>IF(OR(Q241=0,Q241=""),"",ABS((Q241-IF($C241="LT",Config!$F$12,Config!$F$24))/IF($C241="LT",Config!$G$12,Config!$G$24)))</f>
        <v/>
      </c>
      <c r="AD241">
        <f>IF(OR(R241=0,R241=""),"",ABS((R241-IF($C241="LT",Config!$F$13,Config!$F$25))/IF($C241="LT",Config!$G$13,Config!$G$25)))</f>
        <v/>
      </c>
    </row>
    <row r="242">
      <c r="A242" t="inlineStr">
        <is>
          <t>04C1126120913</t>
        </is>
      </c>
      <c r="B242" t="inlineStr">
        <is>
          <t>CRS0000675</t>
        </is>
      </c>
      <c r="C242" t="inlineStr">
        <is>
          <t>LT</t>
        </is>
      </c>
      <c r="D242" t="inlineStr">
        <is>
          <t>ALX440U-DS3B01</t>
        </is>
      </c>
      <c r="E242" s="2" t="n">
        <v>46093</v>
      </c>
      <c r="F242" t="inlineStr">
        <is>
          <t>Fail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>
        <f>IF(OR(G242=0,G242=""),"",ABS((G242-IF($C242="LT",Config!$F$2,Config!$F$14))/IF($C242="LT",Config!$G$2,Config!$G$14)))</f>
        <v/>
      </c>
      <c r="T242">
        <f>IF(OR(H242=0,H242=""),"",ABS((H242-IF($C242="LT",Config!$F$3,Config!$F$15))/IF($C242="LT",Config!$G$3,Config!$G$15)))</f>
        <v/>
      </c>
      <c r="U242">
        <f>IF(OR(I242=0,I242=""),"",ABS((I242-IF($C242="LT",Config!$F$4,Config!$F$16))/IF($C242="LT",Config!$G$4,Config!$G$16)))</f>
        <v/>
      </c>
      <c r="V242">
        <f>IF(OR(J242=0,J242=""),"",ABS((J242-IF($C242="LT",Config!$F$5,Config!$F$17))/IF($C242="LT",Config!$G$5,Config!$G$17)))</f>
        <v/>
      </c>
      <c r="W242">
        <f>IF(OR(K242=0,K242=""),"",ABS((K242-IF($C242="LT",Config!$F$6,Config!$F$18))/IF($C242="LT",Config!$G$6,Config!$G$18)))</f>
        <v/>
      </c>
      <c r="X242">
        <f>IF(OR(L242=0,L242=""),"",ABS((L242-IF($C242="LT",Config!$F$7,Config!$F$19))/IF($C242="LT",Config!$G$7,Config!$G$19)))</f>
        <v/>
      </c>
      <c r="Y242">
        <f>IF(OR(M242=0,M242=""),"",ABS((M242-IF($C242="LT",Config!$F$8,Config!$F$20))/IF($C242="LT",Config!$G$8,Config!$G$20)))</f>
        <v/>
      </c>
      <c r="Z242">
        <f>IF(OR(N242=0,N242=""),"",ABS((N242-IF($C242="LT",Config!$F$9,Config!$F$21))/IF($C242="LT",Config!$G$9,Config!$G$21)))</f>
        <v/>
      </c>
      <c r="AA242">
        <f>IF(OR(O242=0,O242=""),"",ABS((O242-IF($C242="LT",Config!$F$10,Config!$F$22))/IF($C242="LT",Config!$G$10,Config!$G$22)))</f>
        <v/>
      </c>
      <c r="AB242">
        <f>IF(OR(P242=0,P242=""),"",ABS((P242-IF($C242="LT",Config!$F$11,Config!$F$23))/IF($C242="LT",Config!$G$11,Config!$G$23)))</f>
        <v/>
      </c>
      <c r="AC242">
        <f>IF(OR(Q242=0,Q242=""),"",ABS((Q242-IF($C242="LT",Config!$F$12,Config!$F$24))/IF($C242="LT",Config!$G$12,Config!$G$24)))</f>
        <v/>
      </c>
      <c r="AD242">
        <f>IF(OR(R242=0,R242=""),"",ABS((R242-IF($C242="LT",Config!$F$13,Config!$F$25))/IF($C242="LT",Config!$G$13,Config!$G$25)))</f>
        <v/>
      </c>
    </row>
    <row r="243">
      <c r="A243" t="inlineStr">
        <is>
          <t>04C1126120913</t>
        </is>
      </c>
      <c r="B243" t="inlineStr">
        <is>
          <t>CRS0000675</t>
        </is>
      </c>
      <c r="C243" t="inlineStr">
        <is>
          <t>LT</t>
        </is>
      </c>
      <c r="D243" t="inlineStr">
        <is>
          <t>ALX440U-DS3B01</t>
        </is>
      </c>
      <c r="E243" s="2" t="n">
        <v>46093</v>
      </c>
      <c r="F243" t="inlineStr">
        <is>
          <t>Fail</t>
        </is>
      </c>
      <c r="G243" t="n">
        <v>133.8</v>
      </c>
      <c r="H243" t="n">
        <v>90.59999999999999</v>
      </c>
      <c r="I243" t="n">
        <v>-1957.8</v>
      </c>
      <c r="J243" t="n">
        <v>66.40000000000001</v>
      </c>
      <c r="K243" t="n">
        <v>0</v>
      </c>
      <c r="L243" t="n">
        <v>0.1</v>
      </c>
      <c r="M243" t="n">
        <v>0</v>
      </c>
      <c r="N243" t="n">
        <v>66.5</v>
      </c>
      <c r="O243" t="n">
        <v>111.5</v>
      </c>
      <c r="P243" t="n">
        <v>112.82</v>
      </c>
      <c r="Q243" t="n">
        <v>8.279999999999999</v>
      </c>
      <c r="R243" t="n">
        <v>7.91</v>
      </c>
      <c r="S243">
        <f>IF(OR(G243=0,G243=""),"",ABS((G243-IF($C243="LT",Config!$F$2,Config!$F$14))/IF($C243="LT",Config!$G$2,Config!$G$14)))</f>
        <v/>
      </c>
      <c r="T243">
        <f>IF(OR(H243=0,H243=""),"",ABS((H243-IF($C243="LT",Config!$F$3,Config!$F$15))/IF($C243="LT",Config!$G$3,Config!$G$15)))</f>
        <v/>
      </c>
      <c r="U243">
        <f>IF(OR(I243=0,I243=""),"",ABS((I243-IF($C243="LT",Config!$F$4,Config!$F$16))/IF($C243="LT",Config!$G$4,Config!$G$16)))</f>
        <v/>
      </c>
      <c r="V243">
        <f>IF(OR(J243=0,J243=""),"",ABS((J243-IF($C243="LT",Config!$F$5,Config!$F$17))/IF($C243="LT",Config!$G$5,Config!$G$17)))</f>
        <v/>
      </c>
      <c r="W243">
        <f>IF(OR(K243=0,K243=""),"",ABS((K243-IF($C243="LT",Config!$F$6,Config!$F$18))/IF($C243="LT",Config!$G$6,Config!$G$18)))</f>
        <v/>
      </c>
      <c r="X243">
        <f>IF(OR(L243=0,L243=""),"",ABS((L243-IF($C243="LT",Config!$F$7,Config!$F$19))/IF($C243="LT",Config!$G$7,Config!$G$19)))</f>
        <v/>
      </c>
      <c r="Y243">
        <f>IF(OR(M243=0,M243=""),"",ABS((M243-IF($C243="LT",Config!$F$8,Config!$F$20))/IF($C243="LT",Config!$G$8,Config!$G$20)))</f>
        <v/>
      </c>
      <c r="Z243">
        <f>IF(OR(N243=0,N243=""),"",ABS((N243-IF($C243="LT",Config!$F$9,Config!$F$21))/IF($C243="LT",Config!$G$9,Config!$G$21)))</f>
        <v/>
      </c>
      <c r="AA243">
        <f>IF(OR(O243=0,O243=""),"",ABS((O243-IF($C243="LT",Config!$F$10,Config!$F$22))/IF($C243="LT",Config!$G$10,Config!$G$22)))</f>
        <v/>
      </c>
      <c r="AB243">
        <f>IF(OR(P243=0,P243=""),"",ABS((P243-IF($C243="LT",Config!$F$11,Config!$F$23))/IF($C243="LT",Config!$G$11,Config!$G$23)))</f>
        <v/>
      </c>
      <c r="AC243">
        <f>IF(OR(Q243=0,Q243=""),"",ABS((Q243-IF($C243="LT",Config!$F$12,Config!$F$24))/IF($C243="LT",Config!$G$12,Config!$G$24)))</f>
        <v/>
      </c>
      <c r="AD243">
        <f>IF(OR(R243=0,R243=""),"",ABS((R243-IF($C243="LT",Config!$F$13,Config!$F$25))/IF($C243="LT",Config!$G$13,Config!$G$25)))</f>
        <v/>
      </c>
    </row>
    <row r="244">
      <c r="A244" t="inlineStr">
        <is>
          <t>04C1126120913</t>
        </is>
      </c>
      <c r="B244" t="inlineStr">
        <is>
          <t>CRS0000675</t>
        </is>
      </c>
      <c r="C244" t="inlineStr">
        <is>
          <t>LT</t>
        </is>
      </c>
      <c r="D244" t="inlineStr">
        <is>
          <t>ALX440U-DS3B01</t>
        </is>
      </c>
      <c r="E244" s="2" t="n">
        <v>46093</v>
      </c>
      <c r="F244" t="inlineStr">
        <is>
          <t>Pass</t>
        </is>
      </c>
      <c r="G244" t="n">
        <v>154.4</v>
      </c>
      <c r="H244" t="n">
        <v>92.40000000000001</v>
      </c>
      <c r="I244" t="n">
        <v>-1957.8</v>
      </c>
      <c r="J244" t="n">
        <v>67.3</v>
      </c>
      <c r="K244" t="n">
        <v>0</v>
      </c>
      <c r="L244" t="n">
        <v>2.3</v>
      </c>
      <c r="M244" t="n">
        <v>0</v>
      </c>
      <c r="N244" t="n">
        <v>65</v>
      </c>
      <c r="O244" t="n">
        <v>114.87</v>
      </c>
      <c r="P244" t="n">
        <v>114.87</v>
      </c>
      <c r="Q244" t="n">
        <v>7.52</v>
      </c>
      <c r="R244" t="n">
        <v>7.84</v>
      </c>
      <c r="S244">
        <f>IF(OR(G244=0,G244=""),"",ABS((G244-IF($C244="LT",Config!$F$2,Config!$F$14))/IF($C244="LT",Config!$G$2,Config!$G$14)))</f>
        <v/>
      </c>
      <c r="T244">
        <f>IF(OR(H244=0,H244=""),"",ABS((H244-IF($C244="LT",Config!$F$3,Config!$F$15))/IF($C244="LT",Config!$G$3,Config!$G$15)))</f>
        <v/>
      </c>
      <c r="U244">
        <f>IF(OR(I244=0,I244=""),"",ABS((I244-IF($C244="LT",Config!$F$4,Config!$F$16))/IF($C244="LT",Config!$G$4,Config!$G$16)))</f>
        <v/>
      </c>
      <c r="V244">
        <f>IF(OR(J244=0,J244=""),"",ABS((J244-IF($C244="LT",Config!$F$5,Config!$F$17))/IF($C244="LT",Config!$G$5,Config!$G$17)))</f>
        <v/>
      </c>
      <c r="W244">
        <f>IF(OR(K244=0,K244=""),"",ABS((K244-IF($C244="LT",Config!$F$6,Config!$F$18))/IF($C244="LT",Config!$G$6,Config!$G$18)))</f>
        <v/>
      </c>
      <c r="X244">
        <f>IF(OR(L244=0,L244=""),"",ABS((L244-IF($C244="LT",Config!$F$7,Config!$F$19))/IF($C244="LT",Config!$G$7,Config!$G$19)))</f>
        <v/>
      </c>
      <c r="Y244">
        <f>IF(OR(M244=0,M244=""),"",ABS((M244-IF($C244="LT",Config!$F$8,Config!$F$20))/IF($C244="LT",Config!$G$8,Config!$G$20)))</f>
        <v/>
      </c>
      <c r="Z244">
        <f>IF(OR(N244=0,N244=""),"",ABS((N244-IF($C244="LT",Config!$F$9,Config!$F$21))/IF($C244="LT",Config!$G$9,Config!$G$21)))</f>
        <v/>
      </c>
      <c r="AA244">
        <f>IF(OR(O244=0,O244=""),"",ABS((O244-IF($C244="LT",Config!$F$10,Config!$F$22))/IF($C244="LT",Config!$G$10,Config!$G$22)))</f>
        <v/>
      </c>
      <c r="AB244">
        <f>IF(OR(P244=0,P244=""),"",ABS((P244-IF($C244="LT",Config!$F$11,Config!$F$23))/IF($C244="LT",Config!$G$11,Config!$G$23)))</f>
        <v/>
      </c>
      <c r="AC244">
        <f>IF(OR(Q244=0,Q244=""),"",ABS((Q244-IF($C244="LT",Config!$F$12,Config!$F$24))/IF($C244="LT",Config!$G$12,Config!$G$24)))</f>
        <v/>
      </c>
      <c r="AD244">
        <f>IF(OR(R244=0,R244=""),"",ABS((R244-IF($C244="LT",Config!$F$13,Config!$F$25))/IF($C244="LT",Config!$G$13,Config!$G$25)))</f>
        <v/>
      </c>
    </row>
    <row r="245">
      <c r="A245" t="inlineStr">
        <is>
          <t>04C1126120914</t>
        </is>
      </c>
      <c r="B245" t="inlineStr">
        <is>
          <t>CRS0000675</t>
        </is>
      </c>
      <c r="C245" t="inlineStr">
        <is>
          <t>LT</t>
        </is>
      </c>
      <c r="D245" t="inlineStr">
        <is>
          <t>ALX440U-DS3B01</t>
        </is>
      </c>
      <c r="E245" s="2" t="n">
        <v>46093</v>
      </c>
      <c r="F245" t="inlineStr">
        <is>
          <t>Fail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>
        <f>IF(OR(G245=0,G245=""),"",ABS((G245-IF($C245="LT",Config!$F$2,Config!$F$14))/IF($C245="LT",Config!$G$2,Config!$G$14)))</f>
        <v/>
      </c>
      <c r="T245">
        <f>IF(OR(H245=0,H245=""),"",ABS((H245-IF($C245="LT",Config!$F$3,Config!$F$15))/IF($C245="LT",Config!$G$3,Config!$G$15)))</f>
        <v/>
      </c>
      <c r="U245">
        <f>IF(OR(I245=0,I245=""),"",ABS((I245-IF($C245="LT",Config!$F$4,Config!$F$16))/IF($C245="LT",Config!$G$4,Config!$G$16)))</f>
        <v/>
      </c>
      <c r="V245">
        <f>IF(OR(J245=0,J245=""),"",ABS((J245-IF($C245="LT",Config!$F$5,Config!$F$17))/IF($C245="LT",Config!$G$5,Config!$G$17)))</f>
        <v/>
      </c>
      <c r="W245">
        <f>IF(OR(K245=0,K245=""),"",ABS((K245-IF($C245="LT",Config!$F$6,Config!$F$18))/IF($C245="LT",Config!$G$6,Config!$G$18)))</f>
        <v/>
      </c>
      <c r="X245">
        <f>IF(OR(L245=0,L245=""),"",ABS((L245-IF($C245="LT",Config!$F$7,Config!$F$19))/IF($C245="LT",Config!$G$7,Config!$G$19)))</f>
        <v/>
      </c>
      <c r="Y245">
        <f>IF(OR(M245=0,M245=""),"",ABS((M245-IF($C245="LT",Config!$F$8,Config!$F$20))/IF($C245="LT",Config!$G$8,Config!$G$20)))</f>
        <v/>
      </c>
      <c r="Z245">
        <f>IF(OR(N245=0,N245=""),"",ABS((N245-IF($C245="LT",Config!$F$9,Config!$F$21))/IF($C245="LT",Config!$G$9,Config!$G$21)))</f>
        <v/>
      </c>
      <c r="AA245">
        <f>IF(OR(O245=0,O245=""),"",ABS((O245-IF($C245="LT",Config!$F$10,Config!$F$22))/IF($C245="LT",Config!$G$10,Config!$G$22)))</f>
        <v/>
      </c>
      <c r="AB245">
        <f>IF(OR(P245=0,P245=""),"",ABS((P245-IF($C245="LT",Config!$F$11,Config!$F$23))/IF($C245="LT",Config!$G$11,Config!$G$23)))</f>
        <v/>
      </c>
      <c r="AC245">
        <f>IF(OR(Q245=0,Q245=""),"",ABS((Q245-IF($C245="LT",Config!$F$12,Config!$F$24))/IF($C245="LT",Config!$G$12,Config!$G$24)))</f>
        <v/>
      </c>
      <c r="AD245">
        <f>IF(OR(R245=0,R245=""),"",ABS((R245-IF($C245="LT",Config!$F$13,Config!$F$25))/IF($C245="LT",Config!$G$13,Config!$G$25)))</f>
        <v/>
      </c>
    </row>
    <row r="246">
      <c r="A246" t="inlineStr">
        <is>
          <t>04C1126120914</t>
        </is>
      </c>
      <c r="B246" t="inlineStr">
        <is>
          <t>CRS0000675</t>
        </is>
      </c>
      <c r="C246" t="inlineStr">
        <is>
          <t>LT</t>
        </is>
      </c>
      <c r="D246" t="inlineStr">
        <is>
          <t>ALX440U-DS3B01</t>
        </is>
      </c>
      <c r="E246" s="2" t="n">
        <v>46093</v>
      </c>
      <c r="F246" t="inlineStr">
        <is>
          <t>Fail</t>
        </is>
      </c>
      <c r="G246" t="n">
        <v>146.8</v>
      </c>
      <c r="H246" t="n">
        <v>93.7</v>
      </c>
      <c r="I246" t="n">
        <v>-1957.8</v>
      </c>
      <c r="J246" t="n">
        <v>66.40000000000001</v>
      </c>
      <c r="K246" t="n">
        <v>0</v>
      </c>
      <c r="L246" t="n">
        <v>1.7</v>
      </c>
      <c r="M246" t="n">
        <v>0</v>
      </c>
      <c r="N246" t="n">
        <v>64.7</v>
      </c>
      <c r="O246" t="n">
        <v>115.09</v>
      </c>
      <c r="P246" t="n">
        <v>115.16</v>
      </c>
      <c r="Q246" t="n">
        <v>7.57</v>
      </c>
      <c r="R246" t="n">
        <v>7.54</v>
      </c>
      <c r="S246">
        <f>IF(OR(G246=0,G246=""),"",ABS((G246-IF($C246="LT",Config!$F$2,Config!$F$14))/IF($C246="LT",Config!$G$2,Config!$G$14)))</f>
        <v/>
      </c>
      <c r="T246">
        <f>IF(OR(H246=0,H246=""),"",ABS((H246-IF($C246="LT",Config!$F$3,Config!$F$15))/IF($C246="LT",Config!$G$3,Config!$G$15)))</f>
        <v/>
      </c>
      <c r="U246">
        <f>IF(OR(I246=0,I246=""),"",ABS((I246-IF($C246="LT",Config!$F$4,Config!$F$16))/IF($C246="LT",Config!$G$4,Config!$G$16)))</f>
        <v/>
      </c>
      <c r="V246">
        <f>IF(OR(J246=0,J246=""),"",ABS((J246-IF($C246="LT",Config!$F$5,Config!$F$17))/IF($C246="LT",Config!$G$5,Config!$G$17)))</f>
        <v/>
      </c>
      <c r="W246">
        <f>IF(OR(K246=0,K246=""),"",ABS((K246-IF($C246="LT",Config!$F$6,Config!$F$18))/IF($C246="LT",Config!$G$6,Config!$G$18)))</f>
        <v/>
      </c>
      <c r="X246">
        <f>IF(OR(L246=0,L246=""),"",ABS((L246-IF($C246="LT",Config!$F$7,Config!$F$19))/IF($C246="LT",Config!$G$7,Config!$G$19)))</f>
        <v/>
      </c>
      <c r="Y246">
        <f>IF(OR(M246=0,M246=""),"",ABS((M246-IF($C246="LT",Config!$F$8,Config!$F$20))/IF($C246="LT",Config!$G$8,Config!$G$20)))</f>
        <v/>
      </c>
      <c r="Z246">
        <f>IF(OR(N246=0,N246=""),"",ABS((N246-IF($C246="LT",Config!$F$9,Config!$F$21))/IF($C246="LT",Config!$G$9,Config!$G$21)))</f>
        <v/>
      </c>
      <c r="AA246">
        <f>IF(OR(O246=0,O246=""),"",ABS((O246-IF($C246="LT",Config!$F$10,Config!$F$22))/IF($C246="LT",Config!$G$10,Config!$G$22)))</f>
        <v/>
      </c>
      <c r="AB246">
        <f>IF(OR(P246=0,P246=""),"",ABS((P246-IF($C246="LT",Config!$F$11,Config!$F$23))/IF($C246="LT",Config!$G$11,Config!$G$23)))</f>
        <v/>
      </c>
      <c r="AC246">
        <f>IF(OR(Q246=0,Q246=""),"",ABS((Q246-IF($C246="LT",Config!$F$12,Config!$F$24))/IF($C246="LT",Config!$G$12,Config!$G$24)))</f>
        <v/>
      </c>
      <c r="AD246">
        <f>IF(OR(R246=0,R246=""),"",ABS((R246-IF($C246="LT",Config!$F$13,Config!$F$25))/IF($C246="LT",Config!$G$13,Config!$G$25)))</f>
        <v/>
      </c>
    </row>
    <row r="247">
      <c r="A247" t="inlineStr">
        <is>
          <t>04C1126120914</t>
        </is>
      </c>
      <c r="B247" t="inlineStr">
        <is>
          <t>CRS0000675</t>
        </is>
      </c>
      <c r="C247" t="inlineStr">
        <is>
          <t>LT</t>
        </is>
      </c>
      <c r="D247" t="inlineStr">
        <is>
          <t>ALX440U-DS3B01</t>
        </is>
      </c>
      <c r="E247" s="2" t="n">
        <v>46093</v>
      </c>
      <c r="F247" t="inlineStr">
        <is>
          <t>Pass</t>
        </is>
      </c>
      <c r="G247" t="n">
        <v>157.1</v>
      </c>
      <c r="H247" t="n">
        <v>91.5</v>
      </c>
      <c r="I247" t="n">
        <v>-1957.8</v>
      </c>
      <c r="J247" t="n">
        <v>66.8</v>
      </c>
      <c r="K247" t="n">
        <v>0</v>
      </c>
      <c r="L247" t="n">
        <v>0.5</v>
      </c>
      <c r="M247" t="n">
        <v>0</v>
      </c>
      <c r="N247" t="n">
        <v>66.3</v>
      </c>
      <c r="O247" t="n">
        <v>115.16</v>
      </c>
      <c r="P247" t="n">
        <v>114.87</v>
      </c>
      <c r="Q247" t="n">
        <v>7.37</v>
      </c>
      <c r="R247" t="n">
        <v>7.71</v>
      </c>
      <c r="S247">
        <f>IF(OR(G247=0,G247=""),"",ABS((G247-IF($C247="LT",Config!$F$2,Config!$F$14))/IF($C247="LT",Config!$G$2,Config!$G$14)))</f>
        <v/>
      </c>
      <c r="T247">
        <f>IF(OR(H247=0,H247=""),"",ABS((H247-IF($C247="LT",Config!$F$3,Config!$F$15))/IF($C247="LT",Config!$G$3,Config!$G$15)))</f>
        <v/>
      </c>
      <c r="U247">
        <f>IF(OR(I247=0,I247=""),"",ABS((I247-IF($C247="LT",Config!$F$4,Config!$F$16))/IF($C247="LT",Config!$G$4,Config!$G$16)))</f>
        <v/>
      </c>
      <c r="V247">
        <f>IF(OR(J247=0,J247=""),"",ABS((J247-IF($C247="LT",Config!$F$5,Config!$F$17))/IF($C247="LT",Config!$G$5,Config!$G$17)))</f>
        <v/>
      </c>
      <c r="W247">
        <f>IF(OR(K247=0,K247=""),"",ABS((K247-IF($C247="LT",Config!$F$6,Config!$F$18))/IF($C247="LT",Config!$G$6,Config!$G$18)))</f>
        <v/>
      </c>
      <c r="X247">
        <f>IF(OR(L247=0,L247=""),"",ABS((L247-IF($C247="LT",Config!$F$7,Config!$F$19))/IF($C247="LT",Config!$G$7,Config!$G$19)))</f>
        <v/>
      </c>
      <c r="Y247">
        <f>IF(OR(M247=0,M247=""),"",ABS((M247-IF($C247="LT",Config!$F$8,Config!$F$20))/IF($C247="LT",Config!$G$8,Config!$G$20)))</f>
        <v/>
      </c>
      <c r="Z247">
        <f>IF(OR(N247=0,N247=""),"",ABS((N247-IF($C247="LT",Config!$F$9,Config!$F$21))/IF($C247="LT",Config!$G$9,Config!$G$21)))</f>
        <v/>
      </c>
      <c r="AA247">
        <f>IF(OR(O247=0,O247=""),"",ABS((O247-IF($C247="LT",Config!$F$10,Config!$F$22))/IF($C247="LT",Config!$G$10,Config!$G$22)))</f>
        <v/>
      </c>
      <c r="AB247">
        <f>IF(OR(P247=0,P247=""),"",ABS((P247-IF($C247="LT",Config!$F$11,Config!$F$23))/IF($C247="LT",Config!$G$11,Config!$G$23)))</f>
        <v/>
      </c>
      <c r="AC247">
        <f>IF(OR(Q247=0,Q247=""),"",ABS((Q247-IF($C247="LT",Config!$F$12,Config!$F$24))/IF($C247="LT",Config!$G$12,Config!$G$24)))</f>
        <v/>
      </c>
      <c r="AD247">
        <f>IF(OR(R247=0,R247=""),"",ABS((R247-IF($C247="LT",Config!$F$13,Config!$F$25))/IF($C247="LT",Config!$G$13,Config!$G$25)))</f>
        <v/>
      </c>
    </row>
    <row r="248">
      <c r="A248" t="inlineStr">
        <is>
          <t>04C1126120915</t>
        </is>
      </c>
      <c r="B248" t="inlineStr">
        <is>
          <t>CRS0000675</t>
        </is>
      </c>
      <c r="C248" t="inlineStr">
        <is>
          <t>LT</t>
        </is>
      </c>
      <c r="D248" t="inlineStr">
        <is>
          <t>ALX440U-DS3B01</t>
        </is>
      </c>
      <c r="E248" s="2" t="n">
        <v>46093</v>
      </c>
      <c r="F248" t="inlineStr">
        <is>
          <t>Pass</t>
        </is>
      </c>
      <c r="G248" t="n">
        <v>153</v>
      </c>
      <c r="H248" t="n">
        <v>88.3</v>
      </c>
      <c r="I248" t="n">
        <v>-1957.8</v>
      </c>
      <c r="J248" t="n">
        <v>66.40000000000001</v>
      </c>
      <c r="K248" t="n">
        <v>0</v>
      </c>
      <c r="L248" t="n">
        <v>0.1</v>
      </c>
      <c r="M248" t="n">
        <v>0</v>
      </c>
      <c r="N248" t="n">
        <v>66.5</v>
      </c>
      <c r="O248" t="n">
        <v>111.64</v>
      </c>
      <c r="P248" t="n">
        <v>112.74</v>
      </c>
      <c r="Q248" t="n">
        <v>8.5</v>
      </c>
      <c r="R248" t="n">
        <v>8.23</v>
      </c>
      <c r="S248">
        <f>IF(OR(G248=0,G248=""),"",ABS((G248-IF($C248="LT",Config!$F$2,Config!$F$14))/IF($C248="LT",Config!$G$2,Config!$G$14)))</f>
        <v/>
      </c>
      <c r="T248">
        <f>IF(OR(H248=0,H248=""),"",ABS((H248-IF($C248="LT",Config!$F$3,Config!$F$15))/IF($C248="LT",Config!$G$3,Config!$G$15)))</f>
        <v/>
      </c>
      <c r="U248">
        <f>IF(OR(I248=0,I248=""),"",ABS((I248-IF($C248="LT",Config!$F$4,Config!$F$16))/IF($C248="LT",Config!$G$4,Config!$G$16)))</f>
        <v/>
      </c>
      <c r="V248">
        <f>IF(OR(J248=0,J248=""),"",ABS((J248-IF($C248="LT",Config!$F$5,Config!$F$17))/IF($C248="LT",Config!$G$5,Config!$G$17)))</f>
        <v/>
      </c>
      <c r="W248">
        <f>IF(OR(K248=0,K248=""),"",ABS((K248-IF($C248="LT",Config!$F$6,Config!$F$18))/IF($C248="LT",Config!$G$6,Config!$G$18)))</f>
        <v/>
      </c>
      <c r="X248">
        <f>IF(OR(L248=0,L248=""),"",ABS((L248-IF($C248="LT",Config!$F$7,Config!$F$19))/IF($C248="LT",Config!$G$7,Config!$G$19)))</f>
        <v/>
      </c>
      <c r="Y248">
        <f>IF(OR(M248=0,M248=""),"",ABS((M248-IF($C248="LT",Config!$F$8,Config!$F$20))/IF($C248="LT",Config!$G$8,Config!$G$20)))</f>
        <v/>
      </c>
      <c r="Z248">
        <f>IF(OR(N248=0,N248=""),"",ABS((N248-IF($C248="LT",Config!$F$9,Config!$F$21))/IF($C248="LT",Config!$G$9,Config!$G$21)))</f>
        <v/>
      </c>
      <c r="AA248">
        <f>IF(OR(O248=0,O248=""),"",ABS((O248-IF($C248="LT",Config!$F$10,Config!$F$22))/IF($C248="LT",Config!$G$10,Config!$G$22)))</f>
        <v/>
      </c>
      <c r="AB248">
        <f>IF(OR(P248=0,P248=""),"",ABS((P248-IF($C248="LT",Config!$F$11,Config!$F$23))/IF($C248="LT",Config!$G$11,Config!$G$23)))</f>
        <v/>
      </c>
      <c r="AC248">
        <f>IF(OR(Q248=0,Q248=""),"",ABS((Q248-IF($C248="LT",Config!$F$12,Config!$F$24))/IF($C248="LT",Config!$G$12,Config!$G$24)))</f>
        <v/>
      </c>
      <c r="AD248">
        <f>IF(OR(R248=0,R248=""),"",ABS((R248-IF($C248="LT",Config!$F$13,Config!$F$25))/IF($C248="LT",Config!$G$13,Config!$G$25)))</f>
        <v/>
      </c>
    </row>
    <row r="249">
      <c r="A249" t="inlineStr">
        <is>
          <t>04C1126120916</t>
        </is>
      </c>
      <c r="B249" t="inlineStr">
        <is>
          <t>CRS0000675</t>
        </is>
      </c>
      <c r="C249" t="inlineStr">
        <is>
          <t>LT</t>
        </is>
      </c>
      <c r="D249" t="inlineStr">
        <is>
          <t>ALX440U-DS3B01</t>
        </is>
      </c>
      <c r="E249" s="2" t="n">
        <v>46093</v>
      </c>
      <c r="F249" t="inlineStr">
        <is>
          <t>Pass</t>
        </is>
      </c>
      <c r="G249" t="n">
        <v>145</v>
      </c>
      <c r="H249" t="n">
        <v>88.3</v>
      </c>
      <c r="I249" t="n">
        <v>-1957.8</v>
      </c>
      <c r="J249" t="n">
        <v>66.40000000000001</v>
      </c>
      <c r="K249" t="n">
        <v>0</v>
      </c>
      <c r="L249" t="n">
        <v>0.7</v>
      </c>
      <c r="M249" t="n">
        <v>0</v>
      </c>
      <c r="N249" t="n">
        <v>65.7</v>
      </c>
      <c r="O249" t="n">
        <v>111.72</v>
      </c>
      <c r="P249" t="n">
        <v>113.04</v>
      </c>
      <c r="Q249" t="n">
        <v>8.23</v>
      </c>
      <c r="R249" t="n">
        <v>7.91</v>
      </c>
      <c r="S249">
        <f>IF(OR(G249=0,G249=""),"",ABS((G249-IF($C249="LT",Config!$F$2,Config!$F$14))/IF($C249="LT",Config!$G$2,Config!$G$14)))</f>
        <v/>
      </c>
      <c r="T249">
        <f>IF(OR(H249=0,H249=""),"",ABS((H249-IF($C249="LT",Config!$F$3,Config!$F$15))/IF($C249="LT",Config!$G$3,Config!$G$15)))</f>
        <v/>
      </c>
      <c r="U249">
        <f>IF(OR(I249=0,I249=""),"",ABS((I249-IF($C249="LT",Config!$F$4,Config!$F$16))/IF($C249="LT",Config!$G$4,Config!$G$16)))</f>
        <v/>
      </c>
      <c r="V249">
        <f>IF(OR(J249=0,J249=""),"",ABS((J249-IF($C249="LT",Config!$F$5,Config!$F$17))/IF($C249="LT",Config!$G$5,Config!$G$17)))</f>
        <v/>
      </c>
      <c r="W249">
        <f>IF(OR(K249=0,K249=""),"",ABS((K249-IF($C249="LT",Config!$F$6,Config!$F$18))/IF($C249="LT",Config!$G$6,Config!$G$18)))</f>
        <v/>
      </c>
      <c r="X249">
        <f>IF(OR(L249=0,L249=""),"",ABS((L249-IF($C249="LT",Config!$F$7,Config!$F$19))/IF($C249="LT",Config!$G$7,Config!$G$19)))</f>
        <v/>
      </c>
      <c r="Y249">
        <f>IF(OR(M249=0,M249=""),"",ABS((M249-IF($C249="LT",Config!$F$8,Config!$F$20))/IF($C249="LT",Config!$G$8,Config!$G$20)))</f>
        <v/>
      </c>
      <c r="Z249">
        <f>IF(OR(N249=0,N249=""),"",ABS((N249-IF($C249="LT",Config!$F$9,Config!$F$21))/IF($C249="LT",Config!$G$9,Config!$G$21)))</f>
        <v/>
      </c>
      <c r="AA249">
        <f>IF(OR(O249=0,O249=""),"",ABS((O249-IF($C249="LT",Config!$F$10,Config!$F$22))/IF($C249="LT",Config!$G$10,Config!$G$22)))</f>
        <v/>
      </c>
      <c r="AB249">
        <f>IF(OR(P249=0,P249=""),"",ABS((P249-IF($C249="LT",Config!$F$11,Config!$F$23))/IF($C249="LT",Config!$G$11,Config!$G$23)))</f>
        <v/>
      </c>
      <c r="AC249">
        <f>IF(OR(Q249=0,Q249=""),"",ABS((Q249-IF($C249="LT",Config!$F$12,Config!$F$24))/IF($C249="LT",Config!$G$12,Config!$G$24)))</f>
        <v/>
      </c>
      <c r="AD249">
        <f>IF(OR(R249=0,R249=""),"",ABS((R249-IF($C249="LT",Config!$F$13,Config!$F$25))/IF($C249="LT",Config!$G$13,Config!$G$25)))</f>
        <v/>
      </c>
    </row>
    <row r="250">
      <c r="A250" t="inlineStr">
        <is>
          <t>04C1126120915</t>
        </is>
      </c>
      <c r="B250" t="inlineStr">
        <is>
          <t>CRS0000675</t>
        </is>
      </c>
      <c r="C250" t="inlineStr">
        <is>
          <t>LT</t>
        </is>
      </c>
      <c r="D250" t="inlineStr">
        <is>
          <t>ALX440U-DS3B01</t>
        </is>
      </c>
      <c r="E250" s="2" t="n">
        <v>46093</v>
      </c>
      <c r="F250" t="inlineStr">
        <is>
          <t>Pass</t>
        </is>
      </c>
      <c r="G250" t="n">
        <v>148.1</v>
      </c>
      <c r="H250" t="n">
        <v>87.40000000000001</v>
      </c>
      <c r="I250" t="n">
        <v>-1957.8</v>
      </c>
      <c r="J250" t="n">
        <v>66.8</v>
      </c>
      <c r="K250" t="n">
        <v>0</v>
      </c>
      <c r="L250" t="n">
        <v>1</v>
      </c>
      <c r="M250" t="n">
        <v>0</v>
      </c>
      <c r="N250" t="n">
        <v>65.8</v>
      </c>
      <c r="O250" t="n">
        <v>114.87</v>
      </c>
      <c r="P250" t="n">
        <v>114.8</v>
      </c>
      <c r="Q250" t="n">
        <v>7.35</v>
      </c>
      <c r="R250" t="n">
        <v>7.84</v>
      </c>
      <c r="S250">
        <f>IF(OR(G250=0,G250=""),"",ABS((G250-IF($C250="LT",Config!$F$2,Config!$F$14))/IF($C250="LT",Config!$G$2,Config!$G$14)))</f>
        <v/>
      </c>
      <c r="T250">
        <f>IF(OR(H250=0,H250=""),"",ABS((H250-IF($C250="LT",Config!$F$3,Config!$F$15))/IF($C250="LT",Config!$G$3,Config!$G$15)))</f>
        <v/>
      </c>
      <c r="U250">
        <f>IF(OR(I250=0,I250=""),"",ABS((I250-IF($C250="LT",Config!$F$4,Config!$F$16))/IF($C250="LT",Config!$G$4,Config!$G$16)))</f>
        <v/>
      </c>
      <c r="V250">
        <f>IF(OR(J250=0,J250=""),"",ABS((J250-IF($C250="LT",Config!$F$5,Config!$F$17))/IF($C250="LT",Config!$G$5,Config!$G$17)))</f>
        <v/>
      </c>
      <c r="W250">
        <f>IF(OR(K250=0,K250=""),"",ABS((K250-IF($C250="LT",Config!$F$6,Config!$F$18))/IF($C250="LT",Config!$G$6,Config!$G$18)))</f>
        <v/>
      </c>
      <c r="X250">
        <f>IF(OR(L250=0,L250=""),"",ABS((L250-IF($C250="LT",Config!$F$7,Config!$F$19))/IF($C250="LT",Config!$G$7,Config!$G$19)))</f>
        <v/>
      </c>
      <c r="Y250">
        <f>IF(OR(M250=0,M250=""),"",ABS((M250-IF($C250="LT",Config!$F$8,Config!$F$20))/IF($C250="LT",Config!$G$8,Config!$G$20)))</f>
        <v/>
      </c>
      <c r="Z250">
        <f>IF(OR(N250=0,N250=""),"",ABS((N250-IF($C250="LT",Config!$F$9,Config!$F$21))/IF($C250="LT",Config!$G$9,Config!$G$21)))</f>
        <v/>
      </c>
      <c r="AA250">
        <f>IF(OR(O250=0,O250=""),"",ABS((O250-IF($C250="LT",Config!$F$10,Config!$F$22))/IF($C250="LT",Config!$G$10,Config!$G$22)))</f>
        <v/>
      </c>
      <c r="AB250">
        <f>IF(OR(P250=0,P250=""),"",ABS((P250-IF($C250="LT",Config!$F$11,Config!$F$23))/IF($C250="LT",Config!$G$11,Config!$G$23)))</f>
        <v/>
      </c>
      <c r="AC250">
        <f>IF(OR(Q250=0,Q250=""),"",ABS((Q250-IF($C250="LT",Config!$F$12,Config!$F$24))/IF($C250="LT",Config!$G$12,Config!$G$24)))</f>
        <v/>
      </c>
      <c r="AD250">
        <f>IF(OR(R250=0,R250=""),"",ABS((R250-IF($C250="LT",Config!$F$13,Config!$F$25))/IF($C250="LT",Config!$G$13,Config!$G$25)))</f>
        <v/>
      </c>
    </row>
    <row r="251">
      <c r="A251" t="inlineStr">
        <is>
          <t>04C1126120917</t>
        </is>
      </c>
      <c r="B251" t="inlineStr">
        <is>
          <t>CRS0000675</t>
        </is>
      </c>
      <c r="C251" t="inlineStr">
        <is>
          <t>LT</t>
        </is>
      </c>
      <c r="D251" t="inlineStr">
        <is>
          <t>ALX440U-DS3B01</t>
        </is>
      </c>
      <c r="E251" s="2" t="n">
        <v>46093</v>
      </c>
      <c r="F251" t="inlineStr">
        <is>
          <t>Fail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>
        <f>IF(OR(G251=0,G251=""),"",ABS((G251-IF($C251="LT",Config!$F$2,Config!$F$14))/IF($C251="LT",Config!$G$2,Config!$G$14)))</f>
        <v/>
      </c>
      <c r="T251">
        <f>IF(OR(H251=0,H251=""),"",ABS((H251-IF($C251="LT",Config!$F$3,Config!$F$15))/IF($C251="LT",Config!$G$3,Config!$G$15)))</f>
        <v/>
      </c>
      <c r="U251">
        <f>IF(OR(I251=0,I251=""),"",ABS((I251-IF($C251="LT",Config!$F$4,Config!$F$16))/IF($C251="LT",Config!$G$4,Config!$G$16)))</f>
        <v/>
      </c>
      <c r="V251">
        <f>IF(OR(J251=0,J251=""),"",ABS((J251-IF($C251="LT",Config!$F$5,Config!$F$17))/IF($C251="LT",Config!$G$5,Config!$G$17)))</f>
        <v/>
      </c>
      <c r="W251">
        <f>IF(OR(K251=0,K251=""),"",ABS((K251-IF($C251="LT",Config!$F$6,Config!$F$18))/IF($C251="LT",Config!$G$6,Config!$G$18)))</f>
        <v/>
      </c>
      <c r="X251">
        <f>IF(OR(L251=0,L251=""),"",ABS((L251-IF($C251="LT",Config!$F$7,Config!$F$19))/IF($C251="LT",Config!$G$7,Config!$G$19)))</f>
        <v/>
      </c>
      <c r="Y251">
        <f>IF(OR(M251=0,M251=""),"",ABS((M251-IF($C251="LT",Config!$F$8,Config!$F$20))/IF($C251="LT",Config!$G$8,Config!$G$20)))</f>
        <v/>
      </c>
      <c r="Z251">
        <f>IF(OR(N251=0,N251=""),"",ABS((N251-IF($C251="LT",Config!$F$9,Config!$F$21))/IF($C251="LT",Config!$G$9,Config!$G$21)))</f>
        <v/>
      </c>
      <c r="AA251">
        <f>IF(OR(O251=0,O251=""),"",ABS((O251-IF($C251="LT",Config!$F$10,Config!$F$22))/IF($C251="LT",Config!$G$10,Config!$G$22)))</f>
        <v/>
      </c>
      <c r="AB251">
        <f>IF(OR(P251=0,P251=""),"",ABS((P251-IF($C251="LT",Config!$F$11,Config!$F$23))/IF($C251="LT",Config!$G$11,Config!$G$23)))</f>
        <v/>
      </c>
      <c r="AC251">
        <f>IF(OR(Q251=0,Q251=""),"",ABS((Q251-IF($C251="LT",Config!$F$12,Config!$F$24))/IF($C251="LT",Config!$G$12,Config!$G$24)))</f>
        <v/>
      </c>
      <c r="AD251">
        <f>IF(OR(R251=0,R251=""),"",ABS((R251-IF($C251="LT",Config!$F$13,Config!$F$25))/IF($C251="LT",Config!$G$13,Config!$G$25)))</f>
        <v/>
      </c>
    </row>
    <row r="252">
      <c r="A252" t="inlineStr">
        <is>
          <t>04C1126120917</t>
        </is>
      </c>
      <c r="B252" t="inlineStr">
        <is>
          <t>CRS0000675</t>
        </is>
      </c>
      <c r="C252" t="inlineStr">
        <is>
          <t>LT</t>
        </is>
      </c>
      <c r="D252" t="inlineStr">
        <is>
          <t>ALX440U-DS3B01</t>
        </is>
      </c>
      <c r="E252" s="2" t="n">
        <v>46093</v>
      </c>
      <c r="F252" t="inlineStr">
        <is>
          <t>Fail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>
        <f>IF(OR(G252=0,G252=""),"",ABS((G252-IF($C252="LT",Config!$F$2,Config!$F$14))/IF($C252="LT",Config!$G$2,Config!$G$14)))</f>
        <v/>
      </c>
      <c r="T252">
        <f>IF(OR(H252=0,H252=""),"",ABS((H252-IF($C252="LT",Config!$F$3,Config!$F$15))/IF($C252="LT",Config!$G$3,Config!$G$15)))</f>
        <v/>
      </c>
      <c r="U252">
        <f>IF(OR(I252=0,I252=""),"",ABS((I252-IF($C252="LT",Config!$F$4,Config!$F$16))/IF($C252="LT",Config!$G$4,Config!$G$16)))</f>
        <v/>
      </c>
      <c r="V252">
        <f>IF(OR(J252=0,J252=""),"",ABS((J252-IF($C252="LT",Config!$F$5,Config!$F$17))/IF($C252="LT",Config!$G$5,Config!$G$17)))</f>
        <v/>
      </c>
      <c r="W252">
        <f>IF(OR(K252=0,K252=""),"",ABS((K252-IF($C252="LT",Config!$F$6,Config!$F$18))/IF($C252="LT",Config!$G$6,Config!$G$18)))</f>
        <v/>
      </c>
      <c r="X252">
        <f>IF(OR(L252=0,L252=""),"",ABS((L252-IF($C252="LT",Config!$F$7,Config!$F$19))/IF($C252="LT",Config!$G$7,Config!$G$19)))</f>
        <v/>
      </c>
      <c r="Y252">
        <f>IF(OR(M252=0,M252=""),"",ABS((M252-IF($C252="LT",Config!$F$8,Config!$F$20))/IF($C252="LT",Config!$G$8,Config!$G$20)))</f>
        <v/>
      </c>
      <c r="Z252">
        <f>IF(OR(N252=0,N252=""),"",ABS((N252-IF($C252="LT",Config!$F$9,Config!$F$21))/IF($C252="LT",Config!$G$9,Config!$G$21)))</f>
        <v/>
      </c>
      <c r="AA252">
        <f>IF(OR(O252=0,O252=""),"",ABS((O252-IF($C252="LT",Config!$F$10,Config!$F$22))/IF($C252="LT",Config!$G$10,Config!$G$22)))</f>
        <v/>
      </c>
      <c r="AB252">
        <f>IF(OR(P252=0,P252=""),"",ABS((P252-IF($C252="LT",Config!$F$11,Config!$F$23))/IF($C252="LT",Config!$G$11,Config!$G$23)))</f>
        <v/>
      </c>
      <c r="AC252">
        <f>IF(OR(Q252=0,Q252=""),"",ABS((Q252-IF($C252="LT",Config!$F$12,Config!$F$24))/IF($C252="LT",Config!$G$12,Config!$G$24)))</f>
        <v/>
      </c>
      <c r="AD252">
        <f>IF(OR(R252=0,R252=""),"",ABS((R252-IF($C252="LT",Config!$F$13,Config!$F$25))/IF($C252="LT",Config!$G$13,Config!$G$25)))</f>
        <v/>
      </c>
    </row>
    <row r="253">
      <c r="A253" t="inlineStr">
        <is>
          <t>04C1126120917</t>
        </is>
      </c>
      <c r="B253" t="inlineStr">
        <is>
          <t>CRS0000675</t>
        </is>
      </c>
      <c r="C253" t="inlineStr">
        <is>
          <t>LT</t>
        </is>
      </c>
      <c r="D253" t="inlineStr">
        <is>
          <t>ALX440U-DS3B01</t>
        </is>
      </c>
      <c r="E253" s="2" t="n">
        <v>46093</v>
      </c>
      <c r="F253" t="inlineStr">
        <is>
          <t>Fail</t>
        </is>
      </c>
      <c r="G253" t="n">
        <v>143.2</v>
      </c>
      <c r="H253" t="n">
        <v>77.5</v>
      </c>
      <c r="I253" t="n">
        <v>-1957.8</v>
      </c>
      <c r="J253" t="n">
        <v>66.40000000000001</v>
      </c>
      <c r="K253" t="n">
        <v>0</v>
      </c>
      <c r="L253" t="n">
        <v>0.3</v>
      </c>
      <c r="M253" t="n">
        <v>0</v>
      </c>
      <c r="N253" t="n">
        <v>66.7</v>
      </c>
      <c r="O253" t="n">
        <v>111.86</v>
      </c>
      <c r="P253" t="n">
        <v>113.77</v>
      </c>
      <c r="Q253" t="n">
        <v>6.79</v>
      </c>
      <c r="R253" t="n">
        <v>6.08</v>
      </c>
      <c r="S253">
        <f>IF(OR(G253=0,G253=""),"",ABS((G253-IF($C253="LT",Config!$F$2,Config!$F$14))/IF($C253="LT",Config!$G$2,Config!$G$14)))</f>
        <v/>
      </c>
      <c r="T253">
        <f>IF(OR(H253=0,H253=""),"",ABS((H253-IF($C253="LT",Config!$F$3,Config!$F$15))/IF($C253="LT",Config!$G$3,Config!$G$15)))</f>
        <v/>
      </c>
      <c r="U253">
        <f>IF(OR(I253=0,I253=""),"",ABS((I253-IF($C253="LT",Config!$F$4,Config!$F$16))/IF($C253="LT",Config!$G$4,Config!$G$16)))</f>
        <v/>
      </c>
      <c r="V253">
        <f>IF(OR(J253=0,J253=""),"",ABS((J253-IF($C253="LT",Config!$F$5,Config!$F$17))/IF($C253="LT",Config!$G$5,Config!$G$17)))</f>
        <v/>
      </c>
      <c r="W253">
        <f>IF(OR(K253=0,K253=""),"",ABS((K253-IF($C253="LT",Config!$F$6,Config!$F$18))/IF($C253="LT",Config!$G$6,Config!$G$18)))</f>
        <v/>
      </c>
      <c r="X253">
        <f>IF(OR(L253=0,L253=""),"",ABS((L253-IF($C253="LT",Config!$F$7,Config!$F$19))/IF($C253="LT",Config!$G$7,Config!$G$19)))</f>
        <v/>
      </c>
      <c r="Y253">
        <f>IF(OR(M253=0,M253=""),"",ABS((M253-IF($C253="LT",Config!$F$8,Config!$F$20))/IF($C253="LT",Config!$G$8,Config!$G$20)))</f>
        <v/>
      </c>
      <c r="Z253">
        <f>IF(OR(N253=0,N253=""),"",ABS((N253-IF($C253="LT",Config!$F$9,Config!$F$21))/IF($C253="LT",Config!$G$9,Config!$G$21)))</f>
        <v/>
      </c>
      <c r="AA253">
        <f>IF(OR(O253=0,O253=""),"",ABS((O253-IF($C253="LT",Config!$F$10,Config!$F$22))/IF($C253="LT",Config!$G$10,Config!$G$22)))</f>
        <v/>
      </c>
      <c r="AB253">
        <f>IF(OR(P253=0,P253=""),"",ABS((P253-IF($C253="LT",Config!$F$11,Config!$F$23))/IF($C253="LT",Config!$G$11,Config!$G$23)))</f>
        <v/>
      </c>
      <c r="AC253">
        <f>IF(OR(Q253=0,Q253=""),"",ABS((Q253-IF($C253="LT",Config!$F$12,Config!$F$24))/IF($C253="LT",Config!$G$12,Config!$G$24)))</f>
        <v/>
      </c>
      <c r="AD253">
        <f>IF(OR(R253=0,R253=""),"",ABS((R253-IF($C253="LT",Config!$F$13,Config!$F$25))/IF($C253="LT",Config!$G$13,Config!$G$25)))</f>
        <v/>
      </c>
    </row>
    <row r="254">
      <c r="A254" t="inlineStr">
        <is>
          <t>04C1126120917</t>
        </is>
      </c>
      <c r="B254" t="inlineStr">
        <is>
          <t>CRS0000675</t>
        </is>
      </c>
      <c r="C254" t="inlineStr">
        <is>
          <t>LT</t>
        </is>
      </c>
      <c r="D254" t="inlineStr">
        <is>
          <t>ALX440U-DS3B01</t>
        </is>
      </c>
      <c r="E254" s="2" t="n">
        <v>46093</v>
      </c>
      <c r="F254" t="inlineStr">
        <is>
          <t>Fail</t>
        </is>
      </c>
      <c r="G254" t="n">
        <v>142.8</v>
      </c>
      <c r="H254" t="n">
        <v>79.8</v>
      </c>
      <c r="I254" t="n">
        <v>-1957.8</v>
      </c>
      <c r="J254" t="n">
        <v>66.40000000000001</v>
      </c>
      <c r="K254" t="n">
        <v>0</v>
      </c>
      <c r="L254" t="n">
        <v>1</v>
      </c>
      <c r="M254" t="n">
        <v>0</v>
      </c>
      <c r="N254" t="n">
        <v>67.40000000000001</v>
      </c>
      <c r="O254" t="n">
        <v>115.16</v>
      </c>
      <c r="P254" t="n">
        <v>115.31</v>
      </c>
      <c r="Q254" t="n">
        <v>6.15</v>
      </c>
      <c r="R254" t="n">
        <v>6.05</v>
      </c>
      <c r="S254">
        <f>IF(OR(G254=0,G254=""),"",ABS((G254-IF($C254="LT",Config!$F$2,Config!$F$14))/IF($C254="LT",Config!$G$2,Config!$G$14)))</f>
        <v/>
      </c>
      <c r="T254">
        <f>IF(OR(H254=0,H254=""),"",ABS((H254-IF($C254="LT",Config!$F$3,Config!$F$15))/IF($C254="LT",Config!$G$3,Config!$G$15)))</f>
        <v/>
      </c>
      <c r="U254">
        <f>IF(OR(I254=0,I254=""),"",ABS((I254-IF($C254="LT",Config!$F$4,Config!$F$16))/IF($C254="LT",Config!$G$4,Config!$G$16)))</f>
        <v/>
      </c>
      <c r="V254">
        <f>IF(OR(J254=0,J254=""),"",ABS((J254-IF($C254="LT",Config!$F$5,Config!$F$17))/IF($C254="LT",Config!$G$5,Config!$G$17)))</f>
        <v/>
      </c>
      <c r="W254">
        <f>IF(OR(K254=0,K254=""),"",ABS((K254-IF($C254="LT",Config!$F$6,Config!$F$18))/IF($C254="LT",Config!$G$6,Config!$G$18)))</f>
        <v/>
      </c>
      <c r="X254">
        <f>IF(OR(L254=0,L254=""),"",ABS((L254-IF($C254="LT",Config!$F$7,Config!$F$19))/IF($C254="LT",Config!$G$7,Config!$G$19)))</f>
        <v/>
      </c>
      <c r="Y254">
        <f>IF(OR(M254=0,M254=""),"",ABS((M254-IF($C254="LT",Config!$F$8,Config!$F$20))/IF($C254="LT",Config!$G$8,Config!$G$20)))</f>
        <v/>
      </c>
      <c r="Z254">
        <f>IF(OR(N254=0,N254=""),"",ABS((N254-IF($C254="LT",Config!$F$9,Config!$F$21))/IF($C254="LT",Config!$G$9,Config!$G$21)))</f>
        <v/>
      </c>
      <c r="AA254">
        <f>IF(OR(O254=0,O254=""),"",ABS((O254-IF($C254="LT",Config!$F$10,Config!$F$22))/IF($C254="LT",Config!$G$10,Config!$G$22)))</f>
        <v/>
      </c>
      <c r="AB254">
        <f>IF(OR(P254=0,P254=""),"",ABS((P254-IF($C254="LT",Config!$F$11,Config!$F$23))/IF($C254="LT",Config!$G$11,Config!$G$23)))</f>
        <v/>
      </c>
      <c r="AC254">
        <f>IF(OR(Q254=0,Q254=""),"",ABS((Q254-IF($C254="LT",Config!$F$12,Config!$F$24))/IF($C254="LT",Config!$G$12,Config!$G$24)))</f>
        <v/>
      </c>
      <c r="AD254">
        <f>IF(OR(R254=0,R254=""),"",ABS((R254-IF($C254="LT",Config!$F$13,Config!$F$25))/IF($C254="LT",Config!$G$13,Config!$G$25)))</f>
        <v/>
      </c>
    </row>
    <row r="255">
      <c r="A255" t="inlineStr">
        <is>
          <t>04C1126120917</t>
        </is>
      </c>
      <c r="B255" t="inlineStr">
        <is>
          <t>CRS0000675</t>
        </is>
      </c>
      <c r="C255" t="inlineStr">
        <is>
          <t>LT</t>
        </is>
      </c>
      <c r="D255" t="inlineStr">
        <is>
          <t>ALX440U-DS3B01</t>
        </is>
      </c>
      <c r="E255" s="2" t="n">
        <v>46093</v>
      </c>
      <c r="F255" t="inlineStr">
        <is>
          <t>Pass</t>
        </is>
      </c>
      <c r="G255" t="n">
        <v>149.5</v>
      </c>
      <c r="H255" t="n">
        <v>86.5</v>
      </c>
      <c r="I255" t="n">
        <v>-1957.8</v>
      </c>
      <c r="J255" t="n">
        <v>67.3</v>
      </c>
      <c r="K255" t="n">
        <v>0</v>
      </c>
      <c r="L255" t="n">
        <v>1.7</v>
      </c>
      <c r="M255" t="n">
        <v>0</v>
      </c>
      <c r="N255" t="n">
        <v>65.59999999999999</v>
      </c>
      <c r="O255" t="n">
        <v>115.16</v>
      </c>
      <c r="P255" t="n">
        <v>115.02</v>
      </c>
      <c r="Q255" t="n">
        <v>7.71</v>
      </c>
      <c r="R255" t="n">
        <v>7.96</v>
      </c>
      <c r="S255">
        <f>IF(OR(G255=0,G255=""),"",ABS((G255-IF($C255="LT",Config!$F$2,Config!$F$14))/IF($C255="LT",Config!$G$2,Config!$G$14)))</f>
        <v/>
      </c>
      <c r="T255">
        <f>IF(OR(H255=0,H255=""),"",ABS((H255-IF($C255="LT",Config!$F$3,Config!$F$15))/IF($C255="LT",Config!$G$3,Config!$G$15)))</f>
        <v/>
      </c>
      <c r="U255">
        <f>IF(OR(I255=0,I255=""),"",ABS((I255-IF($C255="LT",Config!$F$4,Config!$F$16))/IF($C255="LT",Config!$G$4,Config!$G$16)))</f>
        <v/>
      </c>
      <c r="V255">
        <f>IF(OR(J255=0,J255=""),"",ABS((J255-IF($C255="LT",Config!$F$5,Config!$F$17))/IF($C255="LT",Config!$G$5,Config!$G$17)))</f>
        <v/>
      </c>
      <c r="W255">
        <f>IF(OR(K255=0,K255=""),"",ABS((K255-IF($C255="LT",Config!$F$6,Config!$F$18))/IF($C255="LT",Config!$G$6,Config!$G$18)))</f>
        <v/>
      </c>
      <c r="X255">
        <f>IF(OR(L255=0,L255=""),"",ABS((L255-IF($C255="LT",Config!$F$7,Config!$F$19))/IF($C255="LT",Config!$G$7,Config!$G$19)))</f>
        <v/>
      </c>
      <c r="Y255">
        <f>IF(OR(M255=0,M255=""),"",ABS((M255-IF($C255="LT",Config!$F$8,Config!$F$20))/IF($C255="LT",Config!$G$8,Config!$G$20)))</f>
        <v/>
      </c>
      <c r="Z255">
        <f>IF(OR(N255=0,N255=""),"",ABS((N255-IF($C255="LT",Config!$F$9,Config!$F$21))/IF($C255="LT",Config!$G$9,Config!$G$21)))</f>
        <v/>
      </c>
      <c r="AA255">
        <f>IF(OR(O255=0,O255=""),"",ABS((O255-IF($C255="LT",Config!$F$10,Config!$F$22))/IF($C255="LT",Config!$G$10,Config!$G$22)))</f>
        <v/>
      </c>
      <c r="AB255">
        <f>IF(OR(P255=0,P255=""),"",ABS((P255-IF($C255="LT",Config!$F$11,Config!$F$23))/IF($C255="LT",Config!$G$11,Config!$G$23)))</f>
        <v/>
      </c>
      <c r="AC255">
        <f>IF(OR(Q255=0,Q255=""),"",ABS((Q255-IF($C255="LT",Config!$F$12,Config!$F$24))/IF($C255="LT",Config!$G$12,Config!$G$24)))</f>
        <v/>
      </c>
      <c r="AD255">
        <f>IF(OR(R255=0,R255=""),"",ABS((R255-IF($C255="LT",Config!$F$13,Config!$F$25))/IF($C255="LT",Config!$G$13,Config!$G$25)))</f>
        <v/>
      </c>
    </row>
    <row r="256">
      <c r="A256" t="inlineStr">
        <is>
          <t>04C1126120918</t>
        </is>
      </c>
      <c r="B256" t="inlineStr">
        <is>
          <t>CRS0000675</t>
        </is>
      </c>
      <c r="C256" t="inlineStr">
        <is>
          <t>LT</t>
        </is>
      </c>
      <c r="D256" t="inlineStr">
        <is>
          <t>ALX440U-DS3B01</t>
        </is>
      </c>
      <c r="E256" s="2" t="n">
        <v>46093</v>
      </c>
      <c r="F256" t="inlineStr">
        <is>
          <t>Fail</t>
        </is>
      </c>
      <c r="G256" t="n">
        <v>149.5</v>
      </c>
      <c r="H256" t="n">
        <v>76.59999999999999</v>
      </c>
      <c r="I256" t="n">
        <v>-1957.8</v>
      </c>
      <c r="J256" t="n">
        <v>68.2</v>
      </c>
      <c r="K256" t="n">
        <v>0</v>
      </c>
      <c r="L256" t="n">
        <v>0.9</v>
      </c>
      <c r="M256" t="n">
        <v>0</v>
      </c>
      <c r="N256" t="n">
        <v>67.3</v>
      </c>
      <c r="O256" t="n">
        <v>114.8</v>
      </c>
      <c r="P256" t="n">
        <v>114.87</v>
      </c>
      <c r="Q256" t="n">
        <v>8.279999999999999</v>
      </c>
      <c r="R256" t="n">
        <v>7.96</v>
      </c>
      <c r="S256">
        <f>IF(OR(G256=0,G256=""),"",ABS((G256-IF($C256="LT",Config!$F$2,Config!$F$14))/IF($C256="LT",Config!$G$2,Config!$G$14)))</f>
        <v/>
      </c>
      <c r="T256">
        <f>IF(OR(H256=0,H256=""),"",ABS((H256-IF($C256="LT",Config!$F$3,Config!$F$15))/IF($C256="LT",Config!$G$3,Config!$G$15)))</f>
        <v/>
      </c>
      <c r="U256">
        <f>IF(OR(I256=0,I256=""),"",ABS((I256-IF($C256="LT",Config!$F$4,Config!$F$16))/IF($C256="LT",Config!$G$4,Config!$G$16)))</f>
        <v/>
      </c>
      <c r="V256">
        <f>IF(OR(J256=0,J256=""),"",ABS((J256-IF($C256="LT",Config!$F$5,Config!$F$17))/IF($C256="LT",Config!$G$5,Config!$G$17)))</f>
        <v/>
      </c>
      <c r="W256">
        <f>IF(OR(K256=0,K256=""),"",ABS((K256-IF($C256="LT",Config!$F$6,Config!$F$18))/IF($C256="LT",Config!$G$6,Config!$G$18)))</f>
        <v/>
      </c>
      <c r="X256">
        <f>IF(OR(L256=0,L256=""),"",ABS((L256-IF($C256="LT",Config!$F$7,Config!$F$19))/IF($C256="LT",Config!$G$7,Config!$G$19)))</f>
        <v/>
      </c>
      <c r="Y256">
        <f>IF(OR(M256=0,M256=""),"",ABS((M256-IF($C256="LT",Config!$F$8,Config!$F$20))/IF($C256="LT",Config!$G$8,Config!$G$20)))</f>
        <v/>
      </c>
      <c r="Z256">
        <f>IF(OR(N256=0,N256=""),"",ABS((N256-IF($C256="LT",Config!$F$9,Config!$F$21))/IF($C256="LT",Config!$G$9,Config!$G$21)))</f>
        <v/>
      </c>
      <c r="AA256">
        <f>IF(OR(O256=0,O256=""),"",ABS((O256-IF($C256="LT",Config!$F$10,Config!$F$22))/IF($C256="LT",Config!$G$10,Config!$G$22)))</f>
        <v/>
      </c>
      <c r="AB256">
        <f>IF(OR(P256=0,P256=""),"",ABS((P256-IF($C256="LT",Config!$F$11,Config!$F$23))/IF($C256="LT",Config!$G$11,Config!$G$23)))</f>
        <v/>
      </c>
      <c r="AC256">
        <f>IF(OR(Q256=0,Q256=""),"",ABS((Q256-IF($C256="LT",Config!$F$12,Config!$F$24))/IF($C256="LT",Config!$G$12,Config!$G$24)))</f>
        <v/>
      </c>
      <c r="AD256">
        <f>IF(OR(R256=0,R256=""),"",ABS((R256-IF($C256="LT",Config!$F$13,Config!$F$25))/IF($C256="LT",Config!$G$13,Config!$G$25)))</f>
        <v/>
      </c>
    </row>
    <row r="257">
      <c r="A257" t="inlineStr">
        <is>
          <t>04C1126120918</t>
        </is>
      </c>
      <c r="B257" t="inlineStr">
        <is>
          <t>CRS0000675</t>
        </is>
      </c>
      <c r="C257" t="inlineStr">
        <is>
          <t>LT</t>
        </is>
      </c>
      <c r="D257" t="inlineStr">
        <is>
          <t>ALX440U-DS3B01</t>
        </is>
      </c>
      <c r="E257" s="2" t="n">
        <v>46093</v>
      </c>
      <c r="F257" t="inlineStr">
        <is>
          <t>Pass</t>
        </is>
      </c>
      <c r="G257" t="n">
        <v>153</v>
      </c>
      <c r="H257" t="n">
        <v>93.3</v>
      </c>
      <c r="I257" t="n">
        <v>-1957.8</v>
      </c>
      <c r="J257" t="n">
        <v>67.7</v>
      </c>
      <c r="K257" t="n">
        <v>0</v>
      </c>
      <c r="L257" t="n">
        <v>2.4</v>
      </c>
      <c r="M257" t="n">
        <v>0</v>
      </c>
      <c r="N257" t="n">
        <v>65.3</v>
      </c>
      <c r="O257" t="n">
        <v>114.87</v>
      </c>
      <c r="P257" t="n">
        <v>114.65</v>
      </c>
      <c r="Q257" t="n">
        <v>7.76</v>
      </c>
      <c r="R257" t="n">
        <v>7.96</v>
      </c>
      <c r="S257">
        <f>IF(OR(G257=0,G257=""),"",ABS((G257-IF($C257="LT",Config!$F$2,Config!$F$14))/IF($C257="LT",Config!$G$2,Config!$G$14)))</f>
        <v/>
      </c>
      <c r="T257">
        <f>IF(OR(H257=0,H257=""),"",ABS((H257-IF($C257="LT",Config!$F$3,Config!$F$15))/IF($C257="LT",Config!$G$3,Config!$G$15)))</f>
        <v/>
      </c>
      <c r="U257">
        <f>IF(OR(I257=0,I257=""),"",ABS((I257-IF($C257="LT",Config!$F$4,Config!$F$16))/IF($C257="LT",Config!$G$4,Config!$G$16)))</f>
        <v/>
      </c>
      <c r="V257">
        <f>IF(OR(J257=0,J257=""),"",ABS((J257-IF($C257="LT",Config!$F$5,Config!$F$17))/IF($C257="LT",Config!$G$5,Config!$G$17)))</f>
        <v/>
      </c>
      <c r="W257">
        <f>IF(OR(K257=0,K257=""),"",ABS((K257-IF($C257="LT",Config!$F$6,Config!$F$18))/IF($C257="LT",Config!$G$6,Config!$G$18)))</f>
        <v/>
      </c>
      <c r="X257">
        <f>IF(OR(L257=0,L257=""),"",ABS((L257-IF($C257="LT",Config!$F$7,Config!$F$19))/IF($C257="LT",Config!$G$7,Config!$G$19)))</f>
        <v/>
      </c>
      <c r="Y257">
        <f>IF(OR(M257=0,M257=""),"",ABS((M257-IF($C257="LT",Config!$F$8,Config!$F$20))/IF($C257="LT",Config!$G$8,Config!$G$20)))</f>
        <v/>
      </c>
      <c r="Z257">
        <f>IF(OR(N257=0,N257=""),"",ABS((N257-IF($C257="LT",Config!$F$9,Config!$F$21))/IF($C257="LT",Config!$G$9,Config!$G$21)))</f>
        <v/>
      </c>
      <c r="AA257">
        <f>IF(OR(O257=0,O257=""),"",ABS((O257-IF($C257="LT",Config!$F$10,Config!$F$22))/IF($C257="LT",Config!$G$10,Config!$G$22)))</f>
        <v/>
      </c>
      <c r="AB257">
        <f>IF(OR(P257=0,P257=""),"",ABS((P257-IF($C257="LT",Config!$F$11,Config!$F$23))/IF($C257="LT",Config!$G$11,Config!$G$23)))</f>
        <v/>
      </c>
      <c r="AC257">
        <f>IF(OR(Q257=0,Q257=""),"",ABS((Q257-IF($C257="LT",Config!$F$12,Config!$F$24))/IF($C257="LT",Config!$G$12,Config!$G$24)))</f>
        <v/>
      </c>
      <c r="AD257">
        <f>IF(OR(R257=0,R257=""),"",ABS((R257-IF($C257="LT",Config!$F$13,Config!$F$25))/IF($C257="LT",Config!$G$13,Config!$G$25)))</f>
        <v/>
      </c>
    </row>
    <row r="258">
      <c r="A258" t="inlineStr">
        <is>
          <t>04C1226120919</t>
        </is>
      </c>
      <c r="B258" t="inlineStr">
        <is>
          <t>CRS0000675</t>
        </is>
      </c>
      <c r="C258" t="inlineStr">
        <is>
          <t>LT</t>
        </is>
      </c>
      <c r="D258" t="inlineStr">
        <is>
          <t>ALX440U-DS3B01</t>
        </is>
      </c>
      <c r="E258" s="2" t="n">
        <v>46093</v>
      </c>
      <c r="F258" t="inlineStr">
        <is>
          <t>Pass</t>
        </is>
      </c>
      <c r="G258" t="n">
        <v>148.1</v>
      </c>
      <c r="H258" t="n">
        <v>90.59999999999999</v>
      </c>
      <c r="I258" t="n">
        <v>-1957.8</v>
      </c>
      <c r="J258" t="n">
        <v>67.3</v>
      </c>
      <c r="K258" t="n">
        <v>0</v>
      </c>
      <c r="L258" t="n">
        <v>0.8</v>
      </c>
      <c r="M258" t="n">
        <v>0</v>
      </c>
      <c r="N258" t="n">
        <v>66.5</v>
      </c>
      <c r="O258" t="n">
        <v>111.13</v>
      </c>
      <c r="P258" t="n">
        <v>117.8</v>
      </c>
      <c r="Q258" t="n">
        <v>8.59</v>
      </c>
      <c r="R258" t="n">
        <v>7.93</v>
      </c>
      <c r="S258">
        <f>IF(OR(G258=0,G258=""),"",ABS((G258-IF($C258="LT",Config!$F$2,Config!$F$14))/IF($C258="LT",Config!$G$2,Config!$G$14)))</f>
        <v/>
      </c>
      <c r="T258">
        <f>IF(OR(H258=0,H258=""),"",ABS((H258-IF($C258="LT",Config!$F$3,Config!$F$15))/IF($C258="LT",Config!$G$3,Config!$G$15)))</f>
        <v/>
      </c>
      <c r="U258">
        <f>IF(OR(I258=0,I258=""),"",ABS((I258-IF($C258="LT",Config!$F$4,Config!$F$16))/IF($C258="LT",Config!$G$4,Config!$G$16)))</f>
        <v/>
      </c>
      <c r="V258">
        <f>IF(OR(J258=0,J258=""),"",ABS((J258-IF($C258="LT",Config!$F$5,Config!$F$17))/IF($C258="LT",Config!$G$5,Config!$G$17)))</f>
        <v/>
      </c>
      <c r="W258">
        <f>IF(OR(K258=0,K258=""),"",ABS((K258-IF($C258="LT",Config!$F$6,Config!$F$18))/IF($C258="LT",Config!$G$6,Config!$G$18)))</f>
        <v/>
      </c>
      <c r="X258">
        <f>IF(OR(L258=0,L258=""),"",ABS((L258-IF($C258="LT",Config!$F$7,Config!$F$19))/IF($C258="LT",Config!$G$7,Config!$G$19)))</f>
        <v/>
      </c>
      <c r="Y258">
        <f>IF(OR(M258=0,M258=""),"",ABS((M258-IF($C258="LT",Config!$F$8,Config!$F$20))/IF($C258="LT",Config!$G$8,Config!$G$20)))</f>
        <v/>
      </c>
      <c r="Z258">
        <f>IF(OR(N258=0,N258=""),"",ABS((N258-IF($C258="LT",Config!$F$9,Config!$F$21))/IF($C258="LT",Config!$G$9,Config!$G$21)))</f>
        <v/>
      </c>
      <c r="AA258">
        <f>IF(OR(O258=0,O258=""),"",ABS((O258-IF($C258="LT",Config!$F$10,Config!$F$22))/IF($C258="LT",Config!$G$10,Config!$G$22)))</f>
        <v/>
      </c>
      <c r="AB258">
        <f>IF(OR(P258=0,P258=""),"",ABS((P258-IF($C258="LT",Config!$F$11,Config!$F$23))/IF($C258="LT",Config!$G$11,Config!$G$23)))</f>
        <v/>
      </c>
      <c r="AC258">
        <f>IF(OR(Q258=0,Q258=""),"",ABS((Q258-IF($C258="LT",Config!$F$12,Config!$F$24))/IF($C258="LT",Config!$G$12,Config!$G$24)))</f>
        <v/>
      </c>
      <c r="AD258">
        <f>IF(OR(R258=0,R258=""),"",ABS((R258-IF($C258="LT",Config!$F$13,Config!$F$25))/IF($C258="LT",Config!$G$13,Config!$G$25)))</f>
        <v/>
      </c>
    </row>
    <row r="259">
      <c r="A259" t="inlineStr">
        <is>
          <t>04C1226120920</t>
        </is>
      </c>
      <c r="B259" t="inlineStr">
        <is>
          <t>CRS0000675</t>
        </is>
      </c>
      <c r="C259" t="inlineStr">
        <is>
          <t>LT</t>
        </is>
      </c>
      <c r="D259" t="inlineStr">
        <is>
          <t>ALX440U-DS3B01</t>
        </is>
      </c>
      <c r="E259" s="2" t="n">
        <v>46093</v>
      </c>
      <c r="F259" t="inlineStr">
        <is>
          <t>Pass</t>
        </is>
      </c>
      <c r="G259" t="n">
        <v>146.4</v>
      </c>
      <c r="H259" t="n">
        <v>87.40000000000001</v>
      </c>
      <c r="I259" t="n">
        <v>-1957.8</v>
      </c>
      <c r="J259" t="n">
        <v>67.3</v>
      </c>
      <c r="K259" t="n">
        <v>0</v>
      </c>
      <c r="L259" t="n">
        <v>0.7</v>
      </c>
      <c r="M259" t="n">
        <v>0</v>
      </c>
      <c r="N259" t="n">
        <v>66.59999999999999</v>
      </c>
      <c r="O259" t="n">
        <v>111.79</v>
      </c>
      <c r="P259" t="n">
        <v>113.33</v>
      </c>
      <c r="Q259" t="n">
        <v>7.91</v>
      </c>
      <c r="R259" t="n">
        <v>7.52</v>
      </c>
      <c r="S259">
        <f>IF(OR(G259=0,G259=""),"",ABS((G259-IF($C259="LT",Config!$F$2,Config!$F$14))/IF($C259="LT",Config!$G$2,Config!$G$14)))</f>
        <v/>
      </c>
      <c r="T259">
        <f>IF(OR(H259=0,H259=""),"",ABS((H259-IF($C259="LT",Config!$F$3,Config!$F$15))/IF($C259="LT",Config!$G$3,Config!$G$15)))</f>
        <v/>
      </c>
      <c r="U259">
        <f>IF(OR(I259=0,I259=""),"",ABS((I259-IF($C259="LT",Config!$F$4,Config!$F$16))/IF($C259="LT",Config!$G$4,Config!$G$16)))</f>
        <v/>
      </c>
      <c r="V259">
        <f>IF(OR(J259=0,J259=""),"",ABS((J259-IF($C259="LT",Config!$F$5,Config!$F$17))/IF($C259="LT",Config!$G$5,Config!$G$17)))</f>
        <v/>
      </c>
      <c r="W259">
        <f>IF(OR(K259=0,K259=""),"",ABS((K259-IF($C259="LT",Config!$F$6,Config!$F$18))/IF($C259="LT",Config!$G$6,Config!$G$18)))</f>
        <v/>
      </c>
      <c r="X259">
        <f>IF(OR(L259=0,L259=""),"",ABS((L259-IF($C259="LT",Config!$F$7,Config!$F$19))/IF($C259="LT",Config!$G$7,Config!$G$19)))</f>
        <v/>
      </c>
      <c r="Y259">
        <f>IF(OR(M259=0,M259=""),"",ABS((M259-IF($C259="LT",Config!$F$8,Config!$F$20))/IF($C259="LT",Config!$G$8,Config!$G$20)))</f>
        <v/>
      </c>
      <c r="Z259">
        <f>IF(OR(N259=0,N259=""),"",ABS((N259-IF($C259="LT",Config!$F$9,Config!$F$21))/IF($C259="LT",Config!$G$9,Config!$G$21)))</f>
        <v/>
      </c>
      <c r="AA259">
        <f>IF(OR(O259=0,O259=""),"",ABS((O259-IF($C259="LT",Config!$F$10,Config!$F$22))/IF($C259="LT",Config!$G$10,Config!$G$22)))</f>
        <v/>
      </c>
      <c r="AB259">
        <f>IF(OR(P259=0,P259=""),"",ABS((P259-IF($C259="LT",Config!$F$11,Config!$F$23))/IF($C259="LT",Config!$G$11,Config!$G$23)))</f>
        <v/>
      </c>
      <c r="AC259">
        <f>IF(OR(Q259=0,Q259=""),"",ABS((Q259-IF($C259="LT",Config!$F$12,Config!$F$24))/IF($C259="LT",Config!$G$12,Config!$G$24)))</f>
        <v/>
      </c>
      <c r="AD259">
        <f>IF(OR(R259=0,R259=""),"",ABS((R259-IF($C259="LT",Config!$F$13,Config!$F$25))/IF($C259="LT",Config!$G$13,Config!$G$25)))</f>
        <v/>
      </c>
    </row>
    <row r="260">
      <c r="A260" t="inlineStr">
        <is>
          <t>04C1226120921</t>
        </is>
      </c>
      <c r="B260" t="inlineStr">
        <is>
          <t>CRS0000675</t>
        </is>
      </c>
      <c r="C260" t="inlineStr">
        <is>
          <t>LT</t>
        </is>
      </c>
      <c r="D260" t="inlineStr">
        <is>
          <t>ALX440U-DS3B01</t>
        </is>
      </c>
      <c r="E260" s="2" t="n">
        <v>46093</v>
      </c>
      <c r="F260" t="inlineStr">
        <is>
          <t>Fail</t>
        </is>
      </c>
      <c r="G260" t="n">
        <v>146.8</v>
      </c>
      <c r="H260" t="n">
        <v>75.7</v>
      </c>
      <c r="I260" t="n">
        <v>-1957.8</v>
      </c>
      <c r="J260" t="n">
        <v>65.5</v>
      </c>
      <c r="K260" t="n">
        <v>0</v>
      </c>
      <c r="L260" t="n">
        <v>0</v>
      </c>
      <c r="M260" t="n">
        <v>0</v>
      </c>
      <c r="N260" t="n">
        <v>65.5</v>
      </c>
      <c r="O260" t="n">
        <v>111.94</v>
      </c>
      <c r="P260" t="n">
        <v>113.11</v>
      </c>
      <c r="Q260" t="n">
        <v>7.67</v>
      </c>
      <c r="R260" t="n">
        <v>7.52</v>
      </c>
      <c r="S260">
        <f>IF(OR(G260=0,G260=""),"",ABS((G260-IF($C260="LT",Config!$F$2,Config!$F$14))/IF($C260="LT",Config!$G$2,Config!$G$14)))</f>
        <v/>
      </c>
      <c r="T260">
        <f>IF(OR(H260=0,H260=""),"",ABS((H260-IF($C260="LT",Config!$F$3,Config!$F$15))/IF($C260="LT",Config!$G$3,Config!$G$15)))</f>
        <v/>
      </c>
      <c r="U260">
        <f>IF(OR(I260=0,I260=""),"",ABS((I260-IF($C260="LT",Config!$F$4,Config!$F$16))/IF($C260="LT",Config!$G$4,Config!$G$16)))</f>
        <v/>
      </c>
      <c r="V260">
        <f>IF(OR(J260=0,J260=""),"",ABS((J260-IF($C260="LT",Config!$F$5,Config!$F$17))/IF($C260="LT",Config!$G$5,Config!$G$17)))</f>
        <v/>
      </c>
      <c r="W260">
        <f>IF(OR(K260=0,K260=""),"",ABS((K260-IF($C260="LT",Config!$F$6,Config!$F$18))/IF($C260="LT",Config!$G$6,Config!$G$18)))</f>
        <v/>
      </c>
      <c r="X260">
        <f>IF(OR(L260=0,L260=""),"",ABS((L260-IF($C260="LT",Config!$F$7,Config!$F$19))/IF($C260="LT",Config!$G$7,Config!$G$19)))</f>
        <v/>
      </c>
      <c r="Y260">
        <f>IF(OR(M260=0,M260=""),"",ABS((M260-IF($C260="LT",Config!$F$8,Config!$F$20))/IF($C260="LT",Config!$G$8,Config!$G$20)))</f>
        <v/>
      </c>
      <c r="Z260">
        <f>IF(OR(N260=0,N260=""),"",ABS((N260-IF($C260="LT",Config!$F$9,Config!$F$21))/IF($C260="LT",Config!$G$9,Config!$G$21)))</f>
        <v/>
      </c>
      <c r="AA260">
        <f>IF(OR(O260=0,O260=""),"",ABS((O260-IF($C260="LT",Config!$F$10,Config!$F$22))/IF($C260="LT",Config!$G$10,Config!$G$22)))</f>
        <v/>
      </c>
      <c r="AB260">
        <f>IF(OR(P260=0,P260=""),"",ABS((P260-IF($C260="LT",Config!$F$11,Config!$F$23))/IF($C260="LT",Config!$G$11,Config!$G$23)))</f>
        <v/>
      </c>
      <c r="AC260">
        <f>IF(OR(Q260=0,Q260=""),"",ABS((Q260-IF($C260="LT",Config!$F$12,Config!$F$24))/IF($C260="LT",Config!$G$12,Config!$G$24)))</f>
        <v/>
      </c>
      <c r="AD260">
        <f>IF(OR(R260=0,R260=""),"",ABS((R260-IF($C260="LT",Config!$F$13,Config!$F$25))/IF($C260="LT",Config!$G$13,Config!$G$25)))</f>
        <v/>
      </c>
    </row>
    <row r="261">
      <c r="A261" t="inlineStr">
        <is>
          <t>04C1226120921</t>
        </is>
      </c>
      <c r="B261" t="inlineStr">
        <is>
          <t>CRS0000675</t>
        </is>
      </c>
      <c r="C261" t="inlineStr">
        <is>
          <t>LT</t>
        </is>
      </c>
      <c r="D261" t="inlineStr">
        <is>
          <t>ALX440U-DS3B01</t>
        </is>
      </c>
      <c r="E261" s="2" t="n">
        <v>46093</v>
      </c>
      <c r="F261" t="inlineStr">
        <is>
          <t>Pass</t>
        </is>
      </c>
      <c r="G261" t="n">
        <v>150.8</v>
      </c>
      <c r="H261" t="n">
        <v>86.09999999999999</v>
      </c>
      <c r="I261" t="n">
        <v>-1957.8</v>
      </c>
      <c r="J261" t="n">
        <v>66.40000000000001</v>
      </c>
      <c r="K261" t="n">
        <v>0</v>
      </c>
      <c r="L261" t="n">
        <v>0.3</v>
      </c>
      <c r="M261" t="n">
        <v>0</v>
      </c>
      <c r="N261" t="n">
        <v>66.7</v>
      </c>
      <c r="O261" t="n">
        <v>111.94</v>
      </c>
      <c r="P261" t="n">
        <v>113.62</v>
      </c>
      <c r="Q261" t="n">
        <v>7.62</v>
      </c>
      <c r="R261" t="n">
        <v>7.57</v>
      </c>
      <c r="S261">
        <f>IF(OR(G261=0,G261=""),"",ABS((G261-IF($C261="LT",Config!$F$2,Config!$F$14))/IF($C261="LT",Config!$G$2,Config!$G$14)))</f>
        <v/>
      </c>
      <c r="T261">
        <f>IF(OR(H261=0,H261=""),"",ABS((H261-IF($C261="LT",Config!$F$3,Config!$F$15))/IF($C261="LT",Config!$G$3,Config!$G$15)))</f>
        <v/>
      </c>
      <c r="U261">
        <f>IF(OR(I261=0,I261=""),"",ABS((I261-IF($C261="LT",Config!$F$4,Config!$F$16))/IF($C261="LT",Config!$G$4,Config!$G$16)))</f>
        <v/>
      </c>
      <c r="V261">
        <f>IF(OR(J261=0,J261=""),"",ABS((J261-IF($C261="LT",Config!$F$5,Config!$F$17))/IF($C261="LT",Config!$G$5,Config!$G$17)))</f>
        <v/>
      </c>
      <c r="W261">
        <f>IF(OR(K261=0,K261=""),"",ABS((K261-IF($C261="LT",Config!$F$6,Config!$F$18))/IF($C261="LT",Config!$G$6,Config!$G$18)))</f>
        <v/>
      </c>
      <c r="X261">
        <f>IF(OR(L261=0,L261=""),"",ABS((L261-IF($C261="LT",Config!$F$7,Config!$F$19))/IF($C261="LT",Config!$G$7,Config!$G$19)))</f>
        <v/>
      </c>
      <c r="Y261">
        <f>IF(OR(M261=0,M261=""),"",ABS((M261-IF($C261="LT",Config!$F$8,Config!$F$20))/IF($C261="LT",Config!$G$8,Config!$G$20)))</f>
        <v/>
      </c>
      <c r="Z261">
        <f>IF(OR(N261=0,N261=""),"",ABS((N261-IF($C261="LT",Config!$F$9,Config!$F$21))/IF($C261="LT",Config!$G$9,Config!$G$21)))</f>
        <v/>
      </c>
      <c r="AA261">
        <f>IF(OR(O261=0,O261=""),"",ABS((O261-IF($C261="LT",Config!$F$10,Config!$F$22))/IF($C261="LT",Config!$G$10,Config!$G$22)))</f>
        <v/>
      </c>
      <c r="AB261">
        <f>IF(OR(P261=0,P261=""),"",ABS((P261-IF($C261="LT",Config!$F$11,Config!$F$23))/IF($C261="LT",Config!$G$11,Config!$G$23)))</f>
        <v/>
      </c>
      <c r="AC261">
        <f>IF(OR(Q261=0,Q261=""),"",ABS((Q261-IF($C261="LT",Config!$F$12,Config!$F$24))/IF($C261="LT",Config!$G$12,Config!$G$24)))</f>
        <v/>
      </c>
      <c r="AD261">
        <f>IF(OR(R261=0,R261=""),"",ABS((R261-IF($C261="LT",Config!$F$13,Config!$F$25))/IF($C261="LT",Config!$G$13,Config!$G$25)))</f>
        <v/>
      </c>
    </row>
    <row r="262">
      <c r="A262" t="inlineStr">
        <is>
          <t>04C1226120922</t>
        </is>
      </c>
      <c r="B262" t="inlineStr">
        <is>
          <t>CRS0000675</t>
        </is>
      </c>
      <c r="C262" t="inlineStr">
        <is>
          <t>LT</t>
        </is>
      </c>
      <c r="D262" t="inlineStr">
        <is>
          <t>ALX440U-DS3B01</t>
        </is>
      </c>
      <c r="E262" s="2" t="n">
        <v>46093</v>
      </c>
      <c r="F262" t="inlineStr">
        <is>
          <t>Pass</t>
        </is>
      </c>
      <c r="G262" t="n">
        <v>146.8</v>
      </c>
      <c r="H262" t="n">
        <v>94.2</v>
      </c>
      <c r="I262" t="n">
        <v>-1957.8</v>
      </c>
      <c r="J262" t="n">
        <v>66.40000000000001</v>
      </c>
      <c r="K262" t="n">
        <v>0</v>
      </c>
      <c r="L262" t="n">
        <v>0.3</v>
      </c>
      <c r="M262" t="n">
        <v>0</v>
      </c>
      <c r="N262" t="n">
        <v>66.7</v>
      </c>
      <c r="O262" t="n">
        <v>112.01</v>
      </c>
      <c r="P262" t="n">
        <v>113.48</v>
      </c>
      <c r="Q262" t="n">
        <v>7.79</v>
      </c>
      <c r="R262" t="n">
        <v>7.69</v>
      </c>
      <c r="S262">
        <f>IF(OR(G262=0,G262=""),"",ABS((G262-IF($C262="LT",Config!$F$2,Config!$F$14))/IF($C262="LT",Config!$G$2,Config!$G$14)))</f>
        <v/>
      </c>
      <c r="T262">
        <f>IF(OR(H262=0,H262=""),"",ABS((H262-IF($C262="LT",Config!$F$3,Config!$F$15))/IF($C262="LT",Config!$G$3,Config!$G$15)))</f>
        <v/>
      </c>
      <c r="U262">
        <f>IF(OR(I262=0,I262=""),"",ABS((I262-IF($C262="LT",Config!$F$4,Config!$F$16))/IF($C262="LT",Config!$G$4,Config!$G$16)))</f>
        <v/>
      </c>
      <c r="V262">
        <f>IF(OR(J262=0,J262=""),"",ABS((J262-IF($C262="LT",Config!$F$5,Config!$F$17))/IF($C262="LT",Config!$G$5,Config!$G$17)))</f>
        <v/>
      </c>
      <c r="W262">
        <f>IF(OR(K262=0,K262=""),"",ABS((K262-IF($C262="LT",Config!$F$6,Config!$F$18))/IF($C262="LT",Config!$G$6,Config!$G$18)))</f>
        <v/>
      </c>
      <c r="X262">
        <f>IF(OR(L262=0,L262=""),"",ABS((L262-IF($C262="LT",Config!$F$7,Config!$F$19))/IF($C262="LT",Config!$G$7,Config!$G$19)))</f>
        <v/>
      </c>
      <c r="Y262">
        <f>IF(OR(M262=0,M262=""),"",ABS((M262-IF($C262="LT",Config!$F$8,Config!$F$20))/IF($C262="LT",Config!$G$8,Config!$G$20)))</f>
        <v/>
      </c>
      <c r="Z262">
        <f>IF(OR(N262=0,N262=""),"",ABS((N262-IF($C262="LT",Config!$F$9,Config!$F$21))/IF($C262="LT",Config!$G$9,Config!$G$21)))</f>
        <v/>
      </c>
      <c r="AA262">
        <f>IF(OR(O262=0,O262=""),"",ABS((O262-IF($C262="LT",Config!$F$10,Config!$F$22))/IF($C262="LT",Config!$G$10,Config!$G$22)))</f>
        <v/>
      </c>
      <c r="AB262">
        <f>IF(OR(P262=0,P262=""),"",ABS((P262-IF($C262="LT",Config!$F$11,Config!$F$23))/IF($C262="LT",Config!$G$11,Config!$G$23)))</f>
        <v/>
      </c>
      <c r="AC262">
        <f>IF(OR(Q262=0,Q262=""),"",ABS((Q262-IF($C262="LT",Config!$F$12,Config!$F$24))/IF($C262="LT",Config!$G$12,Config!$G$24)))</f>
        <v/>
      </c>
      <c r="AD262">
        <f>IF(OR(R262=0,R262=""),"",ABS((R262-IF($C262="LT",Config!$F$13,Config!$F$25))/IF($C262="LT",Config!$G$13,Config!$G$25)))</f>
        <v/>
      </c>
    </row>
    <row r="263">
      <c r="A263" t="inlineStr">
        <is>
          <t>04C1226120923</t>
        </is>
      </c>
      <c r="B263" t="inlineStr">
        <is>
          <t>CRS0000675</t>
        </is>
      </c>
      <c r="C263" t="inlineStr">
        <is>
          <t>LT</t>
        </is>
      </c>
      <c r="D263" t="inlineStr">
        <is>
          <t>ALX440U-DS3B01</t>
        </is>
      </c>
      <c r="E263" s="2" t="n">
        <v>46093</v>
      </c>
      <c r="F263" t="inlineStr">
        <is>
          <t>Pass</t>
        </is>
      </c>
      <c r="G263" t="n">
        <v>146.8</v>
      </c>
      <c r="H263" t="n">
        <v>95.5</v>
      </c>
      <c r="I263" t="n">
        <v>-1957.8</v>
      </c>
      <c r="J263" t="n">
        <v>65.90000000000001</v>
      </c>
      <c r="K263" t="n">
        <v>0</v>
      </c>
      <c r="L263" t="n">
        <v>1.2</v>
      </c>
      <c r="M263" t="n">
        <v>0</v>
      </c>
      <c r="N263" t="n">
        <v>67.09999999999999</v>
      </c>
      <c r="O263" t="n">
        <v>114.94</v>
      </c>
      <c r="P263" t="n">
        <v>114.87</v>
      </c>
      <c r="Q263" t="n">
        <v>8.369999999999999</v>
      </c>
      <c r="R263" t="n">
        <v>8.130000000000001</v>
      </c>
      <c r="S263">
        <f>IF(OR(G263=0,G263=""),"",ABS((G263-IF($C263="LT",Config!$F$2,Config!$F$14))/IF($C263="LT",Config!$G$2,Config!$G$14)))</f>
        <v/>
      </c>
      <c r="T263">
        <f>IF(OR(H263=0,H263=""),"",ABS((H263-IF($C263="LT",Config!$F$3,Config!$F$15))/IF($C263="LT",Config!$G$3,Config!$G$15)))</f>
        <v/>
      </c>
      <c r="U263">
        <f>IF(OR(I263=0,I263=""),"",ABS((I263-IF($C263="LT",Config!$F$4,Config!$F$16))/IF($C263="LT",Config!$G$4,Config!$G$16)))</f>
        <v/>
      </c>
      <c r="V263">
        <f>IF(OR(J263=0,J263=""),"",ABS((J263-IF($C263="LT",Config!$F$5,Config!$F$17))/IF($C263="LT",Config!$G$5,Config!$G$17)))</f>
        <v/>
      </c>
      <c r="W263">
        <f>IF(OR(K263=0,K263=""),"",ABS((K263-IF($C263="LT",Config!$F$6,Config!$F$18))/IF($C263="LT",Config!$G$6,Config!$G$18)))</f>
        <v/>
      </c>
      <c r="X263">
        <f>IF(OR(L263=0,L263=""),"",ABS((L263-IF($C263="LT",Config!$F$7,Config!$F$19))/IF($C263="LT",Config!$G$7,Config!$G$19)))</f>
        <v/>
      </c>
      <c r="Y263">
        <f>IF(OR(M263=0,M263=""),"",ABS((M263-IF($C263="LT",Config!$F$8,Config!$F$20))/IF($C263="LT",Config!$G$8,Config!$G$20)))</f>
        <v/>
      </c>
      <c r="Z263">
        <f>IF(OR(N263=0,N263=""),"",ABS((N263-IF($C263="LT",Config!$F$9,Config!$F$21))/IF($C263="LT",Config!$G$9,Config!$G$21)))</f>
        <v/>
      </c>
      <c r="AA263">
        <f>IF(OR(O263=0,O263=""),"",ABS((O263-IF($C263="LT",Config!$F$10,Config!$F$22))/IF($C263="LT",Config!$G$10,Config!$G$22)))</f>
        <v/>
      </c>
      <c r="AB263">
        <f>IF(OR(P263=0,P263=""),"",ABS((P263-IF($C263="LT",Config!$F$11,Config!$F$23))/IF($C263="LT",Config!$G$11,Config!$G$23)))</f>
        <v/>
      </c>
      <c r="AC263">
        <f>IF(OR(Q263=0,Q263=""),"",ABS((Q263-IF($C263="LT",Config!$F$12,Config!$F$24))/IF($C263="LT",Config!$G$12,Config!$G$24)))</f>
        <v/>
      </c>
      <c r="AD263">
        <f>IF(OR(R263=0,R263=""),"",ABS((R263-IF($C263="LT",Config!$F$13,Config!$F$25))/IF($C263="LT",Config!$G$13,Config!$G$25)))</f>
        <v/>
      </c>
    </row>
    <row r="264">
      <c r="A264" t="inlineStr">
        <is>
          <t>04C1226120924</t>
        </is>
      </c>
      <c r="B264" t="inlineStr">
        <is>
          <t>CRS0000675</t>
        </is>
      </c>
      <c r="C264" t="inlineStr">
        <is>
          <t>LT</t>
        </is>
      </c>
      <c r="D264" t="inlineStr">
        <is>
          <t>ALX440U-DS3B01</t>
        </is>
      </c>
      <c r="E264" s="2" t="n">
        <v>46093</v>
      </c>
      <c r="F264" t="inlineStr">
        <is>
          <t>Pass</t>
        </is>
      </c>
      <c r="G264" t="n">
        <v>147.7</v>
      </c>
      <c r="H264" t="n">
        <v>91</v>
      </c>
      <c r="I264" t="n">
        <v>-1957.8</v>
      </c>
      <c r="J264" t="n">
        <v>65.90000000000001</v>
      </c>
      <c r="K264" t="n">
        <v>0</v>
      </c>
      <c r="L264" t="n">
        <v>0.3</v>
      </c>
      <c r="M264" t="n">
        <v>0</v>
      </c>
      <c r="N264" t="n">
        <v>66.2</v>
      </c>
      <c r="O264" t="n">
        <v>114.87</v>
      </c>
      <c r="P264" t="n">
        <v>115.09</v>
      </c>
      <c r="Q264" t="n">
        <v>8.199999999999999</v>
      </c>
      <c r="R264" t="n">
        <v>7.98</v>
      </c>
      <c r="S264">
        <f>IF(OR(G264=0,G264=""),"",ABS((G264-IF($C264="LT",Config!$F$2,Config!$F$14))/IF($C264="LT",Config!$G$2,Config!$G$14)))</f>
        <v/>
      </c>
      <c r="T264">
        <f>IF(OR(H264=0,H264=""),"",ABS((H264-IF($C264="LT",Config!$F$3,Config!$F$15))/IF($C264="LT",Config!$G$3,Config!$G$15)))</f>
        <v/>
      </c>
      <c r="U264">
        <f>IF(OR(I264=0,I264=""),"",ABS((I264-IF($C264="LT",Config!$F$4,Config!$F$16))/IF($C264="LT",Config!$G$4,Config!$G$16)))</f>
        <v/>
      </c>
      <c r="V264">
        <f>IF(OR(J264=0,J264=""),"",ABS((J264-IF($C264="LT",Config!$F$5,Config!$F$17))/IF($C264="LT",Config!$G$5,Config!$G$17)))</f>
        <v/>
      </c>
      <c r="W264">
        <f>IF(OR(K264=0,K264=""),"",ABS((K264-IF($C264="LT",Config!$F$6,Config!$F$18))/IF($C264="LT",Config!$G$6,Config!$G$18)))</f>
        <v/>
      </c>
      <c r="X264">
        <f>IF(OR(L264=0,L264=""),"",ABS((L264-IF($C264="LT",Config!$F$7,Config!$F$19))/IF($C264="LT",Config!$G$7,Config!$G$19)))</f>
        <v/>
      </c>
      <c r="Y264">
        <f>IF(OR(M264=0,M264=""),"",ABS((M264-IF($C264="LT",Config!$F$8,Config!$F$20))/IF($C264="LT",Config!$G$8,Config!$G$20)))</f>
        <v/>
      </c>
      <c r="Z264">
        <f>IF(OR(N264=0,N264=""),"",ABS((N264-IF($C264="LT",Config!$F$9,Config!$F$21))/IF($C264="LT",Config!$G$9,Config!$G$21)))</f>
        <v/>
      </c>
      <c r="AA264">
        <f>IF(OR(O264=0,O264=""),"",ABS((O264-IF($C264="LT",Config!$F$10,Config!$F$22))/IF($C264="LT",Config!$G$10,Config!$G$22)))</f>
        <v/>
      </c>
      <c r="AB264">
        <f>IF(OR(P264=0,P264=""),"",ABS((P264-IF($C264="LT",Config!$F$11,Config!$F$23))/IF($C264="LT",Config!$G$11,Config!$G$23)))</f>
        <v/>
      </c>
      <c r="AC264">
        <f>IF(OR(Q264=0,Q264=""),"",ABS((Q264-IF($C264="LT",Config!$F$12,Config!$F$24))/IF($C264="LT",Config!$G$12,Config!$G$24)))</f>
        <v/>
      </c>
      <c r="AD264">
        <f>IF(OR(R264=0,R264=""),"",ABS((R264-IF($C264="LT",Config!$F$13,Config!$F$25))/IF($C264="LT",Config!$G$13,Config!$G$25)))</f>
        <v/>
      </c>
    </row>
    <row r="265">
      <c r="A265" t="inlineStr">
        <is>
          <t>04C1226120928</t>
        </is>
      </c>
      <c r="B265" t="inlineStr">
        <is>
          <t>CRS0000675</t>
        </is>
      </c>
      <c r="C265" t="inlineStr">
        <is>
          <t>LT</t>
        </is>
      </c>
      <c r="D265" t="inlineStr">
        <is>
          <t>ALX440U-DS3B01</t>
        </is>
      </c>
      <c r="E265" s="2" t="n">
        <v>46093</v>
      </c>
      <c r="F265" t="inlineStr">
        <is>
          <t>Fail</t>
        </is>
      </c>
      <c r="G265" t="n">
        <v>147.7</v>
      </c>
      <c r="H265" t="n">
        <v>84.7</v>
      </c>
      <c r="I265" t="n">
        <v>-1957.8</v>
      </c>
      <c r="J265" t="n">
        <v>65.5</v>
      </c>
      <c r="K265" t="n">
        <v>0</v>
      </c>
      <c r="L265" t="n">
        <v>0.6</v>
      </c>
      <c r="M265" t="n">
        <v>0</v>
      </c>
      <c r="N265" t="n">
        <v>64.90000000000001</v>
      </c>
      <c r="O265" t="n">
        <v>111.86</v>
      </c>
      <c r="P265" t="n">
        <v>113.4</v>
      </c>
      <c r="Q265" t="n">
        <v>7.62</v>
      </c>
      <c r="R265" t="n">
        <v>7.37</v>
      </c>
      <c r="S265">
        <f>IF(OR(G265=0,G265=""),"",ABS((G265-IF($C265="LT",Config!$F$2,Config!$F$14))/IF($C265="LT",Config!$G$2,Config!$G$14)))</f>
        <v/>
      </c>
      <c r="T265">
        <f>IF(OR(H265=0,H265=""),"",ABS((H265-IF($C265="LT",Config!$F$3,Config!$F$15))/IF($C265="LT",Config!$G$3,Config!$G$15)))</f>
        <v/>
      </c>
      <c r="U265">
        <f>IF(OR(I265=0,I265=""),"",ABS((I265-IF($C265="LT",Config!$F$4,Config!$F$16))/IF($C265="LT",Config!$G$4,Config!$G$16)))</f>
        <v/>
      </c>
      <c r="V265">
        <f>IF(OR(J265=0,J265=""),"",ABS((J265-IF($C265="LT",Config!$F$5,Config!$F$17))/IF($C265="LT",Config!$G$5,Config!$G$17)))</f>
        <v/>
      </c>
      <c r="W265">
        <f>IF(OR(K265=0,K265=""),"",ABS((K265-IF($C265="LT",Config!$F$6,Config!$F$18))/IF($C265="LT",Config!$G$6,Config!$G$18)))</f>
        <v/>
      </c>
      <c r="X265">
        <f>IF(OR(L265=0,L265=""),"",ABS((L265-IF($C265="LT",Config!$F$7,Config!$F$19))/IF($C265="LT",Config!$G$7,Config!$G$19)))</f>
        <v/>
      </c>
      <c r="Y265">
        <f>IF(OR(M265=0,M265=""),"",ABS((M265-IF($C265="LT",Config!$F$8,Config!$F$20))/IF($C265="LT",Config!$G$8,Config!$G$20)))</f>
        <v/>
      </c>
      <c r="Z265">
        <f>IF(OR(N265=0,N265=""),"",ABS((N265-IF($C265="LT",Config!$F$9,Config!$F$21))/IF($C265="LT",Config!$G$9,Config!$G$21)))</f>
        <v/>
      </c>
      <c r="AA265">
        <f>IF(OR(O265=0,O265=""),"",ABS((O265-IF($C265="LT",Config!$F$10,Config!$F$22))/IF($C265="LT",Config!$G$10,Config!$G$22)))</f>
        <v/>
      </c>
      <c r="AB265">
        <f>IF(OR(P265=0,P265=""),"",ABS((P265-IF($C265="LT",Config!$F$11,Config!$F$23))/IF($C265="LT",Config!$G$11,Config!$G$23)))</f>
        <v/>
      </c>
      <c r="AC265">
        <f>IF(OR(Q265=0,Q265=""),"",ABS((Q265-IF($C265="LT",Config!$F$12,Config!$F$24))/IF($C265="LT",Config!$G$12,Config!$G$24)))</f>
        <v/>
      </c>
      <c r="AD265">
        <f>IF(OR(R265=0,R265=""),"",ABS((R265-IF($C265="LT",Config!$F$13,Config!$F$25))/IF($C265="LT",Config!$G$13,Config!$G$25)))</f>
        <v/>
      </c>
    </row>
    <row r="266">
      <c r="A266" t="inlineStr">
        <is>
          <t>04C1226120928</t>
        </is>
      </c>
      <c r="B266" t="inlineStr">
        <is>
          <t>CRS0000675</t>
        </is>
      </c>
      <c r="C266" t="inlineStr">
        <is>
          <t>LT</t>
        </is>
      </c>
      <c r="D266" t="inlineStr">
        <is>
          <t>ALX440U-DS3B01</t>
        </is>
      </c>
      <c r="E266" s="2" t="n">
        <v>46093</v>
      </c>
      <c r="F266" t="inlineStr">
        <is>
          <t>Fail</t>
        </is>
      </c>
      <c r="G266" t="n">
        <v>150.8</v>
      </c>
      <c r="H266" t="n">
        <v>84.3</v>
      </c>
      <c r="I266" t="n">
        <v>-1957.8</v>
      </c>
      <c r="J266" t="n">
        <v>65.5</v>
      </c>
      <c r="K266" t="n">
        <v>0</v>
      </c>
      <c r="L266" t="n">
        <v>0.7</v>
      </c>
      <c r="M266" t="n">
        <v>0</v>
      </c>
      <c r="N266" t="n">
        <v>64.8</v>
      </c>
      <c r="O266" t="n">
        <v>115.09</v>
      </c>
      <c r="P266" t="n">
        <v>115.24</v>
      </c>
      <c r="Q266" t="n">
        <v>7.01</v>
      </c>
      <c r="R266" t="n">
        <v>6.98</v>
      </c>
      <c r="S266">
        <f>IF(OR(G266=0,G266=""),"",ABS((G266-IF($C266="LT",Config!$F$2,Config!$F$14))/IF($C266="LT",Config!$G$2,Config!$G$14)))</f>
        <v/>
      </c>
      <c r="T266">
        <f>IF(OR(H266=0,H266=""),"",ABS((H266-IF($C266="LT",Config!$F$3,Config!$F$15))/IF($C266="LT",Config!$G$3,Config!$G$15)))</f>
        <v/>
      </c>
      <c r="U266">
        <f>IF(OR(I266=0,I266=""),"",ABS((I266-IF($C266="LT",Config!$F$4,Config!$F$16))/IF($C266="LT",Config!$G$4,Config!$G$16)))</f>
        <v/>
      </c>
      <c r="V266">
        <f>IF(OR(J266=0,J266=""),"",ABS((J266-IF($C266="LT",Config!$F$5,Config!$F$17))/IF($C266="LT",Config!$G$5,Config!$G$17)))</f>
        <v/>
      </c>
      <c r="W266">
        <f>IF(OR(K266=0,K266=""),"",ABS((K266-IF($C266="LT",Config!$F$6,Config!$F$18))/IF($C266="LT",Config!$G$6,Config!$G$18)))</f>
        <v/>
      </c>
      <c r="X266">
        <f>IF(OR(L266=0,L266=""),"",ABS((L266-IF($C266="LT",Config!$F$7,Config!$F$19))/IF($C266="LT",Config!$G$7,Config!$G$19)))</f>
        <v/>
      </c>
      <c r="Y266">
        <f>IF(OR(M266=0,M266=""),"",ABS((M266-IF($C266="LT",Config!$F$8,Config!$F$20))/IF($C266="LT",Config!$G$8,Config!$G$20)))</f>
        <v/>
      </c>
      <c r="Z266">
        <f>IF(OR(N266=0,N266=""),"",ABS((N266-IF($C266="LT",Config!$F$9,Config!$F$21))/IF($C266="LT",Config!$G$9,Config!$G$21)))</f>
        <v/>
      </c>
      <c r="AA266">
        <f>IF(OR(O266=0,O266=""),"",ABS((O266-IF($C266="LT",Config!$F$10,Config!$F$22))/IF($C266="LT",Config!$G$10,Config!$G$22)))</f>
        <v/>
      </c>
      <c r="AB266">
        <f>IF(OR(P266=0,P266=""),"",ABS((P266-IF($C266="LT",Config!$F$11,Config!$F$23))/IF($C266="LT",Config!$G$11,Config!$G$23)))</f>
        <v/>
      </c>
      <c r="AC266">
        <f>IF(OR(Q266=0,Q266=""),"",ABS((Q266-IF($C266="LT",Config!$F$12,Config!$F$24))/IF($C266="LT",Config!$G$12,Config!$G$24)))</f>
        <v/>
      </c>
      <c r="AD266">
        <f>IF(OR(R266=0,R266=""),"",ABS((R266-IF($C266="LT",Config!$F$13,Config!$F$25))/IF($C266="LT",Config!$G$13,Config!$G$25)))</f>
        <v/>
      </c>
    </row>
    <row r="267">
      <c r="A267" t="inlineStr">
        <is>
          <t>04C1226120928</t>
        </is>
      </c>
      <c r="B267" t="inlineStr">
        <is>
          <t>CRS0000675</t>
        </is>
      </c>
      <c r="C267" t="inlineStr">
        <is>
          <t>LT</t>
        </is>
      </c>
      <c r="D267" t="inlineStr">
        <is>
          <t>ALX440U-DS3B01</t>
        </is>
      </c>
      <c r="E267" s="2" t="n">
        <v>46093</v>
      </c>
      <c r="F267" t="inlineStr">
        <is>
          <t>Fail</t>
        </is>
      </c>
      <c r="G267" t="n">
        <v>149.9</v>
      </c>
      <c r="H267" t="n">
        <v>84.3</v>
      </c>
      <c r="I267" t="n">
        <v>-1957.8</v>
      </c>
      <c r="J267" t="n">
        <v>65.5</v>
      </c>
      <c r="K267" t="n">
        <v>0</v>
      </c>
      <c r="L267" t="n">
        <v>1</v>
      </c>
      <c r="M267" t="n">
        <v>0</v>
      </c>
      <c r="N267" t="n">
        <v>64.5</v>
      </c>
      <c r="O267" t="n">
        <v>115.46</v>
      </c>
      <c r="P267" t="n">
        <v>115.46</v>
      </c>
      <c r="Q267" t="n">
        <v>6.88</v>
      </c>
      <c r="R267" t="n">
        <v>7.1</v>
      </c>
      <c r="S267">
        <f>IF(OR(G267=0,G267=""),"",ABS((G267-IF($C267="LT",Config!$F$2,Config!$F$14))/IF($C267="LT",Config!$G$2,Config!$G$14)))</f>
        <v/>
      </c>
      <c r="T267">
        <f>IF(OR(H267=0,H267=""),"",ABS((H267-IF($C267="LT",Config!$F$3,Config!$F$15))/IF($C267="LT",Config!$G$3,Config!$G$15)))</f>
        <v/>
      </c>
      <c r="U267">
        <f>IF(OR(I267=0,I267=""),"",ABS((I267-IF($C267="LT",Config!$F$4,Config!$F$16))/IF($C267="LT",Config!$G$4,Config!$G$16)))</f>
        <v/>
      </c>
      <c r="V267">
        <f>IF(OR(J267=0,J267=""),"",ABS((J267-IF($C267="LT",Config!$F$5,Config!$F$17))/IF($C267="LT",Config!$G$5,Config!$G$17)))</f>
        <v/>
      </c>
      <c r="W267">
        <f>IF(OR(K267=0,K267=""),"",ABS((K267-IF($C267="LT",Config!$F$6,Config!$F$18))/IF($C267="LT",Config!$G$6,Config!$G$18)))</f>
        <v/>
      </c>
      <c r="X267">
        <f>IF(OR(L267=0,L267=""),"",ABS((L267-IF($C267="LT",Config!$F$7,Config!$F$19))/IF($C267="LT",Config!$G$7,Config!$G$19)))</f>
        <v/>
      </c>
      <c r="Y267">
        <f>IF(OR(M267=0,M267=""),"",ABS((M267-IF($C267="LT",Config!$F$8,Config!$F$20))/IF($C267="LT",Config!$G$8,Config!$G$20)))</f>
        <v/>
      </c>
      <c r="Z267">
        <f>IF(OR(N267=0,N267=""),"",ABS((N267-IF($C267="LT",Config!$F$9,Config!$F$21))/IF($C267="LT",Config!$G$9,Config!$G$21)))</f>
        <v/>
      </c>
      <c r="AA267">
        <f>IF(OR(O267=0,O267=""),"",ABS((O267-IF($C267="LT",Config!$F$10,Config!$F$22))/IF($C267="LT",Config!$G$10,Config!$G$22)))</f>
        <v/>
      </c>
      <c r="AB267">
        <f>IF(OR(P267=0,P267=""),"",ABS((P267-IF($C267="LT",Config!$F$11,Config!$F$23))/IF($C267="LT",Config!$G$11,Config!$G$23)))</f>
        <v/>
      </c>
      <c r="AC267">
        <f>IF(OR(Q267=0,Q267=""),"",ABS((Q267-IF($C267="LT",Config!$F$12,Config!$F$24))/IF($C267="LT",Config!$G$12,Config!$G$24)))</f>
        <v/>
      </c>
      <c r="AD267">
        <f>IF(OR(R267=0,R267=""),"",ABS((R267-IF($C267="LT",Config!$F$13,Config!$F$25))/IF($C267="LT",Config!$G$13,Config!$G$25)))</f>
        <v/>
      </c>
    </row>
    <row r="268">
      <c r="A268" t="inlineStr">
        <is>
          <t>04C1226120928</t>
        </is>
      </c>
      <c r="B268" t="inlineStr">
        <is>
          <t>CRS0000675</t>
        </is>
      </c>
      <c r="C268" t="inlineStr">
        <is>
          <t>LT</t>
        </is>
      </c>
      <c r="D268" t="inlineStr">
        <is>
          <t>ALX440U-DS3B01</t>
        </is>
      </c>
      <c r="E268" s="2" t="n">
        <v>46093</v>
      </c>
      <c r="F268" t="inlineStr">
        <is>
          <t>Pass</t>
        </is>
      </c>
      <c r="G268" t="n">
        <v>154.8</v>
      </c>
      <c r="H268" t="n">
        <v>88.3</v>
      </c>
      <c r="I268" t="n">
        <v>-1957.8</v>
      </c>
      <c r="J268" t="n">
        <v>66.40000000000001</v>
      </c>
      <c r="K268" t="n">
        <v>0</v>
      </c>
      <c r="L268" t="n">
        <v>1.2</v>
      </c>
      <c r="M268" t="n">
        <v>0</v>
      </c>
      <c r="N268" t="n">
        <v>65.2</v>
      </c>
      <c r="O268" t="n">
        <v>115.31</v>
      </c>
      <c r="P268" t="n">
        <v>115.31</v>
      </c>
      <c r="Q268" t="n">
        <v>7.1</v>
      </c>
      <c r="R268" t="n">
        <v>7.3</v>
      </c>
      <c r="S268">
        <f>IF(OR(G268=0,G268=""),"",ABS((G268-IF($C268="LT",Config!$F$2,Config!$F$14))/IF($C268="LT",Config!$G$2,Config!$G$14)))</f>
        <v/>
      </c>
      <c r="T268">
        <f>IF(OR(H268=0,H268=""),"",ABS((H268-IF($C268="LT",Config!$F$3,Config!$F$15))/IF($C268="LT",Config!$G$3,Config!$G$15)))</f>
        <v/>
      </c>
      <c r="U268">
        <f>IF(OR(I268=0,I268=""),"",ABS((I268-IF($C268="LT",Config!$F$4,Config!$F$16))/IF($C268="LT",Config!$G$4,Config!$G$16)))</f>
        <v/>
      </c>
      <c r="V268">
        <f>IF(OR(J268=0,J268=""),"",ABS((J268-IF($C268="LT",Config!$F$5,Config!$F$17))/IF($C268="LT",Config!$G$5,Config!$G$17)))</f>
        <v/>
      </c>
      <c r="W268">
        <f>IF(OR(K268=0,K268=""),"",ABS((K268-IF($C268="LT",Config!$F$6,Config!$F$18))/IF($C268="LT",Config!$G$6,Config!$G$18)))</f>
        <v/>
      </c>
      <c r="X268">
        <f>IF(OR(L268=0,L268=""),"",ABS((L268-IF($C268="LT",Config!$F$7,Config!$F$19))/IF($C268="LT",Config!$G$7,Config!$G$19)))</f>
        <v/>
      </c>
      <c r="Y268">
        <f>IF(OR(M268=0,M268=""),"",ABS((M268-IF($C268="LT",Config!$F$8,Config!$F$20))/IF($C268="LT",Config!$G$8,Config!$G$20)))</f>
        <v/>
      </c>
      <c r="Z268">
        <f>IF(OR(N268=0,N268=""),"",ABS((N268-IF($C268="LT",Config!$F$9,Config!$F$21))/IF($C268="LT",Config!$G$9,Config!$G$21)))</f>
        <v/>
      </c>
      <c r="AA268">
        <f>IF(OR(O268=0,O268=""),"",ABS((O268-IF($C268="LT",Config!$F$10,Config!$F$22))/IF($C268="LT",Config!$G$10,Config!$G$22)))</f>
        <v/>
      </c>
      <c r="AB268">
        <f>IF(OR(P268=0,P268=""),"",ABS((P268-IF($C268="LT",Config!$F$11,Config!$F$23))/IF($C268="LT",Config!$G$11,Config!$G$23)))</f>
        <v/>
      </c>
      <c r="AC268">
        <f>IF(OR(Q268=0,Q268=""),"",ABS((Q268-IF($C268="LT",Config!$F$12,Config!$F$24))/IF($C268="LT",Config!$G$12,Config!$G$24)))</f>
        <v/>
      </c>
      <c r="AD268">
        <f>IF(OR(R268=0,R268=""),"",ABS((R268-IF($C268="LT",Config!$F$13,Config!$F$25))/IF($C268="LT",Config!$G$13,Config!$G$25)))</f>
        <v/>
      </c>
    </row>
    <row r="269">
      <c r="A269" t="inlineStr">
        <is>
          <t>04C1226120925</t>
        </is>
      </c>
      <c r="B269" t="inlineStr">
        <is>
          <t>CRS0000675</t>
        </is>
      </c>
      <c r="C269" t="inlineStr">
        <is>
          <t>LT</t>
        </is>
      </c>
      <c r="D269" t="inlineStr">
        <is>
          <t>ALX440U-DS3B01</t>
        </is>
      </c>
      <c r="E269" s="2" t="n">
        <v>46093</v>
      </c>
      <c r="F269" t="inlineStr">
        <is>
          <t>Fail</t>
        </is>
      </c>
      <c r="G269" t="n">
        <v>144.6</v>
      </c>
      <c r="H269" t="n">
        <v>84.7</v>
      </c>
      <c r="I269" t="n">
        <v>-1957.8</v>
      </c>
      <c r="J269" t="n">
        <v>66.40000000000001</v>
      </c>
      <c r="K269" t="n">
        <v>0</v>
      </c>
      <c r="L269" t="n">
        <v>1.8</v>
      </c>
      <c r="M269" t="n">
        <v>0</v>
      </c>
      <c r="N269" t="n">
        <v>64.59999999999999</v>
      </c>
      <c r="O269" t="n">
        <v>111.94</v>
      </c>
      <c r="P269" t="n">
        <v>113.48</v>
      </c>
      <c r="Q269" t="n">
        <v>7.62</v>
      </c>
      <c r="R269" t="n">
        <v>7.28</v>
      </c>
      <c r="S269">
        <f>IF(OR(G269=0,G269=""),"",ABS((G269-IF($C269="LT",Config!$F$2,Config!$F$14))/IF($C269="LT",Config!$G$2,Config!$G$14)))</f>
        <v/>
      </c>
      <c r="T269">
        <f>IF(OR(H269=0,H269=""),"",ABS((H269-IF($C269="LT",Config!$F$3,Config!$F$15))/IF($C269="LT",Config!$G$3,Config!$G$15)))</f>
        <v/>
      </c>
      <c r="U269">
        <f>IF(OR(I269=0,I269=""),"",ABS((I269-IF($C269="LT",Config!$F$4,Config!$F$16))/IF($C269="LT",Config!$G$4,Config!$G$16)))</f>
        <v/>
      </c>
      <c r="V269">
        <f>IF(OR(J269=0,J269=""),"",ABS((J269-IF($C269="LT",Config!$F$5,Config!$F$17))/IF($C269="LT",Config!$G$5,Config!$G$17)))</f>
        <v/>
      </c>
      <c r="W269">
        <f>IF(OR(K269=0,K269=""),"",ABS((K269-IF($C269="LT",Config!$F$6,Config!$F$18))/IF($C269="LT",Config!$G$6,Config!$G$18)))</f>
        <v/>
      </c>
      <c r="X269">
        <f>IF(OR(L269=0,L269=""),"",ABS((L269-IF($C269="LT",Config!$F$7,Config!$F$19))/IF($C269="LT",Config!$G$7,Config!$G$19)))</f>
        <v/>
      </c>
      <c r="Y269">
        <f>IF(OR(M269=0,M269=""),"",ABS((M269-IF($C269="LT",Config!$F$8,Config!$F$20))/IF($C269="LT",Config!$G$8,Config!$G$20)))</f>
        <v/>
      </c>
      <c r="Z269">
        <f>IF(OR(N269=0,N269=""),"",ABS((N269-IF($C269="LT",Config!$F$9,Config!$F$21))/IF($C269="LT",Config!$G$9,Config!$G$21)))</f>
        <v/>
      </c>
      <c r="AA269">
        <f>IF(OR(O269=0,O269=""),"",ABS((O269-IF($C269="LT",Config!$F$10,Config!$F$22))/IF($C269="LT",Config!$G$10,Config!$G$22)))</f>
        <v/>
      </c>
      <c r="AB269">
        <f>IF(OR(P269=0,P269=""),"",ABS((P269-IF($C269="LT",Config!$F$11,Config!$F$23))/IF($C269="LT",Config!$G$11,Config!$G$23)))</f>
        <v/>
      </c>
      <c r="AC269">
        <f>IF(OR(Q269=0,Q269=""),"",ABS((Q269-IF($C269="LT",Config!$F$12,Config!$F$24))/IF($C269="LT",Config!$G$12,Config!$G$24)))</f>
        <v/>
      </c>
      <c r="AD269">
        <f>IF(OR(R269=0,R269=""),"",ABS((R269-IF($C269="LT",Config!$F$13,Config!$F$25))/IF($C269="LT",Config!$G$13,Config!$G$25)))</f>
        <v/>
      </c>
    </row>
    <row r="270">
      <c r="A270" t="inlineStr">
        <is>
          <t>04C1226120925</t>
        </is>
      </c>
      <c r="B270" t="inlineStr">
        <is>
          <t>CRS0000675</t>
        </is>
      </c>
      <c r="C270" t="inlineStr">
        <is>
          <t>LT</t>
        </is>
      </c>
      <c r="D270" t="inlineStr">
        <is>
          <t>ALX440U-DS3B01</t>
        </is>
      </c>
      <c r="E270" s="2" t="n">
        <v>46093</v>
      </c>
      <c r="F270" t="inlineStr">
        <is>
          <t>Pass</t>
        </is>
      </c>
      <c r="G270" t="n">
        <v>150.8</v>
      </c>
      <c r="H270" t="n">
        <v>90.09999999999999</v>
      </c>
      <c r="I270" t="n">
        <v>-1957.8</v>
      </c>
      <c r="J270" t="n">
        <v>66.40000000000001</v>
      </c>
      <c r="K270" t="n">
        <v>0</v>
      </c>
      <c r="L270" t="n">
        <v>0.2</v>
      </c>
      <c r="M270" t="n">
        <v>0</v>
      </c>
      <c r="N270" t="n">
        <v>66.2</v>
      </c>
      <c r="O270" t="n">
        <v>112.08</v>
      </c>
      <c r="P270" t="n">
        <v>113.62</v>
      </c>
      <c r="Q270" t="n">
        <v>7.28</v>
      </c>
      <c r="R270" t="n">
        <v>7.35</v>
      </c>
      <c r="S270">
        <f>IF(OR(G270=0,G270=""),"",ABS((G270-IF($C270="LT",Config!$F$2,Config!$F$14))/IF($C270="LT",Config!$G$2,Config!$G$14)))</f>
        <v/>
      </c>
      <c r="T270">
        <f>IF(OR(H270=0,H270=""),"",ABS((H270-IF($C270="LT",Config!$F$3,Config!$F$15))/IF($C270="LT",Config!$G$3,Config!$G$15)))</f>
        <v/>
      </c>
      <c r="U270">
        <f>IF(OR(I270=0,I270=""),"",ABS((I270-IF($C270="LT",Config!$F$4,Config!$F$16))/IF($C270="LT",Config!$G$4,Config!$G$16)))</f>
        <v/>
      </c>
      <c r="V270">
        <f>IF(OR(J270=0,J270=""),"",ABS((J270-IF($C270="LT",Config!$F$5,Config!$F$17))/IF($C270="LT",Config!$G$5,Config!$G$17)))</f>
        <v/>
      </c>
      <c r="W270">
        <f>IF(OR(K270=0,K270=""),"",ABS((K270-IF($C270="LT",Config!$F$6,Config!$F$18))/IF($C270="LT",Config!$G$6,Config!$G$18)))</f>
        <v/>
      </c>
      <c r="X270">
        <f>IF(OR(L270=0,L270=""),"",ABS((L270-IF($C270="LT",Config!$F$7,Config!$F$19))/IF($C270="LT",Config!$G$7,Config!$G$19)))</f>
        <v/>
      </c>
      <c r="Y270">
        <f>IF(OR(M270=0,M270=""),"",ABS((M270-IF($C270="LT",Config!$F$8,Config!$F$20))/IF($C270="LT",Config!$G$8,Config!$G$20)))</f>
        <v/>
      </c>
      <c r="Z270">
        <f>IF(OR(N270=0,N270=""),"",ABS((N270-IF($C270="LT",Config!$F$9,Config!$F$21))/IF($C270="LT",Config!$G$9,Config!$G$21)))</f>
        <v/>
      </c>
      <c r="AA270">
        <f>IF(OR(O270=0,O270=""),"",ABS((O270-IF($C270="LT",Config!$F$10,Config!$F$22))/IF($C270="LT",Config!$G$10,Config!$G$22)))</f>
        <v/>
      </c>
      <c r="AB270">
        <f>IF(OR(P270=0,P270=""),"",ABS((P270-IF($C270="LT",Config!$F$11,Config!$F$23))/IF($C270="LT",Config!$G$11,Config!$G$23)))</f>
        <v/>
      </c>
      <c r="AC270">
        <f>IF(OR(Q270=0,Q270=""),"",ABS((Q270-IF($C270="LT",Config!$F$12,Config!$F$24))/IF($C270="LT",Config!$G$12,Config!$G$24)))</f>
        <v/>
      </c>
      <c r="AD270">
        <f>IF(OR(R270=0,R270=""),"",ABS((R270-IF($C270="LT",Config!$F$13,Config!$F$25))/IF($C270="LT",Config!$G$13,Config!$G$25)))</f>
        <v/>
      </c>
    </row>
    <row r="271">
      <c r="A271" t="inlineStr">
        <is>
          <t>04C1226120926</t>
        </is>
      </c>
      <c r="B271" t="inlineStr">
        <is>
          <t>CRS0000674</t>
        </is>
      </c>
      <c r="C271" t="inlineStr">
        <is>
          <t>MT</t>
        </is>
      </c>
      <c r="D271" t="inlineStr">
        <is>
          <t>TCX413U-DS1B01</t>
        </is>
      </c>
      <c r="E271" s="2" t="n">
        <v>46093</v>
      </c>
      <c r="F271" t="inlineStr">
        <is>
          <t>Fail</t>
        </is>
      </c>
      <c r="G271" t="n">
        <v>104.8</v>
      </c>
      <c r="H271" t="n">
        <v>76.59999999999999</v>
      </c>
      <c r="I271" t="n">
        <v>-1957.8</v>
      </c>
      <c r="J271" t="n">
        <v>65.90000000000001</v>
      </c>
      <c r="K271" t="n">
        <v>0</v>
      </c>
      <c r="L271" t="n">
        <v>1.2</v>
      </c>
      <c r="M271" t="n">
        <v>0</v>
      </c>
      <c r="N271" t="n">
        <v>64.7</v>
      </c>
      <c r="O271" t="n">
        <v>115.68</v>
      </c>
      <c r="P271" t="n">
        <v>117.22</v>
      </c>
      <c r="Q271" t="n">
        <v>3.69</v>
      </c>
      <c r="R271" t="n">
        <v>3.74</v>
      </c>
      <c r="S271">
        <f>IF(OR(G271=0,G271=""),"",ABS((G271-IF($C271="LT",Config!$F$2,Config!$F$14))/IF($C271="LT",Config!$G$2,Config!$G$14)))</f>
        <v/>
      </c>
      <c r="T271">
        <f>IF(OR(H271=0,H271=""),"",ABS((H271-IF($C271="LT",Config!$F$3,Config!$F$15))/IF($C271="LT",Config!$G$3,Config!$G$15)))</f>
        <v/>
      </c>
      <c r="U271">
        <f>IF(OR(I271=0,I271=""),"",ABS((I271-IF($C271="LT",Config!$F$4,Config!$F$16))/IF($C271="LT",Config!$G$4,Config!$G$16)))</f>
        <v/>
      </c>
      <c r="V271">
        <f>IF(OR(J271=0,J271=""),"",ABS((J271-IF($C271="LT",Config!$F$5,Config!$F$17))/IF($C271="LT",Config!$G$5,Config!$G$17)))</f>
        <v/>
      </c>
      <c r="W271">
        <f>IF(OR(K271=0,K271=""),"",ABS((K271-IF($C271="LT",Config!$F$6,Config!$F$18))/IF($C271="LT",Config!$G$6,Config!$G$18)))</f>
        <v/>
      </c>
      <c r="X271">
        <f>IF(OR(L271=0,L271=""),"",ABS((L271-IF($C271="LT",Config!$F$7,Config!$F$19))/IF($C271="LT",Config!$G$7,Config!$G$19)))</f>
        <v/>
      </c>
      <c r="Y271">
        <f>IF(OR(M271=0,M271=""),"",ABS((M271-IF($C271="LT",Config!$F$8,Config!$F$20))/IF($C271="LT",Config!$G$8,Config!$G$20)))</f>
        <v/>
      </c>
      <c r="Z271">
        <f>IF(OR(N271=0,N271=""),"",ABS((N271-IF($C271="LT",Config!$F$9,Config!$F$21))/IF($C271="LT",Config!$G$9,Config!$G$21)))</f>
        <v/>
      </c>
      <c r="AA271">
        <f>IF(OR(O271=0,O271=""),"",ABS((O271-IF($C271="LT",Config!$F$10,Config!$F$22))/IF($C271="LT",Config!$G$10,Config!$G$22)))</f>
        <v/>
      </c>
      <c r="AB271">
        <f>IF(OR(P271=0,P271=""),"",ABS((P271-IF($C271="LT",Config!$F$11,Config!$F$23))/IF($C271="LT",Config!$G$11,Config!$G$23)))</f>
        <v/>
      </c>
      <c r="AC271">
        <f>IF(OR(Q271=0,Q271=""),"",ABS((Q271-IF($C271="LT",Config!$F$12,Config!$F$24))/IF($C271="LT",Config!$G$12,Config!$G$24)))</f>
        <v/>
      </c>
      <c r="AD271">
        <f>IF(OR(R271=0,R271=""),"",ABS((R271-IF($C271="LT",Config!$F$13,Config!$F$25))/IF($C271="LT",Config!$G$13,Config!$G$25)))</f>
        <v/>
      </c>
    </row>
    <row r="272">
      <c r="A272" t="inlineStr">
        <is>
          <t>04C1226120926</t>
        </is>
      </c>
      <c r="B272" t="inlineStr">
        <is>
          <t>CRS0000674</t>
        </is>
      </c>
      <c r="C272" t="inlineStr">
        <is>
          <t>MT</t>
        </is>
      </c>
      <c r="D272" t="inlineStr">
        <is>
          <t>TCX413U-DS1B01</t>
        </is>
      </c>
      <c r="E272" s="2" t="n">
        <v>46093</v>
      </c>
      <c r="F272" t="inlineStr">
        <is>
          <t>Fail</t>
        </is>
      </c>
      <c r="G272" t="n">
        <v>112</v>
      </c>
      <c r="H272" t="n">
        <v>77</v>
      </c>
      <c r="I272" t="n">
        <v>-1957.8</v>
      </c>
      <c r="J272" t="n">
        <v>65.90000000000001</v>
      </c>
      <c r="K272" t="n">
        <v>0</v>
      </c>
      <c r="L272" t="n">
        <v>1.1</v>
      </c>
      <c r="M272" t="n">
        <v>0</v>
      </c>
      <c r="N272" t="n">
        <v>64.8</v>
      </c>
      <c r="O272" t="n">
        <v>115.6</v>
      </c>
      <c r="P272" t="n">
        <v>113.99</v>
      </c>
      <c r="Q272" t="n">
        <v>3.74</v>
      </c>
      <c r="R272" t="n">
        <v>3.78</v>
      </c>
      <c r="S272">
        <f>IF(OR(G272=0,G272=""),"",ABS((G272-IF($C272="LT",Config!$F$2,Config!$F$14))/IF($C272="LT",Config!$G$2,Config!$G$14)))</f>
        <v/>
      </c>
      <c r="T272">
        <f>IF(OR(H272=0,H272=""),"",ABS((H272-IF($C272="LT",Config!$F$3,Config!$F$15))/IF($C272="LT",Config!$G$3,Config!$G$15)))</f>
        <v/>
      </c>
      <c r="U272">
        <f>IF(OR(I272=0,I272=""),"",ABS((I272-IF($C272="LT",Config!$F$4,Config!$F$16))/IF($C272="LT",Config!$G$4,Config!$G$16)))</f>
        <v/>
      </c>
      <c r="V272">
        <f>IF(OR(J272=0,J272=""),"",ABS((J272-IF($C272="LT",Config!$F$5,Config!$F$17))/IF($C272="LT",Config!$G$5,Config!$G$17)))</f>
        <v/>
      </c>
      <c r="W272">
        <f>IF(OR(K272=0,K272=""),"",ABS((K272-IF($C272="LT",Config!$F$6,Config!$F$18))/IF($C272="LT",Config!$G$6,Config!$G$18)))</f>
        <v/>
      </c>
      <c r="X272">
        <f>IF(OR(L272=0,L272=""),"",ABS((L272-IF($C272="LT",Config!$F$7,Config!$F$19))/IF($C272="LT",Config!$G$7,Config!$G$19)))</f>
        <v/>
      </c>
      <c r="Y272">
        <f>IF(OR(M272=0,M272=""),"",ABS((M272-IF($C272="LT",Config!$F$8,Config!$F$20))/IF($C272="LT",Config!$G$8,Config!$G$20)))</f>
        <v/>
      </c>
      <c r="Z272">
        <f>IF(OR(N272=0,N272=""),"",ABS((N272-IF($C272="LT",Config!$F$9,Config!$F$21))/IF($C272="LT",Config!$G$9,Config!$G$21)))</f>
        <v/>
      </c>
      <c r="AA272">
        <f>IF(OR(O272=0,O272=""),"",ABS((O272-IF($C272="LT",Config!$F$10,Config!$F$22))/IF($C272="LT",Config!$G$10,Config!$G$22)))</f>
        <v/>
      </c>
      <c r="AB272">
        <f>IF(OR(P272=0,P272=""),"",ABS((P272-IF($C272="LT",Config!$F$11,Config!$F$23))/IF($C272="LT",Config!$G$11,Config!$G$23)))</f>
        <v/>
      </c>
      <c r="AC272">
        <f>IF(OR(Q272=0,Q272=""),"",ABS((Q272-IF($C272="LT",Config!$F$12,Config!$F$24))/IF($C272="LT",Config!$G$12,Config!$G$24)))</f>
        <v/>
      </c>
      <c r="AD272">
        <f>IF(OR(R272=0,R272=""),"",ABS((R272-IF($C272="LT",Config!$F$13,Config!$F$25))/IF($C272="LT",Config!$G$13,Config!$G$25)))</f>
        <v/>
      </c>
    </row>
    <row r="273">
      <c r="A273" t="inlineStr">
        <is>
          <t>04C1226120926</t>
        </is>
      </c>
      <c r="B273" t="inlineStr">
        <is>
          <t>CRS0000674</t>
        </is>
      </c>
      <c r="C273" t="inlineStr">
        <is>
          <t>MT</t>
        </is>
      </c>
      <c r="D273" t="inlineStr">
        <is>
          <t>TCX413U-DS1B01</t>
        </is>
      </c>
      <c r="E273" s="2" t="n">
        <v>46093</v>
      </c>
      <c r="F273" t="inlineStr">
        <is>
          <t>Pass</t>
        </is>
      </c>
      <c r="G273" t="n">
        <v>113.7</v>
      </c>
      <c r="H273" t="n">
        <v>76.09999999999999</v>
      </c>
      <c r="I273" t="n">
        <v>-1957.8</v>
      </c>
      <c r="J273" t="n">
        <v>65.90000000000001</v>
      </c>
      <c r="K273" t="n">
        <v>0</v>
      </c>
      <c r="L273" t="n">
        <v>0.4</v>
      </c>
      <c r="M273" t="n">
        <v>0</v>
      </c>
      <c r="N273" t="n">
        <v>66.3</v>
      </c>
      <c r="O273" t="n">
        <v>115.75</v>
      </c>
      <c r="P273" t="n">
        <v>117.36</v>
      </c>
      <c r="Q273" t="n">
        <v>3.83</v>
      </c>
      <c r="R273" t="n">
        <v>3.83</v>
      </c>
      <c r="S273">
        <f>IF(OR(G273=0,G273=""),"",ABS((G273-IF($C273="LT",Config!$F$2,Config!$F$14))/IF($C273="LT",Config!$G$2,Config!$G$14)))</f>
        <v/>
      </c>
      <c r="T273">
        <f>IF(OR(H273=0,H273=""),"",ABS((H273-IF($C273="LT",Config!$F$3,Config!$F$15))/IF($C273="LT",Config!$G$3,Config!$G$15)))</f>
        <v/>
      </c>
      <c r="U273">
        <f>IF(OR(I273=0,I273=""),"",ABS((I273-IF($C273="LT",Config!$F$4,Config!$F$16))/IF($C273="LT",Config!$G$4,Config!$G$16)))</f>
        <v/>
      </c>
      <c r="V273">
        <f>IF(OR(J273=0,J273=""),"",ABS((J273-IF($C273="LT",Config!$F$5,Config!$F$17))/IF($C273="LT",Config!$G$5,Config!$G$17)))</f>
        <v/>
      </c>
      <c r="W273">
        <f>IF(OR(K273=0,K273=""),"",ABS((K273-IF($C273="LT",Config!$F$6,Config!$F$18))/IF($C273="LT",Config!$G$6,Config!$G$18)))</f>
        <v/>
      </c>
      <c r="X273">
        <f>IF(OR(L273=0,L273=""),"",ABS((L273-IF($C273="LT",Config!$F$7,Config!$F$19))/IF($C273="LT",Config!$G$7,Config!$G$19)))</f>
        <v/>
      </c>
      <c r="Y273">
        <f>IF(OR(M273=0,M273=""),"",ABS((M273-IF($C273="LT",Config!$F$8,Config!$F$20))/IF($C273="LT",Config!$G$8,Config!$G$20)))</f>
        <v/>
      </c>
      <c r="Z273">
        <f>IF(OR(N273=0,N273=""),"",ABS((N273-IF($C273="LT",Config!$F$9,Config!$F$21))/IF($C273="LT",Config!$G$9,Config!$G$21)))</f>
        <v/>
      </c>
      <c r="AA273">
        <f>IF(OR(O273=0,O273=""),"",ABS((O273-IF($C273="LT",Config!$F$10,Config!$F$22))/IF($C273="LT",Config!$G$10,Config!$G$22)))</f>
        <v/>
      </c>
      <c r="AB273">
        <f>IF(OR(P273=0,P273=""),"",ABS((P273-IF($C273="LT",Config!$F$11,Config!$F$23))/IF($C273="LT",Config!$G$11,Config!$G$23)))</f>
        <v/>
      </c>
      <c r="AC273">
        <f>IF(OR(Q273=0,Q273=""),"",ABS((Q273-IF($C273="LT",Config!$F$12,Config!$F$24))/IF($C273="LT",Config!$G$12,Config!$G$24)))</f>
        <v/>
      </c>
      <c r="AD273">
        <f>IF(OR(R273=0,R273=""),"",ABS((R273-IF($C273="LT",Config!$F$13,Config!$F$25))/IF($C273="LT",Config!$G$13,Config!$G$25)))</f>
        <v/>
      </c>
    </row>
    <row r="274">
      <c r="A274" t="inlineStr">
        <is>
          <t>04C1226120927</t>
        </is>
      </c>
      <c r="B274" t="inlineStr">
        <is>
          <t>CRS0000674</t>
        </is>
      </c>
      <c r="C274" t="inlineStr">
        <is>
          <t>MT</t>
        </is>
      </c>
      <c r="D274" t="inlineStr">
        <is>
          <t>TCX413U-DS1B01</t>
        </is>
      </c>
      <c r="E274" s="2" t="n">
        <v>46093</v>
      </c>
      <c r="F274" t="inlineStr">
        <is>
          <t>Pass</t>
        </is>
      </c>
      <c r="G274" t="n">
        <v>111.5</v>
      </c>
      <c r="H274" t="n">
        <v>79.3</v>
      </c>
      <c r="I274" t="n">
        <v>-1957.8</v>
      </c>
      <c r="J274" t="n">
        <v>68.59999999999999</v>
      </c>
      <c r="K274" t="n">
        <v>0</v>
      </c>
      <c r="L274" t="n">
        <v>1.1</v>
      </c>
      <c r="M274" t="n">
        <v>0</v>
      </c>
      <c r="N274" t="n">
        <v>67.5</v>
      </c>
      <c r="O274" t="n">
        <v>114.87</v>
      </c>
      <c r="P274" t="n">
        <v>115.02</v>
      </c>
      <c r="Q274" t="n">
        <v>3.66</v>
      </c>
      <c r="R274" t="n">
        <v>3.76</v>
      </c>
      <c r="S274">
        <f>IF(OR(G274=0,G274=""),"",ABS((G274-IF($C274="LT",Config!$F$2,Config!$F$14))/IF($C274="LT",Config!$G$2,Config!$G$14)))</f>
        <v/>
      </c>
      <c r="T274">
        <f>IF(OR(H274=0,H274=""),"",ABS((H274-IF($C274="LT",Config!$F$3,Config!$F$15))/IF($C274="LT",Config!$G$3,Config!$G$15)))</f>
        <v/>
      </c>
      <c r="U274">
        <f>IF(OR(I274=0,I274=""),"",ABS((I274-IF($C274="LT",Config!$F$4,Config!$F$16))/IF($C274="LT",Config!$G$4,Config!$G$16)))</f>
        <v/>
      </c>
      <c r="V274">
        <f>IF(OR(J274=0,J274=""),"",ABS((J274-IF($C274="LT",Config!$F$5,Config!$F$17))/IF($C274="LT",Config!$G$5,Config!$G$17)))</f>
        <v/>
      </c>
      <c r="W274">
        <f>IF(OR(K274=0,K274=""),"",ABS((K274-IF($C274="LT",Config!$F$6,Config!$F$18))/IF($C274="LT",Config!$G$6,Config!$G$18)))</f>
        <v/>
      </c>
      <c r="X274">
        <f>IF(OR(L274=0,L274=""),"",ABS((L274-IF($C274="LT",Config!$F$7,Config!$F$19))/IF($C274="LT",Config!$G$7,Config!$G$19)))</f>
        <v/>
      </c>
      <c r="Y274">
        <f>IF(OR(M274=0,M274=""),"",ABS((M274-IF($C274="LT",Config!$F$8,Config!$F$20))/IF($C274="LT",Config!$G$8,Config!$G$20)))</f>
        <v/>
      </c>
      <c r="Z274">
        <f>IF(OR(N274=0,N274=""),"",ABS((N274-IF($C274="LT",Config!$F$9,Config!$F$21))/IF($C274="LT",Config!$G$9,Config!$G$21)))</f>
        <v/>
      </c>
      <c r="AA274">
        <f>IF(OR(O274=0,O274=""),"",ABS((O274-IF($C274="LT",Config!$F$10,Config!$F$22))/IF($C274="LT",Config!$G$10,Config!$G$22)))</f>
        <v/>
      </c>
      <c r="AB274">
        <f>IF(OR(P274=0,P274=""),"",ABS((P274-IF($C274="LT",Config!$F$11,Config!$F$23))/IF($C274="LT",Config!$G$11,Config!$G$23)))</f>
        <v/>
      </c>
      <c r="AC274">
        <f>IF(OR(Q274=0,Q274=""),"",ABS((Q274-IF($C274="LT",Config!$F$12,Config!$F$24))/IF($C274="LT",Config!$G$12,Config!$G$24)))</f>
        <v/>
      </c>
      <c r="AD274">
        <f>IF(OR(R274=0,R274=""),"",ABS((R274-IF($C274="LT",Config!$F$13,Config!$F$25))/IF($C274="LT",Config!$G$13,Config!$G$25)))</f>
        <v/>
      </c>
    </row>
    <row r="275">
      <c r="A275" t="inlineStr">
        <is>
          <t>04C1226120929</t>
        </is>
      </c>
      <c r="B275" t="inlineStr">
        <is>
          <t>CRS0000674</t>
        </is>
      </c>
      <c r="C275" t="inlineStr">
        <is>
          <t>MT</t>
        </is>
      </c>
      <c r="D275" t="inlineStr">
        <is>
          <t>TCX413U-DS1B01</t>
        </is>
      </c>
      <c r="E275" s="2" t="n">
        <v>46093</v>
      </c>
      <c r="F275" t="inlineStr">
        <is>
          <t>Fail</t>
        </is>
      </c>
      <c r="G275" t="n">
        <v>110.6</v>
      </c>
      <c r="H275" t="n">
        <v>76.09999999999999</v>
      </c>
      <c r="I275" t="n">
        <v>-1957.8</v>
      </c>
      <c r="J275" t="n">
        <v>66.8</v>
      </c>
      <c r="K275" t="n">
        <v>0</v>
      </c>
      <c r="L275" t="n">
        <v>2.4</v>
      </c>
      <c r="M275" t="n">
        <v>0</v>
      </c>
      <c r="N275" t="n">
        <v>64.40000000000001</v>
      </c>
      <c r="O275" t="n">
        <v>112.23</v>
      </c>
      <c r="P275" t="n">
        <v>116.92</v>
      </c>
      <c r="Q275" t="n">
        <v>3.74</v>
      </c>
      <c r="R275" t="n">
        <v>3.76</v>
      </c>
      <c r="S275">
        <f>IF(OR(G275=0,G275=""),"",ABS((G275-IF($C275="LT",Config!$F$2,Config!$F$14))/IF($C275="LT",Config!$G$2,Config!$G$14)))</f>
        <v/>
      </c>
      <c r="T275">
        <f>IF(OR(H275=0,H275=""),"",ABS((H275-IF($C275="LT",Config!$F$3,Config!$F$15))/IF($C275="LT",Config!$G$3,Config!$G$15)))</f>
        <v/>
      </c>
      <c r="U275">
        <f>IF(OR(I275=0,I275=""),"",ABS((I275-IF($C275="LT",Config!$F$4,Config!$F$16))/IF($C275="LT",Config!$G$4,Config!$G$16)))</f>
        <v/>
      </c>
      <c r="V275">
        <f>IF(OR(J275=0,J275=""),"",ABS((J275-IF($C275="LT",Config!$F$5,Config!$F$17))/IF($C275="LT",Config!$G$5,Config!$G$17)))</f>
        <v/>
      </c>
      <c r="W275">
        <f>IF(OR(K275=0,K275=""),"",ABS((K275-IF($C275="LT",Config!$F$6,Config!$F$18))/IF($C275="LT",Config!$G$6,Config!$G$18)))</f>
        <v/>
      </c>
      <c r="X275">
        <f>IF(OR(L275=0,L275=""),"",ABS((L275-IF($C275="LT",Config!$F$7,Config!$F$19))/IF($C275="LT",Config!$G$7,Config!$G$19)))</f>
        <v/>
      </c>
      <c r="Y275">
        <f>IF(OR(M275=0,M275=""),"",ABS((M275-IF($C275="LT",Config!$F$8,Config!$F$20))/IF($C275="LT",Config!$G$8,Config!$G$20)))</f>
        <v/>
      </c>
      <c r="Z275">
        <f>IF(OR(N275=0,N275=""),"",ABS((N275-IF($C275="LT",Config!$F$9,Config!$F$21))/IF($C275="LT",Config!$G$9,Config!$G$21)))</f>
        <v/>
      </c>
      <c r="AA275">
        <f>IF(OR(O275=0,O275=""),"",ABS((O275-IF($C275="LT",Config!$F$10,Config!$F$22))/IF($C275="LT",Config!$G$10,Config!$G$22)))</f>
        <v/>
      </c>
      <c r="AB275">
        <f>IF(OR(P275=0,P275=""),"",ABS((P275-IF($C275="LT",Config!$F$11,Config!$F$23))/IF($C275="LT",Config!$G$11,Config!$G$23)))</f>
        <v/>
      </c>
      <c r="AC275">
        <f>IF(OR(Q275=0,Q275=""),"",ABS((Q275-IF($C275="LT",Config!$F$12,Config!$F$24))/IF($C275="LT",Config!$G$12,Config!$G$24)))</f>
        <v/>
      </c>
      <c r="AD275">
        <f>IF(OR(R275=0,R275=""),"",ABS((R275-IF($C275="LT",Config!$F$13,Config!$F$25))/IF($C275="LT",Config!$G$13,Config!$G$25)))</f>
        <v/>
      </c>
    </row>
    <row r="276">
      <c r="A276" t="inlineStr">
        <is>
          <t>04C1226120929</t>
        </is>
      </c>
      <c r="B276" t="inlineStr">
        <is>
          <t>CRS0000674</t>
        </is>
      </c>
      <c r="C276" t="inlineStr">
        <is>
          <t>MT</t>
        </is>
      </c>
      <c r="D276" t="inlineStr">
        <is>
          <t>TCX413U-DS1B01</t>
        </is>
      </c>
      <c r="E276" s="2" t="n">
        <v>46093</v>
      </c>
      <c r="F276" t="inlineStr">
        <is>
          <t>Pass</t>
        </is>
      </c>
      <c r="G276" t="n">
        <v>112</v>
      </c>
      <c r="H276" t="n">
        <v>78.90000000000001</v>
      </c>
      <c r="I276" t="n">
        <v>-1957.8</v>
      </c>
      <c r="J276" t="n">
        <v>66.8</v>
      </c>
      <c r="K276" t="n">
        <v>0</v>
      </c>
      <c r="L276" t="n">
        <v>0.2</v>
      </c>
      <c r="M276" t="n">
        <v>0</v>
      </c>
      <c r="N276" t="n">
        <v>66.59999999999999</v>
      </c>
      <c r="O276" t="n">
        <v>112.3</v>
      </c>
      <c r="P276" t="n">
        <v>116.92</v>
      </c>
      <c r="Q276" t="n">
        <v>3.78</v>
      </c>
      <c r="R276" t="n">
        <v>3.74</v>
      </c>
      <c r="S276">
        <f>IF(OR(G276=0,G276=""),"",ABS((G276-IF($C276="LT",Config!$F$2,Config!$F$14))/IF($C276="LT",Config!$G$2,Config!$G$14)))</f>
        <v/>
      </c>
      <c r="T276">
        <f>IF(OR(H276=0,H276=""),"",ABS((H276-IF($C276="LT",Config!$F$3,Config!$F$15))/IF($C276="LT",Config!$G$3,Config!$G$15)))</f>
        <v/>
      </c>
      <c r="U276">
        <f>IF(OR(I276=0,I276=""),"",ABS((I276-IF($C276="LT",Config!$F$4,Config!$F$16))/IF($C276="LT",Config!$G$4,Config!$G$16)))</f>
        <v/>
      </c>
      <c r="V276">
        <f>IF(OR(J276=0,J276=""),"",ABS((J276-IF($C276="LT",Config!$F$5,Config!$F$17))/IF($C276="LT",Config!$G$5,Config!$G$17)))</f>
        <v/>
      </c>
      <c r="W276">
        <f>IF(OR(K276=0,K276=""),"",ABS((K276-IF($C276="LT",Config!$F$6,Config!$F$18))/IF($C276="LT",Config!$G$6,Config!$G$18)))</f>
        <v/>
      </c>
      <c r="X276">
        <f>IF(OR(L276=0,L276=""),"",ABS((L276-IF($C276="LT",Config!$F$7,Config!$F$19))/IF($C276="LT",Config!$G$7,Config!$G$19)))</f>
        <v/>
      </c>
      <c r="Y276">
        <f>IF(OR(M276=0,M276=""),"",ABS((M276-IF($C276="LT",Config!$F$8,Config!$F$20))/IF($C276="LT",Config!$G$8,Config!$G$20)))</f>
        <v/>
      </c>
      <c r="Z276">
        <f>IF(OR(N276=0,N276=""),"",ABS((N276-IF($C276="LT",Config!$F$9,Config!$F$21))/IF($C276="LT",Config!$G$9,Config!$G$21)))</f>
        <v/>
      </c>
      <c r="AA276">
        <f>IF(OR(O276=0,O276=""),"",ABS((O276-IF($C276="LT",Config!$F$10,Config!$F$22))/IF($C276="LT",Config!$G$10,Config!$G$22)))</f>
        <v/>
      </c>
      <c r="AB276">
        <f>IF(OR(P276=0,P276=""),"",ABS((P276-IF($C276="LT",Config!$F$11,Config!$F$23))/IF($C276="LT",Config!$G$11,Config!$G$23)))</f>
        <v/>
      </c>
      <c r="AC276">
        <f>IF(OR(Q276=0,Q276=""),"",ABS((Q276-IF($C276="LT",Config!$F$12,Config!$F$24))/IF($C276="LT",Config!$G$12,Config!$G$24)))</f>
        <v/>
      </c>
      <c r="AD276">
        <f>IF(OR(R276=0,R276=""),"",ABS((R276-IF($C276="LT",Config!$F$13,Config!$F$25))/IF($C276="LT",Config!$G$13,Config!$G$25)))</f>
        <v/>
      </c>
    </row>
    <row r="277">
      <c r="A277" t="inlineStr">
        <is>
          <t>04C1226120930</t>
        </is>
      </c>
      <c r="B277" t="inlineStr">
        <is>
          <t>CRS0000674</t>
        </is>
      </c>
      <c r="C277" t="inlineStr">
        <is>
          <t>MT</t>
        </is>
      </c>
      <c r="D277" t="inlineStr">
        <is>
          <t>TCX413U-DS1B01</t>
        </is>
      </c>
      <c r="E277" s="2" t="n">
        <v>46093</v>
      </c>
      <c r="F277" t="inlineStr">
        <is>
          <t>Fail</t>
        </is>
      </c>
      <c r="G277" t="n">
        <v>110.2</v>
      </c>
      <c r="H277" t="n">
        <v>73</v>
      </c>
      <c r="I277" t="n">
        <v>-1957.8</v>
      </c>
      <c r="J277" t="n">
        <v>65.5</v>
      </c>
      <c r="K277" t="n">
        <v>0</v>
      </c>
      <c r="L277" t="n">
        <v>0.5</v>
      </c>
      <c r="M277" t="n">
        <v>0</v>
      </c>
      <c r="N277" t="n">
        <v>66</v>
      </c>
      <c r="O277" t="n">
        <v>115.46</v>
      </c>
      <c r="P277" t="n">
        <v>115.38</v>
      </c>
      <c r="Q277" t="n">
        <v>3.74</v>
      </c>
      <c r="R277" t="n">
        <v>3.81</v>
      </c>
      <c r="S277">
        <f>IF(OR(G277=0,G277=""),"",ABS((G277-IF($C277="LT",Config!$F$2,Config!$F$14))/IF($C277="LT",Config!$G$2,Config!$G$14)))</f>
        <v/>
      </c>
      <c r="T277">
        <f>IF(OR(H277=0,H277=""),"",ABS((H277-IF($C277="LT",Config!$F$3,Config!$F$15))/IF($C277="LT",Config!$G$3,Config!$G$15)))</f>
        <v/>
      </c>
      <c r="U277">
        <f>IF(OR(I277=0,I277=""),"",ABS((I277-IF($C277="LT",Config!$F$4,Config!$F$16))/IF($C277="LT",Config!$G$4,Config!$G$16)))</f>
        <v/>
      </c>
      <c r="V277">
        <f>IF(OR(J277=0,J277=""),"",ABS((J277-IF($C277="LT",Config!$F$5,Config!$F$17))/IF($C277="LT",Config!$G$5,Config!$G$17)))</f>
        <v/>
      </c>
      <c r="W277">
        <f>IF(OR(K277=0,K277=""),"",ABS((K277-IF($C277="LT",Config!$F$6,Config!$F$18))/IF($C277="LT",Config!$G$6,Config!$G$18)))</f>
        <v/>
      </c>
      <c r="X277">
        <f>IF(OR(L277=0,L277=""),"",ABS((L277-IF($C277="LT",Config!$F$7,Config!$F$19))/IF($C277="LT",Config!$G$7,Config!$G$19)))</f>
        <v/>
      </c>
      <c r="Y277">
        <f>IF(OR(M277=0,M277=""),"",ABS((M277-IF($C277="LT",Config!$F$8,Config!$F$20))/IF($C277="LT",Config!$G$8,Config!$G$20)))</f>
        <v/>
      </c>
      <c r="Z277">
        <f>IF(OR(N277=0,N277=""),"",ABS((N277-IF($C277="LT",Config!$F$9,Config!$F$21))/IF($C277="LT",Config!$G$9,Config!$G$21)))</f>
        <v/>
      </c>
      <c r="AA277">
        <f>IF(OR(O277=0,O277=""),"",ABS((O277-IF($C277="LT",Config!$F$10,Config!$F$22))/IF($C277="LT",Config!$G$10,Config!$G$22)))</f>
        <v/>
      </c>
      <c r="AB277">
        <f>IF(OR(P277=0,P277=""),"",ABS((P277-IF($C277="LT",Config!$F$11,Config!$F$23))/IF($C277="LT",Config!$G$11,Config!$G$23)))</f>
        <v/>
      </c>
      <c r="AC277">
        <f>IF(OR(Q277=0,Q277=""),"",ABS((Q277-IF($C277="LT",Config!$F$12,Config!$F$24))/IF($C277="LT",Config!$G$12,Config!$G$24)))</f>
        <v/>
      </c>
      <c r="AD277">
        <f>IF(OR(R277=0,R277=""),"",ABS((R277-IF($C277="LT",Config!$F$13,Config!$F$25))/IF($C277="LT",Config!$G$13,Config!$G$25)))</f>
        <v/>
      </c>
    </row>
    <row r="278">
      <c r="A278" t="inlineStr">
        <is>
          <t>04C1226120930</t>
        </is>
      </c>
      <c r="B278" t="inlineStr">
        <is>
          <t>CRS0000674</t>
        </is>
      </c>
      <c r="C278" t="inlineStr">
        <is>
          <t>MT</t>
        </is>
      </c>
      <c r="D278" t="inlineStr">
        <is>
          <t>TCX413U-DS1B01</t>
        </is>
      </c>
      <c r="E278" s="2" t="n">
        <v>46093</v>
      </c>
      <c r="F278" t="inlineStr">
        <is>
          <t>Pass</t>
        </is>
      </c>
      <c r="G278" t="n">
        <v>113.7</v>
      </c>
      <c r="H278" t="n">
        <v>79.3</v>
      </c>
      <c r="I278" t="n">
        <v>-1957.8</v>
      </c>
      <c r="J278" t="n">
        <v>65.90000000000001</v>
      </c>
      <c r="K278" t="n">
        <v>0</v>
      </c>
      <c r="L278" t="n">
        <v>0.3</v>
      </c>
      <c r="M278" t="n">
        <v>0</v>
      </c>
      <c r="N278" t="n">
        <v>65.59999999999999</v>
      </c>
      <c r="O278" t="n">
        <v>115.16</v>
      </c>
      <c r="P278" t="n">
        <v>115.16</v>
      </c>
      <c r="Q278" t="n">
        <v>3.76</v>
      </c>
      <c r="R278" t="n">
        <v>3.86</v>
      </c>
      <c r="S278">
        <f>IF(OR(G278=0,G278=""),"",ABS((G278-IF($C278="LT",Config!$F$2,Config!$F$14))/IF($C278="LT",Config!$G$2,Config!$G$14)))</f>
        <v/>
      </c>
      <c r="T278">
        <f>IF(OR(H278=0,H278=""),"",ABS((H278-IF($C278="LT",Config!$F$3,Config!$F$15))/IF($C278="LT",Config!$G$3,Config!$G$15)))</f>
        <v/>
      </c>
      <c r="U278">
        <f>IF(OR(I278=0,I278=""),"",ABS((I278-IF($C278="LT",Config!$F$4,Config!$F$16))/IF($C278="LT",Config!$G$4,Config!$G$16)))</f>
        <v/>
      </c>
      <c r="V278">
        <f>IF(OR(J278=0,J278=""),"",ABS((J278-IF($C278="LT",Config!$F$5,Config!$F$17))/IF($C278="LT",Config!$G$5,Config!$G$17)))</f>
        <v/>
      </c>
      <c r="W278">
        <f>IF(OR(K278=0,K278=""),"",ABS((K278-IF($C278="LT",Config!$F$6,Config!$F$18))/IF($C278="LT",Config!$G$6,Config!$G$18)))</f>
        <v/>
      </c>
      <c r="X278">
        <f>IF(OR(L278=0,L278=""),"",ABS((L278-IF($C278="LT",Config!$F$7,Config!$F$19))/IF($C278="LT",Config!$G$7,Config!$G$19)))</f>
        <v/>
      </c>
      <c r="Y278">
        <f>IF(OR(M278=0,M278=""),"",ABS((M278-IF($C278="LT",Config!$F$8,Config!$F$20))/IF($C278="LT",Config!$G$8,Config!$G$20)))</f>
        <v/>
      </c>
      <c r="Z278">
        <f>IF(OR(N278=0,N278=""),"",ABS((N278-IF($C278="LT",Config!$F$9,Config!$F$21))/IF($C278="LT",Config!$G$9,Config!$G$21)))</f>
        <v/>
      </c>
      <c r="AA278">
        <f>IF(OR(O278=0,O278=""),"",ABS((O278-IF($C278="LT",Config!$F$10,Config!$F$22))/IF($C278="LT",Config!$G$10,Config!$G$22)))</f>
        <v/>
      </c>
      <c r="AB278">
        <f>IF(OR(P278=0,P278=""),"",ABS((P278-IF($C278="LT",Config!$F$11,Config!$F$23))/IF($C278="LT",Config!$G$11,Config!$G$23)))</f>
        <v/>
      </c>
      <c r="AC278">
        <f>IF(OR(Q278=0,Q278=""),"",ABS((Q278-IF($C278="LT",Config!$F$12,Config!$F$24))/IF($C278="LT",Config!$G$12,Config!$G$24)))</f>
        <v/>
      </c>
      <c r="AD278">
        <f>IF(OR(R278=0,R278=""),"",ABS((R278-IF($C278="LT",Config!$F$13,Config!$F$25))/IF($C278="LT",Config!$G$13,Config!$G$25)))</f>
        <v/>
      </c>
    </row>
    <row r="279">
      <c r="A279" t="inlineStr">
        <is>
          <t>04C1226120931</t>
        </is>
      </c>
      <c r="B279" t="inlineStr">
        <is>
          <t>CRS0000674</t>
        </is>
      </c>
      <c r="C279" t="inlineStr">
        <is>
          <t>MT</t>
        </is>
      </c>
      <c r="D279" t="inlineStr">
        <is>
          <t>TCX413U-DS1B01</t>
        </is>
      </c>
      <c r="E279" s="2" t="n">
        <v>46093</v>
      </c>
      <c r="F279" t="inlineStr">
        <is>
          <t>Pass</t>
        </is>
      </c>
      <c r="G279" t="n">
        <v>112</v>
      </c>
      <c r="H279" t="n">
        <v>77.5</v>
      </c>
      <c r="I279" t="n">
        <v>-1957.8</v>
      </c>
      <c r="J279" t="n">
        <v>65.90000000000001</v>
      </c>
      <c r="K279" t="n">
        <v>0</v>
      </c>
      <c r="L279" t="n">
        <v>0.4</v>
      </c>
      <c r="M279" t="n">
        <v>0</v>
      </c>
      <c r="N279" t="n">
        <v>66.3</v>
      </c>
      <c r="O279" t="n">
        <v>112.23</v>
      </c>
      <c r="P279" t="n">
        <v>116.34</v>
      </c>
      <c r="Q279" t="n">
        <v>3.69</v>
      </c>
      <c r="R279" t="n">
        <v>3.69</v>
      </c>
      <c r="S279">
        <f>IF(OR(G279=0,G279=""),"",ABS((G279-IF($C279="LT",Config!$F$2,Config!$F$14))/IF($C279="LT",Config!$G$2,Config!$G$14)))</f>
        <v/>
      </c>
      <c r="T279">
        <f>IF(OR(H279=0,H279=""),"",ABS((H279-IF($C279="LT",Config!$F$3,Config!$F$15))/IF($C279="LT",Config!$G$3,Config!$G$15)))</f>
        <v/>
      </c>
      <c r="U279">
        <f>IF(OR(I279=0,I279=""),"",ABS((I279-IF($C279="LT",Config!$F$4,Config!$F$16))/IF($C279="LT",Config!$G$4,Config!$G$16)))</f>
        <v/>
      </c>
      <c r="V279">
        <f>IF(OR(J279=0,J279=""),"",ABS((J279-IF($C279="LT",Config!$F$5,Config!$F$17))/IF($C279="LT",Config!$G$5,Config!$G$17)))</f>
        <v/>
      </c>
      <c r="W279">
        <f>IF(OR(K279=0,K279=""),"",ABS((K279-IF($C279="LT",Config!$F$6,Config!$F$18))/IF($C279="LT",Config!$G$6,Config!$G$18)))</f>
        <v/>
      </c>
      <c r="X279">
        <f>IF(OR(L279=0,L279=""),"",ABS((L279-IF($C279="LT",Config!$F$7,Config!$F$19))/IF($C279="LT",Config!$G$7,Config!$G$19)))</f>
        <v/>
      </c>
      <c r="Y279">
        <f>IF(OR(M279=0,M279=""),"",ABS((M279-IF($C279="LT",Config!$F$8,Config!$F$20))/IF($C279="LT",Config!$G$8,Config!$G$20)))</f>
        <v/>
      </c>
      <c r="Z279">
        <f>IF(OR(N279=0,N279=""),"",ABS((N279-IF($C279="LT",Config!$F$9,Config!$F$21))/IF($C279="LT",Config!$G$9,Config!$G$21)))</f>
        <v/>
      </c>
      <c r="AA279">
        <f>IF(OR(O279=0,O279=""),"",ABS((O279-IF($C279="LT",Config!$F$10,Config!$F$22))/IF($C279="LT",Config!$G$10,Config!$G$22)))</f>
        <v/>
      </c>
      <c r="AB279">
        <f>IF(OR(P279=0,P279=""),"",ABS((P279-IF($C279="LT",Config!$F$11,Config!$F$23))/IF($C279="LT",Config!$G$11,Config!$G$23)))</f>
        <v/>
      </c>
      <c r="AC279">
        <f>IF(OR(Q279=0,Q279=""),"",ABS((Q279-IF($C279="LT",Config!$F$12,Config!$F$24))/IF($C279="LT",Config!$G$12,Config!$G$24)))</f>
        <v/>
      </c>
      <c r="AD279">
        <f>IF(OR(R279=0,R279=""),"",ABS((R279-IF($C279="LT",Config!$F$13,Config!$F$25))/IF($C279="LT",Config!$G$13,Config!$G$25)))</f>
        <v/>
      </c>
    </row>
    <row r="280">
      <c r="A280" t="inlineStr">
        <is>
          <t>04C1226120932</t>
        </is>
      </c>
      <c r="B280" t="inlineStr">
        <is>
          <t>CRS0000674</t>
        </is>
      </c>
      <c r="C280" t="inlineStr">
        <is>
          <t>MT</t>
        </is>
      </c>
      <c r="D280" t="inlineStr">
        <is>
          <t>TCX413U-DS1B01</t>
        </is>
      </c>
      <c r="E280" s="2" t="n">
        <v>46093</v>
      </c>
      <c r="F280" t="inlineStr">
        <is>
          <t>Pass</t>
        </is>
      </c>
      <c r="G280" t="n">
        <v>107.9</v>
      </c>
      <c r="H280" t="n">
        <v>76.09999999999999</v>
      </c>
      <c r="I280" t="n">
        <v>-1957.8</v>
      </c>
      <c r="J280" t="n">
        <v>65.5</v>
      </c>
      <c r="K280" t="n">
        <v>0</v>
      </c>
      <c r="L280" t="n">
        <v>0.5</v>
      </c>
      <c r="M280" t="n">
        <v>0</v>
      </c>
      <c r="N280" t="n">
        <v>66</v>
      </c>
      <c r="O280" t="n">
        <v>111.79</v>
      </c>
      <c r="P280" t="n">
        <v>113.4</v>
      </c>
      <c r="Q280" t="n">
        <v>3.83</v>
      </c>
      <c r="R280" t="n">
        <v>3.83</v>
      </c>
      <c r="S280">
        <f>IF(OR(G280=0,G280=""),"",ABS((G280-IF($C280="LT",Config!$F$2,Config!$F$14))/IF($C280="LT",Config!$G$2,Config!$G$14)))</f>
        <v/>
      </c>
      <c r="T280">
        <f>IF(OR(H280=0,H280=""),"",ABS((H280-IF($C280="LT",Config!$F$3,Config!$F$15))/IF($C280="LT",Config!$G$3,Config!$G$15)))</f>
        <v/>
      </c>
      <c r="U280">
        <f>IF(OR(I280=0,I280=""),"",ABS((I280-IF($C280="LT",Config!$F$4,Config!$F$16))/IF($C280="LT",Config!$G$4,Config!$G$16)))</f>
        <v/>
      </c>
      <c r="V280">
        <f>IF(OR(J280=0,J280=""),"",ABS((J280-IF($C280="LT",Config!$F$5,Config!$F$17))/IF($C280="LT",Config!$G$5,Config!$G$17)))</f>
        <v/>
      </c>
      <c r="W280">
        <f>IF(OR(K280=0,K280=""),"",ABS((K280-IF($C280="LT",Config!$F$6,Config!$F$18))/IF($C280="LT",Config!$G$6,Config!$G$18)))</f>
        <v/>
      </c>
      <c r="X280">
        <f>IF(OR(L280=0,L280=""),"",ABS((L280-IF($C280="LT",Config!$F$7,Config!$F$19))/IF($C280="LT",Config!$G$7,Config!$G$19)))</f>
        <v/>
      </c>
      <c r="Y280">
        <f>IF(OR(M280=0,M280=""),"",ABS((M280-IF($C280="LT",Config!$F$8,Config!$F$20))/IF($C280="LT",Config!$G$8,Config!$G$20)))</f>
        <v/>
      </c>
      <c r="Z280">
        <f>IF(OR(N280=0,N280=""),"",ABS((N280-IF($C280="LT",Config!$F$9,Config!$F$21))/IF($C280="LT",Config!$G$9,Config!$G$21)))</f>
        <v/>
      </c>
      <c r="AA280">
        <f>IF(OR(O280=0,O280=""),"",ABS((O280-IF($C280="LT",Config!$F$10,Config!$F$22))/IF($C280="LT",Config!$G$10,Config!$G$22)))</f>
        <v/>
      </c>
      <c r="AB280">
        <f>IF(OR(P280=0,P280=""),"",ABS((P280-IF($C280="LT",Config!$F$11,Config!$F$23))/IF($C280="LT",Config!$G$11,Config!$G$23)))</f>
        <v/>
      </c>
      <c r="AC280">
        <f>IF(OR(Q280=0,Q280=""),"",ABS((Q280-IF($C280="LT",Config!$F$12,Config!$F$24))/IF($C280="LT",Config!$G$12,Config!$G$24)))</f>
        <v/>
      </c>
      <c r="AD280">
        <f>IF(OR(R280=0,R280=""),"",ABS((R280-IF($C280="LT",Config!$F$13,Config!$F$25))/IF($C280="LT",Config!$G$13,Config!$G$25)))</f>
        <v/>
      </c>
    </row>
    <row r="281">
      <c r="A281" t="inlineStr">
        <is>
          <t>04C1226120933</t>
        </is>
      </c>
      <c r="B281" t="inlineStr">
        <is>
          <t>CRS0000674</t>
        </is>
      </c>
      <c r="C281" t="inlineStr">
        <is>
          <t>MT</t>
        </is>
      </c>
      <c r="D281" t="inlineStr">
        <is>
          <t>TCX413U-DS1B01</t>
        </is>
      </c>
      <c r="E281" s="2" t="n">
        <v>46093</v>
      </c>
      <c r="F281" t="inlineStr">
        <is>
          <t>Pass</t>
        </is>
      </c>
      <c r="G281" t="n">
        <v>112.9</v>
      </c>
      <c r="H281" t="n">
        <v>78.40000000000001</v>
      </c>
      <c r="I281" t="n">
        <v>-1957.8</v>
      </c>
      <c r="J281" t="n">
        <v>65.5</v>
      </c>
      <c r="K281" t="n">
        <v>0</v>
      </c>
      <c r="L281" t="n">
        <v>1.5</v>
      </c>
      <c r="M281" t="n">
        <v>0</v>
      </c>
      <c r="N281" t="n">
        <v>67</v>
      </c>
      <c r="O281" t="n">
        <v>115.24</v>
      </c>
      <c r="P281" t="n">
        <v>115.31</v>
      </c>
      <c r="Q281" t="n">
        <v>3.66</v>
      </c>
      <c r="R281" t="n">
        <v>3.66</v>
      </c>
      <c r="S281">
        <f>IF(OR(G281=0,G281=""),"",ABS((G281-IF($C281="LT",Config!$F$2,Config!$F$14))/IF($C281="LT",Config!$G$2,Config!$G$14)))</f>
        <v/>
      </c>
      <c r="T281">
        <f>IF(OR(H281=0,H281=""),"",ABS((H281-IF($C281="LT",Config!$F$3,Config!$F$15))/IF($C281="LT",Config!$G$3,Config!$G$15)))</f>
        <v/>
      </c>
      <c r="U281">
        <f>IF(OR(I281=0,I281=""),"",ABS((I281-IF($C281="LT",Config!$F$4,Config!$F$16))/IF($C281="LT",Config!$G$4,Config!$G$16)))</f>
        <v/>
      </c>
      <c r="V281">
        <f>IF(OR(J281=0,J281=""),"",ABS((J281-IF($C281="LT",Config!$F$5,Config!$F$17))/IF($C281="LT",Config!$G$5,Config!$G$17)))</f>
        <v/>
      </c>
      <c r="W281">
        <f>IF(OR(K281=0,K281=""),"",ABS((K281-IF($C281="LT",Config!$F$6,Config!$F$18))/IF($C281="LT",Config!$G$6,Config!$G$18)))</f>
        <v/>
      </c>
      <c r="X281">
        <f>IF(OR(L281=0,L281=""),"",ABS((L281-IF($C281="LT",Config!$F$7,Config!$F$19))/IF($C281="LT",Config!$G$7,Config!$G$19)))</f>
        <v/>
      </c>
      <c r="Y281">
        <f>IF(OR(M281=0,M281=""),"",ABS((M281-IF($C281="LT",Config!$F$8,Config!$F$20))/IF($C281="LT",Config!$G$8,Config!$G$20)))</f>
        <v/>
      </c>
      <c r="Z281">
        <f>IF(OR(N281=0,N281=""),"",ABS((N281-IF($C281="LT",Config!$F$9,Config!$F$21))/IF($C281="LT",Config!$G$9,Config!$G$21)))</f>
        <v/>
      </c>
      <c r="AA281">
        <f>IF(OR(O281=0,O281=""),"",ABS((O281-IF($C281="LT",Config!$F$10,Config!$F$22))/IF($C281="LT",Config!$G$10,Config!$G$22)))</f>
        <v/>
      </c>
      <c r="AB281">
        <f>IF(OR(P281=0,P281=""),"",ABS((P281-IF($C281="LT",Config!$F$11,Config!$F$23))/IF($C281="LT",Config!$G$11,Config!$G$23)))</f>
        <v/>
      </c>
      <c r="AC281">
        <f>IF(OR(Q281=0,Q281=""),"",ABS((Q281-IF($C281="LT",Config!$F$12,Config!$F$24))/IF($C281="LT",Config!$G$12,Config!$G$24)))</f>
        <v/>
      </c>
      <c r="AD281">
        <f>IF(OR(R281=0,R281=""),"",ABS((R281-IF($C281="LT",Config!$F$13,Config!$F$25))/IF($C281="LT",Config!$G$13,Config!$G$25)))</f>
        <v/>
      </c>
    </row>
    <row r="282">
      <c r="A282" t="inlineStr">
        <is>
          <t>04C1226120934</t>
        </is>
      </c>
      <c r="B282" t="inlineStr">
        <is>
          <t>CRS0000674</t>
        </is>
      </c>
      <c r="C282" t="inlineStr">
        <is>
          <t>MT</t>
        </is>
      </c>
      <c r="D282" t="inlineStr">
        <is>
          <t>TCX413U-DS1B01</t>
        </is>
      </c>
      <c r="E282" s="2" t="n">
        <v>46093</v>
      </c>
      <c r="F282" t="inlineStr">
        <is>
          <t>Pass</t>
        </is>
      </c>
      <c r="G282" t="n">
        <v>107.5</v>
      </c>
      <c r="H282" t="n">
        <v>76.09999999999999</v>
      </c>
      <c r="I282" t="n">
        <v>-1957.8</v>
      </c>
      <c r="J282" t="n">
        <v>65.5</v>
      </c>
      <c r="K282" t="n">
        <v>0</v>
      </c>
      <c r="L282" t="n">
        <v>0.6</v>
      </c>
      <c r="M282" t="n">
        <v>0</v>
      </c>
      <c r="N282" t="n">
        <v>66.09999999999999</v>
      </c>
      <c r="O282" t="n">
        <v>115.46</v>
      </c>
      <c r="P282" t="n">
        <v>115.46</v>
      </c>
      <c r="Q282" t="n">
        <v>3.54</v>
      </c>
      <c r="R282" t="n">
        <v>3.74</v>
      </c>
      <c r="S282">
        <f>IF(OR(G282=0,G282=""),"",ABS((G282-IF($C282="LT",Config!$F$2,Config!$F$14))/IF($C282="LT",Config!$G$2,Config!$G$14)))</f>
        <v/>
      </c>
      <c r="T282">
        <f>IF(OR(H282=0,H282=""),"",ABS((H282-IF($C282="LT",Config!$F$3,Config!$F$15))/IF($C282="LT",Config!$G$3,Config!$G$15)))</f>
        <v/>
      </c>
      <c r="U282">
        <f>IF(OR(I282=0,I282=""),"",ABS((I282-IF($C282="LT",Config!$F$4,Config!$F$16))/IF($C282="LT",Config!$G$4,Config!$G$16)))</f>
        <v/>
      </c>
      <c r="V282">
        <f>IF(OR(J282=0,J282=""),"",ABS((J282-IF($C282="LT",Config!$F$5,Config!$F$17))/IF($C282="LT",Config!$G$5,Config!$G$17)))</f>
        <v/>
      </c>
      <c r="W282">
        <f>IF(OR(K282=0,K282=""),"",ABS((K282-IF($C282="LT",Config!$F$6,Config!$F$18))/IF($C282="LT",Config!$G$6,Config!$G$18)))</f>
        <v/>
      </c>
      <c r="X282">
        <f>IF(OR(L282=0,L282=""),"",ABS((L282-IF($C282="LT",Config!$F$7,Config!$F$19))/IF($C282="LT",Config!$G$7,Config!$G$19)))</f>
        <v/>
      </c>
      <c r="Y282">
        <f>IF(OR(M282=0,M282=""),"",ABS((M282-IF($C282="LT",Config!$F$8,Config!$F$20))/IF($C282="LT",Config!$G$8,Config!$G$20)))</f>
        <v/>
      </c>
      <c r="Z282">
        <f>IF(OR(N282=0,N282=""),"",ABS((N282-IF($C282="LT",Config!$F$9,Config!$F$21))/IF($C282="LT",Config!$G$9,Config!$G$21)))</f>
        <v/>
      </c>
      <c r="AA282">
        <f>IF(OR(O282=0,O282=""),"",ABS((O282-IF($C282="LT",Config!$F$10,Config!$F$22))/IF($C282="LT",Config!$G$10,Config!$G$22)))</f>
        <v/>
      </c>
      <c r="AB282">
        <f>IF(OR(P282=0,P282=""),"",ABS((P282-IF($C282="LT",Config!$F$11,Config!$F$23))/IF($C282="LT",Config!$G$11,Config!$G$23)))</f>
        <v/>
      </c>
      <c r="AC282">
        <f>IF(OR(Q282=0,Q282=""),"",ABS((Q282-IF($C282="LT",Config!$F$12,Config!$F$24))/IF($C282="LT",Config!$G$12,Config!$G$24)))</f>
        <v/>
      </c>
      <c r="AD282">
        <f>IF(OR(R282=0,R282=""),"",ABS((R282-IF($C282="LT",Config!$F$13,Config!$F$25))/IF($C282="LT",Config!$G$13,Config!$G$25)))</f>
        <v/>
      </c>
    </row>
    <row r="283">
      <c r="A283" t="inlineStr">
        <is>
          <t>04C1226120935</t>
        </is>
      </c>
      <c r="B283" t="inlineStr">
        <is>
          <t>CRS0000674</t>
        </is>
      </c>
      <c r="C283" t="inlineStr">
        <is>
          <t>MT</t>
        </is>
      </c>
      <c r="D283" t="inlineStr">
        <is>
          <t>TCX413U-DS1B01</t>
        </is>
      </c>
      <c r="E283" s="2" t="n">
        <v>46094</v>
      </c>
      <c r="F283" t="inlineStr">
        <is>
          <t>Fail</t>
        </is>
      </c>
      <c r="G283" t="n">
        <v>108.8</v>
      </c>
      <c r="H283" t="n">
        <v>75.2</v>
      </c>
      <c r="I283" t="n">
        <v>-1957.8</v>
      </c>
      <c r="J283" t="n">
        <v>63.3</v>
      </c>
      <c r="K283" t="n">
        <v>0</v>
      </c>
      <c r="L283" t="n">
        <v>0.5</v>
      </c>
      <c r="M283" t="n">
        <v>0</v>
      </c>
      <c r="N283" t="n">
        <v>63.8</v>
      </c>
      <c r="O283" t="n">
        <v>112.3</v>
      </c>
      <c r="P283" t="n">
        <v>116.85</v>
      </c>
      <c r="Q283" t="n">
        <v>3.56</v>
      </c>
      <c r="R283" t="n">
        <v>3.54</v>
      </c>
      <c r="S283">
        <f>IF(OR(G283=0,G283=""),"",ABS((G283-IF($C283="LT",Config!$F$2,Config!$F$14))/IF($C283="LT",Config!$G$2,Config!$G$14)))</f>
        <v/>
      </c>
      <c r="T283">
        <f>IF(OR(H283=0,H283=""),"",ABS((H283-IF($C283="LT",Config!$F$3,Config!$F$15))/IF($C283="LT",Config!$G$3,Config!$G$15)))</f>
        <v/>
      </c>
      <c r="U283">
        <f>IF(OR(I283=0,I283=""),"",ABS((I283-IF($C283="LT",Config!$F$4,Config!$F$16))/IF($C283="LT",Config!$G$4,Config!$G$16)))</f>
        <v/>
      </c>
      <c r="V283">
        <f>IF(OR(J283=0,J283=""),"",ABS((J283-IF($C283="LT",Config!$F$5,Config!$F$17))/IF($C283="LT",Config!$G$5,Config!$G$17)))</f>
        <v/>
      </c>
      <c r="W283">
        <f>IF(OR(K283=0,K283=""),"",ABS((K283-IF($C283="LT",Config!$F$6,Config!$F$18))/IF($C283="LT",Config!$G$6,Config!$G$18)))</f>
        <v/>
      </c>
      <c r="X283">
        <f>IF(OR(L283=0,L283=""),"",ABS((L283-IF($C283="LT",Config!$F$7,Config!$F$19))/IF($C283="LT",Config!$G$7,Config!$G$19)))</f>
        <v/>
      </c>
      <c r="Y283">
        <f>IF(OR(M283=0,M283=""),"",ABS((M283-IF($C283="LT",Config!$F$8,Config!$F$20))/IF($C283="LT",Config!$G$8,Config!$G$20)))</f>
        <v/>
      </c>
      <c r="Z283">
        <f>IF(OR(N283=0,N283=""),"",ABS((N283-IF($C283="LT",Config!$F$9,Config!$F$21))/IF($C283="LT",Config!$G$9,Config!$G$21)))</f>
        <v/>
      </c>
      <c r="AA283">
        <f>IF(OR(O283=0,O283=""),"",ABS((O283-IF($C283="LT",Config!$F$10,Config!$F$22))/IF($C283="LT",Config!$G$10,Config!$G$22)))</f>
        <v/>
      </c>
      <c r="AB283">
        <f>IF(OR(P283=0,P283=""),"",ABS((P283-IF($C283="LT",Config!$F$11,Config!$F$23))/IF($C283="LT",Config!$G$11,Config!$G$23)))</f>
        <v/>
      </c>
      <c r="AC283">
        <f>IF(OR(Q283=0,Q283=""),"",ABS((Q283-IF($C283="LT",Config!$F$12,Config!$F$24))/IF($C283="LT",Config!$G$12,Config!$G$24)))</f>
        <v/>
      </c>
      <c r="AD283">
        <f>IF(OR(R283=0,R283=""),"",ABS((R283-IF($C283="LT",Config!$F$13,Config!$F$25))/IF($C283="LT",Config!$G$13,Config!$G$25)))</f>
        <v/>
      </c>
    </row>
    <row r="284">
      <c r="A284" t="inlineStr">
        <is>
          <t>04C1226120935</t>
        </is>
      </c>
      <c r="B284" t="inlineStr">
        <is>
          <t>CRS0000674</t>
        </is>
      </c>
      <c r="C284" t="inlineStr">
        <is>
          <t>MT</t>
        </is>
      </c>
      <c r="D284" t="inlineStr">
        <is>
          <t>TCX413U-DS1B01</t>
        </is>
      </c>
      <c r="E284" s="2" t="n">
        <v>46094</v>
      </c>
      <c r="F284" t="inlineStr">
        <is>
          <t>Pass</t>
        </is>
      </c>
      <c r="G284" t="n">
        <v>113.7</v>
      </c>
      <c r="H284" t="n">
        <v>80.7</v>
      </c>
      <c r="I284" t="n">
        <v>-1957.8</v>
      </c>
      <c r="J284" t="n">
        <v>63.7</v>
      </c>
      <c r="K284" t="n">
        <v>0</v>
      </c>
      <c r="L284" t="n">
        <v>2</v>
      </c>
      <c r="M284" t="n">
        <v>0</v>
      </c>
      <c r="N284" t="n">
        <v>65.7</v>
      </c>
      <c r="O284" t="n">
        <v>114.87</v>
      </c>
      <c r="P284" t="n">
        <v>114.87</v>
      </c>
      <c r="Q284" t="n">
        <v>3.69</v>
      </c>
      <c r="R284" t="n">
        <v>3.71</v>
      </c>
      <c r="S284">
        <f>IF(OR(G284=0,G284=""),"",ABS((G284-IF($C284="LT",Config!$F$2,Config!$F$14))/IF($C284="LT",Config!$G$2,Config!$G$14)))</f>
        <v/>
      </c>
      <c r="T284">
        <f>IF(OR(H284=0,H284=""),"",ABS((H284-IF($C284="LT",Config!$F$3,Config!$F$15))/IF($C284="LT",Config!$G$3,Config!$G$15)))</f>
        <v/>
      </c>
      <c r="U284">
        <f>IF(OR(I284=0,I284=""),"",ABS((I284-IF($C284="LT",Config!$F$4,Config!$F$16))/IF($C284="LT",Config!$G$4,Config!$G$16)))</f>
        <v/>
      </c>
      <c r="V284">
        <f>IF(OR(J284=0,J284=""),"",ABS((J284-IF($C284="LT",Config!$F$5,Config!$F$17))/IF($C284="LT",Config!$G$5,Config!$G$17)))</f>
        <v/>
      </c>
      <c r="W284">
        <f>IF(OR(K284=0,K284=""),"",ABS((K284-IF($C284="LT",Config!$F$6,Config!$F$18))/IF($C284="LT",Config!$G$6,Config!$G$18)))</f>
        <v/>
      </c>
      <c r="X284">
        <f>IF(OR(L284=0,L284=""),"",ABS((L284-IF($C284="LT",Config!$F$7,Config!$F$19))/IF($C284="LT",Config!$G$7,Config!$G$19)))</f>
        <v/>
      </c>
      <c r="Y284">
        <f>IF(OR(M284=0,M284=""),"",ABS((M284-IF($C284="LT",Config!$F$8,Config!$F$20))/IF($C284="LT",Config!$G$8,Config!$G$20)))</f>
        <v/>
      </c>
      <c r="Z284">
        <f>IF(OR(N284=0,N284=""),"",ABS((N284-IF($C284="LT",Config!$F$9,Config!$F$21))/IF($C284="LT",Config!$G$9,Config!$G$21)))</f>
        <v/>
      </c>
      <c r="AA284">
        <f>IF(OR(O284=0,O284=""),"",ABS((O284-IF($C284="LT",Config!$F$10,Config!$F$22))/IF($C284="LT",Config!$G$10,Config!$G$22)))</f>
        <v/>
      </c>
      <c r="AB284">
        <f>IF(OR(P284=0,P284=""),"",ABS((P284-IF($C284="LT",Config!$F$11,Config!$F$23))/IF($C284="LT",Config!$G$11,Config!$G$23)))</f>
        <v/>
      </c>
      <c r="AC284">
        <f>IF(OR(Q284=0,Q284=""),"",ABS((Q284-IF($C284="LT",Config!$F$12,Config!$F$24))/IF($C284="LT",Config!$G$12,Config!$G$24)))</f>
        <v/>
      </c>
      <c r="AD284">
        <f>IF(OR(R284=0,R284=""),"",ABS((R284-IF($C284="LT",Config!$F$13,Config!$F$25))/IF($C284="LT",Config!$G$13,Config!$G$25)))</f>
        <v/>
      </c>
    </row>
    <row r="285">
      <c r="A285" t="inlineStr">
        <is>
          <t>04C1226120936</t>
        </is>
      </c>
      <c r="B285" t="inlineStr">
        <is>
          <t>CRS0000674</t>
        </is>
      </c>
      <c r="C285" t="inlineStr">
        <is>
          <t>MT</t>
        </is>
      </c>
      <c r="D285" t="inlineStr">
        <is>
          <t>TCX413U-DS1B01</t>
        </is>
      </c>
      <c r="E285" s="2" t="n">
        <v>46094</v>
      </c>
      <c r="F285" t="inlineStr">
        <is>
          <t>Fail</t>
        </is>
      </c>
      <c r="G285" t="n">
        <v>106.6</v>
      </c>
      <c r="H285" t="n">
        <v>72.5</v>
      </c>
      <c r="I285" t="n">
        <v>-1957.8</v>
      </c>
      <c r="J285" t="n">
        <v>63.7</v>
      </c>
      <c r="K285" t="n">
        <v>0</v>
      </c>
      <c r="L285" t="n">
        <v>0.4</v>
      </c>
      <c r="M285" t="n">
        <v>0</v>
      </c>
      <c r="N285" t="n">
        <v>64.09999999999999</v>
      </c>
      <c r="O285" t="n">
        <v>112.08</v>
      </c>
      <c r="P285" t="n">
        <v>113.55</v>
      </c>
      <c r="Q285" t="n">
        <v>3.61</v>
      </c>
      <c r="R285" t="n">
        <v>3.61</v>
      </c>
      <c r="S285">
        <f>IF(OR(G285=0,G285=""),"",ABS((G285-IF($C285="LT",Config!$F$2,Config!$F$14))/IF($C285="LT",Config!$G$2,Config!$G$14)))</f>
        <v/>
      </c>
      <c r="T285">
        <f>IF(OR(H285=0,H285=""),"",ABS((H285-IF($C285="LT",Config!$F$3,Config!$F$15))/IF($C285="LT",Config!$G$3,Config!$G$15)))</f>
        <v/>
      </c>
      <c r="U285">
        <f>IF(OR(I285=0,I285=""),"",ABS((I285-IF($C285="LT",Config!$F$4,Config!$F$16))/IF($C285="LT",Config!$G$4,Config!$G$16)))</f>
        <v/>
      </c>
      <c r="V285">
        <f>IF(OR(J285=0,J285=""),"",ABS((J285-IF($C285="LT",Config!$F$5,Config!$F$17))/IF($C285="LT",Config!$G$5,Config!$G$17)))</f>
        <v/>
      </c>
      <c r="W285">
        <f>IF(OR(K285=0,K285=""),"",ABS((K285-IF($C285="LT",Config!$F$6,Config!$F$18))/IF($C285="LT",Config!$G$6,Config!$G$18)))</f>
        <v/>
      </c>
      <c r="X285">
        <f>IF(OR(L285=0,L285=""),"",ABS((L285-IF($C285="LT",Config!$F$7,Config!$F$19))/IF($C285="LT",Config!$G$7,Config!$G$19)))</f>
        <v/>
      </c>
      <c r="Y285">
        <f>IF(OR(M285=0,M285=""),"",ABS((M285-IF($C285="LT",Config!$F$8,Config!$F$20))/IF($C285="LT",Config!$G$8,Config!$G$20)))</f>
        <v/>
      </c>
      <c r="Z285">
        <f>IF(OR(N285=0,N285=""),"",ABS((N285-IF($C285="LT",Config!$F$9,Config!$F$21))/IF($C285="LT",Config!$G$9,Config!$G$21)))</f>
        <v/>
      </c>
      <c r="AA285">
        <f>IF(OR(O285=0,O285=""),"",ABS((O285-IF($C285="LT",Config!$F$10,Config!$F$22))/IF($C285="LT",Config!$G$10,Config!$G$22)))</f>
        <v/>
      </c>
      <c r="AB285">
        <f>IF(OR(P285=0,P285=""),"",ABS((P285-IF($C285="LT",Config!$F$11,Config!$F$23))/IF($C285="LT",Config!$G$11,Config!$G$23)))</f>
        <v/>
      </c>
      <c r="AC285">
        <f>IF(OR(Q285=0,Q285=""),"",ABS((Q285-IF($C285="LT",Config!$F$12,Config!$F$24))/IF($C285="LT",Config!$G$12,Config!$G$24)))</f>
        <v/>
      </c>
      <c r="AD285">
        <f>IF(OR(R285=0,R285=""),"",ABS((R285-IF($C285="LT",Config!$F$13,Config!$F$25))/IF($C285="LT",Config!$G$13,Config!$G$25)))</f>
        <v/>
      </c>
    </row>
    <row r="286">
      <c r="A286" t="inlineStr">
        <is>
          <t>04C1226120936</t>
        </is>
      </c>
      <c r="B286" t="inlineStr">
        <is>
          <t>CRS0000674</t>
        </is>
      </c>
      <c r="C286" t="inlineStr">
        <is>
          <t>MT</t>
        </is>
      </c>
      <c r="D286" t="inlineStr">
        <is>
          <t>TCX413U-DS1B01</t>
        </is>
      </c>
      <c r="E286" s="2" t="n">
        <v>46094</v>
      </c>
      <c r="F286" t="inlineStr">
        <is>
          <t>Fail</t>
        </is>
      </c>
      <c r="G286" t="n">
        <v>112</v>
      </c>
      <c r="H286" t="n">
        <v>78.40000000000001</v>
      </c>
      <c r="I286" t="n">
        <v>-1957.8</v>
      </c>
      <c r="J286" t="n">
        <v>63.7</v>
      </c>
      <c r="K286" t="n">
        <v>0</v>
      </c>
      <c r="L286" t="n">
        <v>0.7</v>
      </c>
      <c r="M286" t="n">
        <v>0</v>
      </c>
      <c r="N286" t="n">
        <v>64.40000000000001</v>
      </c>
      <c r="O286" t="n">
        <v>116.7</v>
      </c>
      <c r="P286" t="n">
        <v>116.7</v>
      </c>
      <c r="Q286" t="n">
        <v>3.64</v>
      </c>
      <c r="R286" t="n">
        <v>3.69</v>
      </c>
      <c r="S286">
        <f>IF(OR(G286=0,G286=""),"",ABS((G286-IF($C286="LT",Config!$F$2,Config!$F$14))/IF($C286="LT",Config!$G$2,Config!$G$14)))</f>
        <v/>
      </c>
      <c r="T286">
        <f>IF(OR(H286=0,H286=""),"",ABS((H286-IF($C286="LT",Config!$F$3,Config!$F$15))/IF($C286="LT",Config!$G$3,Config!$G$15)))</f>
        <v/>
      </c>
      <c r="U286">
        <f>IF(OR(I286=0,I286=""),"",ABS((I286-IF($C286="LT",Config!$F$4,Config!$F$16))/IF($C286="LT",Config!$G$4,Config!$G$16)))</f>
        <v/>
      </c>
      <c r="V286">
        <f>IF(OR(J286=0,J286=""),"",ABS((J286-IF($C286="LT",Config!$F$5,Config!$F$17))/IF($C286="LT",Config!$G$5,Config!$G$17)))</f>
        <v/>
      </c>
      <c r="W286">
        <f>IF(OR(K286=0,K286=""),"",ABS((K286-IF($C286="LT",Config!$F$6,Config!$F$18))/IF($C286="LT",Config!$G$6,Config!$G$18)))</f>
        <v/>
      </c>
      <c r="X286">
        <f>IF(OR(L286=0,L286=""),"",ABS((L286-IF($C286="LT",Config!$F$7,Config!$F$19))/IF($C286="LT",Config!$G$7,Config!$G$19)))</f>
        <v/>
      </c>
      <c r="Y286">
        <f>IF(OR(M286=0,M286=""),"",ABS((M286-IF($C286="LT",Config!$F$8,Config!$F$20))/IF($C286="LT",Config!$G$8,Config!$G$20)))</f>
        <v/>
      </c>
      <c r="Z286">
        <f>IF(OR(N286=0,N286=""),"",ABS((N286-IF($C286="LT",Config!$F$9,Config!$F$21))/IF($C286="LT",Config!$G$9,Config!$G$21)))</f>
        <v/>
      </c>
      <c r="AA286">
        <f>IF(OR(O286=0,O286=""),"",ABS((O286-IF($C286="LT",Config!$F$10,Config!$F$22))/IF($C286="LT",Config!$G$10,Config!$G$22)))</f>
        <v/>
      </c>
      <c r="AB286">
        <f>IF(OR(P286=0,P286=""),"",ABS((P286-IF($C286="LT",Config!$F$11,Config!$F$23))/IF($C286="LT",Config!$G$11,Config!$G$23)))</f>
        <v/>
      </c>
      <c r="AC286">
        <f>IF(OR(Q286=0,Q286=""),"",ABS((Q286-IF($C286="LT",Config!$F$12,Config!$F$24))/IF($C286="LT",Config!$G$12,Config!$G$24)))</f>
        <v/>
      </c>
      <c r="AD286">
        <f>IF(OR(R286=0,R286=""),"",ABS((R286-IF($C286="LT",Config!$F$13,Config!$F$25))/IF($C286="LT",Config!$G$13,Config!$G$25)))</f>
        <v/>
      </c>
    </row>
    <row r="287">
      <c r="A287" t="inlineStr">
        <is>
          <t>04C1226120936</t>
        </is>
      </c>
      <c r="B287" t="inlineStr">
        <is>
          <t>CRS0000674</t>
        </is>
      </c>
      <c r="C287" t="inlineStr">
        <is>
          <t>MT</t>
        </is>
      </c>
      <c r="D287" t="inlineStr">
        <is>
          <t>TCX413U-DS1B01</t>
        </is>
      </c>
      <c r="E287" s="2" t="n">
        <v>46094</v>
      </c>
      <c r="F287" t="inlineStr">
        <is>
          <t>Pass</t>
        </is>
      </c>
      <c r="G287" t="n">
        <v>115.5</v>
      </c>
      <c r="H287" t="n">
        <v>79.8</v>
      </c>
      <c r="I287" t="n">
        <v>-1957.8</v>
      </c>
      <c r="J287" t="n">
        <v>64.09999999999999</v>
      </c>
      <c r="K287" t="n">
        <v>0</v>
      </c>
      <c r="L287" t="n">
        <v>2.1</v>
      </c>
      <c r="M287" t="n">
        <v>0</v>
      </c>
      <c r="N287" t="n">
        <v>66.2</v>
      </c>
      <c r="O287" t="n">
        <v>112.01</v>
      </c>
      <c r="P287" t="n">
        <v>113.55</v>
      </c>
      <c r="Q287" t="n">
        <v>3.81</v>
      </c>
      <c r="R287" t="n">
        <v>3.81</v>
      </c>
      <c r="S287">
        <f>IF(OR(G287=0,G287=""),"",ABS((G287-IF($C287="LT",Config!$F$2,Config!$F$14))/IF($C287="LT",Config!$G$2,Config!$G$14)))</f>
        <v/>
      </c>
      <c r="T287">
        <f>IF(OR(H287=0,H287=""),"",ABS((H287-IF($C287="LT",Config!$F$3,Config!$F$15))/IF($C287="LT",Config!$G$3,Config!$G$15)))</f>
        <v/>
      </c>
      <c r="U287">
        <f>IF(OR(I287=0,I287=""),"",ABS((I287-IF($C287="LT",Config!$F$4,Config!$F$16))/IF($C287="LT",Config!$G$4,Config!$G$16)))</f>
        <v/>
      </c>
      <c r="V287">
        <f>IF(OR(J287=0,J287=""),"",ABS((J287-IF($C287="LT",Config!$F$5,Config!$F$17))/IF($C287="LT",Config!$G$5,Config!$G$17)))</f>
        <v/>
      </c>
      <c r="W287">
        <f>IF(OR(K287=0,K287=""),"",ABS((K287-IF($C287="LT",Config!$F$6,Config!$F$18))/IF($C287="LT",Config!$G$6,Config!$G$18)))</f>
        <v/>
      </c>
      <c r="X287">
        <f>IF(OR(L287=0,L287=""),"",ABS((L287-IF($C287="LT",Config!$F$7,Config!$F$19))/IF($C287="LT",Config!$G$7,Config!$G$19)))</f>
        <v/>
      </c>
      <c r="Y287">
        <f>IF(OR(M287=0,M287=""),"",ABS((M287-IF($C287="LT",Config!$F$8,Config!$F$20))/IF($C287="LT",Config!$G$8,Config!$G$20)))</f>
        <v/>
      </c>
      <c r="Z287">
        <f>IF(OR(N287=0,N287=""),"",ABS((N287-IF($C287="LT",Config!$F$9,Config!$F$21))/IF($C287="LT",Config!$G$9,Config!$G$21)))</f>
        <v/>
      </c>
      <c r="AA287">
        <f>IF(OR(O287=0,O287=""),"",ABS((O287-IF($C287="LT",Config!$F$10,Config!$F$22))/IF($C287="LT",Config!$G$10,Config!$G$22)))</f>
        <v/>
      </c>
      <c r="AB287">
        <f>IF(OR(P287=0,P287=""),"",ABS((P287-IF($C287="LT",Config!$F$11,Config!$F$23))/IF($C287="LT",Config!$G$11,Config!$G$23)))</f>
        <v/>
      </c>
      <c r="AC287">
        <f>IF(OR(Q287=0,Q287=""),"",ABS((Q287-IF($C287="LT",Config!$F$12,Config!$F$24))/IF($C287="LT",Config!$G$12,Config!$G$24)))</f>
        <v/>
      </c>
      <c r="AD287">
        <f>IF(OR(R287=0,R287=""),"",ABS((R287-IF($C287="LT",Config!$F$13,Config!$F$25))/IF($C287="LT",Config!$G$13,Config!$G$25)))</f>
        <v/>
      </c>
    </row>
    <row r="288">
      <c r="A288" t="inlineStr">
        <is>
          <t>04C1026120889</t>
        </is>
      </c>
      <c r="B288" t="inlineStr">
        <is>
          <t>CRS0000675</t>
        </is>
      </c>
      <c r="C288" t="inlineStr">
        <is>
          <t>LT</t>
        </is>
      </c>
      <c r="D288" t="inlineStr">
        <is>
          <t>ALX440U-DS3B01</t>
        </is>
      </c>
      <c r="E288" s="2" t="n">
        <v>46094</v>
      </c>
      <c r="F288" t="inlineStr">
        <is>
          <t>Fail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>
        <f>IF(OR(G288=0,G288=""),"",ABS((G288-IF($C288="LT",Config!$F$2,Config!$F$14))/IF($C288="LT",Config!$G$2,Config!$G$14)))</f>
        <v/>
      </c>
      <c r="T288">
        <f>IF(OR(H288=0,H288=""),"",ABS((H288-IF($C288="LT",Config!$F$3,Config!$F$15))/IF($C288="LT",Config!$G$3,Config!$G$15)))</f>
        <v/>
      </c>
      <c r="U288">
        <f>IF(OR(I288=0,I288=""),"",ABS((I288-IF($C288="LT",Config!$F$4,Config!$F$16))/IF($C288="LT",Config!$G$4,Config!$G$16)))</f>
        <v/>
      </c>
      <c r="V288">
        <f>IF(OR(J288=0,J288=""),"",ABS((J288-IF($C288="LT",Config!$F$5,Config!$F$17))/IF($C288="LT",Config!$G$5,Config!$G$17)))</f>
        <v/>
      </c>
      <c r="W288">
        <f>IF(OR(K288=0,K288=""),"",ABS((K288-IF($C288="LT",Config!$F$6,Config!$F$18))/IF($C288="LT",Config!$G$6,Config!$G$18)))</f>
        <v/>
      </c>
      <c r="X288">
        <f>IF(OR(L288=0,L288=""),"",ABS((L288-IF($C288="LT",Config!$F$7,Config!$F$19))/IF($C288="LT",Config!$G$7,Config!$G$19)))</f>
        <v/>
      </c>
      <c r="Y288">
        <f>IF(OR(M288=0,M288=""),"",ABS((M288-IF($C288="LT",Config!$F$8,Config!$F$20))/IF($C288="LT",Config!$G$8,Config!$G$20)))</f>
        <v/>
      </c>
      <c r="Z288">
        <f>IF(OR(N288=0,N288=""),"",ABS((N288-IF($C288="LT",Config!$F$9,Config!$F$21))/IF($C288="LT",Config!$G$9,Config!$G$21)))</f>
        <v/>
      </c>
      <c r="AA288">
        <f>IF(OR(O288=0,O288=""),"",ABS((O288-IF($C288="LT",Config!$F$10,Config!$F$22))/IF($C288="LT",Config!$G$10,Config!$G$22)))</f>
        <v/>
      </c>
      <c r="AB288">
        <f>IF(OR(P288=0,P288=""),"",ABS((P288-IF($C288="LT",Config!$F$11,Config!$F$23))/IF($C288="LT",Config!$G$11,Config!$G$23)))</f>
        <v/>
      </c>
      <c r="AC288">
        <f>IF(OR(Q288=0,Q288=""),"",ABS((Q288-IF($C288="LT",Config!$F$12,Config!$F$24))/IF($C288="LT",Config!$G$12,Config!$G$24)))</f>
        <v/>
      </c>
      <c r="AD288">
        <f>IF(OR(R288=0,R288=""),"",ABS((R288-IF($C288="LT",Config!$F$13,Config!$F$25))/IF($C288="LT",Config!$G$13,Config!$G$25)))</f>
        <v/>
      </c>
    </row>
    <row r="289">
      <c r="A289" t="inlineStr">
        <is>
          <t>04C1226120937</t>
        </is>
      </c>
      <c r="B289" t="inlineStr">
        <is>
          <t>CRS0000674</t>
        </is>
      </c>
      <c r="C289" t="inlineStr">
        <is>
          <t>MT</t>
        </is>
      </c>
      <c r="D289" t="inlineStr">
        <is>
          <t>TCX413U-DS1B01</t>
        </is>
      </c>
      <c r="E289" s="2" t="n">
        <v>46094</v>
      </c>
      <c r="F289" t="inlineStr">
        <is>
          <t>Fail</t>
        </is>
      </c>
      <c r="G289" t="n">
        <v>104.8</v>
      </c>
      <c r="H289" t="n">
        <v>78.40000000000001</v>
      </c>
      <c r="I289" t="n">
        <v>-1957.8</v>
      </c>
      <c r="J289" t="n">
        <v>63.7</v>
      </c>
      <c r="K289" t="n">
        <v>0</v>
      </c>
      <c r="L289" t="n">
        <v>0.1</v>
      </c>
      <c r="M289" t="n">
        <v>0</v>
      </c>
      <c r="N289" t="n">
        <v>63.8</v>
      </c>
      <c r="O289" t="n">
        <v>115.82</v>
      </c>
      <c r="P289" t="n">
        <v>117.29</v>
      </c>
      <c r="Q289" t="n">
        <v>3.59</v>
      </c>
      <c r="R289" t="n">
        <v>3.71</v>
      </c>
      <c r="S289">
        <f>IF(OR(G289=0,G289=""),"",ABS((G289-IF($C289="LT",Config!$F$2,Config!$F$14))/IF($C289="LT",Config!$G$2,Config!$G$14)))</f>
        <v/>
      </c>
      <c r="T289">
        <f>IF(OR(H289=0,H289=""),"",ABS((H289-IF($C289="LT",Config!$F$3,Config!$F$15))/IF($C289="LT",Config!$G$3,Config!$G$15)))</f>
        <v/>
      </c>
      <c r="U289">
        <f>IF(OR(I289=0,I289=""),"",ABS((I289-IF($C289="LT",Config!$F$4,Config!$F$16))/IF($C289="LT",Config!$G$4,Config!$G$16)))</f>
        <v/>
      </c>
      <c r="V289">
        <f>IF(OR(J289=0,J289=""),"",ABS((J289-IF($C289="LT",Config!$F$5,Config!$F$17))/IF($C289="LT",Config!$G$5,Config!$G$17)))</f>
        <v/>
      </c>
      <c r="W289">
        <f>IF(OR(K289=0,K289=""),"",ABS((K289-IF($C289="LT",Config!$F$6,Config!$F$18))/IF($C289="LT",Config!$G$6,Config!$G$18)))</f>
        <v/>
      </c>
      <c r="X289">
        <f>IF(OR(L289=0,L289=""),"",ABS((L289-IF($C289="LT",Config!$F$7,Config!$F$19))/IF($C289="LT",Config!$G$7,Config!$G$19)))</f>
        <v/>
      </c>
      <c r="Y289">
        <f>IF(OR(M289=0,M289=""),"",ABS((M289-IF($C289="LT",Config!$F$8,Config!$F$20))/IF($C289="LT",Config!$G$8,Config!$G$20)))</f>
        <v/>
      </c>
      <c r="Z289">
        <f>IF(OR(N289=0,N289=""),"",ABS((N289-IF($C289="LT",Config!$F$9,Config!$F$21))/IF($C289="LT",Config!$G$9,Config!$G$21)))</f>
        <v/>
      </c>
      <c r="AA289">
        <f>IF(OR(O289=0,O289=""),"",ABS((O289-IF($C289="LT",Config!$F$10,Config!$F$22))/IF($C289="LT",Config!$G$10,Config!$G$22)))</f>
        <v/>
      </c>
      <c r="AB289">
        <f>IF(OR(P289=0,P289=""),"",ABS((P289-IF($C289="LT",Config!$F$11,Config!$F$23))/IF($C289="LT",Config!$G$11,Config!$G$23)))</f>
        <v/>
      </c>
      <c r="AC289">
        <f>IF(OR(Q289=0,Q289=""),"",ABS((Q289-IF($C289="LT",Config!$F$12,Config!$F$24))/IF($C289="LT",Config!$G$12,Config!$G$24)))</f>
        <v/>
      </c>
      <c r="AD289">
        <f>IF(OR(R289=0,R289=""),"",ABS((R289-IF($C289="LT",Config!$F$13,Config!$F$25))/IF($C289="LT",Config!$G$13,Config!$G$25)))</f>
        <v/>
      </c>
    </row>
    <row r="290">
      <c r="A290" t="inlineStr">
        <is>
          <t>04C1226120937</t>
        </is>
      </c>
      <c r="B290" t="inlineStr">
        <is>
          <t>CRS0000674</t>
        </is>
      </c>
      <c r="C290" t="inlineStr">
        <is>
          <t>MT</t>
        </is>
      </c>
      <c r="D290" t="inlineStr">
        <is>
          <t>TCX413U-DS1B01</t>
        </is>
      </c>
      <c r="E290" s="2" t="n">
        <v>46094</v>
      </c>
      <c r="F290" t="inlineStr">
        <is>
          <t>Pass</t>
        </is>
      </c>
      <c r="G290" t="n">
        <v>112.4</v>
      </c>
      <c r="H290" t="n">
        <v>76.59999999999999</v>
      </c>
      <c r="I290" t="n">
        <v>-1957.8</v>
      </c>
      <c r="J290" t="n">
        <v>64.59999999999999</v>
      </c>
      <c r="K290" t="n">
        <v>0</v>
      </c>
      <c r="L290" t="n">
        <v>2.2</v>
      </c>
      <c r="M290" t="n">
        <v>0</v>
      </c>
      <c r="N290" t="n">
        <v>66.8</v>
      </c>
      <c r="O290" t="n">
        <v>115.82</v>
      </c>
      <c r="P290" t="n">
        <v>117.36</v>
      </c>
      <c r="Q290" t="n">
        <v>3.76</v>
      </c>
      <c r="R290" t="n">
        <v>3.78</v>
      </c>
      <c r="S290">
        <f>IF(OR(G290=0,G290=""),"",ABS((G290-IF($C290="LT",Config!$F$2,Config!$F$14))/IF($C290="LT",Config!$G$2,Config!$G$14)))</f>
        <v/>
      </c>
      <c r="T290">
        <f>IF(OR(H290=0,H290=""),"",ABS((H290-IF($C290="LT",Config!$F$3,Config!$F$15))/IF($C290="LT",Config!$G$3,Config!$G$15)))</f>
        <v/>
      </c>
      <c r="U290">
        <f>IF(OR(I290=0,I290=""),"",ABS((I290-IF($C290="LT",Config!$F$4,Config!$F$16))/IF($C290="LT",Config!$G$4,Config!$G$16)))</f>
        <v/>
      </c>
      <c r="V290">
        <f>IF(OR(J290=0,J290=""),"",ABS((J290-IF($C290="LT",Config!$F$5,Config!$F$17))/IF($C290="LT",Config!$G$5,Config!$G$17)))</f>
        <v/>
      </c>
      <c r="W290">
        <f>IF(OR(K290=0,K290=""),"",ABS((K290-IF($C290="LT",Config!$F$6,Config!$F$18))/IF($C290="LT",Config!$G$6,Config!$G$18)))</f>
        <v/>
      </c>
      <c r="X290">
        <f>IF(OR(L290=0,L290=""),"",ABS((L290-IF($C290="LT",Config!$F$7,Config!$F$19))/IF($C290="LT",Config!$G$7,Config!$G$19)))</f>
        <v/>
      </c>
      <c r="Y290">
        <f>IF(OR(M290=0,M290=""),"",ABS((M290-IF($C290="LT",Config!$F$8,Config!$F$20))/IF($C290="LT",Config!$G$8,Config!$G$20)))</f>
        <v/>
      </c>
      <c r="Z290">
        <f>IF(OR(N290=0,N290=""),"",ABS((N290-IF($C290="LT",Config!$F$9,Config!$F$21))/IF($C290="LT",Config!$G$9,Config!$G$21)))</f>
        <v/>
      </c>
      <c r="AA290">
        <f>IF(OR(O290=0,O290=""),"",ABS((O290-IF($C290="LT",Config!$F$10,Config!$F$22))/IF($C290="LT",Config!$G$10,Config!$G$22)))</f>
        <v/>
      </c>
      <c r="AB290">
        <f>IF(OR(P290=0,P290=""),"",ABS((P290-IF($C290="LT",Config!$F$11,Config!$F$23))/IF($C290="LT",Config!$G$11,Config!$G$23)))</f>
        <v/>
      </c>
      <c r="AC290">
        <f>IF(OR(Q290=0,Q290=""),"",ABS((Q290-IF($C290="LT",Config!$F$12,Config!$F$24))/IF($C290="LT",Config!$G$12,Config!$G$24)))</f>
        <v/>
      </c>
      <c r="AD290">
        <f>IF(OR(R290=0,R290=""),"",ABS((R290-IF($C290="LT",Config!$F$13,Config!$F$25))/IF($C290="LT",Config!$G$13,Config!$G$25)))</f>
        <v/>
      </c>
    </row>
    <row r="291">
      <c r="A291" t="inlineStr">
        <is>
          <t>04C1326120938</t>
        </is>
      </c>
      <c r="B291" t="inlineStr">
        <is>
          <t>CRS0000674</t>
        </is>
      </c>
      <c r="C291" t="inlineStr">
        <is>
          <t>MT</t>
        </is>
      </c>
      <c r="D291" t="inlineStr">
        <is>
          <t>TCX413U-DS1B01</t>
        </is>
      </c>
      <c r="E291" s="2" t="n">
        <v>46094</v>
      </c>
      <c r="F291" t="inlineStr">
        <is>
          <t>Fail</t>
        </is>
      </c>
      <c r="G291" t="n">
        <v>104.8</v>
      </c>
      <c r="H291" t="n">
        <v>74.3</v>
      </c>
      <c r="I291" t="n">
        <v>-1957.8</v>
      </c>
      <c r="J291" t="n">
        <v>64.09999999999999</v>
      </c>
      <c r="K291" t="n">
        <v>0</v>
      </c>
      <c r="L291" t="n">
        <v>2.1</v>
      </c>
      <c r="M291" t="n">
        <v>0</v>
      </c>
      <c r="N291" t="n">
        <v>66.2</v>
      </c>
      <c r="O291" t="n">
        <v>115.6</v>
      </c>
      <c r="P291" t="n">
        <v>113.99</v>
      </c>
      <c r="Q291" t="n">
        <v>3.69</v>
      </c>
      <c r="R291" t="n">
        <v>3.76</v>
      </c>
      <c r="S291">
        <f>IF(OR(G291=0,G291=""),"",ABS((G291-IF($C291="LT",Config!$F$2,Config!$F$14))/IF($C291="LT",Config!$G$2,Config!$G$14)))</f>
        <v/>
      </c>
      <c r="T291">
        <f>IF(OR(H291=0,H291=""),"",ABS((H291-IF($C291="LT",Config!$F$3,Config!$F$15))/IF($C291="LT",Config!$G$3,Config!$G$15)))</f>
        <v/>
      </c>
      <c r="U291">
        <f>IF(OR(I291=0,I291=""),"",ABS((I291-IF($C291="LT",Config!$F$4,Config!$F$16))/IF($C291="LT",Config!$G$4,Config!$G$16)))</f>
        <v/>
      </c>
      <c r="V291">
        <f>IF(OR(J291=0,J291=""),"",ABS((J291-IF($C291="LT",Config!$F$5,Config!$F$17))/IF($C291="LT",Config!$G$5,Config!$G$17)))</f>
        <v/>
      </c>
      <c r="W291">
        <f>IF(OR(K291=0,K291=""),"",ABS((K291-IF($C291="LT",Config!$F$6,Config!$F$18))/IF($C291="LT",Config!$G$6,Config!$G$18)))</f>
        <v/>
      </c>
      <c r="X291">
        <f>IF(OR(L291=0,L291=""),"",ABS((L291-IF($C291="LT",Config!$F$7,Config!$F$19))/IF($C291="LT",Config!$G$7,Config!$G$19)))</f>
        <v/>
      </c>
      <c r="Y291">
        <f>IF(OR(M291=0,M291=""),"",ABS((M291-IF($C291="LT",Config!$F$8,Config!$F$20))/IF($C291="LT",Config!$G$8,Config!$G$20)))</f>
        <v/>
      </c>
      <c r="Z291">
        <f>IF(OR(N291=0,N291=""),"",ABS((N291-IF($C291="LT",Config!$F$9,Config!$F$21))/IF($C291="LT",Config!$G$9,Config!$G$21)))</f>
        <v/>
      </c>
      <c r="AA291">
        <f>IF(OR(O291=0,O291=""),"",ABS((O291-IF($C291="LT",Config!$F$10,Config!$F$22))/IF($C291="LT",Config!$G$10,Config!$G$22)))</f>
        <v/>
      </c>
      <c r="AB291">
        <f>IF(OR(P291=0,P291=""),"",ABS((P291-IF($C291="LT",Config!$F$11,Config!$F$23))/IF($C291="LT",Config!$G$11,Config!$G$23)))</f>
        <v/>
      </c>
      <c r="AC291">
        <f>IF(OR(Q291=0,Q291=""),"",ABS((Q291-IF($C291="LT",Config!$F$12,Config!$F$24))/IF($C291="LT",Config!$G$12,Config!$G$24)))</f>
        <v/>
      </c>
      <c r="AD291">
        <f>IF(OR(R291=0,R291=""),"",ABS((R291-IF($C291="LT",Config!$F$13,Config!$F$25))/IF($C291="LT",Config!$G$13,Config!$G$25)))</f>
        <v/>
      </c>
    </row>
    <row r="292">
      <c r="A292" t="inlineStr">
        <is>
          <t>04C1326120938</t>
        </is>
      </c>
      <c r="B292" t="inlineStr">
        <is>
          <t>CRS0000674</t>
        </is>
      </c>
      <c r="C292" t="inlineStr">
        <is>
          <t>MT</t>
        </is>
      </c>
      <c r="D292" t="inlineStr">
        <is>
          <t>TCX413U-DS1B01</t>
        </is>
      </c>
      <c r="E292" s="2" t="n">
        <v>46094</v>
      </c>
      <c r="F292" t="inlineStr">
        <is>
          <t>Pass</t>
        </is>
      </c>
      <c r="G292" t="n">
        <v>109.3</v>
      </c>
      <c r="H292" t="n">
        <v>75.7</v>
      </c>
      <c r="I292" t="n">
        <v>-1957.8</v>
      </c>
      <c r="J292" t="n">
        <v>64.09999999999999</v>
      </c>
      <c r="K292" t="n">
        <v>0</v>
      </c>
      <c r="L292" t="n">
        <v>1.6</v>
      </c>
      <c r="M292" t="n">
        <v>0</v>
      </c>
      <c r="N292" t="n">
        <v>65.7</v>
      </c>
      <c r="O292" t="n">
        <v>115.75</v>
      </c>
      <c r="P292" t="n">
        <v>117.29</v>
      </c>
      <c r="Q292" t="n">
        <v>3.71</v>
      </c>
      <c r="R292" t="n">
        <v>3.74</v>
      </c>
      <c r="S292">
        <f>IF(OR(G292=0,G292=""),"",ABS((G292-IF($C292="LT",Config!$F$2,Config!$F$14))/IF($C292="LT",Config!$G$2,Config!$G$14)))</f>
        <v/>
      </c>
      <c r="T292">
        <f>IF(OR(H292=0,H292=""),"",ABS((H292-IF($C292="LT",Config!$F$3,Config!$F$15))/IF($C292="LT",Config!$G$3,Config!$G$15)))</f>
        <v/>
      </c>
      <c r="U292">
        <f>IF(OR(I292=0,I292=""),"",ABS((I292-IF($C292="LT",Config!$F$4,Config!$F$16))/IF($C292="LT",Config!$G$4,Config!$G$16)))</f>
        <v/>
      </c>
      <c r="V292">
        <f>IF(OR(J292=0,J292=""),"",ABS((J292-IF($C292="LT",Config!$F$5,Config!$F$17))/IF($C292="LT",Config!$G$5,Config!$G$17)))</f>
        <v/>
      </c>
      <c r="W292">
        <f>IF(OR(K292=0,K292=""),"",ABS((K292-IF($C292="LT",Config!$F$6,Config!$F$18))/IF($C292="LT",Config!$G$6,Config!$G$18)))</f>
        <v/>
      </c>
      <c r="X292">
        <f>IF(OR(L292=0,L292=""),"",ABS((L292-IF($C292="LT",Config!$F$7,Config!$F$19))/IF($C292="LT",Config!$G$7,Config!$G$19)))</f>
        <v/>
      </c>
      <c r="Y292">
        <f>IF(OR(M292=0,M292=""),"",ABS((M292-IF($C292="LT",Config!$F$8,Config!$F$20))/IF($C292="LT",Config!$G$8,Config!$G$20)))</f>
        <v/>
      </c>
      <c r="Z292">
        <f>IF(OR(N292=0,N292=""),"",ABS((N292-IF($C292="LT",Config!$F$9,Config!$F$21))/IF($C292="LT",Config!$G$9,Config!$G$21)))</f>
        <v/>
      </c>
      <c r="AA292">
        <f>IF(OR(O292=0,O292=""),"",ABS((O292-IF($C292="LT",Config!$F$10,Config!$F$22))/IF($C292="LT",Config!$G$10,Config!$G$22)))</f>
        <v/>
      </c>
      <c r="AB292">
        <f>IF(OR(P292=0,P292=""),"",ABS((P292-IF($C292="LT",Config!$F$11,Config!$F$23))/IF($C292="LT",Config!$G$11,Config!$G$23)))</f>
        <v/>
      </c>
      <c r="AC292">
        <f>IF(OR(Q292=0,Q292=""),"",ABS((Q292-IF($C292="LT",Config!$F$12,Config!$F$24))/IF($C292="LT",Config!$G$12,Config!$G$24)))</f>
        <v/>
      </c>
      <c r="AD292">
        <f>IF(OR(R292=0,R292=""),"",ABS((R292-IF($C292="LT",Config!$F$13,Config!$F$25))/IF($C292="LT",Config!$G$13,Config!$G$25)))</f>
        <v/>
      </c>
    </row>
    <row r="293">
      <c r="A293" t="inlineStr">
        <is>
          <t>04C1326120939</t>
        </is>
      </c>
      <c r="B293" t="inlineStr">
        <is>
          <t>CRS0000674</t>
        </is>
      </c>
      <c r="C293" t="inlineStr">
        <is>
          <t>MT</t>
        </is>
      </c>
      <c r="D293" t="inlineStr">
        <is>
          <t>TCX413U-DS1B01</t>
        </is>
      </c>
      <c r="E293" s="2" t="n">
        <v>46094</v>
      </c>
      <c r="F293" t="inlineStr">
        <is>
          <t>Fail</t>
        </is>
      </c>
      <c r="G293" t="n">
        <v>108.8</v>
      </c>
      <c r="H293" t="n">
        <v>75.7</v>
      </c>
      <c r="I293" t="n">
        <v>-1957.8</v>
      </c>
      <c r="J293" t="n">
        <v>64.59999999999999</v>
      </c>
      <c r="K293" t="n">
        <v>0</v>
      </c>
      <c r="L293" t="n">
        <v>0.7</v>
      </c>
      <c r="M293" t="n">
        <v>0</v>
      </c>
      <c r="N293" t="n">
        <v>63.9</v>
      </c>
      <c r="O293" t="n">
        <v>115.6</v>
      </c>
      <c r="P293" t="n">
        <v>114.06</v>
      </c>
      <c r="Q293" t="n">
        <v>3.66</v>
      </c>
      <c r="R293" t="n">
        <v>3.74</v>
      </c>
      <c r="S293">
        <f>IF(OR(G293=0,G293=""),"",ABS((G293-IF($C293="LT",Config!$F$2,Config!$F$14))/IF($C293="LT",Config!$G$2,Config!$G$14)))</f>
        <v/>
      </c>
      <c r="T293">
        <f>IF(OR(H293=0,H293=""),"",ABS((H293-IF($C293="LT",Config!$F$3,Config!$F$15))/IF($C293="LT",Config!$G$3,Config!$G$15)))</f>
        <v/>
      </c>
      <c r="U293">
        <f>IF(OR(I293=0,I293=""),"",ABS((I293-IF($C293="LT",Config!$F$4,Config!$F$16))/IF($C293="LT",Config!$G$4,Config!$G$16)))</f>
        <v/>
      </c>
      <c r="V293">
        <f>IF(OR(J293=0,J293=""),"",ABS((J293-IF($C293="LT",Config!$F$5,Config!$F$17))/IF($C293="LT",Config!$G$5,Config!$G$17)))</f>
        <v/>
      </c>
      <c r="W293">
        <f>IF(OR(K293=0,K293=""),"",ABS((K293-IF($C293="LT",Config!$F$6,Config!$F$18))/IF($C293="LT",Config!$G$6,Config!$G$18)))</f>
        <v/>
      </c>
      <c r="X293">
        <f>IF(OR(L293=0,L293=""),"",ABS((L293-IF($C293="LT",Config!$F$7,Config!$F$19))/IF($C293="LT",Config!$G$7,Config!$G$19)))</f>
        <v/>
      </c>
      <c r="Y293">
        <f>IF(OR(M293=0,M293=""),"",ABS((M293-IF($C293="LT",Config!$F$8,Config!$F$20))/IF($C293="LT",Config!$G$8,Config!$G$20)))</f>
        <v/>
      </c>
      <c r="Z293">
        <f>IF(OR(N293=0,N293=""),"",ABS((N293-IF($C293="LT",Config!$F$9,Config!$F$21))/IF($C293="LT",Config!$G$9,Config!$G$21)))</f>
        <v/>
      </c>
      <c r="AA293">
        <f>IF(OR(O293=0,O293=""),"",ABS((O293-IF($C293="LT",Config!$F$10,Config!$F$22))/IF($C293="LT",Config!$G$10,Config!$G$22)))</f>
        <v/>
      </c>
      <c r="AB293">
        <f>IF(OR(P293=0,P293=""),"",ABS((P293-IF($C293="LT",Config!$F$11,Config!$F$23))/IF($C293="LT",Config!$G$11,Config!$G$23)))</f>
        <v/>
      </c>
      <c r="AC293">
        <f>IF(OR(Q293=0,Q293=""),"",ABS((Q293-IF($C293="LT",Config!$F$12,Config!$F$24))/IF($C293="LT",Config!$G$12,Config!$G$24)))</f>
        <v/>
      </c>
      <c r="AD293">
        <f>IF(OR(R293=0,R293=""),"",ABS((R293-IF($C293="LT",Config!$F$13,Config!$F$25))/IF($C293="LT",Config!$G$13,Config!$G$25)))</f>
        <v/>
      </c>
    </row>
    <row r="294">
      <c r="A294" t="inlineStr">
        <is>
          <t>04C1326120939</t>
        </is>
      </c>
      <c r="B294" t="inlineStr">
        <is>
          <t>CRS0000674</t>
        </is>
      </c>
      <c r="C294" t="inlineStr">
        <is>
          <t>MT</t>
        </is>
      </c>
      <c r="D294" t="inlineStr">
        <is>
          <t>TCX413U-DS1B01</t>
        </is>
      </c>
      <c r="E294" s="2" t="n">
        <v>46094</v>
      </c>
      <c r="F294" t="inlineStr">
        <is>
          <t>Pass</t>
        </is>
      </c>
      <c r="G294" t="n">
        <v>111.1</v>
      </c>
      <c r="H294" t="n">
        <v>76.59999999999999</v>
      </c>
      <c r="I294" t="n">
        <v>-1957.8</v>
      </c>
      <c r="J294" t="n">
        <v>65</v>
      </c>
      <c r="K294" t="n">
        <v>0</v>
      </c>
      <c r="L294" t="n">
        <v>0.8</v>
      </c>
      <c r="M294" t="n">
        <v>0</v>
      </c>
      <c r="N294" t="n">
        <v>65.8</v>
      </c>
      <c r="O294" t="n">
        <v>115.24</v>
      </c>
      <c r="P294" t="n">
        <v>115.31</v>
      </c>
      <c r="Q294" t="n">
        <v>3.76</v>
      </c>
      <c r="R294" t="n">
        <v>3.78</v>
      </c>
      <c r="S294">
        <f>IF(OR(G294=0,G294=""),"",ABS((G294-IF($C294="LT",Config!$F$2,Config!$F$14))/IF($C294="LT",Config!$G$2,Config!$G$14)))</f>
        <v/>
      </c>
      <c r="T294">
        <f>IF(OR(H294=0,H294=""),"",ABS((H294-IF($C294="LT",Config!$F$3,Config!$F$15))/IF($C294="LT",Config!$G$3,Config!$G$15)))</f>
        <v/>
      </c>
      <c r="U294">
        <f>IF(OR(I294=0,I294=""),"",ABS((I294-IF($C294="LT",Config!$F$4,Config!$F$16))/IF($C294="LT",Config!$G$4,Config!$G$16)))</f>
        <v/>
      </c>
      <c r="V294">
        <f>IF(OR(J294=0,J294=""),"",ABS((J294-IF($C294="LT",Config!$F$5,Config!$F$17))/IF($C294="LT",Config!$G$5,Config!$G$17)))</f>
        <v/>
      </c>
      <c r="W294">
        <f>IF(OR(K294=0,K294=""),"",ABS((K294-IF($C294="LT",Config!$F$6,Config!$F$18))/IF($C294="LT",Config!$G$6,Config!$G$18)))</f>
        <v/>
      </c>
      <c r="X294">
        <f>IF(OR(L294=0,L294=""),"",ABS((L294-IF($C294="LT",Config!$F$7,Config!$F$19))/IF($C294="LT",Config!$G$7,Config!$G$19)))</f>
        <v/>
      </c>
      <c r="Y294">
        <f>IF(OR(M294=0,M294=""),"",ABS((M294-IF($C294="LT",Config!$F$8,Config!$F$20))/IF($C294="LT",Config!$G$8,Config!$G$20)))</f>
        <v/>
      </c>
      <c r="Z294">
        <f>IF(OR(N294=0,N294=""),"",ABS((N294-IF($C294="LT",Config!$F$9,Config!$F$21))/IF($C294="LT",Config!$G$9,Config!$G$21)))</f>
        <v/>
      </c>
      <c r="AA294">
        <f>IF(OR(O294=0,O294=""),"",ABS((O294-IF($C294="LT",Config!$F$10,Config!$F$22))/IF($C294="LT",Config!$G$10,Config!$G$22)))</f>
        <v/>
      </c>
      <c r="AB294">
        <f>IF(OR(P294=0,P294=""),"",ABS((P294-IF($C294="LT",Config!$F$11,Config!$F$23))/IF($C294="LT",Config!$G$11,Config!$G$23)))</f>
        <v/>
      </c>
      <c r="AC294">
        <f>IF(OR(Q294=0,Q294=""),"",ABS((Q294-IF($C294="LT",Config!$F$12,Config!$F$24))/IF($C294="LT",Config!$G$12,Config!$G$24)))</f>
        <v/>
      </c>
      <c r="AD294">
        <f>IF(OR(R294=0,R294=""),"",ABS((R294-IF($C294="LT",Config!$F$13,Config!$F$25))/IF($C294="LT",Config!$G$13,Config!$G$25)))</f>
        <v/>
      </c>
    </row>
    <row r="295">
      <c r="A295" t="inlineStr">
        <is>
          <t>04C1326120940</t>
        </is>
      </c>
      <c r="B295" t="inlineStr">
        <is>
          <t>CRS0000674</t>
        </is>
      </c>
      <c r="C295" t="inlineStr">
        <is>
          <t>MT</t>
        </is>
      </c>
      <c r="D295" t="inlineStr">
        <is>
          <t>TCX413U-DS1B01</t>
        </is>
      </c>
      <c r="E295" s="2" t="n">
        <v>46094</v>
      </c>
      <c r="F295" t="inlineStr">
        <is>
          <t>Pass</t>
        </is>
      </c>
      <c r="G295" t="n">
        <v>114.6</v>
      </c>
      <c r="H295" t="n">
        <v>82.90000000000001</v>
      </c>
      <c r="I295" t="n">
        <v>-1957.8</v>
      </c>
      <c r="J295" t="n">
        <v>67.3</v>
      </c>
      <c r="K295" t="n">
        <v>0</v>
      </c>
      <c r="L295" t="n">
        <v>0.8</v>
      </c>
      <c r="M295" t="n">
        <v>0</v>
      </c>
      <c r="N295" t="n">
        <v>66.5</v>
      </c>
      <c r="O295" t="n">
        <v>112.08</v>
      </c>
      <c r="P295" t="n">
        <v>116.92</v>
      </c>
      <c r="Q295" t="n">
        <v>3.96</v>
      </c>
      <c r="R295" t="n">
        <v>3.93</v>
      </c>
      <c r="S295">
        <f>IF(OR(G295=0,G295=""),"",ABS((G295-IF($C295="LT",Config!$F$2,Config!$F$14))/IF($C295="LT",Config!$G$2,Config!$G$14)))</f>
        <v/>
      </c>
      <c r="T295">
        <f>IF(OR(H295=0,H295=""),"",ABS((H295-IF($C295="LT",Config!$F$3,Config!$F$15))/IF($C295="LT",Config!$G$3,Config!$G$15)))</f>
        <v/>
      </c>
      <c r="U295">
        <f>IF(OR(I295=0,I295=""),"",ABS((I295-IF($C295="LT",Config!$F$4,Config!$F$16))/IF($C295="LT",Config!$G$4,Config!$G$16)))</f>
        <v/>
      </c>
      <c r="V295">
        <f>IF(OR(J295=0,J295=""),"",ABS((J295-IF($C295="LT",Config!$F$5,Config!$F$17))/IF($C295="LT",Config!$G$5,Config!$G$17)))</f>
        <v/>
      </c>
      <c r="W295">
        <f>IF(OR(K295=0,K295=""),"",ABS((K295-IF($C295="LT",Config!$F$6,Config!$F$18))/IF($C295="LT",Config!$G$6,Config!$G$18)))</f>
        <v/>
      </c>
      <c r="X295">
        <f>IF(OR(L295=0,L295=""),"",ABS((L295-IF($C295="LT",Config!$F$7,Config!$F$19))/IF($C295="LT",Config!$G$7,Config!$G$19)))</f>
        <v/>
      </c>
      <c r="Y295">
        <f>IF(OR(M295=0,M295=""),"",ABS((M295-IF($C295="LT",Config!$F$8,Config!$F$20))/IF($C295="LT",Config!$G$8,Config!$G$20)))</f>
        <v/>
      </c>
      <c r="Z295">
        <f>IF(OR(N295=0,N295=""),"",ABS((N295-IF($C295="LT",Config!$F$9,Config!$F$21))/IF($C295="LT",Config!$G$9,Config!$G$21)))</f>
        <v/>
      </c>
      <c r="AA295">
        <f>IF(OR(O295=0,O295=""),"",ABS((O295-IF($C295="LT",Config!$F$10,Config!$F$22))/IF($C295="LT",Config!$G$10,Config!$G$22)))</f>
        <v/>
      </c>
      <c r="AB295">
        <f>IF(OR(P295=0,P295=""),"",ABS((P295-IF($C295="LT",Config!$F$11,Config!$F$23))/IF($C295="LT",Config!$G$11,Config!$G$23)))</f>
        <v/>
      </c>
      <c r="AC295">
        <f>IF(OR(Q295=0,Q295=""),"",ABS((Q295-IF($C295="LT",Config!$F$12,Config!$F$24))/IF($C295="LT",Config!$G$12,Config!$G$24)))</f>
        <v/>
      </c>
      <c r="AD295">
        <f>IF(OR(R295=0,R295=""),"",ABS((R295-IF($C295="LT",Config!$F$13,Config!$F$25))/IF($C295="LT",Config!$G$13,Config!$G$25)))</f>
        <v/>
      </c>
    </row>
    <row r="296">
      <c r="A296" t="inlineStr">
        <is>
          <t>04C1326120941</t>
        </is>
      </c>
      <c r="B296" t="inlineStr">
        <is>
          <t>CRS0000674</t>
        </is>
      </c>
      <c r="C296" t="inlineStr">
        <is>
          <t>MT</t>
        </is>
      </c>
      <c r="D296" t="inlineStr">
        <is>
          <t>TCX413U-DS1B01</t>
        </is>
      </c>
      <c r="E296" s="2" t="n">
        <v>46094</v>
      </c>
      <c r="F296" t="inlineStr">
        <is>
          <t>Pass</t>
        </is>
      </c>
      <c r="G296" t="n">
        <v>110.2</v>
      </c>
      <c r="H296" t="n">
        <v>78.90000000000001</v>
      </c>
      <c r="I296" t="n">
        <v>-1957.8</v>
      </c>
      <c r="J296" t="n">
        <v>68.59999999999999</v>
      </c>
      <c r="K296" t="n">
        <v>0</v>
      </c>
      <c r="L296" t="n">
        <v>2.1</v>
      </c>
      <c r="M296" t="n">
        <v>0</v>
      </c>
      <c r="N296" t="n">
        <v>70.7</v>
      </c>
      <c r="O296" t="n">
        <v>115.38</v>
      </c>
      <c r="P296" t="n">
        <v>115.46</v>
      </c>
      <c r="Q296" t="n">
        <v>3.69</v>
      </c>
      <c r="R296" t="n">
        <v>3.69</v>
      </c>
      <c r="S296">
        <f>IF(OR(G296=0,G296=""),"",ABS((G296-IF($C296="LT",Config!$F$2,Config!$F$14))/IF($C296="LT",Config!$G$2,Config!$G$14)))</f>
        <v/>
      </c>
      <c r="T296">
        <f>IF(OR(H296=0,H296=""),"",ABS((H296-IF($C296="LT",Config!$F$3,Config!$F$15))/IF($C296="LT",Config!$G$3,Config!$G$15)))</f>
        <v/>
      </c>
      <c r="U296">
        <f>IF(OR(I296=0,I296=""),"",ABS((I296-IF($C296="LT",Config!$F$4,Config!$F$16))/IF($C296="LT",Config!$G$4,Config!$G$16)))</f>
        <v/>
      </c>
      <c r="V296">
        <f>IF(OR(J296=0,J296=""),"",ABS((J296-IF($C296="LT",Config!$F$5,Config!$F$17))/IF($C296="LT",Config!$G$5,Config!$G$17)))</f>
        <v/>
      </c>
      <c r="W296">
        <f>IF(OR(K296=0,K296=""),"",ABS((K296-IF($C296="LT",Config!$F$6,Config!$F$18))/IF($C296="LT",Config!$G$6,Config!$G$18)))</f>
        <v/>
      </c>
      <c r="X296">
        <f>IF(OR(L296=0,L296=""),"",ABS((L296-IF($C296="LT",Config!$F$7,Config!$F$19))/IF($C296="LT",Config!$G$7,Config!$G$19)))</f>
        <v/>
      </c>
      <c r="Y296">
        <f>IF(OR(M296=0,M296=""),"",ABS((M296-IF($C296="LT",Config!$F$8,Config!$F$20))/IF($C296="LT",Config!$G$8,Config!$G$20)))</f>
        <v/>
      </c>
      <c r="Z296">
        <f>IF(OR(N296=0,N296=""),"",ABS((N296-IF($C296="LT",Config!$F$9,Config!$F$21))/IF($C296="LT",Config!$G$9,Config!$G$21)))</f>
        <v/>
      </c>
      <c r="AA296">
        <f>IF(OR(O296=0,O296=""),"",ABS((O296-IF($C296="LT",Config!$F$10,Config!$F$22))/IF($C296="LT",Config!$G$10,Config!$G$22)))</f>
        <v/>
      </c>
      <c r="AB296">
        <f>IF(OR(P296=0,P296=""),"",ABS((P296-IF($C296="LT",Config!$F$11,Config!$F$23))/IF($C296="LT",Config!$G$11,Config!$G$23)))</f>
        <v/>
      </c>
      <c r="AC296">
        <f>IF(OR(Q296=0,Q296=""),"",ABS((Q296-IF($C296="LT",Config!$F$12,Config!$F$24))/IF($C296="LT",Config!$G$12,Config!$G$24)))</f>
        <v/>
      </c>
      <c r="AD296">
        <f>IF(OR(R296=0,R296=""),"",ABS((R296-IF($C296="LT",Config!$F$13,Config!$F$25))/IF($C296="LT",Config!$G$13,Config!$G$25)))</f>
        <v/>
      </c>
    </row>
    <row r="297">
      <c r="A297" t="inlineStr">
        <is>
          <t>04C1326120942</t>
        </is>
      </c>
      <c r="B297" t="inlineStr">
        <is>
          <t>CRS0000674</t>
        </is>
      </c>
      <c r="C297" t="inlineStr">
        <is>
          <t>MT</t>
        </is>
      </c>
      <c r="D297" t="inlineStr">
        <is>
          <t>TCX413U-DS1B01</t>
        </is>
      </c>
      <c r="E297" s="2" t="n">
        <v>46094</v>
      </c>
      <c r="F297" t="inlineStr">
        <is>
          <t>Pass</t>
        </is>
      </c>
      <c r="G297" t="n">
        <v>116.4</v>
      </c>
      <c r="H297" t="n">
        <v>80.2</v>
      </c>
      <c r="I297" t="n">
        <v>-1957.8</v>
      </c>
      <c r="J297" t="n">
        <v>67.7</v>
      </c>
      <c r="K297" t="n">
        <v>0</v>
      </c>
      <c r="L297" t="n">
        <v>0.1</v>
      </c>
      <c r="M297" t="n">
        <v>0</v>
      </c>
      <c r="N297" t="n">
        <v>67.59999999999999</v>
      </c>
      <c r="O297" t="n">
        <v>115.53</v>
      </c>
      <c r="P297" t="n">
        <v>113.77</v>
      </c>
      <c r="Q297" t="n">
        <v>3.76</v>
      </c>
      <c r="R297" t="n">
        <v>3.86</v>
      </c>
      <c r="S297">
        <f>IF(OR(G297=0,G297=""),"",ABS((G297-IF($C297="LT",Config!$F$2,Config!$F$14))/IF($C297="LT",Config!$G$2,Config!$G$14)))</f>
        <v/>
      </c>
      <c r="T297">
        <f>IF(OR(H297=0,H297=""),"",ABS((H297-IF($C297="LT",Config!$F$3,Config!$F$15))/IF($C297="LT",Config!$G$3,Config!$G$15)))</f>
        <v/>
      </c>
      <c r="U297">
        <f>IF(OR(I297=0,I297=""),"",ABS((I297-IF($C297="LT",Config!$F$4,Config!$F$16))/IF($C297="LT",Config!$G$4,Config!$G$16)))</f>
        <v/>
      </c>
      <c r="V297">
        <f>IF(OR(J297=0,J297=""),"",ABS((J297-IF($C297="LT",Config!$F$5,Config!$F$17))/IF($C297="LT",Config!$G$5,Config!$G$17)))</f>
        <v/>
      </c>
      <c r="W297">
        <f>IF(OR(K297=0,K297=""),"",ABS((K297-IF($C297="LT",Config!$F$6,Config!$F$18))/IF($C297="LT",Config!$G$6,Config!$G$18)))</f>
        <v/>
      </c>
      <c r="X297">
        <f>IF(OR(L297=0,L297=""),"",ABS((L297-IF($C297="LT",Config!$F$7,Config!$F$19))/IF($C297="LT",Config!$G$7,Config!$G$19)))</f>
        <v/>
      </c>
      <c r="Y297">
        <f>IF(OR(M297=0,M297=""),"",ABS((M297-IF($C297="LT",Config!$F$8,Config!$F$20))/IF($C297="LT",Config!$G$8,Config!$G$20)))</f>
        <v/>
      </c>
      <c r="Z297">
        <f>IF(OR(N297=0,N297=""),"",ABS((N297-IF($C297="LT",Config!$F$9,Config!$F$21))/IF($C297="LT",Config!$G$9,Config!$G$21)))</f>
        <v/>
      </c>
      <c r="AA297">
        <f>IF(OR(O297=0,O297=""),"",ABS((O297-IF($C297="LT",Config!$F$10,Config!$F$22))/IF($C297="LT",Config!$G$10,Config!$G$22)))</f>
        <v/>
      </c>
      <c r="AB297">
        <f>IF(OR(P297=0,P297=""),"",ABS((P297-IF($C297="LT",Config!$F$11,Config!$F$23))/IF($C297="LT",Config!$G$11,Config!$G$23)))</f>
        <v/>
      </c>
      <c r="AC297">
        <f>IF(OR(Q297=0,Q297=""),"",ABS((Q297-IF($C297="LT",Config!$F$12,Config!$F$24))/IF($C297="LT",Config!$G$12,Config!$G$24)))</f>
        <v/>
      </c>
      <c r="AD297">
        <f>IF(OR(R297=0,R297=""),"",ABS((R297-IF($C297="LT",Config!$F$13,Config!$F$25))/IF($C297="LT",Config!$G$13,Config!$G$25)))</f>
        <v/>
      </c>
    </row>
    <row r="298">
      <c r="A298" t="inlineStr">
        <is>
          <t>04C1326120943</t>
        </is>
      </c>
      <c r="B298" t="inlineStr">
        <is>
          <t>CRS0000674</t>
        </is>
      </c>
      <c r="C298" t="inlineStr">
        <is>
          <t>MT</t>
        </is>
      </c>
      <c r="D298" t="inlineStr">
        <is>
          <t>TCX413U-DS1B01</t>
        </is>
      </c>
      <c r="E298" s="2" t="n">
        <v>46094</v>
      </c>
      <c r="F298" t="inlineStr">
        <is>
          <t>Pass</t>
        </is>
      </c>
      <c r="G298" t="n">
        <v>113.7</v>
      </c>
      <c r="H298" t="n">
        <v>79.3</v>
      </c>
      <c r="I298" t="n">
        <v>-1957.8</v>
      </c>
      <c r="J298" t="n">
        <v>69.5</v>
      </c>
      <c r="K298" t="n">
        <v>0</v>
      </c>
      <c r="L298" t="n">
        <v>2.9</v>
      </c>
      <c r="M298" t="n">
        <v>0</v>
      </c>
      <c r="N298" t="n">
        <v>72.40000000000001</v>
      </c>
      <c r="O298" t="n">
        <v>111.94</v>
      </c>
      <c r="P298" t="n">
        <v>116.63</v>
      </c>
      <c r="Q298" t="n">
        <v>3.96</v>
      </c>
      <c r="R298" t="n">
        <v>3.88</v>
      </c>
      <c r="S298">
        <f>IF(OR(G298=0,G298=""),"",ABS((G298-IF($C298="LT",Config!$F$2,Config!$F$14))/IF($C298="LT",Config!$G$2,Config!$G$14)))</f>
        <v/>
      </c>
      <c r="T298">
        <f>IF(OR(H298=0,H298=""),"",ABS((H298-IF($C298="LT",Config!$F$3,Config!$F$15))/IF($C298="LT",Config!$G$3,Config!$G$15)))</f>
        <v/>
      </c>
      <c r="U298">
        <f>IF(OR(I298=0,I298=""),"",ABS((I298-IF($C298="LT",Config!$F$4,Config!$F$16))/IF($C298="LT",Config!$G$4,Config!$G$16)))</f>
        <v/>
      </c>
      <c r="V298">
        <f>IF(OR(J298=0,J298=""),"",ABS((J298-IF($C298="LT",Config!$F$5,Config!$F$17))/IF($C298="LT",Config!$G$5,Config!$G$17)))</f>
        <v/>
      </c>
      <c r="W298">
        <f>IF(OR(K298=0,K298=""),"",ABS((K298-IF($C298="LT",Config!$F$6,Config!$F$18))/IF($C298="LT",Config!$G$6,Config!$G$18)))</f>
        <v/>
      </c>
      <c r="X298">
        <f>IF(OR(L298=0,L298=""),"",ABS((L298-IF($C298="LT",Config!$F$7,Config!$F$19))/IF($C298="LT",Config!$G$7,Config!$G$19)))</f>
        <v/>
      </c>
      <c r="Y298">
        <f>IF(OR(M298=0,M298=""),"",ABS((M298-IF($C298="LT",Config!$F$8,Config!$F$20))/IF($C298="LT",Config!$G$8,Config!$G$20)))</f>
        <v/>
      </c>
      <c r="Z298">
        <f>IF(OR(N298=0,N298=""),"",ABS((N298-IF($C298="LT",Config!$F$9,Config!$F$21))/IF($C298="LT",Config!$G$9,Config!$G$21)))</f>
        <v/>
      </c>
      <c r="AA298">
        <f>IF(OR(O298=0,O298=""),"",ABS((O298-IF($C298="LT",Config!$F$10,Config!$F$22))/IF($C298="LT",Config!$G$10,Config!$G$22)))</f>
        <v/>
      </c>
      <c r="AB298">
        <f>IF(OR(P298=0,P298=""),"",ABS((P298-IF($C298="LT",Config!$F$11,Config!$F$23))/IF($C298="LT",Config!$G$11,Config!$G$23)))</f>
        <v/>
      </c>
      <c r="AC298">
        <f>IF(OR(Q298=0,Q298=""),"",ABS((Q298-IF($C298="LT",Config!$F$12,Config!$F$24))/IF($C298="LT",Config!$G$12,Config!$G$24)))</f>
        <v/>
      </c>
      <c r="AD298">
        <f>IF(OR(R298=0,R298=""),"",ABS((R298-IF($C298="LT",Config!$F$13,Config!$F$25))/IF($C298="LT",Config!$G$13,Config!$G$25)))</f>
        <v/>
      </c>
    </row>
    <row r="299">
      <c r="A299" t="inlineStr">
        <is>
          <t>04C1326120944</t>
        </is>
      </c>
      <c r="B299" t="inlineStr">
        <is>
          <t>CRS0000674</t>
        </is>
      </c>
      <c r="C299" t="inlineStr">
        <is>
          <t>MT</t>
        </is>
      </c>
      <c r="D299" t="inlineStr">
        <is>
          <t>TCX413U-DS1B01</t>
        </is>
      </c>
      <c r="E299" s="2" t="n">
        <v>46094</v>
      </c>
      <c r="F299" t="inlineStr">
        <is>
          <t>Pass</t>
        </is>
      </c>
      <c r="G299" t="n">
        <v>113.3</v>
      </c>
      <c r="H299" t="n">
        <v>81.09999999999999</v>
      </c>
      <c r="I299" t="n">
        <v>-1957.8</v>
      </c>
      <c r="J299" t="n">
        <v>69.09999999999999</v>
      </c>
      <c r="K299" t="n">
        <v>0</v>
      </c>
      <c r="L299" t="n">
        <v>0.6</v>
      </c>
      <c r="M299" t="n">
        <v>0</v>
      </c>
      <c r="N299" t="n">
        <v>69.7</v>
      </c>
      <c r="O299" t="n">
        <v>112.38</v>
      </c>
      <c r="P299" t="n">
        <v>117.07</v>
      </c>
      <c r="Q299" t="n">
        <v>3.78</v>
      </c>
      <c r="R299" t="n">
        <v>3.76</v>
      </c>
      <c r="S299">
        <f>IF(OR(G299=0,G299=""),"",ABS((G299-IF($C299="LT",Config!$F$2,Config!$F$14))/IF($C299="LT",Config!$G$2,Config!$G$14)))</f>
        <v/>
      </c>
      <c r="T299">
        <f>IF(OR(H299=0,H299=""),"",ABS((H299-IF($C299="LT",Config!$F$3,Config!$F$15))/IF($C299="LT",Config!$G$3,Config!$G$15)))</f>
        <v/>
      </c>
      <c r="U299">
        <f>IF(OR(I299=0,I299=""),"",ABS((I299-IF($C299="LT",Config!$F$4,Config!$F$16))/IF($C299="LT",Config!$G$4,Config!$G$16)))</f>
        <v/>
      </c>
      <c r="V299">
        <f>IF(OR(J299=0,J299=""),"",ABS((J299-IF($C299="LT",Config!$F$5,Config!$F$17))/IF($C299="LT",Config!$G$5,Config!$G$17)))</f>
        <v/>
      </c>
      <c r="W299">
        <f>IF(OR(K299=0,K299=""),"",ABS((K299-IF($C299="LT",Config!$F$6,Config!$F$18))/IF($C299="LT",Config!$G$6,Config!$G$18)))</f>
        <v/>
      </c>
      <c r="X299">
        <f>IF(OR(L299=0,L299=""),"",ABS((L299-IF($C299="LT",Config!$F$7,Config!$F$19))/IF($C299="LT",Config!$G$7,Config!$G$19)))</f>
        <v/>
      </c>
      <c r="Y299">
        <f>IF(OR(M299=0,M299=""),"",ABS((M299-IF($C299="LT",Config!$F$8,Config!$F$20))/IF($C299="LT",Config!$G$8,Config!$G$20)))</f>
        <v/>
      </c>
      <c r="Z299">
        <f>IF(OR(N299=0,N299=""),"",ABS((N299-IF($C299="LT",Config!$F$9,Config!$F$21))/IF($C299="LT",Config!$G$9,Config!$G$21)))</f>
        <v/>
      </c>
      <c r="AA299">
        <f>IF(OR(O299=0,O299=""),"",ABS((O299-IF($C299="LT",Config!$F$10,Config!$F$22))/IF($C299="LT",Config!$G$10,Config!$G$22)))</f>
        <v/>
      </c>
      <c r="AB299">
        <f>IF(OR(P299=0,P299=""),"",ABS((P299-IF($C299="LT",Config!$F$11,Config!$F$23))/IF($C299="LT",Config!$G$11,Config!$G$23)))</f>
        <v/>
      </c>
      <c r="AC299">
        <f>IF(OR(Q299=0,Q299=""),"",ABS((Q299-IF($C299="LT",Config!$F$12,Config!$F$24))/IF($C299="LT",Config!$G$12,Config!$G$24)))</f>
        <v/>
      </c>
      <c r="AD299">
        <f>IF(OR(R299=0,R299=""),"",ABS((R299-IF($C299="LT",Config!$F$13,Config!$F$25))/IF($C299="LT",Config!$G$13,Config!$G$25)))</f>
        <v/>
      </c>
    </row>
    <row r="300">
      <c r="A300" t="inlineStr">
        <is>
          <t>04C1326120946</t>
        </is>
      </c>
      <c r="B300" t="inlineStr">
        <is>
          <t>CRS0000674</t>
        </is>
      </c>
      <c r="C300" t="inlineStr">
        <is>
          <t>MT</t>
        </is>
      </c>
      <c r="D300" t="inlineStr">
        <is>
          <t>TCX413U-DS1B01</t>
        </is>
      </c>
      <c r="E300" s="2" t="n">
        <v>46094</v>
      </c>
      <c r="F300" t="inlineStr">
        <is>
          <t>Fail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>
        <f>IF(OR(G300=0,G300=""),"",ABS((G300-IF($C300="LT",Config!$F$2,Config!$F$14))/IF($C300="LT",Config!$G$2,Config!$G$14)))</f>
        <v/>
      </c>
      <c r="T300">
        <f>IF(OR(H300=0,H300=""),"",ABS((H300-IF($C300="LT",Config!$F$3,Config!$F$15))/IF($C300="LT",Config!$G$3,Config!$G$15)))</f>
        <v/>
      </c>
      <c r="U300">
        <f>IF(OR(I300=0,I300=""),"",ABS((I300-IF($C300="LT",Config!$F$4,Config!$F$16))/IF($C300="LT",Config!$G$4,Config!$G$16)))</f>
        <v/>
      </c>
      <c r="V300">
        <f>IF(OR(J300=0,J300=""),"",ABS((J300-IF($C300="LT",Config!$F$5,Config!$F$17))/IF($C300="LT",Config!$G$5,Config!$G$17)))</f>
        <v/>
      </c>
      <c r="W300">
        <f>IF(OR(K300=0,K300=""),"",ABS((K300-IF($C300="LT",Config!$F$6,Config!$F$18))/IF($C300="LT",Config!$G$6,Config!$G$18)))</f>
        <v/>
      </c>
      <c r="X300">
        <f>IF(OR(L300=0,L300=""),"",ABS((L300-IF($C300="LT",Config!$F$7,Config!$F$19))/IF($C300="LT",Config!$G$7,Config!$G$19)))</f>
        <v/>
      </c>
      <c r="Y300">
        <f>IF(OR(M300=0,M300=""),"",ABS((M300-IF($C300="LT",Config!$F$8,Config!$F$20))/IF($C300="LT",Config!$G$8,Config!$G$20)))</f>
        <v/>
      </c>
      <c r="Z300">
        <f>IF(OR(N300=0,N300=""),"",ABS((N300-IF($C300="LT",Config!$F$9,Config!$F$21))/IF($C300="LT",Config!$G$9,Config!$G$21)))</f>
        <v/>
      </c>
      <c r="AA300">
        <f>IF(OR(O300=0,O300=""),"",ABS((O300-IF($C300="LT",Config!$F$10,Config!$F$22))/IF($C300="LT",Config!$G$10,Config!$G$22)))</f>
        <v/>
      </c>
      <c r="AB300">
        <f>IF(OR(P300=0,P300=""),"",ABS((P300-IF($C300="LT",Config!$F$11,Config!$F$23))/IF($C300="LT",Config!$G$11,Config!$G$23)))</f>
        <v/>
      </c>
      <c r="AC300">
        <f>IF(OR(Q300=0,Q300=""),"",ABS((Q300-IF($C300="LT",Config!$F$12,Config!$F$24))/IF($C300="LT",Config!$G$12,Config!$G$24)))</f>
        <v/>
      </c>
      <c r="AD300">
        <f>IF(OR(R300=0,R300=""),"",ABS((R300-IF($C300="LT",Config!$F$13,Config!$F$25))/IF($C300="LT",Config!$G$13,Config!$G$25)))</f>
        <v/>
      </c>
    </row>
    <row r="301">
      <c r="A301" t="inlineStr">
        <is>
          <t>04C1326120946</t>
        </is>
      </c>
      <c r="B301" t="inlineStr">
        <is>
          <t>CRS0000674</t>
        </is>
      </c>
      <c r="C301" t="inlineStr">
        <is>
          <t>MT</t>
        </is>
      </c>
      <c r="D301" t="inlineStr">
        <is>
          <t>TCX413U-DS1B01</t>
        </is>
      </c>
      <c r="E301" s="2" t="n">
        <v>46094</v>
      </c>
      <c r="F301" t="inlineStr">
        <is>
          <t>Pass</t>
        </is>
      </c>
      <c r="G301" t="n">
        <v>116</v>
      </c>
      <c r="H301" t="n">
        <v>79.3</v>
      </c>
      <c r="I301" t="n">
        <v>-1957.8</v>
      </c>
      <c r="J301" t="n">
        <v>67.3</v>
      </c>
      <c r="K301" t="n">
        <v>0</v>
      </c>
      <c r="L301" t="n">
        <v>3.8</v>
      </c>
      <c r="M301" t="n">
        <v>0</v>
      </c>
      <c r="N301" t="n">
        <v>71.09999999999999</v>
      </c>
      <c r="O301" t="n">
        <v>112.3</v>
      </c>
      <c r="P301" t="n">
        <v>116.78</v>
      </c>
      <c r="Q301" t="n">
        <v>3.83</v>
      </c>
      <c r="R301" t="n">
        <v>3.86</v>
      </c>
      <c r="S301">
        <f>IF(OR(G301=0,G301=""),"",ABS((G301-IF($C301="LT",Config!$F$2,Config!$F$14))/IF($C301="LT",Config!$G$2,Config!$G$14)))</f>
        <v/>
      </c>
      <c r="T301">
        <f>IF(OR(H301=0,H301=""),"",ABS((H301-IF($C301="LT",Config!$F$3,Config!$F$15))/IF($C301="LT",Config!$G$3,Config!$G$15)))</f>
        <v/>
      </c>
      <c r="U301">
        <f>IF(OR(I301=0,I301=""),"",ABS((I301-IF($C301="LT",Config!$F$4,Config!$F$16))/IF($C301="LT",Config!$G$4,Config!$G$16)))</f>
        <v/>
      </c>
      <c r="V301">
        <f>IF(OR(J301=0,J301=""),"",ABS((J301-IF($C301="LT",Config!$F$5,Config!$F$17))/IF($C301="LT",Config!$G$5,Config!$G$17)))</f>
        <v/>
      </c>
      <c r="W301">
        <f>IF(OR(K301=0,K301=""),"",ABS((K301-IF($C301="LT",Config!$F$6,Config!$F$18))/IF($C301="LT",Config!$G$6,Config!$G$18)))</f>
        <v/>
      </c>
      <c r="X301">
        <f>IF(OR(L301=0,L301=""),"",ABS((L301-IF($C301="LT",Config!$F$7,Config!$F$19))/IF($C301="LT",Config!$G$7,Config!$G$19)))</f>
        <v/>
      </c>
      <c r="Y301">
        <f>IF(OR(M301=0,M301=""),"",ABS((M301-IF($C301="LT",Config!$F$8,Config!$F$20))/IF($C301="LT",Config!$G$8,Config!$G$20)))</f>
        <v/>
      </c>
      <c r="Z301">
        <f>IF(OR(N301=0,N301=""),"",ABS((N301-IF($C301="LT",Config!$F$9,Config!$F$21))/IF($C301="LT",Config!$G$9,Config!$G$21)))</f>
        <v/>
      </c>
      <c r="AA301">
        <f>IF(OR(O301=0,O301=""),"",ABS((O301-IF($C301="LT",Config!$F$10,Config!$F$22))/IF($C301="LT",Config!$G$10,Config!$G$22)))</f>
        <v/>
      </c>
      <c r="AB301">
        <f>IF(OR(P301=0,P301=""),"",ABS((P301-IF($C301="LT",Config!$F$11,Config!$F$23))/IF($C301="LT",Config!$G$11,Config!$G$23)))</f>
        <v/>
      </c>
      <c r="AC301">
        <f>IF(OR(Q301=0,Q301=""),"",ABS((Q301-IF($C301="LT",Config!$F$12,Config!$F$24))/IF($C301="LT",Config!$G$12,Config!$G$24)))</f>
        <v/>
      </c>
      <c r="AD301">
        <f>IF(OR(R301=0,R301=""),"",ABS((R301-IF($C301="LT",Config!$F$13,Config!$F$25))/IF($C301="LT",Config!$G$13,Config!$G$25)))</f>
        <v/>
      </c>
    </row>
    <row r="302">
      <c r="A302" t="inlineStr">
        <is>
          <t>04C1326120947</t>
        </is>
      </c>
      <c r="B302" t="inlineStr">
        <is>
          <t>CRS0000674</t>
        </is>
      </c>
      <c r="C302" t="inlineStr">
        <is>
          <t>MT</t>
        </is>
      </c>
      <c r="D302" t="inlineStr">
        <is>
          <t>TCX413U-DS1B01</t>
        </is>
      </c>
      <c r="E302" s="2" t="n">
        <v>46094</v>
      </c>
      <c r="F302" t="inlineStr">
        <is>
          <t>Fail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>
        <f>IF(OR(G302=0,G302=""),"",ABS((G302-IF($C302="LT",Config!$F$2,Config!$F$14))/IF($C302="LT",Config!$G$2,Config!$G$14)))</f>
        <v/>
      </c>
      <c r="T302">
        <f>IF(OR(H302=0,H302=""),"",ABS((H302-IF($C302="LT",Config!$F$3,Config!$F$15))/IF($C302="LT",Config!$G$3,Config!$G$15)))</f>
        <v/>
      </c>
      <c r="U302">
        <f>IF(OR(I302=0,I302=""),"",ABS((I302-IF($C302="LT",Config!$F$4,Config!$F$16))/IF($C302="LT",Config!$G$4,Config!$G$16)))</f>
        <v/>
      </c>
      <c r="V302">
        <f>IF(OR(J302=0,J302=""),"",ABS((J302-IF($C302="LT",Config!$F$5,Config!$F$17))/IF($C302="LT",Config!$G$5,Config!$G$17)))</f>
        <v/>
      </c>
      <c r="W302">
        <f>IF(OR(K302=0,K302=""),"",ABS((K302-IF($C302="LT",Config!$F$6,Config!$F$18))/IF($C302="LT",Config!$G$6,Config!$G$18)))</f>
        <v/>
      </c>
      <c r="X302">
        <f>IF(OR(L302=0,L302=""),"",ABS((L302-IF($C302="LT",Config!$F$7,Config!$F$19))/IF($C302="LT",Config!$G$7,Config!$G$19)))</f>
        <v/>
      </c>
      <c r="Y302">
        <f>IF(OR(M302=0,M302=""),"",ABS((M302-IF($C302="LT",Config!$F$8,Config!$F$20))/IF($C302="LT",Config!$G$8,Config!$G$20)))</f>
        <v/>
      </c>
      <c r="Z302">
        <f>IF(OR(N302=0,N302=""),"",ABS((N302-IF($C302="LT",Config!$F$9,Config!$F$21))/IF($C302="LT",Config!$G$9,Config!$G$21)))</f>
        <v/>
      </c>
      <c r="AA302">
        <f>IF(OR(O302=0,O302=""),"",ABS((O302-IF($C302="LT",Config!$F$10,Config!$F$22))/IF($C302="LT",Config!$G$10,Config!$G$22)))</f>
        <v/>
      </c>
      <c r="AB302">
        <f>IF(OR(P302=0,P302=""),"",ABS((P302-IF($C302="LT",Config!$F$11,Config!$F$23))/IF($C302="LT",Config!$G$11,Config!$G$23)))</f>
        <v/>
      </c>
      <c r="AC302">
        <f>IF(OR(Q302=0,Q302=""),"",ABS((Q302-IF($C302="LT",Config!$F$12,Config!$F$24))/IF($C302="LT",Config!$G$12,Config!$G$24)))</f>
        <v/>
      </c>
      <c r="AD302">
        <f>IF(OR(R302=0,R302=""),"",ABS((R302-IF($C302="LT",Config!$F$13,Config!$F$25))/IF($C302="LT",Config!$G$13,Config!$G$25)))</f>
        <v/>
      </c>
    </row>
    <row r="303">
      <c r="A303" t="inlineStr">
        <is>
          <t>04C1326120948</t>
        </is>
      </c>
      <c r="B303" t="inlineStr">
        <is>
          <t>CRS0000674</t>
        </is>
      </c>
      <c r="C303" t="inlineStr">
        <is>
          <t>MT</t>
        </is>
      </c>
      <c r="D303" t="inlineStr">
        <is>
          <t>TCX413U-DS1B01</t>
        </is>
      </c>
      <c r="E303" s="2" t="n">
        <v>46094</v>
      </c>
      <c r="F303" t="inlineStr">
        <is>
          <t>Pass</t>
        </is>
      </c>
      <c r="G303" t="n">
        <v>107</v>
      </c>
      <c r="H303" t="n">
        <v>77.90000000000001</v>
      </c>
      <c r="I303" t="n">
        <v>-1957.8</v>
      </c>
      <c r="J303" t="n">
        <v>69.5</v>
      </c>
      <c r="K303" t="n">
        <v>0</v>
      </c>
      <c r="L303" t="n">
        <v>1.7</v>
      </c>
      <c r="M303" t="n">
        <v>0</v>
      </c>
      <c r="N303" t="n">
        <v>67.8</v>
      </c>
      <c r="O303" t="n">
        <v>112.45</v>
      </c>
      <c r="P303" t="n">
        <v>117.07</v>
      </c>
      <c r="Q303" t="n">
        <v>3.74</v>
      </c>
      <c r="R303" t="n">
        <v>3.78</v>
      </c>
      <c r="S303">
        <f>IF(OR(G303=0,G303=""),"",ABS((G303-IF($C303="LT",Config!$F$2,Config!$F$14))/IF($C303="LT",Config!$G$2,Config!$G$14)))</f>
        <v/>
      </c>
      <c r="T303">
        <f>IF(OR(H303=0,H303=""),"",ABS((H303-IF($C303="LT",Config!$F$3,Config!$F$15))/IF($C303="LT",Config!$G$3,Config!$G$15)))</f>
        <v/>
      </c>
      <c r="U303">
        <f>IF(OR(I303=0,I303=""),"",ABS((I303-IF($C303="LT",Config!$F$4,Config!$F$16))/IF($C303="LT",Config!$G$4,Config!$G$16)))</f>
        <v/>
      </c>
      <c r="V303">
        <f>IF(OR(J303=0,J303=""),"",ABS((J303-IF($C303="LT",Config!$F$5,Config!$F$17))/IF($C303="LT",Config!$G$5,Config!$G$17)))</f>
        <v/>
      </c>
      <c r="W303">
        <f>IF(OR(K303=0,K303=""),"",ABS((K303-IF($C303="LT",Config!$F$6,Config!$F$18))/IF($C303="LT",Config!$G$6,Config!$G$18)))</f>
        <v/>
      </c>
      <c r="X303">
        <f>IF(OR(L303=0,L303=""),"",ABS((L303-IF($C303="LT",Config!$F$7,Config!$F$19))/IF($C303="LT",Config!$G$7,Config!$G$19)))</f>
        <v/>
      </c>
      <c r="Y303">
        <f>IF(OR(M303=0,M303=""),"",ABS((M303-IF($C303="LT",Config!$F$8,Config!$F$20))/IF($C303="LT",Config!$G$8,Config!$G$20)))</f>
        <v/>
      </c>
      <c r="Z303">
        <f>IF(OR(N303=0,N303=""),"",ABS((N303-IF($C303="LT",Config!$F$9,Config!$F$21))/IF($C303="LT",Config!$G$9,Config!$G$21)))</f>
        <v/>
      </c>
      <c r="AA303">
        <f>IF(OR(O303=0,O303=""),"",ABS((O303-IF($C303="LT",Config!$F$10,Config!$F$22))/IF($C303="LT",Config!$G$10,Config!$G$22)))</f>
        <v/>
      </c>
      <c r="AB303">
        <f>IF(OR(P303=0,P303=""),"",ABS((P303-IF($C303="LT",Config!$F$11,Config!$F$23))/IF($C303="LT",Config!$G$11,Config!$G$23)))</f>
        <v/>
      </c>
      <c r="AC303">
        <f>IF(OR(Q303=0,Q303=""),"",ABS((Q303-IF($C303="LT",Config!$F$12,Config!$F$24))/IF($C303="LT",Config!$G$12,Config!$G$24)))</f>
        <v/>
      </c>
      <c r="AD303">
        <f>IF(OR(R303=0,R303=""),"",ABS((R303-IF($C303="LT",Config!$F$13,Config!$F$25))/IF($C303="LT",Config!$G$13,Config!$G$25)))</f>
        <v/>
      </c>
    </row>
    <row r="304">
      <c r="A304" t="inlineStr">
        <is>
          <t>04C1326120949</t>
        </is>
      </c>
      <c r="B304" t="inlineStr">
        <is>
          <t>CRS0000674</t>
        </is>
      </c>
      <c r="C304" t="inlineStr">
        <is>
          <t>MT</t>
        </is>
      </c>
      <c r="D304" t="inlineStr">
        <is>
          <t>TCX413U-DS1B01</t>
        </is>
      </c>
      <c r="E304" s="2" t="n">
        <v>46095</v>
      </c>
      <c r="F304" t="inlineStr">
        <is>
          <t>Pass</t>
        </is>
      </c>
      <c r="G304" t="n">
        <v>109.3</v>
      </c>
      <c r="H304" t="n">
        <v>80.2</v>
      </c>
      <c r="I304" t="n">
        <v>-1957.8</v>
      </c>
      <c r="J304" t="n">
        <v>69.5</v>
      </c>
      <c r="K304" t="n">
        <v>0</v>
      </c>
      <c r="L304" t="n">
        <v>0.7</v>
      </c>
      <c r="M304" t="n">
        <v>0</v>
      </c>
      <c r="N304" t="n">
        <v>68.8</v>
      </c>
      <c r="O304" t="n">
        <v>111.72</v>
      </c>
      <c r="P304" t="n">
        <v>113.33</v>
      </c>
      <c r="Q304" t="n">
        <v>3.69</v>
      </c>
      <c r="R304" t="n">
        <v>3.74</v>
      </c>
      <c r="S304">
        <f>IF(OR(G304=0,G304=""),"",ABS((G304-IF($C304="LT",Config!$F$2,Config!$F$14))/IF($C304="LT",Config!$G$2,Config!$G$14)))</f>
        <v/>
      </c>
      <c r="T304">
        <f>IF(OR(H304=0,H304=""),"",ABS((H304-IF($C304="LT",Config!$F$3,Config!$F$15))/IF($C304="LT",Config!$G$3,Config!$G$15)))</f>
        <v/>
      </c>
      <c r="U304">
        <f>IF(OR(I304=0,I304=""),"",ABS((I304-IF($C304="LT",Config!$F$4,Config!$F$16))/IF($C304="LT",Config!$G$4,Config!$G$16)))</f>
        <v/>
      </c>
      <c r="V304">
        <f>IF(OR(J304=0,J304=""),"",ABS((J304-IF($C304="LT",Config!$F$5,Config!$F$17))/IF($C304="LT",Config!$G$5,Config!$G$17)))</f>
        <v/>
      </c>
      <c r="W304">
        <f>IF(OR(K304=0,K304=""),"",ABS((K304-IF($C304="LT",Config!$F$6,Config!$F$18))/IF($C304="LT",Config!$G$6,Config!$G$18)))</f>
        <v/>
      </c>
      <c r="X304">
        <f>IF(OR(L304=0,L304=""),"",ABS((L304-IF($C304="LT",Config!$F$7,Config!$F$19))/IF($C304="LT",Config!$G$7,Config!$G$19)))</f>
        <v/>
      </c>
      <c r="Y304">
        <f>IF(OR(M304=0,M304=""),"",ABS((M304-IF($C304="LT",Config!$F$8,Config!$F$20))/IF($C304="LT",Config!$G$8,Config!$G$20)))</f>
        <v/>
      </c>
      <c r="Z304">
        <f>IF(OR(N304=0,N304=""),"",ABS((N304-IF($C304="LT",Config!$F$9,Config!$F$21))/IF($C304="LT",Config!$G$9,Config!$G$21)))</f>
        <v/>
      </c>
      <c r="AA304">
        <f>IF(OR(O304=0,O304=""),"",ABS((O304-IF($C304="LT",Config!$F$10,Config!$F$22))/IF($C304="LT",Config!$G$10,Config!$G$22)))</f>
        <v/>
      </c>
      <c r="AB304">
        <f>IF(OR(P304=0,P304=""),"",ABS((P304-IF($C304="LT",Config!$F$11,Config!$F$23))/IF($C304="LT",Config!$G$11,Config!$G$23)))</f>
        <v/>
      </c>
      <c r="AC304">
        <f>IF(OR(Q304=0,Q304=""),"",ABS((Q304-IF($C304="LT",Config!$F$12,Config!$F$24))/IF($C304="LT",Config!$G$12,Config!$G$24)))</f>
        <v/>
      </c>
      <c r="AD304">
        <f>IF(OR(R304=0,R304=""),"",ABS((R304-IF($C304="LT",Config!$F$13,Config!$F$25))/IF($C304="LT",Config!$G$13,Config!$G$25)))</f>
        <v/>
      </c>
    </row>
    <row r="305">
      <c r="A305" t="inlineStr">
        <is>
          <t>04C1326120950</t>
        </is>
      </c>
      <c r="B305" t="inlineStr">
        <is>
          <t>CRS0000674</t>
        </is>
      </c>
      <c r="C305" t="inlineStr">
        <is>
          <t>MT</t>
        </is>
      </c>
      <c r="D305" t="inlineStr">
        <is>
          <t>TCX413U-DS1B01</t>
        </is>
      </c>
      <c r="E305" s="2" t="n">
        <v>46095</v>
      </c>
      <c r="F305" t="inlineStr">
        <is>
          <t>Pass</t>
        </is>
      </c>
      <c r="G305" t="n">
        <v>106.6</v>
      </c>
      <c r="H305" t="n">
        <v>80.2</v>
      </c>
      <c r="I305" t="n">
        <v>-1957.8</v>
      </c>
      <c r="J305" t="n">
        <v>68.59999999999999</v>
      </c>
      <c r="K305" t="n">
        <v>0</v>
      </c>
      <c r="L305" t="n">
        <v>1.6</v>
      </c>
      <c r="M305" t="n">
        <v>0</v>
      </c>
      <c r="N305" t="n">
        <v>67</v>
      </c>
      <c r="O305" t="n">
        <v>112.08</v>
      </c>
      <c r="P305" t="n">
        <v>113.4</v>
      </c>
      <c r="Q305" t="n">
        <v>3.56</v>
      </c>
      <c r="R305" t="n">
        <v>3.66</v>
      </c>
      <c r="S305">
        <f>IF(OR(G305=0,G305=""),"",ABS((G305-IF($C305="LT",Config!$F$2,Config!$F$14))/IF($C305="LT",Config!$G$2,Config!$G$14)))</f>
        <v/>
      </c>
      <c r="T305">
        <f>IF(OR(H305=0,H305=""),"",ABS((H305-IF($C305="LT",Config!$F$3,Config!$F$15))/IF($C305="LT",Config!$G$3,Config!$G$15)))</f>
        <v/>
      </c>
      <c r="U305">
        <f>IF(OR(I305=0,I305=""),"",ABS((I305-IF($C305="LT",Config!$F$4,Config!$F$16))/IF($C305="LT",Config!$G$4,Config!$G$16)))</f>
        <v/>
      </c>
      <c r="V305">
        <f>IF(OR(J305=0,J305=""),"",ABS((J305-IF($C305="LT",Config!$F$5,Config!$F$17))/IF($C305="LT",Config!$G$5,Config!$G$17)))</f>
        <v/>
      </c>
      <c r="W305">
        <f>IF(OR(K305=0,K305=""),"",ABS((K305-IF($C305="LT",Config!$F$6,Config!$F$18))/IF($C305="LT",Config!$G$6,Config!$G$18)))</f>
        <v/>
      </c>
      <c r="X305">
        <f>IF(OR(L305=0,L305=""),"",ABS((L305-IF($C305="LT",Config!$F$7,Config!$F$19))/IF($C305="LT",Config!$G$7,Config!$G$19)))</f>
        <v/>
      </c>
      <c r="Y305">
        <f>IF(OR(M305=0,M305=""),"",ABS((M305-IF($C305="LT",Config!$F$8,Config!$F$20))/IF($C305="LT",Config!$G$8,Config!$G$20)))</f>
        <v/>
      </c>
      <c r="Z305">
        <f>IF(OR(N305=0,N305=""),"",ABS((N305-IF($C305="LT",Config!$F$9,Config!$F$21))/IF($C305="LT",Config!$G$9,Config!$G$21)))</f>
        <v/>
      </c>
      <c r="AA305">
        <f>IF(OR(O305=0,O305=""),"",ABS((O305-IF($C305="LT",Config!$F$10,Config!$F$22))/IF($C305="LT",Config!$G$10,Config!$G$22)))</f>
        <v/>
      </c>
      <c r="AB305">
        <f>IF(OR(P305=0,P305=""),"",ABS((P305-IF($C305="LT",Config!$F$11,Config!$F$23))/IF($C305="LT",Config!$G$11,Config!$G$23)))</f>
        <v/>
      </c>
      <c r="AC305">
        <f>IF(OR(Q305=0,Q305=""),"",ABS((Q305-IF($C305="LT",Config!$F$12,Config!$F$24))/IF($C305="LT",Config!$G$12,Config!$G$24)))</f>
        <v/>
      </c>
      <c r="AD305">
        <f>IF(OR(R305=0,R305=""),"",ABS((R305-IF($C305="LT",Config!$F$13,Config!$F$25))/IF($C305="LT",Config!$G$13,Config!$G$25)))</f>
        <v/>
      </c>
    </row>
    <row r="306">
      <c r="A306" t="inlineStr">
        <is>
          <t>04C1326120951</t>
        </is>
      </c>
      <c r="B306" t="inlineStr">
        <is>
          <t>CRS0000674</t>
        </is>
      </c>
      <c r="C306" t="inlineStr">
        <is>
          <t>MT</t>
        </is>
      </c>
      <c r="D306" t="inlineStr">
        <is>
          <t>TCX413U-DS1B01</t>
        </is>
      </c>
      <c r="E306" s="2" t="n">
        <v>46095</v>
      </c>
      <c r="F306" t="inlineStr">
        <is>
          <t>Pass</t>
        </is>
      </c>
      <c r="G306" t="n">
        <v>109.3</v>
      </c>
      <c r="H306" t="n">
        <v>81.09999999999999</v>
      </c>
      <c r="I306" t="n">
        <v>-1957.8</v>
      </c>
      <c r="J306" t="n">
        <v>69.5</v>
      </c>
      <c r="K306" t="n">
        <v>0</v>
      </c>
      <c r="L306" t="n">
        <v>1.6</v>
      </c>
      <c r="M306" t="n">
        <v>0</v>
      </c>
      <c r="N306" t="n">
        <v>71.09999999999999</v>
      </c>
      <c r="O306" t="n">
        <v>115.24</v>
      </c>
      <c r="P306" t="n">
        <v>115.24</v>
      </c>
      <c r="Q306" t="n">
        <v>3.78</v>
      </c>
      <c r="R306" t="n">
        <v>3.76</v>
      </c>
      <c r="S306">
        <f>IF(OR(G306=0,G306=""),"",ABS((G306-IF($C306="LT",Config!$F$2,Config!$F$14))/IF($C306="LT",Config!$G$2,Config!$G$14)))</f>
        <v/>
      </c>
      <c r="T306">
        <f>IF(OR(H306=0,H306=""),"",ABS((H306-IF($C306="LT",Config!$F$3,Config!$F$15))/IF($C306="LT",Config!$G$3,Config!$G$15)))</f>
        <v/>
      </c>
      <c r="U306">
        <f>IF(OR(I306=0,I306=""),"",ABS((I306-IF($C306="LT",Config!$F$4,Config!$F$16))/IF($C306="LT",Config!$G$4,Config!$G$16)))</f>
        <v/>
      </c>
      <c r="V306">
        <f>IF(OR(J306=0,J306=""),"",ABS((J306-IF($C306="LT",Config!$F$5,Config!$F$17))/IF($C306="LT",Config!$G$5,Config!$G$17)))</f>
        <v/>
      </c>
      <c r="W306">
        <f>IF(OR(K306=0,K306=""),"",ABS((K306-IF($C306="LT",Config!$F$6,Config!$F$18))/IF($C306="LT",Config!$G$6,Config!$G$18)))</f>
        <v/>
      </c>
      <c r="X306">
        <f>IF(OR(L306=0,L306=""),"",ABS((L306-IF($C306="LT",Config!$F$7,Config!$F$19))/IF($C306="LT",Config!$G$7,Config!$G$19)))</f>
        <v/>
      </c>
      <c r="Y306">
        <f>IF(OR(M306=0,M306=""),"",ABS((M306-IF($C306="LT",Config!$F$8,Config!$F$20))/IF($C306="LT",Config!$G$8,Config!$G$20)))</f>
        <v/>
      </c>
      <c r="Z306">
        <f>IF(OR(N306=0,N306=""),"",ABS((N306-IF($C306="LT",Config!$F$9,Config!$F$21))/IF($C306="LT",Config!$G$9,Config!$G$21)))</f>
        <v/>
      </c>
      <c r="AA306">
        <f>IF(OR(O306=0,O306=""),"",ABS((O306-IF($C306="LT",Config!$F$10,Config!$F$22))/IF($C306="LT",Config!$G$10,Config!$G$22)))</f>
        <v/>
      </c>
      <c r="AB306">
        <f>IF(OR(P306=0,P306=""),"",ABS((P306-IF($C306="LT",Config!$F$11,Config!$F$23))/IF($C306="LT",Config!$G$11,Config!$G$23)))</f>
        <v/>
      </c>
      <c r="AC306">
        <f>IF(OR(Q306=0,Q306=""),"",ABS((Q306-IF($C306="LT",Config!$F$12,Config!$F$24))/IF($C306="LT",Config!$G$12,Config!$G$24)))</f>
        <v/>
      </c>
      <c r="AD306">
        <f>IF(OR(R306=0,R306=""),"",ABS((R306-IF($C306="LT",Config!$F$13,Config!$F$25))/IF($C306="LT",Config!$G$13,Config!$G$25)))</f>
        <v/>
      </c>
    </row>
    <row r="307">
      <c r="A307" t="inlineStr">
        <is>
          <t>04C1326120952</t>
        </is>
      </c>
      <c r="B307" t="inlineStr">
        <is>
          <t>CRS0000674</t>
        </is>
      </c>
      <c r="C307" t="inlineStr">
        <is>
          <t>MT</t>
        </is>
      </c>
      <c r="D307" t="inlineStr">
        <is>
          <t>TCX413U-DS1B01</t>
        </is>
      </c>
      <c r="E307" s="2" t="n">
        <v>46095</v>
      </c>
      <c r="F307" t="inlineStr">
        <is>
          <t>Pass</t>
        </is>
      </c>
      <c r="G307" t="n">
        <v>110.6</v>
      </c>
      <c r="H307" t="n">
        <v>79.3</v>
      </c>
      <c r="I307" t="n">
        <v>-1957.8</v>
      </c>
      <c r="J307" t="n">
        <v>69.09999999999999</v>
      </c>
      <c r="K307" t="n">
        <v>0</v>
      </c>
      <c r="L307" t="n">
        <v>2.2</v>
      </c>
      <c r="M307" t="n">
        <v>0</v>
      </c>
      <c r="N307" t="n">
        <v>66.90000000000001</v>
      </c>
      <c r="O307" t="n">
        <v>112.16</v>
      </c>
      <c r="P307" t="n">
        <v>116.85</v>
      </c>
      <c r="Q307" t="n">
        <v>3.71</v>
      </c>
      <c r="R307" t="n">
        <v>3.69</v>
      </c>
      <c r="S307">
        <f>IF(OR(G307=0,G307=""),"",ABS((G307-IF($C307="LT",Config!$F$2,Config!$F$14))/IF($C307="LT",Config!$G$2,Config!$G$14)))</f>
        <v/>
      </c>
      <c r="T307">
        <f>IF(OR(H307=0,H307=""),"",ABS((H307-IF($C307="LT",Config!$F$3,Config!$F$15))/IF($C307="LT",Config!$G$3,Config!$G$15)))</f>
        <v/>
      </c>
      <c r="U307">
        <f>IF(OR(I307=0,I307=""),"",ABS((I307-IF($C307="LT",Config!$F$4,Config!$F$16))/IF($C307="LT",Config!$G$4,Config!$G$16)))</f>
        <v/>
      </c>
      <c r="V307">
        <f>IF(OR(J307=0,J307=""),"",ABS((J307-IF($C307="LT",Config!$F$5,Config!$F$17))/IF($C307="LT",Config!$G$5,Config!$G$17)))</f>
        <v/>
      </c>
      <c r="W307">
        <f>IF(OR(K307=0,K307=""),"",ABS((K307-IF($C307="LT",Config!$F$6,Config!$F$18))/IF($C307="LT",Config!$G$6,Config!$G$18)))</f>
        <v/>
      </c>
      <c r="X307">
        <f>IF(OR(L307=0,L307=""),"",ABS((L307-IF($C307="LT",Config!$F$7,Config!$F$19))/IF($C307="LT",Config!$G$7,Config!$G$19)))</f>
        <v/>
      </c>
      <c r="Y307">
        <f>IF(OR(M307=0,M307=""),"",ABS((M307-IF($C307="LT",Config!$F$8,Config!$F$20))/IF($C307="LT",Config!$G$8,Config!$G$20)))</f>
        <v/>
      </c>
      <c r="Z307">
        <f>IF(OR(N307=0,N307=""),"",ABS((N307-IF($C307="LT",Config!$F$9,Config!$F$21))/IF($C307="LT",Config!$G$9,Config!$G$21)))</f>
        <v/>
      </c>
      <c r="AA307">
        <f>IF(OR(O307=0,O307=""),"",ABS((O307-IF($C307="LT",Config!$F$10,Config!$F$22))/IF($C307="LT",Config!$G$10,Config!$G$22)))</f>
        <v/>
      </c>
      <c r="AB307">
        <f>IF(OR(P307=0,P307=""),"",ABS((P307-IF($C307="LT",Config!$F$11,Config!$F$23))/IF($C307="LT",Config!$G$11,Config!$G$23)))</f>
        <v/>
      </c>
      <c r="AC307">
        <f>IF(OR(Q307=0,Q307=""),"",ABS((Q307-IF($C307="LT",Config!$F$12,Config!$F$24))/IF($C307="LT",Config!$G$12,Config!$G$24)))</f>
        <v/>
      </c>
      <c r="AD307">
        <f>IF(OR(R307=0,R307=""),"",ABS((R307-IF($C307="LT",Config!$F$13,Config!$F$25))/IF($C307="LT",Config!$G$13,Config!$G$25)))</f>
        <v/>
      </c>
    </row>
    <row r="308">
      <c r="A308" t="inlineStr">
        <is>
          <t>04C1326120953</t>
        </is>
      </c>
      <c r="B308" t="inlineStr">
        <is>
          <t>CRS0000674</t>
        </is>
      </c>
      <c r="C308" t="inlineStr">
        <is>
          <t>MT</t>
        </is>
      </c>
      <c r="D308" t="inlineStr">
        <is>
          <t>TCX413U-DS1B01</t>
        </is>
      </c>
      <c r="E308" s="2" t="n">
        <v>46095</v>
      </c>
      <c r="F308" t="inlineStr">
        <is>
          <t>Pass</t>
        </is>
      </c>
      <c r="G308" t="n">
        <v>107</v>
      </c>
      <c r="H308" t="n">
        <v>79.3</v>
      </c>
      <c r="I308" t="n">
        <v>-1957.8</v>
      </c>
      <c r="J308" t="n">
        <v>69.09999999999999</v>
      </c>
      <c r="K308" t="n">
        <v>0</v>
      </c>
      <c r="L308" t="n">
        <v>2</v>
      </c>
      <c r="M308" t="n">
        <v>0</v>
      </c>
      <c r="N308" t="n">
        <v>67.09999999999999</v>
      </c>
      <c r="O308" t="n">
        <v>112.16</v>
      </c>
      <c r="P308" t="n">
        <v>113.4</v>
      </c>
      <c r="Q308" t="n">
        <v>3.78</v>
      </c>
      <c r="R308" t="n">
        <v>3.81</v>
      </c>
      <c r="S308">
        <f>IF(OR(G308=0,G308=""),"",ABS((G308-IF($C308="LT",Config!$F$2,Config!$F$14))/IF($C308="LT",Config!$G$2,Config!$G$14)))</f>
        <v/>
      </c>
      <c r="T308">
        <f>IF(OR(H308=0,H308=""),"",ABS((H308-IF($C308="LT",Config!$F$3,Config!$F$15))/IF($C308="LT",Config!$G$3,Config!$G$15)))</f>
        <v/>
      </c>
      <c r="U308">
        <f>IF(OR(I308=0,I308=""),"",ABS((I308-IF($C308="LT",Config!$F$4,Config!$F$16))/IF($C308="LT",Config!$G$4,Config!$G$16)))</f>
        <v/>
      </c>
      <c r="V308">
        <f>IF(OR(J308=0,J308=""),"",ABS((J308-IF($C308="LT",Config!$F$5,Config!$F$17))/IF($C308="LT",Config!$G$5,Config!$G$17)))</f>
        <v/>
      </c>
      <c r="W308">
        <f>IF(OR(K308=0,K308=""),"",ABS((K308-IF($C308="LT",Config!$F$6,Config!$F$18))/IF($C308="LT",Config!$G$6,Config!$G$18)))</f>
        <v/>
      </c>
      <c r="X308">
        <f>IF(OR(L308=0,L308=""),"",ABS((L308-IF($C308="LT",Config!$F$7,Config!$F$19))/IF($C308="LT",Config!$G$7,Config!$G$19)))</f>
        <v/>
      </c>
      <c r="Y308">
        <f>IF(OR(M308=0,M308=""),"",ABS((M308-IF($C308="LT",Config!$F$8,Config!$F$20))/IF($C308="LT",Config!$G$8,Config!$G$20)))</f>
        <v/>
      </c>
      <c r="Z308">
        <f>IF(OR(N308=0,N308=""),"",ABS((N308-IF($C308="LT",Config!$F$9,Config!$F$21))/IF($C308="LT",Config!$G$9,Config!$G$21)))</f>
        <v/>
      </c>
      <c r="AA308">
        <f>IF(OR(O308=0,O308=""),"",ABS((O308-IF($C308="LT",Config!$F$10,Config!$F$22))/IF($C308="LT",Config!$G$10,Config!$G$22)))</f>
        <v/>
      </c>
      <c r="AB308">
        <f>IF(OR(P308=0,P308=""),"",ABS((P308-IF($C308="LT",Config!$F$11,Config!$F$23))/IF($C308="LT",Config!$G$11,Config!$G$23)))</f>
        <v/>
      </c>
      <c r="AC308">
        <f>IF(OR(Q308=0,Q308=""),"",ABS((Q308-IF($C308="LT",Config!$F$12,Config!$F$24))/IF($C308="LT",Config!$G$12,Config!$G$24)))</f>
        <v/>
      </c>
      <c r="AD308">
        <f>IF(OR(R308=0,R308=""),"",ABS((R308-IF($C308="LT",Config!$F$13,Config!$F$25))/IF($C308="LT",Config!$G$13,Config!$G$25)))</f>
        <v/>
      </c>
    </row>
    <row r="309">
      <c r="A309" t="inlineStr">
        <is>
          <t>04C1426120955</t>
        </is>
      </c>
      <c r="B309" t="inlineStr">
        <is>
          <t>CRS0000674</t>
        </is>
      </c>
      <c r="C309" t="inlineStr">
        <is>
          <t>MT</t>
        </is>
      </c>
      <c r="D309" t="inlineStr">
        <is>
          <t>TCX413U-DS1B01</t>
        </is>
      </c>
      <c r="E309" s="2" t="n">
        <v>46095</v>
      </c>
      <c r="F309" t="inlineStr">
        <is>
          <t>Pass</t>
        </is>
      </c>
      <c r="G309" t="n">
        <v>115.5</v>
      </c>
      <c r="H309" t="n">
        <v>84.3</v>
      </c>
      <c r="I309" t="n">
        <v>-1957.8</v>
      </c>
      <c r="J309" t="n">
        <v>68.2</v>
      </c>
      <c r="K309" t="n">
        <v>0</v>
      </c>
      <c r="L309" t="n">
        <v>2.1</v>
      </c>
      <c r="M309" t="n">
        <v>0</v>
      </c>
      <c r="N309" t="n">
        <v>70.3</v>
      </c>
      <c r="O309" t="n">
        <v>112.08</v>
      </c>
      <c r="P309" t="n">
        <v>116.56</v>
      </c>
      <c r="Q309" t="n">
        <v>3.96</v>
      </c>
      <c r="R309" t="n">
        <v>3.96</v>
      </c>
      <c r="S309">
        <f>IF(OR(G309=0,G309=""),"",ABS((G309-IF($C309="LT",Config!$F$2,Config!$F$14))/IF($C309="LT",Config!$G$2,Config!$G$14)))</f>
        <v/>
      </c>
      <c r="T309">
        <f>IF(OR(H309=0,H309=""),"",ABS((H309-IF($C309="LT",Config!$F$3,Config!$F$15))/IF($C309="LT",Config!$G$3,Config!$G$15)))</f>
        <v/>
      </c>
      <c r="U309">
        <f>IF(OR(I309=0,I309=""),"",ABS((I309-IF($C309="LT",Config!$F$4,Config!$F$16))/IF($C309="LT",Config!$G$4,Config!$G$16)))</f>
        <v/>
      </c>
      <c r="V309">
        <f>IF(OR(J309=0,J309=""),"",ABS((J309-IF($C309="LT",Config!$F$5,Config!$F$17))/IF($C309="LT",Config!$G$5,Config!$G$17)))</f>
        <v/>
      </c>
      <c r="W309">
        <f>IF(OR(K309=0,K309=""),"",ABS((K309-IF($C309="LT",Config!$F$6,Config!$F$18))/IF($C309="LT",Config!$G$6,Config!$G$18)))</f>
        <v/>
      </c>
      <c r="X309">
        <f>IF(OR(L309=0,L309=""),"",ABS((L309-IF($C309="LT",Config!$F$7,Config!$F$19))/IF($C309="LT",Config!$G$7,Config!$G$19)))</f>
        <v/>
      </c>
      <c r="Y309">
        <f>IF(OR(M309=0,M309=""),"",ABS((M309-IF($C309="LT",Config!$F$8,Config!$F$20))/IF($C309="LT",Config!$G$8,Config!$G$20)))</f>
        <v/>
      </c>
      <c r="Z309">
        <f>IF(OR(N309=0,N309=""),"",ABS((N309-IF($C309="LT",Config!$F$9,Config!$F$21))/IF($C309="LT",Config!$G$9,Config!$G$21)))</f>
        <v/>
      </c>
      <c r="AA309">
        <f>IF(OR(O309=0,O309=""),"",ABS((O309-IF($C309="LT",Config!$F$10,Config!$F$22))/IF($C309="LT",Config!$G$10,Config!$G$22)))</f>
        <v/>
      </c>
      <c r="AB309">
        <f>IF(OR(P309=0,P309=""),"",ABS((P309-IF($C309="LT",Config!$F$11,Config!$F$23))/IF($C309="LT",Config!$G$11,Config!$G$23)))</f>
        <v/>
      </c>
      <c r="AC309">
        <f>IF(OR(Q309=0,Q309=""),"",ABS((Q309-IF($C309="LT",Config!$F$12,Config!$F$24))/IF($C309="LT",Config!$G$12,Config!$G$24)))</f>
        <v/>
      </c>
      <c r="AD309">
        <f>IF(OR(R309=0,R309=""),"",ABS((R309-IF($C309="LT",Config!$F$13,Config!$F$25))/IF($C309="LT",Config!$G$13,Config!$G$25)))</f>
        <v/>
      </c>
    </row>
    <row r="310">
      <c r="A310" t="inlineStr">
        <is>
          <t>04C1426120956</t>
        </is>
      </c>
      <c r="B310" t="inlineStr">
        <is>
          <t>CRS0000674</t>
        </is>
      </c>
      <c r="C310" t="inlineStr">
        <is>
          <t>MT</t>
        </is>
      </c>
      <c r="D310" t="inlineStr">
        <is>
          <t>TCX413U-DS1B01</t>
        </is>
      </c>
      <c r="E310" s="2" t="n">
        <v>46095</v>
      </c>
      <c r="F310" t="inlineStr">
        <is>
          <t>Pass</t>
        </is>
      </c>
      <c r="G310" t="n">
        <v>114.6</v>
      </c>
      <c r="H310" t="n">
        <v>84.7</v>
      </c>
      <c r="I310" t="n">
        <v>-1957.8</v>
      </c>
      <c r="J310" t="n">
        <v>67.7</v>
      </c>
      <c r="K310" t="n">
        <v>0</v>
      </c>
      <c r="L310" t="n">
        <v>1.7</v>
      </c>
      <c r="M310" t="n">
        <v>0</v>
      </c>
      <c r="N310" t="n">
        <v>69.40000000000001</v>
      </c>
      <c r="O310" t="n">
        <v>112.08</v>
      </c>
      <c r="P310" t="n">
        <v>116.63</v>
      </c>
      <c r="Q310" t="n">
        <v>3.96</v>
      </c>
      <c r="R310" t="n">
        <v>4</v>
      </c>
      <c r="S310">
        <f>IF(OR(G310=0,G310=""),"",ABS((G310-IF($C310="LT",Config!$F$2,Config!$F$14))/IF($C310="LT",Config!$G$2,Config!$G$14)))</f>
        <v/>
      </c>
      <c r="T310">
        <f>IF(OR(H310=0,H310=""),"",ABS((H310-IF($C310="LT",Config!$F$3,Config!$F$15))/IF($C310="LT",Config!$G$3,Config!$G$15)))</f>
        <v/>
      </c>
      <c r="U310">
        <f>IF(OR(I310=0,I310=""),"",ABS((I310-IF($C310="LT",Config!$F$4,Config!$F$16))/IF($C310="LT",Config!$G$4,Config!$G$16)))</f>
        <v/>
      </c>
      <c r="V310">
        <f>IF(OR(J310=0,J310=""),"",ABS((J310-IF($C310="LT",Config!$F$5,Config!$F$17))/IF($C310="LT",Config!$G$5,Config!$G$17)))</f>
        <v/>
      </c>
      <c r="W310">
        <f>IF(OR(K310=0,K310=""),"",ABS((K310-IF($C310="LT",Config!$F$6,Config!$F$18))/IF($C310="LT",Config!$G$6,Config!$G$18)))</f>
        <v/>
      </c>
      <c r="X310">
        <f>IF(OR(L310=0,L310=""),"",ABS((L310-IF($C310="LT",Config!$F$7,Config!$F$19))/IF($C310="LT",Config!$G$7,Config!$G$19)))</f>
        <v/>
      </c>
      <c r="Y310">
        <f>IF(OR(M310=0,M310=""),"",ABS((M310-IF($C310="LT",Config!$F$8,Config!$F$20))/IF($C310="LT",Config!$G$8,Config!$G$20)))</f>
        <v/>
      </c>
      <c r="Z310">
        <f>IF(OR(N310=0,N310=""),"",ABS((N310-IF($C310="LT",Config!$F$9,Config!$F$21))/IF($C310="LT",Config!$G$9,Config!$G$21)))</f>
        <v/>
      </c>
      <c r="AA310">
        <f>IF(OR(O310=0,O310=""),"",ABS((O310-IF($C310="LT",Config!$F$10,Config!$F$22))/IF($C310="LT",Config!$G$10,Config!$G$22)))</f>
        <v/>
      </c>
      <c r="AB310">
        <f>IF(OR(P310=0,P310=""),"",ABS((P310-IF($C310="LT",Config!$F$11,Config!$F$23))/IF($C310="LT",Config!$G$11,Config!$G$23)))</f>
        <v/>
      </c>
      <c r="AC310">
        <f>IF(OR(Q310=0,Q310=""),"",ABS((Q310-IF($C310="LT",Config!$F$12,Config!$F$24))/IF($C310="LT",Config!$G$12,Config!$G$24)))</f>
        <v/>
      </c>
      <c r="AD310">
        <f>IF(OR(R310=0,R310=""),"",ABS((R310-IF($C310="LT",Config!$F$13,Config!$F$25))/IF($C310="LT",Config!$G$13,Config!$G$25)))</f>
        <v/>
      </c>
    </row>
    <row r="311">
      <c r="A311" t="inlineStr">
        <is>
          <t>04C1426120957</t>
        </is>
      </c>
      <c r="B311" t="inlineStr">
        <is>
          <t>CRS0000674</t>
        </is>
      </c>
      <c r="C311" t="inlineStr">
        <is>
          <t>MT</t>
        </is>
      </c>
      <c r="D311" t="inlineStr">
        <is>
          <t>TCX413U-DS1B01</t>
        </is>
      </c>
      <c r="E311" s="2" t="n">
        <v>46095</v>
      </c>
      <c r="F311" t="inlineStr">
        <is>
          <t>Fail</t>
        </is>
      </c>
      <c r="G311" t="n">
        <v>100.3</v>
      </c>
      <c r="H311" t="n">
        <v>73</v>
      </c>
      <c r="I311" t="n">
        <v>-1957.8</v>
      </c>
      <c r="J311" t="n">
        <v>67.7</v>
      </c>
      <c r="K311" t="n">
        <v>0</v>
      </c>
      <c r="L311" t="n">
        <v>1.5</v>
      </c>
      <c r="M311" t="n">
        <v>0</v>
      </c>
      <c r="N311" t="n">
        <v>66.2</v>
      </c>
      <c r="O311" t="n">
        <v>115.24</v>
      </c>
      <c r="P311" t="n">
        <v>115.09</v>
      </c>
      <c r="Q311" t="n">
        <v>3.76</v>
      </c>
      <c r="R311" t="n">
        <v>3.83</v>
      </c>
      <c r="S311">
        <f>IF(OR(G311=0,G311=""),"",ABS((G311-IF($C311="LT",Config!$F$2,Config!$F$14))/IF($C311="LT",Config!$G$2,Config!$G$14)))</f>
        <v/>
      </c>
      <c r="T311">
        <f>IF(OR(H311=0,H311=""),"",ABS((H311-IF($C311="LT",Config!$F$3,Config!$F$15))/IF($C311="LT",Config!$G$3,Config!$G$15)))</f>
        <v/>
      </c>
      <c r="U311">
        <f>IF(OR(I311=0,I311=""),"",ABS((I311-IF($C311="LT",Config!$F$4,Config!$F$16))/IF($C311="LT",Config!$G$4,Config!$G$16)))</f>
        <v/>
      </c>
      <c r="V311">
        <f>IF(OR(J311=0,J311=""),"",ABS((J311-IF($C311="LT",Config!$F$5,Config!$F$17))/IF($C311="LT",Config!$G$5,Config!$G$17)))</f>
        <v/>
      </c>
      <c r="W311">
        <f>IF(OR(K311=0,K311=""),"",ABS((K311-IF($C311="LT",Config!$F$6,Config!$F$18))/IF($C311="LT",Config!$G$6,Config!$G$18)))</f>
        <v/>
      </c>
      <c r="X311">
        <f>IF(OR(L311=0,L311=""),"",ABS((L311-IF($C311="LT",Config!$F$7,Config!$F$19))/IF($C311="LT",Config!$G$7,Config!$G$19)))</f>
        <v/>
      </c>
      <c r="Y311">
        <f>IF(OR(M311=0,M311=""),"",ABS((M311-IF($C311="LT",Config!$F$8,Config!$F$20))/IF($C311="LT",Config!$G$8,Config!$G$20)))</f>
        <v/>
      </c>
      <c r="Z311">
        <f>IF(OR(N311=0,N311=""),"",ABS((N311-IF($C311="LT",Config!$F$9,Config!$F$21))/IF($C311="LT",Config!$G$9,Config!$G$21)))</f>
        <v/>
      </c>
      <c r="AA311">
        <f>IF(OR(O311=0,O311=""),"",ABS((O311-IF($C311="LT",Config!$F$10,Config!$F$22))/IF($C311="LT",Config!$G$10,Config!$G$22)))</f>
        <v/>
      </c>
      <c r="AB311">
        <f>IF(OR(P311=0,P311=""),"",ABS((P311-IF($C311="LT",Config!$F$11,Config!$F$23))/IF($C311="LT",Config!$G$11,Config!$G$23)))</f>
        <v/>
      </c>
      <c r="AC311">
        <f>IF(OR(Q311=0,Q311=""),"",ABS((Q311-IF($C311="LT",Config!$F$12,Config!$F$24))/IF($C311="LT",Config!$G$12,Config!$G$24)))</f>
        <v/>
      </c>
      <c r="AD311">
        <f>IF(OR(R311=0,R311=""),"",ABS((R311-IF($C311="LT",Config!$F$13,Config!$F$25))/IF($C311="LT",Config!$G$13,Config!$G$25)))</f>
        <v/>
      </c>
    </row>
    <row r="312">
      <c r="A312" t="inlineStr">
        <is>
          <t>04C1426120957</t>
        </is>
      </c>
      <c r="B312" t="inlineStr">
        <is>
          <t>CRS0000674</t>
        </is>
      </c>
      <c r="C312" t="inlineStr">
        <is>
          <t>MT</t>
        </is>
      </c>
      <c r="D312" t="inlineStr">
        <is>
          <t>TCX413U-DS1B01</t>
        </is>
      </c>
      <c r="E312" s="2" t="n">
        <v>46095</v>
      </c>
      <c r="F312" t="inlineStr">
        <is>
          <t>Pass</t>
        </is>
      </c>
      <c r="G312" t="n">
        <v>113.3</v>
      </c>
      <c r="H312" t="n">
        <v>79.8</v>
      </c>
      <c r="I312" t="n">
        <v>-1957.8</v>
      </c>
      <c r="J312" t="n">
        <v>67.7</v>
      </c>
      <c r="K312" t="n">
        <v>0</v>
      </c>
      <c r="L312" t="n">
        <v>1.3</v>
      </c>
      <c r="M312" t="n">
        <v>0</v>
      </c>
      <c r="N312" t="n">
        <v>66.40000000000001</v>
      </c>
      <c r="O312" t="n">
        <v>115.31</v>
      </c>
      <c r="P312" t="n">
        <v>115.31</v>
      </c>
      <c r="Q312" t="n">
        <v>3.78</v>
      </c>
      <c r="R312" t="n">
        <v>3.83</v>
      </c>
      <c r="S312">
        <f>IF(OR(G312=0,G312=""),"",ABS((G312-IF($C312="LT",Config!$F$2,Config!$F$14))/IF($C312="LT",Config!$G$2,Config!$G$14)))</f>
        <v/>
      </c>
      <c r="T312">
        <f>IF(OR(H312=0,H312=""),"",ABS((H312-IF($C312="LT",Config!$F$3,Config!$F$15))/IF($C312="LT",Config!$G$3,Config!$G$15)))</f>
        <v/>
      </c>
      <c r="U312">
        <f>IF(OR(I312=0,I312=""),"",ABS((I312-IF($C312="LT",Config!$F$4,Config!$F$16))/IF($C312="LT",Config!$G$4,Config!$G$16)))</f>
        <v/>
      </c>
      <c r="V312">
        <f>IF(OR(J312=0,J312=""),"",ABS((J312-IF($C312="LT",Config!$F$5,Config!$F$17))/IF($C312="LT",Config!$G$5,Config!$G$17)))</f>
        <v/>
      </c>
      <c r="W312">
        <f>IF(OR(K312=0,K312=""),"",ABS((K312-IF($C312="LT",Config!$F$6,Config!$F$18))/IF($C312="LT",Config!$G$6,Config!$G$18)))</f>
        <v/>
      </c>
      <c r="X312">
        <f>IF(OR(L312=0,L312=""),"",ABS((L312-IF($C312="LT",Config!$F$7,Config!$F$19))/IF($C312="LT",Config!$G$7,Config!$G$19)))</f>
        <v/>
      </c>
      <c r="Y312">
        <f>IF(OR(M312=0,M312=""),"",ABS((M312-IF($C312="LT",Config!$F$8,Config!$F$20))/IF($C312="LT",Config!$G$8,Config!$G$20)))</f>
        <v/>
      </c>
      <c r="Z312">
        <f>IF(OR(N312=0,N312=""),"",ABS((N312-IF($C312="LT",Config!$F$9,Config!$F$21))/IF($C312="LT",Config!$G$9,Config!$G$21)))</f>
        <v/>
      </c>
      <c r="AA312">
        <f>IF(OR(O312=0,O312=""),"",ABS((O312-IF($C312="LT",Config!$F$10,Config!$F$22))/IF($C312="LT",Config!$G$10,Config!$G$22)))</f>
        <v/>
      </c>
      <c r="AB312">
        <f>IF(OR(P312=0,P312=""),"",ABS((P312-IF($C312="LT",Config!$F$11,Config!$F$23))/IF($C312="LT",Config!$G$11,Config!$G$23)))</f>
        <v/>
      </c>
      <c r="AC312">
        <f>IF(OR(Q312=0,Q312=""),"",ABS((Q312-IF($C312="LT",Config!$F$12,Config!$F$24))/IF($C312="LT",Config!$G$12,Config!$G$24)))</f>
        <v/>
      </c>
      <c r="AD312">
        <f>IF(OR(R312=0,R312=""),"",ABS((R312-IF($C312="LT",Config!$F$13,Config!$F$25))/IF($C312="LT",Config!$G$13,Config!$G$25)))</f>
        <v/>
      </c>
    </row>
    <row r="313">
      <c r="A313" t="inlineStr">
        <is>
          <t>04C1426120958</t>
        </is>
      </c>
      <c r="B313" t="inlineStr">
        <is>
          <t>CRS0000674</t>
        </is>
      </c>
      <c r="C313" t="inlineStr">
        <is>
          <t>MT</t>
        </is>
      </c>
      <c r="D313" t="inlineStr">
        <is>
          <t>TCX413U-DS1B01</t>
        </is>
      </c>
      <c r="E313" s="2" t="n">
        <v>46095</v>
      </c>
      <c r="F313" t="inlineStr">
        <is>
          <t>Pass</t>
        </is>
      </c>
      <c r="G313" t="n">
        <v>111.1</v>
      </c>
      <c r="H313" t="n">
        <v>79.3</v>
      </c>
      <c r="I313" t="n">
        <v>-1957.8</v>
      </c>
      <c r="J313" t="n">
        <v>67.7</v>
      </c>
      <c r="K313" t="n">
        <v>0</v>
      </c>
      <c r="L313" t="n">
        <v>0.9</v>
      </c>
      <c r="M313" t="n">
        <v>0</v>
      </c>
      <c r="N313" t="n">
        <v>66.8</v>
      </c>
      <c r="O313" t="n">
        <v>115.46</v>
      </c>
      <c r="P313" t="n">
        <v>115.38</v>
      </c>
      <c r="Q313" t="n">
        <v>3.71</v>
      </c>
      <c r="R313" t="n">
        <v>3.78</v>
      </c>
      <c r="S313">
        <f>IF(OR(G313=0,G313=""),"",ABS((G313-IF($C313="LT",Config!$F$2,Config!$F$14))/IF($C313="LT",Config!$G$2,Config!$G$14)))</f>
        <v/>
      </c>
      <c r="T313">
        <f>IF(OR(H313=0,H313=""),"",ABS((H313-IF($C313="LT",Config!$F$3,Config!$F$15))/IF($C313="LT",Config!$G$3,Config!$G$15)))</f>
        <v/>
      </c>
      <c r="U313">
        <f>IF(OR(I313=0,I313=""),"",ABS((I313-IF($C313="LT",Config!$F$4,Config!$F$16))/IF($C313="LT",Config!$G$4,Config!$G$16)))</f>
        <v/>
      </c>
      <c r="V313">
        <f>IF(OR(J313=0,J313=""),"",ABS((J313-IF($C313="LT",Config!$F$5,Config!$F$17))/IF($C313="LT",Config!$G$5,Config!$G$17)))</f>
        <v/>
      </c>
      <c r="W313">
        <f>IF(OR(K313=0,K313=""),"",ABS((K313-IF($C313="LT",Config!$F$6,Config!$F$18))/IF($C313="LT",Config!$G$6,Config!$G$18)))</f>
        <v/>
      </c>
      <c r="X313">
        <f>IF(OR(L313=0,L313=""),"",ABS((L313-IF($C313="LT",Config!$F$7,Config!$F$19))/IF($C313="LT",Config!$G$7,Config!$G$19)))</f>
        <v/>
      </c>
      <c r="Y313">
        <f>IF(OR(M313=0,M313=""),"",ABS((M313-IF($C313="LT",Config!$F$8,Config!$F$20))/IF($C313="LT",Config!$G$8,Config!$G$20)))</f>
        <v/>
      </c>
      <c r="Z313">
        <f>IF(OR(N313=0,N313=""),"",ABS((N313-IF($C313="LT",Config!$F$9,Config!$F$21))/IF($C313="LT",Config!$G$9,Config!$G$21)))</f>
        <v/>
      </c>
      <c r="AA313">
        <f>IF(OR(O313=0,O313=""),"",ABS((O313-IF($C313="LT",Config!$F$10,Config!$F$22))/IF($C313="LT",Config!$G$10,Config!$G$22)))</f>
        <v/>
      </c>
      <c r="AB313">
        <f>IF(OR(P313=0,P313=""),"",ABS((P313-IF($C313="LT",Config!$F$11,Config!$F$23))/IF($C313="LT",Config!$G$11,Config!$G$23)))</f>
        <v/>
      </c>
      <c r="AC313">
        <f>IF(OR(Q313=0,Q313=""),"",ABS((Q313-IF($C313="LT",Config!$F$12,Config!$F$24))/IF($C313="LT",Config!$G$12,Config!$G$24)))</f>
        <v/>
      </c>
      <c r="AD313">
        <f>IF(OR(R313=0,R313=""),"",ABS((R313-IF($C313="LT",Config!$F$13,Config!$F$25))/IF($C313="LT",Config!$G$13,Config!$G$25)))</f>
        <v/>
      </c>
    </row>
    <row r="314">
      <c r="A314" t="inlineStr">
        <is>
          <t>04C1426120959</t>
        </is>
      </c>
      <c r="B314" t="inlineStr">
        <is>
          <t>CRS0000674</t>
        </is>
      </c>
      <c r="C314" t="inlineStr">
        <is>
          <t>MT</t>
        </is>
      </c>
      <c r="D314" t="inlineStr">
        <is>
          <t>TCX413U-DS1B01</t>
        </is>
      </c>
      <c r="E314" s="2" t="n">
        <v>46095</v>
      </c>
      <c r="F314" t="inlineStr">
        <is>
          <t>Pass</t>
        </is>
      </c>
      <c r="G314" t="n">
        <v>107</v>
      </c>
      <c r="H314" t="n">
        <v>78.90000000000001</v>
      </c>
      <c r="I314" t="n">
        <v>-1957.8</v>
      </c>
      <c r="J314" t="n">
        <v>68.59999999999999</v>
      </c>
      <c r="K314" t="n">
        <v>0</v>
      </c>
      <c r="L314" t="n">
        <v>2.2</v>
      </c>
      <c r="M314" t="n">
        <v>0</v>
      </c>
      <c r="N314" t="n">
        <v>70.8</v>
      </c>
      <c r="O314" t="n">
        <v>115.24</v>
      </c>
      <c r="P314" t="n">
        <v>115.24</v>
      </c>
      <c r="Q314" t="n">
        <v>3.81</v>
      </c>
      <c r="R314" t="n">
        <v>3.86</v>
      </c>
      <c r="S314">
        <f>IF(OR(G314=0,G314=""),"",ABS((G314-IF($C314="LT",Config!$F$2,Config!$F$14))/IF($C314="LT",Config!$G$2,Config!$G$14)))</f>
        <v/>
      </c>
      <c r="T314">
        <f>IF(OR(H314=0,H314=""),"",ABS((H314-IF($C314="LT",Config!$F$3,Config!$F$15))/IF($C314="LT",Config!$G$3,Config!$G$15)))</f>
        <v/>
      </c>
      <c r="U314">
        <f>IF(OR(I314=0,I314=""),"",ABS((I314-IF($C314="LT",Config!$F$4,Config!$F$16))/IF($C314="LT",Config!$G$4,Config!$G$16)))</f>
        <v/>
      </c>
      <c r="V314">
        <f>IF(OR(J314=0,J314=""),"",ABS((J314-IF($C314="LT",Config!$F$5,Config!$F$17))/IF($C314="LT",Config!$G$5,Config!$G$17)))</f>
        <v/>
      </c>
      <c r="W314">
        <f>IF(OR(K314=0,K314=""),"",ABS((K314-IF($C314="LT",Config!$F$6,Config!$F$18))/IF($C314="LT",Config!$G$6,Config!$G$18)))</f>
        <v/>
      </c>
      <c r="X314">
        <f>IF(OR(L314=0,L314=""),"",ABS((L314-IF($C314="LT",Config!$F$7,Config!$F$19))/IF($C314="LT",Config!$G$7,Config!$G$19)))</f>
        <v/>
      </c>
      <c r="Y314">
        <f>IF(OR(M314=0,M314=""),"",ABS((M314-IF($C314="LT",Config!$F$8,Config!$F$20))/IF($C314="LT",Config!$G$8,Config!$G$20)))</f>
        <v/>
      </c>
      <c r="Z314">
        <f>IF(OR(N314=0,N314=""),"",ABS((N314-IF($C314="LT",Config!$F$9,Config!$F$21))/IF($C314="LT",Config!$G$9,Config!$G$21)))</f>
        <v/>
      </c>
      <c r="AA314">
        <f>IF(OR(O314=0,O314=""),"",ABS((O314-IF($C314="LT",Config!$F$10,Config!$F$22))/IF($C314="LT",Config!$G$10,Config!$G$22)))</f>
        <v/>
      </c>
      <c r="AB314">
        <f>IF(OR(P314=0,P314=""),"",ABS((P314-IF($C314="LT",Config!$F$11,Config!$F$23))/IF($C314="LT",Config!$G$11,Config!$G$23)))</f>
        <v/>
      </c>
      <c r="AC314">
        <f>IF(OR(Q314=0,Q314=""),"",ABS((Q314-IF($C314="LT",Config!$F$12,Config!$F$24))/IF($C314="LT",Config!$G$12,Config!$G$24)))</f>
        <v/>
      </c>
      <c r="AD314">
        <f>IF(OR(R314=0,R314=""),"",ABS((R314-IF($C314="LT",Config!$F$13,Config!$F$25))/IF($C314="LT",Config!$G$13,Config!$G$25)))</f>
        <v/>
      </c>
    </row>
    <row r="315">
      <c r="A315" t="inlineStr">
        <is>
          <t>04C1326120945</t>
        </is>
      </c>
      <c r="B315" t="inlineStr">
        <is>
          <t>CRS0000674</t>
        </is>
      </c>
      <c r="C315" t="inlineStr">
        <is>
          <t>MT</t>
        </is>
      </c>
      <c r="D315" t="inlineStr">
        <is>
          <t>TCX413U-DS1B01</t>
        </is>
      </c>
      <c r="E315" s="2" t="n">
        <v>46095</v>
      </c>
      <c r="F315" t="inlineStr">
        <is>
          <t>Fail</t>
        </is>
      </c>
      <c r="G315" t="n">
        <v>128</v>
      </c>
      <c r="H315" t="n">
        <v>127.6</v>
      </c>
      <c r="I315" t="n">
        <v>-1957.8</v>
      </c>
      <c r="J315" t="n">
        <v>68.2</v>
      </c>
      <c r="K315" t="n">
        <v>0</v>
      </c>
      <c r="L315" t="n">
        <v>2.8</v>
      </c>
      <c r="M315" t="n">
        <v>0</v>
      </c>
      <c r="N315" t="n">
        <v>65.40000000000001</v>
      </c>
      <c r="O315" t="n">
        <v>115.16</v>
      </c>
      <c r="P315" t="n">
        <v>115.02</v>
      </c>
      <c r="Q315" t="n">
        <v>3.91</v>
      </c>
      <c r="R315" t="n">
        <v>4.57</v>
      </c>
      <c r="S315">
        <f>IF(OR(G315=0,G315=""),"",ABS((G315-IF($C315="LT",Config!$F$2,Config!$F$14))/IF($C315="LT",Config!$G$2,Config!$G$14)))</f>
        <v/>
      </c>
      <c r="T315">
        <f>IF(OR(H315=0,H315=""),"",ABS((H315-IF($C315="LT",Config!$F$3,Config!$F$15))/IF($C315="LT",Config!$G$3,Config!$G$15)))</f>
        <v/>
      </c>
      <c r="U315">
        <f>IF(OR(I315=0,I315=""),"",ABS((I315-IF($C315="LT",Config!$F$4,Config!$F$16))/IF($C315="LT",Config!$G$4,Config!$G$16)))</f>
        <v/>
      </c>
      <c r="V315">
        <f>IF(OR(J315=0,J315=""),"",ABS((J315-IF($C315="LT",Config!$F$5,Config!$F$17))/IF($C315="LT",Config!$G$5,Config!$G$17)))</f>
        <v/>
      </c>
      <c r="W315">
        <f>IF(OR(K315=0,K315=""),"",ABS((K315-IF($C315="LT",Config!$F$6,Config!$F$18))/IF($C315="LT",Config!$G$6,Config!$G$18)))</f>
        <v/>
      </c>
      <c r="X315">
        <f>IF(OR(L315=0,L315=""),"",ABS((L315-IF($C315="LT",Config!$F$7,Config!$F$19))/IF($C315="LT",Config!$G$7,Config!$G$19)))</f>
        <v/>
      </c>
      <c r="Y315">
        <f>IF(OR(M315=0,M315=""),"",ABS((M315-IF($C315="LT",Config!$F$8,Config!$F$20))/IF($C315="LT",Config!$G$8,Config!$G$20)))</f>
        <v/>
      </c>
      <c r="Z315">
        <f>IF(OR(N315=0,N315=""),"",ABS((N315-IF($C315="LT",Config!$F$9,Config!$F$21))/IF($C315="LT",Config!$G$9,Config!$G$21)))</f>
        <v/>
      </c>
      <c r="AA315">
        <f>IF(OR(O315=0,O315=""),"",ABS((O315-IF($C315="LT",Config!$F$10,Config!$F$22))/IF($C315="LT",Config!$G$10,Config!$G$22)))</f>
        <v/>
      </c>
      <c r="AB315">
        <f>IF(OR(P315=0,P315=""),"",ABS((P315-IF($C315="LT",Config!$F$11,Config!$F$23))/IF($C315="LT",Config!$G$11,Config!$G$23)))</f>
        <v/>
      </c>
      <c r="AC315">
        <f>IF(OR(Q315=0,Q315=""),"",ABS((Q315-IF($C315="LT",Config!$F$12,Config!$F$24))/IF($C315="LT",Config!$G$12,Config!$G$24)))</f>
        <v/>
      </c>
      <c r="AD315">
        <f>IF(OR(R315=0,R315=""),"",ABS((R315-IF($C315="LT",Config!$F$13,Config!$F$25))/IF($C315="LT",Config!$G$13,Config!$G$25)))</f>
        <v/>
      </c>
    </row>
    <row r="316">
      <c r="A316" t="inlineStr">
        <is>
          <t>04C1326120945</t>
        </is>
      </c>
      <c r="B316" t="inlineStr">
        <is>
          <t>CRS0000674</t>
        </is>
      </c>
      <c r="C316" t="inlineStr">
        <is>
          <t>MT</t>
        </is>
      </c>
      <c r="D316" t="inlineStr">
        <is>
          <t>TCX413U-DS1B01</t>
        </is>
      </c>
      <c r="E316" s="2" t="n">
        <v>46095</v>
      </c>
      <c r="F316" t="inlineStr">
        <is>
          <t>Fail</t>
        </is>
      </c>
      <c r="G316" t="n">
        <v>139.7</v>
      </c>
      <c r="H316" t="n">
        <v>135.2</v>
      </c>
      <c r="I316" t="n">
        <v>-1957.8</v>
      </c>
      <c r="J316" t="n">
        <v>67.7</v>
      </c>
      <c r="K316" t="n">
        <v>0</v>
      </c>
      <c r="L316" t="n">
        <v>2.4</v>
      </c>
      <c r="M316" t="n">
        <v>0</v>
      </c>
      <c r="N316" t="n">
        <v>65.3</v>
      </c>
      <c r="O316" t="n">
        <v>114.94</v>
      </c>
      <c r="P316" t="n">
        <v>114.94</v>
      </c>
      <c r="Q316" t="n">
        <v>4.47</v>
      </c>
      <c r="R316" t="n">
        <v>4.88</v>
      </c>
      <c r="S316">
        <f>IF(OR(G316=0,G316=""),"",ABS((G316-IF($C316="LT",Config!$F$2,Config!$F$14))/IF($C316="LT",Config!$G$2,Config!$G$14)))</f>
        <v/>
      </c>
      <c r="T316">
        <f>IF(OR(H316=0,H316=""),"",ABS((H316-IF($C316="LT",Config!$F$3,Config!$F$15))/IF($C316="LT",Config!$G$3,Config!$G$15)))</f>
        <v/>
      </c>
      <c r="U316">
        <f>IF(OR(I316=0,I316=""),"",ABS((I316-IF($C316="LT",Config!$F$4,Config!$F$16))/IF($C316="LT",Config!$G$4,Config!$G$16)))</f>
        <v/>
      </c>
      <c r="V316">
        <f>IF(OR(J316=0,J316=""),"",ABS((J316-IF($C316="LT",Config!$F$5,Config!$F$17))/IF($C316="LT",Config!$G$5,Config!$G$17)))</f>
        <v/>
      </c>
      <c r="W316">
        <f>IF(OR(K316=0,K316=""),"",ABS((K316-IF($C316="LT",Config!$F$6,Config!$F$18))/IF($C316="LT",Config!$G$6,Config!$G$18)))</f>
        <v/>
      </c>
      <c r="X316">
        <f>IF(OR(L316=0,L316=""),"",ABS((L316-IF($C316="LT",Config!$F$7,Config!$F$19))/IF($C316="LT",Config!$G$7,Config!$G$19)))</f>
        <v/>
      </c>
      <c r="Y316">
        <f>IF(OR(M316=0,M316=""),"",ABS((M316-IF($C316="LT",Config!$F$8,Config!$F$20))/IF($C316="LT",Config!$G$8,Config!$G$20)))</f>
        <v/>
      </c>
      <c r="Z316">
        <f>IF(OR(N316=0,N316=""),"",ABS((N316-IF($C316="LT",Config!$F$9,Config!$F$21))/IF($C316="LT",Config!$G$9,Config!$G$21)))</f>
        <v/>
      </c>
      <c r="AA316">
        <f>IF(OR(O316=0,O316=""),"",ABS((O316-IF($C316="LT",Config!$F$10,Config!$F$22))/IF($C316="LT",Config!$G$10,Config!$G$22)))</f>
        <v/>
      </c>
      <c r="AB316">
        <f>IF(OR(P316=0,P316=""),"",ABS((P316-IF($C316="LT",Config!$F$11,Config!$F$23))/IF($C316="LT",Config!$G$11,Config!$G$23)))</f>
        <v/>
      </c>
      <c r="AC316">
        <f>IF(OR(Q316=0,Q316=""),"",ABS((Q316-IF($C316="LT",Config!$F$12,Config!$F$24))/IF($C316="LT",Config!$G$12,Config!$G$24)))</f>
        <v/>
      </c>
      <c r="AD316">
        <f>IF(OR(R316=0,R316=""),"",ABS((R316-IF($C316="LT",Config!$F$13,Config!$F$25))/IF($C316="LT",Config!$G$13,Config!$G$25)))</f>
        <v/>
      </c>
    </row>
    <row r="317">
      <c r="A317" t="inlineStr">
        <is>
          <t>04C1326120945</t>
        </is>
      </c>
      <c r="B317" t="inlineStr">
        <is>
          <t>CRS0000674</t>
        </is>
      </c>
      <c r="C317" t="inlineStr">
        <is>
          <t>MT</t>
        </is>
      </c>
      <c r="D317" t="inlineStr">
        <is>
          <t>TCX413U-DS1B01</t>
        </is>
      </c>
      <c r="E317" s="2" t="n">
        <v>46095</v>
      </c>
      <c r="F317" t="inlineStr">
        <is>
          <t>Fail</t>
        </is>
      </c>
      <c r="G317" t="n">
        <v>149.5</v>
      </c>
      <c r="H317" t="n">
        <v>148.3</v>
      </c>
      <c r="I317" t="n">
        <v>-1957.8</v>
      </c>
      <c r="J317" t="n">
        <v>68.2</v>
      </c>
      <c r="K317" t="n">
        <v>0</v>
      </c>
      <c r="L317" t="n">
        <v>0.3</v>
      </c>
      <c r="M317" t="n">
        <v>0</v>
      </c>
      <c r="N317" t="n">
        <v>67.90000000000001</v>
      </c>
      <c r="O317" t="n">
        <v>115.09</v>
      </c>
      <c r="P317" t="n">
        <v>114.94</v>
      </c>
      <c r="Q317" t="n">
        <v>4.66</v>
      </c>
      <c r="R317" t="n">
        <v>5.15</v>
      </c>
      <c r="S317">
        <f>IF(OR(G317=0,G317=""),"",ABS((G317-IF($C317="LT",Config!$F$2,Config!$F$14))/IF($C317="LT",Config!$G$2,Config!$G$14)))</f>
        <v/>
      </c>
      <c r="T317">
        <f>IF(OR(H317=0,H317=""),"",ABS((H317-IF($C317="LT",Config!$F$3,Config!$F$15))/IF($C317="LT",Config!$G$3,Config!$G$15)))</f>
        <v/>
      </c>
      <c r="U317">
        <f>IF(OR(I317=0,I317=""),"",ABS((I317-IF($C317="LT",Config!$F$4,Config!$F$16))/IF($C317="LT",Config!$G$4,Config!$G$16)))</f>
        <v/>
      </c>
      <c r="V317">
        <f>IF(OR(J317=0,J317=""),"",ABS((J317-IF($C317="LT",Config!$F$5,Config!$F$17))/IF($C317="LT",Config!$G$5,Config!$G$17)))</f>
        <v/>
      </c>
      <c r="W317">
        <f>IF(OR(K317=0,K317=""),"",ABS((K317-IF($C317="LT",Config!$F$6,Config!$F$18))/IF($C317="LT",Config!$G$6,Config!$G$18)))</f>
        <v/>
      </c>
      <c r="X317">
        <f>IF(OR(L317=0,L317=""),"",ABS((L317-IF($C317="LT",Config!$F$7,Config!$F$19))/IF($C317="LT",Config!$G$7,Config!$G$19)))</f>
        <v/>
      </c>
      <c r="Y317">
        <f>IF(OR(M317=0,M317=""),"",ABS((M317-IF($C317="LT",Config!$F$8,Config!$F$20))/IF($C317="LT",Config!$G$8,Config!$G$20)))</f>
        <v/>
      </c>
      <c r="Z317">
        <f>IF(OR(N317=0,N317=""),"",ABS((N317-IF($C317="LT",Config!$F$9,Config!$F$21))/IF($C317="LT",Config!$G$9,Config!$G$21)))</f>
        <v/>
      </c>
      <c r="AA317">
        <f>IF(OR(O317=0,O317=""),"",ABS((O317-IF($C317="LT",Config!$F$10,Config!$F$22))/IF($C317="LT",Config!$G$10,Config!$G$22)))</f>
        <v/>
      </c>
      <c r="AB317">
        <f>IF(OR(P317=0,P317=""),"",ABS((P317-IF($C317="LT",Config!$F$11,Config!$F$23))/IF($C317="LT",Config!$G$11,Config!$G$23)))</f>
        <v/>
      </c>
      <c r="AC317">
        <f>IF(OR(Q317=0,Q317=""),"",ABS((Q317-IF($C317="LT",Config!$F$12,Config!$F$24))/IF($C317="LT",Config!$G$12,Config!$G$24)))</f>
        <v/>
      </c>
      <c r="AD317">
        <f>IF(OR(R317=0,R317=""),"",ABS((R317-IF($C317="LT",Config!$F$13,Config!$F$25))/IF($C317="LT",Config!$G$13,Config!$G$25)))</f>
        <v/>
      </c>
    </row>
    <row r="318">
      <c r="A318" t="inlineStr">
        <is>
          <t>04C1326120945</t>
        </is>
      </c>
      <c r="B318" t="inlineStr">
        <is>
          <t>CRS0000674</t>
        </is>
      </c>
      <c r="C318" t="inlineStr">
        <is>
          <t>MT</t>
        </is>
      </c>
      <c r="D318" t="inlineStr">
        <is>
          <t>TCX413U-DS1B01</t>
        </is>
      </c>
      <c r="E318" s="2" t="n">
        <v>46097</v>
      </c>
      <c r="F318" t="inlineStr">
        <is>
          <t>Fail</t>
        </is>
      </c>
      <c r="G318" t="n">
        <v>144.1</v>
      </c>
      <c r="H318" t="n">
        <v>115.4</v>
      </c>
      <c r="I318" t="n">
        <v>-1957.8</v>
      </c>
      <c r="J318" t="n">
        <v>67.7</v>
      </c>
      <c r="K318" t="n">
        <v>0</v>
      </c>
      <c r="L318" t="n">
        <v>1</v>
      </c>
      <c r="M318" t="n">
        <v>0</v>
      </c>
      <c r="N318" t="n">
        <v>68.7</v>
      </c>
      <c r="O318" t="n">
        <v>111.64</v>
      </c>
      <c r="P318" t="n">
        <v>112.82</v>
      </c>
      <c r="Q318" t="n">
        <v>4.59</v>
      </c>
      <c r="R318" t="n">
        <v>5.83</v>
      </c>
      <c r="S318">
        <f>IF(OR(G318=0,G318=""),"",ABS((G318-IF($C318="LT",Config!$F$2,Config!$F$14))/IF($C318="LT",Config!$G$2,Config!$G$14)))</f>
        <v/>
      </c>
      <c r="T318">
        <f>IF(OR(H318=0,H318=""),"",ABS((H318-IF($C318="LT",Config!$F$3,Config!$F$15))/IF($C318="LT",Config!$G$3,Config!$G$15)))</f>
        <v/>
      </c>
      <c r="U318">
        <f>IF(OR(I318=0,I318=""),"",ABS((I318-IF($C318="LT",Config!$F$4,Config!$F$16))/IF($C318="LT",Config!$G$4,Config!$G$16)))</f>
        <v/>
      </c>
      <c r="V318">
        <f>IF(OR(J318=0,J318=""),"",ABS((J318-IF($C318="LT",Config!$F$5,Config!$F$17))/IF($C318="LT",Config!$G$5,Config!$G$17)))</f>
        <v/>
      </c>
      <c r="W318">
        <f>IF(OR(K318=0,K318=""),"",ABS((K318-IF($C318="LT",Config!$F$6,Config!$F$18))/IF($C318="LT",Config!$G$6,Config!$G$18)))</f>
        <v/>
      </c>
      <c r="X318">
        <f>IF(OR(L318=0,L318=""),"",ABS((L318-IF($C318="LT",Config!$F$7,Config!$F$19))/IF($C318="LT",Config!$G$7,Config!$G$19)))</f>
        <v/>
      </c>
      <c r="Y318">
        <f>IF(OR(M318=0,M318=""),"",ABS((M318-IF($C318="LT",Config!$F$8,Config!$F$20))/IF($C318="LT",Config!$G$8,Config!$G$20)))</f>
        <v/>
      </c>
      <c r="Z318">
        <f>IF(OR(N318=0,N318=""),"",ABS((N318-IF($C318="LT",Config!$F$9,Config!$F$21))/IF($C318="LT",Config!$G$9,Config!$G$21)))</f>
        <v/>
      </c>
      <c r="AA318">
        <f>IF(OR(O318=0,O318=""),"",ABS((O318-IF($C318="LT",Config!$F$10,Config!$F$22))/IF($C318="LT",Config!$G$10,Config!$G$22)))</f>
        <v/>
      </c>
      <c r="AB318">
        <f>IF(OR(P318=0,P318=""),"",ABS((P318-IF($C318="LT",Config!$F$11,Config!$F$23))/IF($C318="LT",Config!$G$11,Config!$G$23)))</f>
        <v/>
      </c>
      <c r="AC318">
        <f>IF(OR(Q318=0,Q318=""),"",ABS((Q318-IF($C318="LT",Config!$F$12,Config!$F$24))/IF($C318="LT",Config!$G$12,Config!$G$24)))</f>
        <v/>
      </c>
      <c r="AD318">
        <f>IF(OR(R318=0,R318=""),"",ABS((R318-IF($C318="LT",Config!$F$13,Config!$F$25))/IF($C318="LT",Config!$G$13,Config!$G$25)))</f>
        <v/>
      </c>
    </row>
    <row r="319">
      <c r="A319" t="inlineStr">
        <is>
          <t>04C1326120945</t>
        </is>
      </c>
      <c r="B319" t="inlineStr">
        <is>
          <t>CRS0000674</t>
        </is>
      </c>
      <c r="C319" t="inlineStr">
        <is>
          <t>MT</t>
        </is>
      </c>
      <c r="D319" t="inlineStr">
        <is>
          <t>TCX413U-DS1B01</t>
        </is>
      </c>
      <c r="E319" s="2" t="n">
        <v>46097</v>
      </c>
      <c r="F319" t="inlineStr">
        <is>
          <t>Fail</t>
        </is>
      </c>
      <c r="G319" t="n">
        <v>154.8</v>
      </c>
      <c r="H319" t="n">
        <v>153.3</v>
      </c>
      <c r="I319" t="n">
        <v>-1957.8</v>
      </c>
      <c r="J319" t="n">
        <v>67.7</v>
      </c>
      <c r="K319" t="n">
        <v>0</v>
      </c>
      <c r="L319" t="n">
        <v>2.1</v>
      </c>
      <c r="M319" t="n">
        <v>0</v>
      </c>
      <c r="N319" t="n">
        <v>69.8</v>
      </c>
      <c r="O319" t="n">
        <v>114.65</v>
      </c>
      <c r="P319" t="n">
        <v>114.14</v>
      </c>
      <c r="Q319" t="n">
        <v>5.59</v>
      </c>
      <c r="R319" t="n">
        <v>6.49</v>
      </c>
      <c r="S319">
        <f>IF(OR(G319=0,G319=""),"",ABS((G319-IF($C319="LT",Config!$F$2,Config!$F$14))/IF($C319="LT",Config!$G$2,Config!$G$14)))</f>
        <v/>
      </c>
      <c r="T319">
        <f>IF(OR(H319=0,H319=""),"",ABS((H319-IF($C319="LT",Config!$F$3,Config!$F$15))/IF($C319="LT",Config!$G$3,Config!$G$15)))</f>
        <v/>
      </c>
      <c r="U319">
        <f>IF(OR(I319=0,I319=""),"",ABS((I319-IF($C319="LT",Config!$F$4,Config!$F$16))/IF($C319="LT",Config!$G$4,Config!$G$16)))</f>
        <v/>
      </c>
      <c r="V319">
        <f>IF(OR(J319=0,J319=""),"",ABS((J319-IF($C319="LT",Config!$F$5,Config!$F$17))/IF($C319="LT",Config!$G$5,Config!$G$17)))</f>
        <v/>
      </c>
      <c r="W319">
        <f>IF(OR(K319=0,K319=""),"",ABS((K319-IF($C319="LT",Config!$F$6,Config!$F$18))/IF($C319="LT",Config!$G$6,Config!$G$18)))</f>
        <v/>
      </c>
      <c r="X319">
        <f>IF(OR(L319=0,L319=""),"",ABS((L319-IF($C319="LT",Config!$F$7,Config!$F$19))/IF($C319="LT",Config!$G$7,Config!$G$19)))</f>
        <v/>
      </c>
      <c r="Y319">
        <f>IF(OR(M319=0,M319=""),"",ABS((M319-IF($C319="LT",Config!$F$8,Config!$F$20))/IF($C319="LT",Config!$G$8,Config!$G$20)))</f>
        <v/>
      </c>
      <c r="Z319">
        <f>IF(OR(N319=0,N319=""),"",ABS((N319-IF($C319="LT",Config!$F$9,Config!$F$21))/IF($C319="LT",Config!$G$9,Config!$G$21)))</f>
        <v/>
      </c>
      <c r="AA319">
        <f>IF(OR(O319=0,O319=""),"",ABS((O319-IF($C319="LT",Config!$F$10,Config!$F$22))/IF($C319="LT",Config!$G$10,Config!$G$22)))</f>
        <v/>
      </c>
      <c r="AB319">
        <f>IF(OR(P319=0,P319=""),"",ABS((P319-IF($C319="LT",Config!$F$11,Config!$F$23))/IF($C319="LT",Config!$G$11,Config!$G$23)))</f>
        <v/>
      </c>
      <c r="AC319">
        <f>IF(OR(Q319=0,Q319=""),"",ABS((Q319-IF($C319="LT",Config!$F$12,Config!$F$24))/IF($C319="LT",Config!$G$12,Config!$G$24)))</f>
        <v/>
      </c>
      <c r="AD319">
        <f>IF(OR(R319=0,R319=""),"",ABS((R319-IF($C319="LT",Config!$F$13,Config!$F$25))/IF($C319="LT",Config!$G$13,Config!$G$25)))</f>
        <v/>
      </c>
    </row>
    <row r="320">
      <c r="A320" t="inlineStr">
        <is>
          <t>04C1326120945</t>
        </is>
      </c>
      <c r="B320" t="inlineStr">
        <is>
          <t>CRS0000674</t>
        </is>
      </c>
      <c r="C320" t="inlineStr">
        <is>
          <t>MT</t>
        </is>
      </c>
      <c r="D320" t="inlineStr">
        <is>
          <t>TCX413U-DS1B01</t>
        </is>
      </c>
      <c r="E320" s="2" t="n">
        <v>46097</v>
      </c>
      <c r="F320" t="inlineStr">
        <is>
          <t>Fail</t>
        </is>
      </c>
      <c r="G320" t="n">
        <v>157.5</v>
      </c>
      <c r="H320" t="n">
        <v>156</v>
      </c>
      <c r="I320" t="n">
        <v>-1957.8</v>
      </c>
      <c r="J320" t="n">
        <v>68.59999999999999</v>
      </c>
      <c r="K320" t="n">
        <v>0</v>
      </c>
      <c r="L320" t="n">
        <v>0.2</v>
      </c>
      <c r="M320" t="n">
        <v>0</v>
      </c>
      <c r="N320" t="n">
        <v>68.40000000000001</v>
      </c>
      <c r="O320" t="n">
        <v>114.94</v>
      </c>
      <c r="P320" t="n">
        <v>114.28</v>
      </c>
      <c r="Q320" t="n">
        <v>4.98</v>
      </c>
      <c r="R320" t="n">
        <v>6.54</v>
      </c>
      <c r="S320">
        <f>IF(OR(G320=0,G320=""),"",ABS((G320-IF($C320="LT",Config!$F$2,Config!$F$14))/IF($C320="LT",Config!$G$2,Config!$G$14)))</f>
        <v/>
      </c>
      <c r="T320">
        <f>IF(OR(H320=0,H320=""),"",ABS((H320-IF($C320="LT",Config!$F$3,Config!$F$15))/IF($C320="LT",Config!$G$3,Config!$G$15)))</f>
        <v/>
      </c>
      <c r="U320">
        <f>IF(OR(I320=0,I320=""),"",ABS((I320-IF($C320="LT",Config!$F$4,Config!$F$16))/IF($C320="LT",Config!$G$4,Config!$G$16)))</f>
        <v/>
      </c>
      <c r="V320">
        <f>IF(OR(J320=0,J320=""),"",ABS((J320-IF($C320="LT",Config!$F$5,Config!$F$17))/IF($C320="LT",Config!$G$5,Config!$G$17)))</f>
        <v/>
      </c>
      <c r="W320">
        <f>IF(OR(K320=0,K320=""),"",ABS((K320-IF($C320="LT",Config!$F$6,Config!$F$18))/IF($C320="LT",Config!$G$6,Config!$G$18)))</f>
        <v/>
      </c>
      <c r="X320">
        <f>IF(OR(L320=0,L320=""),"",ABS((L320-IF($C320="LT",Config!$F$7,Config!$F$19))/IF($C320="LT",Config!$G$7,Config!$G$19)))</f>
        <v/>
      </c>
      <c r="Y320">
        <f>IF(OR(M320=0,M320=""),"",ABS((M320-IF($C320="LT",Config!$F$8,Config!$F$20))/IF($C320="LT",Config!$G$8,Config!$G$20)))</f>
        <v/>
      </c>
      <c r="Z320">
        <f>IF(OR(N320=0,N320=""),"",ABS((N320-IF($C320="LT",Config!$F$9,Config!$F$21))/IF($C320="LT",Config!$G$9,Config!$G$21)))</f>
        <v/>
      </c>
      <c r="AA320">
        <f>IF(OR(O320=0,O320=""),"",ABS((O320-IF($C320="LT",Config!$F$10,Config!$F$22))/IF($C320="LT",Config!$G$10,Config!$G$22)))</f>
        <v/>
      </c>
      <c r="AB320">
        <f>IF(OR(P320=0,P320=""),"",ABS((P320-IF($C320="LT",Config!$F$11,Config!$F$23))/IF($C320="LT",Config!$G$11,Config!$G$23)))</f>
        <v/>
      </c>
      <c r="AC320">
        <f>IF(OR(Q320=0,Q320=""),"",ABS((Q320-IF($C320="LT",Config!$F$12,Config!$F$24))/IF($C320="LT",Config!$G$12,Config!$G$24)))</f>
        <v/>
      </c>
      <c r="AD320">
        <f>IF(OR(R320=0,R320=""),"",ABS((R320-IF($C320="LT",Config!$F$13,Config!$F$25))/IF($C320="LT",Config!$G$13,Config!$G$25)))</f>
        <v/>
      </c>
    </row>
    <row r="321">
      <c r="A321" t="inlineStr">
        <is>
          <t>04C1426120960</t>
        </is>
      </c>
      <c r="B321" t="inlineStr">
        <is>
          <t>CRS0000674</t>
        </is>
      </c>
      <c r="C321" t="inlineStr">
        <is>
          <t>MT</t>
        </is>
      </c>
      <c r="D321" t="inlineStr">
        <is>
          <t>TCX413U-DS1B01</t>
        </is>
      </c>
      <c r="E321" s="2" t="n">
        <v>46097</v>
      </c>
      <c r="F321" t="inlineStr">
        <is>
          <t>Pass</t>
        </is>
      </c>
      <c r="G321" t="n">
        <v>104.8</v>
      </c>
      <c r="H321" t="n">
        <v>78.90000000000001</v>
      </c>
      <c r="I321" t="n">
        <v>-1957.8</v>
      </c>
      <c r="J321" t="n">
        <v>70</v>
      </c>
      <c r="K321" t="n">
        <v>0</v>
      </c>
      <c r="L321" t="n">
        <v>2.7</v>
      </c>
      <c r="M321" t="n">
        <v>0</v>
      </c>
      <c r="N321" t="n">
        <v>72.7</v>
      </c>
      <c r="O321" t="n">
        <v>112.08</v>
      </c>
      <c r="P321" t="n">
        <v>116.78</v>
      </c>
      <c r="Q321" t="n">
        <v>3.66</v>
      </c>
      <c r="R321" t="n">
        <v>3.61</v>
      </c>
      <c r="S321">
        <f>IF(OR(G321=0,G321=""),"",ABS((G321-IF($C321="LT",Config!$F$2,Config!$F$14))/IF($C321="LT",Config!$G$2,Config!$G$14)))</f>
        <v/>
      </c>
      <c r="T321">
        <f>IF(OR(H321=0,H321=""),"",ABS((H321-IF($C321="LT",Config!$F$3,Config!$F$15))/IF($C321="LT",Config!$G$3,Config!$G$15)))</f>
        <v/>
      </c>
      <c r="U321">
        <f>IF(OR(I321=0,I321=""),"",ABS((I321-IF($C321="LT",Config!$F$4,Config!$F$16))/IF($C321="LT",Config!$G$4,Config!$G$16)))</f>
        <v/>
      </c>
      <c r="V321">
        <f>IF(OR(J321=0,J321=""),"",ABS((J321-IF($C321="LT",Config!$F$5,Config!$F$17))/IF($C321="LT",Config!$G$5,Config!$G$17)))</f>
        <v/>
      </c>
      <c r="W321">
        <f>IF(OR(K321=0,K321=""),"",ABS((K321-IF($C321="LT",Config!$F$6,Config!$F$18))/IF($C321="LT",Config!$G$6,Config!$G$18)))</f>
        <v/>
      </c>
      <c r="X321">
        <f>IF(OR(L321=0,L321=""),"",ABS((L321-IF($C321="LT",Config!$F$7,Config!$F$19))/IF($C321="LT",Config!$G$7,Config!$G$19)))</f>
        <v/>
      </c>
      <c r="Y321">
        <f>IF(OR(M321=0,M321=""),"",ABS((M321-IF($C321="LT",Config!$F$8,Config!$F$20))/IF($C321="LT",Config!$G$8,Config!$G$20)))</f>
        <v/>
      </c>
      <c r="Z321">
        <f>IF(OR(N321=0,N321=""),"",ABS((N321-IF($C321="LT",Config!$F$9,Config!$F$21))/IF($C321="LT",Config!$G$9,Config!$G$21)))</f>
        <v/>
      </c>
      <c r="AA321">
        <f>IF(OR(O321=0,O321=""),"",ABS((O321-IF($C321="LT",Config!$F$10,Config!$F$22))/IF($C321="LT",Config!$G$10,Config!$G$22)))</f>
        <v/>
      </c>
      <c r="AB321">
        <f>IF(OR(P321=0,P321=""),"",ABS((P321-IF($C321="LT",Config!$F$11,Config!$F$23))/IF($C321="LT",Config!$G$11,Config!$G$23)))</f>
        <v/>
      </c>
      <c r="AC321">
        <f>IF(OR(Q321=0,Q321=""),"",ABS((Q321-IF($C321="LT",Config!$F$12,Config!$F$24))/IF($C321="LT",Config!$G$12,Config!$G$24)))</f>
        <v/>
      </c>
      <c r="AD321">
        <f>IF(OR(R321=0,R321=""),"",ABS((R321-IF($C321="LT",Config!$F$13,Config!$F$25))/IF($C321="LT",Config!$G$13,Config!$G$25)))</f>
        <v/>
      </c>
    </row>
    <row r="322">
      <c r="A322" t="inlineStr">
        <is>
          <t>04C1426120960</t>
        </is>
      </c>
      <c r="B322" t="inlineStr">
        <is>
          <t>CRS0000674</t>
        </is>
      </c>
      <c r="C322" t="inlineStr">
        <is>
          <t>MT</t>
        </is>
      </c>
      <c r="D322" t="inlineStr">
        <is>
          <t>TCX413U-DS1B01</t>
        </is>
      </c>
      <c r="E322" s="2" t="n">
        <v>46097</v>
      </c>
      <c r="F322" t="inlineStr">
        <is>
          <t>Pass</t>
        </is>
      </c>
      <c r="G322" t="n">
        <v>111.5</v>
      </c>
      <c r="H322" t="n">
        <v>82</v>
      </c>
      <c r="I322" t="n">
        <v>-1957.8</v>
      </c>
      <c r="J322" t="n">
        <v>70.40000000000001</v>
      </c>
      <c r="K322" t="n">
        <v>0</v>
      </c>
      <c r="L322" t="n">
        <v>2</v>
      </c>
      <c r="M322" t="n">
        <v>0</v>
      </c>
      <c r="N322" t="n">
        <v>72.40000000000001</v>
      </c>
      <c r="O322" t="n">
        <v>111.86</v>
      </c>
      <c r="P322" t="n">
        <v>113.33</v>
      </c>
      <c r="Q322" t="n">
        <v>3.83</v>
      </c>
      <c r="R322" t="n">
        <v>3.78</v>
      </c>
      <c r="S322">
        <f>IF(OR(G322=0,G322=""),"",ABS((G322-IF($C322="LT",Config!$F$2,Config!$F$14))/IF($C322="LT",Config!$G$2,Config!$G$14)))</f>
        <v/>
      </c>
      <c r="T322">
        <f>IF(OR(H322=0,H322=""),"",ABS((H322-IF($C322="LT",Config!$F$3,Config!$F$15))/IF($C322="LT",Config!$G$3,Config!$G$15)))</f>
        <v/>
      </c>
      <c r="U322">
        <f>IF(OR(I322=0,I322=""),"",ABS((I322-IF($C322="LT",Config!$F$4,Config!$F$16))/IF($C322="LT",Config!$G$4,Config!$G$16)))</f>
        <v/>
      </c>
      <c r="V322">
        <f>IF(OR(J322=0,J322=""),"",ABS((J322-IF($C322="LT",Config!$F$5,Config!$F$17))/IF($C322="LT",Config!$G$5,Config!$G$17)))</f>
        <v/>
      </c>
      <c r="W322">
        <f>IF(OR(K322=0,K322=""),"",ABS((K322-IF($C322="LT",Config!$F$6,Config!$F$18))/IF($C322="LT",Config!$G$6,Config!$G$18)))</f>
        <v/>
      </c>
      <c r="X322">
        <f>IF(OR(L322=0,L322=""),"",ABS((L322-IF($C322="LT",Config!$F$7,Config!$F$19))/IF($C322="LT",Config!$G$7,Config!$G$19)))</f>
        <v/>
      </c>
      <c r="Y322">
        <f>IF(OR(M322=0,M322=""),"",ABS((M322-IF($C322="LT",Config!$F$8,Config!$F$20))/IF($C322="LT",Config!$G$8,Config!$G$20)))</f>
        <v/>
      </c>
      <c r="Z322">
        <f>IF(OR(N322=0,N322=""),"",ABS((N322-IF($C322="LT",Config!$F$9,Config!$F$21))/IF($C322="LT",Config!$G$9,Config!$G$21)))</f>
        <v/>
      </c>
      <c r="AA322">
        <f>IF(OR(O322=0,O322=""),"",ABS((O322-IF($C322="LT",Config!$F$10,Config!$F$22))/IF($C322="LT",Config!$G$10,Config!$G$22)))</f>
        <v/>
      </c>
      <c r="AB322">
        <f>IF(OR(P322=0,P322=""),"",ABS((P322-IF($C322="LT",Config!$F$11,Config!$F$23))/IF($C322="LT",Config!$G$11,Config!$G$23)))</f>
        <v/>
      </c>
      <c r="AC322">
        <f>IF(OR(Q322=0,Q322=""),"",ABS((Q322-IF($C322="LT",Config!$F$12,Config!$F$24))/IF($C322="LT",Config!$G$12,Config!$G$24)))</f>
        <v/>
      </c>
      <c r="AD322">
        <f>IF(OR(R322=0,R322=""),"",ABS((R322-IF($C322="LT",Config!$F$13,Config!$F$25))/IF($C322="LT",Config!$G$13,Config!$G$25)))</f>
        <v/>
      </c>
    </row>
    <row r="323">
      <c r="A323" t="inlineStr">
        <is>
          <t>04C1426120961</t>
        </is>
      </c>
      <c r="B323" t="inlineStr">
        <is>
          <t>CRS0000674</t>
        </is>
      </c>
      <c r="C323" t="inlineStr">
        <is>
          <t>MT</t>
        </is>
      </c>
      <c r="D323" t="inlineStr">
        <is>
          <t>TCX413U-DS1B01</t>
        </is>
      </c>
      <c r="E323" s="2" t="n">
        <v>46097</v>
      </c>
      <c r="F323" t="inlineStr">
        <is>
          <t>Pass</t>
        </is>
      </c>
      <c r="G323" t="n">
        <v>104.8</v>
      </c>
      <c r="H323" t="n">
        <v>76.09999999999999</v>
      </c>
      <c r="I323" t="n">
        <v>-1957.8</v>
      </c>
      <c r="J323" t="n">
        <v>69.5</v>
      </c>
      <c r="K323" t="n">
        <v>0</v>
      </c>
      <c r="L323" t="n">
        <v>3.1</v>
      </c>
      <c r="M323" t="n">
        <v>0</v>
      </c>
      <c r="N323" t="n">
        <v>66.40000000000001</v>
      </c>
      <c r="O323" t="n">
        <v>112.01</v>
      </c>
      <c r="P323" t="n">
        <v>113.48</v>
      </c>
      <c r="Q323" t="n">
        <v>3.44</v>
      </c>
      <c r="R323" t="n">
        <v>3.54</v>
      </c>
      <c r="S323">
        <f>IF(OR(G323=0,G323=""),"",ABS((G323-IF($C323="LT",Config!$F$2,Config!$F$14))/IF($C323="LT",Config!$G$2,Config!$G$14)))</f>
        <v/>
      </c>
      <c r="T323">
        <f>IF(OR(H323=0,H323=""),"",ABS((H323-IF($C323="LT",Config!$F$3,Config!$F$15))/IF($C323="LT",Config!$G$3,Config!$G$15)))</f>
        <v/>
      </c>
      <c r="U323">
        <f>IF(OR(I323=0,I323=""),"",ABS((I323-IF($C323="LT",Config!$F$4,Config!$F$16))/IF($C323="LT",Config!$G$4,Config!$G$16)))</f>
        <v/>
      </c>
      <c r="V323">
        <f>IF(OR(J323=0,J323=""),"",ABS((J323-IF($C323="LT",Config!$F$5,Config!$F$17))/IF($C323="LT",Config!$G$5,Config!$G$17)))</f>
        <v/>
      </c>
      <c r="W323">
        <f>IF(OR(K323=0,K323=""),"",ABS((K323-IF($C323="LT",Config!$F$6,Config!$F$18))/IF($C323="LT",Config!$G$6,Config!$G$18)))</f>
        <v/>
      </c>
      <c r="X323">
        <f>IF(OR(L323=0,L323=""),"",ABS((L323-IF($C323="LT",Config!$F$7,Config!$F$19))/IF($C323="LT",Config!$G$7,Config!$G$19)))</f>
        <v/>
      </c>
      <c r="Y323">
        <f>IF(OR(M323=0,M323=""),"",ABS((M323-IF($C323="LT",Config!$F$8,Config!$F$20))/IF($C323="LT",Config!$G$8,Config!$G$20)))</f>
        <v/>
      </c>
      <c r="Z323">
        <f>IF(OR(N323=0,N323=""),"",ABS((N323-IF($C323="LT",Config!$F$9,Config!$F$21))/IF($C323="LT",Config!$G$9,Config!$G$21)))</f>
        <v/>
      </c>
      <c r="AA323">
        <f>IF(OR(O323=0,O323=""),"",ABS((O323-IF($C323="LT",Config!$F$10,Config!$F$22))/IF($C323="LT",Config!$G$10,Config!$G$22)))</f>
        <v/>
      </c>
      <c r="AB323">
        <f>IF(OR(P323=0,P323=""),"",ABS((P323-IF($C323="LT",Config!$F$11,Config!$F$23))/IF($C323="LT",Config!$G$11,Config!$G$23)))</f>
        <v/>
      </c>
      <c r="AC323">
        <f>IF(OR(Q323=0,Q323=""),"",ABS((Q323-IF($C323="LT",Config!$F$12,Config!$F$24))/IF($C323="LT",Config!$G$12,Config!$G$24)))</f>
        <v/>
      </c>
      <c r="AD323">
        <f>IF(OR(R323=0,R323=""),"",ABS((R323-IF($C323="LT",Config!$F$13,Config!$F$25))/IF($C323="LT",Config!$G$13,Config!$G$25)))</f>
        <v/>
      </c>
    </row>
    <row r="324">
      <c r="A324" t="inlineStr">
        <is>
          <t>04C1426120962</t>
        </is>
      </c>
      <c r="B324" t="inlineStr">
        <is>
          <t>CRS0000674</t>
        </is>
      </c>
      <c r="C324" t="inlineStr">
        <is>
          <t>MT</t>
        </is>
      </c>
      <c r="D324" t="inlineStr">
        <is>
          <t>TCX413U-DS1B01</t>
        </is>
      </c>
      <c r="E324" s="2" t="n">
        <v>46097</v>
      </c>
      <c r="F324" t="inlineStr">
        <is>
          <t>Pass</t>
        </is>
      </c>
      <c r="G324" t="n">
        <v>102.6</v>
      </c>
      <c r="H324" t="n">
        <v>75.2</v>
      </c>
      <c r="I324" t="n">
        <v>-1957.8</v>
      </c>
      <c r="J324" t="n">
        <v>69.09999999999999</v>
      </c>
      <c r="K324" t="n">
        <v>0</v>
      </c>
      <c r="L324" t="n">
        <v>1.5</v>
      </c>
      <c r="M324" t="n">
        <v>0</v>
      </c>
      <c r="N324" t="n">
        <v>67.59999999999999</v>
      </c>
      <c r="O324" t="n">
        <v>115.38</v>
      </c>
      <c r="P324" t="n">
        <v>115.31</v>
      </c>
      <c r="Q324" t="n">
        <v>3.56</v>
      </c>
      <c r="R324" t="n">
        <v>3.59</v>
      </c>
      <c r="S324">
        <f>IF(OR(G324=0,G324=""),"",ABS((G324-IF($C324="LT",Config!$F$2,Config!$F$14))/IF($C324="LT",Config!$G$2,Config!$G$14)))</f>
        <v/>
      </c>
      <c r="T324">
        <f>IF(OR(H324=0,H324=""),"",ABS((H324-IF($C324="LT",Config!$F$3,Config!$F$15))/IF($C324="LT",Config!$G$3,Config!$G$15)))</f>
        <v/>
      </c>
      <c r="U324">
        <f>IF(OR(I324=0,I324=""),"",ABS((I324-IF($C324="LT",Config!$F$4,Config!$F$16))/IF($C324="LT",Config!$G$4,Config!$G$16)))</f>
        <v/>
      </c>
      <c r="V324">
        <f>IF(OR(J324=0,J324=""),"",ABS((J324-IF($C324="LT",Config!$F$5,Config!$F$17))/IF($C324="LT",Config!$G$5,Config!$G$17)))</f>
        <v/>
      </c>
      <c r="W324">
        <f>IF(OR(K324=0,K324=""),"",ABS((K324-IF($C324="LT",Config!$F$6,Config!$F$18))/IF($C324="LT",Config!$G$6,Config!$G$18)))</f>
        <v/>
      </c>
      <c r="X324">
        <f>IF(OR(L324=0,L324=""),"",ABS((L324-IF($C324="LT",Config!$F$7,Config!$F$19))/IF($C324="LT",Config!$G$7,Config!$G$19)))</f>
        <v/>
      </c>
      <c r="Y324">
        <f>IF(OR(M324=0,M324=""),"",ABS((M324-IF($C324="LT",Config!$F$8,Config!$F$20))/IF($C324="LT",Config!$G$8,Config!$G$20)))</f>
        <v/>
      </c>
      <c r="Z324">
        <f>IF(OR(N324=0,N324=""),"",ABS((N324-IF($C324="LT",Config!$F$9,Config!$F$21))/IF($C324="LT",Config!$G$9,Config!$G$21)))</f>
        <v/>
      </c>
      <c r="AA324">
        <f>IF(OR(O324=0,O324=""),"",ABS((O324-IF($C324="LT",Config!$F$10,Config!$F$22))/IF($C324="LT",Config!$G$10,Config!$G$22)))</f>
        <v/>
      </c>
      <c r="AB324">
        <f>IF(OR(P324=0,P324=""),"",ABS((P324-IF($C324="LT",Config!$F$11,Config!$F$23))/IF($C324="LT",Config!$G$11,Config!$G$23)))</f>
        <v/>
      </c>
      <c r="AC324">
        <f>IF(OR(Q324=0,Q324=""),"",ABS((Q324-IF($C324="LT",Config!$F$12,Config!$F$24))/IF($C324="LT",Config!$G$12,Config!$G$24)))</f>
        <v/>
      </c>
      <c r="AD324">
        <f>IF(OR(R324=0,R324=""),"",ABS((R324-IF($C324="LT",Config!$F$13,Config!$F$25))/IF($C324="LT",Config!$G$13,Config!$G$25)))</f>
        <v/>
      </c>
    </row>
    <row r="325">
      <c r="A325" t="inlineStr">
        <is>
          <t>04C1426120963</t>
        </is>
      </c>
      <c r="B325" t="inlineStr">
        <is>
          <t>CRS0000674</t>
        </is>
      </c>
      <c r="C325" t="inlineStr">
        <is>
          <t>MT</t>
        </is>
      </c>
      <c r="D325" t="inlineStr">
        <is>
          <t>TCX413U-DS1B01</t>
        </is>
      </c>
      <c r="E325" s="2" t="n">
        <v>46097</v>
      </c>
      <c r="F325" t="inlineStr">
        <is>
          <t>Pass</t>
        </is>
      </c>
      <c r="G325" t="n">
        <v>107.9</v>
      </c>
      <c r="H325" t="n">
        <v>80.7</v>
      </c>
      <c r="I325" t="n">
        <v>-1957.8</v>
      </c>
      <c r="J325" t="n">
        <v>69.09999999999999</v>
      </c>
      <c r="K325" t="n">
        <v>0</v>
      </c>
      <c r="L325" t="n">
        <v>0.5</v>
      </c>
      <c r="M325" t="n">
        <v>0</v>
      </c>
      <c r="N325" t="n">
        <v>68.59999999999999</v>
      </c>
      <c r="O325" t="n">
        <v>111.94</v>
      </c>
      <c r="P325" t="n">
        <v>116.48</v>
      </c>
      <c r="Q325" t="n">
        <v>3.78</v>
      </c>
      <c r="R325" t="n">
        <v>3.76</v>
      </c>
      <c r="S325">
        <f>IF(OR(G325=0,G325=""),"",ABS((G325-IF($C325="LT",Config!$F$2,Config!$F$14))/IF($C325="LT",Config!$G$2,Config!$G$14)))</f>
        <v/>
      </c>
      <c r="T325">
        <f>IF(OR(H325=0,H325=""),"",ABS((H325-IF($C325="LT",Config!$F$3,Config!$F$15))/IF($C325="LT",Config!$G$3,Config!$G$15)))</f>
        <v/>
      </c>
      <c r="U325">
        <f>IF(OR(I325=0,I325=""),"",ABS((I325-IF($C325="LT",Config!$F$4,Config!$F$16))/IF($C325="LT",Config!$G$4,Config!$G$16)))</f>
        <v/>
      </c>
      <c r="V325">
        <f>IF(OR(J325=0,J325=""),"",ABS((J325-IF($C325="LT",Config!$F$5,Config!$F$17))/IF($C325="LT",Config!$G$5,Config!$G$17)))</f>
        <v/>
      </c>
      <c r="W325">
        <f>IF(OR(K325=0,K325=""),"",ABS((K325-IF($C325="LT",Config!$F$6,Config!$F$18))/IF($C325="LT",Config!$G$6,Config!$G$18)))</f>
        <v/>
      </c>
      <c r="X325">
        <f>IF(OR(L325=0,L325=""),"",ABS((L325-IF($C325="LT",Config!$F$7,Config!$F$19))/IF($C325="LT",Config!$G$7,Config!$G$19)))</f>
        <v/>
      </c>
      <c r="Y325">
        <f>IF(OR(M325=0,M325=""),"",ABS((M325-IF($C325="LT",Config!$F$8,Config!$F$20))/IF($C325="LT",Config!$G$8,Config!$G$20)))</f>
        <v/>
      </c>
      <c r="Z325">
        <f>IF(OR(N325=0,N325=""),"",ABS((N325-IF($C325="LT",Config!$F$9,Config!$F$21))/IF($C325="LT",Config!$G$9,Config!$G$21)))</f>
        <v/>
      </c>
      <c r="AA325">
        <f>IF(OR(O325=0,O325=""),"",ABS((O325-IF($C325="LT",Config!$F$10,Config!$F$22))/IF($C325="LT",Config!$G$10,Config!$G$22)))</f>
        <v/>
      </c>
      <c r="AB325">
        <f>IF(OR(P325=0,P325=""),"",ABS((P325-IF($C325="LT",Config!$F$11,Config!$F$23))/IF($C325="LT",Config!$G$11,Config!$G$23)))</f>
        <v/>
      </c>
      <c r="AC325">
        <f>IF(OR(Q325=0,Q325=""),"",ABS((Q325-IF($C325="LT",Config!$F$12,Config!$F$24))/IF($C325="LT",Config!$G$12,Config!$G$24)))</f>
        <v/>
      </c>
      <c r="AD325">
        <f>IF(OR(R325=0,R325=""),"",ABS((R325-IF($C325="LT",Config!$F$13,Config!$F$25))/IF($C325="LT",Config!$G$13,Config!$G$25)))</f>
        <v/>
      </c>
    </row>
    <row r="326">
      <c r="A326" t="inlineStr">
        <is>
          <t>04C1426120963</t>
        </is>
      </c>
      <c r="B326" t="inlineStr">
        <is>
          <t>CRS0000674</t>
        </is>
      </c>
      <c r="C326" t="inlineStr">
        <is>
          <t>MT</t>
        </is>
      </c>
      <c r="D326" t="inlineStr">
        <is>
          <t>TCX413U-DS1B01</t>
        </is>
      </c>
      <c r="E326" s="2" t="n">
        <v>46097</v>
      </c>
      <c r="F326" t="inlineStr">
        <is>
          <t>Pass</t>
        </is>
      </c>
      <c r="G326" t="n">
        <v>111.1</v>
      </c>
      <c r="H326" t="n">
        <v>82</v>
      </c>
      <c r="I326" t="n">
        <v>-1957.8</v>
      </c>
      <c r="J326" t="n">
        <v>68.59999999999999</v>
      </c>
      <c r="K326" t="n">
        <v>0</v>
      </c>
      <c r="L326" t="n">
        <v>2</v>
      </c>
      <c r="M326" t="n">
        <v>0</v>
      </c>
      <c r="N326" t="n">
        <v>66.59999999999999</v>
      </c>
      <c r="O326" t="n">
        <v>115.46</v>
      </c>
      <c r="P326" t="n">
        <v>115.46</v>
      </c>
      <c r="Q326" t="n">
        <v>3.76</v>
      </c>
      <c r="R326" t="n">
        <v>3.83</v>
      </c>
      <c r="S326">
        <f>IF(OR(G326=0,G326=""),"",ABS((G326-IF($C326="LT",Config!$F$2,Config!$F$14))/IF($C326="LT",Config!$G$2,Config!$G$14)))</f>
        <v/>
      </c>
      <c r="T326">
        <f>IF(OR(H326=0,H326=""),"",ABS((H326-IF($C326="LT",Config!$F$3,Config!$F$15))/IF($C326="LT",Config!$G$3,Config!$G$15)))</f>
        <v/>
      </c>
      <c r="U326">
        <f>IF(OR(I326=0,I326=""),"",ABS((I326-IF($C326="LT",Config!$F$4,Config!$F$16))/IF($C326="LT",Config!$G$4,Config!$G$16)))</f>
        <v/>
      </c>
      <c r="V326">
        <f>IF(OR(J326=0,J326=""),"",ABS((J326-IF($C326="LT",Config!$F$5,Config!$F$17))/IF($C326="LT",Config!$G$5,Config!$G$17)))</f>
        <v/>
      </c>
      <c r="W326">
        <f>IF(OR(K326=0,K326=""),"",ABS((K326-IF($C326="LT",Config!$F$6,Config!$F$18))/IF($C326="LT",Config!$G$6,Config!$G$18)))</f>
        <v/>
      </c>
      <c r="X326">
        <f>IF(OR(L326=0,L326=""),"",ABS((L326-IF($C326="LT",Config!$F$7,Config!$F$19))/IF($C326="LT",Config!$G$7,Config!$G$19)))</f>
        <v/>
      </c>
      <c r="Y326">
        <f>IF(OR(M326=0,M326=""),"",ABS((M326-IF($C326="LT",Config!$F$8,Config!$F$20))/IF($C326="LT",Config!$G$8,Config!$G$20)))</f>
        <v/>
      </c>
      <c r="Z326">
        <f>IF(OR(N326=0,N326=""),"",ABS((N326-IF($C326="LT",Config!$F$9,Config!$F$21))/IF($C326="LT",Config!$G$9,Config!$G$21)))</f>
        <v/>
      </c>
      <c r="AA326">
        <f>IF(OR(O326=0,O326=""),"",ABS((O326-IF($C326="LT",Config!$F$10,Config!$F$22))/IF($C326="LT",Config!$G$10,Config!$G$22)))</f>
        <v/>
      </c>
      <c r="AB326">
        <f>IF(OR(P326=0,P326=""),"",ABS((P326-IF($C326="LT",Config!$F$11,Config!$F$23))/IF($C326="LT",Config!$G$11,Config!$G$23)))</f>
        <v/>
      </c>
      <c r="AC326">
        <f>IF(OR(Q326=0,Q326=""),"",ABS((Q326-IF($C326="LT",Config!$F$12,Config!$F$24))/IF($C326="LT",Config!$G$12,Config!$G$24)))</f>
        <v/>
      </c>
      <c r="AD326">
        <f>IF(OR(R326=0,R326=""),"",ABS((R326-IF($C326="LT",Config!$F$13,Config!$F$25))/IF($C326="LT",Config!$G$13,Config!$G$25)))</f>
        <v/>
      </c>
    </row>
    <row r="327">
      <c r="A327" t="inlineStr">
        <is>
          <t>04C1426120964</t>
        </is>
      </c>
      <c r="B327" t="inlineStr">
        <is>
          <t>CRS0000674</t>
        </is>
      </c>
      <c r="C327" t="inlineStr">
        <is>
          <t>MT</t>
        </is>
      </c>
      <c r="D327" t="inlineStr">
        <is>
          <t>TCX413U-DS1B01</t>
        </is>
      </c>
      <c r="E327" s="2" t="n">
        <v>46097</v>
      </c>
      <c r="F327" t="inlineStr">
        <is>
          <t>Pass</t>
        </is>
      </c>
      <c r="G327" t="n">
        <v>112.9</v>
      </c>
      <c r="H327" t="n">
        <v>83.8</v>
      </c>
      <c r="I327" t="n">
        <v>-1957.8</v>
      </c>
      <c r="J327" t="n">
        <v>71.3</v>
      </c>
      <c r="K327" t="n">
        <v>0</v>
      </c>
      <c r="L327" t="n">
        <v>0.2</v>
      </c>
      <c r="M327" t="n">
        <v>0</v>
      </c>
      <c r="N327" t="n">
        <v>71.09999999999999</v>
      </c>
      <c r="O327" t="n">
        <v>115.16</v>
      </c>
      <c r="P327" t="n">
        <v>115.24</v>
      </c>
      <c r="Q327" t="n">
        <v>3.52</v>
      </c>
      <c r="R327" t="n">
        <v>3.64</v>
      </c>
      <c r="S327">
        <f>IF(OR(G327=0,G327=""),"",ABS((G327-IF($C327="LT",Config!$F$2,Config!$F$14))/IF($C327="LT",Config!$G$2,Config!$G$14)))</f>
        <v/>
      </c>
      <c r="T327">
        <f>IF(OR(H327=0,H327=""),"",ABS((H327-IF($C327="LT",Config!$F$3,Config!$F$15))/IF($C327="LT",Config!$G$3,Config!$G$15)))</f>
        <v/>
      </c>
      <c r="U327">
        <f>IF(OR(I327=0,I327=""),"",ABS((I327-IF($C327="LT",Config!$F$4,Config!$F$16))/IF($C327="LT",Config!$G$4,Config!$G$16)))</f>
        <v/>
      </c>
      <c r="V327">
        <f>IF(OR(J327=0,J327=""),"",ABS((J327-IF($C327="LT",Config!$F$5,Config!$F$17))/IF($C327="LT",Config!$G$5,Config!$G$17)))</f>
        <v/>
      </c>
      <c r="W327">
        <f>IF(OR(K327=0,K327=""),"",ABS((K327-IF($C327="LT",Config!$F$6,Config!$F$18))/IF($C327="LT",Config!$G$6,Config!$G$18)))</f>
        <v/>
      </c>
      <c r="X327">
        <f>IF(OR(L327=0,L327=""),"",ABS((L327-IF($C327="LT",Config!$F$7,Config!$F$19))/IF($C327="LT",Config!$G$7,Config!$G$19)))</f>
        <v/>
      </c>
      <c r="Y327">
        <f>IF(OR(M327=0,M327=""),"",ABS((M327-IF($C327="LT",Config!$F$8,Config!$F$20))/IF($C327="LT",Config!$G$8,Config!$G$20)))</f>
        <v/>
      </c>
      <c r="Z327">
        <f>IF(OR(N327=0,N327=""),"",ABS((N327-IF($C327="LT",Config!$F$9,Config!$F$21))/IF($C327="LT",Config!$G$9,Config!$G$21)))</f>
        <v/>
      </c>
      <c r="AA327">
        <f>IF(OR(O327=0,O327=""),"",ABS((O327-IF($C327="LT",Config!$F$10,Config!$F$22))/IF($C327="LT",Config!$G$10,Config!$G$22)))</f>
        <v/>
      </c>
      <c r="AB327">
        <f>IF(OR(P327=0,P327=""),"",ABS((P327-IF($C327="LT",Config!$F$11,Config!$F$23))/IF($C327="LT",Config!$G$11,Config!$G$23)))</f>
        <v/>
      </c>
      <c r="AC327">
        <f>IF(OR(Q327=0,Q327=""),"",ABS((Q327-IF($C327="LT",Config!$F$12,Config!$F$24))/IF($C327="LT",Config!$G$12,Config!$G$24)))</f>
        <v/>
      </c>
      <c r="AD327">
        <f>IF(OR(R327=0,R327=""),"",ABS((R327-IF($C327="LT",Config!$F$13,Config!$F$25))/IF($C327="LT",Config!$G$13,Config!$G$25)))</f>
        <v/>
      </c>
    </row>
    <row r="328">
      <c r="A328" t="inlineStr">
        <is>
          <t>04C1426120965</t>
        </is>
      </c>
      <c r="B328" t="inlineStr">
        <is>
          <t>CRS0000674</t>
        </is>
      </c>
      <c r="C328" t="inlineStr">
        <is>
          <t>MT</t>
        </is>
      </c>
      <c r="D328" t="inlineStr">
        <is>
          <t>TCX413U-DS1B01</t>
        </is>
      </c>
      <c r="E328" s="2" t="n">
        <v>46097</v>
      </c>
      <c r="F328" t="inlineStr">
        <is>
          <t>Pass</t>
        </is>
      </c>
      <c r="G328" t="n">
        <v>107.9</v>
      </c>
      <c r="H328" t="n">
        <v>76.59999999999999</v>
      </c>
      <c r="I328" t="n">
        <v>-1957.8</v>
      </c>
      <c r="J328" t="n">
        <v>70.8</v>
      </c>
      <c r="K328" t="n">
        <v>0</v>
      </c>
      <c r="L328" t="n">
        <v>0.7</v>
      </c>
      <c r="M328" t="n">
        <v>0</v>
      </c>
      <c r="N328" t="n">
        <v>70.09999999999999</v>
      </c>
      <c r="O328" t="n">
        <v>112.3</v>
      </c>
      <c r="P328" t="n">
        <v>116.85</v>
      </c>
      <c r="Q328" t="n">
        <v>3.37</v>
      </c>
      <c r="R328" t="n">
        <v>3.3</v>
      </c>
      <c r="S328">
        <f>IF(OR(G328=0,G328=""),"",ABS((G328-IF($C328="LT",Config!$F$2,Config!$F$14))/IF($C328="LT",Config!$G$2,Config!$G$14)))</f>
        <v/>
      </c>
      <c r="T328">
        <f>IF(OR(H328=0,H328=""),"",ABS((H328-IF($C328="LT",Config!$F$3,Config!$F$15))/IF($C328="LT",Config!$G$3,Config!$G$15)))</f>
        <v/>
      </c>
      <c r="U328">
        <f>IF(OR(I328=0,I328=""),"",ABS((I328-IF($C328="LT",Config!$F$4,Config!$F$16))/IF($C328="LT",Config!$G$4,Config!$G$16)))</f>
        <v/>
      </c>
      <c r="V328">
        <f>IF(OR(J328=0,J328=""),"",ABS((J328-IF($C328="LT",Config!$F$5,Config!$F$17))/IF($C328="LT",Config!$G$5,Config!$G$17)))</f>
        <v/>
      </c>
      <c r="W328">
        <f>IF(OR(K328=0,K328=""),"",ABS((K328-IF($C328="LT",Config!$F$6,Config!$F$18))/IF($C328="LT",Config!$G$6,Config!$G$18)))</f>
        <v/>
      </c>
      <c r="X328">
        <f>IF(OR(L328=0,L328=""),"",ABS((L328-IF($C328="LT",Config!$F$7,Config!$F$19))/IF($C328="LT",Config!$G$7,Config!$G$19)))</f>
        <v/>
      </c>
      <c r="Y328">
        <f>IF(OR(M328=0,M328=""),"",ABS((M328-IF($C328="LT",Config!$F$8,Config!$F$20))/IF($C328="LT",Config!$G$8,Config!$G$20)))</f>
        <v/>
      </c>
      <c r="Z328">
        <f>IF(OR(N328=0,N328=""),"",ABS((N328-IF($C328="LT",Config!$F$9,Config!$F$21))/IF($C328="LT",Config!$G$9,Config!$G$21)))</f>
        <v/>
      </c>
      <c r="AA328">
        <f>IF(OR(O328=0,O328=""),"",ABS((O328-IF($C328="LT",Config!$F$10,Config!$F$22))/IF($C328="LT",Config!$G$10,Config!$G$22)))</f>
        <v/>
      </c>
      <c r="AB328">
        <f>IF(OR(P328=0,P328=""),"",ABS((P328-IF($C328="LT",Config!$F$11,Config!$F$23))/IF($C328="LT",Config!$G$11,Config!$G$23)))</f>
        <v/>
      </c>
      <c r="AC328">
        <f>IF(OR(Q328=0,Q328=""),"",ABS((Q328-IF($C328="LT",Config!$F$12,Config!$F$24))/IF($C328="LT",Config!$G$12,Config!$G$24)))</f>
        <v/>
      </c>
      <c r="AD328">
        <f>IF(OR(R328=0,R328=""),"",ABS((R328-IF($C328="LT",Config!$F$13,Config!$F$25))/IF($C328="LT",Config!$G$13,Config!$G$25)))</f>
        <v/>
      </c>
    </row>
    <row r="329">
      <c r="A329" t="inlineStr">
        <is>
          <t>04C1626120966</t>
        </is>
      </c>
      <c r="B329" t="inlineStr">
        <is>
          <t>CRS0000674</t>
        </is>
      </c>
      <c r="C329" t="inlineStr">
        <is>
          <t>MT</t>
        </is>
      </c>
      <c r="D329" t="inlineStr">
        <is>
          <t>TCX413U-DS1B01</t>
        </is>
      </c>
      <c r="E329" s="2" t="n">
        <v>46097</v>
      </c>
      <c r="F329" t="inlineStr">
        <is>
          <t>Fail</t>
        </is>
      </c>
      <c r="G329" t="n">
        <v>103.9</v>
      </c>
      <c r="H329" t="n">
        <v>77.90000000000001</v>
      </c>
      <c r="I329" t="n">
        <v>-1957.8</v>
      </c>
      <c r="J329" t="n">
        <v>70.40000000000001</v>
      </c>
      <c r="K329" t="n">
        <v>0</v>
      </c>
      <c r="L329" t="n">
        <v>5.5</v>
      </c>
      <c r="M329" t="n">
        <v>0</v>
      </c>
      <c r="N329" t="n">
        <v>64.90000000000001</v>
      </c>
      <c r="O329" t="n">
        <v>112.38</v>
      </c>
      <c r="P329" t="n">
        <v>116.56</v>
      </c>
      <c r="Q329" t="n">
        <v>3.56</v>
      </c>
      <c r="R329" t="n">
        <v>3.66</v>
      </c>
      <c r="S329">
        <f>IF(OR(G329=0,G329=""),"",ABS((G329-IF($C329="LT",Config!$F$2,Config!$F$14))/IF($C329="LT",Config!$G$2,Config!$G$14)))</f>
        <v/>
      </c>
      <c r="T329">
        <f>IF(OR(H329=0,H329=""),"",ABS((H329-IF($C329="LT",Config!$F$3,Config!$F$15))/IF($C329="LT",Config!$G$3,Config!$G$15)))</f>
        <v/>
      </c>
      <c r="U329">
        <f>IF(OR(I329=0,I329=""),"",ABS((I329-IF($C329="LT",Config!$F$4,Config!$F$16))/IF($C329="LT",Config!$G$4,Config!$G$16)))</f>
        <v/>
      </c>
      <c r="V329">
        <f>IF(OR(J329=0,J329=""),"",ABS((J329-IF($C329="LT",Config!$F$5,Config!$F$17))/IF($C329="LT",Config!$G$5,Config!$G$17)))</f>
        <v/>
      </c>
      <c r="W329">
        <f>IF(OR(K329=0,K329=""),"",ABS((K329-IF($C329="LT",Config!$F$6,Config!$F$18))/IF($C329="LT",Config!$G$6,Config!$G$18)))</f>
        <v/>
      </c>
      <c r="X329">
        <f>IF(OR(L329=0,L329=""),"",ABS((L329-IF($C329="LT",Config!$F$7,Config!$F$19))/IF($C329="LT",Config!$G$7,Config!$G$19)))</f>
        <v/>
      </c>
      <c r="Y329">
        <f>IF(OR(M329=0,M329=""),"",ABS((M329-IF($C329="LT",Config!$F$8,Config!$F$20))/IF($C329="LT",Config!$G$8,Config!$G$20)))</f>
        <v/>
      </c>
      <c r="Z329">
        <f>IF(OR(N329=0,N329=""),"",ABS((N329-IF($C329="LT",Config!$F$9,Config!$F$21))/IF($C329="LT",Config!$G$9,Config!$G$21)))</f>
        <v/>
      </c>
      <c r="AA329">
        <f>IF(OR(O329=0,O329=""),"",ABS((O329-IF($C329="LT",Config!$F$10,Config!$F$22))/IF($C329="LT",Config!$G$10,Config!$G$22)))</f>
        <v/>
      </c>
      <c r="AB329">
        <f>IF(OR(P329=0,P329=""),"",ABS((P329-IF($C329="LT",Config!$F$11,Config!$F$23))/IF($C329="LT",Config!$G$11,Config!$G$23)))</f>
        <v/>
      </c>
      <c r="AC329">
        <f>IF(OR(Q329=0,Q329=""),"",ABS((Q329-IF($C329="LT",Config!$F$12,Config!$F$24))/IF($C329="LT",Config!$G$12,Config!$G$24)))</f>
        <v/>
      </c>
      <c r="AD329">
        <f>IF(OR(R329=0,R329=""),"",ABS((R329-IF($C329="LT",Config!$F$13,Config!$F$25))/IF($C329="LT",Config!$G$13,Config!$G$25)))</f>
        <v/>
      </c>
    </row>
    <row r="330">
      <c r="A330" t="inlineStr">
        <is>
          <t>04C1626120966</t>
        </is>
      </c>
      <c r="B330" t="inlineStr">
        <is>
          <t>CRS0000674</t>
        </is>
      </c>
      <c r="C330" t="inlineStr">
        <is>
          <t>MT</t>
        </is>
      </c>
      <c r="D330" t="inlineStr">
        <is>
          <t>TCX413U-DS1B01</t>
        </is>
      </c>
      <c r="E330" s="2" t="n">
        <v>46097</v>
      </c>
      <c r="F330" t="inlineStr">
        <is>
          <t>Pass</t>
        </is>
      </c>
      <c r="G330" t="n">
        <v>109.3</v>
      </c>
      <c r="H330" t="n">
        <v>81.09999999999999</v>
      </c>
      <c r="I330" t="n">
        <v>-1957.8</v>
      </c>
      <c r="J330" t="n">
        <v>70.40000000000001</v>
      </c>
      <c r="K330" t="n">
        <v>0</v>
      </c>
      <c r="L330" t="n">
        <v>2.8</v>
      </c>
      <c r="M330" t="n">
        <v>0</v>
      </c>
      <c r="N330" t="n">
        <v>67.59999999999999</v>
      </c>
      <c r="O330" t="n">
        <v>115.46</v>
      </c>
      <c r="P330" t="n">
        <v>115.53</v>
      </c>
      <c r="Q330" t="n">
        <v>3.71</v>
      </c>
      <c r="R330" t="n">
        <v>3.78</v>
      </c>
      <c r="S330">
        <f>IF(OR(G330=0,G330=""),"",ABS((G330-IF($C330="LT",Config!$F$2,Config!$F$14))/IF($C330="LT",Config!$G$2,Config!$G$14)))</f>
        <v/>
      </c>
      <c r="T330">
        <f>IF(OR(H330=0,H330=""),"",ABS((H330-IF($C330="LT",Config!$F$3,Config!$F$15))/IF($C330="LT",Config!$G$3,Config!$G$15)))</f>
        <v/>
      </c>
      <c r="U330">
        <f>IF(OR(I330=0,I330=""),"",ABS((I330-IF($C330="LT",Config!$F$4,Config!$F$16))/IF($C330="LT",Config!$G$4,Config!$G$16)))</f>
        <v/>
      </c>
      <c r="V330">
        <f>IF(OR(J330=0,J330=""),"",ABS((J330-IF($C330="LT",Config!$F$5,Config!$F$17))/IF($C330="LT",Config!$G$5,Config!$G$17)))</f>
        <v/>
      </c>
      <c r="W330">
        <f>IF(OR(K330=0,K330=""),"",ABS((K330-IF($C330="LT",Config!$F$6,Config!$F$18))/IF($C330="LT",Config!$G$6,Config!$G$18)))</f>
        <v/>
      </c>
      <c r="X330">
        <f>IF(OR(L330=0,L330=""),"",ABS((L330-IF($C330="LT",Config!$F$7,Config!$F$19))/IF($C330="LT",Config!$G$7,Config!$G$19)))</f>
        <v/>
      </c>
      <c r="Y330">
        <f>IF(OR(M330=0,M330=""),"",ABS((M330-IF($C330="LT",Config!$F$8,Config!$F$20))/IF($C330="LT",Config!$G$8,Config!$G$20)))</f>
        <v/>
      </c>
      <c r="Z330">
        <f>IF(OR(N330=0,N330=""),"",ABS((N330-IF($C330="LT",Config!$F$9,Config!$F$21))/IF($C330="LT",Config!$G$9,Config!$G$21)))</f>
        <v/>
      </c>
      <c r="AA330">
        <f>IF(OR(O330=0,O330=""),"",ABS((O330-IF($C330="LT",Config!$F$10,Config!$F$22))/IF($C330="LT",Config!$G$10,Config!$G$22)))</f>
        <v/>
      </c>
      <c r="AB330">
        <f>IF(OR(P330=0,P330=""),"",ABS((P330-IF($C330="LT",Config!$F$11,Config!$F$23))/IF($C330="LT",Config!$G$11,Config!$G$23)))</f>
        <v/>
      </c>
      <c r="AC330">
        <f>IF(OR(Q330=0,Q330=""),"",ABS((Q330-IF($C330="LT",Config!$F$12,Config!$F$24))/IF($C330="LT",Config!$G$12,Config!$G$24)))</f>
        <v/>
      </c>
      <c r="AD330">
        <f>IF(OR(R330=0,R330=""),"",ABS((R330-IF($C330="LT",Config!$F$13,Config!$F$25))/IF($C330="LT",Config!$G$13,Config!$G$25)))</f>
        <v/>
      </c>
    </row>
    <row r="331">
      <c r="A331" t="inlineStr">
        <is>
          <t>04C1626120967</t>
        </is>
      </c>
      <c r="B331" t="inlineStr">
        <is>
          <t>CRS0000674</t>
        </is>
      </c>
      <c r="C331" t="inlineStr">
        <is>
          <t>MT</t>
        </is>
      </c>
      <c r="D331" t="inlineStr">
        <is>
          <t>TCX413U-DS1B01</t>
        </is>
      </c>
      <c r="E331" s="2" t="n">
        <v>46097</v>
      </c>
      <c r="F331" t="inlineStr">
        <is>
          <t>Pass</t>
        </is>
      </c>
      <c r="G331" t="n">
        <v>111.1</v>
      </c>
      <c r="H331" t="n">
        <v>83.40000000000001</v>
      </c>
      <c r="I331" t="n">
        <v>-1957.8</v>
      </c>
      <c r="J331" t="n">
        <v>71.3</v>
      </c>
      <c r="K331" t="n">
        <v>0</v>
      </c>
      <c r="L331" t="n">
        <v>0.2</v>
      </c>
      <c r="M331" t="n">
        <v>0</v>
      </c>
      <c r="N331" t="n">
        <v>71.5</v>
      </c>
      <c r="O331" t="n">
        <v>112.16</v>
      </c>
      <c r="P331" t="n">
        <v>116.48</v>
      </c>
      <c r="Q331" t="n">
        <v>3.78</v>
      </c>
      <c r="R331" t="n">
        <v>3.78</v>
      </c>
      <c r="S331">
        <f>IF(OR(G331=0,G331=""),"",ABS((G331-IF($C331="LT",Config!$F$2,Config!$F$14))/IF($C331="LT",Config!$G$2,Config!$G$14)))</f>
        <v/>
      </c>
      <c r="T331">
        <f>IF(OR(H331=0,H331=""),"",ABS((H331-IF($C331="LT",Config!$F$3,Config!$F$15))/IF($C331="LT",Config!$G$3,Config!$G$15)))</f>
        <v/>
      </c>
      <c r="U331">
        <f>IF(OR(I331=0,I331=""),"",ABS((I331-IF($C331="LT",Config!$F$4,Config!$F$16))/IF($C331="LT",Config!$G$4,Config!$G$16)))</f>
        <v/>
      </c>
      <c r="V331">
        <f>IF(OR(J331=0,J331=""),"",ABS((J331-IF($C331="LT",Config!$F$5,Config!$F$17))/IF($C331="LT",Config!$G$5,Config!$G$17)))</f>
        <v/>
      </c>
      <c r="W331">
        <f>IF(OR(K331=0,K331=""),"",ABS((K331-IF($C331="LT",Config!$F$6,Config!$F$18))/IF($C331="LT",Config!$G$6,Config!$G$18)))</f>
        <v/>
      </c>
      <c r="X331">
        <f>IF(OR(L331=0,L331=""),"",ABS((L331-IF($C331="LT",Config!$F$7,Config!$F$19))/IF($C331="LT",Config!$G$7,Config!$G$19)))</f>
        <v/>
      </c>
      <c r="Y331">
        <f>IF(OR(M331=0,M331=""),"",ABS((M331-IF($C331="LT",Config!$F$8,Config!$F$20))/IF($C331="LT",Config!$G$8,Config!$G$20)))</f>
        <v/>
      </c>
      <c r="Z331">
        <f>IF(OR(N331=0,N331=""),"",ABS((N331-IF($C331="LT",Config!$F$9,Config!$F$21))/IF($C331="LT",Config!$G$9,Config!$G$21)))</f>
        <v/>
      </c>
      <c r="AA331">
        <f>IF(OR(O331=0,O331=""),"",ABS((O331-IF($C331="LT",Config!$F$10,Config!$F$22))/IF($C331="LT",Config!$G$10,Config!$G$22)))</f>
        <v/>
      </c>
      <c r="AB331">
        <f>IF(OR(P331=0,P331=""),"",ABS((P331-IF($C331="LT",Config!$F$11,Config!$F$23))/IF($C331="LT",Config!$G$11,Config!$G$23)))</f>
        <v/>
      </c>
      <c r="AC331">
        <f>IF(OR(Q331=0,Q331=""),"",ABS((Q331-IF($C331="LT",Config!$F$12,Config!$F$24))/IF($C331="LT",Config!$G$12,Config!$G$24)))</f>
        <v/>
      </c>
      <c r="AD331">
        <f>IF(OR(R331=0,R331=""),"",ABS((R331-IF($C331="LT",Config!$F$13,Config!$F$25))/IF($C331="LT",Config!$G$13,Config!$G$25)))</f>
        <v/>
      </c>
    </row>
    <row r="332">
      <c r="A332" t="inlineStr">
        <is>
          <t>04C1626120968</t>
        </is>
      </c>
      <c r="B332" t="inlineStr">
        <is>
          <t>CRS0000674</t>
        </is>
      </c>
      <c r="C332" t="inlineStr">
        <is>
          <t>MT</t>
        </is>
      </c>
      <c r="D332" t="inlineStr">
        <is>
          <t>TCX413U-DS1B01</t>
        </is>
      </c>
      <c r="E332" s="2" t="n">
        <v>46097</v>
      </c>
      <c r="F332" t="inlineStr">
        <is>
          <t>Pass</t>
        </is>
      </c>
      <c r="G332" t="n">
        <v>114.6</v>
      </c>
      <c r="H332" t="n">
        <v>84.7</v>
      </c>
      <c r="I332" t="n">
        <v>-1957.8</v>
      </c>
      <c r="J332" t="n">
        <v>71.7</v>
      </c>
      <c r="K332" t="n">
        <v>0</v>
      </c>
      <c r="L332" t="n">
        <v>1.3</v>
      </c>
      <c r="M332" t="n">
        <v>0</v>
      </c>
      <c r="N332" t="n">
        <v>73</v>
      </c>
      <c r="O332" t="n">
        <v>114.87</v>
      </c>
      <c r="P332" t="n">
        <v>114.94</v>
      </c>
      <c r="Q332" t="n">
        <v>3.71</v>
      </c>
      <c r="R332" t="n">
        <v>3.76</v>
      </c>
      <c r="S332">
        <f>IF(OR(G332=0,G332=""),"",ABS((G332-IF($C332="LT",Config!$F$2,Config!$F$14))/IF($C332="LT",Config!$G$2,Config!$G$14)))</f>
        <v/>
      </c>
      <c r="T332">
        <f>IF(OR(H332=0,H332=""),"",ABS((H332-IF($C332="LT",Config!$F$3,Config!$F$15))/IF($C332="LT",Config!$G$3,Config!$G$15)))</f>
        <v/>
      </c>
      <c r="U332">
        <f>IF(OR(I332=0,I332=""),"",ABS((I332-IF($C332="LT",Config!$F$4,Config!$F$16))/IF($C332="LT",Config!$G$4,Config!$G$16)))</f>
        <v/>
      </c>
      <c r="V332">
        <f>IF(OR(J332=0,J332=""),"",ABS((J332-IF($C332="LT",Config!$F$5,Config!$F$17))/IF($C332="LT",Config!$G$5,Config!$G$17)))</f>
        <v/>
      </c>
      <c r="W332">
        <f>IF(OR(K332=0,K332=""),"",ABS((K332-IF($C332="LT",Config!$F$6,Config!$F$18))/IF($C332="LT",Config!$G$6,Config!$G$18)))</f>
        <v/>
      </c>
      <c r="X332">
        <f>IF(OR(L332=0,L332=""),"",ABS((L332-IF($C332="LT",Config!$F$7,Config!$F$19))/IF($C332="LT",Config!$G$7,Config!$G$19)))</f>
        <v/>
      </c>
      <c r="Y332">
        <f>IF(OR(M332=0,M332=""),"",ABS((M332-IF($C332="LT",Config!$F$8,Config!$F$20))/IF($C332="LT",Config!$G$8,Config!$G$20)))</f>
        <v/>
      </c>
      <c r="Z332">
        <f>IF(OR(N332=0,N332=""),"",ABS((N332-IF($C332="LT",Config!$F$9,Config!$F$21))/IF($C332="LT",Config!$G$9,Config!$G$21)))</f>
        <v/>
      </c>
      <c r="AA332">
        <f>IF(OR(O332=0,O332=""),"",ABS((O332-IF($C332="LT",Config!$F$10,Config!$F$22))/IF($C332="LT",Config!$G$10,Config!$G$22)))</f>
        <v/>
      </c>
      <c r="AB332">
        <f>IF(OR(P332=0,P332=""),"",ABS((P332-IF($C332="LT",Config!$F$11,Config!$F$23))/IF($C332="LT",Config!$G$11,Config!$G$23)))</f>
        <v/>
      </c>
      <c r="AC332">
        <f>IF(OR(Q332=0,Q332=""),"",ABS((Q332-IF($C332="LT",Config!$F$12,Config!$F$24))/IF($C332="LT",Config!$G$12,Config!$G$24)))</f>
        <v/>
      </c>
      <c r="AD332">
        <f>IF(OR(R332=0,R332=""),"",ABS((R332-IF($C332="LT",Config!$F$13,Config!$F$25))/IF($C332="LT",Config!$G$13,Config!$G$25)))</f>
        <v/>
      </c>
    </row>
    <row r="333">
      <c r="A333" t="inlineStr">
        <is>
          <t>04C1626120969</t>
        </is>
      </c>
      <c r="B333" t="inlineStr">
        <is>
          <t>CRS0000674</t>
        </is>
      </c>
      <c r="C333" t="inlineStr">
        <is>
          <t>MT</t>
        </is>
      </c>
      <c r="D333" t="inlineStr">
        <is>
          <t>TCX413U-DS1B01</t>
        </is>
      </c>
      <c r="E333" s="2" t="n">
        <v>46097</v>
      </c>
      <c r="F333" t="inlineStr">
        <is>
          <t>Pass</t>
        </is>
      </c>
      <c r="G333" t="n">
        <v>109.7</v>
      </c>
      <c r="H333" t="n">
        <v>86.5</v>
      </c>
      <c r="I333" t="n">
        <v>-1957.8</v>
      </c>
      <c r="J333" t="n">
        <v>75.8</v>
      </c>
      <c r="K333" t="n">
        <v>0</v>
      </c>
      <c r="L333" t="n">
        <v>2.3</v>
      </c>
      <c r="M333" t="n">
        <v>0</v>
      </c>
      <c r="N333" t="n">
        <v>73.5</v>
      </c>
      <c r="O333" t="n">
        <v>112.45</v>
      </c>
      <c r="P333" t="n">
        <v>116.63</v>
      </c>
      <c r="Q333" t="n">
        <v>3.91</v>
      </c>
      <c r="R333" t="n">
        <v>3.88</v>
      </c>
      <c r="S333">
        <f>IF(OR(G333=0,G333=""),"",ABS((G333-IF($C333="LT",Config!$F$2,Config!$F$14))/IF($C333="LT",Config!$G$2,Config!$G$14)))</f>
        <v/>
      </c>
      <c r="T333">
        <f>IF(OR(H333=0,H333=""),"",ABS((H333-IF($C333="LT",Config!$F$3,Config!$F$15))/IF($C333="LT",Config!$G$3,Config!$G$15)))</f>
        <v/>
      </c>
      <c r="U333">
        <f>IF(OR(I333=0,I333=""),"",ABS((I333-IF($C333="LT",Config!$F$4,Config!$F$16))/IF($C333="LT",Config!$G$4,Config!$G$16)))</f>
        <v/>
      </c>
      <c r="V333">
        <f>IF(OR(J333=0,J333=""),"",ABS((J333-IF($C333="LT",Config!$F$5,Config!$F$17))/IF($C333="LT",Config!$G$5,Config!$G$17)))</f>
        <v/>
      </c>
      <c r="W333">
        <f>IF(OR(K333=0,K333=""),"",ABS((K333-IF($C333="LT",Config!$F$6,Config!$F$18))/IF($C333="LT",Config!$G$6,Config!$G$18)))</f>
        <v/>
      </c>
      <c r="X333">
        <f>IF(OR(L333=0,L333=""),"",ABS((L333-IF($C333="LT",Config!$F$7,Config!$F$19))/IF($C333="LT",Config!$G$7,Config!$G$19)))</f>
        <v/>
      </c>
      <c r="Y333">
        <f>IF(OR(M333=0,M333=""),"",ABS((M333-IF($C333="LT",Config!$F$8,Config!$F$20))/IF($C333="LT",Config!$G$8,Config!$G$20)))</f>
        <v/>
      </c>
      <c r="Z333">
        <f>IF(OR(N333=0,N333=""),"",ABS((N333-IF($C333="LT",Config!$F$9,Config!$F$21))/IF($C333="LT",Config!$G$9,Config!$G$21)))</f>
        <v/>
      </c>
      <c r="AA333">
        <f>IF(OR(O333=0,O333=""),"",ABS((O333-IF($C333="LT",Config!$F$10,Config!$F$22))/IF($C333="LT",Config!$G$10,Config!$G$22)))</f>
        <v/>
      </c>
      <c r="AB333">
        <f>IF(OR(P333=0,P333=""),"",ABS((P333-IF($C333="LT",Config!$F$11,Config!$F$23))/IF($C333="LT",Config!$G$11,Config!$G$23)))</f>
        <v/>
      </c>
      <c r="AC333">
        <f>IF(OR(Q333=0,Q333=""),"",ABS((Q333-IF($C333="LT",Config!$F$12,Config!$F$24))/IF($C333="LT",Config!$G$12,Config!$G$24)))</f>
        <v/>
      </c>
      <c r="AD333">
        <f>IF(OR(R333=0,R333=""),"",ABS((R333-IF($C333="LT",Config!$F$13,Config!$F$25))/IF($C333="LT",Config!$G$13,Config!$G$25)))</f>
        <v/>
      </c>
    </row>
    <row r="334">
      <c r="A334" t="inlineStr">
        <is>
          <t>04C1626120970</t>
        </is>
      </c>
      <c r="B334" t="inlineStr">
        <is>
          <t>CRS0000674</t>
        </is>
      </c>
      <c r="C334" t="inlineStr">
        <is>
          <t>MT</t>
        </is>
      </c>
      <c r="D334" t="inlineStr">
        <is>
          <t>TCX413U-DS1B01</t>
        </is>
      </c>
      <c r="E334" s="2" t="n">
        <v>46097</v>
      </c>
      <c r="F334" t="inlineStr">
        <is>
          <t>Pass</t>
        </is>
      </c>
      <c r="G334" t="n">
        <v>112.9</v>
      </c>
      <c r="H334" t="n">
        <v>86.09999999999999</v>
      </c>
      <c r="I334" t="n">
        <v>-1957.8</v>
      </c>
      <c r="J334" t="n">
        <v>74.90000000000001</v>
      </c>
      <c r="K334" t="n">
        <v>0</v>
      </c>
      <c r="L334" t="n">
        <v>0.7</v>
      </c>
      <c r="M334" t="n">
        <v>0</v>
      </c>
      <c r="N334" t="n">
        <v>74.2</v>
      </c>
      <c r="O334" t="n">
        <v>115.31</v>
      </c>
      <c r="P334" t="n">
        <v>115.16</v>
      </c>
      <c r="Q334" t="n">
        <v>3.76</v>
      </c>
      <c r="R334" t="n">
        <v>3.86</v>
      </c>
      <c r="S334">
        <f>IF(OR(G334=0,G334=""),"",ABS((G334-IF($C334="LT",Config!$F$2,Config!$F$14))/IF($C334="LT",Config!$G$2,Config!$G$14)))</f>
        <v/>
      </c>
      <c r="T334">
        <f>IF(OR(H334=0,H334=""),"",ABS((H334-IF($C334="LT",Config!$F$3,Config!$F$15))/IF($C334="LT",Config!$G$3,Config!$G$15)))</f>
        <v/>
      </c>
      <c r="U334">
        <f>IF(OR(I334=0,I334=""),"",ABS((I334-IF($C334="LT",Config!$F$4,Config!$F$16))/IF($C334="LT",Config!$G$4,Config!$G$16)))</f>
        <v/>
      </c>
      <c r="V334">
        <f>IF(OR(J334=0,J334=""),"",ABS((J334-IF($C334="LT",Config!$F$5,Config!$F$17))/IF($C334="LT",Config!$G$5,Config!$G$17)))</f>
        <v/>
      </c>
      <c r="W334">
        <f>IF(OR(K334=0,K334=""),"",ABS((K334-IF($C334="LT",Config!$F$6,Config!$F$18))/IF($C334="LT",Config!$G$6,Config!$G$18)))</f>
        <v/>
      </c>
      <c r="X334">
        <f>IF(OR(L334=0,L334=""),"",ABS((L334-IF($C334="LT",Config!$F$7,Config!$F$19))/IF($C334="LT",Config!$G$7,Config!$G$19)))</f>
        <v/>
      </c>
      <c r="Y334">
        <f>IF(OR(M334=0,M334=""),"",ABS((M334-IF($C334="LT",Config!$F$8,Config!$F$20))/IF($C334="LT",Config!$G$8,Config!$G$20)))</f>
        <v/>
      </c>
      <c r="Z334">
        <f>IF(OR(N334=0,N334=""),"",ABS((N334-IF($C334="LT",Config!$F$9,Config!$F$21))/IF($C334="LT",Config!$G$9,Config!$G$21)))</f>
        <v/>
      </c>
      <c r="AA334">
        <f>IF(OR(O334=0,O334=""),"",ABS((O334-IF($C334="LT",Config!$F$10,Config!$F$22))/IF($C334="LT",Config!$G$10,Config!$G$22)))</f>
        <v/>
      </c>
      <c r="AB334">
        <f>IF(OR(P334=0,P334=""),"",ABS((P334-IF($C334="LT",Config!$F$11,Config!$F$23))/IF($C334="LT",Config!$G$11,Config!$G$23)))</f>
        <v/>
      </c>
      <c r="AC334">
        <f>IF(OR(Q334=0,Q334=""),"",ABS((Q334-IF($C334="LT",Config!$F$12,Config!$F$24))/IF($C334="LT",Config!$G$12,Config!$G$24)))</f>
        <v/>
      </c>
      <c r="AD334">
        <f>IF(OR(R334=0,R334=""),"",ABS((R334-IF($C334="LT",Config!$F$13,Config!$F$25))/IF($C334="LT",Config!$G$13,Config!$G$25)))</f>
        <v/>
      </c>
    </row>
    <row r="335">
      <c r="A335" t="inlineStr">
        <is>
          <t>04C1626120971</t>
        </is>
      </c>
      <c r="B335" t="inlineStr">
        <is>
          <t>CRS0000674</t>
        </is>
      </c>
      <c r="C335" t="inlineStr">
        <is>
          <t>MT</t>
        </is>
      </c>
      <c r="D335" t="inlineStr">
        <is>
          <t>TCX413U-DS1B01</t>
        </is>
      </c>
      <c r="E335" s="2" t="n">
        <v>46097</v>
      </c>
      <c r="F335" t="inlineStr">
        <is>
          <t>Pass</t>
        </is>
      </c>
      <c r="G335" t="n">
        <v>112.4</v>
      </c>
      <c r="H335" t="n">
        <v>82</v>
      </c>
      <c r="I335" t="n">
        <v>-1957.8</v>
      </c>
      <c r="J335" t="n">
        <v>75.8</v>
      </c>
      <c r="K335" t="n">
        <v>0</v>
      </c>
      <c r="L335" t="n">
        <v>3.3</v>
      </c>
      <c r="M335" t="n">
        <v>0</v>
      </c>
      <c r="N335" t="n">
        <v>72.5</v>
      </c>
      <c r="O335" t="n">
        <v>111.94</v>
      </c>
      <c r="P335" t="n">
        <v>116.48</v>
      </c>
      <c r="Q335" t="n">
        <v>3.78</v>
      </c>
      <c r="R335" t="n">
        <v>3.74</v>
      </c>
      <c r="S335">
        <f>IF(OR(G335=0,G335=""),"",ABS((G335-IF($C335="LT",Config!$F$2,Config!$F$14))/IF($C335="LT",Config!$G$2,Config!$G$14)))</f>
        <v/>
      </c>
      <c r="T335">
        <f>IF(OR(H335=0,H335=""),"",ABS((H335-IF($C335="LT",Config!$F$3,Config!$F$15))/IF($C335="LT",Config!$G$3,Config!$G$15)))</f>
        <v/>
      </c>
      <c r="U335">
        <f>IF(OR(I335=0,I335=""),"",ABS((I335-IF($C335="LT",Config!$F$4,Config!$F$16))/IF($C335="LT",Config!$G$4,Config!$G$16)))</f>
        <v/>
      </c>
      <c r="V335">
        <f>IF(OR(J335=0,J335=""),"",ABS((J335-IF($C335="LT",Config!$F$5,Config!$F$17))/IF($C335="LT",Config!$G$5,Config!$G$17)))</f>
        <v/>
      </c>
      <c r="W335">
        <f>IF(OR(K335=0,K335=""),"",ABS((K335-IF($C335="LT",Config!$F$6,Config!$F$18))/IF($C335="LT",Config!$G$6,Config!$G$18)))</f>
        <v/>
      </c>
      <c r="X335">
        <f>IF(OR(L335=0,L335=""),"",ABS((L335-IF($C335="LT",Config!$F$7,Config!$F$19))/IF($C335="LT",Config!$G$7,Config!$G$19)))</f>
        <v/>
      </c>
      <c r="Y335">
        <f>IF(OR(M335=0,M335=""),"",ABS((M335-IF($C335="LT",Config!$F$8,Config!$F$20))/IF($C335="LT",Config!$G$8,Config!$G$20)))</f>
        <v/>
      </c>
      <c r="Z335">
        <f>IF(OR(N335=0,N335=""),"",ABS((N335-IF($C335="LT",Config!$F$9,Config!$F$21))/IF($C335="LT",Config!$G$9,Config!$G$21)))</f>
        <v/>
      </c>
      <c r="AA335">
        <f>IF(OR(O335=0,O335=""),"",ABS((O335-IF($C335="LT",Config!$F$10,Config!$F$22))/IF($C335="LT",Config!$G$10,Config!$G$22)))</f>
        <v/>
      </c>
      <c r="AB335">
        <f>IF(OR(P335=0,P335=""),"",ABS((P335-IF($C335="LT",Config!$F$11,Config!$F$23))/IF($C335="LT",Config!$G$11,Config!$G$23)))</f>
        <v/>
      </c>
      <c r="AC335">
        <f>IF(OR(Q335=0,Q335=""),"",ABS((Q335-IF($C335="LT",Config!$F$12,Config!$F$24))/IF($C335="LT",Config!$G$12,Config!$G$24)))</f>
        <v/>
      </c>
      <c r="AD335">
        <f>IF(OR(R335=0,R335=""),"",ABS((R335-IF($C335="LT",Config!$F$13,Config!$F$25))/IF($C335="LT",Config!$G$13,Config!$G$25)))</f>
        <v/>
      </c>
    </row>
    <row r="336">
      <c r="A336" t="inlineStr">
        <is>
          <t>04C1626120972</t>
        </is>
      </c>
      <c r="B336" t="inlineStr">
        <is>
          <t>CRS0000674</t>
        </is>
      </c>
      <c r="C336" t="inlineStr">
        <is>
          <t>MT</t>
        </is>
      </c>
      <c r="D336" t="inlineStr">
        <is>
          <t>TCX413U-DS1B01</t>
        </is>
      </c>
      <c r="E336" s="2" t="n">
        <v>46097</v>
      </c>
      <c r="F336" t="inlineStr">
        <is>
          <t>Pass</t>
        </is>
      </c>
      <c r="G336" t="n">
        <v>112.4</v>
      </c>
      <c r="H336" t="n">
        <v>83.40000000000001</v>
      </c>
      <c r="I336" t="n">
        <v>-1957.8</v>
      </c>
      <c r="J336" t="n">
        <v>70.40000000000001</v>
      </c>
      <c r="K336" t="n">
        <v>0</v>
      </c>
      <c r="L336" t="n">
        <v>1.5</v>
      </c>
      <c r="M336" t="n">
        <v>0</v>
      </c>
      <c r="N336" t="n">
        <v>68.90000000000001</v>
      </c>
      <c r="O336" t="n">
        <v>111.86</v>
      </c>
      <c r="P336" t="n">
        <v>113.4</v>
      </c>
      <c r="Q336" t="n">
        <v>3.96</v>
      </c>
      <c r="R336" t="n">
        <v>4</v>
      </c>
      <c r="S336">
        <f>IF(OR(G336=0,G336=""),"",ABS((G336-IF($C336="LT",Config!$F$2,Config!$F$14))/IF($C336="LT",Config!$G$2,Config!$G$14)))</f>
        <v/>
      </c>
      <c r="T336">
        <f>IF(OR(H336=0,H336=""),"",ABS((H336-IF($C336="LT",Config!$F$3,Config!$F$15))/IF($C336="LT",Config!$G$3,Config!$G$15)))</f>
        <v/>
      </c>
      <c r="U336">
        <f>IF(OR(I336=0,I336=""),"",ABS((I336-IF($C336="LT",Config!$F$4,Config!$F$16))/IF($C336="LT",Config!$G$4,Config!$G$16)))</f>
        <v/>
      </c>
      <c r="V336">
        <f>IF(OR(J336=0,J336=""),"",ABS((J336-IF($C336="LT",Config!$F$5,Config!$F$17))/IF($C336="LT",Config!$G$5,Config!$G$17)))</f>
        <v/>
      </c>
      <c r="W336">
        <f>IF(OR(K336=0,K336=""),"",ABS((K336-IF($C336="LT",Config!$F$6,Config!$F$18))/IF($C336="LT",Config!$G$6,Config!$G$18)))</f>
        <v/>
      </c>
      <c r="X336">
        <f>IF(OR(L336=0,L336=""),"",ABS((L336-IF($C336="LT",Config!$F$7,Config!$F$19))/IF($C336="LT",Config!$G$7,Config!$G$19)))</f>
        <v/>
      </c>
      <c r="Y336">
        <f>IF(OR(M336=0,M336=""),"",ABS((M336-IF($C336="LT",Config!$F$8,Config!$F$20))/IF($C336="LT",Config!$G$8,Config!$G$20)))</f>
        <v/>
      </c>
      <c r="Z336">
        <f>IF(OR(N336=0,N336=""),"",ABS((N336-IF($C336="LT",Config!$F$9,Config!$F$21))/IF($C336="LT",Config!$G$9,Config!$G$21)))</f>
        <v/>
      </c>
      <c r="AA336">
        <f>IF(OR(O336=0,O336=""),"",ABS((O336-IF($C336="LT",Config!$F$10,Config!$F$22))/IF($C336="LT",Config!$G$10,Config!$G$22)))</f>
        <v/>
      </c>
      <c r="AB336">
        <f>IF(OR(P336=0,P336=""),"",ABS((P336-IF($C336="LT",Config!$F$11,Config!$F$23))/IF($C336="LT",Config!$G$11,Config!$G$23)))</f>
        <v/>
      </c>
      <c r="AC336">
        <f>IF(OR(Q336=0,Q336=""),"",ABS((Q336-IF($C336="LT",Config!$F$12,Config!$F$24))/IF($C336="LT",Config!$G$12,Config!$G$24)))</f>
        <v/>
      </c>
      <c r="AD336">
        <f>IF(OR(R336=0,R336=""),"",ABS((R336-IF($C336="LT",Config!$F$13,Config!$F$25))/IF($C336="LT",Config!$G$13,Config!$G$25)))</f>
        <v/>
      </c>
    </row>
    <row r="337">
      <c r="A337" t="inlineStr">
        <is>
          <t>04C1626120973</t>
        </is>
      </c>
      <c r="B337" t="inlineStr">
        <is>
          <t>CRS0000674</t>
        </is>
      </c>
      <c r="C337" t="inlineStr">
        <is>
          <t>MT</t>
        </is>
      </c>
      <c r="D337" t="inlineStr">
        <is>
          <t>TCX413U-DS1B01</t>
        </is>
      </c>
      <c r="E337" s="2" t="n">
        <v>46097</v>
      </c>
      <c r="F337" t="inlineStr">
        <is>
          <t>Pass</t>
        </is>
      </c>
      <c r="G337" t="n">
        <v>112.9</v>
      </c>
      <c r="H337" t="n">
        <v>82</v>
      </c>
      <c r="I337" t="n">
        <v>-1957.8</v>
      </c>
      <c r="J337" t="n">
        <v>68.2</v>
      </c>
      <c r="K337" t="n">
        <v>0</v>
      </c>
      <c r="L337" t="n">
        <v>0.2</v>
      </c>
      <c r="M337" t="n">
        <v>0</v>
      </c>
      <c r="N337" t="n">
        <v>68</v>
      </c>
      <c r="O337" t="n">
        <v>115.31</v>
      </c>
      <c r="P337" t="n">
        <v>114.94</v>
      </c>
      <c r="Q337" t="n">
        <v>3.66</v>
      </c>
      <c r="R337" t="n">
        <v>3.78</v>
      </c>
      <c r="S337">
        <f>IF(OR(G337=0,G337=""),"",ABS((G337-IF($C337="LT",Config!$F$2,Config!$F$14))/IF($C337="LT",Config!$G$2,Config!$G$14)))</f>
        <v/>
      </c>
      <c r="T337">
        <f>IF(OR(H337=0,H337=""),"",ABS((H337-IF($C337="LT",Config!$F$3,Config!$F$15))/IF($C337="LT",Config!$G$3,Config!$G$15)))</f>
        <v/>
      </c>
      <c r="U337">
        <f>IF(OR(I337=0,I337=""),"",ABS((I337-IF($C337="LT",Config!$F$4,Config!$F$16))/IF($C337="LT",Config!$G$4,Config!$G$16)))</f>
        <v/>
      </c>
      <c r="V337">
        <f>IF(OR(J337=0,J337=""),"",ABS((J337-IF($C337="LT",Config!$F$5,Config!$F$17))/IF($C337="LT",Config!$G$5,Config!$G$17)))</f>
        <v/>
      </c>
      <c r="W337">
        <f>IF(OR(K337=0,K337=""),"",ABS((K337-IF($C337="LT",Config!$F$6,Config!$F$18))/IF($C337="LT",Config!$G$6,Config!$G$18)))</f>
        <v/>
      </c>
      <c r="X337">
        <f>IF(OR(L337=0,L337=""),"",ABS((L337-IF($C337="LT",Config!$F$7,Config!$F$19))/IF($C337="LT",Config!$G$7,Config!$G$19)))</f>
        <v/>
      </c>
      <c r="Y337">
        <f>IF(OR(M337=0,M337=""),"",ABS((M337-IF($C337="LT",Config!$F$8,Config!$F$20))/IF($C337="LT",Config!$G$8,Config!$G$20)))</f>
        <v/>
      </c>
      <c r="Z337">
        <f>IF(OR(N337=0,N337=""),"",ABS((N337-IF($C337="LT",Config!$F$9,Config!$F$21))/IF($C337="LT",Config!$G$9,Config!$G$21)))</f>
        <v/>
      </c>
      <c r="AA337">
        <f>IF(OR(O337=0,O337=""),"",ABS((O337-IF($C337="LT",Config!$F$10,Config!$F$22))/IF($C337="LT",Config!$G$10,Config!$G$22)))</f>
        <v/>
      </c>
      <c r="AB337">
        <f>IF(OR(P337=0,P337=""),"",ABS((P337-IF($C337="LT",Config!$F$11,Config!$F$23))/IF($C337="LT",Config!$G$11,Config!$G$23)))</f>
        <v/>
      </c>
      <c r="AC337">
        <f>IF(OR(Q337=0,Q337=""),"",ABS((Q337-IF($C337="LT",Config!$F$12,Config!$F$24))/IF($C337="LT",Config!$G$12,Config!$G$24)))</f>
        <v/>
      </c>
      <c r="AD337">
        <f>IF(OR(R337=0,R337=""),"",ABS((R337-IF($C337="LT",Config!$F$13,Config!$F$25))/IF($C337="LT",Config!$G$13,Config!$G$25)))</f>
        <v/>
      </c>
    </row>
    <row r="338">
      <c r="A338" t="inlineStr">
        <is>
          <t>04C1626120974</t>
        </is>
      </c>
      <c r="B338" t="inlineStr">
        <is>
          <t>CRS0000674</t>
        </is>
      </c>
      <c r="C338" t="inlineStr">
        <is>
          <t>MT</t>
        </is>
      </c>
      <c r="D338" t="inlineStr">
        <is>
          <t>TCX413U-DS1B01</t>
        </is>
      </c>
      <c r="E338" s="2" t="n">
        <v>46097</v>
      </c>
      <c r="F338" t="inlineStr">
        <is>
          <t>Pass</t>
        </is>
      </c>
      <c r="G338" t="n">
        <v>112</v>
      </c>
      <c r="H338" t="n">
        <v>80.2</v>
      </c>
      <c r="I338" t="n">
        <v>-1957.8</v>
      </c>
      <c r="J338" t="n">
        <v>70</v>
      </c>
      <c r="K338" t="n">
        <v>0</v>
      </c>
      <c r="L338" t="n">
        <v>0</v>
      </c>
      <c r="M338" t="n">
        <v>0</v>
      </c>
      <c r="N338" t="n">
        <v>70</v>
      </c>
      <c r="O338" t="n">
        <v>112.23</v>
      </c>
      <c r="P338" t="n">
        <v>116.92</v>
      </c>
      <c r="Q338" t="n">
        <v>3.76</v>
      </c>
      <c r="R338" t="n">
        <v>3.66</v>
      </c>
      <c r="S338">
        <f>IF(OR(G338=0,G338=""),"",ABS((G338-IF($C338="LT",Config!$F$2,Config!$F$14))/IF($C338="LT",Config!$G$2,Config!$G$14)))</f>
        <v/>
      </c>
      <c r="T338">
        <f>IF(OR(H338=0,H338=""),"",ABS((H338-IF($C338="LT",Config!$F$3,Config!$F$15))/IF($C338="LT",Config!$G$3,Config!$G$15)))</f>
        <v/>
      </c>
      <c r="U338">
        <f>IF(OR(I338=0,I338=""),"",ABS((I338-IF($C338="LT",Config!$F$4,Config!$F$16))/IF($C338="LT",Config!$G$4,Config!$G$16)))</f>
        <v/>
      </c>
      <c r="V338">
        <f>IF(OR(J338=0,J338=""),"",ABS((J338-IF($C338="LT",Config!$F$5,Config!$F$17))/IF($C338="LT",Config!$G$5,Config!$G$17)))</f>
        <v/>
      </c>
      <c r="W338">
        <f>IF(OR(K338=0,K338=""),"",ABS((K338-IF($C338="LT",Config!$F$6,Config!$F$18))/IF($C338="LT",Config!$G$6,Config!$G$18)))</f>
        <v/>
      </c>
      <c r="X338">
        <f>IF(OR(L338=0,L338=""),"",ABS((L338-IF($C338="LT",Config!$F$7,Config!$F$19))/IF($C338="LT",Config!$G$7,Config!$G$19)))</f>
        <v/>
      </c>
      <c r="Y338">
        <f>IF(OR(M338=0,M338=""),"",ABS((M338-IF($C338="LT",Config!$F$8,Config!$F$20))/IF($C338="LT",Config!$G$8,Config!$G$20)))</f>
        <v/>
      </c>
      <c r="Z338">
        <f>IF(OR(N338=0,N338=""),"",ABS((N338-IF($C338="LT",Config!$F$9,Config!$F$21))/IF($C338="LT",Config!$G$9,Config!$G$21)))</f>
        <v/>
      </c>
      <c r="AA338">
        <f>IF(OR(O338=0,O338=""),"",ABS((O338-IF($C338="LT",Config!$F$10,Config!$F$22))/IF($C338="LT",Config!$G$10,Config!$G$22)))</f>
        <v/>
      </c>
      <c r="AB338">
        <f>IF(OR(P338=0,P338=""),"",ABS((P338-IF($C338="LT",Config!$F$11,Config!$F$23))/IF($C338="LT",Config!$G$11,Config!$G$23)))</f>
        <v/>
      </c>
      <c r="AC338">
        <f>IF(OR(Q338=0,Q338=""),"",ABS((Q338-IF($C338="LT",Config!$F$12,Config!$F$24))/IF($C338="LT",Config!$G$12,Config!$G$24)))</f>
        <v/>
      </c>
      <c r="AD338">
        <f>IF(OR(R338=0,R338=""),"",ABS((R338-IF($C338="LT",Config!$F$13,Config!$F$25))/IF($C338="LT",Config!$G$13,Config!$G$25)))</f>
        <v/>
      </c>
    </row>
    <row r="339">
      <c r="A339" t="inlineStr">
        <is>
          <t>04C1626120975</t>
        </is>
      </c>
      <c r="B339" t="inlineStr">
        <is>
          <t>CRS0000674</t>
        </is>
      </c>
      <c r="C339" t="inlineStr">
        <is>
          <t>MT</t>
        </is>
      </c>
      <c r="D339" t="inlineStr">
        <is>
          <t>TCX413U-DS1B01</t>
        </is>
      </c>
      <c r="E339" s="2" t="n">
        <v>46098</v>
      </c>
      <c r="F339" t="inlineStr">
        <is>
          <t>Pass</t>
        </is>
      </c>
      <c r="G339" t="n">
        <v>103</v>
      </c>
      <c r="H339" t="n">
        <v>76.09999999999999</v>
      </c>
      <c r="I339" t="n">
        <v>-1957.8</v>
      </c>
      <c r="J339" t="n">
        <v>70</v>
      </c>
      <c r="K339" t="n">
        <v>0</v>
      </c>
      <c r="L339" t="n">
        <v>2.5</v>
      </c>
      <c r="M339" t="n">
        <v>0</v>
      </c>
      <c r="N339" t="n">
        <v>67.5</v>
      </c>
      <c r="O339" t="n">
        <v>112.3</v>
      </c>
      <c r="P339" t="n">
        <v>116.85</v>
      </c>
      <c r="Q339" t="n">
        <v>3.59</v>
      </c>
      <c r="R339" t="n">
        <v>3.61</v>
      </c>
      <c r="S339">
        <f>IF(OR(G339=0,G339=""),"",ABS((G339-IF($C339="LT",Config!$F$2,Config!$F$14))/IF($C339="LT",Config!$G$2,Config!$G$14)))</f>
        <v/>
      </c>
      <c r="T339">
        <f>IF(OR(H339=0,H339=""),"",ABS((H339-IF($C339="LT",Config!$F$3,Config!$F$15))/IF($C339="LT",Config!$G$3,Config!$G$15)))</f>
        <v/>
      </c>
      <c r="U339">
        <f>IF(OR(I339=0,I339=""),"",ABS((I339-IF($C339="LT",Config!$F$4,Config!$F$16))/IF($C339="LT",Config!$G$4,Config!$G$16)))</f>
        <v/>
      </c>
      <c r="V339">
        <f>IF(OR(J339=0,J339=""),"",ABS((J339-IF($C339="LT",Config!$F$5,Config!$F$17))/IF($C339="LT",Config!$G$5,Config!$G$17)))</f>
        <v/>
      </c>
      <c r="W339">
        <f>IF(OR(K339=0,K339=""),"",ABS((K339-IF($C339="LT",Config!$F$6,Config!$F$18))/IF($C339="LT",Config!$G$6,Config!$G$18)))</f>
        <v/>
      </c>
      <c r="X339">
        <f>IF(OR(L339=0,L339=""),"",ABS((L339-IF($C339="LT",Config!$F$7,Config!$F$19))/IF($C339="LT",Config!$G$7,Config!$G$19)))</f>
        <v/>
      </c>
      <c r="Y339">
        <f>IF(OR(M339=0,M339=""),"",ABS((M339-IF($C339="LT",Config!$F$8,Config!$F$20))/IF($C339="LT",Config!$G$8,Config!$G$20)))</f>
        <v/>
      </c>
      <c r="Z339">
        <f>IF(OR(N339=0,N339=""),"",ABS((N339-IF($C339="LT",Config!$F$9,Config!$F$21))/IF($C339="LT",Config!$G$9,Config!$G$21)))</f>
        <v/>
      </c>
      <c r="AA339">
        <f>IF(OR(O339=0,O339=""),"",ABS((O339-IF($C339="LT",Config!$F$10,Config!$F$22))/IF($C339="LT",Config!$G$10,Config!$G$22)))</f>
        <v/>
      </c>
      <c r="AB339">
        <f>IF(OR(P339=0,P339=""),"",ABS((P339-IF($C339="LT",Config!$F$11,Config!$F$23))/IF($C339="LT",Config!$G$11,Config!$G$23)))</f>
        <v/>
      </c>
      <c r="AC339">
        <f>IF(OR(Q339=0,Q339=""),"",ABS((Q339-IF($C339="LT",Config!$F$12,Config!$F$24))/IF($C339="LT",Config!$G$12,Config!$G$24)))</f>
        <v/>
      </c>
      <c r="AD339">
        <f>IF(OR(R339=0,R339=""),"",ABS((R339-IF($C339="LT",Config!$F$13,Config!$F$25))/IF($C339="LT",Config!$G$13,Config!$G$25)))</f>
        <v/>
      </c>
    </row>
    <row r="340">
      <c r="A340" t="inlineStr">
        <is>
          <t>04C1626120976</t>
        </is>
      </c>
      <c r="B340" t="inlineStr">
        <is>
          <t>CRS0000674</t>
        </is>
      </c>
      <c r="C340" t="inlineStr">
        <is>
          <t>MT</t>
        </is>
      </c>
      <c r="D340" t="inlineStr">
        <is>
          <t>TCX413U-DS1B01</t>
        </is>
      </c>
      <c r="E340" s="2" t="n">
        <v>46098</v>
      </c>
      <c r="F340" t="inlineStr">
        <is>
          <t>Pass</t>
        </is>
      </c>
      <c r="G340" t="n">
        <v>105.3</v>
      </c>
      <c r="H340" t="n">
        <v>76.09999999999999</v>
      </c>
      <c r="I340" t="n">
        <v>-1957.8</v>
      </c>
      <c r="J340" t="n">
        <v>69.5</v>
      </c>
      <c r="K340" t="n">
        <v>0</v>
      </c>
      <c r="L340" t="n">
        <v>0.1</v>
      </c>
      <c r="M340" t="n">
        <v>0</v>
      </c>
      <c r="N340" t="n">
        <v>69.40000000000001</v>
      </c>
      <c r="O340" t="n">
        <v>111.79</v>
      </c>
      <c r="P340" t="n">
        <v>113.26</v>
      </c>
      <c r="Q340" t="n">
        <v>3.78</v>
      </c>
      <c r="R340" t="n">
        <v>3.81</v>
      </c>
      <c r="S340">
        <f>IF(OR(G340=0,G340=""),"",ABS((G340-IF($C340="LT",Config!$F$2,Config!$F$14))/IF($C340="LT",Config!$G$2,Config!$G$14)))</f>
        <v/>
      </c>
      <c r="T340">
        <f>IF(OR(H340=0,H340=""),"",ABS((H340-IF($C340="LT",Config!$F$3,Config!$F$15))/IF($C340="LT",Config!$G$3,Config!$G$15)))</f>
        <v/>
      </c>
      <c r="U340">
        <f>IF(OR(I340=0,I340=""),"",ABS((I340-IF($C340="LT",Config!$F$4,Config!$F$16))/IF($C340="LT",Config!$G$4,Config!$G$16)))</f>
        <v/>
      </c>
      <c r="V340">
        <f>IF(OR(J340=0,J340=""),"",ABS((J340-IF($C340="LT",Config!$F$5,Config!$F$17))/IF($C340="LT",Config!$G$5,Config!$G$17)))</f>
        <v/>
      </c>
      <c r="W340">
        <f>IF(OR(K340=0,K340=""),"",ABS((K340-IF($C340="LT",Config!$F$6,Config!$F$18))/IF($C340="LT",Config!$G$6,Config!$G$18)))</f>
        <v/>
      </c>
      <c r="X340">
        <f>IF(OR(L340=0,L340=""),"",ABS((L340-IF($C340="LT",Config!$F$7,Config!$F$19))/IF($C340="LT",Config!$G$7,Config!$G$19)))</f>
        <v/>
      </c>
      <c r="Y340">
        <f>IF(OR(M340=0,M340=""),"",ABS((M340-IF($C340="LT",Config!$F$8,Config!$F$20))/IF($C340="LT",Config!$G$8,Config!$G$20)))</f>
        <v/>
      </c>
      <c r="Z340">
        <f>IF(OR(N340=0,N340=""),"",ABS((N340-IF($C340="LT",Config!$F$9,Config!$F$21))/IF($C340="LT",Config!$G$9,Config!$G$21)))</f>
        <v/>
      </c>
      <c r="AA340">
        <f>IF(OR(O340=0,O340=""),"",ABS((O340-IF($C340="LT",Config!$F$10,Config!$F$22))/IF($C340="LT",Config!$G$10,Config!$G$22)))</f>
        <v/>
      </c>
      <c r="AB340">
        <f>IF(OR(P340=0,P340=""),"",ABS((P340-IF($C340="LT",Config!$F$11,Config!$F$23))/IF($C340="LT",Config!$G$11,Config!$G$23)))</f>
        <v/>
      </c>
      <c r="AC340">
        <f>IF(OR(Q340=0,Q340=""),"",ABS((Q340-IF($C340="LT",Config!$F$12,Config!$F$24))/IF($C340="LT",Config!$G$12,Config!$G$24)))</f>
        <v/>
      </c>
      <c r="AD340">
        <f>IF(OR(R340=0,R340=""),"",ABS((R340-IF($C340="LT",Config!$F$13,Config!$F$25))/IF($C340="LT",Config!$G$13,Config!$G$25)))</f>
        <v/>
      </c>
    </row>
    <row r="341">
      <c r="A341" t="inlineStr">
        <is>
          <t>04C1626120977</t>
        </is>
      </c>
      <c r="B341" t="inlineStr">
        <is>
          <t>CRS0000674</t>
        </is>
      </c>
      <c r="C341" t="inlineStr">
        <is>
          <t>MT</t>
        </is>
      </c>
      <c r="D341" t="inlineStr">
        <is>
          <t>TCX413U-DS1B01</t>
        </is>
      </c>
      <c r="E341" s="2" t="n">
        <v>46098</v>
      </c>
      <c r="F341" t="inlineStr">
        <is>
          <t>Pass</t>
        </is>
      </c>
      <c r="G341" t="n">
        <v>105.3</v>
      </c>
      <c r="H341" t="n">
        <v>81.09999999999999</v>
      </c>
      <c r="I341" t="n">
        <v>-1957.8</v>
      </c>
      <c r="J341" t="n">
        <v>66.8</v>
      </c>
      <c r="K341" t="n">
        <v>0</v>
      </c>
      <c r="L341" t="n">
        <v>1.1</v>
      </c>
      <c r="M341" t="n">
        <v>0</v>
      </c>
      <c r="N341" t="n">
        <v>65.7</v>
      </c>
      <c r="O341" t="n">
        <v>111.94</v>
      </c>
      <c r="P341" t="n">
        <v>113.11</v>
      </c>
      <c r="Q341" t="n">
        <v>3.64</v>
      </c>
      <c r="R341" t="n">
        <v>3.71</v>
      </c>
      <c r="S341">
        <f>IF(OR(G341=0,G341=""),"",ABS((G341-IF($C341="LT",Config!$F$2,Config!$F$14))/IF($C341="LT",Config!$G$2,Config!$G$14)))</f>
        <v/>
      </c>
      <c r="T341">
        <f>IF(OR(H341=0,H341=""),"",ABS((H341-IF($C341="LT",Config!$F$3,Config!$F$15))/IF($C341="LT",Config!$G$3,Config!$G$15)))</f>
        <v/>
      </c>
      <c r="U341">
        <f>IF(OR(I341=0,I341=""),"",ABS((I341-IF($C341="LT",Config!$F$4,Config!$F$16))/IF($C341="LT",Config!$G$4,Config!$G$16)))</f>
        <v/>
      </c>
      <c r="V341">
        <f>IF(OR(J341=0,J341=""),"",ABS((J341-IF($C341="LT",Config!$F$5,Config!$F$17))/IF($C341="LT",Config!$G$5,Config!$G$17)))</f>
        <v/>
      </c>
      <c r="W341">
        <f>IF(OR(K341=0,K341=""),"",ABS((K341-IF($C341="LT",Config!$F$6,Config!$F$18))/IF($C341="LT",Config!$G$6,Config!$G$18)))</f>
        <v/>
      </c>
      <c r="X341">
        <f>IF(OR(L341=0,L341=""),"",ABS((L341-IF($C341="LT",Config!$F$7,Config!$F$19))/IF($C341="LT",Config!$G$7,Config!$G$19)))</f>
        <v/>
      </c>
      <c r="Y341">
        <f>IF(OR(M341=0,M341=""),"",ABS((M341-IF($C341="LT",Config!$F$8,Config!$F$20))/IF($C341="LT",Config!$G$8,Config!$G$20)))</f>
        <v/>
      </c>
      <c r="Z341">
        <f>IF(OR(N341=0,N341=""),"",ABS((N341-IF($C341="LT",Config!$F$9,Config!$F$21))/IF($C341="LT",Config!$G$9,Config!$G$21)))</f>
        <v/>
      </c>
      <c r="AA341">
        <f>IF(OR(O341=0,O341=""),"",ABS((O341-IF($C341="LT",Config!$F$10,Config!$F$22))/IF($C341="LT",Config!$G$10,Config!$G$22)))</f>
        <v/>
      </c>
      <c r="AB341">
        <f>IF(OR(P341=0,P341=""),"",ABS((P341-IF($C341="LT",Config!$F$11,Config!$F$23))/IF($C341="LT",Config!$G$11,Config!$G$23)))</f>
        <v/>
      </c>
      <c r="AC341">
        <f>IF(OR(Q341=0,Q341=""),"",ABS((Q341-IF($C341="LT",Config!$F$12,Config!$F$24))/IF($C341="LT",Config!$G$12,Config!$G$24)))</f>
        <v/>
      </c>
      <c r="AD341">
        <f>IF(OR(R341=0,R341=""),"",ABS((R341-IF($C341="LT",Config!$F$13,Config!$F$25))/IF($C341="LT",Config!$G$13,Config!$G$25)))</f>
        <v/>
      </c>
    </row>
    <row r="342">
      <c r="A342" t="inlineStr">
        <is>
          <t>04C1626120978</t>
        </is>
      </c>
      <c r="B342" t="inlineStr">
        <is>
          <t>CRS0000675</t>
        </is>
      </c>
      <c r="C342" t="inlineStr">
        <is>
          <t>LT</t>
        </is>
      </c>
      <c r="D342" t="inlineStr">
        <is>
          <t>ALX440U-DS3B01</t>
        </is>
      </c>
      <c r="E342" s="2" t="n">
        <v>46098</v>
      </c>
      <c r="F342" t="inlineStr">
        <is>
          <t>Fail</t>
        </is>
      </c>
      <c r="G342" t="n">
        <v>144.1</v>
      </c>
      <c r="H342" t="n">
        <v>92.8</v>
      </c>
      <c r="I342" t="n">
        <v>-1957.8</v>
      </c>
      <c r="J342" t="n">
        <v>70</v>
      </c>
      <c r="K342" t="n">
        <v>0</v>
      </c>
      <c r="L342" t="n">
        <v>1.5</v>
      </c>
      <c r="M342" t="n">
        <v>0</v>
      </c>
      <c r="N342" t="n">
        <v>71.5</v>
      </c>
      <c r="O342" t="n">
        <v>111.79</v>
      </c>
      <c r="P342" t="n">
        <v>113.18</v>
      </c>
      <c r="Q342" t="n">
        <v>8.01</v>
      </c>
      <c r="R342" t="n">
        <v>7.71</v>
      </c>
      <c r="S342">
        <f>IF(OR(G342=0,G342=""),"",ABS((G342-IF($C342="LT",Config!$F$2,Config!$F$14))/IF($C342="LT",Config!$G$2,Config!$G$14)))</f>
        <v/>
      </c>
      <c r="T342">
        <f>IF(OR(H342=0,H342=""),"",ABS((H342-IF($C342="LT",Config!$F$3,Config!$F$15))/IF($C342="LT",Config!$G$3,Config!$G$15)))</f>
        <v/>
      </c>
      <c r="U342">
        <f>IF(OR(I342=0,I342=""),"",ABS((I342-IF($C342="LT",Config!$F$4,Config!$F$16))/IF($C342="LT",Config!$G$4,Config!$G$16)))</f>
        <v/>
      </c>
      <c r="V342">
        <f>IF(OR(J342=0,J342=""),"",ABS((J342-IF($C342="LT",Config!$F$5,Config!$F$17))/IF($C342="LT",Config!$G$5,Config!$G$17)))</f>
        <v/>
      </c>
      <c r="W342">
        <f>IF(OR(K342=0,K342=""),"",ABS((K342-IF($C342="LT",Config!$F$6,Config!$F$18))/IF($C342="LT",Config!$G$6,Config!$G$18)))</f>
        <v/>
      </c>
      <c r="X342">
        <f>IF(OR(L342=0,L342=""),"",ABS((L342-IF($C342="LT",Config!$F$7,Config!$F$19))/IF($C342="LT",Config!$G$7,Config!$G$19)))</f>
        <v/>
      </c>
      <c r="Y342">
        <f>IF(OR(M342=0,M342=""),"",ABS((M342-IF($C342="LT",Config!$F$8,Config!$F$20))/IF($C342="LT",Config!$G$8,Config!$G$20)))</f>
        <v/>
      </c>
      <c r="Z342">
        <f>IF(OR(N342=0,N342=""),"",ABS((N342-IF($C342="LT",Config!$F$9,Config!$F$21))/IF($C342="LT",Config!$G$9,Config!$G$21)))</f>
        <v/>
      </c>
      <c r="AA342">
        <f>IF(OR(O342=0,O342=""),"",ABS((O342-IF($C342="LT",Config!$F$10,Config!$F$22))/IF($C342="LT",Config!$G$10,Config!$G$22)))</f>
        <v/>
      </c>
      <c r="AB342">
        <f>IF(OR(P342=0,P342=""),"",ABS((P342-IF($C342="LT",Config!$F$11,Config!$F$23))/IF($C342="LT",Config!$G$11,Config!$G$23)))</f>
        <v/>
      </c>
      <c r="AC342">
        <f>IF(OR(Q342=0,Q342=""),"",ABS((Q342-IF($C342="LT",Config!$F$12,Config!$F$24))/IF($C342="LT",Config!$G$12,Config!$G$24)))</f>
        <v/>
      </c>
      <c r="AD342">
        <f>IF(OR(R342=0,R342=""),"",ABS((R342-IF($C342="LT",Config!$F$13,Config!$F$25))/IF($C342="LT",Config!$G$13,Config!$G$25)))</f>
        <v/>
      </c>
    </row>
    <row r="343">
      <c r="A343" t="inlineStr">
        <is>
          <t>04C1626120978</t>
        </is>
      </c>
      <c r="B343" t="inlineStr">
        <is>
          <t>CRS0000675</t>
        </is>
      </c>
      <c r="C343" t="inlineStr">
        <is>
          <t>LT</t>
        </is>
      </c>
      <c r="D343" t="inlineStr">
        <is>
          <t>ALX440U-DS3B01</t>
        </is>
      </c>
      <c r="E343" s="2" t="n">
        <v>46098</v>
      </c>
      <c r="F343" t="inlineStr">
        <is>
          <t>Pass</t>
        </is>
      </c>
      <c r="G343" t="n">
        <v>152.6</v>
      </c>
      <c r="H343" t="n">
        <v>98.7</v>
      </c>
      <c r="I343" t="n">
        <v>-1957.8</v>
      </c>
      <c r="J343" t="n">
        <v>70.40000000000001</v>
      </c>
      <c r="K343" t="n">
        <v>0</v>
      </c>
      <c r="L343" t="n">
        <v>0.8</v>
      </c>
      <c r="M343" t="n">
        <v>0</v>
      </c>
      <c r="N343" t="n">
        <v>71.2</v>
      </c>
      <c r="O343" t="n">
        <v>114.87</v>
      </c>
      <c r="P343" t="n">
        <v>114.72</v>
      </c>
      <c r="Q343" t="n">
        <v>7.67</v>
      </c>
      <c r="R343" t="n">
        <v>7.98</v>
      </c>
      <c r="S343">
        <f>IF(OR(G343=0,G343=""),"",ABS((G343-IF($C343="LT",Config!$F$2,Config!$F$14))/IF($C343="LT",Config!$G$2,Config!$G$14)))</f>
        <v/>
      </c>
      <c r="T343">
        <f>IF(OR(H343=0,H343=""),"",ABS((H343-IF($C343="LT",Config!$F$3,Config!$F$15))/IF($C343="LT",Config!$G$3,Config!$G$15)))</f>
        <v/>
      </c>
      <c r="U343">
        <f>IF(OR(I343=0,I343=""),"",ABS((I343-IF($C343="LT",Config!$F$4,Config!$F$16))/IF($C343="LT",Config!$G$4,Config!$G$16)))</f>
        <v/>
      </c>
      <c r="V343">
        <f>IF(OR(J343=0,J343=""),"",ABS((J343-IF($C343="LT",Config!$F$5,Config!$F$17))/IF($C343="LT",Config!$G$5,Config!$G$17)))</f>
        <v/>
      </c>
      <c r="W343">
        <f>IF(OR(K343=0,K343=""),"",ABS((K343-IF($C343="LT",Config!$F$6,Config!$F$18))/IF($C343="LT",Config!$G$6,Config!$G$18)))</f>
        <v/>
      </c>
      <c r="X343">
        <f>IF(OR(L343=0,L343=""),"",ABS((L343-IF($C343="LT",Config!$F$7,Config!$F$19))/IF($C343="LT",Config!$G$7,Config!$G$19)))</f>
        <v/>
      </c>
      <c r="Y343">
        <f>IF(OR(M343=0,M343=""),"",ABS((M343-IF($C343="LT",Config!$F$8,Config!$F$20))/IF($C343="LT",Config!$G$8,Config!$G$20)))</f>
        <v/>
      </c>
      <c r="Z343">
        <f>IF(OR(N343=0,N343=""),"",ABS((N343-IF($C343="LT",Config!$F$9,Config!$F$21))/IF($C343="LT",Config!$G$9,Config!$G$21)))</f>
        <v/>
      </c>
      <c r="AA343">
        <f>IF(OR(O343=0,O343=""),"",ABS((O343-IF($C343="LT",Config!$F$10,Config!$F$22))/IF($C343="LT",Config!$G$10,Config!$G$22)))</f>
        <v/>
      </c>
      <c r="AB343">
        <f>IF(OR(P343=0,P343=""),"",ABS((P343-IF($C343="LT",Config!$F$11,Config!$F$23))/IF($C343="LT",Config!$G$11,Config!$G$23)))</f>
        <v/>
      </c>
      <c r="AC343">
        <f>IF(OR(Q343=0,Q343=""),"",ABS((Q343-IF($C343="LT",Config!$F$12,Config!$F$24))/IF($C343="LT",Config!$G$12,Config!$G$24)))</f>
        <v/>
      </c>
      <c r="AD343">
        <f>IF(OR(R343=0,R343=""),"",ABS((R343-IF($C343="LT",Config!$F$13,Config!$F$25))/IF($C343="LT",Config!$G$13,Config!$G$25)))</f>
        <v/>
      </c>
    </row>
    <row r="344">
      <c r="A344" t="inlineStr">
        <is>
          <t>04C1626120979</t>
        </is>
      </c>
      <c r="B344" t="inlineStr">
        <is>
          <t>CRS0000675</t>
        </is>
      </c>
      <c r="C344" t="inlineStr">
        <is>
          <t>LT</t>
        </is>
      </c>
      <c r="D344" t="inlineStr">
        <is>
          <t>ALX440U-DS3B01</t>
        </is>
      </c>
      <c r="E344" s="2" t="n">
        <v>46098</v>
      </c>
      <c r="F344" t="inlineStr">
        <is>
          <t>Pass</t>
        </is>
      </c>
      <c r="G344" t="n">
        <v>150.8</v>
      </c>
      <c r="H344" t="n">
        <v>92.40000000000001</v>
      </c>
      <c r="I344" t="n">
        <v>-1957.8</v>
      </c>
      <c r="J344" t="n">
        <v>71.7</v>
      </c>
      <c r="K344" t="n">
        <v>0</v>
      </c>
      <c r="L344" t="n">
        <v>1.7</v>
      </c>
      <c r="M344" t="n">
        <v>0</v>
      </c>
      <c r="N344" t="n">
        <v>73.40000000000001</v>
      </c>
      <c r="O344" t="n">
        <v>111.5</v>
      </c>
      <c r="P344" t="n">
        <v>112.82</v>
      </c>
      <c r="Q344" t="n">
        <v>8.279999999999999</v>
      </c>
      <c r="R344" t="n">
        <v>8.029999999999999</v>
      </c>
      <c r="S344">
        <f>IF(OR(G344=0,G344=""),"",ABS((G344-IF($C344="LT",Config!$F$2,Config!$F$14))/IF($C344="LT",Config!$G$2,Config!$G$14)))</f>
        <v/>
      </c>
      <c r="T344">
        <f>IF(OR(H344=0,H344=""),"",ABS((H344-IF($C344="LT",Config!$F$3,Config!$F$15))/IF($C344="LT",Config!$G$3,Config!$G$15)))</f>
        <v/>
      </c>
      <c r="U344">
        <f>IF(OR(I344=0,I344=""),"",ABS((I344-IF($C344="LT",Config!$F$4,Config!$F$16))/IF($C344="LT",Config!$G$4,Config!$G$16)))</f>
        <v/>
      </c>
      <c r="V344">
        <f>IF(OR(J344=0,J344=""),"",ABS((J344-IF($C344="LT",Config!$F$5,Config!$F$17))/IF($C344="LT",Config!$G$5,Config!$G$17)))</f>
        <v/>
      </c>
      <c r="W344">
        <f>IF(OR(K344=0,K344=""),"",ABS((K344-IF($C344="LT",Config!$F$6,Config!$F$18))/IF($C344="LT",Config!$G$6,Config!$G$18)))</f>
        <v/>
      </c>
      <c r="X344">
        <f>IF(OR(L344=0,L344=""),"",ABS((L344-IF($C344="LT",Config!$F$7,Config!$F$19))/IF($C344="LT",Config!$G$7,Config!$G$19)))</f>
        <v/>
      </c>
      <c r="Y344">
        <f>IF(OR(M344=0,M344=""),"",ABS((M344-IF($C344="LT",Config!$F$8,Config!$F$20))/IF($C344="LT",Config!$G$8,Config!$G$20)))</f>
        <v/>
      </c>
      <c r="Z344">
        <f>IF(OR(N344=0,N344=""),"",ABS((N344-IF($C344="LT",Config!$F$9,Config!$F$21))/IF($C344="LT",Config!$G$9,Config!$G$21)))</f>
        <v/>
      </c>
      <c r="AA344">
        <f>IF(OR(O344=0,O344=""),"",ABS((O344-IF($C344="LT",Config!$F$10,Config!$F$22))/IF($C344="LT",Config!$G$10,Config!$G$22)))</f>
        <v/>
      </c>
      <c r="AB344">
        <f>IF(OR(P344=0,P344=""),"",ABS((P344-IF($C344="LT",Config!$F$11,Config!$F$23))/IF($C344="LT",Config!$G$11,Config!$G$23)))</f>
        <v/>
      </c>
      <c r="AC344">
        <f>IF(OR(Q344=0,Q344=""),"",ABS((Q344-IF($C344="LT",Config!$F$12,Config!$F$24))/IF($C344="LT",Config!$G$12,Config!$G$24)))</f>
        <v/>
      </c>
      <c r="AD344">
        <f>IF(OR(R344=0,R344=""),"",ABS((R344-IF($C344="LT",Config!$F$13,Config!$F$25))/IF($C344="LT",Config!$G$13,Config!$G$25)))</f>
        <v/>
      </c>
    </row>
    <row r="345">
      <c r="A345" t="inlineStr">
        <is>
          <t>04C1626120980</t>
        </is>
      </c>
      <c r="B345" t="inlineStr">
        <is>
          <t>CRS0000675</t>
        </is>
      </c>
      <c r="C345" t="inlineStr">
        <is>
          <t>LT</t>
        </is>
      </c>
      <c r="D345" t="inlineStr">
        <is>
          <t>ALX440U-DS3B01</t>
        </is>
      </c>
      <c r="E345" s="2" t="n">
        <v>46098</v>
      </c>
      <c r="F345" t="inlineStr">
        <is>
          <t>Pass</t>
        </is>
      </c>
      <c r="G345" t="n">
        <v>147.7</v>
      </c>
      <c r="H345" t="n">
        <v>91</v>
      </c>
      <c r="I345" t="n">
        <v>-1957.8</v>
      </c>
      <c r="J345" t="n">
        <v>67.7</v>
      </c>
      <c r="K345" t="n">
        <v>0</v>
      </c>
      <c r="L345" t="n">
        <v>0.9</v>
      </c>
      <c r="M345" t="n">
        <v>0</v>
      </c>
      <c r="N345" t="n">
        <v>66.8</v>
      </c>
      <c r="O345" t="n">
        <v>114.87</v>
      </c>
      <c r="P345" t="n">
        <v>114.87</v>
      </c>
      <c r="Q345" t="n">
        <v>7.98</v>
      </c>
      <c r="R345" t="n">
        <v>7.74</v>
      </c>
      <c r="S345">
        <f>IF(OR(G345=0,G345=""),"",ABS((G345-IF($C345="LT",Config!$F$2,Config!$F$14))/IF($C345="LT",Config!$G$2,Config!$G$14)))</f>
        <v/>
      </c>
      <c r="T345">
        <f>IF(OR(H345=0,H345=""),"",ABS((H345-IF($C345="LT",Config!$F$3,Config!$F$15))/IF($C345="LT",Config!$G$3,Config!$G$15)))</f>
        <v/>
      </c>
      <c r="U345">
        <f>IF(OR(I345=0,I345=""),"",ABS((I345-IF($C345="LT",Config!$F$4,Config!$F$16))/IF($C345="LT",Config!$G$4,Config!$G$16)))</f>
        <v/>
      </c>
      <c r="V345">
        <f>IF(OR(J345=0,J345=""),"",ABS((J345-IF($C345="LT",Config!$F$5,Config!$F$17))/IF($C345="LT",Config!$G$5,Config!$G$17)))</f>
        <v/>
      </c>
      <c r="W345">
        <f>IF(OR(K345=0,K345=""),"",ABS((K345-IF($C345="LT",Config!$F$6,Config!$F$18))/IF($C345="LT",Config!$G$6,Config!$G$18)))</f>
        <v/>
      </c>
      <c r="X345">
        <f>IF(OR(L345=0,L345=""),"",ABS((L345-IF($C345="LT",Config!$F$7,Config!$F$19))/IF($C345="LT",Config!$G$7,Config!$G$19)))</f>
        <v/>
      </c>
      <c r="Y345">
        <f>IF(OR(M345=0,M345=""),"",ABS((M345-IF($C345="LT",Config!$F$8,Config!$F$20))/IF($C345="LT",Config!$G$8,Config!$G$20)))</f>
        <v/>
      </c>
      <c r="Z345">
        <f>IF(OR(N345=0,N345=""),"",ABS((N345-IF($C345="LT",Config!$F$9,Config!$F$21))/IF($C345="LT",Config!$G$9,Config!$G$21)))</f>
        <v/>
      </c>
      <c r="AA345">
        <f>IF(OR(O345=0,O345=""),"",ABS((O345-IF($C345="LT",Config!$F$10,Config!$F$22))/IF($C345="LT",Config!$G$10,Config!$G$22)))</f>
        <v/>
      </c>
      <c r="AB345">
        <f>IF(OR(P345=0,P345=""),"",ABS((P345-IF($C345="LT",Config!$F$11,Config!$F$23))/IF($C345="LT",Config!$G$11,Config!$G$23)))</f>
        <v/>
      </c>
      <c r="AC345">
        <f>IF(OR(Q345=0,Q345=""),"",ABS((Q345-IF($C345="LT",Config!$F$12,Config!$F$24))/IF($C345="LT",Config!$G$12,Config!$G$24)))</f>
        <v/>
      </c>
      <c r="AD345">
        <f>IF(OR(R345=0,R345=""),"",ABS((R345-IF($C345="LT",Config!$F$13,Config!$F$25))/IF($C345="LT",Config!$G$13,Config!$G$25)))</f>
        <v/>
      </c>
    </row>
    <row r="346">
      <c r="A346" t="inlineStr">
        <is>
          <t>04C1626120981</t>
        </is>
      </c>
      <c r="B346" t="inlineStr">
        <is>
          <t>CRS0000675</t>
        </is>
      </c>
      <c r="C346" t="inlineStr">
        <is>
          <t>LT</t>
        </is>
      </c>
      <c r="D346" t="inlineStr">
        <is>
          <t>ALX440U-DS3B01</t>
        </is>
      </c>
      <c r="E346" s="2" t="n">
        <v>46098</v>
      </c>
      <c r="F346" t="inlineStr">
        <is>
          <t>Fail</t>
        </is>
      </c>
      <c r="G346" t="n">
        <v>144.6</v>
      </c>
      <c r="H346" t="n">
        <v>87.90000000000001</v>
      </c>
      <c r="I346" t="n">
        <v>-1957.8</v>
      </c>
      <c r="J346" t="n">
        <v>70</v>
      </c>
      <c r="K346" t="n">
        <v>0</v>
      </c>
      <c r="L346" t="n">
        <v>0.4</v>
      </c>
      <c r="M346" t="n">
        <v>0</v>
      </c>
      <c r="N346" t="n">
        <v>70.40000000000001</v>
      </c>
      <c r="O346" t="n">
        <v>114.8</v>
      </c>
      <c r="P346" t="n">
        <v>115.09</v>
      </c>
      <c r="Q346" t="n">
        <v>8.15</v>
      </c>
      <c r="R346" t="n">
        <v>7.76</v>
      </c>
      <c r="S346">
        <f>IF(OR(G346=0,G346=""),"",ABS((G346-IF($C346="LT",Config!$F$2,Config!$F$14))/IF($C346="LT",Config!$G$2,Config!$G$14)))</f>
        <v/>
      </c>
      <c r="T346">
        <f>IF(OR(H346=0,H346=""),"",ABS((H346-IF($C346="LT",Config!$F$3,Config!$F$15))/IF($C346="LT",Config!$G$3,Config!$G$15)))</f>
        <v/>
      </c>
      <c r="U346">
        <f>IF(OR(I346=0,I346=""),"",ABS((I346-IF($C346="LT",Config!$F$4,Config!$F$16))/IF($C346="LT",Config!$G$4,Config!$G$16)))</f>
        <v/>
      </c>
      <c r="V346">
        <f>IF(OR(J346=0,J346=""),"",ABS((J346-IF($C346="LT",Config!$F$5,Config!$F$17))/IF($C346="LT",Config!$G$5,Config!$G$17)))</f>
        <v/>
      </c>
      <c r="W346">
        <f>IF(OR(K346=0,K346=""),"",ABS((K346-IF($C346="LT",Config!$F$6,Config!$F$18))/IF($C346="LT",Config!$G$6,Config!$G$18)))</f>
        <v/>
      </c>
      <c r="X346">
        <f>IF(OR(L346=0,L346=""),"",ABS((L346-IF($C346="LT",Config!$F$7,Config!$F$19))/IF($C346="LT",Config!$G$7,Config!$G$19)))</f>
        <v/>
      </c>
      <c r="Y346">
        <f>IF(OR(M346=0,M346=""),"",ABS((M346-IF($C346="LT",Config!$F$8,Config!$F$20))/IF($C346="LT",Config!$G$8,Config!$G$20)))</f>
        <v/>
      </c>
      <c r="Z346">
        <f>IF(OR(N346=0,N346=""),"",ABS((N346-IF($C346="LT",Config!$F$9,Config!$F$21))/IF($C346="LT",Config!$G$9,Config!$G$21)))</f>
        <v/>
      </c>
      <c r="AA346">
        <f>IF(OR(O346=0,O346=""),"",ABS((O346-IF($C346="LT",Config!$F$10,Config!$F$22))/IF($C346="LT",Config!$G$10,Config!$G$22)))</f>
        <v/>
      </c>
      <c r="AB346">
        <f>IF(OR(P346=0,P346=""),"",ABS((P346-IF($C346="LT",Config!$F$11,Config!$F$23))/IF($C346="LT",Config!$G$11,Config!$G$23)))</f>
        <v/>
      </c>
      <c r="AC346">
        <f>IF(OR(Q346=0,Q346=""),"",ABS((Q346-IF($C346="LT",Config!$F$12,Config!$F$24))/IF($C346="LT",Config!$G$12,Config!$G$24)))</f>
        <v/>
      </c>
      <c r="AD346">
        <f>IF(OR(R346=0,R346=""),"",ABS((R346-IF($C346="LT",Config!$F$13,Config!$F$25))/IF($C346="LT",Config!$G$13,Config!$G$25)))</f>
        <v/>
      </c>
    </row>
    <row r="347">
      <c r="A347" t="inlineStr">
        <is>
          <t>04C1626120981</t>
        </is>
      </c>
      <c r="B347" t="inlineStr">
        <is>
          <t>CRS0000675</t>
        </is>
      </c>
      <c r="C347" t="inlineStr">
        <is>
          <t>LT</t>
        </is>
      </c>
      <c r="D347" t="inlineStr">
        <is>
          <t>ALX440U-DS3B01</t>
        </is>
      </c>
      <c r="E347" s="2" t="n">
        <v>46098</v>
      </c>
      <c r="F347" t="inlineStr">
        <is>
          <t>Pass</t>
        </is>
      </c>
      <c r="G347" t="n">
        <v>151.7</v>
      </c>
      <c r="H347" t="n">
        <v>96</v>
      </c>
      <c r="I347" t="n">
        <v>-1957.8</v>
      </c>
      <c r="J347" t="n">
        <v>70</v>
      </c>
      <c r="K347" t="n">
        <v>0</v>
      </c>
      <c r="L347" t="n">
        <v>1.4</v>
      </c>
      <c r="M347" t="n">
        <v>0</v>
      </c>
      <c r="N347" t="n">
        <v>68.59999999999999</v>
      </c>
      <c r="O347" t="n">
        <v>111.79</v>
      </c>
      <c r="P347" t="n">
        <v>113.18</v>
      </c>
      <c r="Q347" t="n">
        <v>8.06</v>
      </c>
      <c r="R347" t="n">
        <v>8.029999999999999</v>
      </c>
      <c r="S347">
        <f>IF(OR(G347=0,G347=""),"",ABS((G347-IF($C347="LT",Config!$F$2,Config!$F$14))/IF($C347="LT",Config!$G$2,Config!$G$14)))</f>
        <v/>
      </c>
      <c r="T347">
        <f>IF(OR(H347=0,H347=""),"",ABS((H347-IF($C347="LT",Config!$F$3,Config!$F$15))/IF($C347="LT",Config!$G$3,Config!$G$15)))</f>
        <v/>
      </c>
      <c r="U347">
        <f>IF(OR(I347=0,I347=""),"",ABS((I347-IF($C347="LT",Config!$F$4,Config!$F$16))/IF($C347="LT",Config!$G$4,Config!$G$16)))</f>
        <v/>
      </c>
      <c r="V347">
        <f>IF(OR(J347=0,J347=""),"",ABS((J347-IF($C347="LT",Config!$F$5,Config!$F$17))/IF($C347="LT",Config!$G$5,Config!$G$17)))</f>
        <v/>
      </c>
      <c r="W347">
        <f>IF(OR(K347=0,K347=""),"",ABS((K347-IF($C347="LT",Config!$F$6,Config!$F$18))/IF($C347="LT",Config!$G$6,Config!$G$18)))</f>
        <v/>
      </c>
      <c r="X347">
        <f>IF(OR(L347=0,L347=""),"",ABS((L347-IF($C347="LT",Config!$F$7,Config!$F$19))/IF($C347="LT",Config!$G$7,Config!$G$19)))</f>
        <v/>
      </c>
      <c r="Y347">
        <f>IF(OR(M347=0,M347=""),"",ABS((M347-IF($C347="LT",Config!$F$8,Config!$F$20))/IF($C347="LT",Config!$G$8,Config!$G$20)))</f>
        <v/>
      </c>
      <c r="Z347">
        <f>IF(OR(N347=0,N347=""),"",ABS((N347-IF($C347="LT",Config!$F$9,Config!$F$21))/IF($C347="LT",Config!$G$9,Config!$G$21)))</f>
        <v/>
      </c>
      <c r="AA347">
        <f>IF(OR(O347=0,O347=""),"",ABS((O347-IF($C347="LT",Config!$F$10,Config!$F$22))/IF($C347="LT",Config!$G$10,Config!$G$22)))</f>
        <v/>
      </c>
      <c r="AB347">
        <f>IF(OR(P347=0,P347=""),"",ABS((P347-IF($C347="LT",Config!$F$11,Config!$F$23))/IF($C347="LT",Config!$G$11,Config!$G$23)))</f>
        <v/>
      </c>
      <c r="AC347">
        <f>IF(OR(Q347=0,Q347=""),"",ABS((Q347-IF($C347="LT",Config!$F$12,Config!$F$24))/IF($C347="LT",Config!$G$12,Config!$G$24)))</f>
        <v/>
      </c>
      <c r="AD347">
        <f>IF(OR(R347=0,R347=""),"",ABS((R347-IF($C347="LT",Config!$F$13,Config!$F$25))/IF($C347="LT",Config!$G$13,Config!$G$25)))</f>
        <v/>
      </c>
    </row>
    <row r="348">
      <c r="A348" t="inlineStr">
        <is>
          <t>04C1626120982</t>
        </is>
      </c>
      <c r="B348" t="inlineStr">
        <is>
          <t>CRS0000675</t>
        </is>
      </c>
      <c r="C348" t="inlineStr">
        <is>
          <t>LT</t>
        </is>
      </c>
      <c r="D348" t="inlineStr">
        <is>
          <t>ALX440U-DS3B01</t>
        </is>
      </c>
      <c r="E348" s="2" t="n">
        <v>46098</v>
      </c>
      <c r="F348" t="inlineStr">
        <is>
          <t>Pass</t>
        </is>
      </c>
      <c r="G348" t="n">
        <v>150.4</v>
      </c>
      <c r="H348" t="n">
        <v>96.90000000000001</v>
      </c>
      <c r="I348" t="n">
        <v>-1957.8</v>
      </c>
      <c r="J348" t="n">
        <v>72.59999999999999</v>
      </c>
      <c r="K348" t="n">
        <v>0</v>
      </c>
      <c r="L348" t="n">
        <v>0.3</v>
      </c>
      <c r="M348" t="n">
        <v>0</v>
      </c>
      <c r="N348" t="n">
        <v>72.90000000000001</v>
      </c>
      <c r="O348" t="n">
        <v>111.35</v>
      </c>
      <c r="P348" t="n">
        <v>112.89</v>
      </c>
      <c r="Q348" t="n">
        <v>8.859999999999999</v>
      </c>
      <c r="R348" t="n">
        <v>8.300000000000001</v>
      </c>
      <c r="S348">
        <f>IF(OR(G348=0,G348=""),"",ABS((G348-IF($C348="LT",Config!$F$2,Config!$F$14))/IF($C348="LT",Config!$G$2,Config!$G$14)))</f>
        <v/>
      </c>
      <c r="T348">
        <f>IF(OR(H348=0,H348=""),"",ABS((H348-IF($C348="LT",Config!$F$3,Config!$F$15))/IF($C348="LT",Config!$G$3,Config!$G$15)))</f>
        <v/>
      </c>
      <c r="U348">
        <f>IF(OR(I348=0,I348=""),"",ABS((I348-IF($C348="LT",Config!$F$4,Config!$F$16))/IF($C348="LT",Config!$G$4,Config!$G$16)))</f>
        <v/>
      </c>
      <c r="V348">
        <f>IF(OR(J348=0,J348=""),"",ABS((J348-IF($C348="LT",Config!$F$5,Config!$F$17))/IF($C348="LT",Config!$G$5,Config!$G$17)))</f>
        <v/>
      </c>
      <c r="W348">
        <f>IF(OR(K348=0,K348=""),"",ABS((K348-IF($C348="LT",Config!$F$6,Config!$F$18))/IF($C348="LT",Config!$G$6,Config!$G$18)))</f>
        <v/>
      </c>
      <c r="X348">
        <f>IF(OR(L348=0,L348=""),"",ABS((L348-IF($C348="LT",Config!$F$7,Config!$F$19))/IF($C348="LT",Config!$G$7,Config!$G$19)))</f>
        <v/>
      </c>
      <c r="Y348">
        <f>IF(OR(M348=0,M348=""),"",ABS((M348-IF($C348="LT",Config!$F$8,Config!$F$20))/IF($C348="LT",Config!$G$8,Config!$G$20)))</f>
        <v/>
      </c>
      <c r="Z348">
        <f>IF(OR(N348=0,N348=""),"",ABS((N348-IF($C348="LT",Config!$F$9,Config!$F$21))/IF($C348="LT",Config!$G$9,Config!$G$21)))</f>
        <v/>
      </c>
      <c r="AA348">
        <f>IF(OR(O348=0,O348=""),"",ABS((O348-IF($C348="LT",Config!$F$10,Config!$F$22))/IF($C348="LT",Config!$G$10,Config!$G$22)))</f>
        <v/>
      </c>
      <c r="AB348">
        <f>IF(OR(P348=0,P348=""),"",ABS((P348-IF($C348="LT",Config!$F$11,Config!$F$23))/IF($C348="LT",Config!$G$11,Config!$G$23)))</f>
        <v/>
      </c>
      <c r="AC348">
        <f>IF(OR(Q348=0,Q348=""),"",ABS((Q348-IF($C348="LT",Config!$F$12,Config!$F$24))/IF($C348="LT",Config!$G$12,Config!$G$24)))</f>
        <v/>
      </c>
      <c r="AD348">
        <f>IF(OR(R348=0,R348=""),"",ABS((R348-IF($C348="LT",Config!$F$13,Config!$F$25))/IF($C348="LT",Config!$G$13,Config!$G$25)))</f>
        <v/>
      </c>
    </row>
    <row r="349">
      <c r="A349" t="inlineStr">
        <is>
          <t>04C1726120983</t>
        </is>
      </c>
      <c r="B349" t="inlineStr">
        <is>
          <t>CRS0000675</t>
        </is>
      </c>
      <c r="C349" t="inlineStr">
        <is>
          <t>LT</t>
        </is>
      </c>
      <c r="D349" t="inlineStr">
        <is>
          <t>ALX440U-DS3B01</t>
        </is>
      </c>
      <c r="E349" s="2" t="n">
        <v>46098</v>
      </c>
      <c r="F349" t="inlineStr">
        <is>
          <t>Fail</t>
        </is>
      </c>
      <c r="G349" t="n">
        <v>139.2</v>
      </c>
      <c r="H349" t="n">
        <v>89.7</v>
      </c>
      <c r="I349" t="n">
        <v>-1957.8</v>
      </c>
      <c r="J349" t="n">
        <v>65.90000000000001</v>
      </c>
      <c r="K349" t="n">
        <v>0</v>
      </c>
      <c r="L349" t="n">
        <v>1.2</v>
      </c>
      <c r="M349" t="n">
        <v>0</v>
      </c>
      <c r="N349" t="n">
        <v>64.7</v>
      </c>
      <c r="O349" t="n">
        <v>115.24</v>
      </c>
      <c r="P349" t="n">
        <v>115.46</v>
      </c>
      <c r="Q349" t="n">
        <v>7.93</v>
      </c>
      <c r="R349" t="n">
        <v>7.62</v>
      </c>
      <c r="S349">
        <f>IF(OR(G349=0,G349=""),"",ABS((G349-IF($C349="LT",Config!$F$2,Config!$F$14))/IF($C349="LT",Config!$G$2,Config!$G$14)))</f>
        <v/>
      </c>
      <c r="T349">
        <f>IF(OR(H349=0,H349=""),"",ABS((H349-IF($C349="LT",Config!$F$3,Config!$F$15))/IF($C349="LT",Config!$G$3,Config!$G$15)))</f>
        <v/>
      </c>
      <c r="U349">
        <f>IF(OR(I349=0,I349=""),"",ABS((I349-IF($C349="LT",Config!$F$4,Config!$F$16))/IF($C349="LT",Config!$G$4,Config!$G$16)))</f>
        <v/>
      </c>
      <c r="V349">
        <f>IF(OR(J349=0,J349=""),"",ABS((J349-IF($C349="LT",Config!$F$5,Config!$F$17))/IF($C349="LT",Config!$G$5,Config!$G$17)))</f>
        <v/>
      </c>
      <c r="W349">
        <f>IF(OR(K349=0,K349=""),"",ABS((K349-IF($C349="LT",Config!$F$6,Config!$F$18))/IF($C349="LT",Config!$G$6,Config!$G$18)))</f>
        <v/>
      </c>
      <c r="X349">
        <f>IF(OR(L349=0,L349=""),"",ABS((L349-IF($C349="LT",Config!$F$7,Config!$F$19))/IF($C349="LT",Config!$G$7,Config!$G$19)))</f>
        <v/>
      </c>
      <c r="Y349">
        <f>IF(OR(M349=0,M349=""),"",ABS((M349-IF($C349="LT",Config!$F$8,Config!$F$20))/IF($C349="LT",Config!$G$8,Config!$G$20)))</f>
        <v/>
      </c>
      <c r="Z349">
        <f>IF(OR(N349=0,N349=""),"",ABS((N349-IF($C349="LT",Config!$F$9,Config!$F$21))/IF($C349="LT",Config!$G$9,Config!$G$21)))</f>
        <v/>
      </c>
      <c r="AA349">
        <f>IF(OR(O349=0,O349=""),"",ABS((O349-IF($C349="LT",Config!$F$10,Config!$F$22))/IF($C349="LT",Config!$G$10,Config!$G$22)))</f>
        <v/>
      </c>
      <c r="AB349">
        <f>IF(OR(P349=0,P349=""),"",ABS((P349-IF($C349="LT",Config!$F$11,Config!$F$23))/IF($C349="LT",Config!$G$11,Config!$G$23)))</f>
        <v/>
      </c>
      <c r="AC349">
        <f>IF(OR(Q349=0,Q349=""),"",ABS((Q349-IF($C349="LT",Config!$F$12,Config!$F$24))/IF($C349="LT",Config!$G$12,Config!$G$24)))</f>
        <v/>
      </c>
      <c r="AD349">
        <f>IF(OR(R349=0,R349=""),"",ABS((R349-IF($C349="LT",Config!$F$13,Config!$F$25))/IF($C349="LT",Config!$G$13,Config!$G$25)))</f>
        <v/>
      </c>
    </row>
    <row r="350">
      <c r="A350" t="inlineStr">
        <is>
          <t>04C1726120983</t>
        </is>
      </c>
      <c r="B350" t="inlineStr">
        <is>
          <t>CRS0000675</t>
        </is>
      </c>
      <c r="C350" t="inlineStr">
        <is>
          <t>LT</t>
        </is>
      </c>
      <c r="D350" t="inlineStr">
        <is>
          <t>ALX440U-DS3B01</t>
        </is>
      </c>
      <c r="E350" s="2" t="n">
        <v>46098</v>
      </c>
      <c r="F350" t="inlineStr">
        <is>
          <t>Pass</t>
        </is>
      </c>
      <c r="G350" t="n">
        <v>149.9</v>
      </c>
      <c r="H350" t="n">
        <v>96</v>
      </c>
      <c r="I350" t="n">
        <v>-1957.8</v>
      </c>
      <c r="J350" t="n">
        <v>65.90000000000001</v>
      </c>
      <c r="K350" t="n">
        <v>0</v>
      </c>
      <c r="L350" t="n">
        <v>0.2</v>
      </c>
      <c r="M350" t="n">
        <v>0</v>
      </c>
      <c r="N350" t="n">
        <v>65.7</v>
      </c>
      <c r="O350" t="n">
        <v>114.87</v>
      </c>
      <c r="P350" t="n">
        <v>114.8</v>
      </c>
      <c r="Q350" t="n">
        <v>7.71</v>
      </c>
      <c r="R350" t="n">
        <v>8.01</v>
      </c>
      <c r="S350">
        <f>IF(OR(G350=0,G350=""),"",ABS((G350-IF($C350="LT",Config!$F$2,Config!$F$14))/IF($C350="LT",Config!$G$2,Config!$G$14)))</f>
        <v/>
      </c>
      <c r="T350">
        <f>IF(OR(H350=0,H350=""),"",ABS((H350-IF($C350="LT",Config!$F$3,Config!$F$15))/IF($C350="LT",Config!$G$3,Config!$G$15)))</f>
        <v/>
      </c>
      <c r="U350">
        <f>IF(OR(I350=0,I350=""),"",ABS((I350-IF($C350="LT",Config!$F$4,Config!$F$16))/IF($C350="LT",Config!$G$4,Config!$G$16)))</f>
        <v/>
      </c>
      <c r="V350">
        <f>IF(OR(J350=0,J350=""),"",ABS((J350-IF($C350="LT",Config!$F$5,Config!$F$17))/IF($C350="LT",Config!$G$5,Config!$G$17)))</f>
        <v/>
      </c>
      <c r="W350">
        <f>IF(OR(K350=0,K350=""),"",ABS((K350-IF($C350="LT",Config!$F$6,Config!$F$18))/IF($C350="LT",Config!$G$6,Config!$G$18)))</f>
        <v/>
      </c>
      <c r="X350">
        <f>IF(OR(L350=0,L350=""),"",ABS((L350-IF($C350="LT",Config!$F$7,Config!$F$19))/IF($C350="LT",Config!$G$7,Config!$G$19)))</f>
        <v/>
      </c>
      <c r="Y350">
        <f>IF(OR(M350=0,M350=""),"",ABS((M350-IF($C350="LT",Config!$F$8,Config!$F$20))/IF($C350="LT",Config!$G$8,Config!$G$20)))</f>
        <v/>
      </c>
      <c r="Z350">
        <f>IF(OR(N350=0,N350=""),"",ABS((N350-IF($C350="LT",Config!$F$9,Config!$F$21))/IF($C350="LT",Config!$G$9,Config!$G$21)))</f>
        <v/>
      </c>
      <c r="AA350">
        <f>IF(OR(O350=0,O350=""),"",ABS((O350-IF($C350="LT",Config!$F$10,Config!$F$22))/IF($C350="LT",Config!$G$10,Config!$G$22)))</f>
        <v/>
      </c>
      <c r="AB350">
        <f>IF(OR(P350=0,P350=""),"",ABS((P350-IF($C350="LT",Config!$F$11,Config!$F$23))/IF($C350="LT",Config!$G$11,Config!$G$23)))</f>
        <v/>
      </c>
      <c r="AC350">
        <f>IF(OR(Q350=0,Q350=""),"",ABS((Q350-IF($C350="LT",Config!$F$12,Config!$F$24))/IF($C350="LT",Config!$G$12,Config!$G$24)))</f>
        <v/>
      </c>
      <c r="AD350">
        <f>IF(OR(R350=0,R350=""),"",ABS((R350-IF($C350="LT",Config!$F$13,Config!$F$25))/IF($C350="LT",Config!$G$13,Config!$G$25)))</f>
        <v/>
      </c>
    </row>
    <row r="351">
      <c r="A351" t="inlineStr">
        <is>
          <t>04C1726120984</t>
        </is>
      </c>
      <c r="B351" t="inlineStr">
        <is>
          <t>CRS0000675</t>
        </is>
      </c>
      <c r="C351" t="inlineStr">
        <is>
          <t>LT</t>
        </is>
      </c>
      <c r="D351" t="inlineStr">
        <is>
          <t>ALX440U-DS3B01</t>
        </is>
      </c>
      <c r="E351" s="2" t="n">
        <v>46098</v>
      </c>
      <c r="F351" t="inlineStr">
        <is>
          <t>Pass</t>
        </is>
      </c>
      <c r="G351" t="n">
        <v>153.5</v>
      </c>
      <c r="H351" t="n">
        <v>101</v>
      </c>
      <c r="I351" t="n">
        <v>-1957.8</v>
      </c>
      <c r="J351" t="n">
        <v>71.7</v>
      </c>
      <c r="K351" t="n">
        <v>0</v>
      </c>
      <c r="L351" t="n">
        <v>3</v>
      </c>
      <c r="M351" t="n">
        <v>0</v>
      </c>
      <c r="N351" t="n">
        <v>74.7</v>
      </c>
      <c r="O351" t="n">
        <v>111.35</v>
      </c>
      <c r="P351" t="n">
        <v>113.4</v>
      </c>
      <c r="Q351" t="n">
        <v>8.640000000000001</v>
      </c>
      <c r="R351" t="n">
        <v>8.33</v>
      </c>
      <c r="S351">
        <f>IF(OR(G351=0,G351=""),"",ABS((G351-IF($C351="LT",Config!$F$2,Config!$F$14))/IF($C351="LT",Config!$G$2,Config!$G$14)))</f>
        <v/>
      </c>
      <c r="T351">
        <f>IF(OR(H351=0,H351=""),"",ABS((H351-IF($C351="LT",Config!$F$3,Config!$F$15))/IF($C351="LT",Config!$G$3,Config!$G$15)))</f>
        <v/>
      </c>
      <c r="U351">
        <f>IF(OR(I351=0,I351=""),"",ABS((I351-IF($C351="LT",Config!$F$4,Config!$F$16))/IF($C351="LT",Config!$G$4,Config!$G$16)))</f>
        <v/>
      </c>
      <c r="V351">
        <f>IF(OR(J351=0,J351=""),"",ABS((J351-IF($C351="LT",Config!$F$5,Config!$F$17))/IF($C351="LT",Config!$G$5,Config!$G$17)))</f>
        <v/>
      </c>
      <c r="W351">
        <f>IF(OR(K351=0,K351=""),"",ABS((K351-IF($C351="LT",Config!$F$6,Config!$F$18))/IF($C351="LT",Config!$G$6,Config!$G$18)))</f>
        <v/>
      </c>
      <c r="X351">
        <f>IF(OR(L351=0,L351=""),"",ABS((L351-IF($C351="LT",Config!$F$7,Config!$F$19))/IF($C351="LT",Config!$G$7,Config!$G$19)))</f>
        <v/>
      </c>
      <c r="Y351">
        <f>IF(OR(M351=0,M351=""),"",ABS((M351-IF($C351="LT",Config!$F$8,Config!$F$20))/IF($C351="LT",Config!$G$8,Config!$G$20)))</f>
        <v/>
      </c>
      <c r="Z351">
        <f>IF(OR(N351=0,N351=""),"",ABS((N351-IF($C351="LT",Config!$F$9,Config!$F$21))/IF($C351="LT",Config!$G$9,Config!$G$21)))</f>
        <v/>
      </c>
      <c r="AA351">
        <f>IF(OR(O351=0,O351=""),"",ABS((O351-IF($C351="LT",Config!$F$10,Config!$F$22))/IF($C351="LT",Config!$G$10,Config!$G$22)))</f>
        <v/>
      </c>
      <c r="AB351">
        <f>IF(OR(P351=0,P351=""),"",ABS((P351-IF($C351="LT",Config!$F$11,Config!$F$23))/IF($C351="LT",Config!$G$11,Config!$G$23)))</f>
        <v/>
      </c>
      <c r="AC351">
        <f>IF(OR(Q351=0,Q351=""),"",ABS((Q351-IF($C351="LT",Config!$F$12,Config!$F$24))/IF($C351="LT",Config!$G$12,Config!$G$24)))</f>
        <v/>
      </c>
      <c r="AD351">
        <f>IF(OR(R351=0,R351=""),"",ABS((R351-IF($C351="LT",Config!$F$13,Config!$F$25))/IF($C351="LT",Config!$G$13,Config!$G$25)))</f>
        <v/>
      </c>
    </row>
    <row r="352">
      <c r="A352" t="inlineStr">
        <is>
          <t>04C1726120985</t>
        </is>
      </c>
      <c r="B352" t="inlineStr">
        <is>
          <t>CRS0000675</t>
        </is>
      </c>
      <c r="C352" t="inlineStr">
        <is>
          <t>LT</t>
        </is>
      </c>
      <c r="D352" t="inlineStr">
        <is>
          <t>ALX440U-DS3B01</t>
        </is>
      </c>
      <c r="E352" s="2" t="n">
        <v>46098</v>
      </c>
      <c r="F352" t="inlineStr">
        <is>
          <t>Pass</t>
        </is>
      </c>
      <c r="G352" t="n">
        <v>151.7</v>
      </c>
      <c r="H352" t="n">
        <v>91</v>
      </c>
      <c r="I352" t="n">
        <v>-1957.8</v>
      </c>
      <c r="J352" t="n">
        <v>71.3</v>
      </c>
      <c r="K352" t="n">
        <v>0</v>
      </c>
      <c r="L352" t="n">
        <v>4.3</v>
      </c>
      <c r="M352" t="n">
        <v>0</v>
      </c>
      <c r="N352" t="n">
        <v>67</v>
      </c>
      <c r="O352" t="n">
        <v>114.87</v>
      </c>
      <c r="P352" t="n">
        <v>114.72</v>
      </c>
      <c r="Q352" t="n">
        <v>8.470000000000001</v>
      </c>
      <c r="R352" t="n">
        <v>8.199999999999999</v>
      </c>
      <c r="S352">
        <f>IF(OR(G352=0,G352=""),"",ABS((G352-IF($C352="LT",Config!$F$2,Config!$F$14))/IF($C352="LT",Config!$G$2,Config!$G$14)))</f>
        <v/>
      </c>
      <c r="T352">
        <f>IF(OR(H352=0,H352=""),"",ABS((H352-IF($C352="LT",Config!$F$3,Config!$F$15))/IF($C352="LT",Config!$G$3,Config!$G$15)))</f>
        <v/>
      </c>
      <c r="U352">
        <f>IF(OR(I352=0,I352=""),"",ABS((I352-IF($C352="LT",Config!$F$4,Config!$F$16))/IF($C352="LT",Config!$G$4,Config!$G$16)))</f>
        <v/>
      </c>
      <c r="V352">
        <f>IF(OR(J352=0,J352=""),"",ABS((J352-IF($C352="LT",Config!$F$5,Config!$F$17))/IF($C352="LT",Config!$G$5,Config!$G$17)))</f>
        <v/>
      </c>
      <c r="W352">
        <f>IF(OR(K352=0,K352=""),"",ABS((K352-IF($C352="LT",Config!$F$6,Config!$F$18))/IF($C352="LT",Config!$G$6,Config!$G$18)))</f>
        <v/>
      </c>
      <c r="X352">
        <f>IF(OR(L352=0,L352=""),"",ABS((L352-IF($C352="LT",Config!$F$7,Config!$F$19))/IF($C352="LT",Config!$G$7,Config!$G$19)))</f>
        <v/>
      </c>
      <c r="Y352">
        <f>IF(OR(M352=0,M352=""),"",ABS((M352-IF($C352="LT",Config!$F$8,Config!$F$20))/IF($C352="LT",Config!$G$8,Config!$G$20)))</f>
        <v/>
      </c>
      <c r="Z352">
        <f>IF(OR(N352=0,N352=""),"",ABS((N352-IF($C352="LT",Config!$F$9,Config!$F$21))/IF($C352="LT",Config!$G$9,Config!$G$21)))</f>
        <v/>
      </c>
      <c r="AA352">
        <f>IF(OR(O352=0,O352=""),"",ABS((O352-IF($C352="LT",Config!$F$10,Config!$F$22))/IF($C352="LT",Config!$G$10,Config!$G$22)))</f>
        <v/>
      </c>
      <c r="AB352">
        <f>IF(OR(P352=0,P352=""),"",ABS((P352-IF($C352="LT",Config!$F$11,Config!$F$23))/IF($C352="LT",Config!$G$11,Config!$G$23)))</f>
        <v/>
      </c>
      <c r="AC352">
        <f>IF(OR(Q352=0,Q352=""),"",ABS((Q352-IF($C352="LT",Config!$F$12,Config!$F$24))/IF($C352="LT",Config!$G$12,Config!$G$24)))</f>
        <v/>
      </c>
      <c r="AD352">
        <f>IF(OR(R352=0,R352=""),"",ABS((R352-IF($C352="LT",Config!$F$13,Config!$F$25))/IF($C352="LT",Config!$G$13,Config!$G$25)))</f>
        <v/>
      </c>
    </row>
    <row r="353">
      <c r="A353" t="inlineStr">
        <is>
          <t>04C1726120986</t>
        </is>
      </c>
      <c r="B353" t="inlineStr">
        <is>
          <t>CRS0000675</t>
        </is>
      </c>
      <c r="C353" t="inlineStr">
        <is>
          <t>LT</t>
        </is>
      </c>
      <c r="D353" t="inlineStr">
        <is>
          <t>ALX440U-DS3B01</t>
        </is>
      </c>
      <c r="E353" s="2" t="n">
        <v>46098</v>
      </c>
      <c r="F353" t="inlineStr">
        <is>
          <t>Pass</t>
        </is>
      </c>
      <c r="G353" t="n">
        <v>151.3</v>
      </c>
      <c r="H353" t="n">
        <v>93.3</v>
      </c>
      <c r="I353" t="n">
        <v>-1957.8</v>
      </c>
      <c r="J353" t="n">
        <v>73.09999999999999</v>
      </c>
      <c r="K353" t="n">
        <v>0</v>
      </c>
      <c r="L353" t="n">
        <v>1.2</v>
      </c>
      <c r="M353" t="n">
        <v>0</v>
      </c>
      <c r="N353" t="n">
        <v>74.3</v>
      </c>
      <c r="O353" t="n">
        <v>111.5</v>
      </c>
      <c r="P353" t="n">
        <v>113.18</v>
      </c>
      <c r="Q353" t="n">
        <v>7.98</v>
      </c>
      <c r="R353" t="n">
        <v>7.52</v>
      </c>
      <c r="S353">
        <f>IF(OR(G353=0,G353=""),"",ABS((G353-IF($C353="LT",Config!$F$2,Config!$F$14))/IF($C353="LT",Config!$G$2,Config!$G$14)))</f>
        <v/>
      </c>
      <c r="T353">
        <f>IF(OR(H353=0,H353=""),"",ABS((H353-IF($C353="LT",Config!$F$3,Config!$F$15))/IF($C353="LT",Config!$G$3,Config!$G$15)))</f>
        <v/>
      </c>
      <c r="U353">
        <f>IF(OR(I353=0,I353=""),"",ABS((I353-IF($C353="LT",Config!$F$4,Config!$F$16))/IF($C353="LT",Config!$G$4,Config!$G$16)))</f>
        <v/>
      </c>
      <c r="V353">
        <f>IF(OR(J353=0,J353=""),"",ABS((J353-IF($C353="LT",Config!$F$5,Config!$F$17))/IF($C353="LT",Config!$G$5,Config!$G$17)))</f>
        <v/>
      </c>
      <c r="W353">
        <f>IF(OR(K353=0,K353=""),"",ABS((K353-IF($C353="LT",Config!$F$6,Config!$F$18))/IF($C353="LT",Config!$G$6,Config!$G$18)))</f>
        <v/>
      </c>
      <c r="X353">
        <f>IF(OR(L353=0,L353=""),"",ABS((L353-IF($C353="LT",Config!$F$7,Config!$F$19))/IF($C353="LT",Config!$G$7,Config!$G$19)))</f>
        <v/>
      </c>
      <c r="Y353">
        <f>IF(OR(M353=0,M353=""),"",ABS((M353-IF($C353="LT",Config!$F$8,Config!$F$20))/IF($C353="LT",Config!$G$8,Config!$G$20)))</f>
        <v/>
      </c>
      <c r="Z353">
        <f>IF(OR(N353=0,N353=""),"",ABS((N353-IF($C353="LT",Config!$F$9,Config!$F$21))/IF($C353="LT",Config!$G$9,Config!$G$21)))</f>
        <v/>
      </c>
      <c r="AA353">
        <f>IF(OR(O353=0,O353=""),"",ABS((O353-IF($C353="LT",Config!$F$10,Config!$F$22))/IF($C353="LT",Config!$G$10,Config!$G$22)))</f>
        <v/>
      </c>
      <c r="AB353">
        <f>IF(OR(P353=0,P353=""),"",ABS((P353-IF($C353="LT",Config!$F$11,Config!$F$23))/IF($C353="LT",Config!$G$11,Config!$G$23)))</f>
        <v/>
      </c>
      <c r="AC353">
        <f>IF(OR(Q353=0,Q353=""),"",ABS((Q353-IF($C353="LT",Config!$F$12,Config!$F$24))/IF($C353="LT",Config!$G$12,Config!$G$24)))</f>
        <v/>
      </c>
      <c r="AD353">
        <f>IF(OR(R353=0,R353=""),"",ABS((R353-IF($C353="LT",Config!$F$13,Config!$F$25))/IF($C353="LT",Config!$G$13,Config!$G$25)))</f>
        <v/>
      </c>
    </row>
    <row r="354">
      <c r="A354" t="inlineStr">
        <is>
          <t>04C1726120987</t>
        </is>
      </c>
      <c r="B354" t="inlineStr">
        <is>
          <t>CRS0000675</t>
        </is>
      </c>
      <c r="C354" t="inlineStr">
        <is>
          <t>LT</t>
        </is>
      </c>
      <c r="D354" t="inlineStr">
        <is>
          <t>ALX440U-DS3B01</t>
        </is>
      </c>
      <c r="E354" s="2" t="n">
        <v>46098</v>
      </c>
      <c r="F354" t="inlineStr">
        <is>
          <t>Fail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>
        <f>IF(OR(G354=0,G354=""),"",ABS((G354-IF($C354="LT",Config!$F$2,Config!$F$14))/IF($C354="LT",Config!$G$2,Config!$G$14)))</f>
        <v/>
      </c>
      <c r="T354">
        <f>IF(OR(H354=0,H354=""),"",ABS((H354-IF($C354="LT",Config!$F$3,Config!$F$15))/IF($C354="LT",Config!$G$3,Config!$G$15)))</f>
        <v/>
      </c>
      <c r="U354">
        <f>IF(OR(I354=0,I354=""),"",ABS((I354-IF($C354="LT",Config!$F$4,Config!$F$16))/IF($C354="LT",Config!$G$4,Config!$G$16)))</f>
        <v/>
      </c>
      <c r="V354">
        <f>IF(OR(J354=0,J354=""),"",ABS((J354-IF($C354="LT",Config!$F$5,Config!$F$17))/IF($C354="LT",Config!$G$5,Config!$G$17)))</f>
        <v/>
      </c>
      <c r="W354">
        <f>IF(OR(K354=0,K354=""),"",ABS((K354-IF($C354="LT",Config!$F$6,Config!$F$18))/IF($C354="LT",Config!$G$6,Config!$G$18)))</f>
        <v/>
      </c>
      <c r="X354">
        <f>IF(OR(L354=0,L354=""),"",ABS((L354-IF($C354="LT",Config!$F$7,Config!$F$19))/IF($C354="LT",Config!$G$7,Config!$G$19)))</f>
        <v/>
      </c>
      <c r="Y354">
        <f>IF(OR(M354=0,M354=""),"",ABS((M354-IF($C354="LT",Config!$F$8,Config!$F$20))/IF($C354="LT",Config!$G$8,Config!$G$20)))</f>
        <v/>
      </c>
      <c r="Z354">
        <f>IF(OR(N354=0,N354=""),"",ABS((N354-IF($C354="LT",Config!$F$9,Config!$F$21))/IF($C354="LT",Config!$G$9,Config!$G$21)))</f>
        <v/>
      </c>
      <c r="AA354">
        <f>IF(OR(O354=0,O354=""),"",ABS((O354-IF($C354="LT",Config!$F$10,Config!$F$22))/IF($C354="LT",Config!$G$10,Config!$G$22)))</f>
        <v/>
      </c>
      <c r="AB354">
        <f>IF(OR(P354=0,P354=""),"",ABS((P354-IF($C354="LT",Config!$F$11,Config!$F$23))/IF($C354="LT",Config!$G$11,Config!$G$23)))</f>
        <v/>
      </c>
      <c r="AC354">
        <f>IF(OR(Q354=0,Q354=""),"",ABS((Q354-IF($C354="LT",Config!$F$12,Config!$F$24))/IF($C354="LT",Config!$G$12,Config!$G$24)))</f>
        <v/>
      </c>
      <c r="AD354">
        <f>IF(OR(R354=0,R354=""),"",ABS((R354-IF($C354="LT",Config!$F$13,Config!$F$25))/IF($C354="LT",Config!$G$13,Config!$G$25)))</f>
        <v/>
      </c>
    </row>
    <row r="355">
      <c r="A355" t="inlineStr">
        <is>
          <t>04C1726120987</t>
        </is>
      </c>
      <c r="B355" t="inlineStr">
        <is>
          <t>CRS0000675</t>
        </is>
      </c>
      <c r="C355" t="inlineStr">
        <is>
          <t>LT</t>
        </is>
      </c>
      <c r="D355" t="inlineStr">
        <is>
          <t>ALX440U-DS3B01</t>
        </is>
      </c>
      <c r="E355" s="2" t="n">
        <v>46098</v>
      </c>
      <c r="F355" t="inlineStr">
        <is>
          <t>Pass</t>
        </is>
      </c>
      <c r="G355" t="n">
        <v>156.6</v>
      </c>
      <c r="H355" t="n">
        <v>95.5</v>
      </c>
      <c r="I355" t="n">
        <v>-1957.8</v>
      </c>
      <c r="J355" t="n">
        <v>72.2</v>
      </c>
      <c r="K355" t="n">
        <v>0</v>
      </c>
      <c r="L355" t="n">
        <v>2.3</v>
      </c>
      <c r="M355" t="n">
        <v>0</v>
      </c>
      <c r="N355" t="n">
        <v>74.5</v>
      </c>
      <c r="O355" t="n">
        <v>114.87</v>
      </c>
      <c r="P355" t="n">
        <v>114.87</v>
      </c>
      <c r="Q355" t="n">
        <v>7.62</v>
      </c>
      <c r="R355" t="n">
        <v>7.52</v>
      </c>
      <c r="S355">
        <f>IF(OR(G355=0,G355=""),"",ABS((G355-IF($C355="LT",Config!$F$2,Config!$F$14))/IF($C355="LT",Config!$G$2,Config!$G$14)))</f>
        <v/>
      </c>
      <c r="T355">
        <f>IF(OR(H355=0,H355=""),"",ABS((H355-IF($C355="LT",Config!$F$3,Config!$F$15))/IF($C355="LT",Config!$G$3,Config!$G$15)))</f>
        <v/>
      </c>
      <c r="U355">
        <f>IF(OR(I355=0,I355=""),"",ABS((I355-IF($C355="LT",Config!$F$4,Config!$F$16))/IF($C355="LT",Config!$G$4,Config!$G$16)))</f>
        <v/>
      </c>
      <c r="V355">
        <f>IF(OR(J355=0,J355=""),"",ABS((J355-IF($C355="LT",Config!$F$5,Config!$F$17))/IF($C355="LT",Config!$G$5,Config!$G$17)))</f>
        <v/>
      </c>
      <c r="W355">
        <f>IF(OR(K355=0,K355=""),"",ABS((K355-IF($C355="LT",Config!$F$6,Config!$F$18))/IF($C355="LT",Config!$G$6,Config!$G$18)))</f>
        <v/>
      </c>
      <c r="X355">
        <f>IF(OR(L355=0,L355=""),"",ABS((L355-IF($C355="LT",Config!$F$7,Config!$F$19))/IF($C355="LT",Config!$G$7,Config!$G$19)))</f>
        <v/>
      </c>
      <c r="Y355">
        <f>IF(OR(M355=0,M355=""),"",ABS((M355-IF($C355="LT",Config!$F$8,Config!$F$20))/IF($C355="LT",Config!$G$8,Config!$G$20)))</f>
        <v/>
      </c>
      <c r="Z355">
        <f>IF(OR(N355=0,N355=""),"",ABS((N355-IF($C355="LT",Config!$F$9,Config!$F$21))/IF($C355="LT",Config!$G$9,Config!$G$21)))</f>
        <v/>
      </c>
      <c r="AA355">
        <f>IF(OR(O355=0,O355=""),"",ABS((O355-IF($C355="LT",Config!$F$10,Config!$F$22))/IF($C355="LT",Config!$G$10,Config!$G$22)))</f>
        <v/>
      </c>
      <c r="AB355">
        <f>IF(OR(P355=0,P355=""),"",ABS((P355-IF($C355="LT",Config!$F$11,Config!$F$23))/IF($C355="LT",Config!$G$11,Config!$G$23)))</f>
        <v/>
      </c>
      <c r="AC355">
        <f>IF(OR(Q355=0,Q355=""),"",ABS((Q355-IF($C355="LT",Config!$F$12,Config!$F$24))/IF($C355="LT",Config!$G$12,Config!$G$24)))</f>
        <v/>
      </c>
      <c r="AD355">
        <f>IF(OR(R355=0,R355=""),"",ABS((R355-IF($C355="LT",Config!$F$13,Config!$F$25))/IF($C355="LT",Config!$G$13,Config!$G$25)))</f>
        <v/>
      </c>
    </row>
    <row r="356">
      <c r="A356" t="inlineStr">
        <is>
          <t>04C1726120988</t>
        </is>
      </c>
      <c r="B356" t="inlineStr">
        <is>
          <t>CRS0000675</t>
        </is>
      </c>
      <c r="C356" t="inlineStr">
        <is>
          <t>LT</t>
        </is>
      </c>
      <c r="D356" t="inlineStr">
        <is>
          <t>ALX440U-DS3B01</t>
        </is>
      </c>
      <c r="E356" s="2" t="n">
        <v>46099</v>
      </c>
      <c r="F356" t="inlineStr">
        <is>
          <t>Pass</t>
        </is>
      </c>
      <c r="G356" t="n">
        <v>147.2</v>
      </c>
      <c r="H356" t="n">
        <v>94.59999999999999</v>
      </c>
      <c r="I356" t="n">
        <v>-1957.8</v>
      </c>
      <c r="J356" t="n">
        <v>71.3</v>
      </c>
      <c r="K356" t="n">
        <v>0</v>
      </c>
      <c r="L356" t="n">
        <v>6</v>
      </c>
      <c r="M356" t="n">
        <v>0</v>
      </c>
      <c r="N356" t="n">
        <v>65.3</v>
      </c>
      <c r="O356" t="n">
        <v>111.42</v>
      </c>
      <c r="P356" t="n">
        <v>117.51</v>
      </c>
      <c r="Q356" t="n">
        <v>7.32</v>
      </c>
      <c r="R356" t="n">
        <v>7.3</v>
      </c>
      <c r="S356">
        <f>IF(OR(G356=0,G356=""),"",ABS((G356-IF($C356="LT",Config!$F$2,Config!$F$14))/IF($C356="LT",Config!$G$2,Config!$G$14)))</f>
        <v/>
      </c>
      <c r="T356">
        <f>IF(OR(H356=0,H356=""),"",ABS((H356-IF($C356="LT",Config!$F$3,Config!$F$15))/IF($C356="LT",Config!$G$3,Config!$G$15)))</f>
        <v/>
      </c>
      <c r="U356">
        <f>IF(OR(I356=0,I356=""),"",ABS((I356-IF($C356="LT",Config!$F$4,Config!$F$16))/IF($C356="LT",Config!$G$4,Config!$G$16)))</f>
        <v/>
      </c>
      <c r="V356">
        <f>IF(OR(J356=0,J356=""),"",ABS((J356-IF($C356="LT",Config!$F$5,Config!$F$17))/IF($C356="LT",Config!$G$5,Config!$G$17)))</f>
        <v/>
      </c>
      <c r="W356">
        <f>IF(OR(K356=0,K356=""),"",ABS((K356-IF($C356="LT",Config!$F$6,Config!$F$18))/IF($C356="LT",Config!$G$6,Config!$G$18)))</f>
        <v/>
      </c>
      <c r="X356">
        <f>IF(OR(L356=0,L356=""),"",ABS((L356-IF($C356="LT",Config!$F$7,Config!$F$19))/IF($C356="LT",Config!$G$7,Config!$G$19)))</f>
        <v/>
      </c>
      <c r="Y356">
        <f>IF(OR(M356=0,M356=""),"",ABS((M356-IF($C356="LT",Config!$F$8,Config!$F$20))/IF($C356="LT",Config!$G$8,Config!$G$20)))</f>
        <v/>
      </c>
      <c r="Z356">
        <f>IF(OR(N356=0,N356=""),"",ABS((N356-IF($C356="LT",Config!$F$9,Config!$F$21))/IF($C356="LT",Config!$G$9,Config!$G$21)))</f>
        <v/>
      </c>
      <c r="AA356">
        <f>IF(OR(O356=0,O356=""),"",ABS((O356-IF($C356="LT",Config!$F$10,Config!$F$22))/IF($C356="LT",Config!$G$10,Config!$G$22)))</f>
        <v/>
      </c>
      <c r="AB356">
        <f>IF(OR(P356=0,P356=""),"",ABS((P356-IF($C356="LT",Config!$F$11,Config!$F$23))/IF($C356="LT",Config!$G$11,Config!$G$23)))</f>
        <v/>
      </c>
      <c r="AC356">
        <f>IF(OR(Q356=0,Q356=""),"",ABS((Q356-IF($C356="LT",Config!$F$12,Config!$F$24))/IF($C356="LT",Config!$G$12,Config!$G$24)))</f>
        <v/>
      </c>
      <c r="AD356">
        <f>IF(OR(R356=0,R356=""),"",ABS((R356-IF($C356="LT",Config!$F$13,Config!$F$25))/IF($C356="LT",Config!$G$13,Config!$G$25)))</f>
        <v/>
      </c>
    </row>
    <row r="357">
      <c r="A357" t="inlineStr">
        <is>
          <t>04C1726120989</t>
        </is>
      </c>
      <c r="B357" t="inlineStr">
        <is>
          <t>CRS0000675</t>
        </is>
      </c>
      <c r="C357" t="inlineStr">
        <is>
          <t>LT</t>
        </is>
      </c>
      <c r="D357" t="inlineStr">
        <is>
          <t>ALX440U-DS3B01</t>
        </is>
      </c>
      <c r="E357" s="2" t="n">
        <v>46099</v>
      </c>
      <c r="F357" t="inlineStr">
        <is>
          <t>Fail</t>
        </is>
      </c>
      <c r="G357" t="n">
        <v>144.1</v>
      </c>
      <c r="H357" t="n">
        <v>80.2</v>
      </c>
      <c r="I357" t="n">
        <v>-1957.8</v>
      </c>
      <c r="J357" t="n">
        <v>70.40000000000001</v>
      </c>
      <c r="K357" t="n">
        <v>0</v>
      </c>
      <c r="L357" t="n">
        <v>6.4</v>
      </c>
      <c r="M357" t="n">
        <v>0</v>
      </c>
      <c r="N357" t="n">
        <v>64</v>
      </c>
      <c r="O357" t="n">
        <v>111.57</v>
      </c>
      <c r="P357" t="n">
        <v>112.89</v>
      </c>
      <c r="Q357" t="n">
        <v>7.23</v>
      </c>
      <c r="R357" t="n">
        <v>7.4</v>
      </c>
      <c r="S357">
        <f>IF(OR(G357=0,G357=""),"",ABS((G357-IF($C357="LT",Config!$F$2,Config!$F$14))/IF($C357="LT",Config!$G$2,Config!$G$14)))</f>
        <v/>
      </c>
      <c r="T357">
        <f>IF(OR(H357=0,H357=""),"",ABS((H357-IF($C357="LT",Config!$F$3,Config!$F$15))/IF($C357="LT",Config!$G$3,Config!$G$15)))</f>
        <v/>
      </c>
      <c r="U357">
        <f>IF(OR(I357=0,I357=""),"",ABS((I357-IF($C357="LT",Config!$F$4,Config!$F$16))/IF($C357="LT",Config!$G$4,Config!$G$16)))</f>
        <v/>
      </c>
      <c r="V357">
        <f>IF(OR(J357=0,J357=""),"",ABS((J357-IF($C357="LT",Config!$F$5,Config!$F$17))/IF($C357="LT",Config!$G$5,Config!$G$17)))</f>
        <v/>
      </c>
      <c r="W357">
        <f>IF(OR(K357=0,K357=""),"",ABS((K357-IF($C357="LT",Config!$F$6,Config!$F$18))/IF($C357="LT",Config!$G$6,Config!$G$18)))</f>
        <v/>
      </c>
      <c r="X357">
        <f>IF(OR(L357=0,L357=""),"",ABS((L357-IF($C357="LT",Config!$F$7,Config!$F$19))/IF($C357="LT",Config!$G$7,Config!$G$19)))</f>
        <v/>
      </c>
      <c r="Y357">
        <f>IF(OR(M357=0,M357=""),"",ABS((M357-IF($C357="LT",Config!$F$8,Config!$F$20))/IF($C357="LT",Config!$G$8,Config!$G$20)))</f>
        <v/>
      </c>
      <c r="Z357">
        <f>IF(OR(N357=0,N357=""),"",ABS((N357-IF($C357="LT",Config!$F$9,Config!$F$21))/IF($C357="LT",Config!$G$9,Config!$G$21)))</f>
        <v/>
      </c>
      <c r="AA357">
        <f>IF(OR(O357=0,O357=""),"",ABS((O357-IF($C357="LT",Config!$F$10,Config!$F$22))/IF($C357="LT",Config!$G$10,Config!$G$22)))</f>
        <v/>
      </c>
      <c r="AB357">
        <f>IF(OR(P357=0,P357=""),"",ABS((P357-IF($C357="LT",Config!$F$11,Config!$F$23))/IF($C357="LT",Config!$G$11,Config!$G$23)))</f>
        <v/>
      </c>
      <c r="AC357">
        <f>IF(OR(Q357=0,Q357=""),"",ABS((Q357-IF($C357="LT",Config!$F$12,Config!$F$24))/IF($C357="LT",Config!$G$12,Config!$G$24)))</f>
        <v/>
      </c>
      <c r="AD357">
        <f>IF(OR(R357=0,R357=""),"",ABS((R357-IF($C357="LT",Config!$F$13,Config!$F$25))/IF($C357="LT",Config!$G$13,Config!$G$25)))</f>
        <v/>
      </c>
    </row>
    <row r="358">
      <c r="A358" t="inlineStr">
        <is>
          <t>04C1726120989</t>
        </is>
      </c>
      <c r="B358" t="inlineStr">
        <is>
          <t>CRS0000675</t>
        </is>
      </c>
      <c r="C358" t="inlineStr">
        <is>
          <t>LT</t>
        </is>
      </c>
      <c r="D358" t="inlineStr">
        <is>
          <t>ALX440U-DS3B01</t>
        </is>
      </c>
      <c r="E358" s="2" t="n">
        <v>46099</v>
      </c>
      <c r="F358" t="inlineStr">
        <is>
          <t>Pass</t>
        </is>
      </c>
      <c r="G358" t="n">
        <v>156.6</v>
      </c>
      <c r="H358" t="n">
        <v>86.09999999999999</v>
      </c>
      <c r="I358" t="n">
        <v>-1957.8</v>
      </c>
      <c r="J358" t="n">
        <v>70.40000000000001</v>
      </c>
      <c r="K358" t="n">
        <v>0</v>
      </c>
      <c r="L358" t="n">
        <v>2.9</v>
      </c>
      <c r="M358" t="n">
        <v>0</v>
      </c>
      <c r="N358" t="n">
        <v>67.5</v>
      </c>
      <c r="O358" t="n">
        <v>111.42</v>
      </c>
      <c r="P358" t="n">
        <v>112.38</v>
      </c>
      <c r="Q358" t="n">
        <v>7.71</v>
      </c>
      <c r="R358" t="n">
        <v>8.029999999999999</v>
      </c>
      <c r="S358">
        <f>IF(OR(G358=0,G358=""),"",ABS((G358-IF($C358="LT",Config!$F$2,Config!$F$14))/IF($C358="LT",Config!$G$2,Config!$G$14)))</f>
        <v/>
      </c>
      <c r="T358">
        <f>IF(OR(H358=0,H358=""),"",ABS((H358-IF($C358="LT",Config!$F$3,Config!$F$15))/IF($C358="LT",Config!$G$3,Config!$G$15)))</f>
        <v/>
      </c>
      <c r="U358">
        <f>IF(OR(I358=0,I358=""),"",ABS((I358-IF($C358="LT",Config!$F$4,Config!$F$16))/IF($C358="LT",Config!$G$4,Config!$G$16)))</f>
        <v/>
      </c>
      <c r="V358">
        <f>IF(OR(J358=0,J358=""),"",ABS((J358-IF($C358="LT",Config!$F$5,Config!$F$17))/IF($C358="LT",Config!$G$5,Config!$G$17)))</f>
        <v/>
      </c>
      <c r="W358">
        <f>IF(OR(K358=0,K358=""),"",ABS((K358-IF($C358="LT",Config!$F$6,Config!$F$18))/IF($C358="LT",Config!$G$6,Config!$G$18)))</f>
        <v/>
      </c>
      <c r="X358">
        <f>IF(OR(L358=0,L358=""),"",ABS((L358-IF($C358="LT",Config!$F$7,Config!$F$19))/IF($C358="LT",Config!$G$7,Config!$G$19)))</f>
        <v/>
      </c>
      <c r="Y358">
        <f>IF(OR(M358=0,M358=""),"",ABS((M358-IF($C358="LT",Config!$F$8,Config!$F$20))/IF($C358="LT",Config!$G$8,Config!$G$20)))</f>
        <v/>
      </c>
      <c r="Z358">
        <f>IF(OR(N358=0,N358=""),"",ABS((N358-IF($C358="LT",Config!$F$9,Config!$F$21))/IF($C358="LT",Config!$G$9,Config!$G$21)))</f>
        <v/>
      </c>
      <c r="AA358">
        <f>IF(OR(O358=0,O358=""),"",ABS((O358-IF($C358="LT",Config!$F$10,Config!$F$22))/IF($C358="LT",Config!$G$10,Config!$G$22)))</f>
        <v/>
      </c>
      <c r="AB358">
        <f>IF(OR(P358=0,P358=""),"",ABS((P358-IF($C358="LT",Config!$F$11,Config!$F$23))/IF($C358="LT",Config!$G$11,Config!$G$23)))</f>
        <v/>
      </c>
      <c r="AC358">
        <f>IF(OR(Q358=0,Q358=""),"",ABS((Q358-IF($C358="LT",Config!$F$12,Config!$F$24))/IF($C358="LT",Config!$G$12,Config!$G$24)))</f>
        <v/>
      </c>
      <c r="AD358">
        <f>IF(OR(R358=0,R358=""),"",ABS((R358-IF($C358="LT",Config!$F$13,Config!$F$25))/IF($C358="LT",Config!$G$13,Config!$G$25)))</f>
        <v/>
      </c>
    </row>
    <row r="359">
      <c r="A359" t="inlineStr">
        <is>
          <t>04C1726120990</t>
        </is>
      </c>
      <c r="B359" t="inlineStr">
        <is>
          <t>CRS0000675</t>
        </is>
      </c>
      <c r="C359" t="inlineStr">
        <is>
          <t>LT</t>
        </is>
      </c>
      <c r="D359" t="inlineStr">
        <is>
          <t>ALX440U-DS3B01</t>
        </is>
      </c>
      <c r="E359" s="2" t="n">
        <v>46099</v>
      </c>
      <c r="F359" t="inlineStr">
        <is>
          <t>Fail</t>
        </is>
      </c>
      <c r="G359" t="n">
        <v>113.7</v>
      </c>
      <c r="H359" t="n">
        <v>68.5</v>
      </c>
      <c r="I359" t="n">
        <v>-1957.8</v>
      </c>
      <c r="J359" t="n">
        <v>68.59999999999999</v>
      </c>
      <c r="K359" t="n">
        <v>0</v>
      </c>
      <c r="L359" t="n">
        <v>4.8</v>
      </c>
      <c r="M359" t="n">
        <v>0</v>
      </c>
      <c r="N359" t="n">
        <v>63.8</v>
      </c>
      <c r="O359" t="n">
        <v>112.08</v>
      </c>
      <c r="P359" t="n">
        <v>113.7</v>
      </c>
      <c r="Q359" t="n">
        <v>6.79</v>
      </c>
      <c r="R359" t="n">
        <v>6.13</v>
      </c>
      <c r="S359">
        <f>IF(OR(G359=0,G359=""),"",ABS((G359-IF($C359="LT",Config!$F$2,Config!$F$14))/IF($C359="LT",Config!$G$2,Config!$G$14)))</f>
        <v/>
      </c>
      <c r="T359">
        <f>IF(OR(H359=0,H359=""),"",ABS((H359-IF($C359="LT",Config!$F$3,Config!$F$15))/IF($C359="LT",Config!$G$3,Config!$G$15)))</f>
        <v/>
      </c>
      <c r="U359">
        <f>IF(OR(I359=0,I359=""),"",ABS((I359-IF($C359="LT",Config!$F$4,Config!$F$16))/IF($C359="LT",Config!$G$4,Config!$G$16)))</f>
        <v/>
      </c>
      <c r="V359">
        <f>IF(OR(J359=0,J359=""),"",ABS((J359-IF($C359="LT",Config!$F$5,Config!$F$17))/IF($C359="LT",Config!$G$5,Config!$G$17)))</f>
        <v/>
      </c>
      <c r="W359">
        <f>IF(OR(K359=0,K359=""),"",ABS((K359-IF($C359="LT",Config!$F$6,Config!$F$18))/IF($C359="LT",Config!$G$6,Config!$G$18)))</f>
        <v/>
      </c>
      <c r="X359">
        <f>IF(OR(L359=0,L359=""),"",ABS((L359-IF($C359="LT",Config!$F$7,Config!$F$19))/IF($C359="LT",Config!$G$7,Config!$G$19)))</f>
        <v/>
      </c>
      <c r="Y359">
        <f>IF(OR(M359=0,M359=""),"",ABS((M359-IF($C359="LT",Config!$F$8,Config!$F$20))/IF($C359="LT",Config!$G$8,Config!$G$20)))</f>
        <v/>
      </c>
      <c r="Z359">
        <f>IF(OR(N359=0,N359=""),"",ABS((N359-IF($C359="LT",Config!$F$9,Config!$F$21))/IF($C359="LT",Config!$G$9,Config!$G$21)))</f>
        <v/>
      </c>
      <c r="AA359">
        <f>IF(OR(O359=0,O359=""),"",ABS((O359-IF($C359="LT",Config!$F$10,Config!$F$22))/IF($C359="LT",Config!$G$10,Config!$G$22)))</f>
        <v/>
      </c>
      <c r="AB359">
        <f>IF(OR(P359=0,P359=""),"",ABS((P359-IF($C359="LT",Config!$F$11,Config!$F$23))/IF($C359="LT",Config!$G$11,Config!$G$23)))</f>
        <v/>
      </c>
      <c r="AC359">
        <f>IF(OR(Q359=0,Q359=""),"",ABS((Q359-IF($C359="LT",Config!$F$12,Config!$F$24))/IF($C359="LT",Config!$G$12,Config!$G$24)))</f>
        <v/>
      </c>
      <c r="AD359">
        <f>IF(OR(R359=0,R359=""),"",ABS((R359-IF($C359="LT",Config!$F$13,Config!$F$25))/IF($C359="LT",Config!$G$13,Config!$G$25)))</f>
        <v/>
      </c>
    </row>
    <row r="360">
      <c r="A360" t="inlineStr">
        <is>
          <t>04C1726120990</t>
        </is>
      </c>
      <c r="B360" t="inlineStr">
        <is>
          <t>CRS0000675</t>
        </is>
      </c>
      <c r="C360" t="inlineStr">
        <is>
          <t>LT</t>
        </is>
      </c>
      <c r="D360" t="inlineStr">
        <is>
          <t>ALX440U-DS3B01</t>
        </is>
      </c>
      <c r="E360" s="2" t="n">
        <v>46099</v>
      </c>
      <c r="F360" t="inlineStr">
        <is>
          <t>Fail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>
        <f>IF(OR(G360=0,G360=""),"",ABS((G360-IF($C360="LT",Config!$F$2,Config!$F$14))/IF($C360="LT",Config!$G$2,Config!$G$14)))</f>
        <v/>
      </c>
      <c r="T360">
        <f>IF(OR(H360=0,H360=""),"",ABS((H360-IF($C360="LT",Config!$F$3,Config!$F$15))/IF($C360="LT",Config!$G$3,Config!$G$15)))</f>
        <v/>
      </c>
      <c r="U360">
        <f>IF(OR(I360=0,I360=""),"",ABS((I360-IF($C360="LT",Config!$F$4,Config!$F$16))/IF($C360="LT",Config!$G$4,Config!$G$16)))</f>
        <v/>
      </c>
      <c r="V360">
        <f>IF(OR(J360=0,J360=""),"",ABS((J360-IF($C360="LT",Config!$F$5,Config!$F$17))/IF($C360="LT",Config!$G$5,Config!$G$17)))</f>
        <v/>
      </c>
      <c r="W360">
        <f>IF(OR(K360=0,K360=""),"",ABS((K360-IF($C360="LT",Config!$F$6,Config!$F$18))/IF($C360="LT",Config!$G$6,Config!$G$18)))</f>
        <v/>
      </c>
      <c r="X360">
        <f>IF(OR(L360=0,L360=""),"",ABS((L360-IF($C360="LT",Config!$F$7,Config!$F$19))/IF($C360="LT",Config!$G$7,Config!$G$19)))</f>
        <v/>
      </c>
      <c r="Y360">
        <f>IF(OR(M360=0,M360=""),"",ABS((M360-IF($C360="LT",Config!$F$8,Config!$F$20))/IF($C360="LT",Config!$G$8,Config!$G$20)))</f>
        <v/>
      </c>
      <c r="Z360">
        <f>IF(OR(N360=0,N360=""),"",ABS((N360-IF($C360="LT",Config!$F$9,Config!$F$21))/IF($C360="LT",Config!$G$9,Config!$G$21)))</f>
        <v/>
      </c>
      <c r="AA360">
        <f>IF(OR(O360=0,O360=""),"",ABS((O360-IF($C360="LT",Config!$F$10,Config!$F$22))/IF($C360="LT",Config!$G$10,Config!$G$22)))</f>
        <v/>
      </c>
      <c r="AB360">
        <f>IF(OR(P360=0,P360=""),"",ABS((P360-IF($C360="LT",Config!$F$11,Config!$F$23))/IF($C360="LT",Config!$G$11,Config!$G$23)))</f>
        <v/>
      </c>
      <c r="AC360">
        <f>IF(OR(Q360=0,Q360=""),"",ABS((Q360-IF($C360="LT",Config!$F$12,Config!$F$24))/IF($C360="LT",Config!$G$12,Config!$G$24)))</f>
        <v/>
      </c>
      <c r="AD360">
        <f>IF(OR(R360=0,R360=""),"",ABS((R360-IF($C360="LT",Config!$F$13,Config!$F$25))/IF($C360="LT",Config!$G$13,Config!$G$25)))</f>
        <v/>
      </c>
    </row>
    <row r="361">
      <c r="A361" t="inlineStr">
        <is>
          <t>04C1726120991</t>
        </is>
      </c>
      <c r="B361" t="inlineStr">
        <is>
          <t>CRS0000675</t>
        </is>
      </c>
      <c r="C361" t="inlineStr">
        <is>
          <t>LT</t>
        </is>
      </c>
      <c r="D361" t="inlineStr">
        <is>
          <t>ALX440U-DS3B01</t>
        </is>
      </c>
      <c r="E361" s="2" t="n">
        <v>46099</v>
      </c>
      <c r="F361" t="inlineStr">
        <is>
          <t>Pass</t>
        </is>
      </c>
      <c r="G361" t="n">
        <v>148.1</v>
      </c>
      <c r="H361" t="n">
        <v>96.40000000000001</v>
      </c>
      <c r="I361" t="n">
        <v>-1957.8</v>
      </c>
      <c r="J361" t="n">
        <v>69.09999999999999</v>
      </c>
      <c r="K361" t="n">
        <v>0</v>
      </c>
      <c r="L361" t="n">
        <v>2.6</v>
      </c>
      <c r="M361" t="n">
        <v>0</v>
      </c>
      <c r="N361" t="n">
        <v>71.7</v>
      </c>
      <c r="O361" t="n">
        <v>115.24</v>
      </c>
      <c r="P361" t="n">
        <v>115.24</v>
      </c>
      <c r="Q361" t="n">
        <v>7.64</v>
      </c>
      <c r="R361" t="n">
        <v>7.52</v>
      </c>
      <c r="S361">
        <f>IF(OR(G361=0,G361=""),"",ABS((G361-IF($C361="LT",Config!$F$2,Config!$F$14))/IF($C361="LT",Config!$G$2,Config!$G$14)))</f>
        <v/>
      </c>
      <c r="T361">
        <f>IF(OR(H361=0,H361=""),"",ABS((H361-IF($C361="LT",Config!$F$3,Config!$F$15))/IF($C361="LT",Config!$G$3,Config!$G$15)))</f>
        <v/>
      </c>
      <c r="U361">
        <f>IF(OR(I361=0,I361=""),"",ABS((I361-IF($C361="LT",Config!$F$4,Config!$F$16))/IF($C361="LT",Config!$G$4,Config!$G$16)))</f>
        <v/>
      </c>
      <c r="V361">
        <f>IF(OR(J361=0,J361=""),"",ABS((J361-IF($C361="LT",Config!$F$5,Config!$F$17))/IF($C361="LT",Config!$G$5,Config!$G$17)))</f>
        <v/>
      </c>
      <c r="W361">
        <f>IF(OR(K361=0,K361=""),"",ABS((K361-IF($C361="LT",Config!$F$6,Config!$F$18))/IF($C361="LT",Config!$G$6,Config!$G$18)))</f>
        <v/>
      </c>
      <c r="X361">
        <f>IF(OR(L361=0,L361=""),"",ABS((L361-IF($C361="LT",Config!$F$7,Config!$F$19))/IF($C361="LT",Config!$G$7,Config!$G$19)))</f>
        <v/>
      </c>
      <c r="Y361">
        <f>IF(OR(M361=0,M361=""),"",ABS((M361-IF($C361="LT",Config!$F$8,Config!$F$20))/IF($C361="LT",Config!$G$8,Config!$G$20)))</f>
        <v/>
      </c>
      <c r="Z361">
        <f>IF(OR(N361=0,N361=""),"",ABS((N361-IF($C361="LT",Config!$F$9,Config!$F$21))/IF($C361="LT",Config!$G$9,Config!$G$21)))</f>
        <v/>
      </c>
      <c r="AA361">
        <f>IF(OR(O361=0,O361=""),"",ABS((O361-IF($C361="LT",Config!$F$10,Config!$F$22))/IF($C361="LT",Config!$G$10,Config!$G$22)))</f>
        <v/>
      </c>
      <c r="AB361">
        <f>IF(OR(P361=0,P361=""),"",ABS((P361-IF($C361="LT",Config!$F$11,Config!$F$23))/IF($C361="LT",Config!$G$11,Config!$G$23)))</f>
        <v/>
      </c>
      <c r="AC361">
        <f>IF(OR(Q361=0,Q361=""),"",ABS((Q361-IF($C361="LT",Config!$F$12,Config!$F$24))/IF($C361="LT",Config!$G$12,Config!$G$24)))</f>
        <v/>
      </c>
      <c r="AD361">
        <f>IF(OR(R361=0,R361=""),"",ABS((R361-IF($C361="LT",Config!$F$13,Config!$F$25))/IF($C361="LT",Config!$G$13,Config!$G$25)))</f>
        <v/>
      </c>
    </row>
    <row r="362">
      <c r="A362" t="inlineStr">
        <is>
          <t>04C1726120993</t>
        </is>
      </c>
      <c r="B362" t="inlineStr">
        <is>
          <t>CRS0000675</t>
        </is>
      </c>
      <c r="C362" t="inlineStr">
        <is>
          <t>LT</t>
        </is>
      </c>
      <c r="D362" t="inlineStr">
        <is>
          <t>ALX440U-DS3B01</t>
        </is>
      </c>
      <c r="E362" s="2" t="n">
        <v>46099</v>
      </c>
      <c r="F362" t="inlineStr">
        <is>
          <t>Pass</t>
        </is>
      </c>
      <c r="G362" t="n">
        <v>157.5</v>
      </c>
      <c r="H362" t="n">
        <v>100.1</v>
      </c>
      <c r="I362" t="n">
        <v>-1957.8</v>
      </c>
      <c r="J362" t="n">
        <v>73.5</v>
      </c>
      <c r="K362" t="n">
        <v>0</v>
      </c>
      <c r="L362" t="n">
        <v>0.2</v>
      </c>
      <c r="M362" t="n">
        <v>0</v>
      </c>
      <c r="N362" t="n">
        <v>73.3</v>
      </c>
      <c r="O362" t="n">
        <v>111.06</v>
      </c>
      <c r="P362" t="n">
        <v>117.73</v>
      </c>
      <c r="Q362" t="n">
        <v>8.76</v>
      </c>
      <c r="R362" t="n">
        <v>8.01</v>
      </c>
      <c r="S362">
        <f>IF(OR(G362=0,G362=""),"",ABS((G362-IF($C362="LT",Config!$F$2,Config!$F$14))/IF($C362="LT",Config!$G$2,Config!$G$14)))</f>
        <v/>
      </c>
      <c r="T362">
        <f>IF(OR(H362=0,H362=""),"",ABS((H362-IF($C362="LT",Config!$F$3,Config!$F$15))/IF($C362="LT",Config!$G$3,Config!$G$15)))</f>
        <v/>
      </c>
      <c r="U362">
        <f>IF(OR(I362=0,I362=""),"",ABS((I362-IF($C362="LT",Config!$F$4,Config!$F$16))/IF($C362="LT",Config!$G$4,Config!$G$16)))</f>
        <v/>
      </c>
      <c r="V362">
        <f>IF(OR(J362=0,J362=""),"",ABS((J362-IF($C362="LT",Config!$F$5,Config!$F$17))/IF($C362="LT",Config!$G$5,Config!$G$17)))</f>
        <v/>
      </c>
      <c r="W362">
        <f>IF(OR(K362=0,K362=""),"",ABS((K362-IF($C362="LT",Config!$F$6,Config!$F$18))/IF($C362="LT",Config!$G$6,Config!$G$18)))</f>
        <v/>
      </c>
      <c r="X362">
        <f>IF(OR(L362=0,L362=""),"",ABS((L362-IF($C362="LT",Config!$F$7,Config!$F$19))/IF($C362="LT",Config!$G$7,Config!$G$19)))</f>
        <v/>
      </c>
      <c r="Y362">
        <f>IF(OR(M362=0,M362=""),"",ABS((M362-IF($C362="LT",Config!$F$8,Config!$F$20))/IF($C362="LT",Config!$G$8,Config!$G$20)))</f>
        <v/>
      </c>
      <c r="Z362">
        <f>IF(OR(N362=0,N362=""),"",ABS((N362-IF($C362="LT",Config!$F$9,Config!$F$21))/IF($C362="LT",Config!$G$9,Config!$G$21)))</f>
        <v/>
      </c>
      <c r="AA362">
        <f>IF(OR(O362=0,O362=""),"",ABS((O362-IF($C362="LT",Config!$F$10,Config!$F$22))/IF($C362="LT",Config!$G$10,Config!$G$22)))</f>
        <v/>
      </c>
      <c r="AB362">
        <f>IF(OR(P362=0,P362=""),"",ABS((P362-IF($C362="LT",Config!$F$11,Config!$F$23))/IF($C362="LT",Config!$G$11,Config!$G$23)))</f>
        <v/>
      </c>
      <c r="AC362">
        <f>IF(OR(Q362=0,Q362=""),"",ABS((Q362-IF($C362="LT",Config!$F$12,Config!$F$24))/IF($C362="LT",Config!$G$12,Config!$G$24)))</f>
        <v/>
      </c>
      <c r="AD362">
        <f>IF(OR(R362=0,R362=""),"",ABS((R362-IF($C362="LT",Config!$F$13,Config!$F$25))/IF($C362="LT",Config!$G$13,Config!$G$25)))</f>
        <v/>
      </c>
    </row>
    <row r="363">
      <c r="A363" t="inlineStr">
        <is>
          <t>04C1726120994</t>
        </is>
      </c>
      <c r="B363" t="inlineStr">
        <is>
          <t>CRS0000675</t>
        </is>
      </c>
      <c r="C363" t="inlineStr">
        <is>
          <t>LT</t>
        </is>
      </c>
      <c r="D363" t="inlineStr">
        <is>
          <t>ALX440U-DS3B01</t>
        </is>
      </c>
      <c r="E363" s="2" t="n">
        <v>46099</v>
      </c>
      <c r="F363" t="inlineStr">
        <is>
          <t>Pass</t>
        </is>
      </c>
      <c r="G363" t="n">
        <v>159.3</v>
      </c>
      <c r="H363" t="n">
        <v>101.4</v>
      </c>
      <c r="I363" t="n">
        <v>-1957.8</v>
      </c>
      <c r="J363" t="n">
        <v>68.2</v>
      </c>
      <c r="K363" t="n">
        <v>0</v>
      </c>
      <c r="L363" t="n">
        <v>2.5</v>
      </c>
      <c r="M363" t="n">
        <v>0</v>
      </c>
      <c r="N363" t="n">
        <v>65.7</v>
      </c>
      <c r="O363" t="n">
        <v>111.42</v>
      </c>
      <c r="P363" t="n">
        <v>113.33</v>
      </c>
      <c r="Q363" t="n">
        <v>8.35</v>
      </c>
      <c r="R363" t="n">
        <v>8.06</v>
      </c>
      <c r="S363">
        <f>IF(OR(G363=0,G363=""),"",ABS((G363-IF($C363="LT",Config!$F$2,Config!$F$14))/IF($C363="LT",Config!$G$2,Config!$G$14)))</f>
        <v/>
      </c>
      <c r="T363">
        <f>IF(OR(H363=0,H363=""),"",ABS((H363-IF($C363="LT",Config!$F$3,Config!$F$15))/IF($C363="LT",Config!$G$3,Config!$G$15)))</f>
        <v/>
      </c>
      <c r="U363">
        <f>IF(OR(I363=0,I363=""),"",ABS((I363-IF($C363="LT",Config!$F$4,Config!$F$16))/IF($C363="LT",Config!$G$4,Config!$G$16)))</f>
        <v/>
      </c>
      <c r="V363">
        <f>IF(OR(J363=0,J363=""),"",ABS((J363-IF($C363="LT",Config!$F$5,Config!$F$17))/IF($C363="LT",Config!$G$5,Config!$G$17)))</f>
        <v/>
      </c>
      <c r="W363">
        <f>IF(OR(K363=0,K363=""),"",ABS((K363-IF($C363="LT",Config!$F$6,Config!$F$18))/IF($C363="LT",Config!$G$6,Config!$G$18)))</f>
        <v/>
      </c>
      <c r="X363">
        <f>IF(OR(L363=0,L363=""),"",ABS((L363-IF($C363="LT",Config!$F$7,Config!$F$19))/IF($C363="LT",Config!$G$7,Config!$G$19)))</f>
        <v/>
      </c>
      <c r="Y363">
        <f>IF(OR(M363=0,M363=""),"",ABS((M363-IF($C363="LT",Config!$F$8,Config!$F$20))/IF($C363="LT",Config!$G$8,Config!$G$20)))</f>
        <v/>
      </c>
      <c r="Z363">
        <f>IF(OR(N363=0,N363=""),"",ABS((N363-IF($C363="LT",Config!$F$9,Config!$F$21))/IF($C363="LT",Config!$G$9,Config!$G$21)))</f>
        <v/>
      </c>
      <c r="AA363">
        <f>IF(OR(O363=0,O363=""),"",ABS((O363-IF($C363="LT",Config!$F$10,Config!$F$22))/IF($C363="LT",Config!$G$10,Config!$G$22)))</f>
        <v/>
      </c>
      <c r="AB363">
        <f>IF(OR(P363=0,P363=""),"",ABS((P363-IF($C363="LT",Config!$F$11,Config!$F$23))/IF($C363="LT",Config!$G$11,Config!$G$23)))</f>
        <v/>
      </c>
      <c r="AC363">
        <f>IF(OR(Q363=0,Q363=""),"",ABS((Q363-IF($C363="LT",Config!$F$12,Config!$F$24))/IF($C363="LT",Config!$G$12,Config!$G$24)))</f>
        <v/>
      </c>
      <c r="AD363">
        <f>IF(OR(R363=0,R363=""),"",ABS((R363-IF($C363="LT",Config!$F$13,Config!$F$25))/IF($C363="LT",Config!$G$13,Config!$G$25)))</f>
        <v/>
      </c>
    </row>
    <row r="364">
      <c r="A364" t="inlineStr">
        <is>
          <t>04C1826120995</t>
        </is>
      </c>
      <c r="B364" t="inlineStr">
        <is>
          <t>CRS0000675</t>
        </is>
      </c>
      <c r="C364" t="inlineStr">
        <is>
          <t>LT</t>
        </is>
      </c>
      <c r="D364" t="inlineStr">
        <is>
          <t>ALX440U-DS3B01</t>
        </is>
      </c>
      <c r="E364" s="2" t="n">
        <v>46099</v>
      </c>
      <c r="F364" t="inlineStr">
        <is>
          <t>Fail</t>
        </is>
      </c>
      <c r="G364" t="n">
        <v>157.5</v>
      </c>
      <c r="H364" t="n">
        <v>99.2</v>
      </c>
      <c r="I364" t="n">
        <v>-1957.8</v>
      </c>
      <c r="J364" t="n">
        <v>74</v>
      </c>
      <c r="K364" t="n">
        <v>0</v>
      </c>
      <c r="L364" t="n">
        <v>3.9</v>
      </c>
      <c r="M364" t="n">
        <v>0</v>
      </c>
      <c r="N364" t="n">
        <v>77.90000000000001</v>
      </c>
      <c r="O364" t="n">
        <v>111.42</v>
      </c>
      <c r="P364" t="n">
        <v>113.26</v>
      </c>
      <c r="Q364" t="n">
        <v>8.640000000000001</v>
      </c>
      <c r="R364" t="n">
        <v>8.4</v>
      </c>
      <c r="S364">
        <f>IF(OR(G364=0,G364=""),"",ABS((G364-IF($C364="LT",Config!$F$2,Config!$F$14))/IF($C364="LT",Config!$G$2,Config!$G$14)))</f>
        <v/>
      </c>
      <c r="T364">
        <f>IF(OR(H364=0,H364=""),"",ABS((H364-IF($C364="LT",Config!$F$3,Config!$F$15))/IF($C364="LT",Config!$G$3,Config!$G$15)))</f>
        <v/>
      </c>
      <c r="U364">
        <f>IF(OR(I364=0,I364=""),"",ABS((I364-IF($C364="LT",Config!$F$4,Config!$F$16))/IF($C364="LT",Config!$G$4,Config!$G$16)))</f>
        <v/>
      </c>
      <c r="V364">
        <f>IF(OR(J364=0,J364=""),"",ABS((J364-IF($C364="LT",Config!$F$5,Config!$F$17))/IF($C364="LT",Config!$G$5,Config!$G$17)))</f>
        <v/>
      </c>
      <c r="W364">
        <f>IF(OR(K364=0,K364=""),"",ABS((K364-IF($C364="LT",Config!$F$6,Config!$F$18))/IF($C364="LT",Config!$G$6,Config!$G$18)))</f>
        <v/>
      </c>
      <c r="X364">
        <f>IF(OR(L364=0,L364=""),"",ABS((L364-IF($C364="LT",Config!$F$7,Config!$F$19))/IF($C364="LT",Config!$G$7,Config!$G$19)))</f>
        <v/>
      </c>
      <c r="Y364">
        <f>IF(OR(M364=0,M364=""),"",ABS((M364-IF($C364="LT",Config!$F$8,Config!$F$20))/IF($C364="LT",Config!$G$8,Config!$G$20)))</f>
        <v/>
      </c>
      <c r="Z364">
        <f>IF(OR(N364=0,N364=""),"",ABS((N364-IF($C364="LT",Config!$F$9,Config!$F$21))/IF($C364="LT",Config!$G$9,Config!$G$21)))</f>
        <v/>
      </c>
      <c r="AA364">
        <f>IF(OR(O364=0,O364=""),"",ABS((O364-IF($C364="LT",Config!$F$10,Config!$F$22))/IF($C364="LT",Config!$G$10,Config!$G$22)))</f>
        <v/>
      </c>
      <c r="AB364">
        <f>IF(OR(P364=0,P364=""),"",ABS((P364-IF($C364="LT",Config!$F$11,Config!$F$23))/IF($C364="LT",Config!$G$11,Config!$G$23)))</f>
        <v/>
      </c>
      <c r="AC364">
        <f>IF(OR(Q364=0,Q364=""),"",ABS((Q364-IF($C364="LT",Config!$F$12,Config!$F$24))/IF($C364="LT",Config!$G$12,Config!$G$24)))</f>
        <v/>
      </c>
      <c r="AD364">
        <f>IF(OR(R364=0,R364=""),"",ABS((R364-IF($C364="LT",Config!$F$13,Config!$F$25))/IF($C364="LT",Config!$G$13,Config!$G$25)))</f>
        <v/>
      </c>
    </row>
    <row r="365">
      <c r="A365" t="inlineStr">
        <is>
          <t>04C1826120995</t>
        </is>
      </c>
      <c r="B365" t="inlineStr">
        <is>
          <t>CRS0000675</t>
        </is>
      </c>
      <c r="C365" t="inlineStr">
        <is>
          <t>LT</t>
        </is>
      </c>
      <c r="D365" t="inlineStr">
        <is>
          <t>ALX440U-DS3B01</t>
        </is>
      </c>
      <c r="E365" s="2" t="n">
        <v>46099</v>
      </c>
      <c r="F365" t="inlineStr">
        <is>
          <t>Pass</t>
        </is>
      </c>
      <c r="G365" t="n">
        <v>162.9</v>
      </c>
      <c r="H365" t="n">
        <v>97.3</v>
      </c>
      <c r="I365" t="n">
        <v>-1957.8</v>
      </c>
      <c r="J365" t="n">
        <v>74</v>
      </c>
      <c r="K365" t="n">
        <v>0</v>
      </c>
      <c r="L365" t="n">
        <v>0.2</v>
      </c>
      <c r="M365" t="n">
        <v>0</v>
      </c>
      <c r="N365" t="n">
        <v>73.8</v>
      </c>
      <c r="O365" t="n">
        <v>114.8</v>
      </c>
      <c r="P365" t="n">
        <v>114.72</v>
      </c>
      <c r="Q365" t="n">
        <v>7.89</v>
      </c>
      <c r="R365" t="n">
        <v>8.18</v>
      </c>
      <c r="S365">
        <f>IF(OR(G365=0,G365=""),"",ABS((G365-IF($C365="LT",Config!$F$2,Config!$F$14))/IF($C365="LT",Config!$G$2,Config!$G$14)))</f>
        <v/>
      </c>
      <c r="T365">
        <f>IF(OR(H365=0,H365=""),"",ABS((H365-IF($C365="LT",Config!$F$3,Config!$F$15))/IF($C365="LT",Config!$G$3,Config!$G$15)))</f>
        <v/>
      </c>
      <c r="U365">
        <f>IF(OR(I365=0,I365=""),"",ABS((I365-IF($C365="LT",Config!$F$4,Config!$F$16))/IF($C365="LT",Config!$G$4,Config!$G$16)))</f>
        <v/>
      </c>
      <c r="V365">
        <f>IF(OR(J365=0,J365=""),"",ABS((J365-IF($C365="LT",Config!$F$5,Config!$F$17))/IF($C365="LT",Config!$G$5,Config!$G$17)))</f>
        <v/>
      </c>
      <c r="W365">
        <f>IF(OR(K365=0,K365=""),"",ABS((K365-IF($C365="LT",Config!$F$6,Config!$F$18))/IF($C365="LT",Config!$G$6,Config!$G$18)))</f>
        <v/>
      </c>
      <c r="X365">
        <f>IF(OR(L365=0,L365=""),"",ABS((L365-IF($C365="LT",Config!$F$7,Config!$F$19))/IF($C365="LT",Config!$G$7,Config!$G$19)))</f>
        <v/>
      </c>
      <c r="Y365">
        <f>IF(OR(M365=0,M365=""),"",ABS((M365-IF($C365="LT",Config!$F$8,Config!$F$20))/IF($C365="LT",Config!$G$8,Config!$G$20)))</f>
        <v/>
      </c>
      <c r="Z365">
        <f>IF(OR(N365=0,N365=""),"",ABS((N365-IF($C365="LT",Config!$F$9,Config!$F$21))/IF($C365="LT",Config!$G$9,Config!$G$21)))</f>
        <v/>
      </c>
      <c r="AA365">
        <f>IF(OR(O365=0,O365=""),"",ABS((O365-IF($C365="LT",Config!$F$10,Config!$F$22))/IF($C365="LT",Config!$G$10,Config!$G$22)))</f>
        <v/>
      </c>
      <c r="AB365">
        <f>IF(OR(P365=0,P365=""),"",ABS((P365-IF($C365="LT",Config!$F$11,Config!$F$23))/IF($C365="LT",Config!$G$11,Config!$G$23)))</f>
        <v/>
      </c>
      <c r="AC365">
        <f>IF(OR(Q365=0,Q365=""),"",ABS((Q365-IF($C365="LT",Config!$F$12,Config!$F$24))/IF($C365="LT",Config!$G$12,Config!$G$24)))</f>
        <v/>
      </c>
      <c r="AD365">
        <f>IF(OR(R365=0,R365=""),"",ABS((R365-IF($C365="LT",Config!$F$13,Config!$F$25))/IF($C365="LT",Config!$G$13,Config!$G$25)))</f>
        <v/>
      </c>
    </row>
    <row r="366">
      <c r="A366" t="inlineStr">
        <is>
          <t>04C1826120996</t>
        </is>
      </c>
      <c r="B366" t="inlineStr">
        <is>
          <t>CRS0000675</t>
        </is>
      </c>
      <c r="C366" t="inlineStr">
        <is>
          <t>LT</t>
        </is>
      </c>
      <c r="D366" t="inlineStr">
        <is>
          <t>ALX440U-DS3B01</t>
        </is>
      </c>
      <c r="E366" s="2" t="n">
        <v>46099</v>
      </c>
      <c r="F366" t="inlineStr">
        <is>
          <t>Pass</t>
        </is>
      </c>
      <c r="G366" t="n">
        <v>148.6</v>
      </c>
      <c r="H366" t="n">
        <v>97.8</v>
      </c>
      <c r="I366" t="n">
        <v>-1957.8</v>
      </c>
      <c r="J366" t="n">
        <v>69.09999999999999</v>
      </c>
      <c r="K366" t="n">
        <v>0</v>
      </c>
      <c r="L366" t="n">
        <v>0.9</v>
      </c>
      <c r="M366" t="n">
        <v>0</v>
      </c>
      <c r="N366" t="n">
        <v>70</v>
      </c>
      <c r="O366" t="n">
        <v>111.86</v>
      </c>
      <c r="P366" t="n">
        <v>113.04</v>
      </c>
      <c r="Q366" t="n">
        <v>8.35</v>
      </c>
      <c r="R366" t="n">
        <v>8.08</v>
      </c>
      <c r="S366">
        <f>IF(OR(G366=0,G366=""),"",ABS((G366-IF($C366="LT",Config!$F$2,Config!$F$14))/IF($C366="LT",Config!$G$2,Config!$G$14)))</f>
        <v/>
      </c>
      <c r="T366">
        <f>IF(OR(H366=0,H366=""),"",ABS((H366-IF($C366="LT",Config!$F$3,Config!$F$15))/IF($C366="LT",Config!$G$3,Config!$G$15)))</f>
        <v/>
      </c>
      <c r="U366">
        <f>IF(OR(I366=0,I366=""),"",ABS((I366-IF($C366="LT",Config!$F$4,Config!$F$16))/IF($C366="LT",Config!$G$4,Config!$G$16)))</f>
        <v/>
      </c>
      <c r="V366">
        <f>IF(OR(J366=0,J366=""),"",ABS((J366-IF($C366="LT",Config!$F$5,Config!$F$17))/IF($C366="LT",Config!$G$5,Config!$G$17)))</f>
        <v/>
      </c>
      <c r="W366">
        <f>IF(OR(K366=0,K366=""),"",ABS((K366-IF($C366="LT",Config!$F$6,Config!$F$18))/IF($C366="LT",Config!$G$6,Config!$G$18)))</f>
        <v/>
      </c>
      <c r="X366">
        <f>IF(OR(L366=0,L366=""),"",ABS((L366-IF($C366="LT",Config!$F$7,Config!$F$19))/IF($C366="LT",Config!$G$7,Config!$G$19)))</f>
        <v/>
      </c>
      <c r="Y366">
        <f>IF(OR(M366=0,M366=""),"",ABS((M366-IF($C366="LT",Config!$F$8,Config!$F$20))/IF($C366="LT",Config!$G$8,Config!$G$20)))</f>
        <v/>
      </c>
      <c r="Z366">
        <f>IF(OR(N366=0,N366=""),"",ABS((N366-IF($C366="LT",Config!$F$9,Config!$F$21))/IF($C366="LT",Config!$G$9,Config!$G$21)))</f>
        <v/>
      </c>
      <c r="AA366">
        <f>IF(OR(O366=0,O366=""),"",ABS((O366-IF($C366="LT",Config!$F$10,Config!$F$22))/IF($C366="LT",Config!$G$10,Config!$G$22)))</f>
        <v/>
      </c>
      <c r="AB366">
        <f>IF(OR(P366=0,P366=""),"",ABS((P366-IF($C366="LT",Config!$F$11,Config!$F$23))/IF($C366="LT",Config!$G$11,Config!$G$23)))</f>
        <v/>
      </c>
      <c r="AC366">
        <f>IF(OR(Q366=0,Q366=""),"",ABS((Q366-IF($C366="LT",Config!$F$12,Config!$F$24))/IF($C366="LT",Config!$G$12,Config!$G$24)))</f>
        <v/>
      </c>
      <c r="AD366">
        <f>IF(OR(R366=0,R366=""),"",ABS((R366-IF($C366="LT",Config!$F$13,Config!$F$25))/IF($C366="LT",Config!$G$13,Config!$G$25)))</f>
        <v/>
      </c>
    </row>
    <row r="367">
      <c r="A367" t="inlineStr">
        <is>
          <t>04C1726120992</t>
        </is>
      </c>
      <c r="B367" t="inlineStr">
        <is>
          <t>CRS0000675</t>
        </is>
      </c>
      <c r="C367" t="inlineStr">
        <is>
          <t>LT</t>
        </is>
      </c>
      <c r="D367" t="inlineStr">
        <is>
          <t>ALX440U-DS3B01</t>
        </is>
      </c>
      <c r="E367" s="2" t="n">
        <v>46099</v>
      </c>
      <c r="F367" t="inlineStr">
        <is>
          <t>Pass</t>
        </is>
      </c>
      <c r="G367" t="n">
        <v>146.8</v>
      </c>
      <c r="H367" t="n">
        <v>96</v>
      </c>
      <c r="I367" t="n">
        <v>-1957.8</v>
      </c>
      <c r="J367" t="n">
        <v>70</v>
      </c>
      <c r="K367" t="n">
        <v>0</v>
      </c>
      <c r="L367" t="n">
        <v>3.1</v>
      </c>
      <c r="M367" t="n">
        <v>0</v>
      </c>
      <c r="N367" t="n">
        <v>66.90000000000001</v>
      </c>
      <c r="O367" t="n">
        <v>115.24</v>
      </c>
      <c r="P367" t="n">
        <v>115.02</v>
      </c>
      <c r="Q367" t="n">
        <v>7.86</v>
      </c>
      <c r="R367" t="n">
        <v>7.69</v>
      </c>
      <c r="S367">
        <f>IF(OR(G367=0,G367=""),"",ABS((G367-IF($C367="LT",Config!$F$2,Config!$F$14))/IF($C367="LT",Config!$G$2,Config!$G$14)))</f>
        <v/>
      </c>
      <c r="T367">
        <f>IF(OR(H367=0,H367=""),"",ABS((H367-IF($C367="LT",Config!$F$3,Config!$F$15))/IF($C367="LT",Config!$G$3,Config!$G$15)))</f>
        <v/>
      </c>
      <c r="U367">
        <f>IF(OR(I367=0,I367=""),"",ABS((I367-IF($C367="LT",Config!$F$4,Config!$F$16))/IF($C367="LT",Config!$G$4,Config!$G$16)))</f>
        <v/>
      </c>
      <c r="V367">
        <f>IF(OR(J367=0,J367=""),"",ABS((J367-IF($C367="LT",Config!$F$5,Config!$F$17))/IF($C367="LT",Config!$G$5,Config!$G$17)))</f>
        <v/>
      </c>
      <c r="W367">
        <f>IF(OR(K367=0,K367=""),"",ABS((K367-IF($C367="LT",Config!$F$6,Config!$F$18))/IF($C367="LT",Config!$G$6,Config!$G$18)))</f>
        <v/>
      </c>
      <c r="X367">
        <f>IF(OR(L367=0,L367=""),"",ABS((L367-IF($C367="LT",Config!$F$7,Config!$F$19))/IF($C367="LT",Config!$G$7,Config!$G$19)))</f>
        <v/>
      </c>
      <c r="Y367">
        <f>IF(OR(M367=0,M367=""),"",ABS((M367-IF($C367="LT",Config!$F$8,Config!$F$20))/IF($C367="LT",Config!$G$8,Config!$G$20)))</f>
        <v/>
      </c>
      <c r="Z367">
        <f>IF(OR(N367=0,N367=""),"",ABS((N367-IF($C367="LT",Config!$F$9,Config!$F$21))/IF($C367="LT",Config!$G$9,Config!$G$21)))</f>
        <v/>
      </c>
      <c r="AA367">
        <f>IF(OR(O367=0,O367=""),"",ABS((O367-IF($C367="LT",Config!$F$10,Config!$F$22))/IF($C367="LT",Config!$G$10,Config!$G$22)))</f>
        <v/>
      </c>
      <c r="AB367">
        <f>IF(OR(P367=0,P367=""),"",ABS((P367-IF($C367="LT",Config!$F$11,Config!$F$23))/IF($C367="LT",Config!$G$11,Config!$G$23)))</f>
        <v/>
      </c>
      <c r="AC367">
        <f>IF(OR(Q367=0,Q367=""),"",ABS((Q367-IF($C367="LT",Config!$F$12,Config!$F$24))/IF($C367="LT",Config!$G$12,Config!$G$24)))</f>
        <v/>
      </c>
      <c r="AD367">
        <f>IF(OR(R367=0,R367=""),"",ABS((R367-IF($C367="LT",Config!$F$13,Config!$F$25))/IF($C367="LT",Config!$G$13,Config!$G$25)))</f>
        <v/>
      </c>
    </row>
    <row r="368">
      <c r="A368" t="inlineStr">
        <is>
          <t>04C1826120997</t>
        </is>
      </c>
      <c r="B368" t="inlineStr">
        <is>
          <t>CRS0000675</t>
        </is>
      </c>
      <c r="C368" t="inlineStr">
        <is>
          <t>LT</t>
        </is>
      </c>
      <c r="D368" t="inlineStr">
        <is>
          <t>ALX440U-DS3B01</t>
        </is>
      </c>
      <c r="E368" s="2" t="n">
        <v>46099</v>
      </c>
      <c r="F368" t="inlineStr">
        <is>
          <t>Pass</t>
        </is>
      </c>
      <c r="G368" t="n">
        <v>148.1</v>
      </c>
      <c r="H368" t="n">
        <v>91.90000000000001</v>
      </c>
      <c r="I368" t="n">
        <v>-1957.8</v>
      </c>
      <c r="J368" t="n">
        <v>67.7</v>
      </c>
      <c r="K368" t="n">
        <v>0</v>
      </c>
      <c r="L368" t="n">
        <v>2</v>
      </c>
      <c r="M368" t="n">
        <v>0</v>
      </c>
      <c r="N368" t="n">
        <v>65.7</v>
      </c>
      <c r="O368" t="n">
        <v>111.57</v>
      </c>
      <c r="P368" t="n">
        <v>113.11</v>
      </c>
      <c r="Q368" t="n">
        <v>8.01</v>
      </c>
      <c r="R368" t="n">
        <v>7.59</v>
      </c>
      <c r="S368">
        <f>IF(OR(G368=0,G368=""),"",ABS((G368-IF($C368="LT",Config!$F$2,Config!$F$14))/IF($C368="LT",Config!$G$2,Config!$G$14)))</f>
        <v/>
      </c>
      <c r="T368">
        <f>IF(OR(H368=0,H368=""),"",ABS((H368-IF($C368="LT",Config!$F$3,Config!$F$15))/IF($C368="LT",Config!$G$3,Config!$G$15)))</f>
        <v/>
      </c>
      <c r="U368">
        <f>IF(OR(I368=0,I368=""),"",ABS((I368-IF($C368="LT",Config!$F$4,Config!$F$16))/IF($C368="LT",Config!$G$4,Config!$G$16)))</f>
        <v/>
      </c>
      <c r="V368">
        <f>IF(OR(J368=0,J368=""),"",ABS((J368-IF($C368="LT",Config!$F$5,Config!$F$17))/IF($C368="LT",Config!$G$5,Config!$G$17)))</f>
        <v/>
      </c>
      <c r="W368">
        <f>IF(OR(K368=0,K368=""),"",ABS((K368-IF($C368="LT",Config!$F$6,Config!$F$18))/IF($C368="LT",Config!$G$6,Config!$G$18)))</f>
        <v/>
      </c>
      <c r="X368">
        <f>IF(OR(L368=0,L368=""),"",ABS((L368-IF($C368="LT",Config!$F$7,Config!$F$19))/IF($C368="LT",Config!$G$7,Config!$G$19)))</f>
        <v/>
      </c>
      <c r="Y368">
        <f>IF(OR(M368=0,M368=""),"",ABS((M368-IF($C368="LT",Config!$F$8,Config!$F$20))/IF($C368="LT",Config!$G$8,Config!$G$20)))</f>
        <v/>
      </c>
      <c r="Z368">
        <f>IF(OR(N368=0,N368=""),"",ABS((N368-IF($C368="LT",Config!$F$9,Config!$F$21))/IF($C368="LT",Config!$G$9,Config!$G$21)))</f>
        <v/>
      </c>
      <c r="AA368">
        <f>IF(OR(O368=0,O368=""),"",ABS((O368-IF($C368="LT",Config!$F$10,Config!$F$22))/IF($C368="LT",Config!$G$10,Config!$G$22)))</f>
        <v/>
      </c>
      <c r="AB368">
        <f>IF(OR(P368=0,P368=""),"",ABS((P368-IF($C368="LT",Config!$F$11,Config!$F$23))/IF($C368="LT",Config!$G$11,Config!$G$23)))</f>
        <v/>
      </c>
      <c r="AC368">
        <f>IF(OR(Q368=0,Q368=""),"",ABS((Q368-IF($C368="LT",Config!$F$12,Config!$F$24))/IF($C368="LT",Config!$G$12,Config!$G$24)))</f>
        <v/>
      </c>
      <c r="AD368">
        <f>IF(OR(R368=0,R368=""),"",ABS((R368-IF($C368="LT",Config!$F$13,Config!$F$25))/IF($C368="LT",Config!$G$13,Config!$G$25)))</f>
        <v/>
      </c>
    </row>
    <row r="369">
      <c r="A369" t="inlineStr">
        <is>
          <t>04C1826120998</t>
        </is>
      </c>
      <c r="B369" t="inlineStr">
        <is>
          <t>CRS0000675</t>
        </is>
      </c>
      <c r="C369" t="inlineStr">
        <is>
          <t>LT</t>
        </is>
      </c>
      <c r="D369" t="inlineStr">
        <is>
          <t>ALX440U-DS3B01</t>
        </is>
      </c>
      <c r="E369" s="2" t="n">
        <v>46099</v>
      </c>
      <c r="F369" t="inlineStr">
        <is>
          <t>Fail</t>
        </is>
      </c>
      <c r="G369" t="n">
        <v>140.1</v>
      </c>
      <c r="H369" t="n">
        <v>90.59999999999999</v>
      </c>
      <c r="I369" t="n">
        <v>-1957.8</v>
      </c>
      <c r="J369" t="n">
        <v>66.8</v>
      </c>
      <c r="K369" t="n">
        <v>0</v>
      </c>
      <c r="L369" t="n">
        <v>2.2</v>
      </c>
      <c r="M369" t="n">
        <v>0</v>
      </c>
      <c r="N369" t="n">
        <v>64.59999999999999</v>
      </c>
      <c r="O369" t="n">
        <v>114.8</v>
      </c>
      <c r="P369" t="n">
        <v>114.87</v>
      </c>
      <c r="Q369" t="n">
        <v>8.08</v>
      </c>
      <c r="R369" t="n">
        <v>7.79</v>
      </c>
      <c r="S369">
        <f>IF(OR(G369=0,G369=""),"",ABS((G369-IF($C369="LT",Config!$F$2,Config!$F$14))/IF($C369="LT",Config!$G$2,Config!$G$14)))</f>
        <v/>
      </c>
      <c r="T369">
        <f>IF(OR(H369=0,H369=""),"",ABS((H369-IF($C369="LT",Config!$F$3,Config!$F$15))/IF($C369="LT",Config!$G$3,Config!$G$15)))</f>
        <v/>
      </c>
      <c r="U369">
        <f>IF(OR(I369=0,I369=""),"",ABS((I369-IF($C369="LT",Config!$F$4,Config!$F$16))/IF($C369="LT",Config!$G$4,Config!$G$16)))</f>
        <v/>
      </c>
      <c r="V369">
        <f>IF(OR(J369=0,J369=""),"",ABS((J369-IF($C369="LT",Config!$F$5,Config!$F$17))/IF($C369="LT",Config!$G$5,Config!$G$17)))</f>
        <v/>
      </c>
      <c r="W369">
        <f>IF(OR(K369=0,K369=""),"",ABS((K369-IF($C369="LT",Config!$F$6,Config!$F$18))/IF($C369="LT",Config!$G$6,Config!$G$18)))</f>
        <v/>
      </c>
      <c r="X369">
        <f>IF(OR(L369=0,L369=""),"",ABS((L369-IF($C369="LT",Config!$F$7,Config!$F$19))/IF($C369="LT",Config!$G$7,Config!$G$19)))</f>
        <v/>
      </c>
      <c r="Y369">
        <f>IF(OR(M369=0,M369=""),"",ABS((M369-IF($C369="LT",Config!$F$8,Config!$F$20))/IF($C369="LT",Config!$G$8,Config!$G$20)))</f>
        <v/>
      </c>
      <c r="Z369">
        <f>IF(OR(N369=0,N369=""),"",ABS((N369-IF($C369="LT",Config!$F$9,Config!$F$21))/IF($C369="LT",Config!$G$9,Config!$G$21)))</f>
        <v/>
      </c>
      <c r="AA369">
        <f>IF(OR(O369=0,O369=""),"",ABS((O369-IF($C369="LT",Config!$F$10,Config!$F$22))/IF($C369="LT",Config!$G$10,Config!$G$22)))</f>
        <v/>
      </c>
      <c r="AB369">
        <f>IF(OR(P369=0,P369=""),"",ABS((P369-IF($C369="LT",Config!$F$11,Config!$F$23))/IF($C369="LT",Config!$G$11,Config!$G$23)))</f>
        <v/>
      </c>
      <c r="AC369">
        <f>IF(OR(Q369=0,Q369=""),"",ABS((Q369-IF($C369="LT",Config!$F$12,Config!$F$24))/IF($C369="LT",Config!$G$12,Config!$G$24)))</f>
        <v/>
      </c>
      <c r="AD369">
        <f>IF(OR(R369=0,R369=""),"",ABS((R369-IF($C369="LT",Config!$F$13,Config!$F$25))/IF($C369="LT",Config!$G$13,Config!$G$25)))</f>
        <v/>
      </c>
    </row>
    <row r="370">
      <c r="A370" t="inlineStr">
        <is>
          <t>04C1826120998</t>
        </is>
      </c>
      <c r="B370" t="inlineStr">
        <is>
          <t>CRS0000675</t>
        </is>
      </c>
      <c r="C370" t="inlineStr">
        <is>
          <t>LT</t>
        </is>
      </c>
      <c r="D370" t="inlineStr">
        <is>
          <t>ALX440U-DS3B01</t>
        </is>
      </c>
      <c r="E370" s="2" t="n">
        <v>46099</v>
      </c>
      <c r="F370" t="inlineStr">
        <is>
          <t>Pass</t>
        </is>
      </c>
      <c r="G370" t="n">
        <v>150.4</v>
      </c>
      <c r="H370" t="n">
        <v>96</v>
      </c>
      <c r="I370" t="n">
        <v>-1957.8</v>
      </c>
      <c r="J370" t="n">
        <v>67.3</v>
      </c>
      <c r="K370" t="n">
        <v>0</v>
      </c>
      <c r="L370" t="n">
        <v>0.7</v>
      </c>
      <c r="M370" t="n">
        <v>0</v>
      </c>
      <c r="N370" t="n">
        <v>66.59999999999999</v>
      </c>
      <c r="O370" t="n">
        <v>115.02</v>
      </c>
      <c r="P370" t="n">
        <v>115.02</v>
      </c>
      <c r="Q370" t="n">
        <v>7.93</v>
      </c>
      <c r="R370" t="n">
        <v>8.029999999999999</v>
      </c>
      <c r="S370">
        <f>IF(OR(G370=0,G370=""),"",ABS((G370-IF($C370="LT",Config!$F$2,Config!$F$14))/IF($C370="LT",Config!$G$2,Config!$G$14)))</f>
        <v/>
      </c>
      <c r="T370">
        <f>IF(OR(H370=0,H370=""),"",ABS((H370-IF($C370="LT",Config!$F$3,Config!$F$15))/IF($C370="LT",Config!$G$3,Config!$G$15)))</f>
        <v/>
      </c>
      <c r="U370">
        <f>IF(OR(I370=0,I370=""),"",ABS((I370-IF($C370="LT",Config!$F$4,Config!$F$16))/IF($C370="LT",Config!$G$4,Config!$G$16)))</f>
        <v/>
      </c>
      <c r="V370">
        <f>IF(OR(J370=0,J370=""),"",ABS((J370-IF($C370="LT",Config!$F$5,Config!$F$17))/IF($C370="LT",Config!$G$5,Config!$G$17)))</f>
        <v/>
      </c>
      <c r="W370">
        <f>IF(OR(K370=0,K370=""),"",ABS((K370-IF($C370="LT",Config!$F$6,Config!$F$18))/IF($C370="LT",Config!$G$6,Config!$G$18)))</f>
        <v/>
      </c>
      <c r="X370">
        <f>IF(OR(L370=0,L370=""),"",ABS((L370-IF($C370="LT",Config!$F$7,Config!$F$19))/IF($C370="LT",Config!$G$7,Config!$G$19)))</f>
        <v/>
      </c>
      <c r="Y370">
        <f>IF(OR(M370=0,M370=""),"",ABS((M370-IF($C370="LT",Config!$F$8,Config!$F$20))/IF($C370="LT",Config!$G$8,Config!$G$20)))</f>
        <v/>
      </c>
      <c r="Z370">
        <f>IF(OR(N370=0,N370=""),"",ABS((N370-IF($C370="LT",Config!$F$9,Config!$F$21))/IF($C370="LT",Config!$G$9,Config!$G$21)))</f>
        <v/>
      </c>
      <c r="AA370">
        <f>IF(OR(O370=0,O370=""),"",ABS((O370-IF($C370="LT",Config!$F$10,Config!$F$22))/IF($C370="LT",Config!$G$10,Config!$G$22)))</f>
        <v/>
      </c>
      <c r="AB370">
        <f>IF(OR(P370=0,P370=""),"",ABS((P370-IF($C370="LT",Config!$F$11,Config!$F$23))/IF($C370="LT",Config!$G$11,Config!$G$23)))</f>
        <v/>
      </c>
      <c r="AC370">
        <f>IF(OR(Q370=0,Q370=""),"",ABS((Q370-IF($C370="LT",Config!$F$12,Config!$F$24))/IF($C370="LT",Config!$G$12,Config!$G$24)))</f>
        <v/>
      </c>
      <c r="AD370">
        <f>IF(OR(R370=0,R370=""),"",ABS((R370-IF($C370="LT",Config!$F$13,Config!$F$25))/IF($C370="LT",Config!$G$13,Config!$G$25)))</f>
        <v/>
      </c>
    </row>
    <row r="371">
      <c r="A371" t="inlineStr">
        <is>
          <t>04C1826120999</t>
        </is>
      </c>
      <c r="B371" t="inlineStr">
        <is>
          <t>CRS0000675</t>
        </is>
      </c>
      <c r="C371" t="inlineStr">
        <is>
          <t>LT</t>
        </is>
      </c>
      <c r="D371" t="inlineStr">
        <is>
          <t>ALX440U-DS3B01</t>
        </is>
      </c>
      <c r="E371" s="2" t="n">
        <v>46099</v>
      </c>
      <c r="F371" t="inlineStr">
        <is>
          <t>Pass</t>
        </is>
      </c>
      <c r="G371" t="n">
        <v>153.5</v>
      </c>
      <c r="H371" t="n">
        <v>97.3</v>
      </c>
      <c r="I371" t="n">
        <v>-1957.8</v>
      </c>
      <c r="J371" t="n">
        <v>72.59999999999999</v>
      </c>
      <c r="K371" t="n">
        <v>0</v>
      </c>
      <c r="L371" t="n">
        <v>0.6</v>
      </c>
      <c r="M371" t="n">
        <v>0</v>
      </c>
      <c r="N371" t="n">
        <v>73.2</v>
      </c>
      <c r="O371" t="n">
        <v>115.09</v>
      </c>
      <c r="P371" t="n">
        <v>115.09</v>
      </c>
      <c r="Q371" t="n">
        <v>7.71</v>
      </c>
      <c r="R371" t="n">
        <v>7.84</v>
      </c>
      <c r="S371">
        <f>IF(OR(G371=0,G371=""),"",ABS((G371-IF($C371="LT",Config!$F$2,Config!$F$14))/IF($C371="LT",Config!$G$2,Config!$G$14)))</f>
        <v/>
      </c>
      <c r="T371">
        <f>IF(OR(H371=0,H371=""),"",ABS((H371-IF($C371="LT",Config!$F$3,Config!$F$15))/IF($C371="LT",Config!$G$3,Config!$G$15)))</f>
        <v/>
      </c>
      <c r="U371">
        <f>IF(OR(I371=0,I371=""),"",ABS((I371-IF($C371="LT",Config!$F$4,Config!$F$16))/IF($C371="LT",Config!$G$4,Config!$G$16)))</f>
        <v/>
      </c>
      <c r="V371">
        <f>IF(OR(J371=0,J371=""),"",ABS((J371-IF($C371="LT",Config!$F$5,Config!$F$17))/IF($C371="LT",Config!$G$5,Config!$G$17)))</f>
        <v/>
      </c>
      <c r="W371">
        <f>IF(OR(K371=0,K371=""),"",ABS((K371-IF($C371="LT",Config!$F$6,Config!$F$18))/IF($C371="LT",Config!$G$6,Config!$G$18)))</f>
        <v/>
      </c>
      <c r="X371">
        <f>IF(OR(L371=0,L371=""),"",ABS((L371-IF($C371="LT",Config!$F$7,Config!$F$19))/IF($C371="LT",Config!$G$7,Config!$G$19)))</f>
        <v/>
      </c>
      <c r="Y371">
        <f>IF(OR(M371=0,M371=""),"",ABS((M371-IF($C371="LT",Config!$F$8,Config!$F$20))/IF($C371="LT",Config!$G$8,Config!$G$20)))</f>
        <v/>
      </c>
      <c r="Z371">
        <f>IF(OR(N371=0,N371=""),"",ABS((N371-IF($C371="LT",Config!$F$9,Config!$F$21))/IF($C371="LT",Config!$G$9,Config!$G$21)))</f>
        <v/>
      </c>
      <c r="AA371">
        <f>IF(OR(O371=0,O371=""),"",ABS((O371-IF($C371="LT",Config!$F$10,Config!$F$22))/IF($C371="LT",Config!$G$10,Config!$G$22)))</f>
        <v/>
      </c>
      <c r="AB371">
        <f>IF(OR(P371=0,P371=""),"",ABS((P371-IF($C371="LT",Config!$F$11,Config!$F$23))/IF($C371="LT",Config!$G$11,Config!$G$23)))</f>
        <v/>
      </c>
      <c r="AC371">
        <f>IF(OR(Q371=0,Q371=""),"",ABS((Q371-IF($C371="LT",Config!$F$12,Config!$F$24))/IF($C371="LT",Config!$G$12,Config!$G$24)))</f>
        <v/>
      </c>
      <c r="AD371">
        <f>IF(OR(R371=0,R371=""),"",ABS((R371-IF($C371="LT",Config!$F$13,Config!$F$25))/IF($C371="LT",Config!$G$13,Config!$G$25)))</f>
        <v/>
      </c>
    </row>
    <row r="372">
      <c r="A372" t="inlineStr">
        <is>
          <t>04C1826121000</t>
        </is>
      </c>
      <c r="B372" t="inlineStr">
        <is>
          <t>CRS0000675</t>
        </is>
      </c>
      <c r="C372" t="inlineStr">
        <is>
          <t>LT</t>
        </is>
      </c>
      <c r="D372" t="inlineStr">
        <is>
          <t>ALX440U-DS3B01</t>
        </is>
      </c>
      <c r="E372" s="2" t="n">
        <v>46099</v>
      </c>
      <c r="F372" t="inlineStr">
        <is>
          <t>Pass</t>
        </is>
      </c>
      <c r="G372" t="n">
        <v>149.5</v>
      </c>
      <c r="H372" t="n">
        <v>92.40000000000001</v>
      </c>
      <c r="I372" t="n">
        <v>-1957.8</v>
      </c>
      <c r="J372" t="n">
        <v>70.8</v>
      </c>
      <c r="K372" t="n">
        <v>0</v>
      </c>
      <c r="L372" t="n">
        <v>4.8</v>
      </c>
      <c r="M372" t="n">
        <v>0</v>
      </c>
      <c r="N372" t="n">
        <v>66</v>
      </c>
      <c r="O372" t="n">
        <v>114.94</v>
      </c>
      <c r="P372" t="n">
        <v>114.94</v>
      </c>
      <c r="Q372" t="n">
        <v>8.18</v>
      </c>
      <c r="R372" t="n">
        <v>7.93</v>
      </c>
      <c r="S372">
        <f>IF(OR(G372=0,G372=""),"",ABS((G372-IF($C372="LT",Config!$F$2,Config!$F$14))/IF($C372="LT",Config!$G$2,Config!$G$14)))</f>
        <v/>
      </c>
      <c r="T372">
        <f>IF(OR(H372=0,H372=""),"",ABS((H372-IF($C372="LT",Config!$F$3,Config!$F$15))/IF($C372="LT",Config!$G$3,Config!$G$15)))</f>
        <v/>
      </c>
      <c r="U372">
        <f>IF(OR(I372=0,I372=""),"",ABS((I372-IF($C372="LT",Config!$F$4,Config!$F$16))/IF($C372="LT",Config!$G$4,Config!$G$16)))</f>
        <v/>
      </c>
      <c r="V372">
        <f>IF(OR(J372=0,J372=""),"",ABS((J372-IF($C372="LT",Config!$F$5,Config!$F$17))/IF($C372="LT",Config!$G$5,Config!$G$17)))</f>
        <v/>
      </c>
      <c r="W372">
        <f>IF(OR(K372=0,K372=""),"",ABS((K372-IF($C372="LT",Config!$F$6,Config!$F$18))/IF($C372="LT",Config!$G$6,Config!$G$18)))</f>
        <v/>
      </c>
      <c r="X372">
        <f>IF(OR(L372=0,L372=""),"",ABS((L372-IF($C372="LT",Config!$F$7,Config!$F$19))/IF($C372="LT",Config!$G$7,Config!$G$19)))</f>
        <v/>
      </c>
      <c r="Y372">
        <f>IF(OR(M372=0,M372=""),"",ABS((M372-IF($C372="LT",Config!$F$8,Config!$F$20))/IF($C372="LT",Config!$G$8,Config!$G$20)))</f>
        <v/>
      </c>
      <c r="Z372">
        <f>IF(OR(N372=0,N372=""),"",ABS((N372-IF($C372="LT",Config!$F$9,Config!$F$21))/IF($C372="LT",Config!$G$9,Config!$G$21)))</f>
        <v/>
      </c>
      <c r="AA372">
        <f>IF(OR(O372=0,O372=""),"",ABS((O372-IF($C372="LT",Config!$F$10,Config!$F$22))/IF($C372="LT",Config!$G$10,Config!$G$22)))</f>
        <v/>
      </c>
      <c r="AB372">
        <f>IF(OR(P372=0,P372=""),"",ABS((P372-IF($C372="LT",Config!$F$11,Config!$F$23))/IF($C372="LT",Config!$G$11,Config!$G$23)))</f>
        <v/>
      </c>
      <c r="AC372">
        <f>IF(OR(Q372=0,Q372=""),"",ABS((Q372-IF($C372="LT",Config!$F$12,Config!$F$24))/IF($C372="LT",Config!$G$12,Config!$G$24)))</f>
        <v/>
      </c>
      <c r="AD372">
        <f>IF(OR(R372=0,R372=""),"",ABS((R372-IF($C372="LT",Config!$F$13,Config!$F$25))/IF($C372="LT",Config!$G$13,Config!$G$25)))</f>
        <v/>
      </c>
    </row>
    <row r="373">
      <c r="A373" t="inlineStr">
        <is>
          <t>04C1826121001</t>
        </is>
      </c>
      <c r="B373" t="inlineStr">
        <is>
          <t>CRS0000675</t>
        </is>
      </c>
      <c r="C373" t="inlineStr">
        <is>
          <t>LT</t>
        </is>
      </c>
      <c r="D373" t="inlineStr">
        <is>
          <t>ALX440U-DS3B01</t>
        </is>
      </c>
      <c r="E373" s="2" t="n">
        <v>46099</v>
      </c>
      <c r="F373" t="inlineStr">
        <is>
          <t>Fail</t>
        </is>
      </c>
      <c r="G373" t="n">
        <v>144.1</v>
      </c>
      <c r="H373" t="n">
        <v>94.2</v>
      </c>
      <c r="I373" t="n">
        <v>-1957.8</v>
      </c>
      <c r="J373" t="n">
        <v>68.2</v>
      </c>
      <c r="K373" t="n">
        <v>0</v>
      </c>
      <c r="L373" t="n">
        <v>1.5</v>
      </c>
      <c r="M373" t="n">
        <v>0</v>
      </c>
      <c r="N373" t="n">
        <v>66.7</v>
      </c>
      <c r="O373" t="n">
        <v>115.38</v>
      </c>
      <c r="P373" t="n">
        <v>115.38</v>
      </c>
      <c r="Q373" t="n">
        <v>8.06</v>
      </c>
      <c r="R373" t="n">
        <v>7.81</v>
      </c>
      <c r="S373">
        <f>IF(OR(G373=0,G373=""),"",ABS((G373-IF($C373="LT",Config!$F$2,Config!$F$14))/IF($C373="LT",Config!$G$2,Config!$G$14)))</f>
        <v/>
      </c>
      <c r="T373">
        <f>IF(OR(H373=0,H373=""),"",ABS((H373-IF($C373="LT",Config!$F$3,Config!$F$15))/IF($C373="LT",Config!$G$3,Config!$G$15)))</f>
        <v/>
      </c>
      <c r="U373">
        <f>IF(OR(I373=0,I373=""),"",ABS((I373-IF($C373="LT",Config!$F$4,Config!$F$16))/IF($C373="LT",Config!$G$4,Config!$G$16)))</f>
        <v/>
      </c>
      <c r="V373">
        <f>IF(OR(J373=0,J373=""),"",ABS((J373-IF($C373="LT",Config!$F$5,Config!$F$17))/IF($C373="LT",Config!$G$5,Config!$G$17)))</f>
        <v/>
      </c>
      <c r="W373">
        <f>IF(OR(K373=0,K373=""),"",ABS((K373-IF($C373="LT",Config!$F$6,Config!$F$18))/IF($C373="LT",Config!$G$6,Config!$G$18)))</f>
        <v/>
      </c>
      <c r="X373">
        <f>IF(OR(L373=0,L373=""),"",ABS((L373-IF($C373="LT",Config!$F$7,Config!$F$19))/IF($C373="LT",Config!$G$7,Config!$G$19)))</f>
        <v/>
      </c>
      <c r="Y373">
        <f>IF(OR(M373=0,M373=""),"",ABS((M373-IF($C373="LT",Config!$F$8,Config!$F$20))/IF($C373="LT",Config!$G$8,Config!$G$20)))</f>
        <v/>
      </c>
      <c r="Z373">
        <f>IF(OR(N373=0,N373=""),"",ABS((N373-IF($C373="LT",Config!$F$9,Config!$F$21))/IF($C373="LT",Config!$G$9,Config!$G$21)))</f>
        <v/>
      </c>
      <c r="AA373">
        <f>IF(OR(O373=0,O373=""),"",ABS((O373-IF($C373="LT",Config!$F$10,Config!$F$22))/IF($C373="LT",Config!$G$10,Config!$G$22)))</f>
        <v/>
      </c>
      <c r="AB373">
        <f>IF(OR(P373=0,P373=""),"",ABS((P373-IF($C373="LT",Config!$F$11,Config!$F$23))/IF($C373="LT",Config!$G$11,Config!$G$23)))</f>
        <v/>
      </c>
      <c r="AC373">
        <f>IF(OR(Q373=0,Q373=""),"",ABS((Q373-IF($C373="LT",Config!$F$12,Config!$F$24))/IF($C373="LT",Config!$G$12,Config!$G$24)))</f>
        <v/>
      </c>
      <c r="AD373">
        <f>IF(OR(R373=0,R373=""),"",ABS((R373-IF($C373="LT",Config!$F$13,Config!$F$25))/IF($C373="LT",Config!$G$13,Config!$G$25)))</f>
        <v/>
      </c>
    </row>
    <row r="374">
      <c r="A374" t="inlineStr">
        <is>
          <t>04C1826121001</t>
        </is>
      </c>
      <c r="B374" t="inlineStr">
        <is>
          <t>CRS0000675</t>
        </is>
      </c>
      <c r="C374" t="inlineStr">
        <is>
          <t>LT</t>
        </is>
      </c>
      <c r="D374" t="inlineStr">
        <is>
          <t>ALX440U-DS3B01</t>
        </is>
      </c>
      <c r="E374" s="2" t="n">
        <v>46099</v>
      </c>
      <c r="F374" t="inlineStr">
        <is>
          <t>Pass</t>
        </is>
      </c>
      <c r="G374" t="n">
        <v>155.3</v>
      </c>
      <c r="H374" t="n">
        <v>100.1</v>
      </c>
      <c r="I374" t="n">
        <v>-1957.8</v>
      </c>
      <c r="J374" t="n">
        <v>68.59999999999999</v>
      </c>
      <c r="K374" t="n">
        <v>0</v>
      </c>
      <c r="L374" t="n">
        <v>0.4</v>
      </c>
      <c r="M374" t="n">
        <v>0</v>
      </c>
      <c r="N374" t="n">
        <v>68.2</v>
      </c>
      <c r="O374" t="n">
        <v>114.94</v>
      </c>
      <c r="P374" t="n">
        <v>114.8</v>
      </c>
      <c r="Q374" t="n">
        <v>7.89</v>
      </c>
      <c r="R374" t="n">
        <v>8.18</v>
      </c>
      <c r="S374">
        <f>IF(OR(G374=0,G374=""),"",ABS((G374-IF($C374="LT",Config!$F$2,Config!$F$14))/IF($C374="LT",Config!$G$2,Config!$G$14)))</f>
        <v/>
      </c>
      <c r="T374">
        <f>IF(OR(H374=0,H374=""),"",ABS((H374-IF($C374="LT",Config!$F$3,Config!$F$15))/IF($C374="LT",Config!$G$3,Config!$G$15)))</f>
        <v/>
      </c>
      <c r="U374">
        <f>IF(OR(I374=0,I374=""),"",ABS((I374-IF($C374="LT",Config!$F$4,Config!$F$16))/IF($C374="LT",Config!$G$4,Config!$G$16)))</f>
        <v/>
      </c>
      <c r="V374">
        <f>IF(OR(J374=0,J374=""),"",ABS((J374-IF($C374="LT",Config!$F$5,Config!$F$17))/IF($C374="LT",Config!$G$5,Config!$G$17)))</f>
        <v/>
      </c>
      <c r="W374">
        <f>IF(OR(K374=0,K374=""),"",ABS((K374-IF($C374="LT",Config!$F$6,Config!$F$18))/IF($C374="LT",Config!$G$6,Config!$G$18)))</f>
        <v/>
      </c>
      <c r="X374">
        <f>IF(OR(L374=0,L374=""),"",ABS((L374-IF($C374="LT",Config!$F$7,Config!$F$19))/IF($C374="LT",Config!$G$7,Config!$G$19)))</f>
        <v/>
      </c>
      <c r="Y374">
        <f>IF(OR(M374=0,M374=""),"",ABS((M374-IF($C374="LT",Config!$F$8,Config!$F$20))/IF($C374="LT",Config!$G$8,Config!$G$20)))</f>
        <v/>
      </c>
      <c r="Z374">
        <f>IF(OR(N374=0,N374=""),"",ABS((N374-IF($C374="LT",Config!$F$9,Config!$F$21))/IF($C374="LT",Config!$G$9,Config!$G$21)))</f>
        <v/>
      </c>
      <c r="AA374">
        <f>IF(OR(O374=0,O374=""),"",ABS((O374-IF($C374="LT",Config!$F$10,Config!$F$22))/IF($C374="LT",Config!$G$10,Config!$G$22)))</f>
        <v/>
      </c>
      <c r="AB374">
        <f>IF(OR(P374=0,P374=""),"",ABS((P374-IF($C374="LT",Config!$F$11,Config!$F$23))/IF($C374="LT",Config!$G$11,Config!$G$23)))</f>
        <v/>
      </c>
      <c r="AC374">
        <f>IF(OR(Q374=0,Q374=""),"",ABS((Q374-IF($C374="LT",Config!$F$12,Config!$F$24))/IF($C374="LT",Config!$G$12,Config!$G$24)))</f>
        <v/>
      </c>
      <c r="AD374">
        <f>IF(OR(R374=0,R374=""),"",ABS((R374-IF($C374="LT",Config!$F$13,Config!$F$25))/IF($C374="LT",Config!$G$13,Config!$G$25)))</f>
        <v/>
      </c>
    </row>
    <row r="375">
      <c r="A375" t="inlineStr">
        <is>
          <t>04C1826121002</t>
        </is>
      </c>
      <c r="B375" t="inlineStr">
        <is>
          <t>CRS0000675</t>
        </is>
      </c>
      <c r="C375" t="inlineStr">
        <is>
          <t>LT</t>
        </is>
      </c>
      <c r="D375" t="inlineStr">
        <is>
          <t>ALX440U-DS3B01</t>
        </is>
      </c>
      <c r="E375" s="2" t="n">
        <v>46100</v>
      </c>
      <c r="F375" t="inlineStr">
        <is>
          <t>Pass</t>
        </is>
      </c>
      <c r="G375" t="n">
        <v>152.6</v>
      </c>
      <c r="H375" t="n">
        <v>95.5</v>
      </c>
      <c r="I375" t="n">
        <v>-1957.8</v>
      </c>
      <c r="J375" t="n">
        <v>71.7</v>
      </c>
      <c r="K375" t="n">
        <v>0</v>
      </c>
      <c r="L375" t="n">
        <v>6</v>
      </c>
      <c r="M375" t="n">
        <v>0</v>
      </c>
      <c r="N375" t="n">
        <v>65.7</v>
      </c>
      <c r="O375" t="n">
        <v>111.79</v>
      </c>
      <c r="P375" t="n">
        <v>113.11</v>
      </c>
      <c r="Q375" t="n">
        <v>7.54</v>
      </c>
      <c r="R375" t="n">
        <v>7.79</v>
      </c>
      <c r="S375">
        <f>IF(OR(G375=0,G375=""),"",ABS((G375-IF($C375="LT",Config!$F$2,Config!$F$14))/IF($C375="LT",Config!$G$2,Config!$G$14)))</f>
        <v/>
      </c>
      <c r="T375">
        <f>IF(OR(H375=0,H375=""),"",ABS((H375-IF($C375="LT",Config!$F$3,Config!$F$15))/IF($C375="LT",Config!$G$3,Config!$G$15)))</f>
        <v/>
      </c>
      <c r="U375">
        <f>IF(OR(I375=0,I375=""),"",ABS((I375-IF($C375="LT",Config!$F$4,Config!$F$16))/IF($C375="LT",Config!$G$4,Config!$G$16)))</f>
        <v/>
      </c>
      <c r="V375">
        <f>IF(OR(J375=0,J375=""),"",ABS((J375-IF($C375="LT",Config!$F$5,Config!$F$17))/IF($C375="LT",Config!$G$5,Config!$G$17)))</f>
        <v/>
      </c>
      <c r="W375">
        <f>IF(OR(K375=0,K375=""),"",ABS((K375-IF($C375="LT",Config!$F$6,Config!$F$18))/IF($C375="LT",Config!$G$6,Config!$G$18)))</f>
        <v/>
      </c>
      <c r="X375">
        <f>IF(OR(L375=0,L375=""),"",ABS((L375-IF($C375="LT",Config!$F$7,Config!$F$19))/IF($C375="LT",Config!$G$7,Config!$G$19)))</f>
        <v/>
      </c>
      <c r="Y375">
        <f>IF(OR(M375=0,M375=""),"",ABS((M375-IF($C375="LT",Config!$F$8,Config!$F$20))/IF($C375="LT",Config!$G$8,Config!$G$20)))</f>
        <v/>
      </c>
      <c r="Z375">
        <f>IF(OR(N375=0,N375=""),"",ABS((N375-IF($C375="LT",Config!$F$9,Config!$F$21))/IF($C375="LT",Config!$G$9,Config!$G$21)))</f>
        <v/>
      </c>
      <c r="AA375">
        <f>IF(OR(O375=0,O375=""),"",ABS((O375-IF($C375="LT",Config!$F$10,Config!$F$22))/IF($C375="LT",Config!$G$10,Config!$G$22)))</f>
        <v/>
      </c>
      <c r="AB375">
        <f>IF(OR(P375=0,P375=""),"",ABS((P375-IF($C375="LT",Config!$F$11,Config!$F$23))/IF($C375="LT",Config!$G$11,Config!$G$23)))</f>
        <v/>
      </c>
      <c r="AC375">
        <f>IF(OR(Q375=0,Q375=""),"",ABS((Q375-IF($C375="LT",Config!$F$12,Config!$F$24))/IF($C375="LT",Config!$G$12,Config!$G$24)))</f>
        <v/>
      </c>
      <c r="AD375">
        <f>IF(OR(R375=0,R375=""),"",ABS((R375-IF($C375="LT",Config!$F$13,Config!$F$25))/IF($C375="LT",Config!$G$13,Config!$G$25)))</f>
        <v/>
      </c>
    </row>
    <row r="376">
      <c r="A376" t="inlineStr">
        <is>
          <t>04C1826121003</t>
        </is>
      </c>
      <c r="B376" t="inlineStr">
        <is>
          <t>CRS0000675</t>
        </is>
      </c>
      <c r="C376" t="inlineStr">
        <is>
          <t>LT</t>
        </is>
      </c>
      <c r="D376" t="inlineStr">
        <is>
          <t>ALX440U-DS3B01</t>
        </is>
      </c>
      <c r="E376" s="2" t="n">
        <v>46100</v>
      </c>
      <c r="F376" t="inlineStr">
        <is>
          <t>Fail</t>
        </is>
      </c>
      <c r="G376" t="n">
        <v>142.3</v>
      </c>
      <c r="H376" t="n">
        <v>87.90000000000001</v>
      </c>
      <c r="I376" t="n">
        <v>-1957.8</v>
      </c>
      <c r="J376" t="n">
        <v>70</v>
      </c>
      <c r="K376" t="n">
        <v>0</v>
      </c>
      <c r="L376" t="n">
        <v>5.7</v>
      </c>
      <c r="M376" t="n">
        <v>0</v>
      </c>
      <c r="N376" t="n">
        <v>64.3</v>
      </c>
      <c r="O376" t="n">
        <v>111.79</v>
      </c>
      <c r="P376" t="n">
        <v>113.26</v>
      </c>
      <c r="Q376" t="n">
        <v>7.5</v>
      </c>
      <c r="R376" t="n">
        <v>7.08</v>
      </c>
      <c r="S376">
        <f>IF(OR(G376=0,G376=""),"",ABS((G376-IF($C376="LT",Config!$F$2,Config!$F$14))/IF($C376="LT",Config!$G$2,Config!$G$14)))</f>
        <v/>
      </c>
      <c r="T376">
        <f>IF(OR(H376=0,H376=""),"",ABS((H376-IF($C376="LT",Config!$F$3,Config!$F$15))/IF($C376="LT",Config!$G$3,Config!$G$15)))</f>
        <v/>
      </c>
      <c r="U376">
        <f>IF(OR(I376=0,I376=""),"",ABS((I376-IF($C376="LT",Config!$F$4,Config!$F$16))/IF($C376="LT",Config!$G$4,Config!$G$16)))</f>
        <v/>
      </c>
      <c r="V376">
        <f>IF(OR(J376=0,J376=""),"",ABS((J376-IF($C376="LT",Config!$F$5,Config!$F$17))/IF($C376="LT",Config!$G$5,Config!$G$17)))</f>
        <v/>
      </c>
      <c r="W376">
        <f>IF(OR(K376=0,K376=""),"",ABS((K376-IF($C376="LT",Config!$F$6,Config!$F$18))/IF($C376="LT",Config!$G$6,Config!$G$18)))</f>
        <v/>
      </c>
      <c r="X376">
        <f>IF(OR(L376=0,L376=""),"",ABS((L376-IF($C376="LT",Config!$F$7,Config!$F$19))/IF($C376="LT",Config!$G$7,Config!$G$19)))</f>
        <v/>
      </c>
      <c r="Y376">
        <f>IF(OR(M376=0,M376=""),"",ABS((M376-IF($C376="LT",Config!$F$8,Config!$F$20))/IF($C376="LT",Config!$G$8,Config!$G$20)))</f>
        <v/>
      </c>
      <c r="Z376">
        <f>IF(OR(N376=0,N376=""),"",ABS((N376-IF($C376="LT",Config!$F$9,Config!$F$21))/IF($C376="LT",Config!$G$9,Config!$G$21)))</f>
        <v/>
      </c>
      <c r="AA376">
        <f>IF(OR(O376=0,O376=""),"",ABS((O376-IF($C376="LT",Config!$F$10,Config!$F$22))/IF($C376="LT",Config!$G$10,Config!$G$22)))</f>
        <v/>
      </c>
      <c r="AB376">
        <f>IF(OR(P376=0,P376=""),"",ABS((P376-IF($C376="LT",Config!$F$11,Config!$F$23))/IF($C376="LT",Config!$G$11,Config!$G$23)))</f>
        <v/>
      </c>
      <c r="AC376">
        <f>IF(OR(Q376=0,Q376=""),"",ABS((Q376-IF($C376="LT",Config!$F$12,Config!$F$24))/IF($C376="LT",Config!$G$12,Config!$G$24)))</f>
        <v/>
      </c>
      <c r="AD376">
        <f>IF(OR(R376=0,R376=""),"",ABS((R376-IF($C376="LT",Config!$F$13,Config!$F$25))/IF($C376="LT",Config!$G$13,Config!$G$25)))</f>
        <v/>
      </c>
    </row>
    <row r="377">
      <c r="A377" t="inlineStr">
        <is>
          <t>04C1826121003</t>
        </is>
      </c>
      <c r="B377" t="inlineStr">
        <is>
          <t>CRS0000675</t>
        </is>
      </c>
      <c r="C377" t="inlineStr">
        <is>
          <t>LT</t>
        </is>
      </c>
      <c r="D377" t="inlineStr">
        <is>
          <t>ALX440U-DS3B01</t>
        </is>
      </c>
      <c r="E377" s="2" t="n">
        <v>46100</v>
      </c>
      <c r="F377" t="inlineStr">
        <is>
          <t>Pass</t>
        </is>
      </c>
      <c r="G377" t="n">
        <v>154.8</v>
      </c>
      <c r="H377" t="n">
        <v>93.7</v>
      </c>
      <c r="I377" t="n">
        <v>-1957.8</v>
      </c>
      <c r="J377" t="n">
        <v>70</v>
      </c>
      <c r="K377" t="n">
        <v>0</v>
      </c>
      <c r="L377" t="n">
        <v>3.6</v>
      </c>
      <c r="M377" t="n">
        <v>0</v>
      </c>
      <c r="N377" t="n">
        <v>66.40000000000001</v>
      </c>
      <c r="O377" t="n">
        <v>115.16</v>
      </c>
      <c r="P377" t="n">
        <v>115.24</v>
      </c>
      <c r="Q377" t="n">
        <v>7.01</v>
      </c>
      <c r="R377" t="n">
        <v>7.01</v>
      </c>
      <c r="S377">
        <f>IF(OR(G377=0,G377=""),"",ABS((G377-IF($C377="LT",Config!$F$2,Config!$F$14))/IF($C377="LT",Config!$G$2,Config!$G$14)))</f>
        <v/>
      </c>
      <c r="T377">
        <f>IF(OR(H377=0,H377=""),"",ABS((H377-IF($C377="LT",Config!$F$3,Config!$F$15))/IF($C377="LT",Config!$G$3,Config!$G$15)))</f>
        <v/>
      </c>
      <c r="U377">
        <f>IF(OR(I377=0,I377=""),"",ABS((I377-IF($C377="LT",Config!$F$4,Config!$F$16))/IF($C377="LT",Config!$G$4,Config!$G$16)))</f>
        <v/>
      </c>
      <c r="V377">
        <f>IF(OR(J377=0,J377=""),"",ABS((J377-IF($C377="LT",Config!$F$5,Config!$F$17))/IF($C377="LT",Config!$G$5,Config!$G$17)))</f>
        <v/>
      </c>
      <c r="W377">
        <f>IF(OR(K377=0,K377=""),"",ABS((K377-IF($C377="LT",Config!$F$6,Config!$F$18))/IF($C377="LT",Config!$G$6,Config!$G$18)))</f>
        <v/>
      </c>
      <c r="X377">
        <f>IF(OR(L377=0,L377=""),"",ABS((L377-IF($C377="LT",Config!$F$7,Config!$F$19))/IF($C377="LT",Config!$G$7,Config!$G$19)))</f>
        <v/>
      </c>
      <c r="Y377">
        <f>IF(OR(M377=0,M377=""),"",ABS((M377-IF($C377="LT",Config!$F$8,Config!$F$20))/IF($C377="LT",Config!$G$8,Config!$G$20)))</f>
        <v/>
      </c>
      <c r="Z377">
        <f>IF(OR(N377=0,N377=""),"",ABS((N377-IF($C377="LT",Config!$F$9,Config!$F$21))/IF($C377="LT",Config!$G$9,Config!$G$21)))</f>
        <v/>
      </c>
      <c r="AA377">
        <f>IF(OR(O377=0,O377=""),"",ABS((O377-IF($C377="LT",Config!$F$10,Config!$F$22))/IF($C377="LT",Config!$G$10,Config!$G$22)))</f>
        <v/>
      </c>
      <c r="AB377">
        <f>IF(OR(P377=0,P377=""),"",ABS((P377-IF($C377="LT",Config!$F$11,Config!$F$23))/IF($C377="LT",Config!$G$11,Config!$G$23)))</f>
        <v/>
      </c>
      <c r="AC377">
        <f>IF(OR(Q377=0,Q377=""),"",ABS((Q377-IF($C377="LT",Config!$F$12,Config!$F$24))/IF($C377="LT",Config!$G$12,Config!$G$24)))</f>
        <v/>
      </c>
      <c r="AD377">
        <f>IF(OR(R377=0,R377=""),"",ABS((R377-IF($C377="LT",Config!$F$13,Config!$F$25))/IF($C377="LT",Config!$G$13,Config!$G$25)))</f>
        <v/>
      </c>
    </row>
    <row r="378">
      <c r="A378" t="inlineStr">
        <is>
          <t>04C1826121004</t>
        </is>
      </c>
      <c r="B378" t="inlineStr">
        <is>
          <t>CRS0000675</t>
        </is>
      </c>
      <c r="C378" t="inlineStr">
        <is>
          <t>LT</t>
        </is>
      </c>
      <c r="D378" t="inlineStr">
        <is>
          <t>ALX440U-DS3B01</t>
        </is>
      </c>
      <c r="E378" s="2" t="n">
        <v>46100</v>
      </c>
      <c r="F378" t="inlineStr">
        <is>
          <t>Pass</t>
        </is>
      </c>
      <c r="G378" t="n">
        <v>157.1</v>
      </c>
      <c r="H378" t="n">
        <v>100.5</v>
      </c>
      <c r="I378" t="n">
        <v>-1957.8</v>
      </c>
      <c r="J378" t="n">
        <v>69.09999999999999</v>
      </c>
      <c r="K378" t="n">
        <v>0</v>
      </c>
      <c r="L378" t="n">
        <v>2.8</v>
      </c>
      <c r="M378" t="n">
        <v>0</v>
      </c>
      <c r="N378" t="n">
        <v>66.3</v>
      </c>
      <c r="O378" t="n">
        <v>114.8</v>
      </c>
      <c r="P378" t="n">
        <v>114.72</v>
      </c>
      <c r="Q378" t="n">
        <v>8.300000000000001</v>
      </c>
      <c r="R378" t="n">
        <v>8.109999999999999</v>
      </c>
      <c r="S378">
        <f>IF(OR(G378=0,G378=""),"",ABS((G378-IF($C378="LT",Config!$F$2,Config!$F$14))/IF($C378="LT",Config!$G$2,Config!$G$14)))</f>
        <v/>
      </c>
      <c r="T378">
        <f>IF(OR(H378=0,H378=""),"",ABS((H378-IF($C378="LT",Config!$F$3,Config!$F$15))/IF($C378="LT",Config!$G$3,Config!$G$15)))</f>
        <v/>
      </c>
      <c r="U378">
        <f>IF(OR(I378=0,I378=""),"",ABS((I378-IF($C378="LT",Config!$F$4,Config!$F$16))/IF($C378="LT",Config!$G$4,Config!$G$16)))</f>
        <v/>
      </c>
      <c r="V378">
        <f>IF(OR(J378=0,J378=""),"",ABS((J378-IF($C378="LT",Config!$F$5,Config!$F$17))/IF($C378="LT",Config!$G$5,Config!$G$17)))</f>
        <v/>
      </c>
      <c r="W378">
        <f>IF(OR(K378=0,K378=""),"",ABS((K378-IF($C378="LT",Config!$F$6,Config!$F$18))/IF($C378="LT",Config!$G$6,Config!$G$18)))</f>
        <v/>
      </c>
      <c r="X378">
        <f>IF(OR(L378=0,L378=""),"",ABS((L378-IF($C378="LT",Config!$F$7,Config!$F$19))/IF($C378="LT",Config!$G$7,Config!$G$19)))</f>
        <v/>
      </c>
      <c r="Y378">
        <f>IF(OR(M378=0,M378=""),"",ABS((M378-IF($C378="LT",Config!$F$8,Config!$F$20))/IF($C378="LT",Config!$G$8,Config!$G$20)))</f>
        <v/>
      </c>
      <c r="Z378">
        <f>IF(OR(N378=0,N378=""),"",ABS((N378-IF($C378="LT",Config!$F$9,Config!$F$21))/IF($C378="LT",Config!$G$9,Config!$G$21)))</f>
        <v/>
      </c>
      <c r="AA378">
        <f>IF(OR(O378=0,O378=""),"",ABS((O378-IF($C378="LT",Config!$F$10,Config!$F$22))/IF($C378="LT",Config!$G$10,Config!$G$22)))</f>
        <v/>
      </c>
      <c r="AB378">
        <f>IF(OR(P378=0,P378=""),"",ABS((P378-IF($C378="LT",Config!$F$11,Config!$F$23))/IF($C378="LT",Config!$G$11,Config!$G$23)))</f>
        <v/>
      </c>
      <c r="AC378">
        <f>IF(OR(Q378=0,Q378=""),"",ABS((Q378-IF($C378="LT",Config!$F$12,Config!$F$24))/IF($C378="LT",Config!$G$12,Config!$G$24)))</f>
        <v/>
      </c>
      <c r="AD378">
        <f>IF(OR(R378=0,R378=""),"",ABS((R378-IF($C378="LT",Config!$F$13,Config!$F$25))/IF($C378="LT",Config!$G$13,Config!$G$25)))</f>
        <v/>
      </c>
    </row>
    <row r="379">
      <c r="A379" t="inlineStr">
        <is>
          <t>04C1826121005</t>
        </is>
      </c>
      <c r="B379" t="inlineStr">
        <is>
          <t>CRS0000675</t>
        </is>
      </c>
      <c r="C379" t="inlineStr">
        <is>
          <t>LT</t>
        </is>
      </c>
      <c r="D379" t="inlineStr">
        <is>
          <t>ALX440U-DS3B01</t>
        </is>
      </c>
      <c r="E379" s="2" t="n">
        <v>46100</v>
      </c>
      <c r="F379" t="inlineStr">
        <is>
          <t>Fail</t>
        </is>
      </c>
      <c r="G379" t="n">
        <v>152.2</v>
      </c>
      <c r="H379" t="n">
        <v>98.3</v>
      </c>
      <c r="I379" t="n">
        <v>-1957.8</v>
      </c>
      <c r="J379" t="n">
        <v>73.5</v>
      </c>
      <c r="K379" t="n">
        <v>0</v>
      </c>
      <c r="L379" t="n">
        <v>2.4</v>
      </c>
      <c r="M379" t="n">
        <v>0</v>
      </c>
      <c r="N379" t="n">
        <v>75.90000000000001</v>
      </c>
      <c r="O379" t="n">
        <v>114.5</v>
      </c>
      <c r="P379" t="n">
        <v>114.5</v>
      </c>
      <c r="Q379" t="n">
        <v>8.57</v>
      </c>
      <c r="R379" t="n">
        <v>8.300000000000001</v>
      </c>
      <c r="S379">
        <f>IF(OR(G379=0,G379=""),"",ABS((G379-IF($C379="LT",Config!$F$2,Config!$F$14))/IF($C379="LT",Config!$G$2,Config!$G$14)))</f>
        <v/>
      </c>
      <c r="T379">
        <f>IF(OR(H379=0,H379=""),"",ABS((H379-IF($C379="LT",Config!$F$3,Config!$F$15))/IF($C379="LT",Config!$G$3,Config!$G$15)))</f>
        <v/>
      </c>
      <c r="U379">
        <f>IF(OR(I379=0,I379=""),"",ABS((I379-IF($C379="LT",Config!$F$4,Config!$F$16))/IF($C379="LT",Config!$G$4,Config!$G$16)))</f>
        <v/>
      </c>
      <c r="V379">
        <f>IF(OR(J379=0,J379=""),"",ABS((J379-IF($C379="LT",Config!$F$5,Config!$F$17))/IF($C379="LT",Config!$G$5,Config!$G$17)))</f>
        <v/>
      </c>
      <c r="W379">
        <f>IF(OR(K379=0,K379=""),"",ABS((K379-IF($C379="LT",Config!$F$6,Config!$F$18))/IF($C379="LT",Config!$G$6,Config!$G$18)))</f>
        <v/>
      </c>
      <c r="X379">
        <f>IF(OR(L379=0,L379=""),"",ABS((L379-IF($C379="LT",Config!$F$7,Config!$F$19))/IF($C379="LT",Config!$G$7,Config!$G$19)))</f>
        <v/>
      </c>
      <c r="Y379">
        <f>IF(OR(M379=0,M379=""),"",ABS((M379-IF($C379="LT",Config!$F$8,Config!$F$20))/IF($C379="LT",Config!$G$8,Config!$G$20)))</f>
        <v/>
      </c>
      <c r="Z379">
        <f>IF(OR(N379=0,N379=""),"",ABS((N379-IF($C379="LT",Config!$F$9,Config!$F$21))/IF($C379="LT",Config!$G$9,Config!$G$21)))</f>
        <v/>
      </c>
      <c r="AA379">
        <f>IF(OR(O379=0,O379=""),"",ABS((O379-IF($C379="LT",Config!$F$10,Config!$F$22))/IF($C379="LT",Config!$G$10,Config!$G$22)))</f>
        <v/>
      </c>
      <c r="AB379">
        <f>IF(OR(P379=0,P379=""),"",ABS((P379-IF($C379="LT",Config!$F$11,Config!$F$23))/IF($C379="LT",Config!$G$11,Config!$G$23)))</f>
        <v/>
      </c>
      <c r="AC379">
        <f>IF(OR(Q379=0,Q379=""),"",ABS((Q379-IF($C379="LT",Config!$F$12,Config!$F$24))/IF($C379="LT",Config!$G$12,Config!$G$24)))</f>
        <v/>
      </c>
      <c r="AD379">
        <f>IF(OR(R379=0,R379=""),"",ABS((R379-IF($C379="LT",Config!$F$13,Config!$F$25))/IF($C379="LT",Config!$G$13,Config!$G$25)))</f>
        <v/>
      </c>
    </row>
    <row r="380">
      <c r="A380" t="inlineStr">
        <is>
          <t>04C1826121005</t>
        </is>
      </c>
      <c r="B380" t="inlineStr">
        <is>
          <t>CRS0000675</t>
        </is>
      </c>
      <c r="C380" t="inlineStr">
        <is>
          <t>LT</t>
        </is>
      </c>
      <c r="D380" t="inlineStr">
        <is>
          <t>ALX440U-DS3B01</t>
        </is>
      </c>
      <c r="E380" s="2" t="n">
        <v>46100</v>
      </c>
      <c r="F380" t="inlineStr">
        <is>
          <t>Pass</t>
        </is>
      </c>
      <c r="G380" t="n">
        <v>159.3</v>
      </c>
      <c r="H380" t="n">
        <v>100.5</v>
      </c>
      <c r="I380" t="n">
        <v>-1957.8</v>
      </c>
      <c r="J380" t="n">
        <v>71.3</v>
      </c>
      <c r="K380" t="n">
        <v>0</v>
      </c>
      <c r="L380" t="n">
        <v>3.6</v>
      </c>
      <c r="M380" t="n">
        <v>0</v>
      </c>
      <c r="N380" t="n">
        <v>67.7</v>
      </c>
      <c r="O380" t="n">
        <v>114.58</v>
      </c>
      <c r="P380" t="n">
        <v>114.36</v>
      </c>
      <c r="Q380" t="n">
        <v>8.08</v>
      </c>
      <c r="R380" t="n">
        <v>8.470000000000001</v>
      </c>
      <c r="S380">
        <f>IF(OR(G380=0,G380=""),"",ABS((G380-IF($C380="LT",Config!$F$2,Config!$F$14))/IF($C380="LT",Config!$G$2,Config!$G$14)))</f>
        <v/>
      </c>
      <c r="T380">
        <f>IF(OR(H380=0,H380=""),"",ABS((H380-IF($C380="LT",Config!$F$3,Config!$F$15))/IF($C380="LT",Config!$G$3,Config!$G$15)))</f>
        <v/>
      </c>
      <c r="U380">
        <f>IF(OR(I380=0,I380=""),"",ABS((I380-IF($C380="LT",Config!$F$4,Config!$F$16))/IF($C380="LT",Config!$G$4,Config!$G$16)))</f>
        <v/>
      </c>
      <c r="V380">
        <f>IF(OR(J380=0,J380=""),"",ABS((J380-IF($C380="LT",Config!$F$5,Config!$F$17))/IF($C380="LT",Config!$G$5,Config!$G$17)))</f>
        <v/>
      </c>
      <c r="W380">
        <f>IF(OR(K380=0,K380=""),"",ABS((K380-IF($C380="LT",Config!$F$6,Config!$F$18))/IF($C380="LT",Config!$G$6,Config!$G$18)))</f>
        <v/>
      </c>
      <c r="X380">
        <f>IF(OR(L380=0,L380=""),"",ABS((L380-IF($C380="LT",Config!$F$7,Config!$F$19))/IF($C380="LT",Config!$G$7,Config!$G$19)))</f>
        <v/>
      </c>
      <c r="Y380">
        <f>IF(OR(M380=0,M380=""),"",ABS((M380-IF($C380="LT",Config!$F$8,Config!$F$20))/IF($C380="LT",Config!$G$8,Config!$G$20)))</f>
        <v/>
      </c>
      <c r="Z380">
        <f>IF(OR(N380=0,N380=""),"",ABS((N380-IF($C380="LT",Config!$F$9,Config!$F$21))/IF($C380="LT",Config!$G$9,Config!$G$21)))</f>
        <v/>
      </c>
      <c r="AA380">
        <f>IF(OR(O380=0,O380=""),"",ABS((O380-IF($C380="LT",Config!$F$10,Config!$F$22))/IF($C380="LT",Config!$G$10,Config!$G$22)))</f>
        <v/>
      </c>
      <c r="AB380">
        <f>IF(OR(P380=0,P380=""),"",ABS((P380-IF($C380="LT",Config!$F$11,Config!$F$23))/IF($C380="LT",Config!$G$11,Config!$G$23)))</f>
        <v/>
      </c>
      <c r="AC380">
        <f>IF(OR(Q380=0,Q380=""),"",ABS((Q380-IF($C380="LT",Config!$F$12,Config!$F$24))/IF($C380="LT",Config!$G$12,Config!$G$24)))</f>
        <v/>
      </c>
      <c r="AD380">
        <f>IF(OR(R380=0,R380=""),"",ABS((R380-IF($C380="LT",Config!$F$13,Config!$F$25))/IF($C380="LT",Config!$G$13,Config!$G$25)))</f>
        <v/>
      </c>
    </row>
    <row r="381">
      <c r="A381" t="inlineStr">
        <is>
          <t>04C1826121006</t>
        </is>
      </c>
      <c r="B381" t="inlineStr">
        <is>
          <t>CRS0000675</t>
        </is>
      </c>
      <c r="C381" t="inlineStr">
        <is>
          <t>LT</t>
        </is>
      </c>
      <c r="D381" t="inlineStr">
        <is>
          <t>ALX440U-DS3B01</t>
        </is>
      </c>
      <c r="E381" s="2" t="n">
        <v>46100</v>
      </c>
      <c r="F381" t="inlineStr">
        <is>
          <t>Pass</t>
        </is>
      </c>
      <c r="G381" t="n">
        <v>156.2</v>
      </c>
      <c r="H381" t="n">
        <v>102.8</v>
      </c>
      <c r="I381" t="n">
        <v>-1957.8</v>
      </c>
      <c r="J381" t="n">
        <v>71.3</v>
      </c>
      <c r="K381" t="n">
        <v>0</v>
      </c>
      <c r="L381" t="n">
        <v>1.8</v>
      </c>
      <c r="M381" t="n">
        <v>0</v>
      </c>
      <c r="N381" t="n">
        <v>69.5</v>
      </c>
      <c r="O381" t="n">
        <v>111.2</v>
      </c>
      <c r="P381" t="n">
        <v>118.02</v>
      </c>
      <c r="Q381" t="n">
        <v>8.94</v>
      </c>
      <c r="R381" t="n">
        <v>8.130000000000001</v>
      </c>
      <c r="S381">
        <f>IF(OR(G381=0,G381=""),"",ABS((G381-IF($C381="LT",Config!$F$2,Config!$F$14))/IF($C381="LT",Config!$G$2,Config!$G$14)))</f>
        <v/>
      </c>
      <c r="T381">
        <f>IF(OR(H381=0,H381=""),"",ABS((H381-IF($C381="LT",Config!$F$3,Config!$F$15))/IF($C381="LT",Config!$G$3,Config!$G$15)))</f>
        <v/>
      </c>
      <c r="U381">
        <f>IF(OR(I381=0,I381=""),"",ABS((I381-IF($C381="LT",Config!$F$4,Config!$F$16))/IF($C381="LT",Config!$G$4,Config!$G$16)))</f>
        <v/>
      </c>
      <c r="V381">
        <f>IF(OR(J381=0,J381=""),"",ABS((J381-IF($C381="LT",Config!$F$5,Config!$F$17))/IF($C381="LT",Config!$G$5,Config!$G$17)))</f>
        <v/>
      </c>
      <c r="W381">
        <f>IF(OR(K381=0,K381=""),"",ABS((K381-IF($C381="LT",Config!$F$6,Config!$F$18))/IF($C381="LT",Config!$G$6,Config!$G$18)))</f>
        <v/>
      </c>
      <c r="X381">
        <f>IF(OR(L381=0,L381=""),"",ABS((L381-IF($C381="LT",Config!$F$7,Config!$F$19))/IF($C381="LT",Config!$G$7,Config!$G$19)))</f>
        <v/>
      </c>
      <c r="Y381">
        <f>IF(OR(M381=0,M381=""),"",ABS((M381-IF($C381="LT",Config!$F$8,Config!$F$20))/IF($C381="LT",Config!$G$8,Config!$G$20)))</f>
        <v/>
      </c>
      <c r="Z381">
        <f>IF(OR(N381=0,N381=""),"",ABS((N381-IF($C381="LT",Config!$F$9,Config!$F$21))/IF($C381="LT",Config!$G$9,Config!$G$21)))</f>
        <v/>
      </c>
      <c r="AA381">
        <f>IF(OR(O381=0,O381=""),"",ABS((O381-IF($C381="LT",Config!$F$10,Config!$F$22))/IF($C381="LT",Config!$G$10,Config!$G$22)))</f>
        <v/>
      </c>
      <c r="AB381">
        <f>IF(OR(P381=0,P381=""),"",ABS((P381-IF($C381="LT",Config!$F$11,Config!$F$23))/IF($C381="LT",Config!$G$11,Config!$G$23)))</f>
        <v/>
      </c>
      <c r="AC381">
        <f>IF(OR(Q381=0,Q381=""),"",ABS((Q381-IF($C381="LT",Config!$F$12,Config!$F$24))/IF($C381="LT",Config!$G$12,Config!$G$24)))</f>
        <v/>
      </c>
      <c r="AD381">
        <f>IF(OR(R381=0,R381=""),"",ABS((R381-IF($C381="LT",Config!$F$13,Config!$F$25))/IF($C381="LT",Config!$G$13,Config!$G$25)))</f>
        <v/>
      </c>
    </row>
    <row r="382">
      <c r="A382" t="inlineStr">
        <is>
          <t>04C1826121007</t>
        </is>
      </c>
      <c r="B382" t="inlineStr">
        <is>
          <t>CRS0000675</t>
        </is>
      </c>
      <c r="C382" t="inlineStr">
        <is>
          <t>LT</t>
        </is>
      </c>
      <c r="D382" t="inlineStr">
        <is>
          <t>ALX440U-DS3B01</t>
        </is>
      </c>
      <c r="E382" s="2" t="n">
        <v>46100</v>
      </c>
      <c r="F382" t="inlineStr">
        <is>
          <t>Fail</t>
        </is>
      </c>
      <c r="G382" t="n">
        <v>97.7</v>
      </c>
      <c r="H382" t="n">
        <v>169.1</v>
      </c>
      <c r="I382" t="n">
        <v>-1957.8</v>
      </c>
      <c r="J382" t="n">
        <v>69.5</v>
      </c>
      <c r="K382" t="n">
        <v>0</v>
      </c>
      <c r="L382" t="n">
        <v>4.5</v>
      </c>
      <c r="M382" t="n">
        <v>0</v>
      </c>
      <c r="N382" t="n">
        <v>65</v>
      </c>
      <c r="O382" t="n">
        <v>111.06</v>
      </c>
      <c r="P382" t="n">
        <v>117.66</v>
      </c>
      <c r="Q382" t="n">
        <v>8.74</v>
      </c>
      <c r="R382" t="n">
        <v>8.199999999999999</v>
      </c>
      <c r="S382">
        <f>IF(OR(G382=0,G382=""),"",ABS((G382-IF($C382="LT",Config!$F$2,Config!$F$14))/IF($C382="LT",Config!$G$2,Config!$G$14)))</f>
        <v/>
      </c>
      <c r="T382">
        <f>IF(OR(H382=0,H382=""),"",ABS((H382-IF($C382="LT",Config!$F$3,Config!$F$15))/IF($C382="LT",Config!$G$3,Config!$G$15)))</f>
        <v/>
      </c>
      <c r="U382">
        <f>IF(OR(I382=0,I382=""),"",ABS((I382-IF($C382="LT",Config!$F$4,Config!$F$16))/IF($C382="LT",Config!$G$4,Config!$G$16)))</f>
        <v/>
      </c>
      <c r="V382">
        <f>IF(OR(J382=0,J382=""),"",ABS((J382-IF($C382="LT",Config!$F$5,Config!$F$17))/IF($C382="LT",Config!$G$5,Config!$G$17)))</f>
        <v/>
      </c>
      <c r="W382">
        <f>IF(OR(K382=0,K382=""),"",ABS((K382-IF($C382="LT",Config!$F$6,Config!$F$18))/IF($C382="LT",Config!$G$6,Config!$G$18)))</f>
        <v/>
      </c>
      <c r="X382">
        <f>IF(OR(L382=0,L382=""),"",ABS((L382-IF($C382="LT",Config!$F$7,Config!$F$19))/IF($C382="LT",Config!$G$7,Config!$G$19)))</f>
        <v/>
      </c>
      <c r="Y382">
        <f>IF(OR(M382=0,M382=""),"",ABS((M382-IF($C382="LT",Config!$F$8,Config!$F$20))/IF($C382="LT",Config!$G$8,Config!$G$20)))</f>
        <v/>
      </c>
      <c r="Z382">
        <f>IF(OR(N382=0,N382=""),"",ABS((N382-IF($C382="LT",Config!$F$9,Config!$F$21))/IF($C382="LT",Config!$G$9,Config!$G$21)))</f>
        <v/>
      </c>
      <c r="AA382">
        <f>IF(OR(O382=0,O382=""),"",ABS((O382-IF($C382="LT",Config!$F$10,Config!$F$22))/IF($C382="LT",Config!$G$10,Config!$G$22)))</f>
        <v/>
      </c>
      <c r="AB382">
        <f>IF(OR(P382=0,P382=""),"",ABS((P382-IF($C382="LT",Config!$F$11,Config!$F$23))/IF($C382="LT",Config!$G$11,Config!$G$23)))</f>
        <v/>
      </c>
      <c r="AC382">
        <f>IF(OR(Q382=0,Q382=""),"",ABS((Q382-IF($C382="LT",Config!$F$12,Config!$F$24))/IF($C382="LT",Config!$G$12,Config!$G$24)))</f>
        <v/>
      </c>
      <c r="AD382">
        <f>IF(OR(R382=0,R382=""),"",ABS((R382-IF($C382="LT",Config!$F$13,Config!$F$25))/IF($C382="LT",Config!$G$13,Config!$G$25)))</f>
        <v/>
      </c>
    </row>
    <row r="383">
      <c r="A383" t="inlineStr">
        <is>
          <t>04C1826121007</t>
        </is>
      </c>
      <c r="B383" t="inlineStr">
        <is>
          <t>CRS0000675</t>
        </is>
      </c>
      <c r="C383" t="inlineStr">
        <is>
          <t>LT</t>
        </is>
      </c>
      <c r="D383" t="inlineStr">
        <is>
          <t>ALX440U-DS3B01</t>
        </is>
      </c>
      <c r="E383" s="2" t="n">
        <v>46100</v>
      </c>
      <c r="F383" t="inlineStr">
        <is>
          <t>Fail</t>
        </is>
      </c>
      <c r="G383" t="n">
        <v>97.7</v>
      </c>
      <c r="H383" t="n">
        <v>175.4</v>
      </c>
      <c r="I383" t="n">
        <v>-1957.8</v>
      </c>
      <c r="J383" t="n">
        <v>69.5</v>
      </c>
      <c r="K383" t="n">
        <v>0</v>
      </c>
      <c r="L383" t="n">
        <v>2</v>
      </c>
      <c r="M383" t="n">
        <v>0</v>
      </c>
      <c r="N383" t="n">
        <v>67.5</v>
      </c>
      <c r="O383" t="n">
        <v>111.13</v>
      </c>
      <c r="P383" t="n">
        <v>117.8</v>
      </c>
      <c r="Q383" t="n">
        <v>8.619999999999999</v>
      </c>
      <c r="R383" t="n">
        <v>8.199999999999999</v>
      </c>
      <c r="S383">
        <f>IF(OR(G383=0,G383=""),"",ABS((G383-IF($C383="LT",Config!$F$2,Config!$F$14))/IF($C383="LT",Config!$G$2,Config!$G$14)))</f>
        <v/>
      </c>
      <c r="T383">
        <f>IF(OR(H383=0,H383=""),"",ABS((H383-IF($C383="LT",Config!$F$3,Config!$F$15))/IF($C383="LT",Config!$G$3,Config!$G$15)))</f>
        <v/>
      </c>
      <c r="U383">
        <f>IF(OR(I383=0,I383=""),"",ABS((I383-IF($C383="LT",Config!$F$4,Config!$F$16))/IF($C383="LT",Config!$G$4,Config!$G$16)))</f>
        <v/>
      </c>
      <c r="V383">
        <f>IF(OR(J383=0,J383=""),"",ABS((J383-IF($C383="LT",Config!$F$5,Config!$F$17))/IF($C383="LT",Config!$G$5,Config!$G$17)))</f>
        <v/>
      </c>
      <c r="W383">
        <f>IF(OR(K383=0,K383=""),"",ABS((K383-IF($C383="LT",Config!$F$6,Config!$F$18))/IF($C383="LT",Config!$G$6,Config!$G$18)))</f>
        <v/>
      </c>
      <c r="X383">
        <f>IF(OR(L383=0,L383=""),"",ABS((L383-IF($C383="LT",Config!$F$7,Config!$F$19))/IF($C383="LT",Config!$G$7,Config!$G$19)))</f>
        <v/>
      </c>
      <c r="Y383">
        <f>IF(OR(M383=0,M383=""),"",ABS((M383-IF($C383="LT",Config!$F$8,Config!$F$20))/IF($C383="LT",Config!$G$8,Config!$G$20)))</f>
        <v/>
      </c>
      <c r="Z383">
        <f>IF(OR(N383=0,N383=""),"",ABS((N383-IF($C383="LT",Config!$F$9,Config!$F$21))/IF($C383="LT",Config!$G$9,Config!$G$21)))</f>
        <v/>
      </c>
      <c r="AA383">
        <f>IF(OR(O383=0,O383=""),"",ABS((O383-IF($C383="LT",Config!$F$10,Config!$F$22))/IF($C383="LT",Config!$G$10,Config!$G$22)))</f>
        <v/>
      </c>
      <c r="AB383">
        <f>IF(OR(P383=0,P383=""),"",ABS((P383-IF($C383="LT",Config!$F$11,Config!$F$23))/IF($C383="LT",Config!$G$11,Config!$G$23)))</f>
        <v/>
      </c>
      <c r="AC383">
        <f>IF(OR(Q383=0,Q383=""),"",ABS((Q383-IF($C383="LT",Config!$F$12,Config!$F$24))/IF($C383="LT",Config!$G$12,Config!$G$24)))</f>
        <v/>
      </c>
      <c r="AD383">
        <f>IF(OR(R383=0,R383=""),"",ABS((R383-IF($C383="LT",Config!$F$13,Config!$F$25))/IF($C383="LT",Config!$G$13,Config!$G$25)))</f>
        <v/>
      </c>
    </row>
    <row r="384">
      <c r="A384" t="inlineStr">
        <is>
          <t>04C1826121007</t>
        </is>
      </c>
      <c r="B384" t="inlineStr">
        <is>
          <t>CRS0000675</t>
        </is>
      </c>
      <c r="C384" t="inlineStr">
        <is>
          <t>LT</t>
        </is>
      </c>
      <c r="D384" t="inlineStr">
        <is>
          <t>ALX440U-DS3B01</t>
        </is>
      </c>
      <c r="E384" s="2" t="n">
        <v>46100</v>
      </c>
      <c r="F384" t="inlineStr">
        <is>
          <t>Pass</t>
        </is>
      </c>
      <c r="G384" t="n">
        <v>161.5</v>
      </c>
      <c r="H384" t="n">
        <v>99.2</v>
      </c>
      <c r="I384" t="n">
        <v>-1957.8</v>
      </c>
      <c r="J384" t="n">
        <v>69.5</v>
      </c>
      <c r="K384" t="n">
        <v>0</v>
      </c>
      <c r="L384" t="n">
        <v>4.5</v>
      </c>
      <c r="M384" t="n">
        <v>0</v>
      </c>
      <c r="N384" t="n">
        <v>65</v>
      </c>
      <c r="O384" t="n">
        <v>111.28</v>
      </c>
      <c r="P384" t="n">
        <v>117.58</v>
      </c>
      <c r="Q384" t="n">
        <v>8.369999999999999</v>
      </c>
      <c r="R384" t="n">
        <v>8.130000000000001</v>
      </c>
      <c r="S384">
        <f>IF(OR(G384=0,G384=""),"",ABS((G384-IF($C384="LT",Config!$F$2,Config!$F$14))/IF($C384="LT",Config!$G$2,Config!$G$14)))</f>
        <v/>
      </c>
      <c r="T384">
        <f>IF(OR(H384=0,H384=""),"",ABS((H384-IF($C384="LT",Config!$F$3,Config!$F$15))/IF($C384="LT",Config!$G$3,Config!$G$15)))</f>
        <v/>
      </c>
      <c r="U384">
        <f>IF(OR(I384=0,I384=""),"",ABS((I384-IF($C384="LT",Config!$F$4,Config!$F$16))/IF($C384="LT",Config!$G$4,Config!$G$16)))</f>
        <v/>
      </c>
      <c r="V384">
        <f>IF(OR(J384=0,J384=""),"",ABS((J384-IF($C384="LT",Config!$F$5,Config!$F$17))/IF($C384="LT",Config!$G$5,Config!$G$17)))</f>
        <v/>
      </c>
      <c r="W384">
        <f>IF(OR(K384=0,K384=""),"",ABS((K384-IF($C384="LT",Config!$F$6,Config!$F$18))/IF($C384="LT",Config!$G$6,Config!$G$18)))</f>
        <v/>
      </c>
      <c r="X384">
        <f>IF(OR(L384=0,L384=""),"",ABS((L384-IF($C384="LT",Config!$F$7,Config!$F$19))/IF($C384="LT",Config!$G$7,Config!$G$19)))</f>
        <v/>
      </c>
      <c r="Y384">
        <f>IF(OR(M384=0,M384=""),"",ABS((M384-IF($C384="LT",Config!$F$8,Config!$F$20))/IF($C384="LT",Config!$G$8,Config!$G$20)))</f>
        <v/>
      </c>
      <c r="Z384">
        <f>IF(OR(N384=0,N384=""),"",ABS((N384-IF($C384="LT",Config!$F$9,Config!$F$21))/IF($C384="LT",Config!$G$9,Config!$G$21)))</f>
        <v/>
      </c>
      <c r="AA384">
        <f>IF(OR(O384=0,O384=""),"",ABS((O384-IF($C384="LT",Config!$F$10,Config!$F$22))/IF($C384="LT",Config!$G$10,Config!$G$22)))</f>
        <v/>
      </c>
      <c r="AB384">
        <f>IF(OR(P384=0,P384=""),"",ABS((P384-IF($C384="LT",Config!$F$11,Config!$F$23))/IF($C384="LT",Config!$G$11,Config!$G$23)))</f>
        <v/>
      </c>
      <c r="AC384">
        <f>IF(OR(Q384=0,Q384=""),"",ABS((Q384-IF($C384="LT",Config!$F$12,Config!$F$24))/IF($C384="LT",Config!$G$12,Config!$G$24)))</f>
        <v/>
      </c>
      <c r="AD384">
        <f>IF(OR(R384=0,R384=""),"",ABS((R384-IF($C384="LT",Config!$F$13,Config!$F$25))/IF($C384="LT",Config!$G$13,Config!$G$25)))</f>
        <v/>
      </c>
    </row>
    <row r="385">
      <c r="A385" t="inlineStr">
        <is>
          <t>04C1926121008</t>
        </is>
      </c>
      <c r="B385" t="inlineStr">
        <is>
          <t>CRS0000675</t>
        </is>
      </c>
      <c r="C385" t="inlineStr">
        <is>
          <t>LT</t>
        </is>
      </c>
      <c r="D385" t="inlineStr">
        <is>
          <t>ALX440U-DS3B01</t>
        </is>
      </c>
      <c r="E385" s="2" t="n">
        <v>46100</v>
      </c>
      <c r="F385" t="inlineStr">
        <is>
          <t>Pass</t>
        </is>
      </c>
      <c r="G385" t="n">
        <v>153</v>
      </c>
      <c r="H385" t="n">
        <v>98.7</v>
      </c>
      <c r="I385" t="n">
        <v>-1957.8</v>
      </c>
      <c r="J385" t="n">
        <v>69.5</v>
      </c>
      <c r="K385" t="n">
        <v>0</v>
      </c>
      <c r="L385" t="n">
        <v>3.8</v>
      </c>
      <c r="M385" t="n">
        <v>0</v>
      </c>
      <c r="N385" t="n">
        <v>65.7</v>
      </c>
      <c r="O385" t="n">
        <v>114.65</v>
      </c>
      <c r="P385" t="n">
        <v>114.65</v>
      </c>
      <c r="Q385" t="n">
        <v>8.4</v>
      </c>
      <c r="R385" t="n">
        <v>8.25</v>
      </c>
      <c r="S385">
        <f>IF(OR(G385=0,G385=""),"",ABS((G385-IF($C385="LT",Config!$F$2,Config!$F$14))/IF($C385="LT",Config!$G$2,Config!$G$14)))</f>
        <v/>
      </c>
      <c r="T385">
        <f>IF(OR(H385=0,H385=""),"",ABS((H385-IF($C385="LT",Config!$F$3,Config!$F$15))/IF($C385="LT",Config!$G$3,Config!$G$15)))</f>
        <v/>
      </c>
      <c r="U385">
        <f>IF(OR(I385=0,I385=""),"",ABS((I385-IF($C385="LT",Config!$F$4,Config!$F$16))/IF($C385="LT",Config!$G$4,Config!$G$16)))</f>
        <v/>
      </c>
      <c r="V385">
        <f>IF(OR(J385=0,J385=""),"",ABS((J385-IF($C385="LT",Config!$F$5,Config!$F$17))/IF($C385="LT",Config!$G$5,Config!$G$17)))</f>
        <v/>
      </c>
      <c r="W385">
        <f>IF(OR(K385=0,K385=""),"",ABS((K385-IF($C385="LT",Config!$F$6,Config!$F$18))/IF($C385="LT",Config!$G$6,Config!$G$18)))</f>
        <v/>
      </c>
      <c r="X385">
        <f>IF(OR(L385=0,L385=""),"",ABS((L385-IF($C385="LT",Config!$F$7,Config!$F$19))/IF($C385="LT",Config!$G$7,Config!$G$19)))</f>
        <v/>
      </c>
      <c r="Y385">
        <f>IF(OR(M385=0,M385=""),"",ABS((M385-IF($C385="LT",Config!$F$8,Config!$F$20))/IF($C385="LT",Config!$G$8,Config!$G$20)))</f>
        <v/>
      </c>
      <c r="Z385">
        <f>IF(OR(N385=0,N385=""),"",ABS((N385-IF($C385="LT",Config!$F$9,Config!$F$21))/IF($C385="LT",Config!$G$9,Config!$G$21)))</f>
        <v/>
      </c>
      <c r="AA385">
        <f>IF(OR(O385=0,O385=""),"",ABS((O385-IF($C385="LT",Config!$F$10,Config!$F$22))/IF($C385="LT",Config!$G$10,Config!$G$22)))</f>
        <v/>
      </c>
      <c r="AB385">
        <f>IF(OR(P385=0,P385=""),"",ABS((P385-IF($C385="LT",Config!$F$11,Config!$F$23))/IF($C385="LT",Config!$G$11,Config!$G$23)))</f>
        <v/>
      </c>
      <c r="AC385">
        <f>IF(OR(Q385=0,Q385=""),"",ABS((Q385-IF($C385="LT",Config!$F$12,Config!$F$24))/IF($C385="LT",Config!$G$12,Config!$G$24)))</f>
        <v/>
      </c>
      <c r="AD385">
        <f>IF(OR(R385=0,R385=""),"",ABS((R385-IF($C385="LT",Config!$F$13,Config!$F$25))/IF($C385="LT",Config!$G$13,Config!$G$25)))</f>
        <v/>
      </c>
    </row>
    <row r="386">
      <c r="A386" t="inlineStr">
        <is>
          <t>04C1926121009</t>
        </is>
      </c>
      <c r="B386" t="inlineStr">
        <is>
          <t>CRS0000675</t>
        </is>
      </c>
      <c r="C386" t="inlineStr">
        <is>
          <t>LT</t>
        </is>
      </c>
      <c r="D386" t="inlineStr">
        <is>
          <t>ALX440U-DS3B01</t>
        </is>
      </c>
      <c r="E386" s="2" t="n">
        <v>46100</v>
      </c>
      <c r="F386" t="inlineStr">
        <is>
          <t>Pass</t>
        </is>
      </c>
      <c r="G386" t="n">
        <v>150.8</v>
      </c>
      <c r="H386" t="n">
        <v>99.2</v>
      </c>
      <c r="I386" t="n">
        <v>-1957.8</v>
      </c>
      <c r="J386" t="n">
        <v>71.7</v>
      </c>
      <c r="K386" t="n">
        <v>0</v>
      </c>
      <c r="L386" t="n">
        <v>2.6</v>
      </c>
      <c r="M386" t="n">
        <v>0</v>
      </c>
      <c r="N386" t="n">
        <v>69.09999999999999</v>
      </c>
      <c r="O386" t="n">
        <v>114.5</v>
      </c>
      <c r="P386" t="n">
        <v>114.43</v>
      </c>
      <c r="Q386" t="n">
        <v>8.109999999999999</v>
      </c>
      <c r="R386" t="n">
        <v>7.96</v>
      </c>
      <c r="S386">
        <f>IF(OR(G386=0,G386=""),"",ABS((G386-IF($C386="LT",Config!$F$2,Config!$F$14))/IF($C386="LT",Config!$G$2,Config!$G$14)))</f>
        <v/>
      </c>
      <c r="T386">
        <f>IF(OR(H386=0,H386=""),"",ABS((H386-IF($C386="LT",Config!$F$3,Config!$F$15))/IF($C386="LT",Config!$G$3,Config!$G$15)))</f>
        <v/>
      </c>
      <c r="U386">
        <f>IF(OR(I386=0,I386=""),"",ABS((I386-IF($C386="LT",Config!$F$4,Config!$F$16))/IF($C386="LT",Config!$G$4,Config!$G$16)))</f>
        <v/>
      </c>
      <c r="V386">
        <f>IF(OR(J386=0,J386=""),"",ABS((J386-IF($C386="LT",Config!$F$5,Config!$F$17))/IF($C386="LT",Config!$G$5,Config!$G$17)))</f>
        <v/>
      </c>
      <c r="W386">
        <f>IF(OR(K386=0,K386=""),"",ABS((K386-IF($C386="LT",Config!$F$6,Config!$F$18))/IF($C386="LT",Config!$G$6,Config!$G$18)))</f>
        <v/>
      </c>
      <c r="X386">
        <f>IF(OR(L386=0,L386=""),"",ABS((L386-IF($C386="LT",Config!$F$7,Config!$F$19))/IF($C386="LT",Config!$G$7,Config!$G$19)))</f>
        <v/>
      </c>
      <c r="Y386">
        <f>IF(OR(M386=0,M386=""),"",ABS((M386-IF($C386="LT",Config!$F$8,Config!$F$20))/IF($C386="LT",Config!$G$8,Config!$G$20)))</f>
        <v/>
      </c>
      <c r="Z386">
        <f>IF(OR(N386=0,N386=""),"",ABS((N386-IF($C386="LT",Config!$F$9,Config!$F$21))/IF($C386="LT",Config!$G$9,Config!$G$21)))</f>
        <v/>
      </c>
      <c r="AA386">
        <f>IF(OR(O386=0,O386=""),"",ABS((O386-IF($C386="LT",Config!$F$10,Config!$F$22))/IF($C386="LT",Config!$G$10,Config!$G$22)))</f>
        <v/>
      </c>
      <c r="AB386">
        <f>IF(OR(P386=0,P386=""),"",ABS((P386-IF($C386="LT",Config!$F$11,Config!$F$23))/IF($C386="LT",Config!$G$11,Config!$G$23)))</f>
        <v/>
      </c>
      <c r="AC386">
        <f>IF(OR(Q386=0,Q386=""),"",ABS((Q386-IF($C386="LT",Config!$F$12,Config!$F$24))/IF($C386="LT",Config!$G$12,Config!$G$24)))</f>
        <v/>
      </c>
      <c r="AD386">
        <f>IF(OR(R386=0,R386=""),"",ABS((R386-IF($C386="LT",Config!$F$13,Config!$F$25))/IF($C386="LT",Config!$G$13,Config!$G$25)))</f>
        <v/>
      </c>
    </row>
    <row r="387">
      <c r="A387" t="inlineStr">
        <is>
          <t>04C1926121010</t>
        </is>
      </c>
      <c r="B387" t="inlineStr">
        <is>
          <t>CRS0000675</t>
        </is>
      </c>
      <c r="C387" t="inlineStr">
        <is>
          <t>LT</t>
        </is>
      </c>
      <c r="D387" t="inlineStr">
        <is>
          <t>ALX440U-DS3B01</t>
        </is>
      </c>
      <c r="E387" s="2" t="n">
        <v>46100</v>
      </c>
      <c r="F387" t="inlineStr">
        <is>
          <t>Pass</t>
        </is>
      </c>
      <c r="G387" t="n">
        <v>149.5</v>
      </c>
      <c r="H387" t="n">
        <v>98.7</v>
      </c>
      <c r="I387" t="n">
        <v>-1957.8</v>
      </c>
      <c r="J387" t="n">
        <v>70.40000000000001</v>
      </c>
      <c r="K387" t="n">
        <v>0</v>
      </c>
      <c r="L387" t="n">
        <v>3.8</v>
      </c>
      <c r="M387" t="n">
        <v>0</v>
      </c>
      <c r="N387" t="n">
        <v>66.59999999999999</v>
      </c>
      <c r="O387" t="n">
        <v>111.42</v>
      </c>
      <c r="P387" t="n">
        <v>117.8</v>
      </c>
      <c r="Q387" t="n">
        <v>8.57</v>
      </c>
      <c r="R387" t="n">
        <v>7.76</v>
      </c>
      <c r="S387">
        <f>IF(OR(G387=0,G387=""),"",ABS((G387-IF($C387="LT",Config!$F$2,Config!$F$14))/IF($C387="LT",Config!$G$2,Config!$G$14)))</f>
        <v/>
      </c>
      <c r="T387">
        <f>IF(OR(H387=0,H387=""),"",ABS((H387-IF($C387="LT",Config!$F$3,Config!$F$15))/IF($C387="LT",Config!$G$3,Config!$G$15)))</f>
        <v/>
      </c>
      <c r="U387">
        <f>IF(OR(I387=0,I387=""),"",ABS((I387-IF($C387="LT",Config!$F$4,Config!$F$16))/IF($C387="LT",Config!$G$4,Config!$G$16)))</f>
        <v/>
      </c>
      <c r="V387">
        <f>IF(OR(J387=0,J387=""),"",ABS((J387-IF($C387="LT",Config!$F$5,Config!$F$17))/IF($C387="LT",Config!$G$5,Config!$G$17)))</f>
        <v/>
      </c>
      <c r="W387">
        <f>IF(OR(K387=0,K387=""),"",ABS((K387-IF($C387="LT",Config!$F$6,Config!$F$18))/IF($C387="LT",Config!$G$6,Config!$G$18)))</f>
        <v/>
      </c>
      <c r="X387">
        <f>IF(OR(L387=0,L387=""),"",ABS((L387-IF($C387="LT",Config!$F$7,Config!$F$19))/IF($C387="LT",Config!$G$7,Config!$G$19)))</f>
        <v/>
      </c>
      <c r="Y387">
        <f>IF(OR(M387=0,M387=""),"",ABS((M387-IF($C387="LT",Config!$F$8,Config!$F$20))/IF($C387="LT",Config!$G$8,Config!$G$20)))</f>
        <v/>
      </c>
      <c r="Z387">
        <f>IF(OR(N387=0,N387=""),"",ABS((N387-IF($C387="LT",Config!$F$9,Config!$F$21))/IF($C387="LT",Config!$G$9,Config!$G$21)))</f>
        <v/>
      </c>
      <c r="AA387">
        <f>IF(OR(O387=0,O387=""),"",ABS((O387-IF($C387="LT",Config!$F$10,Config!$F$22))/IF($C387="LT",Config!$G$10,Config!$G$22)))</f>
        <v/>
      </c>
      <c r="AB387">
        <f>IF(OR(P387=0,P387=""),"",ABS((P387-IF($C387="LT",Config!$F$11,Config!$F$23))/IF($C387="LT",Config!$G$11,Config!$G$23)))</f>
        <v/>
      </c>
      <c r="AC387">
        <f>IF(OR(Q387=0,Q387=""),"",ABS((Q387-IF($C387="LT",Config!$F$12,Config!$F$24))/IF($C387="LT",Config!$G$12,Config!$G$24)))</f>
        <v/>
      </c>
      <c r="AD387">
        <f>IF(OR(R387=0,R387=""),"",ABS((R387-IF($C387="LT",Config!$F$13,Config!$F$25))/IF($C387="LT",Config!$G$13,Config!$G$25)))</f>
        <v/>
      </c>
    </row>
    <row r="388">
      <c r="A388" t="inlineStr">
        <is>
          <t>04C1926121011</t>
        </is>
      </c>
      <c r="B388" t="inlineStr">
        <is>
          <t>CRS0000675</t>
        </is>
      </c>
      <c r="C388" t="inlineStr">
        <is>
          <t>LT</t>
        </is>
      </c>
      <c r="D388" t="inlineStr">
        <is>
          <t>ALX440U-DS3B01</t>
        </is>
      </c>
      <c r="E388" s="2" t="n">
        <v>46100</v>
      </c>
      <c r="F388" t="inlineStr">
        <is>
          <t>Pass</t>
        </is>
      </c>
      <c r="G388" t="n">
        <v>154.4</v>
      </c>
      <c r="H388" t="n">
        <v>95.5</v>
      </c>
      <c r="I388" t="n">
        <v>-1957.8</v>
      </c>
      <c r="J388" t="n">
        <v>69.5</v>
      </c>
      <c r="K388" t="n">
        <v>0</v>
      </c>
      <c r="L388" t="n">
        <v>4.1</v>
      </c>
      <c r="M388" t="n">
        <v>0</v>
      </c>
      <c r="N388" t="n">
        <v>65.40000000000001</v>
      </c>
      <c r="O388" t="n">
        <v>114.43</v>
      </c>
      <c r="P388" t="n">
        <v>113.04</v>
      </c>
      <c r="Q388" t="n">
        <v>8.33</v>
      </c>
      <c r="R388" t="n">
        <v>8.25</v>
      </c>
      <c r="S388">
        <f>IF(OR(G388=0,G388=""),"",ABS((G388-IF($C388="LT",Config!$F$2,Config!$F$14))/IF($C388="LT",Config!$G$2,Config!$G$14)))</f>
        <v/>
      </c>
      <c r="T388">
        <f>IF(OR(H388=0,H388=""),"",ABS((H388-IF($C388="LT",Config!$F$3,Config!$F$15))/IF($C388="LT",Config!$G$3,Config!$G$15)))</f>
        <v/>
      </c>
      <c r="U388">
        <f>IF(OR(I388=0,I388=""),"",ABS((I388-IF($C388="LT",Config!$F$4,Config!$F$16))/IF($C388="LT",Config!$G$4,Config!$G$16)))</f>
        <v/>
      </c>
      <c r="V388">
        <f>IF(OR(J388=0,J388=""),"",ABS((J388-IF($C388="LT",Config!$F$5,Config!$F$17))/IF($C388="LT",Config!$G$5,Config!$G$17)))</f>
        <v/>
      </c>
      <c r="W388">
        <f>IF(OR(K388=0,K388=""),"",ABS((K388-IF($C388="LT",Config!$F$6,Config!$F$18))/IF($C388="LT",Config!$G$6,Config!$G$18)))</f>
        <v/>
      </c>
      <c r="X388">
        <f>IF(OR(L388=0,L388=""),"",ABS((L388-IF($C388="LT",Config!$F$7,Config!$F$19))/IF($C388="LT",Config!$G$7,Config!$G$19)))</f>
        <v/>
      </c>
      <c r="Y388">
        <f>IF(OR(M388=0,M388=""),"",ABS((M388-IF($C388="LT",Config!$F$8,Config!$F$20))/IF($C388="LT",Config!$G$8,Config!$G$20)))</f>
        <v/>
      </c>
      <c r="Z388">
        <f>IF(OR(N388=0,N388=""),"",ABS((N388-IF($C388="LT",Config!$F$9,Config!$F$21))/IF($C388="LT",Config!$G$9,Config!$G$21)))</f>
        <v/>
      </c>
      <c r="AA388">
        <f>IF(OR(O388=0,O388=""),"",ABS((O388-IF($C388="LT",Config!$F$10,Config!$F$22))/IF($C388="LT",Config!$G$10,Config!$G$22)))</f>
        <v/>
      </c>
      <c r="AB388">
        <f>IF(OR(P388=0,P388=""),"",ABS((P388-IF($C388="LT",Config!$F$11,Config!$F$23))/IF($C388="LT",Config!$G$11,Config!$G$23)))</f>
        <v/>
      </c>
      <c r="AC388">
        <f>IF(OR(Q388=0,Q388=""),"",ABS((Q388-IF($C388="LT",Config!$F$12,Config!$F$24))/IF($C388="LT",Config!$G$12,Config!$G$24)))</f>
        <v/>
      </c>
      <c r="AD388">
        <f>IF(OR(R388=0,R388=""),"",ABS((R388-IF($C388="LT",Config!$F$13,Config!$F$25))/IF($C388="LT",Config!$G$13,Config!$G$25)))</f>
        <v/>
      </c>
    </row>
    <row r="389">
      <c r="A389" t="inlineStr">
        <is>
          <t>04C1926121012</t>
        </is>
      </c>
      <c r="B389" t="inlineStr">
        <is>
          <t>CRS0000675</t>
        </is>
      </c>
      <c r="C389" t="inlineStr">
        <is>
          <t>LT</t>
        </is>
      </c>
      <c r="D389" t="inlineStr">
        <is>
          <t>ALX440U-DS3B01</t>
        </is>
      </c>
      <c r="E389" s="2" t="n">
        <v>46100</v>
      </c>
      <c r="F389" t="inlineStr">
        <is>
          <t>Pass</t>
        </is>
      </c>
      <c r="G389" t="n">
        <v>149.9</v>
      </c>
      <c r="H389" t="n">
        <v>104.1</v>
      </c>
      <c r="I389" t="n">
        <v>-1957.8</v>
      </c>
      <c r="J389" t="n">
        <v>69.5</v>
      </c>
      <c r="K389" t="n">
        <v>0</v>
      </c>
      <c r="L389" t="n">
        <v>2.5</v>
      </c>
      <c r="M389" t="n">
        <v>0</v>
      </c>
      <c r="N389" t="n">
        <v>67</v>
      </c>
      <c r="O389" t="n">
        <v>111.5</v>
      </c>
      <c r="P389" t="n">
        <v>117.8</v>
      </c>
      <c r="Q389" t="n">
        <v>8.81</v>
      </c>
      <c r="R389" t="n">
        <v>8.18</v>
      </c>
      <c r="S389">
        <f>IF(OR(G389=0,G389=""),"",ABS((G389-IF($C389="LT",Config!$F$2,Config!$F$14))/IF($C389="LT",Config!$G$2,Config!$G$14)))</f>
        <v/>
      </c>
      <c r="T389">
        <f>IF(OR(H389=0,H389=""),"",ABS((H389-IF($C389="LT",Config!$F$3,Config!$F$15))/IF($C389="LT",Config!$G$3,Config!$G$15)))</f>
        <v/>
      </c>
      <c r="U389">
        <f>IF(OR(I389=0,I389=""),"",ABS((I389-IF($C389="LT",Config!$F$4,Config!$F$16))/IF($C389="LT",Config!$G$4,Config!$G$16)))</f>
        <v/>
      </c>
      <c r="V389">
        <f>IF(OR(J389=0,J389=""),"",ABS((J389-IF($C389="LT",Config!$F$5,Config!$F$17))/IF($C389="LT",Config!$G$5,Config!$G$17)))</f>
        <v/>
      </c>
      <c r="W389">
        <f>IF(OR(K389=0,K389=""),"",ABS((K389-IF($C389="LT",Config!$F$6,Config!$F$18))/IF($C389="LT",Config!$G$6,Config!$G$18)))</f>
        <v/>
      </c>
      <c r="X389">
        <f>IF(OR(L389=0,L389=""),"",ABS((L389-IF($C389="LT",Config!$F$7,Config!$F$19))/IF($C389="LT",Config!$G$7,Config!$G$19)))</f>
        <v/>
      </c>
      <c r="Y389">
        <f>IF(OR(M389=0,M389=""),"",ABS((M389-IF($C389="LT",Config!$F$8,Config!$F$20))/IF($C389="LT",Config!$G$8,Config!$G$20)))</f>
        <v/>
      </c>
      <c r="Z389">
        <f>IF(OR(N389=0,N389=""),"",ABS((N389-IF($C389="LT",Config!$F$9,Config!$F$21))/IF($C389="LT",Config!$G$9,Config!$G$21)))</f>
        <v/>
      </c>
      <c r="AA389">
        <f>IF(OR(O389=0,O389=""),"",ABS((O389-IF($C389="LT",Config!$F$10,Config!$F$22))/IF($C389="LT",Config!$G$10,Config!$G$22)))</f>
        <v/>
      </c>
      <c r="AB389">
        <f>IF(OR(P389=0,P389=""),"",ABS((P389-IF($C389="LT",Config!$F$11,Config!$F$23))/IF($C389="LT",Config!$G$11,Config!$G$23)))</f>
        <v/>
      </c>
      <c r="AC389">
        <f>IF(OR(Q389=0,Q389=""),"",ABS((Q389-IF($C389="LT",Config!$F$12,Config!$F$24))/IF($C389="LT",Config!$G$12,Config!$G$24)))</f>
        <v/>
      </c>
      <c r="AD389">
        <f>IF(OR(R389=0,R389=""),"",ABS((R389-IF($C389="LT",Config!$F$13,Config!$F$25))/IF($C389="LT",Config!$G$13,Config!$G$25)))</f>
        <v/>
      </c>
    </row>
    <row r="390">
      <c r="A390" t="inlineStr">
        <is>
          <t>04C1926121013</t>
        </is>
      </c>
      <c r="B390" t="inlineStr">
        <is>
          <t>CRS0000675</t>
        </is>
      </c>
      <c r="C390" t="inlineStr">
        <is>
          <t>LT</t>
        </is>
      </c>
      <c r="D390" t="inlineStr">
        <is>
          <t>ALX440U-DS3B01</t>
        </is>
      </c>
      <c r="E390" s="2" t="n">
        <v>46100</v>
      </c>
      <c r="F390" t="inlineStr">
        <is>
          <t>Pass</t>
        </is>
      </c>
      <c r="G390" t="n">
        <v>148.6</v>
      </c>
      <c r="H390" t="n">
        <v>93.7</v>
      </c>
      <c r="I390" t="n">
        <v>-1957.8</v>
      </c>
      <c r="J390" t="n">
        <v>68.2</v>
      </c>
      <c r="K390" t="n">
        <v>0</v>
      </c>
      <c r="L390" t="n">
        <v>3</v>
      </c>
      <c r="M390" t="n">
        <v>0</v>
      </c>
      <c r="N390" t="n">
        <v>65.2</v>
      </c>
      <c r="O390" t="n">
        <v>114.94</v>
      </c>
      <c r="P390" t="n">
        <v>114.87</v>
      </c>
      <c r="Q390" t="n">
        <v>7.98</v>
      </c>
      <c r="R390" t="n">
        <v>7.84</v>
      </c>
      <c r="S390">
        <f>IF(OR(G390=0,G390=""),"",ABS((G390-IF($C390="LT",Config!$F$2,Config!$F$14))/IF($C390="LT",Config!$G$2,Config!$G$14)))</f>
        <v/>
      </c>
      <c r="T390">
        <f>IF(OR(H390=0,H390=""),"",ABS((H390-IF($C390="LT",Config!$F$3,Config!$F$15))/IF($C390="LT",Config!$G$3,Config!$G$15)))</f>
        <v/>
      </c>
      <c r="U390">
        <f>IF(OR(I390=0,I390=""),"",ABS((I390-IF($C390="LT",Config!$F$4,Config!$F$16))/IF($C390="LT",Config!$G$4,Config!$G$16)))</f>
        <v/>
      </c>
      <c r="V390">
        <f>IF(OR(J390=0,J390=""),"",ABS((J390-IF($C390="LT",Config!$F$5,Config!$F$17))/IF($C390="LT",Config!$G$5,Config!$G$17)))</f>
        <v/>
      </c>
      <c r="W390">
        <f>IF(OR(K390=0,K390=""),"",ABS((K390-IF($C390="LT",Config!$F$6,Config!$F$18))/IF($C390="LT",Config!$G$6,Config!$G$18)))</f>
        <v/>
      </c>
      <c r="X390">
        <f>IF(OR(L390=0,L390=""),"",ABS((L390-IF($C390="LT",Config!$F$7,Config!$F$19))/IF($C390="LT",Config!$G$7,Config!$G$19)))</f>
        <v/>
      </c>
      <c r="Y390">
        <f>IF(OR(M390=0,M390=""),"",ABS((M390-IF($C390="LT",Config!$F$8,Config!$F$20))/IF($C390="LT",Config!$G$8,Config!$G$20)))</f>
        <v/>
      </c>
      <c r="Z390">
        <f>IF(OR(N390=0,N390=""),"",ABS((N390-IF($C390="LT",Config!$F$9,Config!$F$21))/IF($C390="LT",Config!$G$9,Config!$G$21)))</f>
        <v/>
      </c>
      <c r="AA390">
        <f>IF(OR(O390=0,O390=""),"",ABS((O390-IF($C390="LT",Config!$F$10,Config!$F$22))/IF($C390="LT",Config!$G$10,Config!$G$22)))</f>
        <v/>
      </c>
      <c r="AB390">
        <f>IF(OR(P390=0,P390=""),"",ABS((P390-IF($C390="LT",Config!$F$11,Config!$F$23))/IF($C390="LT",Config!$G$11,Config!$G$23)))</f>
        <v/>
      </c>
      <c r="AC390">
        <f>IF(OR(Q390=0,Q390=""),"",ABS((Q390-IF($C390="LT",Config!$F$12,Config!$F$24))/IF($C390="LT",Config!$G$12,Config!$G$24)))</f>
        <v/>
      </c>
      <c r="AD390">
        <f>IF(OR(R390=0,R390=""),"",ABS((R390-IF($C390="LT",Config!$F$13,Config!$F$25))/IF($C390="LT",Config!$G$13,Config!$G$25)))</f>
        <v/>
      </c>
    </row>
    <row r="391">
      <c r="A391" t="inlineStr">
        <is>
          <t>04C1926121019</t>
        </is>
      </c>
      <c r="B391" t="inlineStr">
        <is>
          <t>CRS0000675</t>
        </is>
      </c>
      <c r="C391" t="inlineStr">
        <is>
          <t>LT</t>
        </is>
      </c>
      <c r="D391" t="inlineStr">
        <is>
          <t>ALX440U-DS3B01</t>
        </is>
      </c>
      <c r="E391" s="2" t="n">
        <v>46100</v>
      </c>
      <c r="F391" t="inlineStr">
        <is>
          <t>Pass</t>
        </is>
      </c>
      <c r="G391" t="n">
        <v>148.6</v>
      </c>
      <c r="H391" t="n">
        <v>99.59999999999999</v>
      </c>
      <c r="I391" t="n">
        <v>-1957.8</v>
      </c>
      <c r="J391" t="n">
        <v>68.59999999999999</v>
      </c>
      <c r="K391" t="n">
        <v>0</v>
      </c>
      <c r="L391" t="n">
        <v>0.6</v>
      </c>
      <c r="M391" t="n">
        <v>0</v>
      </c>
      <c r="N391" t="n">
        <v>68</v>
      </c>
      <c r="O391" t="n">
        <v>114.65</v>
      </c>
      <c r="P391" t="n">
        <v>114.72</v>
      </c>
      <c r="Q391" t="n">
        <v>8.640000000000001</v>
      </c>
      <c r="R391" t="n">
        <v>8.42</v>
      </c>
      <c r="S391">
        <f>IF(OR(G391=0,G391=""),"",ABS((G391-IF($C391="LT",Config!$F$2,Config!$F$14))/IF($C391="LT",Config!$G$2,Config!$G$14)))</f>
        <v/>
      </c>
      <c r="T391">
        <f>IF(OR(H391=0,H391=""),"",ABS((H391-IF($C391="LT",Config!$F$3,Config!$F$15))/IF($C391="LT",Config!$G$3,Config!$G$15)))</f>
        <v/>
      </c>
      <c r="U391">
        <f>IF(OR(I391=0,I391=""),"",ABS((I391-IF($C391="LT",Config!$F$4,Config!$F$16))/IF($C391="LT",Config!$G$4,Config!$G$16)))</f>
        <v/>
      </c>
      <c r="V391">
        <f>IF(OR(J391=0,J391=""),"",ABS((J391-IF($C391="LT",Config!$F$5,Config!$F$17))/IF($C391="LT",Config!$G$5,Config!$G$17)))</f>
        <v/>
      </c>
      <c r="W391">
        <f>IF(OR(K391=0,K391=""),"",ABS((K391-IF($C391="LT",Config!$F$6,Config!$F$18))/IF($C391="LT",Config!$G$6,Config!$G$18)))</f>
        <v/>
      </c>
      <c r="X391">
        <f>IF(OR(L391=0,L391=""),"",ABS((L391-IF($C391="LT",Config!$F$7,Config!$F$19))/IF($C391="LT",Config!$G$7,Config!$G$19)))</f>
        <v/>
      </c>
      <c r="Y391">
        <f>IF(OR(M391=0,M391=""),"",ABS((M391-IF($C391="LT",Config!$F$8,Config!$F$20))/IF($C391="LT",Config!$G$8,Config!$G$20)))</f>
        <v/>
      </c>
      <c r="Z391">
        <f>IF(OR(N391=0,N391=""),"",ABS((N391-IF($C391="LT",Config!$F$9,Config!$F$21))/IF($C391="LT",Config!$G$9,Config!$G$21)))</f>
        <v/>
      </c>
      <c r="AA391">
        <f>IF(OR(O391=0,O391=""),"",ABS((O391-IF($C391="LT",Config!$F$10,Config!$F$22))/IF($C391="LT",Config!$G$10,Config!$G$22)))</f>
        <v/>
      </c>
      <c r="AB391">
        <f>IF(OR(P391=0,P391=""),"",ABS((P391-IF($C391="LT",Config!$F$11,Config!$F$23))/IF($C391="LT",Config!$G$11,Config!$G$23)))</f>
        <v/>
      </c>
      <c r="AC391">
        <f>IF(OR(Q391=0,Q391=""),"",ABS((Q391-IF($C391="LT",Config!$F$12,Config!$F$24))/IF($C391="LT",Config!$G$12,Config!$G$24)))</f>
        <v/>
      </c>
      <c r="AD391">
        <f>IF(OR(R391=0,R391=""),"",ABS((R391-IF($C391="LT",Config!$F$13,Config!$F$25))/IF($C391="LT",Config!$G$13,Config!$G$25)))</f>
        <v/>
      </c>
    </row>
    <row r="392">
      <c r="A392" t="inlineStr">
        <is>
          <t>04C1926121021</t>
        </is>
      </c>
      <c r="B392" t="inlineStr">
        <is>
          <t>CRS0000675</t>
        </is>
      </c>
      <c r="C392" t="inlineStr">
        <is>
          <t>LT</t>
        </is>
      </c>
      <c r="D392" t="inlineStr">
        <is>
          <t>ALX440U-DS3B01</t>
        </is>
      </c>
      <c r="E392" s="2" t="n">
        <v>46100</v>
      </c>
      <c r="F392" t="inlineStr">
        <is>
          <t>Fail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>
        <f>IF(OR(G392=0,G392=""),"",ABS((G392-IF($C392="LT",Config!$F$2,Config!$F$14))/IF($C392="LT",Config!$G$2,Config!$G$14)))</f>
        <v/>
      </c>
      <c r="T392">
        <f>IF(OR(H392=0,H392=""),"",ABS((H392-IF($C392="LT",Config!$F$3,Config!$F$15))/IF($C392="LT",Config!$G$3,Config!$G$15)))</f>
        <v/>
      </c>
      <c r="U392">
        <f>IF(OR(I392=0,I392=""),"",ABS((I392-IF($C392="LT",Config!$F$4,Config!$F$16))/IF($C392="LT",Config!$G$4,Config!$G$16)))</f>
        <v/>
      </c>
      <c r="V392">
        <f>IF(OR(J392=0,J392=""),"",ABS((J392-IF($C392="LT",Config!$F$5,Config!$F$17))/IF($C392="LT",Config!$G$5,Config!$G$17)))</f>
        <v/>
      </c>
      <c r="W392">
        <f>IF(OR(K392=0,K392=""),"",ABS((K392-IF($C392="LT",Config!$F$6,Config!$F$18))/IF($C392="LT",Config!$G$6,Config!$G$18)))</f>
        <v/>
      </c>
      <c r="X392">
        <f>IF(OR(L392=0,L392=""),"",ABS((L392-IF($C392="LT",Config!$F$7,Config!$F$19))/IF($C392="LT",Config!$G$7,Config!$G$19)))</f>
        <v/>
      </c>
      <c r="Y392">
        <f>IF(OR(M392=0,M392=""),"",ABS((M392-IF($C392="LT",Config!$F$8,Config!$F$20))/IF($C392="LT",Config!$G$8,Config!$G$20)))</f>
        <v/>
      </c>
      <c r="Z392">
        <f>IF(OR(N392=0,N392=""),"",ABS((N392-IF($C392="LT",Config!$F$9,Config!$F$21))/IF($C392="LT",Config!$G$9,Config!$G$21)))</f>
        <v/>
      </c>
      <c r="AA392">
        <f>IF(OR(O392=0,O392=""),"",ABS((O392-IF($C392="LT",Config!$F$10,Config!$F$22))/IF($C392="LT",Config!$G$10,Config!$G$22)))</f>
        <v/>
      </c>
      <c r="AB392">
        <f>IF(OR(P392=0,P392=""),"",ABS((P392-IF($C392="LT",Config!$F$11,Config!$F$23))/IF($C392="LT",Config!$G$11,Config!$G$23)))</f>
        <v/>
      </c>
      <c r="AC392">
        <f>IF(OR(Q392=0,Q392=""),"",ABS((Q392-IF($C392="LT",Config!$F$12,Config!$F$24))/IF($C392="LT",Config!$G$12,Config!$G$24)))</f>
        <v/>
      </c>
      <c r="AD392">
        <f>IF(OR(R392=0,R392=""),"",ABS((R392-IF($C392="LT",Config!$F$13,Config!$F$25))/IF($C392="LT",Config!$G$13,Config!$G$25)))</f>
        <v/>
      </c>
    </row>
    <row r="393">
      <c r="A393" t="inlineStr">
        <is>
          <t>04C1926121021</t>
        </is>
      </c>
      <c r="B393" t="inlineStr">
        <is>
          <t>CRS0000675</t>
        </is>
      </c>
      <c r="C393" t="inlineStr">
        <is>
          <t>LT</t>
        </is>
      </c>
      <c r="D393" t="inlineStr">
        <is>
          <t>ALX440U-DS3B01</t>
        </is>
      </c>
      <c r="E393" s="2" t="n">
        <v>46100</v>
      </c>
      <c r="F393" t="inlineStr">
        <is>
          <t>Pass</t>
        </is>
      </c>
      <c r="G393" t="n">
        <v>155.3</v>
      </c>
      <c r="H393" t="n">
        <v>102.3</v>
      </c>
      <c r="I393" t="n">
        <v>-1957.8</v>
      </c>
      <c r="J393" t="n">
        <v>69.5</v>
      </c>
      <c r="K393" t="n">
        <v>0</v>
      </c>
      <c r="L393" t="n">
        <v>0.5</v>
      </c>
      <c r="M393" t="n">
        <v>0</v>
      </c>
      <c r="N393" t="n">
        <v>70</v>
      </c>
      <c r="O393" t="n">
        <v>111.57</v>
      </c>
      <c r="P393" t="n">
        <v>112.96</v>
      </c>
      <c r="Q393" t="n">
        <v>8.52</v>
      </c>
      <c r="R393" t="n">
        <v>8.42</v>
      </c>
      <c r="S393">
        <f>IF(OR(G393=0,G393=""),"",ABS((G393-IF($C393="LT",Config!$F$2,Config!$F$14))/IF($C393="LT",Config!$G$2,Config!$G$14)))</f>
        <v/>
      </c>
      <c r="T393">
        <f>IF(OR(H393=0,H393=""),"",ABS((H393-IF($C393="LT",Config!$F$3,Config!$F$15))/IF($C393="LT",Config!$G$3,Config!$G$15)))</f>
        <v/>
      </c>
      <c r="U393">
        <f>IF(OR(I393=0,I393=""),"",ABS((I393-IF($C393="LT",Config!$F$4,Config!$F$16))/IF($C393="LT",Config!$G$4,Config!$G$16)))</f>
        <v/>
      </c>
      <c r="V393">
        <f>IF(OR(J393=0,J393=""),"",ABS((J393-IF($C393="LT",Config!$F$5,Config!$F$17))/IF($C393="LT",Config!$G$5,Config!$G$17)))</f>
        <v/>
      </c>
      <c r="W393">
        <f>IF(OR(K393=0,K393=""),"",ABS((K393-IF($C393="LT",Config!$F$6,Config!$F$18))/IF($C393="LT",Config!$G$6,Config!$G$18)))</f>
        <v/>
      </c>
      <c r="X393">
        <f>IF(OR(L393=0,L393=""),"",ABS((L393-IF($C393="LT",Config!$F$7,Config!$F$19))/IF($C393="LT",Config!$G$7,Config!$G$19)))</f>
        <v/>
      </c>
      <c r="Y393">
        <f>IF(OR(M393=0,M393=""),"",ABS((M393-IF($C393="LT",Config!$F$8,Config!$F$20))/IF($C393="LT",Config!$G$8,Config!$G$20)))</f>
        <v/>
      </c>
      <c r="Z393">
        <f>IF(OR(N393=0,N393=""),"",ABS((N393-IF($C393="LT",Config!$F$9,Config!$F$21))/IF($C393="LT",Config!$G$9,Config!$G$21)))</f>
        <v/>
      </c>
      <c r="AA393">
        <f>IF(OR(O393=0,O393=""),"",ABS((O393-IF($C393="LT",Config!$F$10,Config!$F$22))/IF($C393="LT",Config!$G$10,Config!$G$22)))</f>
        <v/>
      </c>
      <c r="AB393">
        <f>IF(OR(P393=0,P393=""),"",ABS((P393-IF($C393="LT",Config!$F$11,Config!$F$23))/IF($C393="LT",Config!$G$11,Config!$G$23)))</f>
        <v/>
      </c>
      <c r="AC393">
        <f>IF(OR(Q393=0,Q393=""),"",ABS((Q393-IF($C393="LT",Config!$F$12,Config!$F$24))/IF($C393="LT",Config!$G$12,Config!$G$24)))</f>
        <v/>
      </c>
      <c r="AD393">
        <f>IF(OR(R393=0,R393=""),"",ABS((R393-IF($C393="LT",Config!$F$13,Config!$F$25))/IF($C393="LT",Config!$G$13,Config!$G$25)))</f>
        <v/>
      </c>
    </row>
    <row r="394">
      <c r="A394" t="inlineStr">
        <is>
          <t>04C1926121020</t>
        </is>
      </c>
      <c r="B394" t="inlineStr">
        <is>
          <t>CRS0000675</t>
        </is>
      </c>
      <c r="C394" t="inlineStr">
        <is>
          <t>LT</t>
        </is>
      </c>
      <c r="D394" t="inlineStr">
        <is>
          <t>ALX440U-DS3B01</t>
        </is>
      </c>
      <c r="E394" s="2" t="n">
        <v>46101</v>
      </c>
      <c r="F394" t="inlineStr">
        <is>
          <t>Pass</t>
        </is>
      </c>
      <c r="G394" t="n">
        <v>148.1</v>
      </c>
      <c r="H394" t="n">
        <v>97.3</v>
      </c>
      <c r="I394" t="n">
        <v>-1957.8</v>
      </c>
      <c r="J394" t="n">
        <v>70.8</v>
      </c>
      <c r="K394" t="n">
        <v>0</v>
      </c>
      <c r="L394" t="n">
        <v>5.7</v>
      </c>
      <c r="M394" t="n">
        <v>0</v>
      </c>
      <c r="N394" t="n">
        <v>65.09999999999999</v>
      </c>
      <c r="O394" t="n">
        <v>110.91</v>
      </c>
      <c r="P394" t="n">
        <v>117.8</v>
      </c>
      <c r="Q394" t="n">
        <v>8.67</v>
      </c>
      <c r="R394" t="n">
        <v>7.79</v>
      </c>
      <c r="S394">
        <f>IF(OR(G394=0,G394=""),"",ABS((G394-IF($C394="LT",Config!$F$2,Config!$F$14))/IF($C394="LT",Config!$G$2,Config!$G$14)))</f>
        <v/>
      </c>
      <c r="T394">
        <f>IF(OR(H394=0,H394=""),"",ABS((H394-IF($C394="LT",Config!$F$3,Config!$F$15))/IF($C394="LT",Config!$G$3,Config!$G$15)))</f>
        <v/>
      </c>
      <c r="U394">
        <f>IF(OR(I394=0,I394=""),"",ABS((I394-IF($C394="LT",Config!$F$4,Config!$F$16))/IF($C394="LT",Config!$G$4,Config!$G$16)))</f>
        <v/>
      </c>
      <c r="V394">
        <f>IF(OR(J394=0,J394=""),"",ABS((J394-IF($C394="LT",Config!$F$5,Config!$F$17))/IF($C394="LT",Config!$G$5,Config!$G$17)))</f>
        <v/>
      </c>
      <c r="W394">
        <f>IF(OR(K394=0,K394=""),"",ABS((K394-IF($C394="LT",Config!$F$6,Config!$F$18))/IF($C394="LT",Config!$G$6,Config!$G$18)))</f>
        <v/>
      </c>
      <c r="X394">
        <f>IF(OR(L394=0,L394=""),"",ABS((L394-IF($C394="LT",Config!$F$7,Config!$F$19))/IF($C394="LT",Config!$G$7,Config!$G$19)))</f>
        <v/>
      </c>
      <c r="Y394">
        <f>IF(OR(M394=0,M394=""),"",ABS((M394-IF($C394="LT",Config!$F$8,Config!$F$20))/IF($C394="LT",Config!$G$8,Config!$G$20)))</f>
        <v/>
      </c>
      <c r="Z394">
        <f>IF(OR(N394=0,N394=""),"",ABS((N394-IF($C394="LT",Config!$F$9,Config!$F$21))/IF($C394="LT",Config!$G$9,Config!$G$21)))</f>
        <v/>
      </c>
      <c r="AA394">
        <f>IF(OR(O394=0,O394=""),"",ABS((O394-IF($C394="LT",Config!$F$10,Config!$F$22))/IF($C394="LT",Config!$G$10,Config!$G$22)))</f>
        <v/>
      </c>
      <c r="AB394">
        <f>IF(OR(P394=0,P394=""),"",ABS((P394-IF($C394="LT",Config!$F$11,Config!$F$23))/IF($C394="LT",Config!$G$11,Config!$G$23)))</f>
        <v/>
      </c>
      <c r="AC394">
        <f>IF(OR(Q394=0,Q394=""),"",ABS((Q394-IF($C394="LT",Config!$F$12,Config!$F$24))/IF($C394="LT",Config!$G$12,Config!$G$24)))</f>
        <v/>
      </c>
      <c r="AD394">
        <f>IF(OR(R394=0,R394=""),"",ABS((R394-IF($C394="LT",Config!$F$13,Config!$F$25))/IF($C394="LT",Config!$G$13,Config!$G$25)))</f>
        <v/>
      </c>
    </row>
    <row r="395">
      <c r="A395" t="inlineStr">
        <is>
          <t>04C1926121023</t>
        </is>
      </c>
      <c r="B395" t="inlineStr">
        <is>
          <t>CRS0000675</t>
        </is>
      </c>
      <c r="C395" t="inlineStr">
        <is>
          <t>LT</t>
        </is>
      </c>
      <c r="D395" t="inlineStr">
        <is>
          <t>ALX440U-DS3B01</t>
        </is>
      </c>
      <c r="E395" s="2" t="n">
        <v>46101</v>
      </c>
      <c r="F395" t="inlineStr">
        <is>
          <t>Pass</t>
        </is>
      </c>
      <c r="G395" t="n">
        <v>150.8</v>
      </c>
      <c r="H395" t="n">
        <v>103.2</v>
      </c>
      <c r="I395" t="n">
        <v>-1957.8</v>
      </c>
      <c r="J395" t="n">
        <v>69.5</v>
      </c>
      <c r="K395" t="n">
        <v>0</v>
      </c>
      <c r="L395" t="n">
        <v>3</v>
      </c>
      <c r="M395" t="n">
        <v>0</v>
      </c>
      <c r="N395" t="n">
        <v>66.5</v>
      </c>
      <c r="O395" t="n">
        <v>114.72</v>
      </c>
      <c r="P395" t="n">
        <v>114.72</v>
      </c>
      <c r="Q395" t="n">
        <v>8.4</v>
      </c>
      <c r="R395" t="n">
        <v>8.23</v>
      </c>
      <c r="S395">
        <f>IF(OR(G395=0,G395=""),"",ABS((G395-IF($C395="LT",Config!$F$2,Config!$F$14))/IF($C395="LT",Config!$G$2,Config!$G$14)))</f>
        <v/>
      </c>
      <c r="T395">
        <f>IF(OR(H395=0,H395=""),"",ABS((H395-IF($C395="LT",Config!$F$3,Config!$F$15))/IF($C395="LT",Config!$G$3,Config!$G$15)))</f>
        <v/>
      </c>
      <c r="U395">
        <f>IF(OR(I395=0,I395=""),"",ABS((I395-IF($C395="LT",Config!$F$4,Config!$F$16))/IF($C395="LT",Config!$G$4,Config!$G$16)))</f>
        <v/>
      </c>
      <c r="V395">
        <f>IF(OR(J395=0,J395=""),"",ABS((J395-IF($C395="LT",Config!$F$5,Config!$F$17))/IF($C395="LT",Config!$G$5,Config!$G$17)))</f>
        <v/>
      </c>
      <c r="W395">
        <f>IF(OR(K395=0,K395=""),"",ABS((K395-IF($C395="LT",Config!$F$6,Config!$F$18))/IF($C395="LT",Config!$G$6,Config!$G$18)))</f>
        <v/>
      </c>
      <c r="X395">
        <f>IF(OR(L395=0,L395=""),"",ABS((L395-IF($C395="LT",Config!$F$7,Config!$F$19))/IF($C395="LT",Config!$G$7,Config!$G$19)))</f>
        <v/>
      </c>
      <c r="Y395">
        <f>IF(OR(M395=0,M395=""),"",ABS((M395-IF($C395="LT",Config!$F$8,Config!$F$20))/IF($C395="LT",Config!$G$8,Config!$G$20)))</f>
        <v/>
      </c>
      <c r="Z395">
        <f>IF(OR(N395=0,N395=""),"",ABS((N395-IF($C395="LT",Config!$F$9,Config!$F$21))/IF($C395="LT",Config!$G$9,Config!$G$21)))</f>
        <v/>
      </c>
      <c r="AA395">
        <f>IF(OR(O395=0,O395=""),"",ABS((O395-IF($C395="LT",Config!$F$10,Config!$F$22))/IF($C395="LT",Config!$G$10,Config!$G$22)))</f>
        <v/>
      </c>
      <c r="AB395">
        <f>IF(OR(P395=0,P395=""),"",ABS((P395-IF($C395="LT",Config!$F$11,Config!$F$23))/IF($C395="LT",Config!$G$11,Config!$G$23)))</f>
        <v/>
      </c>
      <c r="AC395">
        <f>IF(OR(Q395=0,Q395=""),"",ABS((Q395-IF($C395="LT",Config!$F$12,Config!$F$24))/IF($C395="LT",Config!$G$12,Config!$G$24)))</f>
        <v/>
      </c>
      <c r="AD395">
        <f>IF(OR(R395=0,R395=""),"",ABS((R395-IF($C395="LT",Config!$F$13,Config!$F$25))/IF($C395="LT",Config!$G$13,Config!$G$25)))</f>
        <v/>
      </c>
    </row>
    <row r="396">
      <c r="A396" t="inlineStr">
        <is>
          <t>04C1926121024</t>
        </is>
      </c>
      <c r="B396" t="inlineStr">
        <is>
          <t>CRS0000675</t>
        </is>
      </c>
      <c r="C396" t="inlineStr">
        <is>
          <t>LT</t>
        </is>
      </c>
      <c r="D396" t="inlineStr">
        <is>
          <t>ALX440U-DS3B01</t>
        </is>
      </c>
      <c r="E396" s="2" t="n">
        <v>46101</v>
      </c>
      <c r="F396" t="inlineStr">
        <is>
          <t>Pass</t>
        </is>
      </c>
      <c r="G396" t="n">
        <v>152.2</v>
      </c>
      <c r="H396" t="n">
        <v>97.3</v>
      </c>
      <c r="I396" t="n">
        <v>-1957.8</v>
      </c>
      <c r="J396" t="n">
        <v>70.40000000000001</v>
      </c>
      <c r="K396" t="n">
        <v>0</v>
      </c>
      <c r="L396" t="n">
        <v>0.1</v>
      </c>
      <c r="M396" t="n">
        <v>0</v>
      </c>
      <c r="N396" t="n">
        <v>70.3</v>
      </c>
      <c r="O396" t="n">
        <v>115.31</v>
      </c>
      <c r="P396" t="n">
        <v>115.53</v>
      </c>
      <c r="Q396" t="n">
        <v>8.130000000000001</v>
      </c>
      <c r="R396" t="n">
        <v>7.84</v>
      </c>
      <c r="S396">
        <f>IF(OR(G396=0,G396=""),"",ABS((G396-IF($C396="LT",Config!$F$2,Config!$F$14))/IF($C396="LT",Config!$G$2,Config!$G$14)))</f>
        <v/>
      </c>
      <c r="T396">
        <f>IF(OR(H396=0,H396=""),"",ABS((H396-IF($C396="LT",Config!$F$3,Config!$F$15))/IF($C396="LT",Config!$G$3,Config!$G$15)))</f>
        <v/>
      </c>
      <c r="U396">
        <f>IF(OR(I396=0,I396=""),"",ABS((I396-IF($C396="LT",Config!$F$4,Config!$F$16))/IF($C396="LT",Config!$G$4,Config!$G$16)))</f>
        <v/>
      </c>
      <c r="V396">
        <f>IF(OR(J396=0,J396=""),"",ABS((J396-IF($C396="LT",Config!$F$5,Config!$F$17))/IF($C396="LT",Config!$G$5,Config!$G$17)))</f>
        <v/>
      </c>
      <c r="W396">
        <f>IF(OR(K396=0,K396=""),"",ABS((K396-IF($C396="LT",Config!$F$6,Config!$F$18))/IF($C396="LT",Config!$G$6,Config!$G$18)))</f>
        <v/>
      </c>
      <c r="X396">
        <f>IF(OR(L396=0,L396=""),"",ABS((L396-IF($C396="LT",Config!$F$7,Config!$F$19))/IF($C396="LT",Config!$G$7,Config!$G$19)))</f>
        <v/>
      </c>
      <c r="Y396">
        <f>IF(OR(M396=0,M396=""),"",ABS((M396-IF($C396="LT",Config!$F$8,Config!$F$20))/IF($C396="LT",Config!$G$8,Config!$G$20)))</f>
        <v/>
      </c>
      <c r="Z396">
        <f>IF(OR(N396=0,N396=""),"",ABS((N396-IF($C396="LT",Config!$F$9,Config!$F$21))/IF($C396="LT",Config!$G$9,Config!$G$21)))</f>
        <v/>
      </c>
      <c r="AA396">
        <f>IF(OR(O396=0,O396=""),"",ABS((O396-IF($C396="LT",Config!$F$10,Config!$F$22))/IF($C396="LT",Config!$G$10,Config!$G$22)))</f>
        <v/>
      </c>
      <c r="AB396">
        <f>IF(OR(P396=0,P396=""),"",ABS((P396-IF($C396="LT",Config!$F$11,Config!$F$23))/IF($C396="LT",Config!$G$11,Config!$G$23)))</f>
        <v/>
      </c>
      <c r="AC396">
        <f>IF(OR(Q396=0,Q396=""),"",ABS((Q396-IF($C396="LT",Config!$F$12,Config!$F$24))/IF($C396="LT",Config!$G$12,Config!$G$24)))</f>
        <v/>
      </c>
      <c r="AD396">
        <f>IF(OR(R396=0,R396=""),"",ABS((R396-IF($C396="LT",Config!$F$13,Config!$F$25))/IF($C396="LT",Config!$G$13,Config!$G$25)))</f>
        <v/>
      </c>
    </row>
    <row r="397">
      <c r="A397" t="inlineStr">
        <is>
          <t>04C1926121025</t>
        </is>
      </c>
      <c r="B397" t="inlineStr">
        <is>
          <t>CRS0000674</t>
        </is>
      </c>
      <c r="C397" t="inlineStr">
        <is>
          <t>MT</t>
        </is>
      </c>
      <c r="D397" t="inlineStr">
        <is>
          <t>TCX413U-DS1B01</t>
        </is>
      </c>
      <c r="E397" s="2" t="n">
        <v>46101</v>
      </c>
      <c r="F397" t="inlineStr">
        <is>
          <t>Pass</t>
        </is>
      </c>
      <c r="G397" t="n">
        <v>110.6</v>
      </c>
      <c r="H397" t="n">
        <v>80.2</v>
      </c>
      <c r="I397" t="n">
        <v>-1957.8</v>
      </c>
      <c r="J397" t="n">
        <v>68.59999999999999</v>
      </c>
      <c r="K397" t="n">
        <v>0</v>
      </c>
      <c r="L397" t="n">
        <v>2.4</v>
      </c>
      <c r="M397" t="n">
        <v>0</v>
      </c>
      <c r="N397" t="n">
        <v>66.2</v>
      </c>
      <c r="O397" t="n">
        <v>115.75</v>
      </c>
      <c r="P397" t="n">
        <v>117.29</v>
      </c>
      <c r="Q397" t="n">
        <v>3.66</v>
      </c>
      <c r="R397" t="n">
        <v>3.66</v>
      </c>
      <c r="S397">
        <f>IF(OR(G397=0,G397=""),"",ABS((G397-IF($C397="LT",Config!$F$2,Config!$F$14))/IF($C397="LT",Config!$G$2,Config!$G$14)))</f>
        <v/>
      </c>
      <c r="T397">
        <f>IF(OR(H397=0,H397=""),"",ABS((H397-IF($C397="LT",Config!$F$3,Config!$F$15))/IF($C397="LT",Config!$G$3,Config!$G$15)))</f>
        <v/>
      </c>
      <c r="U397">
        <f>IF(OR(I397=0,I397=""),"",ABS((I397-IF($C397="LT",Config!$F$4,Config!$F$16))/IF($C397="LT",Config!$G$4,Config!$G$16)))</f>
        <v/>
      </c>
      <c r="V397">
        <f>IF(OR(J397=0,J397=""),"",ABS((J397-IF($C397="LT",Config!$F$5,Config!$F$17))/IF($C397="LT",Config!$G$5,Config!$G$17)))</f>
        <v/>
      </c>
      <c r="W397">
        <f>IF(OR(K397=0,K397=""),"",ABS((K397-IF($C397="LT",Config!$F$6,Config!$F$18))/IF($C397="LT",Config!$G$6,Config!$G$18)))</f>
        <v/>
      </c>
      <c r="X397">
        <f>IF(OR(L397=0,L397=""),"",ABS((L397-IF($C397="LT",Config!$F$7,Config!$F$19))/IF($C397="LT",Config!$G$7,Config!$G$19)))</f>
        <v/>
      </c>
      <c r="Y397">
        <f>IF(OR(M397=0,M397=""),"",ABS((M397-IF($C397="LT",Config!$F$8,Config!$F$20))/IF($C397="LT",Config!$G$8,Config!$G$20)))</f>
        <v/>
      </c>
      <c r="Z397">
        <f>IF(OR(N397=0,N397=""),"",ABS((N397-IF($C397="LT",Config!$F$9,Config!$F$21))/IF($C397="LT",Config!$G$9,Config!$G$21)))</f>
        <v/>
      </c>
      <c r="AA397">
        <f>IF(OR(O397=0,O397=""),"",ABS((O397-IF($C397="LT",Config!$F$10,Config!$F$22))/IF($C397="LT",Config!$G$10,Config!$G$22)))</f>
        <v/>
      </c>
      <c r="AB397">
        <f>IF(OR(P397=0,P397=""),"",ABS((P397-IF($C397="LT",Config!$F$11,Config!$F$23))/IF($C397="LT",Config!$G$11,Config!$G$23)))</f>
        <v/>
      </c>
      <c r="AC397">
        <f>IF(OR(Q397=0,Q397=""),"",ABS((Q397-IF($C397="LT",Config!$F$12,Config!$F$24))/IF($C397="LT",Config!$G$12,Config!$G$24)))</f>
        <v/>
      </c>
      <c r="AD397">
        <f>IF(OR(R397=0,R397=""),"",ABS((R397-IF($C397="LT",Config!$F$13,Config!$F$25))/IF($C397="LT",Config!$G$13,Config!$G$25)))</f>
        <v/>
      </c>
    </row>
    <row r="398">
      <c r="A398" t="inlineStr">
        <is>
          <t>04C1926121026</t>
        </is>
      </c>
      <c r="B398" t="inlineStr">
        <is>
          <t>CRS0000674</t>
        </is>
      </c>
      <c r="C398" t="inlineStr">
        <is>
          <t>MT</t>
        </is>
      </c>
      <c r="D398" t="inlineStr">
        <is>
          <t>TCX413U-DS1B01</t>
        </is>
      </c>
      <c r="E398" s="2" t="n">
        <v>46101</v>
      </c>
      <c r="F398" t="inlineStr">
        <is>
          <t>Pass</t>
        </is>
      </c>
      <c r="G398" t="n">
        <v>113.3</v>
      </c>
      <c r="H398" t="n">
        <v>83.8</v>
      </c>
      <c r="I398" t="n">
        <v>-1957.8</v>
      </c>
      <c r="J398" t="n">
        <v>68.2</v>
      </c>
      <c r="K398" t="n">
        <v>0</v>
      </c>
      <c r="L398" t="n">
        <v>3</v>
      </c>
      <c r="M398" t="n">
        <v>0</v>
      </c>
      <c r="N398" t="n">
        <v>65.2</v>
      </c>
      <c r="O398" t="n">
        <v>115.38</v>
      </c>
      <c r="P398" t="n">
        <v>115.31</v>
      </c>
      <c r="Q398" t="n">
        <v>3.66</v>
      </c>
      <c r="R398" t="n">
        <v>3.78</v>
      </c>
      <c r="S398">
        <f>IF(OR(G398=0,G398=""),"",ABS((G398-IF($C398="LT",Config!$F$2,Config!$F$14))/IF($C398="LT",Config!$G$2,Config!$G$14)))</f>
        <v/>
      </c>
      <c r="T398">
        <f>IF(OR(H398=0,H398=""),"",ABS((H398-IF($C398="LT",Config!$F$3,Config!$F$15))/IF($C398="LT",Config!$G$3,Config!$G$15)))</f>
        <v/>
      </c>
      <c r="U398">
        <f>IF(OR(I398=0,I398=""),"",ABS((I398-IF($C398="LT",Config!$F$4,Config!$F$16))/IF($C398="LT",Config!$G$4,Config!$G$16)))</f>
        <v/>
      </c>
      <c r="V398">
        <f>IF(OR(J398=0,J398=""),"",ABS((J398-IF($C398="LT",Config!$F$5,Config!$F$17))/IF($C398="LT",Config!$G$5,Config!$G$17)))</f>
        <v/>
      </c>
      <c r="W398">
        <f>IF(OR(K398=0,K398=""),"",ABS((K398-IF($C398="LT",Config!$F$6,Config!$F$18))/IF($C398="LT",Config!$G$6,Config!$G$18)))</f>
        <v/>
      </c>
      <c r="X398">
        <f>IF(OR(L398=0,L398=""),"",ABS((L398-IF($C398="LT",Config!$F$7,Config!$F$19))/IF($C398="LT",Config!$G$7,Config!$G$19)))</f>
        <v/>
      </c>
      <c r="Y398">
        <f>IF(OR(M398=0,M398=""),"",ABS((M398-IF($C398="LT",Config!$F$8,Config!$F$20))/IF($C398="LT",Config!$G$8,Config!$G$20)))</f>
        <v/>
      </c>
      <c r="Z398">
        <f>IF(OR(N398=0,N398=""),"",ABS((N398-IF($C398="LT",Config!$F$9,Config!$F$21))/IF($C398="LT",Config!$G$9,Config!$G$21)))</f>
        <v/>
      </c>
      <c r="AA398">
        <f>IF(OR(O398=0,O398=""),"",ABS((O398-IF($C398="LT",Config!$F$10,Config!$F$22))/IF($C398="LT",Config!$G$10,Config!$G$22)))</f>
        <v/>
      </c>
      <c r="AB398">
        <f>IF(OR(P398=0,P398=""),"",ABS((P398-IF($C398="LT",Config!$F$11,Config!$F$23))/IF($C398="LT",Config!$G$11,Config!$G$23)))</f>
        <v/>
      </c>
      <c r="AC398">
        <f>IF(OR(Q398=0,Q398=""),"",ABS((Q398-IF($C398="LT",Config!$F$12,Config!$F$24))/IF($C398="LT",Config!$G$12,Config!$G$24)))</f>
        <v/>
      </c>
      <c r="AD398">
        <f>IF(OR(R398=0,R398=""),"",ABS((R398-IF($C398="LT",Config!$F$13,Config!$F$25))/IF($C398="LT",Config!$G$13,Config!$G$25)))</f>
        <v/>
      </c>
    </row>
    <row r="399">
      <c r="A399" t="inlineStr">
        <is>
          <t>04C1926121027</t>
        </is>
      </c>
      <c r="B399" t="inlineStr">
        <is>
          <t>CRS0000674</t>
        </is>
      </c>
      <c r="C399" t="inlineStr">
        <is>
          <t>MT</t>
        </is>
      </c>
      <c r="D399" t="inlineStr">
        <is>
          <t>TCX413U-DS1B01</t>
        </is>
      </c>
      <c r="E399" s="2" t="n">
        <v>46101</v>
      </c>
      <c r="F399" t="inlineStr">
        <is>
          <t>Pass</t>
        </is>
      </c>
      <c r="G399" t="n">
        <v>114.2</v>
      </c>
      <c r="H399" t="n">
        <v>84.3</v>
      </c>
      <c r="I399" t="n">
        <v>-1957.8</v>
      </c>
      <c r="J399" t="n">
        <v>68.59999999999999</v>
      </c>
      <c r="K399" t="n">
        <v>0</v>
      </c>
      <c r="L399" t="n">
        <v>2.1</v>
      </c>
      <c r="M399" t="n">
        <v>0</v>
      </c>
      <c r="N399" t="n">
        <v>66.5</v>
      </c>
      <c r="O399" t="n">
        <v>112.3</v>
      </c>
      <c r="P399" t="n">
        <v>116.63</v>
      </c>
      <c r="Q399" t="n">
        <v>3.83</v>
      </c>
      <c r="R399" t="n">
        <v>3.86</v>
      </c>
      <c r="S399">
        <f>IF(OR(G399=0,G399=""),"",ABS((G399-IF($C399="LT",Config!$F$2,Config!$F$14))/IF($C399="LT",Config!$G$2,Config!$G$14)))</f>
        <v/>
      </c>
      <c r="T399">
        <f>IF(OR(H399=0,H399=""),"",ABS((H399-IF($C399="LT",Config!$F$3,Config!$F$15))/IF($C399="LT",Config!$G$3,Config!$G$15)))</f>
        <v/>
      </c>
      <c r="U399">
        <f>IF(OR(I399=0,I399=""),"",ABS((I399-IF($C399="LT",Config!$F$4,Config!$F$16))/IF($C399="LT",Config!$G$4,Config!$G$16)))</f>
        <v/>
      </c>
      <c r="V399">
        <f>IF(OR(J399=0,J399=""),"",ABS((J399-IF($C399="LT",Config!$F$5,Config!$F$17))/IF($C399="LT",Config!$G$5,Config!$G$17)))</f>
        <v/>
      </c>
      <c r="W399">
        <f>IF(OR(K399=0,K399=""),"",ABS((K399-IF($C399="LT",Config!$F$6,Config!$F$18))/IF($C399="LT",Config!$G$6,Config!$G$18)))</f>
        <v/>
      </c>
      <c r="X399">
        <f>IF(OR(L399=0,L399=""),"",ABS((L399-IF($C399="LT",Config!$F$7,Config!$F$19))/IF($C399="LT",Config!$G$7,Config!$G$19)))</f>
        <v/>
      </c>
      <c r="Y399">
        <f>IF(OR(M399=0,M399=""),"",ABS((M399-IF($C399="LT",Config!$F$8,Config!$F$20))/IF($C399="LT",Config!$G$8,Config!$G$20)))</f>
        <v/>
      </c>
      <c r="Z399">
        <f>IF(OR(N399=0,N399=""),"",ABS((N399-IF($C399="LT",Config!$F$9,Config!$F$21))/IF($C399="LT",Config!$G$9,Config!$G$21)))</f>
        <v/>
      </c>
      <c r="AA399">
        <f>IF(OR(O399=0,O399=""),"",ABS((O399-IF($C399="LT",Config!$F$10,Config!$F$22))/IF($C399="LT",Config!$G$10,Config!$G$22)))</f>
        <v/>
      </c>
      <c r="AB399">
        <f>IF(OR(P399=0,P399=""),"",ABS((P399-IF($C399="LT",Config!$F$11,Config!$F$23))/IF($C399="LT",Config!$G$11,Config!$G$23)))</f>
        <v/>
      </c>
      <c r="AC399">
        <f>IF(OR(Q399=0,Q399=""),"",ABS((Q399-IF($C399="LT",Config!$F$12,Config!$F$24))/IF($C399="LT",Config!$G$12,Config!$G$24)))</f>
        <v/>
      </c>
      <c r="AD399">
        <f>IF(OR(R399=0,R399=""),"",ABS((R399-IF($C399="LT",Config!$F$13,Config!$F$25))/IF($C399="LT",Config!$G$13,Config!$G$25)))</f>
        <v/>
      </c>
    </row>
    <row r="400">
      <c r="A400" t="inlineStr">
        <is>
          <t>04C1926121028</t>
        </is>
      </c>
      <c r="B400" t="inlineStr">
        <is>
          <t>CRS0000674</t>
        </is>
      </c>
      <c r="C400" t="inlineStr">
        <is>
          <t>MT</t>
        </is>
      </c>
      <c r="D400" t="inlineStr">
        <is>
          <t>TCX413U-DS1B01</t>
        </is>
      </c>
      <c r="E400" s="2" t="n">
        <v>46101</v>
      </c>
      <c r="F400" t="inlineStr">
        <is>
          <t>Pass</t>
        </is>
      </c>
      <c r="G400" t="n">
        <v>112.9</v>
      </c>
      <c r="H400" t="n">
        <v>84.7</v>
      </c>
      <c r="I400" t="n">
        <v>-1957.8</v>
      </c>
      <c r="J400" t="n">
        <v>69.09999999999999</v>
      </c>
      <c r="K400" t="n">
        <v>0</v>
      </c>
      <c r="L400" t="n">
        <v>2.3</v>
      </c>
      <c r="M400" t="n">
        <v>0</v>
      </c>
      <c r="N400" t="n">
        <v>66.8</v>
      </c>
      <c r="O400" t="n">
        <v>116.78</v>
      </c>
      <c r="P400" t="n">
        <v>113.62</v>
      </c>
      <c r="Q400" t="n">
        <v>3.74</v>
      </c>
      <c r="R400" t="n">
        <v>3.91</v>
      </c>
      <c r="S400">
        <f>IF(OR(G400=0,G400=""),"",ABS((G400-IF($C400="LT",Config!$F$2,Config!$F$14))/IF($C400="LT",Config!$G$2,Config!$G$14)))</f>
        <v/>
      </c>
      <c r="T400">
        <f>IF(OR(H400=0,H400=""),"",ABS((H400-IF($C400="LT",Config!$F$3,Config!$F$15))/IF($C400="LT",Config!$G$3,Config!$G$15)))</f>
        <v/>
      </c>
      <c r="U400">
        <f>IF(OR(I400=0,I400=""),"",ABS((I400-IF($C400="LT",Config!$F$4,Config!$F$16))/IF($C400="LT",Config!$G$4,Config!$G$16)))</f>
        <v/>
      </c>
      <c r="V400">
        <f>IF(OR(J400=0,J400=""),"",ABS((J400-IF($C400="LT",Config!$F$5,Config!$F$17))/IF($C400="LT",Config!$G$5,Config!$G$17)))</f>
        <v/>
      </c>
      <c r="W400">
        <f>IF(OR(K400=0,K400=""),"",ABS((K400-IF($C400="LT",Config!$F$6,Config!$F$18))/IF($C400="LT",Config!$G$6,Config!$G$18)))</f>
        <v/>
      </c>
      <c r="X400">
        <f>IF(OR(L400=0,L400=""),"",ABS((L400-IF($C400="LT",Config!$F$7,Config!$F$19))/IF($C400="LT",Config!$G$7,Config!$G$19)))</f>
        <v/>
      </c>
      <c r="Y400">
        <f>IF(OR(M400=0,M400=""),"",ABS((M400-IF($C400="LT",Config!$F$8,Config!$F$20))/IF($C400="LT",Config!$G$8,Config!$G$20)))</f>
        <v/>
      </c>
      <c r="Z400">
        <f>IF(OR(N400=0,N400=""),"",ABS((N400-IF($C400="LT",Config!$F$9,Config!$F$21))/IF($C400="LT",Config!$G$9,Config!$G$21)))</f>
        <v/>
      </c>
      <c r="AA400">
        <f>IF(OR(O400=0,O400=""),"",ABS((O400-IF($C400="LT",Config!$F$10,Config!$F$22))/IF($C400="LT",Config!$G$10,Config!$G$22)))</f>
        <v/>
      </c>
      <c r="AB400">
        <f>IF(OR(P400=0,P400=""),"",ABS((P400-IF($C400="LT",Config!$F$11,Config!$F$23))/IF($C400="LT",Config!$G$11,Config!$G$23)))</f>
        <v/>
      </c>
      <c r="AC400">
        <f>IF(OR(Q400=0,Q400=""),"",ABS((Q400-IF($C400="LT",Config!$F$12,Config!$F$24))/IF($C400="LT",Config!$G$12,Config!$G$24)))</f>
        <v/>
      </c>
      <c r="AD400">
        <f>IF(OR(R400=0,R400=""),"",ABS((R400-IF($C400="LT",Config!$F$13,Config!$F$25))/IF($C400="LT",Config!$G$13,Config!$G$25)))</f>
        <v/>
      </c>
    </row>
    <row r="401">
      <c r="A401" t="inlineStr">
        <is>
          <t>04C1926121029</t>
        </is>
      </c>
      <c r="B401" t="inlineStr">
        <is>
          <t>CRS0000674</t>
        </is>
      </c>
      <c r="C401" t="inlineStr">
        <is>
          <t>MT</t>
        </is>
      </c>
      <c r="D401" t="inlineStr">
        <is>
          <t>TCX413U-DS1B01</t>
        </is>
      </c>
      <c r="E401" s="2" t="n">
        <v>46101</v>
      </c>
      <c r="F401" t="inlineStr">
        <is>
          <t>Pass</t>
        </is>
      </c>
      <c r="G401" t="n">
        <v>115.1</v>
      </c>
      <c r="H401" t="n">
        <v>85.59999999999999</v>
      </c>
      <c r="I401" t="n">
        <v>-1957.8</v>
      </c>
      <c r="J401" t="n">
        <v>74.40000000000001</v>
      </c>
      <c r="K401" t="n">
        <v>0</v>
      </c>
      <c r="L401" t="n">
        <v>0.8</v>
      </c>
      <c r="M401" t="n">
        <v>0</v>
      </c>
      <c r="N401" t="n">
        <v>73.59999999999999</v>
      </c>
      <c r="O401" t="n">
        <v>111.86</v>
      </c>
      <c r="P401" t="n">
        <v>116.63</v>
      </c>
      <c r="Q401" t="n">
        <v>4.08</v>
      </c>
      <c r="R401" t="n">
        <v>4.03</v>
      </c>
      <c r="S401">
        <f>IF(OR(G401=0,G401=""),"",ABS((G401-IF($C401="LT",Config!$F$2,Config!$F$14))/IF($C401="LT",Config!$G$2,Config!$G$14)))</f>
        <v/>
      </c>
      <c r="T401">
        <f>IF(OR(H401=0,H401=""),"",ABS((H401-IF($C401="LT",Config!$F$3,Config!$F$15))/IF($C401="LT",Config!$G$3,Config!$G$15)))</f>
        <v/>
      </c>
      <c r="U401">
        <f>IF(OR(I401=0,I401=""),"",ABS((I401-IF($C401="LT",Config!$F$4,Config!$F$16))/IF($C401="LT",Config!$G$4,Config!$G$16)))</f>
        <v/>
      </c>
      <c r="V401">
        <f>IF(OR(J401=0,J401=""),"",ABS((J401-IF($C401="LT",Config!$F$5,Config!$F$17))/IF($C401="LT",Config!$G$5,Config!$G$17)))</f>
        <v/>
      </c>
      <c r="W401">
        <f>IF(OR(K401=0,K401=""),"",ABS((K401-IF($C401="LT",Config!$F$6,Config!$F$18))/IF($C401="LT",Config!$G$6,Config!$G$18)))</f>
        <v/>
      </c>
      <c r="X401">
        <f>IF(OR(L401=0,L401=""),"",ABS((L401-IF($C401="LT",Config!$F$7,Config!$F$19))/IF($C401="LT",Config!$G$7,Config!$G$19)))</f>
        <v/>
      </c>
      <c r="Y401">
        <f>IF(OR(M401=0,M401=""),"",ABS((M401-IF($C401="LT",Config!$F$8,Config!$F$20))/IF($C401="LT",Config!$G$8,Config!$G$20)))</f>
        <v/>
      </c>
      <c r="Z401">
        <f>IF(OR(N401=0,N401=""),"",ABS((N401-IF($C401="LT",Config!$F$9,Config!$F$21))/IF($C401="LT",Config!$G$9,Config!$G$21)))</f>
        <v/>
      </c>
      <c r="AA401">
        <f>IF(OR(O401=0,O401=""),"",ABS((O401-IF($C401="LT",Config!$F$10,Config!$F$22))/IF($C401="LT",Config!$G$10,Config!$G$22)))</f>
        <v/>
      </c>
      <c r="AB401">
        <f>IF(OR(P401=0,P401=""),"",ABS((P401-IF($C401="LT",Config!$F$11,Config!$F$23))/IF($C401="LT",Config!$G$11,Config!$G$23)))</f>
        <v/>
      </c>
      <c r="AC401">
        <f>IF(OR(Q401=0,Q401=""),"",ABS((Q401-IF($C401="LT",Config!$F$12,Config!$F$24))/IF($C401="LT",Config!$G$12,Config!$G$24)))</f>
        <v/>
      </c>
      <c r="AD401">
        <f>IF(OR(R401=0,R401=""),"",ABS((R401-IF($C401="LT",Config!$F$13,Config!$F$25))/IF($C401="LT",Config!$G$13,Config!$G$25)))</f>
        <v/>
      </c>
    </row>
    <row r="402">
      <c r="A402" t="inlineStr">
        <is>
          <t>04C1926121030</t>
        </is>
      </c>
      <c r="B402" t="inlineStr">
        <is>
          <t>CRS0000674</t>
        </is>
      </c>
      <c r="C402" t="inlineStr">
        <is>
          <t>MT</t>
        </is>
      </c>
      <c r="D402" t="inlineStr">
        <is>
          <t>TCX413U-DS1B01</t>
        </is>
      </c>
      <c r="E402" s="2" t="n">
        <v>46101</v>
      </c>
      <c r="F402" t="inlineStr">
        <is>
          <t>Pass</t>
        </is>
      </c>
      <c r="G402" t="n">
        <v>112.4</v>
      </c>
      <c r="H402" t="n">
        <v>85.2</v>
      </c>
      <c r="I402" t="n">
        <v>-1957.8</v>
      </c>
      <c r="J402" t="n">
        <v>70.8</v>
      </c>
      <c r="K402" t="n">
        <v>0</v>
      </c>
      <c r="L402" t="n">
        <v>4.5</v>
      </c>
      <c r="M402" t="n">
        <v>0</v>
      </c>
      <c r="N402" t="n">
        <v>66.3</v>
      </c>
      <c r="O402" t="n">
        <v>111.79</v>
      </c>
      <c r="P402" t="n">
        <v>113.4</v>
      </c>
      <c r="Q402" t="n">
        <v>3.86</v>
      </c>
      <c r="R402" t="n">
        <v>3.98</v>
      </c>
      <c r="S402">
        <f>IF(OR(G402=0,G402=""),"",ABS((G402-IF($C402="LT",Config!$F$2,Config!$F$14))/IF($C402="LT",Config!$G$2,Config!$G$14)))</f>
        <v/>
      </c>
      <c r="T402">
        <f>IF(OR(H402=0,H402=""),"",ABS((H402-IF($C402="LT",Config!$F$3,Config!$F$15))/IF($C402="LT",Config!$G$3,Config!$G$15)))</f>
        <v/>
      </c>
      <c r="U402">
        <f>IF(OR(I402=0,I402=""),"",ABS((I402-IF($C402="LT",Config!$F$4,Config!$F$16))/IF($C402="LT",Config!$G$4,Config!$G$16)))</f>
        <v/>
      </c>
      <c r="V402">
        <f>IF(OR(J402=0,J402=""),"",ABS((J402-IF($C402="LT",Config!$F$5,Config!$F$17))/IF($C402="LT",Config!$G$5,Config!$G$17)))</f>
        <v/>
      </c>
      <c r="W402">
        <f>IF(OR(K402=0,K402=""),"",ABS((K402-IF($C402="LT",Config!$F$6,Config!$F$18))/IF($C402="LT",Config!$G$6,Config!$G$18)))</f>
        <v/>
      </c>
      <c r="X402">
        <f>IF(OR(L402=0,L402=""),"",ABS((L402-IF($C402="LT",Config!$F$7,Config!$F$19))/IF($C402="LT",Config!$G$7,Config!$G$19)))</f>
        <v/>
      </c>
      <c r="Y402">
        <f>IF(OR(M402=0,M402=""),"",ABS((M402-IF($C402="LT",Config!$F$8,Config!$F$20))/IF($C402="LT",Config!$G$8,Config!$G$20)))</f>
        <v/>
      </c>
      <c r="Z402">
        <f>IF(OR(N402=0,N402=""),"",ABS((N402-IF($C402="LT",Config!$F$9,Config!$F$21))/IF($C402="LT",Config!$G$9,Config!$G$21)))</f>
        <v/>
      </c>
      <c r="AA402">
        <f>IF(OR(O402=0,O402=""),"",ABS((O402-IF($C402="LT",Config!$F$10,Config!$F$22))/IF($C402="LT",Config!$G$10,Config!$G$22)))</f>
        <v/>
      </c>
      <c r="AB402">
        <f>IF(OR(P402=0,P402=""),"",ABS((P402-IF($C402="LT",Config!$F$11,Config!$F$23))/IF($C402="LT",Config!$G$11,Config!$G$23)))</f>
        <v/>
      </c>
      <c r="AC402">
        <f>IF(OR(Q402=0,Q402=""),"",ABS((Q402-IF($C402="LT",Config!$F$12,Config!$F$24))/IF($C402="LT",Config!$G$12,Config!$G$24)))</f>
        <v/>
      </c>
      <c r="AD402">
        <f>IF(OR(R402=0,R402=""),"",ABS((R402-IF($C402="LT",Config!$F$13,Config!$F$25))/IF($C402="LT",Config!$G$13,Config!$G$25)))</f>
        <v/>
      </c>
    </row>
    <row r="403">
      <c r="A403" t="inlineStr">
        <is>
          <t>04C2026121031</t>
        </is>
      </c>
      <c r="B403" t="inlineStr">
        <is>
          <t>CRS0000674</t>
        </is>
      </c>
      <c r="C403" t="inlineStr">
        <is>
          <t>MT</t>
        </is>
      </c>
      <c r="D403" t="inlineStr">
        <is>
          <t>TCX413U-DS1B01</t>
        </is>
      </c>
      <c r="E403" s="2" t="n">
        <v>46101</v>
      </c>
      <c r="F403" t="inlineStr">
        <is>
          <t>Fail</t>
        </is>
      </c>
      <c r="G403" t="n">
        <v>116</v>
      </c>
      <c r="H403" t="n">
        <v>84.3</v>
      </c>
      <c r="I403" t="n">
        <v>-1957.8</v>
      </c>
      <c r="J403" t="n">
        <v>73.09999999999999</v>
      </c>
      <c r="K403" t="n">
        <v>0</v>
      </c>
      <c r="L403" t="n">
        <v>3.2</v>
      </c>
      <c r="M403" t="n">
        <v>0</v>
      </c>
      <c r="N403" t="n">
        <v>76.3</v>
      </c>
      <c r="O403" t="n">
        <v>111.79</v>
      </c>
      <c r="P403" t="n">
        <v>113.62</v>
      </c>
      <c r="Q403" t="n">
        <v>3.91</v>
      </c>
      <c r="R403" t="n">
        <v>3.86</v>
      </c>
      <c r="S403">
        <f>IF(OR(G403=0,G403=""),"",ABS((G403-IF($C403="LT",Config!$F$2,Config!$F$14))/IF($C403="LT",Config!$G$2,Config!$G$14)))</f>
        <v/>
      </c>
      <c r="T403">
        <f>IF(OR(H403=0,H403=""),"",ABS((H403-IF($C403="LT",Config!$F$3,Config!$F$15))/IF($C403="LT",Config!$G$3,Config!$G$15)))</f>
        <v/>
      </c>
      <c r="U403">
        <f>IF(OR(I403=0,I403=""),"",ABS((I403-IF($C403="LT",Config!$F$4,Config!$F$16))/IF($C403="LT",Config!$G$4,Config!$G$16)))</f>
        <v/>
      </c>
      <c r="V403">
        <f>IF(OR(J403=0,J403=""),"",ABS((J403-IF($C403="LT",Config!$F$5,Config!$F$17))/IF($C403="LT",Config!$G$5,Config!$G$17)))</f>
        <v/>
      </c>
      <c r="W403">
        <f>IF(OR(K403=0,K403=""),"",ABS((K403-IF($C403="LT",Config!$F$6,Config!$F$18))/IF($C403="LT",Config!$G$6,Config!$G$18)))</f>
        <v/>
      </c>
      <c r="X403">
        <f>IF(OR(L403=0,L403=""),"",ABS((L403-IF($C403="LT",Config!$F$7,Config!$F$19))/IF($C403="LT",Config!$G$7,Config!$G$19)))</f>
        <v/>
      </c>
      <c r="Y403">
        <f>IF(OR(M403=0,M403=""),"",ABS((M403-IF($C403="LT",Config!$F$8,Config!$F$20))/IF($C403="LT",Config!$G$8,Config!$G$20)))</f>
        <v/>
      </c>
      <c r="Z403">
        <f>IF(OR(N403=0,N403=""),"",ABS((N403-IF($C403="LT",Config!$F$9,Config!$F$21))/IF($C403="LT",Config!$G$9,Config!$G$21)))</f>
        <v/>
      </c>
      <c r="AA403">
        <f>IF(OR(O403=0,O403=""),"",ABS((O403-IF($C403="LT",Config!$F$10,Config!$F$22))/IF($C403="LT",Config!$G$10,Config!$G$22)))</f>
        <v/>
      </c>
      <c r="AB403">
        <f>IF(OR(P403=0,P403=""),"",ABS((P403-IF($C403="LT",Config!$F$11,Config!$F$23))/IF($C403="LT",Config!$G$11,Config!$G$23)))</f>
        <v/>
      </c>
      <c r="AC403">
        <f>IF(OR(Q403=0,Q403=""),"",ABS((Q403-IF($C403="LT",Config!$F$12,Config!$F$24))/IF($C403="LT",Config!$G$12,Config!$G$24)))</f>
        <v/>
      </c>
      <c r="AD403">
        <f>IF(OR(R403=0,R403=""),"",ABS((R403-IF($C403="LT",Config!$F$13,Config!$F$25))/IF($C403="LT",Config!$G$13,Config!$G$25)))</f>
        <v/>
      </c>
    </row>
    <row r="404">
      <c r="A404" t="inlineStr">
        <is>
          <t>04C2026121031</t>
        </is>
      </c>
      <c r="B404" t="inlineStr">
        <is>
          <t>CRS0000674</t>
        </is>
      </c>
      <c r="C404" t="inlineStr">
        <is>
          <t>MT</t>
        </is>
      </c>
      <c r="D404" t="inlineStr">
        <is>
          <t>TCX413U-DS1B01</t>
        </is>
      </c>
      <c r="E404" s="2" t="n">
        <v>46101</v>
      </c>
      <c r="F404" t="inlineStr">
        <is>
          <t>Pass</t>
        </is>
      </c>
      <c r="G404" t="n">
        <v>122.7</v>
      </c>
      <c r="H404" t="n">
        <v>82</v>
      </c>
      <c r="I404" t="n">
        <v>-1957.8</v>
      </c>
      <c r="J404" t="n">
        <v>73.09999999999999</v>
      </c>
      <c r="K404" t="n">
        <v>0</v>
      </c>
      <c r="L404" t="n">
        <v>1.8</v>
      </c>
      <c r="M404" t="n">
        <v>0</v>
      </c>
      <c r="N404" t="n">
        <v>74.90000000000001</v>
      </c>
      <c r="O404" t="n">
        <v>115.46</v>
      </c>
      <c r="P404" t="n">
        <v>115.38</v>
      </c>
      <c r="Q404" t="n">
        <v>3.93</v>
      </c>
      <c r="R404" t="n">
        <v>4.03</v>
      </c>
      <c r="S404">
        <f>IF(OR(G404=0,G404=""),"",ABS((G404-IF($C404="LT",Config!$F$2,Config!$F$14))/IF($C404="LT",Config!$G$2,Config!$G$14)))</f>
        <v/>
      </c>
      <c r="T404">
        <f>IF(OR(H404=0,H404=""),"",ABS((H404-IF($C404="LT",Config!$F$3,Config!$F$15))/IF($C404="LT",Config!$G$3,Config!$G$15)))</f>
        <v/>
      </c>
      <c r="U404">
        <f>IF(OR(I404=0,I404=""),"",ABS((I404-IF($C404="LT",Config!$F$4,Config!$F$16))/IF($C404="LT",Config!$G$4,Config!$G$16)))</f>
        <v/>
      </c>
      <c r="V404">
        <f>IF(OR(J404=0,J404=""),"",ABS((J404-IF($C404="LT",Config!$F$5,Config!$F$17))/IF($C404="LT",Config!$G$5,Config!$G$17)))</f>
        <v/>
      </c>
      <c r="W404">
        <f>IF(OR(K404=0,K404=""),"",ABS((K404-IF($C404="LT",Config!$F$6,Config!$F$18))/IF($C404="LT",Config!$G$6,Config!$G$18)))</f>
        <v/>
      </c>
      <c r="X404">
        <f>IF(OR(L404=0,L404=""),"",ABS((L404-IF($C404="LT",Config!$F$7,Config!$F$19))/IF($C404="LT",Config!$G$7,Config!$G$19)))</f>
        <v/>
      </c>
      <c r="Y404">
        <f>IF(OR(M404=0,M404=""),"",ABS((M404-IF($C404="LT",Config!$F$8,Config!$F$20))/IF($C404="LT",Config!$G$8,Config!$G$20)))</f>
        <v/>
      </c>
      <c r="Z404">
        <f>IF(OR(N404=0,N404=""),"",ABS((N404-IF($C404="LT",Config!$F$9,Config!$F$21))/IF($C404="LT",Config!$G$9,Config!$G$21)))</f>
        <v/>
      </c>
      <c r="AA404">
        <f>IF(OR(O404=0,O404=""),"",ABS((O404-IF($C404="LT",Config!$F$10,Config!$F$22))/IF($C404="LT",Config!$G$10,Config!$G$22)))</f>
        <v/>
      </c>
      <c r="AB404">
        <f>IF(OR(P404=0,P404=""),"",ABS((P404-IF($C404="LT",Config!$F$11,Config!$F$23))/IF($C404="LT",Config!$G$11,Config!$G$23)))</f>
        <v/>
      </c>
      <c r="AC404">
        <f>IF(OR(Q404=0,Q404=""),"",ABS((Q404-IF($C404="LT",Config!$F$12,Config!$F$24))/IF($C404="LT",Config!$G$12,Config!$G$24)))</f>
        <v/>
      </c>
      <c r="AD404">
        <f>IF(OR(R404=0,R404=""),"",ABS((R404-IF($C404="LT",Config!$F$13,Config!$F$25))/IF($C404="LT",Config!$G$13,Config!$G$25)))</f>
        <v/>
      </c>
    </row>
    <row r="405">
      <c r="A405" t="inlineStr">
        <is>
          <t>04C2026121032</t>
        </is>
      </c>
      <c r="B405" t="inlineStr">
        <is>
          <t>CRS0000674</t>
        </is>
      </c>
      <c r="C405" t="inlineStr">
        <is>
          <t>MT</t>
        </is>
      </c>
      <c r="D405" t="inlineStr">
        <is>
          <t>TCX413U-DS1B01</t>
        </is>
      </c>
      <c r="E405" s="2" t="n">
        <v>46101</v>
      </c>
      <c r="F405" t="inlineStr">
        <is>
          <t>Pass</t>
        </is>
      </c>
      <c r="G405" t="n">
        <v>112.4</v>
      </c>
      <c r="H405" t="n">
        <v>82.5</v>
      </c>
      <c r="I405" t="n">
        <v>-1957.8</v>
      </c>
      <c r="J405" t="n">
        <v>70</v>
      </c>
      <c r="K405" t="n">
        <v>0</v>
      </c>
      <c r="L405" t="n">
        <v>3.9</v>
      </c>
      <c r="M405" t="n">
        <v>0</v>
      </c>
      <c r="N405" t="n">
        <v>66.09999999999999</v>
      </c>
      <c r="O405" t="n">
        <v>111.94</v>
      </c>
      <c r="P405" t="n">
        <v>113.33</v>
      </c>
      <c r="Q405" t="n">
        <v>3.81</v>
      </c>
      <c r="R405" t="n">
        <v>3.86</v>
      </c>
      <c r="S405">
        <f>IF(OR(G405=0,G405=""),"",ABS((G405-IF($C405="LT",Config!$F$2,Config!$F$14))/IF($C405="LT",Config!$G$2,Config!$G$14)))</f>
        <v/>
      </c>
      <c r="T405">
        <f>IF(OR(H405=0,H405=""),"",ABS((H405-IF($C405="LT",Config!$F$3,Config!$F$15))/IF($C405="LT",Config!$G$3,Config!$G$15)))</f>
        <v/>
      </c>
      <c r="U405">
        <f>IF(OR(I405=0,I405=""),"",ABS((I405-IF($C405="LT",Config!$F$4,Config!$F$16))/IF($C405="LT",Config!$G$4,Config!$G$16)))</f>
        <v/>
      </c>
      <c r="V405">
        <f>IF(OR(J405=0,J405=""),"",ABS((J405-IF($C405="LT",Config!$F$5,Config!$F$17))/IF($C405="LT",Config!$G$5,Config!$G$17)))</f>
        <v/>
      </c>
      <c r="W405">
        <f>IF(OR(K405=0,K405=""),"",ABS((K405-IF($C405="LT",Config!$F$6,Config!$F$18))/IF($C405="LT",Config!$G$6,Config!$G$18)))</f>
        <v/>
      </c>
      <c r="X405">
        <f>IF(OR(L405=0,L405=""),"",ABS((L405-IF($C405="LT",Config!$F$7,Config!$F$19))/IF($C405="LT",Config!$G$7,Config!$G$19)))</f>
        <v/>
      </c>
      <c r="Y405">
        <f>IF(OR(M405=0,M405=""),"",ABS((M405-IF($C405="LT",Config!$F$8,Config!$F$20))/IF($C405="LT",Config!$G$8,Config!$G$20)))</f>
        <v/>
      </c>
      <c r="Z405">
        <f>IF(OR(N405=0,N405=""),"",ABS((N405-IF($C405="LT",Config!$F$9,Config!$F$21))/IF($C405="LT",Config!$G$9,Config!$G$21)))</f>
        <v/>
      </c>
      <c r="AA405">
        <f>IF(OR(O405=0,O405=""),"",ABS((O405-IF($C405="LT",Config!$F$10,Config!$F$22))/IF($C405="LT",Config!$G$10,Config!$G$22)))</f>
        <v/>
      </c>
      <c r="AB405">
        <f>IF(OR(P405=0,P405=""),"",ABS((P405-IF($C405="LT",Config!$F$11,Config!$F$23))/IF($C405="LT",Config!$G$11,Config!$G$23)))</f>
        <v/>
      </c>
      <c r="AC405">
        <f>IF(OR(Q405=0,Q405=""),"",ABS((Q405-IF($C405="LT",Config!$F$12,Config!$F$24))/IF($C405="LT",Config!$G$12,Config!$G$24)))</f>
        <v/>
      </c>
      <c r="AD405">
        <f>IF(OR(R405=0,R405=""),"",ABS((R405-IF($C405="LT",Config!$F$13,Config!$F$25))/IF($C405="LT",Config!$G$13,Config!$G$25)))</f>
        <v/>
      </c>
    </row>
    <row r="406">
      <c r="A406" t="inlineStr">
        <is>
          <t>04C2026121033</t>
        </is>
      </c>
      <c r="B406" t="inlineStr">
        <is>
          <t>CRS0000674</t>
        </is>
      </c>
      <c r="C406" t="inlineStr">
        <is>
          <t>MT</t>
        </is>
      </c>
      <c r="D406" t="inlineStr">
        <is>
          <t>TCX413U-DS1B01</t>
        </is>
      </c>
      <c r="E406" s="2" t="n">
        <v>46101</v>
      </c>
      <c r="F406" t="inlineStr">
        <is>
          <t>Pass</t>
        </is>
      </c>
      <c r="G406" t="n">
        <v>118.2</v>
      </c>
      <c r="H406" t="n">
        <v>87</v>
      </c>
      <c r="I406" t="n">
        <v>-1957.8</v>
      </c>
      <c r="J406" t="n">
        <v>70</v>
      </c>
      <c r="K406" t="n">
        <v>0</v>
      </c>
      <c r="L406" t="n">
        <v>2.2</v>
      </c>
      <c r="M406" t="n">
        <v>0</v>
      </c>
      <c r="N406" t="n">
        <v>67.8</v>
      </c>
      <c r="O406" t="n">
        <v>111.72</v>
      </c>
      <c r="P406" t="n">
        <v>113.77</v>
      </c>
      <c r="Q406" t="n">
        <v>3.96</v>
      </c>
      <c r="R406" t="n">
        <v>4.03</v>
      </c>
      <c r="S406">
        <f>IF(OR(G406=0,G406=""),"",ABS((G406-IF($C406="LT",Config!$F$2,Config!$F$14))/IF($C406="LT",Config!$G$2,Config!$G$14)))</f>
        <v/>
      </c>
      <c r="T406">
        <f>IF(OR(H406=0,H406=""),"",ABS((H406-IF($C406="LT",Config!$F$3,Config!$F$15))/IF($C406="LT",Config!$G$3,Config!$G$15)))</f>
        <v/>
      </c>
      <c r="U406">
        <f>IF(OR(I406=0,I406=""),"",ABS((I406-IF($C406="LT",Config!$F$4,Config!$F$16))/IF($C406="LT",Config!$G$4,Config!$G$16)))</f>
        <v/>
      </c>
      <c r="V406">
        <f>IF(OR(J406=0,J406=""),"",ABS((J406-IF($C406="LT",Config!$F$5,Config!$F$17))/IF($C406="LT",Config!$G$5,Config!$G$17)))</f>
        <v/>
      </c>
      <c r="W406">
        <f>IF(OR(K406=0,K406=""),"",ABS((K406-IF($C406="LT",Config!$F$6,Config!$F$18))/IF($C406="LT",Config!$G$6,Config!$G$18)))</f>
        <v/>
      </c>
      <c r="X406">
        <f>IF(OR(L406=0,L406=""),"",ABS((L406-IF($C406="LT",Config!$F$7,Config!$F$19))/IF($C406="LT",Config!$G$7,Config!$G$19)))</f>
        <v/>
      </c>
      <c r="Y406">
        <f>IF(OR(M406=0,M406=""),"",ABS((M406-IF($C406="LT",Config!$F$8,Config!$F$20))/IF($C406="LT",Config!$G$8,Config!$G$20)))</f>
        <v/>
      </c>
      <c r="Z406">
        <f>IF(OR(N406=0,N406=""),"",ABS((N406-IF($C406="LT",Config!$F$9,Config!$F$21))/IF($C406="LT",Config!$G$9,Config!$G$21)))</f>
        <v/>
      </c>
      <c r="AA406">
        <f>IF(OR(O406=0,O406=""),"",ABS((O406-IF($C406="LT",Config!$F$10,Config!$F$22))/IF($C406="LT",Config!$G$10,Config!$G$22)))</f>
        <v/>
      </c>
      <c r="AB406">
        <f>IF(OR(P406=0,P406=""),"",ABS((P406-IF($C406="LT",Config!$F$11,Config!$F$23))/IF($C406="LT",Config!$G$11,Config!$G$23)))</f>
        <v/>
      </c>
      <c r="AC406">
        <f>IF(OR(Q406=0,Q406=""),"",ABS((Q406-IF($C406="LT",Config!$F$12,Config!$F$24))/IF($C406="LT",Config!$G$12,Config!$G$24)))</f>
        <v/>
      </c>
      <c r="AD406">
        <f>IF(OR(R406=0,R406=""),"",ABS((R406-IF($C406="LT",Config!$F$13,Config!$F$25))/IF($C406="LT",Config!$G$13,Config!$G$25)))</f>
        <v/>
      </c>
    </row>
    <row r="407">
      <c r="A407" t="inlineStr">
        <is>
          <t>04C2026121034</t>
        </is>
      </c>
      <c r="B407" t="inlineStr">
        <is>
          <t>CRS0000674</t>
        </is>
      </c>
      <c r="C407" t="inlineStr">
        <is>
          <t>MT</t>
        </is>
      </c>
      <c r="D407" t="inlineStr">
        <is>
          <t>TCX413U-DS1B01</t>
        </is>
      </c>
      <c r="E407" s="2" t="n">
        <v>46101</v>
      </c>
      <c r="F407" t="inlineStr">
        <is>
          <t>Fail</t>
        </is>
      </c>
      <c r="G407" t="n">
        <v>118.7</v>
      </c>
      <c r="H407" t="n">
        <v>87</v>
      </c>
      <c r="I407" t="n">
        <v>-1957.8</v>
      </c>
      <c r="J407" t="n">
        <v>77.5</v>
      </c>
      <c r="K407" t="n">
        <v>0</v>
      </c>
      <c r="L407" t="n">
        <v>0.3</v>
      </c>
      <c r="M407" t="n">
        <v>0</v>
      </c>
      <c r="N407" t="n">
        <v>77.2</v>
      </c>
      <c r="O407" t="n">
        <v>111.86</v>
      </c>
      <c r="P407" t="n">
        <v>113.48</v>
      </c>
      <c r="Q407" t="n">
        <v>4.03</v>
      </c>
      <c r="R407" t="n">
        <v>4</v>
      </c>
      <c r="S407">
        <f>IF(OR(G407=0,G407=""),"",ABS((G407-IF($C407="LT",Config!$F$2,Config!$F$14))/IF($C407="LT",Config!$G$2,Config!$G$14)))</f>
        <v/>
      </c>
      <c r="T407">
        <f>IF(OR(H407=0,H407=""),"",ABS((H407-IF($C407="LT",Config!$F$3,Config!$F$15))/IF($C407="LT",Config!$G$3,Config!$G$15)))</f>
        <v/>
      </c>
      <c r="U407">
        <f>IF(OR(I407=0,I407=""),"",ABS((I407-IF($C407="LT",Config!$F$4,Config!$F$16))/IF($C407="LT",Config!$G$4,Config!$G$16)))</f>
        <v/>
      </c>
      <c r="V407">
        <f>IF(OR(J407=0,J407=""),"",ABS((J407-IF($C407="LT",Config!$F$5,Config!$F$17))/IF($C407="LT",Config!$G$5,Config!$G$17)))</f>
        <v/>
      </c>
      <c r="W407">
        <f>IF(OR(K407=0,K407=""),"",ABS((K407-IF($C407="LT",Config!$F$6,Config!$F$18))/IF($C407="LT",Config!$G$6,Config!$G$18)))</f>
        <v/>
      </c>
      <c r="X407">
        <f>IF(OR(L407=0,L407=""),"",ABS((L407-IF($C407="LT",Config!$F$7,Config!$F$19))/IF($C407="LT",Config!$G$7,Config!$G$19)))</f>
        <v/>
      </c>
      <c r="Y407">
        <f>IF(OR(M407=0,M407=""),"",ABS((M407-IF($C407="LT",Config!$F$8,Config!$F$20))/IF($C407="LT",Config!$G$8,Config!$G$20)))</f>
        <v/>
      </c>
      <c r="Z407">
        <f>IF(OR(N407=0,N407=""),"",ABS((N407-IF($C407="LT",Config!$F$9,Config!$F$21))/IF($C407="LT",Config!$G$9,Config!$G$21)))</f>
        <v/>
      </c>
      <c r="AA407">
        <f>IF(OR(O407=0,O407=""),"",ABS((O407-IF($C407="LT",Config!$F$10,Config!$F$22))/IF($C407="LT",Config!$G$10,Config!$G$22)))</f>
        <v/>
      </c>
      <c r="AB407">
        <f>IF(OR(P407=0,P407=""),"",ABS((P407-IF($C407="LT",Config!$F$11,Config!$F$23))/IF($C407="LT",Config!$G$11,Config!$G$23)))</f>
        <v/>
      </c>
      <c r="AC407">
        <f>IF(OR(Q407=0,Q407=""),"",ABS((Q407-IF($C407="LT",Config!$F$12,Config!$F$24))/IF($C407="LT",Config!$G$12,Config!$G$24)))</f>
        <v/>
      </c>
      <c r="AD407">
        <f>IF(OR(R407=0,R407=""),"",ABS((R407-IF($C407="LT",Config!$F$13,Config!$F$25))/IF($C407="LT",Config!$G$13,Config!$G$25)))</f>
        <v/>
      </c>
    </row>
    <row r="408">
      <c r="A408" t="inlineStr">
        <is>
          <t>04C2026121034</t>
        </is>
      </c>
      <c r="B408" t="inlineStr">
        <is>
          <t>CRS0000674</t>
        </is>
      </c>
      <c r="C408" t="inlineStr">
        <is>
          <t>MT</t>
        </is>
      </c>
      <c r="D408" t="inlineStr">
        <is>
          <t>TCX413U-DS1B01</t>
        </is>
      </c>
      <c r="E408" s="2" t="n">
        <v>46101</v>
      </c>
      <c r="F408" t="inlineStr">
        <is>
          <t>Pass</t>
        </is>
      </c>
      <c r="G408" t="n">
        <v>120.4</v>
      </c>
      <c r="H408" t="n">
        <v>86.5</v>
      </c>
      <c r="I408" t="n">
        <v>-1957.8</v>
      </c>
      <c r="J408" t="n">
        <v>77.09999999999999</v>
      </c>
      <c r="K408" t="n">
        <v>0</v>
      </c>
      <c r="L408" t="n">
        <v>4.3</v>
      </c>
      <c r="M408" t="n">
        <v>0</v>
      </c>
      <c r="N408" t="n">
        <v>72.8</v>
      </c>
      <c r="O408" t="n">
        <v>112.08</v>
      </c>
      <c r="P408" t="n">
        <v>113.62</v>
      </c>
      <c r="Q408" t="n">
        <v>4.03</v>
      </c>
      <c r="R408" t="n">
        <v>4</v>
      </c>
      <c r="S408">
        <f>IF(OR(G408=0,G408=""),"",ABS((G408-IF($C408="LT",Config!$F$2,Config!$F$14))/IF($C408="LT",Config!$G$2,Config!$G$14)))</f>
        <v/>
      </c>
      <c r="T408">
        <f>IF(OR(H408=0,H408=""),"",ABS((H408-IF($C408="LT",Config!$F$3,Config!$F$15))/IF($C408="LT",Config!$G$3,Config!$G$15)))</f>
        <v/>
      </c>
      <c r="U408">
        <f>IF(OR(I408=0,I408=""),"",ABS((I408-IF($C408="LT",Config!$F$4,Config!$F$16))/IF($C408="LT",Config!$G$4,Config!$G$16)))</f>
        <v/>
      </c>
      <c r="V408">
        <f>IF(OR(J408=0,J408=""),"",ABS((J408-IF($C408="LT",Config!$F$5,Config!$F$17))/IF($C408="LT",Config!$G$5,Config!$G$17)))</f>
        <v/>
      </c>
      <c r="W408">
        <f>IF(OR(K408=0,K408=""),"",ABS((K408-IF($C408="LT",Config!$F$6,Config!$F$18))/IF($C408="LT",Config!$G$6,Config!$G$18)))</f>
        <v/>
      </c>
      <c r="X408">
        <f>IF(OR(L408=0,L408=""),"",ABS((L408-IF($C408="LT",Config!$F$7,Config!$F$19))/IF($C408="LT",Config!$G$7,Config!$G$19)))</f>
        <v/>
      </c>
      <c r="Y408">
        <f>IF(OR(M408=0,M408=""),"",ABS((M408-IF($C408="LT",Config!$F$8,Config!$F$20))/IF($C408="LT",Config!$G$8,Config!$G$20)))</f>
        <v/>
      </c>
      <c r="Z408">
        <f>IF(OR(N408=0,N408=""),"",ABS((N408-IF($C408="LT",Config!$F$9,Config!$F$21))/IF($C408="LT",Config!$G$9,Config!$G$21)))</f>
        <v/>
      </c>
      <c r="AA408">
        <f>IF(OR(O408=0,O408=""),"",ABS((O408-IF($C408="LT",Config!$F$10,Config!$F$22))/IF($C408="LT",Config!$G$10,Config!$G$22)))</f>
        <v/>
      </c>
      <c r="AB408">
        <f>IF(OR(P408=0,P408=""),"",ABS((P408-IF($C408="LT",Config!$F$11,Config!$F$23))/IF($C408="LT",Config!$G$11,Config!$G$23)))</f>
        <v/>
      </c>
      <c r="AC408">
        <f>IF(OR(Q408=0,Q408=""),"",ABS((Q408-IF($C408="LT",Config!$F$12,Config!$F$24))/IF($C408="LT",Config!$G$12,Config!$G$24)))</f>
        <v/>
      </c>
      <c r="AD408">
        <f>IF(OR(R408=0,R408=""),"",ABS((R408-IF($C408="LT",Config!$F$13,Config!$F$25))/IF($C408="LT",Config!$G$13,Config!$G$25)))</f>
        <v/>
      </c>
    </row>
    <row r="409">
      <c r="A409" t="inlineStr">
        <is>
          <t>04C2026121036</t>
        </is>
      </c>
      <c r="B409" t="inlineStr">
        <is>
          <t>CRS0000674</t>
        </is>
      </c>
      <c r="C409" t="inlineStr">
        <is>
          <t>MT</t>
        </is>
      </c>
      <c r="D409" t="inlineStr">
        <is>
          <t>TCX413U-DS1B01</t>
        </is>
      </c>
      <c r="E409" s="2" t="n">
        <v>46102</v>
      </c>
      <c r="F409" t="inlineStr">
        <is>
          <t>Pass</t>
        </is>
      </c>
      <c r="G409" t="n">
        <v>106.6</v>
      </c>
      <c r="H409" t="n">
        <v>79.3</v>
      </c>
      <c r="I409" t="n">
        <v>-1957.8</v>
      </c>
      <c r="J409" t="n">
        <v>67.7</v>
      </c>
      <c r="K409" t="n">
        <v>0</v>
      </c>
      <c r="L409" t="n">
        <v>0.8</v>
      </c>
      <c r="M409" t="n">
        <v>0</v>
      </c>
      <c r="N409" t="n">
        <v>66.90000000000001</v>
      </c>
      <c r="O409" t="n">
        <v>111.2</v>
      </c>
      <c r="P409" t="n">
        <v>112.89</v>
      </c>
      <c r="Q409" t="n">
        <v>3.74</v>
      </c>
      <c r="R409" t="n">
        <v>3.83</v>
      </c>
      <c r="S409">
        <f>IF(OR(G409=0,G409=""),"",ABS((G409-IF($C409="LT",Config!$F$2,Config!$F$14))/IF($C409="LT",Config!$G$2,Config!$G$14)))</f>
        <v/>
      </c>
      <c r="T409">
        <f>IF(OR(H409=0,H409=""),"",ABS((H409-IF($C409="LT",Config!$F$3,Config!$F$15))/IF($C409="LT",Config!$G$3,Config!$G$15)))</f>
        <v/>
      </c>
      <c r="U409">
        <f>IF(OR(I409=0,I409=""),"",ABS((I409-IF($C409="LT",Config!$F$4,Config!$F$16))/IF($C409="LT",Config!$G$4,Config!$G$16)))</f>
        <v/>
      </c>
      <c r="V409">
        <f>IF(OR(J409=0,J409=""),"",ABS((J409-IF($C409="LT",Config!$F$5,Config!$F$17))/IF($C409="LT",Config!$G$5,Config!$G$17)))</f>
        <v/>
      </c>
      <c r="W409">
        <f>IF(OR(K409=0,K409=""),"",ABS((K409-IF($C409="LT",Config!$F$6,Config!$F$18))/IF($C409="LT",Config!$G$6,Config!$G$18)))</f>
        <v/>
      </c>
      <c r="X409">
        <f>IF(OR(L409=0,L409=""),"",ABS((L409-IF($C409="LT",Config!$F$7,Config!$F$19))/IF($C409="LT",Config!$G$7,Config!$G$19)))</f>
        <v/>
      </c>
      <c r="Y409">
        <f>IF(OR(M409=0,M409=""),"",ABS((M409-IF($C409="LT",Config!$F$8,Config!$F$20))/IF($C409="LT",Config!$G$8,Config!$G$20)))</f>
        <v/>
      </c>
      <c r="Z409">
        <f>IF(OR(N409=0,N409=""),"",ABS((N409-IF($C409="LT",Config!$F$9,Config!$F$21))/IF($C409="LT",Config!$G$9,Config!$G$21)))</f>
        <v/>
      </c>
      <c r="AA409">
        <f>IF(OR(O409=0,O409=""),"",ABS((O409-IF($C409="LT",Config!$F$10,Config!$F$22))/IF($C409="LT",Config!$G$10,Config!$G$22)))</f>
        <v/>
      </c>
      <c r="AB409">
        <f>IF(OR(P409=0,P409=""),"",ABS((P409-IF($C409="LT",Config!$F$11,Config!$F$23))/IF($C409="LT",Config!$G$11,Config!$G$23)))</f>
        <v/>
      </c>
      <c r="AC409">
        <f>IF(OR(Q409=0,Q409=""),"",ABS((Q409-IF($C409="LT",Config!$F$12,Config!$F$24))/IF($C409="LT",Config!$G$12,Config!$G$24)))</f>
        <v/>
      </c>
      <c r="AD409">
        <f>IF(OR(R409=0,R409=""),"",ABS((R409-IF($C409="LT",Config!$F$13,Config!$F$25))/IF($C409="LT",Config!$G$13,Config!$G$25)))</f>
        <v/>
      </c>
    </row>
    <row r="410">
      <c r="A410" t="inlineStr">
        <is>
          <t>04C2026121037</t>
        </is>
      </c>
      <c r="B410" t="inlineStr">
        <is>
          <t>CRS0000674</t>
        </is>
      </c>
      <c r="C410" t="inlineStr">
        <is>
          <t>MT</t>
        </is>
      </c>
      <c r="D410" t="inlineStr">
        <is>
          <t>TCX413U-DS1B01</t>
        </is>
      </c>
      <c r="E410" s="2" t="n">
        <v>46102</v>
      </c>
      <c r="F410" t="inlineStr">
        <is>
          <t>Pass</t>
        </is>
      </c>
      <c r="G410" t="n">
        <v>102.6</v>
      </c>
      <c r="H410" t="n">
        <v>78.40000000000001</v>
      </c>
      <c r="I410" t="n">
        <v>-1957.8</v>
      </c>
      <c r="J410" t="n">
        <v>68.2</v>
      </c>
      <c r="K410" t="n">
        <v>0</v>
      </c>
      <c r="L410" t="n">
        <v>0.7</v>
      </c>
      <c r="M410" t="n">
        <v>0</v>
      </c>
      <c r="N410" t="n">
        <v>67.5</v>
      </c>
      <c r="O410" t="n">
        <v>111.5</v>
      </c>
      <c r="P410" t="n">
        <v>112.96</v>
      </c>
      <c r="Q410" t="n">
        <v>3.64</v>
      </c>
      <c r="R410" t="n">
        <v>3.71</v>
      </c>
      <c r="S410">
        <f>IF(OR(G410=0,G410=""),"",ABS((G410-IF($C410="LT",Config!$F$2,Config!$F$14))/IF($C410="LT",Config!$G$2,Config!$G$14)))</f>
        <v/>
      </c>
      <c r="T410">
        <f>IF(OR(H410=0,H410=""),"",ABS((H410-IF($C410="LT",Config!$F$3,Config!$F$15))/IF($C410="LT",Config!$G$3,Config!$G$15)))</f>
        <v/>
      </c>
      <c r="U410">
        <f>IF(OR(I410=0,I410=""),"",ABS((I410-IF($C410="LT",Config!$F$4,Config!$F$16))/IF($C410="LT",Config!$G$4,Config!$G$16)))</f>
        <v/>
      </c>
      <c r="V410">
        <f>IF(OR(J410=0,J410=""),"",ABS((J410-IF($C410="LT",Config!$F$5,Config!$F$17))/IF($C410="LT",Config!$G$5,Config!$G$17)))</f>
        <v/>
      </c>
      <c r="W410">
        <f>IF(OR(K410=0,K410=""),"",ABS((K410-IF($C410="LT",Config!$F$6,Config!$F$18))/IF($C410="LT",Config!$G$6,Config!$G$18)))</f>
        <v/>
      </c>
      <c r="X410">
        <f>IF(OR(L410=0,L410=""),"",ABS((L410-IF($C410="LT",Config!$F$7,Config!$F$19))/IF($C410="LT",Config!$G$7,Config!$G$19)))</f>
        <v/>
      </c>
      <c r="Y410">
        <f>IF(OR(M410=0,M410=""),"",ABS((M410-IF($C410="LT",Config!$F$8,Config!$F$20))/IF($C410="LT",Config!$G$8,Config!$G$20)))</f>
        <v/>
      </c>
      <c r="Z410">
        <f>IF(OR(N410=0,N410=""),"",ABS((N410-IF($C410="LT",Config!$F$9,Config!$F$21))/IF($C410="LT",Config!$G$9,Config!$G$21)))</f>
        <v/>
      </c>
      <c r="AA410">
        <f>IF(OR(O410=0,O410=""),"",ABS((O410-IF($C410="LT",Config!$F$10,Config!$F$22))/IF($C410="LT",Config!$G$10,Config!$G$22)))</f>
        <v/>
      </c>
      <c r="AB410">
        <f>IF(OR(P410=0,P410=""),"",ABS((P410-IF($C410="LT",Config!$F$11,Config!$F$23))/IF($C410="LT",Config!$G$11,Config!$G$23)))</f>
        <v/>
      </c>
      <c r="AC410">
        <f>IF(OR(Q410=0,Q410=""),"",ABS((Q410-IF($C410="LT",Config!$F$12,Config!$F$24))/IF($C410="LT",Config!$G$12,Config!$G$24)))</f>
        <v/>
      </c>
      <c r="AD410">
        <f>IF(OR(R410=0,R410=""),"",ABS((R410-IF($C410="LT",Config!$F$13,Config!$F$25))/IF($C410="LT",Config!$G$13,Config!$G$25)))</f>
        <v/>
      </c>
    </row>
    <row r="411">
      <c r="A411" t="inlineStr">
        <is>
          <t>04C2026121038</t>
        </is>
      </c>
      <c r="B411" t="inlineStr">
        <is>
          <t>CRS0000674</t>
        </is>
      </c>
      <c r="C411" t="inlineStr">
        <is>
          <t>MT</t>
        </is>
      </c>
      <c r="D411" t="inlineStr">
        <is>
          <t>TCX413U-DS1B01</t>
        </is>
      </c>
      <c r="E411" s="2" t="n">
        <v>46102</v>
      </c>
      <c r="F411" t="inlineStr">
        <is>
          <t>Fail</t>
        </is>
      </c>
      <c r="G411" t="n">
        <v>106.2</v>
      </c>
      <c r="H411" t="n">
        <v>71.2</v>
      </c>
      <c r="I411" t="n">
        <v>-1957.8</v>
      </c>
      <c r="J411" t="n">
        <v>67.7</v>
      </c>
      <c r="K411" t="n">
        <v>0</v>
      </c>
      <c r="L411" t="n">
        <v>1.6</v>
      </c>
      <c r="M411" t="n">
        <v>0</v>
      </c>
      <c r="N411" t="n">
        <v>66.09999999999999</v>
      </c>
      <c r="O411" t="n">
        <v>111.13</v>
      </c>
      <c r="P411" t="n">
        <v>117.66</v>
      </c>
      <c r="Q411" t="n">
        <v>3.81</v>
      </c>
      <c r="R411" t="n">
        <v>3.78</v>
      </c>
      <c r="S411">
        <f>IF(OR(G411=0,G411=""),"",ABS((G411-IF($C411="LT",Config!$F$2,Config!$F$14))/IF($C411="LT",Config!$G$2,Config!$G$14)))</f>
        <v/>
      </c>
      <c r="T411">
        <f>IF(OR(H411=0,H411=""),"",ABS((H411-IF($C411="LT",Config!$F$3,Config!$F$15))/IF($C411="LT",Config!$G$3,Config!$G$15)))</f>
        <v/>
      </c>
      <c r="U411">
        <f>IF(OR(I411=0,I411=""),"",ABS((I411-IF($C411="LT",Config!$F$4,Config!$F$16))/IF($C411="LT",Config!$G$4,Config!$G$16)))</f>
        <v/>
      </c>
      <c r="V411">
        <f>IF(OR(J411=0,J411=""),"",ABS((J411-IF($C411="LT",Config!$F$5,Config!$F$17))/IF($C411="LT",Config!$G$5,Config!$G$17)))</f>
        <v/>
      </c>
      <c r="W411">
        <f>IF(OR(K411=0,K411=""),"",ABS((K411-IF($C411="LT",Config!$F$6,Config!$F$18))/IF($C411="LT",Config!$G$6,Config!$G$18)))</f>
        <v/>
      </c>
      <c r="X411">
        <f>IF(OR(L411=0,L411=""),"",ABS((L411-IF($C411="LT",Config!$F$7,Config!$F$19))/IF($C411="LT",Config!$G$7,Config!$G$19)))</f>
        <v/>
      </c>
      <c r="Y411">
        <f>IF(OR(M411=0,M411=""),"",ABS((M411-IF($C411="LT",Config!$F$8,Config!$F$20))/IF($C411="LT",Config!$G$8,Config!$G$20)))</f>
        <v/>
      </c>
      <c r="Z411">
        <f>IF(OR(N411=0,N411=""),"",ABS((N411-IF($C411="LT",Config!$F$9,Config!$F$21))/IF($C411="LT",Config!$G$9,Config!$G$21)))</f>
        <v/>
      </c>
      <c r="AA411">
        <f>IF(OR(O411=0,O411=""),"",ABS((O411-IF($C411="LT",Config!$F$10,Config!$F$22))/IF($C411="LT",Config!$G$10,Config!$G$22)))</f>
        <v/>
      </c>
      <c r="AB411">
        <f>IF(OR(P411=0,P411=""),"",ABS((P411-IF($C411="LT",Config!$F$11,Config!$F$23))/IF($C411="LT",Config!$G$11,Config!$G$23)))</f>
        <v/>
      </c>
      <c r="AC411">
        <f>IF(OR(Q411=0,Q411=""),"",ABS((Q411-IF($C411="LT",Config!$F$12,Config!$F$24))/IF($C411="LT",Config!$G$12,Config!$G$24)))</f>
        <v/>
      </c>
      <c r="AD411">
        <f>IF(OR(R411=0,R411=""),"",ABS((R411-IF($C411="LT",Config!$F$13,Config!$F$25))/IF($C411="LT",Config!$G$13,Config!$G$25)))</f>
        <v/>
      </c>
    </row>
    <row r="412">
      <c r="A412" t="inlineStr">
        <is>
          <t>04C2026121038</t>
        </is>
      </c>
      <c r="B412" t="inlineStr">
        <is>
          <t>CRS0000674</t>
        </is>
      </c>
      <c r="C412" t="inlineStr">
        <is>
          <t>MT</t>
        </is>
      </c>
      <c r="D412" t="inlineStr">
        <is>
          <t>TCX413U-DS1B01</t>
        </is>
      </c>
      <c r="E412" s="2" t="n">
        <v>46102</v>
      </c>
      <c r="F412" t="inlineStr">
        <is>
          <t>Pass</t>
        </is>
      </c>
      <c r="G412" t="n">
        <v>117.3</v>
      </c>
      <c r="H412" t="n">
        <v>86.09999999999999</v>
      </c>
      <c r="I412" t="n">
        <v>-1957.8</v>
      </c>
      <c r="J412" t="n">
        <v>67.7</v>
      </c>
      <c r="K412" t="n">
        <v>0</v>
      </c>
      <c r="L412" t="n">
        <v>0.2</v>
      </c>
      <c r="M412" t="n">
        <v>0</v>
      </c>
      <c r="N412" t="n">
        <v>67.5</v>
      </c>
      <c r="O412" t="n">
        <v>111.06</v>
      </c>
      <c r="P412" t="n">
        <v>117.58</v>
      </c>
      <c r="Q412" t="n">
        <v>4.08</v>
      </c>
      <c r="R412" t="n">
        <v>3.98</v>
      </c>
      <c r="S412">
        <f>IF(OR(G412=0,G412=""),"",ABS((G412-IF($C412="LT",Config!$F$2,Config!$F$14))/IF($C412="LT",Config!$G$2,Config!$G$14)))</f>
        <v/>
      </c>
      <c r="T412">
        <f>IF(OR(H412=0,H412=""),"",ABS((H412-IF($C412="LT",Config!$F$3,Config!$F$15))/IF($C412="LT",Config!$G$3,Config!$G$15)))</f>
        <v/>
      </c>
      <c r="U412">
        <f>IF(OR(I412=0,I412=""),"",ABS((I412-IF($C412="LT",Config!$F$4,Config!$F$16))/IF($C412="LT",Config!$G$4,Config!$G$16)))</f>
        <v/>
      </c>
      <c r="V412">
        <f>IF(OR(J412=0,J412=""),"",ABS((J412-IF($C412="LT",Config!$F$5,Config!$F$17))/IF($C412="LT",Config!$G$5,Config!$G$17)))</f>
        <v/>
      </c>
      <c r="W412">
        <f>IF(OR(K412=0,K412=""),"",ABS((K412-IF($C412="LT",Config!$F$6,Config!$F$18))/IF($C412="LT",Config!$G$6,Config!$G$18)))</f>
        <v/>
      </c>
      <c r="X412">
        <f>IF(OR(L412=0,L412=""),"",ABS((L412-IF($C412="LT",Config!$F$7,Config!$F$19))/IF($C412="LT",Config!$G$7,Config!$G$19)))</f>
        <v/>
      </c>
      <c r="Y412">
        <f>IF(OR(M412=0,M412=""),"",ABS((M412-IF($C412="LT",Config!$F$8,Config!$F$20))/IF($C412="LT",Config!$G$8,Config!$G$20)))</f>
        <v/>
      </c>
      <c r="Z412">
        <f>IF(OR(N412=0,N412=""),"",ABS((N412-IF($C412="LT",Config!$F$9,Config!$F$21))/IF($C412="LT",Config!$G$9,Config!$G$21)))</f>
        <v/>
      </c>
      <c r="AA412">
        <f>IF(OR(O412=0,O412=""),"",ABS((O412-IF($C412="LT",Config!$F$10,Config!$F$22))/IF($C412="LT",Config!$G$10,Config!$G$22)))</f>
        <v/>
      </c>
      <c r="AB412">
        <f>IF(OR(P412=0,P412=""),"",ABS((P412-IF($C412="LT",Config!$F$11,Config!$F$23))/IF($C412="LT",Config!$G$11,Config!$G$23)))</f>
        <v/>
      </c>
      <c r="AC412">
        <f>IF(OR(Q412=0,Q412=""),"",ABS((Q412-IF($C412="LT",Config!$F$12,Config!$F$24))/IF($C412="LT",Config!$G$12,Config!$G$24)))</f>
        <v/>
      </c>
      <c r="AD412">
        <f>IF(OR(R412=0,R412=""),"",ABS((R412-IF($C412="LT",Config!$F$13,Config!$F$25))/IF($C412="LT",Config!$G$13,Config!$G$25)))</f>
        <v/>
      </c>
    </row>
    <row r="413">
      <c r="A413" t="inlineStr">
        <is>
          <t>04C2026121039</t>
        </is>
      </c>
      <c r="B413" t="inlineStr">
        <is>
          <t>CRS0000674</t>
        </is>
      </c>
      <c r="C413" t="inlineStr">
        <is>
          <t>MT</t>
        </is>
      </c>
      <c r="D413" t="inlineStr">
        <is>
          <t>TCX413U-DS1B01</t>
        </is>
      </c>
      <c r="E413" s="2" t="n">
        <v>46102</v>
      </c>
      <c r="F413" t="inlineStr">
        <is>
          <t>Pass</t>
        </is>
      </c>
      <c r="G413" t="n">
        <v>112.4</v>
      </c>
      <c r="H413" t="n">
        <v>83.40000000000001</v>
      </c>
      <c r="I413" t="n">
        <v>-1957.8</v>
      </c>
      <c r="J413" t="n">
        <v>70</v>
      </c>
      <c r="K413" t="n">
        <v>0</v>
      </c>
      <c r="L413" t="n">
        <v>0.5</v>
      </c>
      <c r="M413" t="n">
        <v>0</v>
      </c>
      <c r="N413" t="n">
        <v>70.5</v>
      </c>
      <c r="O413" t="n">
        <v>115.6</v>
      </c>
      <c r="P413" t="n">
        <v>117</v>
      </c>
      <c r="Q413" t="n">
        <v>3.76</v>
      </c>
      <c r="R413" t="n">
        <v>3.78</v>
      </c>
      <c r="S413">
        <f>IF(OR(G413=0,G413=""),"",ABS((G413-IF($C413="LT",Config!$F$2,Config!$F$14))/IF($C413="LT",Config!$G$2,Config!$G$14)))</f>
        <v/>
      </c>
      <c r="T413">
        <f>IF(OR(H413=0,H413=""),"",ABS((H413-IF($C413="LT",Config!$F$3,Config!$F$15))/IF($C413="LT",Config!$G$3,Config!$G$15)))</f>
        <v/>
      </c>
      <c r="U413">
        <f>IF(OR(I413=0,I413=""),"",ABS((I413-IF($C413="LT",Config!$F$4,Config!$F$16))/IF($C413="LT",Config!$G$4,Config!$G$16)))</f>
        <v/>
      </c>
      <c r="V413">
        <f>IF(OR(J413=0,J413=""),"",ABS((J413-IF($C413="LT",Config!$F$5,Config!$F$17))/IF($C413="LT",Config!$G$5,Config!$G$17)))</f>
        <v/>
      </c>
      <c r="W413">
        <f>IF(OR(K413=0,K413=""),"",ABS((K413-IF($C413="LT",Config!$F$6,Config!$F$18))/IF($C413="LT",Config!$G$6,Config!$G$18)))</f>
        <v/>
      </c>
      <c r="X413">
        <f>IF(OR(L413=0,L413=""),"",ABS((L413-IF($C413="LT",Config!$F$7,Config!$F$19))/IF($C413="LT",Config!$G$7,Config!$G$19)))</f>
        <v/>
      </c>
      <c r="Y413">
        <f>IF(OR(M413=0,M413=""),"",ABS((M413-IF($C413="LT",Config!$F$8,Config!$F$20))/IF($C413="LT",Config!$G$8,Config!$G$20)))</f>
        <v/>
      </c>
      <c r="Z413">
        <f>IF(OR(N413=0,N413=""),"",ABS((N413-IF($C413="LT",Config!$F$9,Config!$F$21))/IF($C413="LT",Config!$G$9,Config!$G$21)))</f>
        <v/>
      </c>
      <c r="AA413">
        <f>IF(OR(O413=0,O413=""),"",ABS((O413-IF($C413="LT",Config!$F$10,Config!$F$22))/IF($C413="LT",Config!$G$10,Config!$G$22)))</f>
        <v/>
      </c>
      <c r="AB413">
        <f>IF(OR(P413=0,P413=""),"",ABS((P413-IF($C413="LT",Config!$F$11,Config!$F$23))/IF($C413="LT",Config!$G$11,Config!$G$23)))</f>
        <v/>
      </c>
      <c r="AC413">
        <f>IF(OR(Q413=0,Q413=""),"",ABS((Q413-IF($C413="LT",Config!$F$12,Config!$F$24))/IF($C413="LT",Config!$G$12,Config!$G$24)))</f>
        <v/>
      </c>
      <c r="AD413">
        <f>IF(OR(R413=0,R413=""),"",ABS((R413-IF($C413="LT",Config!$F$13,Config!$F$25))/IF($C413="LT",Config!$G$13,Config!$G$25)))</f>
        <v/>
      </c>
    </row>
    <row r="414">
      <c r="A414" t="inlineStr">
        <is>
          <t>04C2026121040</t>
        </is>
      </c>
      <c r="B414" t="inlineStr">
        <is>
          <t>CRS0000674</t>
        </is>
      </c>
      <c r="C414" t="inlineStr">
        <is>
          <t>MT</t>
        </is>
      </c>
      <c r="D414" t="inlineStr">
        <is>
          <t>TCX413U-DS1B01</t>
        </is>
      </c>
      <c r="E414" s="2" t="n">
        <v>46102</v>
      </c>
      <c r="F414" t="inlineStr">
        <is>
          <t>Pass</t>
        </is>
      </c>
      <c r="G414" t="n">
        <v>111.5</v>
      </c>
      <c r="H414" t="n">
        <v>82</v>
      </c>
      <c r="I414" t="n">
        <v>-1957.8</v>
      </c>
      <c r="J414" t="n">
        <v>69.5</v>
      </c>
      <c r="K414" t="n">
        <v>0</v>
      </c>
      <c r="L414" t="n">
        <v>2.4</v>
      </c>
      <c r="M414" t="n">
        <v>0</v>
      </c>
      <c r="N414" t="n">
        <v>67.09999999999999</v>
      </c>
      <c r="O414" t="n">
        <v>115.6</v>
      </c>
      <c r="P414" t="n">
        <v>117.22</v>
      </c>
      <c r="Q414" t="n">
        <v>3.71</v>
      </c>
      <c r="R414" t="n">
        <v>3.74</v>
      </c>
      <c r="S414">
        <f>IF(OR(G414=0,G414=""),"",ABS((G414-IF($C414="LT",Config!$F$2,Config!$F$14))/IF($C414="LT",Config!$G$2,Config!$G$14)))</f>
        <v/>
      </c>
      <c r="T414">
        <f>IF(OR(H414=0,H414=""),"",ABS((H414-IF($C414="LT",Config!$F$3,Config!$F$15))/IF($C414="LT",Config!$G$3,Config!$G$15)))</f>
        <v/>
      </c>
      <c r="U414">
        <f>IF(OR(I414=0,I414=""),"",ABS((I414-IF($C414="LT",Config!$F$4,Config!$F$16))/IF($C414="LT",Config!$G$4,Config!$G$16)))</f>
        <v/>
      </c>
      <c r="V414">
        <f>IF(OR(J414=0,J414=""),"",ABS((J414-IF($C414="LT",Config!$F$5,Config!$F$17))/IF($C414="LT",Config!$G$5,Config!$G$17)))</f>
        <v/>
      </c>
      <c r="W414">
        <f>IF(OR(K414=0,K414=""),"",ABS((K414-IF($C414="LT",Config!$F$6,Config!$F$18))/IF($C414="LT",Config!$G$6,Config!$G$18)))</f>
        <v/>
      </c>
      <c r="X414">
        <f>IF(OR(L414=0,L414=""),"",ABS((L414-IF($C414="LT",Config!$F$7,Config!$F$19))/IF($C414="LT",Config!$G$7,Config!$G$19)))</f>
        <v/>
      </c>
      <c r="Y414">
        <f>IF(OR(M414=0,M414=""),"",ABS((M414-IF($C414="LT",Config!$F$8,Config!$F$20))/IF($C414="LT",Config!$G$8,Config!$G$20)))</f>
        <v/>
      </c>
      <c r="Z414">
        <f>IF(OR(N414=0,N414=""),"",ABS((N414-IF($C414="LT",Config!$F$9,Config!$F$21))/IF($C414="LT",Config!$G$9,Config!$G$21)))</f>
        <v/>
      </c>
      <c r="AA414">
        <f>IF(OR(O414=0,O414=""),"",ABS((O414-IF($C414="LT",Config!$F$10,Config!$F$22))/IF($C414="LT",Config!$G$10,Config!$G$22)))</f>
        <v/>
      </c>
      <c r="AB414">
        <f>IF(OR(P414=0,P414=""),"",ABS((P414-IF($C414="LT",Config!$F$11,Config!$F$23))/IF($C414="LT",Config!$G$11,Config!$G$23)))</f>
        <v/>
      </c>
      <c r="AC414">
        <f>IF(OR(Q414=0,Q414=""),"",ABS((Q414-IF($C414="LT",Config!$F$12,Config!$F$24))/IF($C414="LT",Config!$G$12,Config!$G$24)))</f>
        <v/>
      </c>
      <c r="AD414">
        <f>IF(OR(R414=0,R414=""),"",ABS((R414-IF($C414="LT",Config!$F$13,Config!$F$25))/IF($C414="LT",Config!$G$13,Config!$G$25)))</f>
        <v/>
      </c>
    </row>
    <row r="415">
      <c r="A415" t="inlineStr">
        <is>
          <t>04C2026121041</t>
        </is>
      </c>
      <c r="B415" t="inlineStr">
        <is>
          <t>CRS0000674</t>
        </is>
      </c>
      <c r="C415" t="inlineStr">
        <is>
          <t>MT</t>
        </is>
      </c>
      <c r="D415" t="inlineStr">
        <is>
          <t>TCX413U-DS1B01</t>
        </is>
      </c>
      <c r="E415" s="2" t="n">
        <v>46102</v>
      </c>
      <c r="F415" t="inlineStr">
        <is>
          <t>Pass</t>
        </is>
      </c>
      <c r="G415" t="n">
        <v>111.1</v>
      </c>
      <c r="H415" t="n">
        <v>79.3</v>
      </c>
      <c r="I415" t="n">
        <v>-1957.8</v>
      </c>
      <c r="J415" t="n">
        <v>67.7</v>
      </c>
      <c r="K415" t="n">
        <v>0</v>
      </c>
      <c r="L415" t="n">
        <v>2.2</v>
      </c>
      <c r="M415" t="n">
        <v>0</v>
      </c>
      <c r="N415" t="n">
        <v>65.5</v>
      </c>
      <c r="O415" t="n">
        <v>115.46</v>
      </c>
      <c r="P415" t="n">
        <v>115.38</v>
      </c>
      <c r="Q415" t="n">
        <v>3.56</v>
      </c>
      <c r="R415" t="n">
        <v>3.59</v>
      </c>
      <c r="S415">
        <f>IF(OR(G415=0,G415=""),"",ABS((G415-IF($C415="LT",Config!$F$2,Config!$F$14))/IF($C415="LT",Config!$G$2,Config!$G$14)))</f>
        <v/>
      </c>
      <c r="T415">
        <f>IF(OR(H415=0,H415=""),"",ABS((H415-IF($C415="LT",Config!$F$3,Config!$F$15))/IF($C415="LT",Config!$G$3,Config!$G$15)))</f>
        <v/>
      </c>
      <c r="U415">
        <f>IF(OR(I415=0,I415=""),"",ABS((I415-IF($C415="LT",Config!$F$4,Config!$F$16))/IF($C415="LT",Config!$G$4,Config!$G$16)))</f>
        <v/>
      </c>
      <c r="V415">
        <f>IF(OR(J415=0,J415=""),"",ABS((J415-IF($C415="LT",Config!$F$5,Config!$F$17))/IF($C415="LT",Config!$G$5,Config!$G$17)))</f>
        <v/>
      </c>
      <c r="W415">
        <f>IF(OR(K415=0,K415=""),"",ABS((K415-IF($C415="LT",Config!$F$6,Config!$F$18))/IF($C415="LT",Config!$G$6,Config!$G$18)))</f>
        <v/>
      </c>
      <c r="X415">
        <f>IF(OR(L415=0,L415=""),"",ABS((L415-IF($C415="LT",Config!$F$7,Config!$F$19))/IF($C415="LT",Config!$G$7,Config!$G$19)))</f>
        <v/>
      </c>
      <c r="Y415">
        <f>IF(OR(M415=0,M415=""),"",ABS((M415-IF($C415="LT",Config!$F$8,Config!$F$20))/IF($C415="LT",Config!$G$8,Config!$G$20)))</f>
        <v/>
      </c>
      <c r="Z415">
        <f>IF(OR(N415=0,N415=""),"",ABS((N415-IF($C415="LT",Config!$F$9,Config!$F$21))/IF($C415="LT",Config!$G$9,Config!$G$21)))</f>
        <v/>
      </c>
      <c r="AA415">
        <f>IF(OR(O415=0,O415=""),"",ABS((O415-IF($C415="LT",Config!$F$10,Config!$F$22))/IF($C415="LT",Config!$G$10,Config!$G$22)))</f>
        <v/>
      </c>
      <c r="AB415">
        <f>IF(OR(P415=0,P415=""),"",ABS((P415-IF($C415="LT",Config!$F$11,Config!$F$23))/IF($C415="LT",Config!$G$11,Config!$G$23)))</f>
        <v/>
      </c>
      <c r="AC415">
        <f>IF(OR(Q415=0,Q415=""),"",ABS((Q415-IF($C415="LT",Config!$F$12,Config!$F$24))/IF($C415="LT",Config!$G$12,Config!$G$24)))</f>
        <v/>
      </c>
      <c r="AD415">
        <f>IF(OR(R415=0,R415=""),"",ABS((R415-IF($C415="LT",Config!$F$13,Config!$F$25))/IF($C415="LT",Config!$G$13,Config!$G$25)))</f>
        <v/>
      </c>
    </row>
    <row r="416">
      <c r="A416" t="inlineStr">
        <is>
          <t>04C2026121042</t>
        </is>
      </c>
      <c r="B416" t="inlineStr">
        <is>
          <t>CRS0000674</t>
        </is>
      </c>
      <c r="C416" t="inlineStr">
        <is>
          <t>MT</t>
        </is>
      </c>
      <c r="D416" t="inlineStr">
        <is>
          <t>TCX413U-DS1B01</t>
        </is>
      </c>
      <c r="E416" s="2" t="n">
        <v>46102</v>
      </c>
      <c r="F416" t="inlineStr">
        <is>
          <t>Pass</t>
        </is>
      </c>
      <c r="G416" t="n">
        <v>110.2</v>
      </c>
      <c r="H416" t="n">
        <v>81.59999999999999</v>
      </c>
      <c r="I416" t="n">
        <v>-1957.8</v>
      </c>
      <c r="J416" t="n">
        <v>68.2</v>
      </c>
      <c r="K416" t="n">
        <v>0</v>
      </c>
      <c r="L416" t="n">
        <v>0.8</v>
      </c>
      <c r="M416" t="n">
        <v>0</v>
      </c>
      <c r="N416" t="n">
        <v>67.40000000000001</v>
      </c>
      <c r="O416" t="n">
        <v>115.6</v>
      </c>
      <c r="P416" t="n">
        <v>117</v>
      </c>
      <c r="Q416" t="n">
        <v>3.69</v>
      </c>
      <c r="R416" t="n">
        <v>3.74</v>
      </c>
      <c r="S416">
        <f>IF(OR(G416=0,G416=""),"",ABS((G416-IF($C416="LT",Config!$F$2,Config!$F$14))/IF($C416="LT",Config!$G$2,Config!$G$14)))</f>
        <v/>
      </c>
      <c r="T416">
        <f>IF(OR(H416=0,H416=""),"",ABS((H416-IF($C416="LT",Config!$F$3,Config!$F$15))/IF($C416="LT",Config!$G$3,Config!$G$15)))</f>
        <v/>
      </c>
      <c r="U416">
        <f>IF(OR(I416=0,I416=""),"",ABS((I416-IF($C416="LT",Config!$F$4,Config!$F$16))/IF($C416="LT",Config!$G$4,Config!$G$16)))</f>
        <v/>
      </c>
      <c r="V416">
        <f>IF(OR(J416=0,J416=""),"",ABS((J416-IF($C416="LT",Config!$F$5,Config!$F$17))/IF($C416="LT",Config!$G$5,Config!$G$17)))</f>
        <v/>
      </c>
      <c r="W416">
        <f>IF(OR(K416=0,K416=""),"",ABS((K416-IF($C416="LT",Config!$F$6,Config!$F$18))/IF($C416="LT",Config!$G$6,Config!$G$18)))</f>
        <v/>
      </c>
      <c r="X416">
        <f>IF(OR(L416=0,L416=""),"",ABS((L416-IF($C416="LT",Config!$F$7,Config!$F$19))/IF($C416="LT",Config!$G$7,Config!$G$19)))</f>
        <v/>
      </c>
      <c r="Y416">
        <f>IF(OR(M416=0,M416=""),"",ABS((M416-IF($C416="LT",Config!$F$8,Config!$F$20))/IF($C416="LT",Config!$G$8,Config!$G$20)))</f>
        <v/>
      </c>
      <c r="Z416">
        <f>IF(OR(N416=0,N416=""),"",ABS((N416-IF($C416="LT",Config!$F$9,Config!$F$21))/IF($C416="LT",Config!$G$9,Config!$G$21)))</f>
        <v/>
      </c>
      <c r="AA416">
        <f>IF(OR(O416=0,O416=""),"",ABS((O416-IF($C416="LT",Config!$F$10,Config!$F$22))/IF($C416="LT",Config!$G$10,Config!$G$22)))</f>
        <v/>
      </c>
      <c r="AB416">
        <f>IF(OR(P416=0,P416=""),"",ABS((P416-IF($C416="LT",Config!$F$11,Config!$F$23))/IF($C416="LT",Config!$G$11,Config!$G$23)))</f>
        <v/>
      </c>
      <c r="AC416">
        <f>IF(OR(Q416=0,Q416=""),"",ABS((Q416-IF($C416="LT",Config!$F$12,Config!$F$24))/IF($C416="LT",Config!$G$12,Config!$G$24)))</f>
        <v/>
      </c>
      <c r="AD416">
        <f>IF(OR(R416=0,R416=""),"",ABS((R416-IF($C416="LT",Config!$F$13,Config!$F$25))/IF($C416="LT",Config!$G$13,Config!$G$25)))</f>
        <v/>
      </c>
    </row>
    <row r="417">
      <c r="A417" t="inlineStr">
        <is>
          <t>04C2126121043</t>
        </is>
      </c>
      <c r="B417" t="inlineStr">
        <is>
          <t>CRS0000674</t>
        </is>
      </c>
      <c r="C417" t="inlineStr">
        <is>
          <t>MT</t>
        </is>
      </c>
      <c r="D417" t="inlineStr">
        <is>
          <t>TCX413U-DS1B01</t>
        </is>
      </c>
      <c r="E417" s="2" t="n">
        <v>46102</v>
      </c>
      <c r="F417" t="inlineStr">
        <is>
          <t>Pass</t>
        </is>
      </c>
      <c r="G417" t="n">
        <v>112.9</v>
      </c>
      <c r="H417" t="n">
        <v>81.59999999999999</v>
      </c>
      <c r="I417" t="n">
        <v>-1957.8</v>
      </c>
      <c r="J417" t="n">
        <v>67.7</v>
      </c>
      <c r="K417" t="n">
        <v>0</v>
      </c>
      <c r="L417" t="n">
        <v>2</v>
      </c>
      <c r="M417" t="n">
        <v>0</v>
      </c>
      <c r="N417" t="n">
        <v>65.7</v>
      </c>
      <c r="O417" t="n">
        <v>112.16</v>
      </c>
      <c r="P417" t="n">
        <v>116.78</v>
      </c>
      <c r="Q417" t="n">
        <v>3.81</v>
      </c>
      <c r="R417" t="n">
        <v>3.81</v>
      </c>
      <c r="S417">
        <f>IF(OR(G417=0,G417=""),"",ABS((G417-IF($C417="LT",Config!$F$2,Config!$F$14))/IF($C417="LT",Config!$G$2,Config!$G$14)))</f>
        <v/>
      </c>
      <c r="T417">
        <f>IF(OR(H417=0,H417=""),"",ABS((H417-IF($C417="LT",Config!$F$3,Config!$F$15))/IF($C417="LT",Config!$G$3,Config!$G$15)))</f>
        <v/>
      </c>
      <c r="U417">
        <f>IF(OR(I417=0,I417=""),"",ABS((I417-IF($C417="LT",Config!$F$4,Config!$F$16))/IF($C417="LT",Config!$G$4,Config!$G$16)))</f>
        <v/>
      </c>
      <c r="V417">
        <f>IF(OR(J417=0,J417=""),"",ABS((J417-IF($C417="LT",Config!$F$5,Config!$F$17))/IF($C417="LT",Config!$G$5,Config!$G$17)))</f>
        <v/>
      </c>
      <c r="W417">
        <f>IF(OR(K417=0,K417=""),"",ABS((K417-IF($C417="LT",Config!$F$6,Config!$F$18))/IF($C417="LT",Config!$G$6,Config!$G$18)))</f>
        <v/>
      </c>
      <c r="X417">
        <f>IF(OR(L417=0,L417=""),"",ABS((L417-IF($C417="LT",Config!$F$7,Config!$F$19))/IF($C417="LT",Config!$G$7,Config!$G$19)))</f>
        <v/>
      </c>
      <c r="Y417">
        <f>IF(OR(M417=0,M417=""),"",ABS((M417-IF($C417="LT",Config!$F$8,Config!$F$20))/IF($C417="LT",Config!$G$8,Config!$G$20)))</f>
        <v/>
      </c>
      <c r="Z417">
        <f>IF(OR(N417=0,N417=""),"",ABS((N417-IF($C417="LT",Config!$F$9,Config!$F$21))/IF($C417="LT",Config!$G$9,Config!$G$21)))</f>
        <v/>
      </c>
      <c r="AA417">
        <f>IF(OR(O417=0,O417=""),"",ABS((O417-IF($C417="LT",Config!$F$10,Config!$F$22))/IF($C417="LT",Config!$G$10,Config!$G$22)))</f>
        <v/>
      </c>
      <c r="AB417">
        <f>IF(OR(P417=0,P417=""),"",ABS((P417-IF($C417="LT",Config!$F$11,Config!$F$23))/IF($C417="LT",Config!$G$11,Config!$G$23)))</f>
        <v/>
      </c>
      <c r="AC417">
        <f>IF(OR(Q417=0,Q417=""),"",ABS((Q417-IF($C417="LT",Config!$F$12,Config!$F$24))/IF($C417="LT",Config!$G$12,Config!$G$24)))</f>
        <v/>
      </c>
      <c r="AD417">
        <f>IF(OR(R417=0,R417=""),"",ABS((R417-IF($C417="LT",Config!$F$13,Config!$F$25))/IF($C417="LT",Config!$G$13,Config!$G$25)))</f>
        <v/>
      </c>
    </row>
    <row r="418">
      <c r="A418" t="inlineStr">
        <is>
          <t>04C2126121044</t>
        </is>
      </c>
      <c r="B418" t="inlineStr">
        <is>
          <t>CRS0000674</t>
        </is>
      </c>
      <c r="C418" t="inlineStr">
        <is>
          <t>MT</t>
        </is>
      </c>
      <c r="D418" t="inlineStr">
        <is>
          <t>TCX413U-DS1B01</t>
        </is>
      </c>
      <c r="E418" s="2" t="n">
        <v>46102</v>
      </c>
      <c r="F418" t="inlineStr">
        <is>
          <t>Fail</t>
        </is>
      </c>
      <c r="G418" t="n">
        <v>90.5</v>
      </c>
      <c r="H418" t="n">
        <v>78.90000000000001</v>
      </c>
      <c r="I418" t="n">
        <v>-1957.8</v>
      </c>
      <c r="J418" t="n">
        <v>68.2</v>
      </c>
      <c r="K418" t="n">
        <v>0</v>
      </c>
      <c r="L418" t="n">
        <v>1</v>
      </c>
      <c r="M418" t="n">
        <v>0</v>
      </c>
      <c r="N418" t="n">
        <v>67.2</v>
      </c>
      <c r="O418" t="n">
        <v>112.16</v>
      </c>
      <c r="P418" t="n">
        <v>117</v>
      </c>
      <c r="Q418" t="n">
        <v>3.98</v>
      </c>
      <c r="R418" t="n">
        <v>3.98</v>
      </c>
      <c r="S418">
        <f>IF(OR(G418=0,G418=""),"",ABS((G418-IF($C418="LT",Config!$F$2,Config!$F$14))/IF($C418="LT",Config!$G$2,Config!$G$14)))</f>
        <v/>
      </c>
      <c r="T418">
        <f>IF(OR(H418=0,H418=""),"",ABS((H418-IF($C418="LT",Config!$F$3,Config!$F$15))/IF($C418="LT",Config!$G$3,Config!$G$15)))</f>
        <v/>
      </c>
      <c r="U418">
        <f>IF(OR(I418=0,I418=""),"",ABS((I418-IF($C418="LT",Config!$F$4,Config!$F$16))/IF($C418="LT",Config!$G$4,Config!$G$16)))</f>
        <v/>
      </c>
      <c r="V418">
        <f>IF(OR(J418=0,J418=""),"",ABS((J418-IF($C418="LT",Config!$F$5,Config!$F$17))/IF($C418="LT",Config!$G$5,Config!$G$17)))</f>
        <v/>
      </c>
      <c r="W418">
        <f>IF(OR(K418=0,K418=""),"",ABS((K418-IF($C418="LT",Config!$F$6,Config!$F$18))/IF($C418="LT",Config!$G$6,Config!$G$18)))</f>
        <v/>
      </c>
      <c r="X418">
        <f>IF(OR(L418=0,L418=""),"",ABS((L418-IF($C418="LT",Config!$F$7,Config!$F$19))/IF($C418="LT",Config!$G$7,Config!$G$19)))</f>
        <v/>
      </c>
      <c r="Y418">
        <f>IF(OR(M418=0,M418=""),"",ABS((M418-IF($C418="LT",Config!$F$8,Config!$F$20))/IF($C418="LT",Config!$G$8,Config!$G$20)))</f>
        <v/>
      </c>
      <c r="Z418">
        <f>IF(OR(N418=0,N418=""),"",ABS((N418-IF($C418="LT",Config!$F$9,Config!$F$21))/IF($C418="LT",Config!$G$9,Config!$G$21)))</f>
        <v/>
      </c>
      <c r="AA418">
        <f>IF(OR(O418=0,O418=""),"",ABS((O418-IF($C418="LT",Config!$F$10,Config!$F$22))/IF($C418="LT",Config!$G$10,Config!$G$22)))</f>
        <v/>
      </c>
      <c r="AB418">
        <f>IF(OR(P418=0,P418=""),"",ABS((P418-IF($C418="LT",Config!$F$11,Config!$F$23))/IF($C418="LT",Config!$G$11,Config!$G$23)))</f>
        <v/>
      </c>
      <c r="AC418">
        <f>IF(OR(Q418=0,Q418=""),"",ABS((Q418-IF($C418="LT",Config!$F$12,Config!$F$24))/IF($C418="LT",Config!$G$12,Config!$G$24)))</f>
        <v/>
      </c>
      <c r="AD418">
        <f>IF(OR(R418=0,R418=""),"",ABS((R418-IF($C418="LT",Config!$F$13,Config!$F$25))/IF($C418="LT",Config!$G$13,Config!$G$25)))</f>
        <v/>
      </c>
    </row>
    <row r="419">
      <c r="A419" t="inlineStr">
        <is>
          <t>04C2126121044</t>
        </is>
      </c>
      <c r="B419" t="inlineStr">
        <is>
          <t>CRS0000674</t>
        </is>
      </c>
      <c r="C419" t="inlineStr">
        <is>
          <t>MT</t>
        </is>
      </c>
      <c r="D419" t="inlineStr">
        <is>
          <t>TCX413U-DS1B01</t>
        </is>
      </c>
      <c r="E419" s="2" t="n">
        <v>46102</v>
      </c>
      <c r="F419" t="inlineStr">
        <is>
          <t>Pass</t>
        </is>
      </c>
      <c r="G419" t="n">
        <v>114.6</v>
      </c>
      <c r="H419" t="n">
        <v>79.8</v>
      </c>
      <c r="I419" t="n">
        <v>-1957.8</v>
      </c>
      <c r="J419" t="n">
        <v>68.2</v>
      </c>
      <c r="K419" t="n">
        <v>0</v>
      </c>
      <c r="L419" t="n">
        <v>1.6</v>
      </c>
      <c r="M419" t="n">
        <v>0</v>
      </c>
      <c r="N419" t="n">
        <v>66.59999999999999</v>
      </c>
      <c r="O419" t="n">
        <v>112.23</v>
      </c>
      <c r="P419" t="n">
        <v>116.92</v>
      </c>
      <c r="Q419" t="n">
        <v>3.93</v>
      </c>
      <c r="R419" t="n">
        <v>3.88</v>
      </c>
      <c r="S419">
        <f>IF(OR(G419=0,G419=""),"",ABS((G419-IF($C419="LT",Config!$F$2,Config!$F$14))/IF($C419="LT",Config!$G$2,Config!$G$14)))</f>
        <v/>
      </c>
      <c r="T419">
        <f>IF(OR(H419=0,H419=""),"",ABS((H419-IF($C419="LT",Config!$F$3,Config!$F$15))/IF($C419="LT",Config!$G$3,Config!$G$15)))</f>
        <v/>
      </c>
      <c r="U419">
        <f>IF(OR(I419=0,I419=""),"",ABS((I419-IF($C419="LT",Config!$F$4,Config!$F$16))/IF($C419="LT",Config!$G$4,Config!$G$16)))</f>
        <v/>
      </c>
      <c r="V419">
        <f>IF(OR(J419=0,J419=""),"",ABS((J419-IF($C419="LT",Config!$F$5,Config!$F$17))/IF($C419="LT",Config!$G$5,Config!$G$17)))</f>
        <v/>
      </c>
      <c r="W419">
        <f>IF(OR(K419=0,K419=""),"",ABS((K419-IF($C419="LT",Config!$F$6,Config!$F$18))/IF($C419="LT",Config!$G$6,Config!$G$18)))</f>
        <v/>
      </c>
      <c r="X419">
        <f>IF(OR(L419=0,L419=""),"",ABS((L419-IF($C419="LT",Config!$F$7,Config!$F$19))/IF($C419="LT",Config!$G$7,Config!$G$19)))</f>
        <v/>
      </c>
      <c r="Y419">
        <f>IF(OR(M419=0,M419=""),"",ABS((M419-IF($C419="LT",Config!$F$8,Config!$F$20))/IF($C419="LT",Config!$G$8,Config!$G$20)))</f>
        <v/>
      </c>
      <c r="Z419">
        <f>IF(OR(N419=0,N419=""),"",ABS((N419-IF($C419="LT",Config!$F$9,Config!$F$21))/IF($C419="LT",Config!$G$9,Config!$G$21)))</f>
        <v/>
      </c>
      <c r="AA419">
        <f>IF(OR(O419=0,O419=""),"",ABS((O419-IF($C419="LT",Config!$F$10,Config!$F$22))/IF($C419="LT",Config!$G$10,Config!$G$22)))</f>
        <v/>
      </c>
      <c r="AB419">
        <f>IF(OR(P419=0,P419=""),"",ABS((P419-IF($C419="LT",Config!$F$11,Config!$F$23))/IF($C419="LT",Config!$G$11,Config!$G$23)))</f>
        <v/>
      </c>
      <c r="AC419">
        <f>IF(OR(Q419=0,Q419=""),"",ABS((Q419-IF($C419="LT",Config!$F$12,Config!$F$24))/IF($C419="LT",Config!$G$12,Config!$G$24)))</f>
        <v/>
      </c>
      <c r="AD419">
        <f>IF(OR(R419=0,R419=""),"",ABS((R419-IF($C419="LT",Config!$F$13,Config!$F$25))/IF($C419="LT",Config!$G$13,Config!$G$25)))</f>
        <v/>
      </c>
    </row>
    <row r="420">
      <c r="A420" t="inlineStr">
        <is>
          <t>04C2126121045</t>
        </is>
      </c>
      <c r="B420" t="inlineStr">
        <is>
          <t>CRS0000674</t>
        </is>
      </c>
      <c r="C420" t="inlineStr">
        <is>
          <t>MT</t>
        </is>
      </c>
      <c r="D420" t="inlineStr">
        <is>
          <t>TCX413U-DS1B01</t>
        </is>
      </c>
      <c r="E420" s="2" t="n">
        <v>46102</v>
      </c>
      <c r="F420" t="inlineStr">
        <is>
          <t>Pass</t>
        </is>
      </c>
      <c r="G420" t="n">
        <v>112</v>
      </c>
      <c r="H420" t="n">
        <v>80.2</v>
      </c>
      <c r="I420" t="n">
        <v>-1957.8</v>
      </c>
      <c r="J420" t="n">
        <v>68.2</v>
      </c>
      <c r="K420" t="n">
        <v>0</v>
      </c>
      <c r="L420" t="n">
        <v>1.3</v>
      </c>
      <c r="M420" t="n">
        <v>0</v>
      </c>
      <c r="N420" t="n">
        <v>66.90000000000001</v>
      </c>
      <c r="O420" t="n">
        <v>111.94</v>
      </c>
      <c r="P420" t="n">
        <v>113.48</v>
      </c>
      <c r="Q420" t="n">
        <v>3.81</v>
      </c>
      <c r="R420" t="n">
        <v>3.81</v>
      </c>
      <c r="S420">
        <f>IF(OR(G420=0,G420=""),"",ABS((G420-IF($C420="LT",Config!$F$2,Config!$F$14))/IF($C420="LT",Config!$G$2,Config!$G$14)))</f>
        <v/>
      </c>
      <c r="T420">
        <f>IF(OR(H420=0,H420=""),"",ABS((H420-IF($C420="LT",Config!$F$3,Config!$F$15))/IF($C420="LT",Config!$G$3,Config!$G$15)))</f>
        <v/>
      </c>
      <c r="U420">
        <f>IF(OR(I420=0,I420=""),"",ABS((I420-IF($C420="LT",Config!$F$4,Config!$F$16))/IF($C420="LT",Config!$G$4,Config!$G$16)))</f>
        <v/>
      </c>
      <c r="V420">
        <f>IF(OR(J420=0,J420=""),"",ABS((J420-IF($C420="LT",Config!$F$5,Config!$F$17))/IF($C420="LT",Config!$G$5,Config!$G$17)))</f>
        <v/>
      </c>
      <c r="W420">
        <f>IF(OR(K420=0,K420=""),"",ABS((K420-IF($C420="LT",Config!$F$6,Config!$F$18))/IF($C420="LT",Config!$G$6,Config!$G$18)))</f>
        <v/>
      </c>
      <c r="X420">
        <f>IF(OR(L420=0,L420=""),"",ABS((L420-IF($C420="LT",Config!$F$7,Config!$F$19))/IF($C420="LT",Config!$G$7,Config!$G$19)))</f>
        <v/>
      </c>
      <c r="Y420">
        <f>IF(OR(M420=0,M420=""),"",ABS((M420-IF($C420="LT",Config!$F$8,Config!$F$20))/IF($C420="LT",Config!$G$8,Config!$G$20)))</f>
        <v/>
      </c>
      <c r="Z420">
        <f>IF(OR(N420=0,N420=""),"",ABS((N420-IF($C420="LT",Config!$F$9,Config!$F$21))/IF($C420="LT",Config!$G$9,Config!$G$21)))</f>
        <v/>
      </c>
      <c r="AA420">
        <f>IF(OR(O420=0,O420=""),"",ABS((O420-IF($C420="LT",Config!$F$10,Config!$F$22))/IF($C420="LT",Config!$G$10,Config!$G$22)))</f>
        <v/>
      </c>
      <c r="AB420">
        <f>IF(OR(P420=0,P420=""),"",ABS((P420-IF($C420="LT",Config!$F$11,Config!$F$23))/IF($C420="LT",Config!$G$11,Config!$G$23)))</f>
        <v/>
      </c>
      <c r="AC420">
        <f>IF(OR(Q420=0,Q420=""),"",ABS((Q420-IF($C420="LT",Config!$F$12,Config!$F$24))/IF($C420="LT",Config!$G$12,Config!$G$24)))</f>
        <v/>
      </c>
      <c r="AD420">
        <f>IF(OR(R420=0,R420=""),"",ABS((R420-IF($C420="LT",Config!$F$13,Config!$F$25))/IF($C420="LT",Config!$G$13,Config!$G$25)))</f>
        <v/>
      </c>
    </row>
    <row r="421">
      <c r="A421" t="inlineStr">
        <is>
          <t>04C2126121046</t>
        </is>
      </c>
      <c r="B421" t="inlineStr">
        <is>
          <t>CRS0000674</t>
        </is>
      </c>
      <c r="C421" t="inlineStr">
        <is>
          <t>MT</t>
        </is>
      </c>
      <c r="D421" t="inlineStr">
        <is>
          <t>TCX413U-DS1B01</t>
        </is>
      </c>
      <c r="E421" s="2" t="n">
        <v>46102</v>
      </c>
      <c r="F421" t="inlineStr">
        <is>
          <t>Pass</t>
        </is>
      </c>
      <c r="G421" t="n">
        <v>113.7</v>
      </c>
      <c r="H421" t="n">
        <v>78.90000000000001</v>
      </c>
      <c r="I421" t="n">
        <v>-1957.8</v>
      </c>
      <c r="J421" t="n">
        <v>68.2</v>
      </c>
      <c r="K421" t="n">
        <v>0</v>
      </c>
      <c r="L421" t="n">
        <v>1.4</v>
      </c>
      <c r="M421" t="n">
        <v>0</v>
      </c>
      <c r="N421" t="n">
        <v>66.8</v>
      </c>
      <c r="O421" t="n">
        <v>115.38</v>
      </c>
      <c r="P421" t="n">
        <v>115.31</v>
      </c>
      <c r="Q421" t="n">
        <v>3.59</v>
      </c>
      <c r="R421" t="n">
        <v>3.66</v>
      </c>
      <c r="S421">
        <f>IF(OR(G421=0,G421=""),"",ABS((G421-IF($C421="LT",Config!$F$2,Config!$F$14))/IF($C421="LT",Config!$G$2,Config!$G$14)))</f>
        <v/>
      </c>
      <c r="T421">
        <f>IF(OR(H421=0,H421=""),"",ABS((H421-IF($C421="LT",Config!$F$3,Config!$F$15))/IF($C421="LT",Config!$G$3,Config!$G$15)))</f>
        <v/>
      </c>
      <c r="U421">
        <f>IF(OR(I421=0,I421=""),"",ABS((I421-IF($C421="LT",Config!$F$4,Config!$F$16))/IF($C421="LT",Config!$G$4,Config!$G$16)))</f>
        <v/>
      </c>
      <c r="V421">
        <f>IF(OR(J421=0,J421=""),"",ABS((J421-IF($C421="LT",Config!$F$5,Config!$F$17))/IF($C421="LT",Config!$G$5,Config!$G$17)))</f>
        <v/>
      </c>
      <c r="W421">
        <f>IF(OR(K421=0,K421=""),"",ABS((K421-IF($C421="LT",Config!$F$6,Config!$F$18))/IF($C421="LT",Config!$G$6,Config!$G$18)))</f>
        <v/>
      </c>
      <c r="X421">
        <f>IF(OR(L421=0,L421=""),"",ABS((L421-IF($C421="LT",Config!$F$7,Config!$F$19))/IF($C421="LT",Config!$G$7,Config!$G$19)))</f>
        <v/>
      </c>
      <c r="Y421">
        <f>IF(OR(M421=0,M421=""),"",ABS((M421-IF($C421="LT",Config!$F$8,Config!$F$20))/IF($C421="LT",Config!$G$8,Config!$G$20)))</f>
        <v/>
      </c>
      <c r="Z421">
        <f>IF(OR(N421=0,N421=""),"",ABS((N421-IF($C421="LT",Config!$F$9,Config!$F$21))/IF($C421="LT",Config!$G$9,Config!$G$21)))</f>
        <v/>
      </c>
      <c r="AA421">
        <f>IF(OR(O421=0,O421=""),"",ABS((O421-IF($C421="LT",Config!$F$10,Config!$F$22))/IF($C421="LT",Config!$G$10,Config!$G$22)))</f>
        <v/>
      </c>
      <c r="AB421">
        <f>IF(OR(P421=0,P421=""),"",ABS((P421-IF($C421="LT",Config!$F$11,Config!$F$23))/IF($C421="LT",Config!$G$11,Config!$G$23)))</f>
        <v/>
      </c>
      <c r="AC421">
        <f>IF(OR(Q421=0,Q421=""),"",ABS((Q421-IF($C421="LT",Config!$F$12,Config!$F$24))/IF($C421="LT",Config!$G$12,Config!$G$24)))</f>
        <v/>
      </c>
      <c r="AD421">
        <f>IF(OR(R421=0,R421=""),"",ABS((R421-IF($C421="LT",Config!$F$13,Config!$F$25))/IF($C421="LT",Config!$G$13,Config!$G$25)))</f>
        <v/>
      </c>
    </row>
    <row r="422">
      <c r="A422" t="inlineStr">
        <is>
          <t>04C2126121047</t>
        </is>
      </c>
      <c r="B422" t="inlineStr">
        <is>
          <t>CRS0000674</t>
        </is>
      </c>
      <c r="C422" t="inlineStr">
        <is>
          <t>MT</t>
        </is>
      </c>
      <c r="D422" t="inlineStr">
        <is>
          <t>TCX413U-DS1B01</t>
        </is>
      </c>
      <c r="E422" s="2" t="n">
        <v>46102</v>
      </c>
      <c r="F422" t="inlineStr">
        <is>
          <t>Pass</t>
        </is>
      </c>
      <c r="G422" t="n">
        <v>114.6</v>
      </c>
      <c r="H422" t="n">
        <v>81.59999999999999</v>
      </c>
      <c r="I422" t="n">
        <v>-1957.8</v>
      </c>
      <c r="J422" t="n">
        <v>68.2</v>
      </c>
      <c r="K422" t="n">
        <v>0</v>
      </c>
      <c r="L422" t="n">
        <v>1.3</v>
      </c>
      <c r="M422" t="n">
        <v>0</v>
      </c>
      <c r="N422" t="n">
        <v>66.90000000000001</v>
      </c>
      <c r="O422" t="n">
        <v>111.72</v>
      </c>
      <c r="P422" t="n">
        <v>113.55</v>
      </c>
      <c r="Q422" t="n">
        <v>3.78</v>
      </c>
      <c r="R422" t="n">
        <v>3.86</v>
      </c>
      <c r="S422">
        <f>IF(OR(G422=0,G422=""),"",ABS((G422-IF($C422="LT",Config!$F$2,Config!$F$14))/IF($C422="LT",Config!$G$2,Config!$G$14)))</f>
        <v/>
      </c>
      <c r="T422">
        <f>IF(OR(H422=0,H422=""),"",ABS((H422-IF($C422="LT",Config!$F$3,Config!$F$15))/IF($C422="LT",Config!$G$3,Config!$G$15)))</f>
        <v/>
      </c>
      <c r="U422">
        <f>IF(OR(I422=0,I422=""),"",ABS((I422-IF($C422="LT",Config!$F$4,Config!$F$16))/IF($C422="LT",Config!$G$4,Config!$G$16)))</f>
        <v/>
      </c>
      <c r="V422">
        <f>IF(OR(J422=0,J422=""),"",ABS((J422-IF($C422="LT",Config!$F$5,Config!$F$17))/IF($C422="LT",Config!$G$5,Config!$G$17)))</f>
        <v/>
      </c>
      <c r="W422">
        <f>IF(OR(K422=0,K422=""),"",ABS((K422-IF($C422="LT",Config!$F$6,Config!$F$18))/IF($C422="LT",Config!$G$6,Config!$G$18)))</f>
        <v/>
      </c>
      <c r="X422">
        <f>IF(OR(L422=0,L422=""),"",ABS((L422-IF($C422="LT",Config!$F$7,Config!$F$19))/IF($C422="LT",Config!$G$7,Config!$G$19)))</f>
        <v/>
      </c>
      <c r="Y422">
        <f>IF(OR(M422=0,M422=""),"",ABS((M422-IF($C422="LT",Config!$F$8,Config!$F$20))/IF($C422="LT",Config!$G$8,Config!$G$20)))</f>
        <v/>
      </c>
      <c r="Z422">
        <f>IF(OR(N422=0,N422=""),"",ABS((N422-IF($C422="LT",Config!$F$9,Config!$F$21))/IF($C422="LT",Config!$G$9,Config!$G$21)))</f>
        <v/>
      </c>
      <c r="AA422">
        <f>IF(OR(O422=0,O422=""),"",ABS((O422-IF($C422="LT",Config!$F$10,Config!$F$22))/IF($C422="LT",Config!$G$10,Config!$G$22)))</f>
        <v/>
      </c>
      <c r="AB422">
        <f>IF(OR(P422=0,P422=""),"",ABS((P422-IF($C422="LT",Config!$F$11,Config!$F$23))/IF($C422="LT",Config!$G$11,Config!$G$23)))</f>
        <v/>
      </c>
      <c r="AC422">
        <f>IF(OR(Q422=0,Q422=""),"",ABS((Q422-IF($C422="LT",Config!$F$12,Config!$F$24))/IF($C422="LT",Config!$G$12,Config!$G$24)))</f>
        <v/>
      </c>
      <c r="AD422">
        <f>IF(OR(R422=0,R422=""),"",ABS((R422-IF($C422="LT",Config!$F$13,Config!$F$25))/IF($C422="LT",Config!$G$13,Config!$G$25)))</f>
        <v/>
      </c>
    </row>
    <row r="423">
      <c r="A423" t="inlineStr">
        <is>
          <t>04C2126121048</t>
        </is>
      </c>
      <c r="B423" t="inlineStr">
        <is>
          <t>CRS0000674</t>
        </is>
      </c>
      <c r="C423" t="inlineStr">
        <is>
          <t>MT</t>
        </is>
      </c>
      <c r="D423" t="inlineStr">
        <is>
          <t>TCX413U-DS1B01</t>
        </is>
      </c>
      <c r="E423" s="2" t="n">
        <v>46102</v>
      </c>
      <c r="F423" t="inlineStr">
        <is>
          <t>Pass</t>
        </is>
      </c>
      <c r="G423" t="n">
        <v>112.4</v>
      </c>
      <c r="H423" t="n">
        <v>80.7</v>
      </c>
      <c r="I423" t="n">
        <v>-1957.8</v>
      </c>
      <c r="J423" t="n">
        <v>68.59999999999999</v>
      </c>
      <c r="K423" t="n">
        <v>0</v>
      </c>
      <c r="L423" t="n">
        <v>1.5</v>
      </c>
      <c r="M423" t="n">
        <v>0</v>
      </c>
      <c r="N423" t="n">
        <v>67.09999999999999</v>
      </c>
      <c r="O423" t="n">
        <v>111.86</v>
      </c>
      <c r="P423" t="n">
        <v>113.26</v>
      </c>
      <c r="Q423" t="n">
        <v>3.86</v>
      </c>
      <c r="R423" t="n">
        <v>3.88</v>
      </c>
      <c r="S423">
        <f>IF(OR(G423=0,G423=""),"",ABS((G423-IF($C423="LT",Config!$F$2,Config!$F$14))/IF($C423="LT",Config!$G$2,Config!$G$14)))</f>
        <v/>
      </c>
      <c r="T423">
        <f>IF(OR(H423=0,H423=""),"",ABS((H423-IF($C423="LT",Config!$F$3,Config!$F$15))/IF($C423="LT",Config!$G$3,Config!$G$15)))</f>
        <v/>
      </c>
      <c r="U423">
        <f>IF(OR(I423=0,I423=""),"",ABS((I423-IF($C423="LT",Config!$F$4,Config!$F$16))/IF($C423="LT",Config!$G$4,Config!$G$16)))</f>
        <v/>
      </c>
      <c r="V423">
        <f>IF(OR(J423=0,J423=""),"",ABS((J423-IF($C423="LT",Config!$F$5,Config!$F$17))/IF($C423="LT",Config!$G$5,Config!$G$17)))</f>
        <v/>
      </c>
      <c r="W423">
        <f>IF(OR(K423=0,K423=""),"",ABS((K423-IF($C423="LT",Config!$F$6,Config!$F$18))/IF($C423="LT",Config!$G$6,Config!$G$18)))</f>
        <v/>
      </c>
      <c r="X423">
        <f>IF(OR(L423=0,L423=""),"",ABS((L423-IF($C423="LT",Config!$F$7,Config!$F$19))/IF($C423="LT",Config!$G$7,Config!$G$19)))</f>
        <v/>
      </c>
      <c r="Y423">
        <f>IF(OR(M423=0,M423=""),"",ABS((M423-IF($C423="LT",Config!$F$8,Config!$F$20))/IF($C423="LT",Config!$G$8,Config!$G$20)))</f>
        <v/>
      </c>
      <c r="Z423">
        <f>IF(OR(N423=0,N423=""),"",ABS((N423-IF($C423="LT",Config!$F$9,Config!$F$21))/IF($C423="LT",Config!$G$9,Config!$G$21)))</f>
        <v/>
      </c>
      <c r="AA423">
        <f>IF(OR(O423=0,O423=""),"",ABS((O423-IF($C423="LT",Config!$F$10,Config!$F$22))/IF($C423="LT",Config!$G$10,Config!$G$22)))</f>
        <v/>
      </c>
      <c r="AB423">
        <f>IF(OR(P423=0,P423=""),"",ABS((P423-IF($C423="LT",Config!$F$11,Config!$F$23))/IF($C423="LT",Config!$G$11,Config!$G$23)))</f>
        <v/>
      </c>
      <c r="AC423">
        <f>IF(OR(Q423=0,Q423=""),"",ABS((Q423-IF($C423="LT",Config!$F$12,Config!$F$24))/IF($C423="LT",Config!$G$12,Config!$G$24)))</f>
        <v/>
      </c>
      <c r="AD423">
        <f>IF(OR(R423=0,R423=""),"",ABS((R423-IF($C423="LT",Config!$F$13,Config!$F$25))/IF($C423="LT",Config!$G$13,Config!$G$25)))</f>
        <v/>
      </c>
    </row>
    <row r="424">
      <c r="A424" t="inlineStr">
        <is>
          <t>04C2126121049</t>
        </is>
      </c>
      <c r="B424" t="inlineStr">
        <is>
          <t>CRS0000674</t>
        </is>
      </c>
      <c r="C424" t="inlineStr">
        <is>
          <t>MT</t>
        </is>
      </c>
      <c r="D424" t="inlineStr">
        <is>
          <t>TCX413U-DS1B01</t>
        </is>
      </c>
      <c r="E424" s="2" t="n">
        <v>46104</v>
      </c>
      <c r="F424" t="inlineStr">
        <is>
          <t>Pass</t>
        </is>
      </c>
      <c r="G424" t="n">
        <v>105.7</v>
      </c>
      <c r="H424" t="n">
        <v>79.3</v>
      </c>
      <c r="I424" t="n">
        <v>-1957.8</v>
      </c>
      <c r="J424" t="n">
        <v>68.59999999999999</v>
      </c>
      <c r="K424" t="n">
        <v>0</v>
      </c>
      <c r="L424" t="n">
        <v>1.5</v>
      </c>
      <c r="M424" t="n">
        <v>0</v>
      </c>
      <c r="N424" t="n">
        <v>67.09999999999999</v>
      </c>
      <c r="O424" t="n">
        <v>112.08</v>
      </c>
      <c r="P424" t="n">
        <v>113.77</v>
      </c>
      <c r="Q424" t="n">
        <v>3.52</v>
      </c>
      <c r="R424" t="n">
        <v>3.64</v>
      </c>
      <c r="S424">
        <f>IF(OR(G424=0,G424=""),"",ABS((G424-IF($C424="LT",Config!$F$2,Config!$F$14))/IF($C424="LT",Config!$G$2,Config!$G$14)))</f>
        <v/>
      </c>
      <c r="T424">
        <f>IF(OR(H424=0,H424=""),"",ABS((H424-IF($C424="LT",Config!$F$3,Config!$F$15))/IF($C424="LT",Config!$G$3,Config!$G$15)))</f>
        <v/>
      </c>
      <c r="U424">
        <f>IF(OR(I424=0,I424=""),"",ABS((I424-IF($C424="LT",Config!$F$4,Config!$F$16))/IF($C424="LT",Config!$G$4,Config!$G$16)))</f>
        <v/>
      </c>
      <c r="V424">
        <f>IF(OR(J424=0,J424=""),"",ABS((J424-IF($C424="LT",Config!$F$5,Config!$F$17))/IF($C424="LT",Config!$G$5,Config!$G$17)))</f>
        <v/>
      </c>
      <c r="W424">
        <f>IF(OR(K424=0,K424=""),"",ABS((K424-IF($C424="LT",Config!$F$6,Config!$F$18))/IF($C424="LT",Config!$G$6,Config!$G$18)))</f>
        <v/>
      </c>
      <c r="X424">
        <f>IF(OR(L424=0,L424=""),"",ABS((L424-IF($C424="LT",Config!$F$7,Config!$F$19))/IF($C424="LT",Config!$G$7,Config!$G$19)))</f>
        <v/>
      </c>
      <c r="Y424">
        <f>IF(OR(M424=0,M424=""),"",ABS((M424-IF($C424="LT",Config!$F$8,Config!$F$20))/IF($C424="LT",Config!$G$8,Config!$G$20)))</f>
        <v/>
      </c>
      <c r="Z424">
        <f>IF(OR(N424=0,N424=""),"",ABS((N424-IF($C424="LT",Config!$F$9,Config!$F$21))/IF($C424="LT",Config!$G$9,Config!$G$21)))</f>
        <v/>
      </c>
      <c r="AA424">
        <f>IF(OR(O424=0,O424=""),"",ABS((O424-IF($C424="LT",Config!$F$10,Config!$F$22))/IF($C424="LT",Config!$G$10,Config!$G$22)))</f>
        <v/>
      </c>
      <c r="AB424">
        <f>IF(OR(P424=0,P424=""),"",ABS((P424-IF($C424="LT",Config!$F$11,Config!$F$23))/IF($C424="LT",Config!$G$11,Config!$G$23)))</f>
        <v/>
      </c>
      <c r="AC424">
        <f>IF(OR(Q424=0,Q424=""),"",ABS((Q424-IF($C424="LT",Config!$F$12,Config!$F$24))/IF($C424="LT",Config!$G$12,Config!$G$24)))</f>
        <v/>
      </c>
      <c r="AD424">
        <f>IF(OR(R424=0,R424=""),"",ABS((R424-IF($C424="LT",Config!$F$13,Config!$F$25))/IF($C424="LT",Config!$G$13,Config!$G$25)))</f>
        <v/>
      </c>
    </row>
    <row r="425">
      <c r="A425" t="inlineStr">
        <is>
          <t>04C2126121050</t>
        </is>
      </c>
      <c r="B425" t="inlineStr">
        <is>
          <t>CRS0000674</t>
        </is>
      </c>
      <c r="C425" t="inlineStr">
        <is>
          <t>MT</t>
        </is>
      </c>
      <c r="D425" t="inlineStr">
        <is>
          <t>TCX413U-DS1B01</t>
        </is>
      </c>
      <c r="E425" s="2" t="n">
        <v>46104</v>
      </c>
      <c r="F425" t="inlineStr">
        <is>
          <t>Pass</t>
        </is>
      </c>
      <c r="G425" t="n">
        <v>108.8</v>
      </c>
      <c r="H425" t="n">
        <v>77.90000000000001</v>
      </c>
      <c r="I425" t="n">
        <v>-1957.8</v>
      </c>
      <c r="J425" t="n">
        <v>68.59999999999999</v>
      </c>
      <c r="K425" t="n">
        <v>0</v>
      </c>
      <c r="L425" t="n">
        <v>1</v>
      </c>
      <c r="M425" t="n">
        <v>0</v>
      </c>
      <c r="N425" t="n">
        <v>67.59999999999999</v>
      </c>
      <c r="O425" t="n">
        <v>114.94</v>
      </c>
      <c r="P425" t="n">
        <v>114.72</v>
      </c>
      <c r="Q425" t="n">
        <v>3.59</v>
      </c>
      <c r="R425" t="n">
        <v>3.69</v>
      </c>
      <c r="S425">
        <f>IF(OR(G425=0,G425=""),"",ABS((G425-IF($C425="LT",Config!$F$2,Config!$F$14))/IF($C425="LT",Config!$G$2,Config!$G$14)))</f>
        <v/>
      </c>
      <c r="T425">
        <f>IF(OR(H425=0,H425=""),"",ABS((H425-IF($C425="LT",Config!$F$3,Config!$F$15))/IF($C425="LT",Config!$G$3,Config!$G$15)))</f>
        <v/>
      </c>
      <c r="U425">
        <f>IF(OR(I425=0,I425=""),"",ABS((I425-IF($C425="LT",Config!$F$4,Config!$F$16))/IF($C425="LT",Config!$G$4,Config!$G$16)))</f>
        <v/>
      </c>
      <c r="V425">
        <f>IF(OR(J425=0,J425=""),"",ABS((J425-IF($C425="LT",Config!$F$5,Config!$F$17))/IF($C425="LT",Config!$G$5,Config!$G$17)))</f>
        <v/>
      </c>
      <c r="W425">
        <f>IF(OR(K425=0,K425=""),"",ABS((K425-IF($C425="LT",Config!$F$6,Config!$F$18))/IF($C425="LT",Config!$G$6,Config!$G$18)))</f>
        <v/>
      </c>
      <c r="X425">
        <f>IF(OR(L425=0,L425=""),"",ABS((L425-IF($C425="LT",Config!$F$7,Config!$F$19))/IF($C425="LT",Config!$G$7,Config!$G$19)))</f>
        <v/>
      </c>
      <c r="Y425">
        <f>IF(OR(M425=0,M425=""),"",ABS((M425-IF($C425="LT",Config!$F$8,Config!$F$20))/IF($C425="LT",Config!$G$8,Config!$G$20)))</f>
        <v/>
      </c>
      <c r="Z425">
        <f>IF(OR(N425=0,N425=""),"",ABS((N425-IF($C425="LT",Config!$F$9,Config!$F$21))/IF($C425="LT",Config!$G$9,Config!$G$21)))</f>
        <v/>
      </c>
      <c r="AA425">
        <f>IF(OR(O425=0,O425=""),"",ABS((O425-IF($C425="LT",Config!$F$10,Config!$F$22))/IF($C425="LT",Config!$G$10,Config!$G$22)))</f>
        <v/>
      </c>
      <c r="AB425">
        <f>IF(OR(P425=0,P425=""),"",ABS((P425-IF($C425="LT",Config!$F$11,Config!$F$23))/IF($C425="LT",Config!$G$11,Config!$G$23)))</f>
        <v/>
      </c>
      <c r="AC425">
        <f>IF(OR(Q425=0,Q425=""),"",ABS((Q425-IF($C425="LT",Config!$F$12,Config!$F$24))/IF($C425="LT",Config!$G$12,Config!$G$24)))</f>
        <v/>
      </c>
      <c r="AD425">
        <f>IF(OR(R425=0,R425=""),"",ABS((R425-IF($C425="LT",Config!$F$13,Config!$F$25))/IF($C425="LT",Config!$G$13,Config!$G$25)))</f>
        <v/>
      </c>
    </row>
    <row r="426">
      <c r="A426" t="inlineStr">
        <is>
          <t>04C2126121052</t>
        </is>
      </c>
      <c r="B426" t="inlineStr">
        <is>
          <t>CRS0000674</t>
        </is>
      </c>
      <c r="C426" t="inlineStr">
        <is>
          <t>MT</t>
        </is>
      </c>
      <c r="D426" t="inlineStr">
        <is>
          <t>TCX413U-DS1B01</t>
        </is>
      </c>
      <c r="E426" s="2" t="n">
        <v>46104</v>
      </c>
      <c r="F426" t="inlineStr">
        <is>
          <t>Pass</t>
        </is>
      </c>
      <c r="G426" t="n">
        <v>112</v>
      </c>
      <c r="H426" t="n">
        <v>81.09999999999999</v>
      </c>
      <c r="I426" t="n">
        <v>-1957.8</v>
      </c>
      <c r="J426" t="n">
        <v>68.59999999999999</v>
      </c>
      <c r="K426" t="n">
        <v>0</v>
      </c>
      <c r="L426" t="n">
        <v>2.5</v>
      </c>
      <c r="M426" t="n">
        <v>0</v>
      </c>
      <c r="N426" t="n">
        <v>66.09999999999999</v>
      </c>
      <c r="O426" t="n">
        <v>112.38</v>
      </c>
      <c r="P426" t="n">
        <v>116.26</v>
      </c>
      <c r="Q426" t="n">
        <v>3.86</v>
      </c>
      <c r="R426" t="n">
        <v>3.81</v>
      </c>
      <c r="S426">
        <f>IF(OR(G426=0,G426=""),"",ABS((G426-IF($C426="LT",Config!$F$2,Config!$F$14))/IF($C426="LT",Config!$G$2,Config!$G$14)))</f>
        <v/>
      </c>
      <c r="T426">
        <f>IF(OR(H426=0,H426=""),"",ABS((H426-IF($C426="LT",Config!$F$3,Config!$F$15))/IF($C426="LT",Config!$G$3,Config!$G$15)))</f>
        <v/>
      </c>
      <c r="U426">
        <f>IF(OR(I426=0,I426=""),"",ABS((I426-IF($C426="LT",Config!$F$4,Config!$F$16))/IF($C426="LT",Config!$G$4,Config!$G$16)))</f>
        <v/>
      </c>
      <c r="V426">
        <f>IF(OR(J426=0,J426=""),"",ABS((J426-IF($C426="LT",Config!$F$5,Config!$F$17))/IF($C426="LT",Config!$G$5,Config!$G$17)))</f>
        <v/>
      </c>
      <c r="W426">
        <f>IF(OR(K426=0,K426=""),"",ABS((K426-IF($C426="LT",Config!$F$6,Config!$F$18))/IF($C426="LT",Config!$G$6,Config!$G$18)))</f>
        <v/>
      </c>
      <c r="X426">
        <f>IF(OR(L426=0,L426=""),"",ABS((L426-IF($C426="LT",Config!$F$7,Config!$F$19))/IF($C426="LT",Config!$G$7,Config!$G$19)))</f>
        <v/>
      </c>
      <c r="Y426">
        <f>IF(OR(M426=0,M426=""),"",ABS((M426-IF($C426="LT",Config!$F$8,Config!$F$20))/IF($C426="LT",Config!$G$8,Config!$G$20)))</f>
        <v/>
      </c>
      <c r="Z426">
        <f>IF(OR(N426=0,N426=""),"",ABS((N426-IF($C426="LT",Config!$F$9,Config!$F$21))/IF($C426="LT",Config!$G$9,Config!$G$21)))</f>
        <v/>
      </c>
      <c r="AA426">
        <f>IF(OR(O426=0,O426=""),"",ABS((O426-IF($C426="LT",Config!$F$10,Config!$F$22))/IF($C426="LT",Config!$G$10,Config!$G$22)))</f>
        <v/>
      </c>
      <c r="AB426">
        <f>IF(OR(P426=0,P426=""),"",ABS((P426-IF($C426="LT",Config!$F$11,Config!$F$23))/IF($C426="LT",Config!$G$11,Config!$G$23)))</f>
        <v/>
      </c>
      <c r="AC426">
        <f>IF(OR(Q426=0,Q426=""),"",ABS((Q426-IF($C426="LT",Config!$F$12,Config!$F$24))/IF($C426="LT",Config!$G$12,Config!$G$24)))</f>
        <v/>
      </c>
      <c r="AD426">
        <f>IF(OR(R426=0,R426=""),"",ABS((R426-IF($C426="LT",Config!$F$13,Config!$F$25))/IF($C426="LT",Config!$G$13,Config!$G$25)))</f>
        <v/>
      </c>
    </row>
    <row r="427">
      <c r="A427" t="inlineStr">
        <is>
          <t>04C2126121053</t>
        </is>
      </c>
      <c r="B427" t="inlineStr">
        <is>
          <t>CRS0000674</t>
        </is>
      </c>
      <c r="C427" t="inlineStr">
        <is>
          <t>MT</t>
        </is>
      </c>
      <c r="D427" t="inlineStr">
        <is>
          <t>TCX413U-DS1B01</t>
        </is>
      </c>
      <c r="E427" s="2" t="n">
        <v>46104</v>
      </c>
      <c r="F427" t="inlineStr">
        <is>
          <t>Pass</t>
        </is>
      </c>
      <c r="G427" t="n">
        <v>107.9</v>
      </c>
      <c r="H427" t="n">
        <v>79.3</v>
      </c>
      <c r="I427" t="n">
        <v>-1957.8</v>
      </c>
      <c r="J427" t="n">
        <v>68.59999999999999</v>
      </c>
      <c r="K427" t="n">
        <v>0</v>
      </c>
      <c r="L427" t="n">
        <v>0.6</v>
      </c>
      <c r="M427" t="n">
        <v>0</v>
      </c>
      <c r="N427" t="n">
        <v>68</v>
      </c>
      <c r="O427" t="n">
        <v>115.24</v>
      </c>
      <c r="P427" t="n">
        <v>115.09</v>
      </c>
      <c r="Q427" t="n">
        <v>3.66</v>
      </c>
      <c r="R427" t="n">
        <v>3.71</v>
      </c>
      <c r="S427">
        <f>IF(OR(G427=0,G427=""),"",ABS((G427-IF($C427="LT",Config!$F$2,Config!$F$14))/IF($C427="LT",Config!$G$2,Config!$G$14)))</f>
        <v/>
      </c>
      <c r="T427">
        <f>IF(OR(H427=0,H427=""),"",ABS((H427-IF($C427="LT",Config!$F$3,Config!$F$15))/IF($C427="LT",Config!$G$3,Config!$G$15)))</f>
        <v/>
      </c>
      <c r="U427">
        <f>IF(OR(I427=0,I427=""),"",ABS((I427-IF($C427="LT",Config!$F$4,Config!$F$16))/IF($C427="LT",Config!$G$4,Config!$G$16)))</f>
        <v/>
      </c>
      <c r="V427">
        <f>IF(OR(J427=0,J427=""),"",ABS((J427-IF($C427="LT",Config!$F$5,Config!$F$17))/IF($C427="LT",Config!$G$5,Config!$G$17)))</f>
        <v/>
      </c>
      <c r="W427">
        <f>IF(OR(K427=0,K427=""),"",ABS((K427-IF($C427="LT",Config!$F$6,Config!$F$18))/IF($C427="LT",Config!$G$6,Config!$G$18)))</f>
        <v/>
      </c>
      <c r="X427">
        <f>IF(OR(L427=0,L427=""),"",ABS((L427-IF($C427="LT",Config!$F$7,Config!$F$19))/IF($C427="LT",Config!$G$7,Config!$G$19)))</f>
        <v/>
      </c>
      <c r="Y427">
        <f>IF(OR(M427=0,M427=""),"",ABS((M427-IF($C427="LT",Config!$F$8,Config!$F$20))/IF($C427="LT",Config!$G$8,Config!$G$20)))</f>
        <v/>
      </c>
      <c r="Z427">
        <f>IF(OR(N427=0,N427=""),"",ABS((N427-IF($C427="LT",Config!$F$9,Config!$F$21))/IF($C427="LT",Config!$G$9,Config!$G$21)))</f>
        <v/>
      </c>
      <c r="AA427">
        <f>IF(OR(O427=0,O427=""),"",ABS((O427-IF($C427="LT",Config!$F$10,Config!$F$22))/IF($C427="LT",Config!$G$10,Config!$G$22)))</f>
        <v/>
      </c>
      <c r="AB427">
        <f>IF(OR(P427=0,P427=""),"",ABS((P427-IF($C427="LT",Config!$F$11,Config!$F$23))/IF($C427="LT",Config!$G$11,Config!$G$23)))</f>
        <v/>
      </c>
      <c r="AC427">
        <f>IF(OR(Q427=0,Q427=""),"",ABS((Q427-IF($C427="LT",Config!$F$12,Config!$F$24))/IF($C427="LT",Config!$G$12,Config!$G$24)))</f>
        <v/>
      </c>
      <c r="AD427">
        <f>IF(OR(R427=0,R427=""),"",ABS((R427-IF($C427="LT",Config!$F$13,Config!$F$25))/IF($C427="LT",Config!$G$13,Config!$G$25)))</f>
        <v/>
      </c>
    </row>
    <row r="428">
      <c r="A428" t="inlineStr">
        <is>
          <t>04C2126121054</t>
        </is>
      </c>
      <c r="B428" t="inlineStr">
        <is>
          <t>CRS0000674</t>
        </is>
      </c>
      <c r="C428" t="inlineStr">
        <is>
          <t>MT</t>
        </is>
      </c>
      <c r="D428" t="inlineStr">
        <is>
          <t>TCX413U-DS1B01</t>
        </is>
      </c>
      <c r="E428" s="2" t="n">
        <v>46104</v>
      </c>
      <c r="F428" t="inlineStr">
        <is>
          <t>Pass</t>
        </is>
      </c>
      <c r="G428" t="n">
        <v>114.2</v>
      </c>
      <c r="H428" t="n">
        <v>81.09999999999999</v>
      </c>
      <c r="I428" t="n">
        <v>-1957.8</v>
      </c>
      <c r="J428" t="n">
        <v>69.09999999999999</v>
      </c>
      <c r="K428" t="n">
        <v>0</v>
      </c>
      <c r="L428" t="n">
        <v>2.1</v>
      </c>
      <c r="M428" t="n">
        <v>0</v>
      </c>
      <c r="N428" t="n">
        <v>67</v>
      </c>
      <c r="O428" t="n">
        <v>112.3</v>
      </c>
      <c r="P428" t="n">
        <v>116.34</v>
      </c>
      <c r="Q428" t="n">
        <v>3.66</v>
      </c>
      <c r="R428" t="n">
        <v>3.66</v>
      </c>
      <c r="S428">
        <f>IF(OR(G428=0,G428=""),"",ABS((G428-IF($C428="LT",Config!$F$2,Config!$F$14))/IF($C428="LT",Config!$G$2,Config!$G$14)))</f>
        <v/>
      </c>
      <c r="T428">
        <f>IF(OR(H428=0,H428=""),"",ABS((H428-IF($C428="LT",Config!$F$3,Config!$F$15))/IF($C428="LT",Config!$G$3,Config!$G$15)))</f>
        <v/>
      </c>
      <c r="U428">
        <f>IF(OR(I428=0,I428=""),"",ABS((I428-IF($C428="LT",Config!$F$4,Config!$F$16))/IF($C428="LT",Config!$G$4,Config!$G$16)))</f>
        <v/>
      </c>
      <c r="V428">
        <f>IF(OR(J428=0,J428=""),"",ABS((J428-IF($C428="LT",Config!$F$5,Config!$F$17))/IF($C428="LT",Config!$G$5,Config!$G$17)))</f>
        <v/>
      </c>
      <c r="W428">
        <f>IF(OR(K428=0,K428=""),"",ABS((K428-IF($C428="LT",Config!$F$6,Config!$F$18))/IF($C428="LT",Config!$G$6,Config!$G$18)))</f>
        <v/>
      </c>
      <c r="X428">
        <f>IF(OR(L428=0,L428=""),"",ABS((L428-IF($C428="LT",Config!$F$7,Config!$F$19))/IF($C428="LT",Config!$G$7,Config!$G$19)))</f>
        <v/>
      </c>
      <c r="Y428">
        <f>IF(OR(M428=0,M428=""),"",ABS((M428-IF($C428="LT",Config!$F$8,Config!$F$20))/IF($C428="LT",Config!$G$8,Config!$G$20)))</f>
        <v/>
      </c>
      <c r="Z428">
        <f>IF(OR(N428=0,N428=""),"",ABS((N428-IF($C428="LT",Config!$F$9,Config!$F$21))/IF($C428="LT",Config!$G$9,Config!$G$21)))</f>
        <v/>
      </c>
      <c r="AA428">
        <f>IF(OR(O428=0,O428=""),"",ABS((O428-IF($C428="LT",Config!$F$10,Config!$F$22))/IF($C428="LT",Config!$G$10,Config!$G$22)))</f>
        <v/>
      </c>
      <c r="AB428">
        <f>IF(OR(P428=0,P428=""),"",ABS((P428-IF($C428="LT",Config!$F$11,Config!$F$23))/IF($C428="LT",Config!$G$11,Config!$G$23)))</f>
        <v/>
      </c>
      <c r="AC428">
        <f>IF(OR(Q428=0,Q428=""),"",ABS((Q428-IF($C428="LT",Config!$F$12,Config!$F$24))/IF($C428="LT",Config!$G$12,Config!$G$24)))</f>
        <v/>
      </c>
      <c r="AD428">
        <f>IF(OR(R428=0,R428=""),"",ABS((R428-IF($C428="LT",Config!$F$13,Config!$F$25))/IF($C428="LT",Config!$G$13,Config!$G$25)))</f>
        <v/>
      </c>
    </row>
    <row r="429">
      <c r="A429" t="inlineStr">
        <is>
          <t>04C2126121055</t>
        </is>
      </c>
      <c r="B429" t="inlineStr">
        <is>
          <t>CRS0000674</t>
        </is>
      </c>
      <c r="C429" t="inlineStr">
        <is>
          <t>MT</t>
        </is>
      </c>
      <c r="D429" t="inlineStr">
        <is>
          <t>TCX413U-DS1B01</t>
        </is>
      </c>
      <c r="E429" s="2" t="n">
        <v>46104</v>
      </c>
      <c r="F429" t="inlineStr">
        <is>
          <t>Pass</t>
        </is>
      </c>
      <c r="G429" t="n">
        <v>115.5</v>
      </c>
      <c r="H429" t="n">
        <v>80.2</v>
      </c>
      <c r="I429" t="n">
        <v>-1957.8</v>
      </c>
      <c r="J429" t="n">
        <v>69.09999999999999</v>
      </c>
      <c r="K429" t="n">
        <v>0</v>
      </c>
      <c r="L429" t="n">
        <v>1.3</v>
      </c>
      <c r="M429" t="n">
        <v>0</v>
      </c>
      <c r="N429" t="n">
        <v>67.8</v>
      </c>
      <c r="O429" t="n">
        <v>115.68</v>
      </c>
      <c r="P429" t="n">
        <v>117.36</v>
      </c>
      <c r="Q429" t="n">
        <v>3.76</v>
      </c>
      <c r="R429" t="n">
        <v>3.76</v>
      </c>
      <c r="S429">
        <f>IF(OR(G429=0,G429=""),"",ABS((G429-IF($C429="LT",Config!$F$2,Config!$F$14))/IF($C429="LT",Config!$G$2,Config!$G$14)))</f>
        <v/>
      </c>
      <c r="T429">
        <f>IF(OR(H429=0,H429=""),"",ABS((H429-IF($C429="LT",Config!$F$3,Config!$F$15))/IF($C429="LT",Config!$G$3,Config!$G$15)))</f>
        <v/>
      </c>
      <c r="U429">
        <f>IF(OR(I429=0,I429=""),"",ABS((I429-IF($C429="LT",Config!$F$4,Config!$F$16))/IF($C429="LT",Config!$G$4,Config!$G$16)))</f>
        <v/>
      </c>
      <c r="V429">
        <f>IF(OR(J429=0,J429=""),"",ABS((J429-IF($C429="LT",Config!$F$5,Config!$F$17))/IF($C429="LT",Config!$G$5,Config!$G$17)))</f>
        <v/>
      </c>
      <c r="W429">
        <f>IF(OR(K429=0,K429=""),"",ABS((K429-IF($C429="LT",Config!$F$6,Config!$F$18))/IF($C429="LT",Config!$G$6,Config!$G$18)))</f>
        <v/>
      </c>
      <c r="X429">
        <f>IF(OR(L429=0,L429=""),"",ABS((L429-IF($C429="LT",Config!$F$7,Config!$F$19))/IF($C429="LT",Config!$G$7,Config!$G$19)))</f>
        <v/>
      </c>
      <c r="Y429">
        <f>IF(OR(M429=0,M429=""),"",ABS((M429-IF($C429="LT",Config!$F$8,Config!$F$20))/IF($C429="LT",Config!$G$8,Config!$G$20)))</f>
        <v/>
      </c>
      <c r="Z429">
        <f>IF(OR(N429=0,N429=""),"",ABS((N429-IF($C429="LT",Config!$F$9,Config!$F$21))/IF($C429="LT",Config!$G$9,Config!$G$21)))</f>
        <v/>
      </c>
      <c r="AA429">
        <f>IF(OR(O429=0,O429=""),"",ABS((O429-IF($C429="LT",Config!$F$10,Config!$F$22))/IF($C429="LT",Config!$G$10,Config!$G$22)))</f>
        <v/>
      </c>
      <c r="AB429">
        <f>IF(OR(P429=0,P429=""),"",ABS((P429-IF($C429="LT",Config!$F$11,Config!$F$23))/IF($C429="LT",Config!$G$11,Config!$G$23)))</f>
        <v/>
      </c>
      <c r="AC429">
        <f>IF(OR(Q429=0,Q429=""),"",ABS((Q429-IF($C429="LT",Config!$F$12,Config!$F$24))/IF($C429="LT",Config!$G$12,Config!$G$24)))</f>
        <v/>
      </c>
      <c r="AD429">
        <f>IF(OR(R429=0,R429=""),"",ABS((R429-IF($C429="LT",Config!$F$13,Config!$F$25))/IF($C429="LT",Config!$G$13,Config!$G$25)))</f>
        <v/>
      </c>
    </row>
    <row r="430">
      <c r="A430" t="inlineStr">
        <is>
          <t>04C1926121019</t>
        </is>
      </c>
      <c r="B430" t="inlineStr">
        <is>
          <t>CRS0000675</t>
        </is>
      </c>
      <c r="C430" t="inlineStr">
        <is>
          <t>LT</t>
        </is>
      </c>
      <c r="D430" t="inlineStr">
        <is>
          <t>ALX440U-DS3B01</t>
        </is>
      </c>
      <c r="E430" s="2" t="n">
        <v>46104</v>
      </c>
      <c r="F430" t="inlineStr">
        <is>
          <t>Pass</t>
        </is>
      </c>
      <c r="G430" t="n">
        <v>148.6</v>
      </c>
      <c r="H430" t="n">
        <v>96.40000000000001</v>
      </c>
      <c r="I430" t="n">
        <v>-1957.8</v>
      </c>
      <c r="J430" t="n">
        <v>69.09999999999999</v>
      </c>
      <c r="K430" t="n">
        <v>0</v>
      </c>
      <c r="L430" t="n">
        <v>1.6</v>
      </c>
      <c r="M430" t="n">
        <v>0</v>
      </c>
      <c r="N430" t="n">
        <v>67.5</v>
      </c>
      <c r="O430" t="n">
        <v>115.09</v>
      </c>
      <c r="P430" t="n">
        <v>115.09</v>
      </c>
      <c r="Q430" t="n">
        <v>8.25</v>
      </c>
      <c r="R430" t="n">
        <v>8.08</v>
      </c>
      <c r="S430">
        <f>IF(OR(G430=0,G430=""),"",ABS((G430-IF($C430="LT",Config!$F$2,Config!$F$14))/IF($C430="LT",Config!$G$2,Config!$G$14)))</f>
        <v/>
      </c>
      <c r="T430">
        <f>IF(OR(H430=0,H430=""),"",ABS((H430-IF($C430="LT",Config!$F$3,Config!$F$15))/IF($C430="LT",Config!$G$3,Config!$G$15)))</f>
        <v/>
      </c>
      <c r="U430">
        <f>IF(OR(I430=0,I430=""),"",ABS((I430-IF($C430="LT",Config!$F$4,Config!$F$16))/IF($C430="LT",Config!$G$4,Config!$G$16)))</f>
        <v/>
      </c>
      <c r="V430">
        <f>IF(OR(J430=0,J430=""),"",ABS((J430-IF($C430="LT",Config!$F$5,Config!$F$17))/IF($C430="LT",Config!$G$5,Config!$G$17)))</f>
        <v/>
      </c>
      <c r="W430">
        <f>IF(OR(K430=0,K430=""),"",ABS((K430-IF($C430="LT",Config!$F$6,Config!$F$18))/IF($C430="LT",Config!$G$6,Config!$G$18)))</f>
        <v/>
      </c>
      <c r="X430">
        <f>IF(OR(L430=0,L430=""),"",ABS((L430-IF($C430="LT",Config!$F$7,Config!$F$19))/IF($C430="LT",Config!$G$7,Config!$G$19)))</f>
        <v/>
      </c>
      <c r="Y430">
        <f>IF(OR(M430=0,M430=""),"",ABS((M430-IF($C430="LT",Config!$F$8,Config!$F$20))/IF($C430="LT",Config!$G$8,Config!$G$20)))</f>
        <v/>
      </c>
      <c r="Z430">
        <f>IF(OR(N430=0,N430=""),"",ABS((N430-IF($C430="LT",Config!$F$9,Config!$F$21))/IF($C430="LT",Config!$G$9,Config!$G$21)))</f>
        <v/>
      </c>
      <c r="AA430">
        <f>IF(OR(O430=0,O430=""),"",ABS((O430-IF($C430="LT",Config!$F$10,Config!$F$22))/IF($C430="LT",Config!$G$10,Config!$G$22)))</f>
        <v/>
      </c>
      <c r="AB430">
        <f>IF(OR(P430=0,P430=""),"",ABS((P430-IF($C430="LT",Config!$F$11,Config!$F$23))/IF($C430="LT",Config!$G$11,Config!$G$23)))</f>
        <v/>
      </c>
      <c r="AC430">
        <f>IF(OR(Q430=0,Q430=""),"",ABS((Q430-IF($C430="LT",Config!$F$12,Config!$F$24))/IF($C430="LT",Config!$G$12,Config!$G$24)))</f>
        <v/>
      </c>
      <c r="AD430">
        <f>IF(OR(R430=0,R430=""),"",ABS((R430-IF($C430="LT",Config!$F$13,Config!$F$25))/IF($C430="LT",Config!$G$13,Config!$G$25)))</f>
        <v/>
      </c>
    </row>
    <row r="431">
      <c r="A431" t="inlineStr">
        <is>
          <t>04C2326121056</t>
        </is>
      </c>
      <c r="B431" t="inlineStr">
        <is>
          <t>CRS0000674</t>
        </is>
      </c>
      <c r="C431" t="inlineStr">
        <is>
          <t>MT</t>
        </is>
      </c>
      <c r="D431" t="inlineStr">
        <is>
          <t>TCX413U-DS1B01</t>
        </is>
      </c>
      <c r="E431" s="2" t="n">
        <v>46104</v>
      </c>
      <c r="F431" t="inlineStr">
        <is>
          <t>Pass</t>
        </is>
      </c>
      <c r="G431" t="n">
        <v>107.5</v>
      </c>
      <c r="H431" t="n">
        <v>79.3</v>
      </c>
      <c r="I431" t="n">
        <v>-1957.8</v>
      </c>
      <c r="J431" t="n">
        <v>68.2</v>
      </c>
      <c r="K431" t="n">
        <v>0</v>
      </c>
      <c r="L431" t="n">
        <v>2.2</v>
      </c>
      <c r="M431" t="n">
        <v>0</v>
      </c>
      <c r="N431" t="n">
        <v>66</v>
      </c>
      <c r="O431" t="n">
        <v>115.53</v>
      </c>
      <c r="P431" t="n">
        <v>117.07</v>
      </c>
      <c r="Q431" t="n">
        <v>3.61</v>
      </c>
      <c r="R431" t="n">
        <v>3.64</v>
      </c>
      <c r="S431">
        <f>IF(OR(G431=0,G431=""),"",ABS((G431-IF($C431="LT",Config!$F$2,Config!$F$14))/IF($C431="LT",Config!$G$2,Config!$G$14)))</f>
        <v/>
      </c>
      <c r="T431">
        <f>IF(OR(H431=0,H431=""),"",ABS((H431-IF($C431="LT",Config!$F$3,Config!$F$15))/IF($C431="LT",Config!$G$3,Config!$G$15)))</f>
        <v/>
      </c>
      <c r="U431">
        <f>IF(OR(I431=0,I431=""),"",ABS((I431-IF($C431="LT",Config!$F$4,Config!$F$16))/IF($C431="LT",Config!$G$4,Config!$G$16)))</f>
        <v/>
      </c>
      <c r="V431">
        <f>IF(OR(J431=0,J431=""),"",ABS((J431-IF($C431="LT",Config!$F$5,Config!$F$17))/IF($C431="LT",Config!$G$5,Config!$G$17)))</f>
        <v/>
      </c>
      <c r="W431">
        <f>IF(OR(K431=0,K431=""),"",ABS((K431-IF($C431="LT",Config!$F$6,Config!$F$18))/IF($C431="LT",Config!$G$6,Config!$G$18)))</f>
        <v/>
      </c>
      <c r="X431">
        <f>IF(OR(L431=0,L431=""),"",ABS((L431-IF($C431="LT",Config!$F$7,Config!$F$19))/IF($C431="LT",Config!$G$7,Config!$G$19)))</f>
        <v/>
      </c>
      <c r="Y431">
        <f>IF(OR(M431=0,M431=""),"",ABS((M431-IF($C431="LT",Config!$F$8,Config!$F$20))/IF($C431="LT",Config!$G$8,Config!$G$20)))</f>
        <v/>
      </c>
      <c r="Z431">
        <f>IF(OR(N431=0,N431=""),"",ABS((N431-IF($C431="LT",Config!$F$9,Config!$F$21))/IF($C431="LT",Config!$G$9,Config!$G$21)))</f>
        <v/>
      </c>
      <c r="AA431">
        <f>IF(OR(O431=0,O431=""),"",ABS((O431-IF($C431="LT",Config!$F$10,Config!$F$22))/IF($C431="LT",Config!$G$10,Config!$G$22)))</f>
        <v/>
      </c>
      <c r="AB431">
        <f>IF(OR(P431=0,P431=""),"",ABS((P431-IF($C431="LT",Config!$F$11,Config!$F$23))/IF($C431="LT",Config!$G$11,Config!$G$23)))</f>
        <v/>
      </c>
      <c r="AC431">
        <f>IF(OR(Q431=0,Q431=""),"",ABS((Q431-IF($C431="LT",Config!$F$12,Config!$F$24))/IF($C431="LT",Config!$G$12,Config!$G$24)))</f>
        <v/>
      </c>
      <c r="AD431">
        <f>IF(OR(R431=0,R431=""),"",ABS((R431-IF($C431="LT",Config!$F$13,Config!$F$25))/IF($C431="LT",Config!$G$13,Config!$G$25)))</f>
        <v/>
      </c>
    </row>
    <row r="432">
      <c r="A432" t="inlineStr">
        <is>
          <t>04C2326121057</t>
        </is>
      </c>
      <c r="B432" t="inlineStr">
        <is>
          <t>CRS0000674</t>
        </is>
      </c>
      <c r="C432" t="inlineStr">
        <is>
          <t>MT</t>
        </is>
      </c>
      <c r="D432" t="inlineStr">
        <is>
          <t>TCX413U-DS1B01</t>
        </is>
      </c>
      <c r="E432" s="2" t="n">
        <v>46104</v>
      </c>
      <c r="F432" t="inlineStr">
        <is>
          <t>Pass</t>
        </is>
      </c>
      <c r="G432" t="n">
        <v>113.7</v>
      </c>
      <c r="H432" t="n">
        <v>81.59999999999999</v>
      </c>
      <c r="I432" t="n">
        <v>-1957.8</v>
      </c>
      <c r="J432" t="n">
        <v>68.2</v>
      </c>
      <c r="K432" t="n">
        <v>0</v>
      </c>
      <c r="L432" t="n">
        <v>1.6</v>
      </c>
      <c r="M432" t="n">
        <v>0</v>
      </c>
      <c r="N432" t="n">
        <v>66.59999999999999</v>
      </c>
      <c r="O432" t="n">
        <v>115.75</v>
      </c>
      <c r="P432" t="n">
        <v>117.14</v>
      </c>
      <c r="Q432" t="n">
        <v>3.71</v>
      </c>
      <c r="R432" t="n">
        <v>3.78</v>
      </c>
      <c r="S432">
        <f>IF(OR(G432=0,G432=""),"",ABS((G432-IF($C432="LT",Config!$F$2,Config!$F$14))/IF($C432="LT",Config!$G$2,Config!$G$14)))</f>
        <v/>
      </c>
      <c r="T432">
        <f>IF(OR(H432=0,H432=""),"",ABS((H432-IF($C432="LT",Config!$F$3,Config!$F$15))/IF($C432="LT",Config!$G$3,Config!$G$15)))</f>
        <v/>
      </c>
      <c r="U432">
        <f>IF(OR(I432=0,I432=""),"",ABS((I432-IF($C432="LT",Config!$F$4,Config!$F$16))/IF($C432="LT",Config!$G$4,Config!$G$16)))</f>
        <v/>
      </c>
      <c r="V432">
        <f>IF(OR(J432=0,J432=""),"",ABS((J432-IF($C432="LT",Config!$F$5,Config!$F$17))/IF($C432="LT",Config!$G$5,Config!$G$17)))</f>
        <v/>
      </c>
      <c r="W432">
        <f>IF(OR(K432=0,K432=""),"",ABS((K432-IF($C432="LT",Config!$F$6,Config!$F$18))/IF($C432="LT",Config!$G$6,Config!$G$18)))</f>
        <v/>
      </c>
      <c r="X432">
        <f>IF(OR(L432=0,L432=""),"",ABS((L432-IF($C432="LT",Config!$F$7,Config!$F$19))/IF($C432="LT",Config!$G$7,Config!$G$19)))</f>
        <v/>
      </c>
      <c r="Y432">
        <f>IF(OR(M432=0,M432=""),"",ABS((M432-IF($C432="LT",Config!$F$8,Config!$F$20))/IF($C432="LT",Config!$G$8,Config!$G$20)))</f>
        <v/>
      </c>
      <c r="Z432">
        <f>IF(OR(N432=0,N432=""),"",ABS((N432-IF($C432="LT",Config!$F$9,Config!$F$21))/IF($C432="LT",Config!$G$9,Config!$G$21)))</f>
        <v/>
      </c>
      <c r="AA432">
        <f>IF(OR(O432=0,O432=""),"",ABS((O432-IF($C432="LT",Config!$F$10,Config!$F$22))/IF($C432="LT",Config!$G$10,Config!$G$22)))</f>
        <v/>
      </c>
      <c r="AB432">
        <f>IF(OR(P432=0,P432=""),"",ABS((P432-IF($C432="LT",Config!$F$11,Config!$F$23))/IF($C432="LT",Config!$G$11,Config!$G$23)))</f>
        <v/>
      </c>
      <c r="AC432">
        <f>IF(OR(Q432=0,Q432=""),"",ABS((Q432-IF($C432="LT",Config!$F$12,Config!$F$24))/IF($C432="LT",Config!$G$12,Config!$G$24)))</f>
        <v/>
      </c>
      <c r="AD432">
        <f>IF(OR(R432=0,R432=""),"",ABS((R432-IF($C432="LT",Config!$F$13,Config!$F$25))/IF($C432="LT",Config!$G$13,Config!$G$25)))</f>
        <v/>
      </c>
    </row>
    <row r="433">
      <c r="A433" t="inlineStr">
        <is>
          <t>04C2126121051</t>
        </is>
      </c>
      <c r="B433" t="inlineStr">
        <is>
          <t>CRS0000674</t>
        </is>
      </c>
      <c r="C433" t="inlineStr">
        <is>
          <t>MT</t>
        </is>
      </c>
      <c r="D433" t="inlineStr">
        <is>
          <t>TCX413U-DS1B01</t>
        </is>
      </c>
      <c r="E433" s="2" t="n">
        <v>46104</v>
      </c>
      <c r="F433" t="inlineStr">
        <is>
          <t>Pass</t>
        </is>
      </c>
      <c r="G433" t="n">
        <v>107.5</v>
      </c>
      <c r="H433" t="n">
        <v>80.7</v>
      </c>
      <c r="I433" t="n">
        <v>-1957.8</v>
      </c>
      <c r="J433" t="n">
        <v>67.7</v>
      </c>
      <c r="K433" t="n">
        <v>0</v>
      </c>
      <c r="L433" t="n">
        <v>0.2</v>
      </c>
      <c r="M433" t="n">
        <v>0</v>
      </c>
      <c r="N433" t="n">
        <v>67.5</v>
      </c>
      <c r="O433" t="n">
        <v>115.75</v>
      </c>
      <c r="P433" t="n">
        <v>117.22</v>
      </c>
      <c r="Q433" t="n">
        <v>3.56</v>
      </c>
      <c r="R433" t="n">
        <v>3.66</v>
      </c>
      <c r="S433">
        <f>IF(OR(G433=0,G433=""),"",ABS((G433-IF($C433="LT",Config!$F$2,Config!$F$14))/IF($C433="LT",Config!$G$2,Config!$G$14)))</f>
        <v/>
      </c>
      <c r="T433">
        <f>IF(OR(H433=0,H433=""),"",ABS((H433-IF($C433="LT",Config!$F$3,Config!$F$15))/IF($C433="LT",Config!$G$3,Config!$G$15)))</f>
        <v/>
      </c>
      <c r="U433">
        <f>IF(OR(I433=0,I433=""),"",ABS((I433-IF($C433="LT",Config!$F$4,Config!$F$16))/IF($C433="LT",Config!$G$4,Config!$G$16)))</f>
        <v/>
      </c>
      <c r="V433">
        <f>IF(OR(J433=0,J433=""),"",ABS((J433-IF($C433="LT",Config!$F$5,Config!$F$17))/IF($C433="LT",Config!$G$5,Config!$G$17)))</f>
        <v/>
      </c>
      <c r="W433">
        <f>IF(OR(K433=0,K433=""),"",ABS((K433-IF($C433="LT",Config!$F$6,Config!$F$18))/IF($C433="LT",Config!$G$6,Config!$G$18)))</f>
        <v/>
      </c>
      <c r="X433">
        <f>IF(OR(L433=0,L433=""),"",ABS((L433-IF($C433="LT",Config!$F$7,Config!$F$19))/IF($C433="LT",Config!$G$7,Config!$G$19)))</f>
        <v/>
      </c>
      <c r="Y433">
        <f>IF(OR(M433=0,M433=""),"",ABS((M433-IF($C433="LT",Config!$F$8,Config!$F$20))/IF($C433="LT",Config!$G$8,Config!$G$20)))</f>
        <v/>
      </c>
      <c r="Z433">
        <f>IF(OR(N433=0,N433=""),"",ABS((N433-IF($C433="LT",Config!$F$9,Config!$F$21))/IF($C433="LT",Config!$G$9,Config!$G$21)))</f>
        <v/>
      </c>
      <c r="AA433">
        <f>IF(OR(O433=0,O433=""),"",ABS((O433-IF($C433="LT",Config!$F$10,Config!$F$22))/IF($C433="LT",Config!$G$10,Config!$G$22)))</f>
        <v/>
      </c>
      <c r="AB433">
        <f>IF(OR(P433=0,P433=""),"",ABS((P433-IF($C433="LT",Config!$F$11,Config!$F$23))/IF($C433="LT",Config!$G$11,Config!$G$23)))</f>
        <v/>
      </c>
      <c r="AC433">
        <f>IF(OR(Q433=0,Q433=""),"",ABS((Q433-IF($C433="LT",Config!$F$12,Config!$F$24))/IF($C433="LT",Config!$G$12,Config!$G$24)))</f>
        <v/>
      </c>
      <c r="AD433">
        <f>IF(OR(R433=0,R433=""),"",ABS((R433-IF($C433="LT",Config!$F$13,Config!$F$25))/IF($C433="LT",Config!$G$13,Config!$G$25)))</f>
        <v/>
      </c>
    </row>
    <row r="434">
      <c r="A434" t="inlineStr">
        <is>
          <t>04C2326121058</t>
        </is>
      </c>
      <c r="B434" t="inlineStr">
        <is>
          <t>CRS0000674</t>
        </is>
      </c>
      <c r="C434" t="inlineStr">
        <is>
          <t>MT</t>
        </is>
      </c>
      <c r="D434" t="inlineStr">
        <is>
          <t>TCX413U-DS1B01</t>
        </is>
      </c>
      <c r="E434" s="2" t="n">
        <v>46105</v>
      </c>
      <c r="F434" t="inlineStr">
        <is>
          <t>Fail</t>
        </is>
      </c>
      <c r="G434" t="n">
        <v>100.8</v>
      </c>
      <c r="H434" t="n">
        <v>74.8</v>
      </c>
      <c r="I434" t="n">
        <v>-1957.8</v>
      </c>
      <c r="J434" t="n">
        <v>65.90000000000001</v>
      </c>
      <c r="K434" t="n">
        <v>0</v>
      </c>
      <c r="L434" t="n">
        <v>0.8</v>
      </c>
      <c r="M434" t="n">
        <v>0</v>
      </c>
      <c r="N434" t="n">
        <v>65.09999999999999</v>
      </c>
      <c r="O434" t="n">
        <v>116.56</v>
      </c>
      <c r="P434" t="n">
        <v>116.48</v>
      </c>
      <c r="Q434" t="n">
        <v>3.56</v>
      </c>
      <c r="R434" t="n">
        <v>3.66</v>
      </c>
      <c r="S434">
        <f>IF(OR(G434=0,G434=""),"",ABS((G434-IF($C434="LT",Config!$F$2,Config!$F$14))/IF($C434="LT",Config!$G$2,Config!$G$14)))</f>
        <v/>
      </c>
      <c r="T434">
        <f>IF(OR(H434=0,H434=""),"",ABS((H434-IF($C434="LT",Config!$F$3,Config!$F$15))/IF($C434="LT",Config!$G$3,Config!$G$15)))</f>
        <v/>
      </c>
      <c r="U434">
        <f>IF(OR(I434=0,I434=""),"",ABS((I434-IF($C434="LT",Config!$F$4,Config!$F$16))/IF($C434="LT",Config!$G$4,Config!$G$16)))</f>
        <v/>
      </c>
      <c r="V434">
        <f>IF(OR(J434=0,J434=""),"",ABS((J434-IF($C434="LT",Config!$F$5,Config!$F$17))/IF($C434="LT",Config!$G$5,Config!$G$17)))</f>
        <v/>
      </c>
      <c r="W434">
        <f>IF(OR(K434=0,K434=""),"",ABS((K434-IF($C434="LT",Config!$F$6,Config!$F$18))/IF($C434="LT",Config!$G$6,Config!$G$18)))</f>
        <v/>
      </c>
      <c r="X434">
        <f>IF(OR(L434=0,L434=""),"",ABS((L434-IF($C434="LT",Config!$F$7,Config!$F$19))/IF($C434="LT",Config!$G$7,Config!$G$19)))</f>
        <v/>
      </c>
      <c r="Y434">
        <f>IF(OR(M434=0,M434=""),"",ABS((M434-IF($C434="LT",Config!$F$8,Config!$F$20))/IF($C434="LT",Config!$G$8,Config!$G$20)))</f>
        <v/>
      </c>
      <c r="Z434">
        <f>IF(OR(N434=0,N434=""),"",ABS((N434-IF($C434="LT",Config!$F$9,Config!$F$21))/IF($C434="LT",Config!$G$9,Config!$G$21)))</f>
        <v/>
      </c>
      <c r="AA434">
        <f>IF(OR(O434=0,O434=""),"",ABS((O434-IF($C434="LT",Config!$F$10,Config!$F$22))/IF($C434="LT",Config!$G$10,Config!$G$22)))</f>
        <v/>
      </c>
      <c r="AB434">
        <f>IF(OR(P434=0,P434=""),"",ABS((P434-IF($C434="LT",Config!$F$11,Config!$F$23))/IF($C434="LT",Config!$G$11,Config!$G$23)))</f>
        <v/>
      </c>
      <c r="AC434">
        <f>IF(OR(Q434=0,Q434=""),"",ABS((Q434-IF($C434="LT",Config!$F$12,Config!$F$24))/IF($C434="LT",Config!$G$12,Config!$G$24)))</f>
        <v/>
      </c>
      <c r="AD434">
        <f>IF(OR(R434=0,R434=""),"",ABS((R434-IF($C434="LT",Config!$F$13,Config!$F$25))/IF($C434="LT",Config!$G$13,Config!$G$25)))</f>
        <v/>
      </c>
    </row>
    <row r="435">
      <c r="A435" t="inlineStr">
        <is>
          <t>04C2326121058</t>
        </is>
      </c>
      <c r="B435" t="inlineStr">
        <is>
          <t>CRS0000674</t>
        </is>
      </c>
      <c r="C435" t="inlineStr">
        <is>
          <t>MT</t>
        </is>
      </c>
      <c r="D435" t="inlineStr">
        <is>
          <t>TCX413U-DS1B01</t>
        </is>
      </c>
      <c r="E435" s="2" t="n">
        <v>46105</v>
      </c>
      <c r="F435" t="inlineStr">
        <is>
          <t>Pass</t>
        </is>
      </c>
      <c r="G435" t="n">
        <v>112.9</v>
      </c>
      <c r="H435" t="n">
        <v>82.90000000000001</v>
      </c>
      <c r="I435" t="n">
        <v>-1957.8</v>
      </c>
      <c r="J435" t="n">
        <v>66.8</v>
      </c>
      <c r="K435" t="n">
        <v>0</v>
      </c>
      <c r="L435" t="n">
        <v>1.2</v>
      </c>
      <c r="M435" t="n">
        <v>0</v>
      </c>
      <c r="N435" t="n">
        <v>68</v>
      </c>
      <c r="O435" t="n">
        <v>112.01</v>
      </c>
      <c r="P435" t="n">
        <v>113.26</v>
      </c>
      <c r="Q435" t="n">
        <v>3.88</v>
      </c>
      <c r="R435" t="n">
        <v>3.96</v>
      </c>
      <c r="S435">
        <f>IF(OR(G435=0,G435=""),"",ABS((G435-IF($C435="LT",Config!$F$2,Config!$F$14))/IF($C435="LT",Config!$G$2,Config!$G$14)))</f>
        <v/>
      </c>
      <c r="T435">
        <f>IF(OR(H435=0,H435=""),"",ABS((H435-IF($C435="LT",Config!$F$3,Config!$F$15))/IF($C435="LT",Config!$G$3,Config!$G$15)))</f>
        <v/>
      </c>
      <c r="U435">
        <f>IF(OR(I435=0,I435=""),"",ABS((I435-IF($C435="LT",Config!$F$4,Config!$F$16))/IF($C435="LT",Config!$G$4,Config!$G$16)))</f>
        <v/>
      </c>
      <c r="V435">
        <f>IF(OR(J435=0,J435=""),"",ABS((J435-IF($C435="LT",Config!$F$5,Config!$F$17))/IF($C435="LT",Config!$G$5,Config!$G$17)))</f>
        <v/>
      </c>
      <c r="W435">
        <f>IF(OR(K435=0,K435=""),"",ABS((K435-IF($C435="LT",Config!$F$6,Config!$F$18))/IF($C435="LT",Config!$G$6,Config!$G$18)))</f>
        <v/>
      </c>
      <c r="X435">
        <f>IF(OR(L435=0,L435=""),"",ABS((L435-IF($C435="LT",Config!$F$7,Config!$F$19))/IF($C435="LT",Config!$G$7,Config!$G$19)))</f>
        <v/>
      </c>
      <c r="Y435">
        <f>IF(OR(M435=0,M435=""),"",ABS((M435-IF($C435="LT",Config!$F$8,Config!$F$20))/IF($C435="LT",Config!$G$8,Config!$G$20)))</f>
        <v/>
      </c>
      <c r="Z435">
        <f>IF(OR(N435=0,N435=""),"",ABS((N435-IF($C435="LT",Config!$F$9,Config!$F$21))/IF($C435="LT",Config!$G$9,Config!$G$21)))</f>
        <v/>
      </c>
      <c r="AA435">
        <f>IF(OR(O435=0,O435=""),"",ABS((O435-IF($C435="LT",Config!$F$10,Config!$F$22))/IF($C435="LT",Config!$G$10,Config!$G$22)))</f>
        <v/>
      </c>
      <c r="AB435">
        <f>IF(OR(P435=0,P435=""),"",ABS((P435-IF($C435="LT",Config!$F$11,Config!$F$23))/IF($C435="LT",Config!$G$11,Config!$G$23)))</f>
        <v/>
      </c>
      <c r="AC435">
        <f>IF(OR(Q435=0,Q435=""),"",ABS((Q435-IF($C435="LT",Config!$F$12,Config!$F$24))/IF($C435="LT",Config!$G$12,Config!$G$24)))</f>
        <v/>
      </c>
      <c r="AD435">
        <f>IF(OR(R435=0,R435=""),"",ABS((R435-IF($C435="LT",Config!$F$13,Config!$F$25))/IF($C435="LT",Config!$G$13,Config!$G$25)))</f>
        <v/>
      </c>
    </row>
    <row r="436">
      <c r="A436" t="inlineStr">
        <is>
          <t>04C2326121059</t>
        </is>
      </c>
      <c r="B436" t="inlineStr">
        <is>
          <t>CRS0000674</t>
        </is>
      </c>
      <c r="C436" t="inlineStr">
        <is>
          <t>MT</t>
        </is>
      </c>
      <c r="D436" t="inlineStr">
        <is>
          <t>TCX413U-DS1B01</t>
        </is>
      </c>
      <c r="E436" s="2" t="n">
        <v>46105</v>
      </c>
      <c r="F436" t="inlineStr">
        <is>
          <t>Pass</t>
        </is>
      </c>
      <c r="G436" t="n">
        <v>110.6</v>
      </c>
      <c r="H436" t="n">
        <v>82.5</v>
      </c>
      <c r="I436" t="n">
        <v>-1957.8</v>
      </c>
      <c r="J436" t="n">
        <v>68.2</v>
      </c>
      <c r="K436" t="n">
        <v>0</v>
      </c>
      <c r="L436" t="n">
        <v>3.5</v>
      </c>
      <c r="M436" t="n">
        <v>0</v>
      </c>
      <c r="N436" t="n">
        <v>71.7</v>
      </c>
      <c r="O436" t="n">
        <v>112.23</v>
      </c>
      <c r="P436" t="n">
        <v>116.34</v>
      </c>
      <c r="Q436" t="n">
        <v>3.64</v>
      </c>
      <c r="R436" t="n">
        <v>3.69</v>
      </c>
      <c r="S436">
        <f>IF(OR(G436=0,G436=""),"",ABS((G436-IF($C436="LT",Config!$F$2,Config!$F$14))/IF($C436="LT",Config!$G$2,Config!$G$14)))</f>
        <v/>
      </c>
      <c r="T436">
        <f>IF(OR(H436=0,H436=""),"",ABS((H436-IF($C436="LT",Config!$F$3,Config!$F$15))/IF($C436="LT",Config!$G$3,Config!$G$15)))</f>
        <v/>
      </c>
      <c r="U436">
        <f>IF(OR(I436=0,I436=""),"",ABS((I436-IF($C436="LT",Config!$F$4,Config!$F$16))/IF($C436="LT",Config!$G$4,Config!$G$16)))</f>
        <v/>
      </c>
      <c r="V436">
        <f>IF(OR(J436=0,J436=""),"",ABS((J436-IF($C436="LT",Config!$F$5,Config!$F$17))/IF($C436="LT",Config!$G$5,Config!$G$17)))</f>
        <v/>
      </c>
      <c r="W436">
        <f>IF(OR(K436=0,K436=""),"",ABS((K436-IF($C436="LT",Config!$F$6,Config!$F$18))/IF($C436="LT",Config!$G$6,Config!$G$18)))</f>
        <v/>
      </c>
      <c r="X436">
        <f>IF(OR(L436=0,L436=""),"",ABS((L436-IF($C436="LT",Config!$F$7,Config!$F$19))/IF($C436="LT",Config!$G$7,Config!$G$19)))</f>
        <v/>
      </c>
      <c r="Y436">
        <f>IF(OR(M436=0,M436=""),"",ABS((M436-IF($C436="LT",Config!$F$8,Config!$F$20))/IF($C436="LT",Config!$G$8,Config!$G$20)))</f>
        <v/>
      </c>
      <c r="Z436">
        <f>IF(OR(N436=0,N436=""),"",ABS((N436-IF($C436="LT",Config!$F$9,Config!$F$21))/IF($C436="LT",Config!$G$9,Config!$G$21)))</f>
        <v/>
      </c>
      <c r="AA436">
        <f>IF(OR(O436=0,O436=""),"",ABS((O436-IF($C436="LT",Config!$F$10,Config!$F$22))/IF($C436="LT",Config!$G$10,Config!$G$22)))</f>
        <v/>
      </c>
      <c r="AB436">
        <f>IF(OR(P436=0,P436=""),"",ABS((P436-IF($C436="LT",Config!$F$11,Config!$F$23))/IF($C436="LT",Config!$G$11,Config!$G$23)))</f>
        <v/>
      </c>
      <c r="AC436">
        <f>IF(OR(Q436=0,Q436=""),"",ABS((Q436-IF($C436="LT",Config!$F$12,Config!$F$24))/IF($C436="LT",Config!$G$12,Config!$G$24)))</f>
        <v/>
      </c>
      <c r="AD436">
        <f>IF(OR(R436=0,R436=""),"",ABS((R436-IF($C436="LT",Config!$F$13,Config!$F$25))/IF($C436="LT",Config!$G$13,Config!$G$25)))</f>
        <v/>
      </c>
    </row>
    <row r="437">
      <c r="A437" t="inlineStr">
        <is>
          <t>04C2326121060</t>
        </is>
      </c>
      <c r="B437" t="inlineStr">
        <is>
          <t>CRS0000674</t>
        </is>
      </c>
      <c r="C437" t="inlineStr">
        <is>
          <t>MT</t>
        </is>
      </c>
      <c r="D437" t="inlineStr">
        <is>
          <t>TCX413U-DS1B01</t>
        </is>
      </c>
      <c r="E437" s="2" t="n">
        <v>46105</v>
      </c>
      <c r="F437" t="inlineStr">
        <is>
          <t>Pass</t>
        </is>
      </c>
      <c r="G437" t="n">
        <v>106.2</v>
      </c>
      <c r="H437" t="n">
        <v>79.8</v>
      </c>
      <c r="I437" t="n">
        <v>-1957.8</v>
      </c>
      <c r="J437" t="n">
        <v>67.7</v>
      </c>
      <c r="K437" t="n">
        <v>0</v>
      </c>
      <c r="L437" t="n">
        <v>2.6</v>
      </c>
      <c r="M437" t="n">
        <v>0</v>
      </c>
      <c r="N437" t="n">
        <v>65.09999999999999</v>
      </c>
      <c r="O437" t="n">
        <v>115.24</v>
      </c>
      <c r="P437" t="n">
        <v>115.24</v>
      </c>
      <c r="Q437" t="n">
        <v>3.56</v>
      </c>
      <c r="R437" t="n">
        <v>3.69</v>
      </c>
      <c r="S437">
        <f>IF(OR(G437=0,G437=""),"",ABS((G437-IF($C437="LT",Config!$F$2,Config!$F$14))/IF($C437="LT",Config!$G$2,Config!$G$14)))</f>
        <v/>
      </c>
      <c r="T437">
        <f>IF(OR(H437=0,H437=""),"",ABS((H437-IF($C437="LT",Config!$F$3,Config!$F$15))/IF($C437="LT",Config!$G$3,Config!$G$15)))</f>
        <v/>
      </c>
      <c r="U437">
        <f>IF(OR(I437=0,I437=""),"",ABS((I437-IF($C437="LT",Config!$F$4,Config!$F$16))/IF($C437="LT",Config!$G$4,Config!$G$16)))</f>
        <v/>
      </c>
      <c r="V437">
        <f>IF(OR(J437=0,J437=""),"",ABS((J437-IF($C437="LT",Config!$F$5,Config!$F$17))/IF($C437="LT",Config!$G$5,Config!$G$17)))</f>
        <v/>
      </c>
      <c r="W437">
        <f>IF(OR(K437=0,K437=""),"",ABS((K437-IF($C437="LT",Config!$F$6,Config!$F$18))/IF($C437="LT",Config!$G$6,Config!$G$18)))</f>
        <v/>
      </c>
      <c r="X437">
        <f>IF(OR(L437=0,L437=""),"",ABS((L437-IF($C437="LT",Config!$F$7,Config!$F$19))/IF($C437="LT",Config!$G$7,Config!$G$19)))</f>
        <v/>
      </c>
      <c r="Y437">
        <f>IF(OR(M437=0,M437=""),"",ABS((M437-IF($C437="LT",Config!$F$8,Config!$F$20))/IF($C437="LT",Config!$G$8,Config!$G$20)))</f>
        <v/>
      </c>
      <c r="Z437">
        <f>IF(OR(N437=0,N437=""),"",ABS((N437-IF($C437="LT",Config!$F$9,Config!$F$21))/IF($C437="LT",Config!$G$9,Config!$G$21)))</f>
        <v/>
      </c>
      <c r="AA437">
        <f>IF(OR(O437=0,O437=""),"",ABS((O437-IF($C437="LT",Config!$F$10,Config!$F$22))/IF($C437="LT",Config!$G$10,Config!$G$22)))</f>
        <v/>
      </c>
      <c r="AB437">
        <f>IF(OR(P437=0,P437=""),"",ABS((P437-IF($C437="LT",Config!$F$11,Config!$F$23))/IF($C437="LT",Config!$G$11,Config!$G$23)))</f>
        <v/>
      </c>
      <c r="AC437">
        <f>IF(OR(Q437=0,Q437=""),"",ABS((Q437-IF($C437="LT",Config!$F$12,Config!$F$24))/IF($C437="LT",Config!$G$12,Config!$G$24)))</f>
        <v/>
      </c>
      <c r="AD437">
        <f>IF(OR(R437=0,R437=""),"",ABS((R437-IF($C437="LT",Config!$F$13,Config!$F$25))/IF($C437="LT",Config!$G$13,Config!$G$25)))</f>
        <v/>
      </c>
    </row>
    <row r="438">
      <c r="A438" t="inlineStr">
        <is>
          <t>04C2326121062</t>
        </is>
      </c>
      <c r="B438" t="inlineStr">
        <is>
          <t>CRS0000674</t>
        </is>
      </c>
      <c r="C438" t="inlineStr">
        <is>
          <t>MT</t>
        </is>
      </c>
      <c r="D438" t="inlineStr">
        <is>
          <t>TCX413U-DS1B01</t>
        </is>
      </c>
      <c r="E438" s="2" t="n">
        <v>46105</v>
      </c>
      <c r="F438" t="inlineStr">
        <is>
          <t>Pass</t>
        </is>
      </c>
      <c r="G438" t="n">
        <v>103.9</v>
      </c>
      <c r="H438" t="n">
        <v>75.2</v>
      </c>
      <c r="I438" t="n">
        <v>-1957.8</v>
      </c>
      <c r="J438" t="n">
        <v>67.3</v>
      </c>
      <c r="K438" t="n">
        <v>0</v>
      </c>
      <c r="L438" t="n">
        <v>2.3</v>
      </c>
      <c r="M438" t="n">
        <v>0</v>
      </c>
      <c r="N438" t="n">
        <v>65</v>
      </c>
      <c r="O438" t="n">
        <v>115.02</v>
      </c>
      <c r="P438" t="n">
        <v>115.24</v>
      </c>
      <c r="Q438" t="n">
        <v>3.54</v>
      </c>
      <c r="R438" t="n">
        <v>3.66</v>
      </c>
      <c r="S438">
        <f>IF(OR(G438=0,G438=""),"",ABS((G438-IF($C438="LT",Config!$F$2,Config!$F$14))/IF($C438="LT",Config!$G$2,Config!$G$14)))</f>
        <v/>
      </c>
      <c r="T438">
        <f>IF(OR(H438=0,H438=""),"",ABS((H438-IF($C438="LT",Config!$F$3,Config!$F$15))/IF($C438="LT",Config!$G$3,Config!$G$15)))</f>
        <v/>
      </c>
      <c r="U438">
        <f>IF(OR(I438=0,I438=""),"",ABS((I438-IF($C438="LT",Config!$F$4,Config!$F$16))/IF($C438="LT",Config!$G$4,Config!$G$16)))</f>
        <v/>
      </c>
      <c r="V438">
        <f>IF(OR(J438=0,J438=""),"",ABS((J438-IF($C438="LT",Config!$F$5,Config!$F$17))/IF($C438="LT",Config!$G$5,Config!$G$17)))</f>
        <v/>
      </c>
      <c r="W438">
        <f>IF(OR(K438=0,K438=""),"",ABS((K438-IF($C438="LT",Config!$F$6,Config!$F$18))/IF($C438="LT",Config!$G$6,Config!$G$18)))</f>
        <v/>
      </c>
      <c r="X438">
        <f>IF(OR(L438=0,L438=""),"",ABS((L438-IF($C438="LT",Config!$F$7,Config!$F$19))/IF($C438="LT",Config!$G$7,Config!$G$19)))</f>
        <v/>
      </c>
      <c r="Y438">
        <f>IF(OR(M438=0,M438=""),"",ABS((M438-IF($C438="LT",Config!$F$8,Config!$F$20))/IF($C438="LT",Config!$G$8,Config!$G$20)))</f>
        <v/>
      </c>
      <c r="Z438">
        <f>IF(OR(N438=0,N438=""),"",ABS((N438-IF($C438="LT",Config!$F$9,Config!$F$21))/IF($C438="LT",Config!$G$9,Config!$G$21)))</f>
        <v/>
      </c>
      <c r="AA438">
        <f>IF(OR(O438=0,O438=""),"",ABS((O438-IF($C438="LT",Config!$F$10,Config!$F$22))/IF($C438="LT",Config!$G$10,Config!$G$22)))</f>
        <v/>
      </c>
      <c r="AB438">
        <f>IF(OR(P438=0,P438=""),"",ABS((P438-IF($C438="LT",Config!$F$11,Config!$F$23))/IF($C438="LT",Config!$G$11,Config!$G$23)))</f>
        <v/>
      </c>
      <c r="AC438">
        <f>IF(OR(Q438=0,Q438=""),"",ABS((Q438-IF($C438="LT",Config!$F$12,Config!$F$24))/IF($C438="LT",Config!$G$12,Config!$G$24)))</f>
        <v/>
      </c>
      <c r="AD438">
        <f>IF(OR(R438=0,R438=""),"",ABS((R438-IF($C438="LT",Config!$F$13,Config!$F$25))/IF($C438="LT",Config!$G$13,Config!$G$25)))</f>
        <v/>
      </c>
    </row>
    <row r="439">
      <c r="A439" t="inlineStr">
        <is>
          <t>04C2326121063</t>
        </is>
      </c>
      <c r="B439" t="inlineStr">
        <is>
          <t>CRS0000674</t>
        </is>
      </c>
      <c r="C439" t="inlineStr">
        <is>
          <t>MT</t>
        </is>
      </c>
      <c r="D439" t="inlineStr">
        <is>
          <t>TCX413U-DS1B01</t>
        </is>
      </c>
      <c r="E439" s="2" t="n">
        <v>46105</v>
      </c>
      <c r="F439" t="inlineStr">
        <is>
          <t>Fail</t>
        </is>
      </c>
      <c r="G439" t="n">
        <v>104.4</v>
      </c>
      <c r="H439" t="n">
        <v>77</v>
      </c>
      <c r="I439" t="n">
        <v>-1957.8</v>
      </c>
      <c r="J439" t="n">
        <v>66.8</v>
      </c>
      <c r="K439" t="n">
        <v>0</v>
      </c>
      <c r="L439" t="n">
        <v>2.5</v>
      </c>
      <c r="M439" t="n">
        <v>0</v>
      </c>
      <c r="N439" t="n">
        <v>64.3</v>
      </c>
      <c r="O439" t="n">
        <v>112.23</v>
      </c>
      <c r="P439" t="n">
        <v>116.63</v>
      </c>
      <c r="Q439" t="n">
        <v>3.66</v>
      </c>
      <c r="R439" t="n">
        <v>3.71</v>
      </c>
      <c r="S439">
        <f>IF(OR(G439=0,G439=""),"",ABS((G439-IF($C439="LT",Config!$F$2,Config!$F$14))/IF($C439="LT",Config!$G$2,Config!$G$14)))</f>
        <v/>
      </c>
      <c r="T439">
        <f>IF(OR(H439=0,H439=""),"",ABS((H439-IF($C439="LT",Config!$F$3,Config!$F$15))/IF($C439="LT",Config!$G$3,Config!$G$15)))</f>
        <v/>
      </c>
      <c r="U439">
        <f>IF(OR(I439=0,I439=""),"",ABS((I439-IF($C439="LT",Config!$F$4,Config!$F$16))/IF($C439="LT",Config!$G$4,Config!$G$16)))</f>
        <v/>
      </c>
      <c r="V439">
        <f>IF(OR(J439=0,J439=""),"",ABS((J439-IF($C439="LT",Config!$F$5,Config!$F$17))/IF($C439="LT",Config!$G$5,Config!$G$17)))</f>
        <v/>
      </c>
      <c r="W439">
        <f>IF(OR(K439=0,K439=""),"",ABS((K439-IF($C439="LT",Config!$F$6,Config!$F$18))/IF($C439="LT",Config!$G$6,Config!$G$18)))</f>
        <v/>
      </c>
      <c r="X439">
        <f>IF(OR(L439=0,L439=""),"",ABS((L439-IF($C439="LT",Config!$F$7,Config!$F$19))/IF($C439="LT",Config!$G$7,Config!$G$19)))</f>
        <v/>
      </c>
      <c r="Y439">
        <f>IF(OR(M439=0,M439=""),"",ABS((M439-IF($C439="LT",Config!$F$8,Config!$F$20))/IF($C439="LT",Config!$G$8,Config!$G$20)))</f>
        <v/>
      </c>
      <c r="Z439">
        <f>IF(OR(N439=0,N439=""),"",ABS((N439-IF($C439="LT",Config!$F$9,Config!$F$21))/IF($C439="LT",Config!$G$9,Config!$G$21)))</f>
        <v/>
      </c>
      <c r="AA439">
        <f>IF(OR(O439=0,O439=""),"",ABS((O439-IF($C439="LT",Config!$F$10,Config!$F$22))/IF($C439="LT",Config!$G$10,Config!$G$22)))</f>
        <v/>
      </c>
      <c r="AB439">
        <f>IF(OR(P439=0,P439=""),"",ABS((P439-IF($C439="LT",Config!$F$11,Config!$F$23))/IF($C439="LT",Config!$G$11,Config!$G$23)))</f>
        <v/>
      </c>
      <c r="AC439">
        <f>IF(OR(Q439=0,Q439=""),"",ABS((Q439-IF($C439="LT",Config!$F$12,Config!$F$24))/IF($C439="LT",Config!$G$12,Config!$G$24)))</f>
        <v/>
      </c>
      <c r="AD439">
        <f>IF(OR(R439=0,R439=""),"",ABS((R439-IF($C439="LT",Config!$F$13,Config!$F$25))/IF($C439="LT",Config!$G$13,Config!$G$25)))</f>
        <v/>
      </c>
    </row>
    <row r="440">
      <c r="A440" t="inlineStr">
        <is>
          <t>04C2326121063</t>
        </is>
      </c>
      <c r="B440" t="inlineStr">
        <is>
          <t>CRS0000674</t>
        </is>
      </c>
      <c r="C440" t="inlineStr">
        <is>
          <t>MT</t>
        </is>
      </c>
      <c r="D440" t="inlineStr">
        <is>
          <t>TCX413U-DS1B01</t>
        </is>
      </c>
      <c r="E440" s="2" t="n">
        <v>46105</v>
      </c>
      <c r="F440" t="inlineStr">
        <is>
          <t>Pass</t>
        </is>
      </c>
      <c r="G440" t="n">
        <v>113.3</v>
      </c>
      <c r="H440" t="n">
        <v>83.40000000000001</v>
      </c>
      <c r="I440" t="n">
        <v>-1957.8</v>
      </c>
      <c r="J440" t="n">
        <v>67.3</v>
      </c>
      <c r="K440" t="n">
        <v>0</v>
      </c>
      <c r="L440" t="n">
        <v>1</v>
      </c>
      <c r="M440" t="n">
        <v>0</v>
      </c>
      <c r="N440" t="n">
        <v>66.3</v>
      </c>
      <c r="O440" t="n">
        <v>111.86</v>
      </c>
      <c r="P440" t="n">
        <v>113.18</v>
      </c>
      <c r="Q440" t="n">
        <v>3.96</v>
      </c>
      <c r="R440" t="n">
        <v>3.98</v>
      </c>
      <c r="S440">
        <f>IF(OR(G440=0,G440=""),"",ABS((G440-IF($C440="LT",Config!$F$2,Config!$F$14))/IF($C440="LT",Config!$G$2,Config!$G$14)))</f>
        <v/>
      </c>
      <c r="T440">
        <f>IF(OR(H440=0,H440=""),"",ABS((H440-IF($C440="LT",Config!$F$3,Config!$F$15))/IF($C440="LT",Config!$G$3,Config!$G$15)))</f>
        <v/>
      </c>
      <c r="U440">
        <f>IF(OR(I440=0,I440=""),"",ABS((I440-IF($C440="LT",Config!$F$4,Config!$F$16))/IF($C440="LT",Config!$G$4,Config!$G$16)))</f>
        <v/>
      </c>
      <c r="V440">
        <f>IF(OR(J440=0,J440=""),"",ABS((J440-IF($C440="LT",Config!$F$5,Config!$F$17))/IF($C440="LT",Config!$G$5,Config!$G$17)))</f>
        <v/>
      </c>
      <c r="W440">
        <f>IF(OR(K440=0,K440=""),"",ABS((K440-IF($C440="LT",Config!$F$6,Config!$F$18))/IF($C440="LT",Config!$G$6,Config!$G$18)))</f>
        <v/>
      </c>
      <c r="X440">
        <f>IF(OR(L440=0,L440=""),"",ABS((L440-IF($C440="LT",Config!$F$7,Config!$F$19))/IF($C440="LT",Config!$G$7,Config!$G$19)))</f>
        <v/>
      </c>
      <c r="Y440">
        <f>IF(OR(M440=0,M440=""),"",ABS((M440-IF($C440="LT",Config!$F$8,Config!$F$20))/IF($C440="LT",Config!$G$8,Config!$G$20)))</f>
        <v/>
      </c>
      <c r="Z440">
        <f>IF(OR(N440=0,N440=""),"",ABS((N440-IF($C440="LT",Config!$F$9,Config!$F$21))/IF($C440="LT",Config!$G$9,Config!$G$21)))</f>
        <v/>
      </c>
      <c r="AA440">
        <f>IF(OR(O440=0,O440=""),"",ABS((O440-IF($C440="LT",Config!$F$10,Config!$F$22))/IF($C440="LT",Config!$G$10,Config!$G$22)))</f>
        <v/>
      </c>
      <c r="AB440">
        <f>IF(OR(P440=0,P440=""),"",ABS((P440-IF($C440="LT",Config!$F$11,Config!$F$23))/IF($C440="LT",Config!$G$11,Config!$G$23)))</f>
        <v/>
      </c>
      <c r="AC440">
        <f>IF(OR(Q440=0,Q440=""),"",ABS((Q440-IF($C440="LT",Config!$F$12,Config!$F$24))/IF($C440="LT",Config!$G$12,Config!$G$24)))</f>
        <v/>
      </c>
      <c r="AD440">
        <f>IF(OR(R440=0,R440=""),"",ABS((R440-IF($C440="LT",Config!$F$13,Config!$F$25))/IF($C440="LT",Config!$G$13,Config!$G$25)))</f>
        <v/>
      </c>
    </row>
    <row r="441">
      <c r="A441" t="inlineStr">
        <is>
          <t>04C2326121064</t>
        </is>
      </c>
      <c r="B441" t="inlineStr">
        <is>
          <t>CRS0000674</t>
        </is>
      </c>
      <c r="C441" t="inlineStr">
        <is>
          <t>MT</t>
        </is>
      </c>
      <c r="D441" t="inlineStr">
        <is>
          <t>TCX413U-DS1B01</t>
        </is>
      </c>
      <c r="E441" s="2" t="n">
        <v>46105</v>
      </c>
      <c r="F441" t="inlineStr">
        <is>
          <t>Pass</t>
        </is>
      </c>
      <c r="G441" t="n">
        <v>112</v>
      </c>
      <c r="H441" t="n">
        <v>81.59999999999999</v>
      </c>
      <c r="I441" t="n">
        <v>-1957.8</v>
      </c>
      <c r="J441" t="n">
        <v>68.2</v>
      </c>
      <c r="K441" t="n">
        <v>0</v>
      </c>
      <c r="L441" t="n">
        <v>2.2</v>
      </c>
      <c r="M441" t="n">
        <v>0</v>
      </c>
      <c r="N441" t="n">
        <v>70.40000000000001</v>
      </c>
      <c r="O441" t="n">
        <v>112.23</v>
      </c>
      <c r="P441" t="n">
        <v>113.55</v>
      </c>
      <c r="Q441" t="n">
        <v>3.98</v>
      </c>
      <c r="R441" t="n">
        <v>4</v>
      </c>
      <c r="S441">
        <f>IF(OR(G441=0,G441=""),"",ABS((G441-IF($C441="LT",Config!$F$2,Config!$F$14))/IF($C441="LT",Config!$G$2,Config!$G$14)))</f>
        <v/>
      </c>
      <c r="T441">
        <f>IF(OR(H441=0,H441=""),"",ABS((H441-IF($C441="LT",Config!$F$3,Config!$F$15))/IF($C441="LT",Config!$G$3,Config!$G$15)))</f>
        <v/>
      </c>
      <c r="U441">
        <f>IF(OR(I441=0,I441=""),"",ABS((I441-IF($C441="LT",Config!$F$4,Config!$F$16))/IF($C441="LT",Config!$G$4,Config!$G$16)))</f>
        <v/>
      </c>
      <c r="V441">
        <f>IF(OR(J441=0,J441=""),"",ABS((J441-IF($C441="LT",Config!$F$5,Config!$F$17))/IF($C441="LT",Config!$G$5,Config!$G$17)))</f>
        <v/>
      </c>
      <c r="W441">
        <f>IF(OR(K441=0,K441=""),"",ABS((K441-IF($C441="LT",Config!$F$6,Config!$F$18))/IF($C441="LT",Config!$G$6,Config!$G$18)))</f>
        <v/>
      </c>
      <c r="X441">
        <f>IF(OR(L441=0,L441=""),"",ABS((L441-IF($C441="LT",Config!$F$7,Config!$F$19))/IF($C441="LT",Config!$G$7,Config!$G$19)))</f>
        <v/>
      </c>
      <c r="Y441">
        <f>IF(OR(M441=0,M441=""),"",ABS((M441-IF($C441="LT",Config!$F$8,Config!$F$20))/IF($C441="LT",Config!$G$8,Config!$G$20)))</f>
        <v/>
      </c>
      <c r="Z441">
        <f>IF(OR(N441=0,N441=""),"",ABS((N441-IF($C441="LT",Config!$F$9,Config!$F$21))/IF($C441="LT",Config!$G$9,Config!$G$21)))</f>
        <v/>
      </c>
      <c r="AA441">
        <f>IF(OR(O441=0,O441=""),"",ABS((O441-IF($C441="LT",Config!$F$10,Config!$F$22))/IF($C441="LT",Config!$G$10,Config!$G$22)))</f>
        <v/>
      </c>
      <c r="AB441">
        <f>IF(OR(P441=0,P441=""),"",ABS((P441-IF($C441="LT",Config!$F$11,Config!$F$23))/IF($C441="LT",Config!$G$11,Config!$G$23)))</f>
        <v/>
      </c>
      <c r="AC441">
        <f>IF(OR(Q441=0,Q441=""),"",ABS((Q441-IF($C441="LT",Config!$F$12,Config!$F$24))/IF($C441="LT",Config!$G$12,Config!$G$24)))</f>
        <v/>
      </c>
      <c r="AD441">
        <f>IF(OR(R441=0,R441=""),"",ABS((R441-IF($C441="LT",Config!$F$13,Config!$F$25))/IF($C441="LT",Config!$G$13,Config!$G$25)))</f>
        <v/>
      </c>
    </row>
    <row r="442">
      <c r="A442" t="inlineStr">
        <is>
          <t>04C2326121065</t>
        </is>
      </c>
      <c r="B442" t="inlineStr">
        <is>
          <t>CRS0000674</t>
        </is>
      </c>
      <c r="C442" t="inlineStr">
        <is>
          <t>MT</t>
        </is>
      </c>
      <c r="D442" t="inlineStr">
        <is>
          <t>TCX413U-DS1B01</t>
        </is>
      </c>
      <c r="E442" s="2" t="n">
        <v>46105</v>
      </c>
      <c r="F442" t="inlineStr">
        <is>
          <t>Pass</t>
        </is>
      </c>
      <c r="G442" t="n">
        <v>104.4</v>
      </c>
      <c r="H442" t="n">
        <v>78.90000000000001</v>
      </c>
      <c r="I442" t="n">
        <v>-1957.8</v>
      </c>
      <c r="J442" t="n">
        <v>68.2</v>
      </c>
      <c r="K442" t="n">
        <v>0</v>
      </c>
      <c r="L442" t="n">
        <v>2.3</v>
      </c>
      <c r="M442" t="n">
        <v>0</v>
      </c>
      <c r="N442" t="n">
        <v>65.90000000000001</v>
      </c>
      <c r="O442" t="n">
        <v>112.45</v>
      </c>
      <c r="P442" t="n">
        <v>116.63</v>
      </c>
      <c r="Q442" t="n">
        <v>3.74</v>
      </c>
      <c r="R442" t="n">
        <v>3.76</v>
      </c>
      <c r="S442">
        <f>IF(OR(G442=0,G442=""),"",ABS((G442-IF($C442="LT",Config!$F$2,Config!$F$14))/IF($C442="LT",Config!$G$2,Config!$G$14)))</f>
        <v/>
      </c>
      <c r="T442">
        <f>IF(OR(H442=0,H442=""),"",ABS((H442-IF($C442="LT",Config!$F$3,Config!$F$15))/IF($C442="LT",Config!$G$3,Config!$G$15)))</f>
        <v/>
      </c>
      <c r="U442">
        <f>IF(OR(I442=0,I442=""),"",ABS((I442-IF($C442="LT",Config!$F$4,Config!$F$16))/IF($C442="LT",Config!$G$4,Config!$G$16)))</f>
        <v/>
      </c>
      <c r="V442">
        <f>IF(OR(J442=0,J442=""),"",ABS((J442-IF($C442="LT",Config!$F$5,Config!$F$17))/IF($C442="LT",Config!$G$5,Config!$G$17)))</f>
        <v/>
      </c>
      <c r="W442">
        <f>IF(OR(K442=0,K442=""),"",ABS((K442-IF($C442="LT",Config!$F$6,Config!$F$18))/IF($C442="LT",Config!$G$6,Config!$G$18)))</f>
        <v/>
      </c>
      <c r="X442">
        <f>IF(OR(L442=0,L442=""),"",ABS((L442-IF($C442="LT",Config!$F$7,Config!$F$19))/IF($C442="LT",Config!$G$7,Config!$G$19)))</f>
        <v/>
      </c>
      <c r="Y442">
        <f>IF(OR(M442=0,M442=""),"",ABS((M442-IF($C442="LT",Config!$F$8,Config!$F$20))/IF($C442="LT",Config!$G$8,Config!$G$20)))</f>
        <v/>
      </c>
      <c r="Z442">
        <f>IF(OR(N442=0,N442=""),"",ABS((N442-IF($C442="LT",Config!$F$9,Config!$F$21))/IF($C442="LT",Config!$G$9,Config!$G$21)))</f>
        <v/>
      </c>
      <c r="AA442">
        <f>IF(OR(O442=0,O442=""),"",ABS((O442-IF($C442="LT",Config!$F$10,Config!$F$22))/IF($C442="LT",Config!$G$10,Config!$G$22)))</f>
        <v/>
      </c>
      <c r="AB442">
        <f>IF(OR(P442=0,P442=""),"",ABS((P442-IF($C442="LT",Config!$F$11,Config!$F$23))/IF($C442="LT",Config!$G$11,Config!$G$23)))</f>
        <v/>
      </c>
      <c r="AC442">
        <f>IF(OR(Q442=0,Q442=""),"",ABS((Q442-IF($C442="LT",Config!$F$12,Config!$F$24))/IF($C442="LT",Config!$G$12,Config!$G$24)))</f>
        <v/>
      </c>
      <c r="AD442">
        <f>IF(OR(R442=0,R442=""),"",ABS((R442-IF($C442="LT",Config!$F$13,Config!$F$25))/IF($C442="LT",Config!$G$13,Config!$G$25)))</f>
        <v/>
      </c>
    </row>
    <row r="443">
      <c r="A443" t="inlineStr">
        <is>
          <t>04C2326121066</t>
        </is>
      </c>
      <c r="B443" t="inlineStr">
        <is>
          <t>CRS0000674</t>
        </is>
      </c>
      <c r="C443" t="inlineStr">
        <is>
          <t>MT</t>
        </is>
      </c>
      <c r="D443" t="inlineStr">
        <is>
          <t>TCX413U-DS1B01</t>
        </is>
      </c>
      <c r="E443" s="2" t="n">
        <v>46105</v>
      </c>
      <c r="F443" t="inlineStr">
        <is>
          <t>Fail</t>
        </is>
      </c>
      <c r="G443" t="n">
        <v>108.8</v>
      </c>
      <c r="H443" t="n">
        <v>78.40000000000001</v>
      </c>
      <c r="I443" t="n">
        <v>-1957.8</v>
      </c>
      <c r="J443" t="n">
        <v>66.40000000000001</v>
      </c>
      <c r="K443" t="n">
        <v>0</v>
      </c>
      <c r="L443" t="n">
        <v>2.9</v>
      </c>
      <c r="M443" t="n">
        <v>0</v>
      </c>
      <c r="N443" t="n">
        <v>63.5</v>
      </c>
      <c r="O443" t="n">
        <v>115.46</v>
      </c>
      <c r="P443" t="n">
        <v>117.29</v>
      </c>
      <c r="Q443" t="n">
        <v>3.81</v>
      </c>
      <c r="R443" t="n">
        <v>3.96</v>
      </c>
      <c r="S443">
        <f>IF(OR(G443=0,G443=""),"",ABS((G443-IF($C443="LT",Config!$F$2,Config!$F$14))/IF($C443="LT",Config!$G$2,Config!$G$14)))</f>
        <v/>
      </c>
      <c r="T443">
        <f>IF(OR(H443=0,H443=""),"",ABS((H443-IF($C443="LT",Config!$F$3,Config!$F$15))/IF($C443="LT",Config!$G$3,Config!$G$15)))</f>
        <v/>
      </c>
      <c r="U443">
        <f>IF(OR(I443=0,I443=""),"",ABS((I443-IF($C443="LT",Config!$F$4,Config!$F$16))/IF($C443="LT",Config!$G$4,Config!$G$16)))</f>
        <v/>
      </c>
      <c r="V443">
        <f>IF(OR(J443=0,J443=""),"",ABS((J443-IF($C443="LT",Config!$F$5,Config!$F$17))/IF($C443="LT",Config!$G$5,Config!$G$17)))</f>
        <v/>
      </c>
      <c r="W443">
        <f>IF(OR(K443=0,K443=""),"",ABS((K443-IF($C443="LT",Config!$F$6,Config!$F$18))/IF($C443="LT",Config!$G$6,Config!$G$18)))</f>
        <v/>
      </c>
      <c r="X443">
        <f>IF(OR(L443=0,L443=""),"",ABS((L443-IF($C443="LT",Config!$F$7,Config!$F$19))/IF($C443="LT",Config!$G$7,Config!$G$19)))</f>
        <v/>
      </c>
      <c r="Y443">
        <f>IF(OR(M443=0,M443=""),"",ABS((M443-IF($C443="LT",Config!$F$8,Config!$F$20))/IF($C443="LT",Config!$G$8,Config!$G$20)))</f>
        <v/>
      </c>
      <c r="Z443">
        <f>IF(OR(N443=0,N443=""),"",ABS((N443-IF($C443="LT",Config!$F$9,Config!$F$21))/IF($C443="LT",Config!$G$9,Config!$G$21)))</f>
        <v/>
      </c>
      <c r="AA443">
        <f>IF(OR(O443=0,O443=""),"",ABS((O443-IF($C443="LT",Config!$F$10,Config!$F$22))/IF($C443="LT",Config!$G$10,Config!$G$22)))</f>
        <v/>
      </c>
      <c r="AB443">
        <f>IF(OR(P443=0,P443=""),"",ABS((P443-IF($C443="LT",Config!$F$11,Config!$F$23))/IF($C443="LT",Config!$G$11,Config!$G$23)))</f>
        <v/>
      </c>
      <c r="AC443">
        <f>IF(OR(Q443=0,Q443=""),"",ABS((Q443-IF($C443="LT",Config!$F$12,Config!$F$24))/IF($C443="LT",Config!$G$12,Config!$G$24)))</f>
        <v/>
      </c>
      <c r="AD443">
        <f>IF(OR(R443=0,R443=""),"",ABS((R443-IF($C443="LT",Config!$F$13,Config!$F$25))/IF($C443="LT",Config!$G$13,Config!$G$25)))</f>
        <v/>
      </c>
    </row>
    <row r="444">
      <c r="A444" t="inlineStr">
        <is>
          <t>04C2326121066</t>
        </is>
      </c>
      <c r="B444" t="inlineStr">
        <is>
          <t>CRS0000674</t>
        </is>
      </c>
      <c r="C444" t="inlineStr">
        <is>
          <t>MT</t>
        </is>
      </c>
      <c r="D444" t="inlineStr">
        <is>
          <t>TCX413U-DS1B01</t>
        </is>
      </c>
      <c r="E444" s="2" t="n">
        <v>46105</v>
      </c>
      <c r="F444" t="inlineStr">
        <is>
          <t>Pass</t>
        </is>
      </c>
      <c r="G444" t="n">
        <v>116.9</v>
      </c>
      <c r="H444" t="n">
        <v>83.8</v>
      </c>
      <c r="I444" t="n">
        <v>-1957.8</v>
      </c>
      <c r="J444" t="n">
        <v>66.8</v>
      </c>
      <c r="K444" t="n">
        <v>0</v>
      </c>
      <c r="L444" t="n">
        <v>0.7</v>
      </c>
      <c r="M444" t="n">
        <v>0</v>
      </c>
      <c r="N444" t="n">
        <v>66.09999999999999</v>
      </c>
      <c r="O444" t="n">
        <v>115.6</v>
      </c>
      <c r="P444" t="n">
        <v>117</v>
      </c>
      <c r="Q444" t="n">
        <v>4.08</v>
      </c>
      <c r="R444" t="n">
        <v>4.13</v>
      </c>
      <c r="S444">
        <f>IF(OR(G444=0,G444=""),"",ABS((G444-IF($C444="LT",Config!$F$2,Config!$F$14))/IF($C444="LT",Config!$G$2,Config!$G$14)))</f>
        <v/>
      </c>
      <c r="T444">
        <f>IF(OR(H444=0,H444=""),"",ABS((H444-IF($C444="LT",Config!$F$3,Config!$F$15))/IF($C444="LT",Config!$G$3,Config!$G$15)))</f>
        <v/>
      </c>
      <c r="U444">
        <f>IF(OR(I444=0,I444=""),"",ABS((I444-IF($C444="LT",Config!$F$4,Config!$F$16))/IF($C444="LT",Config!$G$4,Config!$G$16)))</f>
        <v/>
      </c>
      <c r="V444">
        <f>IF(OR(J444=0,J444=""),"",ABS((J444-IF($C444="LT",Config!$F$5,Config!$F$17))/IF($C444="LT",Config!$G$5,Config!$G$17)))</f>
        <v/>
      </c>
      <c r="W444">
        <f>IF(OR(K444=0,K444=""),"",ABS((K444-IF($C444="LT",Config!$F$6,Config!$F$18))/IF($C444="LT",Config!$G$6,Config!$G$18)))</f>
        <v/>
      </c>
      <c r="X444">
        <f>IF(OR(L444=0,L444=""),"",ABS((L444-IF($C444="LT",Config!$F$7,Config!$F$19))/IF($C444="LT",Config!$G$7,Config!$G$19)))</f>
        <v/>
      </c>
      <c r="Y444">
        <f>IF(OR(M444=0,M444=""),"",ABS((M444-IF($C444="LT",Config!$F$8,Config!$F$20))/IF($C444="LT",Config!$G$8,Config!$G$20)))</f>
        <v/>
      </c>
      <c r="Z444">
        <f>IF(OR(N444=0,N444=""),"",ABS((N444-IF($C444="LT",Config!$F$9,Config!$F$21))/IF($C444="LT",Config!$G$9,Config!$G$21)))</f>
        <v/>
      </c>
      <c r="AA444">
        <f>IF(OR(O444=0,O444=""),"",ABS((O444-IF($C444="LT",Config!$F$10,Config!$F$22))/IF($C444="LT",Config!$G$10,Config!$G$22)))</f>
        <v/>
      </c>
      <c r="AB444">
        <f>IF(OR(P444=0,P444=""),"",ABS((P444-IF($C444="LT",Config!$F$11,Config!$F$23))/IF($C444="LT",Config!$G$11,Config!$G$23)))</f>
        <v/>
      </c>
      <c r="AC444">
        <f>IF(OR(Q444=0,Q444=""),"",ABS((Q444-IF($C444="LT",Config!$F$12,Config!$F$24))/IF($C444="LT",Config!$G$12,Config!$G$24)))</f>
        <v/>
      </c>
      <c r="AD444">
        <f>IF(OR(R444=0,R444=""),"",ABS((R444-IF($C444="LT",Config!$F$13,Config!$F$25))/IF($C444="LT",Config!$G$13,Config!$G$25)))</f>
        <v/>
      </c>
    </row>
    <row r="445">
      <c r="A445" t="inlineStr">
        <is>
          <t>04C2326121067</t>
        </is>
      </c>
      <c r="B445" t="inlineStr">
        <is>
          <t>CRS0000674</t>
        </is>
      </c>
      <c r="C445" t="inlineStr">
        <is>
          <t>MT</t>
        </is>
      </c>
      <c r="D445" t="inlineStr">
        <is>
          <t>TCX413U-DS1B01</t>
        </is>
      </c>
      <c r="E445" s="2" t="n">
        <v>46105</v>
      </c>
      <c r="F445" t="inlineStr">
        <is>
          <t>Fail</t>
        </is>
      </c>
      <c r="G445" t="n">
        <v>88.7</v>
      </c>
      <c r="H445" t="n">
        <v>78.40000000000001</v>
      </c>
      <c r="I445" t="n">
        <v>-1957.8</v>
      </c>
      <c r="J445" t="n">
        <v>70</v>
      </c>
      <c r="K445" t="n">
        <v>0</v>
      </c>
      <c r="L445" t="n">
        <v>1.9</v>
      </c>
      <c r="M445" t="n">
        <v>0</v>
      </c>
      <c r="N445" t="n">
        <v>71.90000000000001</v>
      </c>
      <c r="O445" t="n">
        <v>112.38</v>
      </c>
      <c r="P445" t="n">
        <v>117.14</v>
      </c>
      <c r="Q445" t="n">
        <v>3.93</v>
      </c>
      <c r="R445" t="n">
        <v>3.91</v>
      </c>
      <c r="S445">
        <f>IF(OR(G445=0,G445=""),"",ABS((G445-IF($C445="LT",Config!$F$2,Config!$F$14))/IF($C445="LT",Config!$G$2,Config!$G$14)))</f>
        <v/>
      </c>
      <c r="T445">
        <f>IF(OR(H445=0,H445=""),"",ABS((H445-IF($C445="LT",Config!$F$3,Config!$F$15))/IF($C445="LT",Config!$G$3,Config!$G$15)))</f>
        <v/>
      </c>
      <c r="U445">
        <f>IF(OR(I445=0,I445=""),"",ABS((I445-IF($C445="LT",Config!$F$4,Config!$F$16))/IF($C445="LT",Config!$G$4,Config!$G$16)))</f>
        <v/>
      </c>
      <c r="V445">
        <f>IF(OR(J445=0,J445=""),"",ABS((J445-IF($C445="LT",Config!$F$5,Config!$F$17))/IF($C445="LT",Config!$G$5,Config!$G$17)))</f>
        <v/>
      </c>
      <c r="W445">
        <f>IF(OR(K445=0,K445=""),"",ABS((K445-IF($C445="LT",Config!$F$6,Config!$F$18))/IF($C445="LT",Config!$G$6,Config!$G$18)))</f>
        <v/>
      </c>
      <c r="X445">
        <f>IF(OR(L445=0,L445=""),"",ABS((L445-IF($C445="LT",Config!$F$7,Config!$F$19))/IF($C445="LT",Config!$G$7,Config!$G$19)))</f>
        <v/>
      </c>
      <c r="Y445">
        <f>IF(OR(M445=0,M445=""),"",ABS((M445-IF($C445="LT",Config!$F$8,Config!$F$20))/IF($C445="LT",Config!$G$8,Config!$G$20)))</f>
        <v/>
      </c>
      <c r="Z445">
        <f>IF(OR(N445=0,N445=""),"",ABS((N445-IF($C445="LT",Config!$F$9,Config!$F$21))/IF($C445="LT",Config!$G$9,Config!$G$21)))</f>
        <v/>
      </c>
      <c r="AA445">
        <f>IF(OR(O445=0,O445=""),"",ABS((O445-IF($C445="LT",Config!$F$10,Config!$F$22))/IF($C445="LT",Config!$G$10,Config!$G$22)))</f>
        <v/>
      </c>
      <c r="AB445">
        <f>IF(OR(P445=0,P445=""),"",ABS((P445-IF($C445="LT",Config!$F$11,Config!$F$23))/IF($C445="LT",Config!$G$11,Config!$G$23)))</f>
        <v/>
      </c>
      <c r="AC445">
        <f>IF(OR(Q445=0,Q445=""),"",ABS((Q445-IF($C445="LT",Config!$F$12,Config!$F$24))/IF($C445="LT",Config!$G$12,Config!$G$24)))</f>
        <v/>
      </c>
      <c r="AD445">
        <f>IF(OR(R445=0,R445=""),"",ABS((R445-IF($C445="LT",Config!$F$13,Config!$F$25))/IF($C445="LT",Config!$G$13,Config!$G$25)))</f>
        <v/>
      </c>
    </row>
    <row r="446">
      <c r="A446" t="inlineStr">
        <is>
          <t>04C2326121067</t>
        </is>
      </c>
      <c r="B446" t="inlineStr">
        <is>
          <t>CRS0000674</t>
        </is>
      </c>
      <c r="C446" t="inlineStr">
        <is>
          <t>MT</t>
        </is>
      </c>
      <c r="D446" t="inlineStr">
        <is>
          <t>TCX413U-DS1B01</t>
        </is>
      </c>
      <c r="E446" s="2" t="n">
        <v>46105</v>
      </c>
      <c r="F446" t="inlineStr">
        <is>
          <t>Pass</t>
        </is>
      </c>
      <c r="G446" t="n">
        <v>97.2</v>
      </c>
      <c r="H446" t="n">
        <v>84.3</v>
      </c>
      <c r="I446" t="n">
        <v>-1957.8</v>
      </c>
      <c r="J446" t="n">
        <v>70</v>
      </c>
      <c r="K446" t="n">
        <v>0</v>
      </c>
      <c r="L446" t="n">
        <v>2</v>
      </c>
      <c r="M446" t="n">
        <v>0</v>
      </c>
      <c r="N446" t="n">
        <v>72</v>
      </c>
      <c r="O446" t="n">
        <v>115.31</v>
      </c>
      <c r="P446" t="n">
        <v>115.31</v>
      </c>
      <c r="Q446" t="n">
        <v>4.08</v>
      </c>
      <c r="R446" t="n">
        <v>4.1</v>
      </c>
      <c r="S446">
        <f>IF(OR(G446=0,G446=""),"",ABS((G446-IF($C446="LT",Config!$F$2,Config!$F$14))/IF($C446="LT",Config!$G$2,Config!$G$14)))</f>
        <v/>
      </c>
      <c r="T446">
        <f>IF(OR(H446=0,H446=""),"",ABS((H446-IF($C446="LT",Config!$F$3,Config!$F$15))/IF($C446="LT",Config!$G$3,Config!$G$15)))</f>
        <v/>
      </c>
      <c r="U446">
        <f>IF(OR(I446=0,I446=""),"",ABS((I446-IF($C446="LT",Config!$F$4,Config!$F$16))/IF($C446="LT",Config!$G$4,Config!$G$16)))</f>
        <v/>
      </c>
      <c r="V446">
        <f>IF(OR(J446=0,J446=""),"",ABS((J446-IF($C446="LT",Config!$F$5,Config!$F$17))/IF($C446="LT",Config!$G$5,Config!$G$17)))</f>
        <v/>
      </c>
      <c r="W446">
        <f>IF(OR(K446=0,K446=""),"",ABS((K446-IF($C446="LT",Config!$F$6,Config!$F$18))/IF($C446="LT",Config!$G$6,Config!$G$18)))</f>
        <v/>
      </c>
      <c r="X446">
        <f>IF(OR(L446=0,L446=""),"",ABS((L446-IF($C446="LT",Config!$F$7,Config!$F$19))/IF($C446="LT",Config!$G$7,Config!$G$19)))</f>
        <v/>
      </c>
      <c r="Y446">
        <f>IF(OR(M446=0,M446=""),"",ABS((M446-IF($C446="LT",Config!$F$8,Config!$F$20))/IF($C446="LT",Config!$G$8,Config!$G$20)))</f>
        <v/>
      </c>
      <c r="Z446">
        <f>IF(OR(N446=0,N446=""),"",ABS((N446-IF($C446="LT",Config!$F$9,Config!$F$21))/IF($C446="LT",Config!$G$9,Config!$G$21)))</f>
        <v/>
      </c>
      <c r="AA446">
        <f>IF(OR(O446=0,O446=""),"",ABS((O446-IF($C446="LT",Config!$F$10,Config!$F$22))/IF($C446="LT",Config!$G$10,Config!$G$22)))</f>
        <v/>
      </c>
      <c r="AB446">
        <f>IF(OR(P446=0,P446=""),"",ABS((P446-IF($C446="LT",Config!$F$11,Config!$F$23))/IF($C446="LT",Config!$G$11,Config!$G$23)))</f>
        <v/>
      </c>
      <c r="AC446">
        <f>IF(OR(Q446=0,Q446=""),"",ABS((Q446-IF($C446="LT",Config!$F$12,Config!$F$24))/IF($C446="LT",Config!$G$12,Config!$G$24)))</f>
        <v/>
      </c>
      <c r="AD446">
        <f>IF(OR(R446=0,R446=""),"",ABS((R446-IF($C446="LT",Config!$F$13,Config!$F$25))/IF($C446="LT",Config!$G$13,Config!$G$25)))</f>
        <v/>
      </c>
    </row>
    <row r="447">
      <c r="A447" t="inlineStr">
        <is>
          <t>04C2326121068</t>
        </is>
      </c>
      <c r="B447" t="inlineStr">
        <is>
          <t>CRS0000674</t>
        </is>
      </c>
      <c r="C447" t="inlineStr">
        <is>
          <t>MT</t>
        </is>
      </c>
      <c r="D447" t="inlineStr">
        <is>
          <t>TCX413U-DS1B01</t>
        </is>
      </c>
      <c r="E447" s="2" t="n">
        <v>46105</v>
      </c>
      <c r="F447" t="inlineStr">
        <is>
          <t>Fail</t>
        </is>
      </c>
      <c r="G447" t="n">
        <v>116</v>
      </c>
      <c r="H447" t="n">
        <v>85.2</v>
      </c>
      <c r="I447" t="n">
        <v>-1957.8</v>
      </c>
      <c r="J447" t="n">
        <v>72.59999999999999</v>
      </c>
      <c r="K447" t="n">
        <v>0</v>
      </c>
      <c r="L447" t="n">
        <v>5.3</v>
      </c>
      <c r="M447" t="n">
        <v>0</v>
      </c>
      <c r="N447" t="n">
        <v>77.90000000000001</v>
      </c>
      <c r="O447" t="n">
        <v>115.09</v>
      </c>
      <c r="P447" t="n">
        <v>115.02</v>
      </c>
      <c r="Q447" t="n">
        <v>4</v>
      </c>
      <c r="R447" t="n">
        <v>4.05</v>
      </c>
      <c r="S447">
        <f>IF(OR(G447=0,G447=""),"",ABS((G447-IF($C447="LT",Config!$F$2,Config!$F$14))/IF($C447="LT",Config!$G$2,Config!$G$14)))</f>
        <v/>
      </c>
      <c r="T447">
        <f>IF(OR(H447=0,H447=""),"",ABS((H447-IF($C447="LT",Config!$F$3,Config!$F$15))/IF($C447="LT",Config!$G$3,Config!$G$15)))</f>
        <v/>
      </c>
      <c r="U447">
        <f>IF(OR(I447=0,I447=""),"",ABS((I447-IF($C447="LT",Config!$F$4,Config!$F$16))/IF($C447="LT",Config!$G$4,Config!$G$16)))</f>
        <v/>
      </c>
      <c r="V447">
        <f>IF(OR(J447=0,J447=""),"",ABS((J447-IF($C447="LT",Config!$F$5,Config!$F$17))/IF($C447="LT",Config!$G$5,Config!$G$17)))</f>
        <v/>
      </c>
      <c r="W447">
        <f>IF(OR(K447=0,K447=""),"",ABS((K447-IF($C447="LT",Config!$F$6,Config!$F$18))/IF($C447="LT",Config!$G$6,Config!$G$18)))</f>
        <v/>
      </c>
      <c r="X447">
        <f>IF(OR(L447=0,L447=""),"",ABS((L447-IF($C447="LT",Config!$F$7,Config!$F$19))/IF($C447="LT",Config!$G$7,Config!$G$19)))</f>
        <v/>
      </c>
      <c r="Y447">
        <f>IF(OR(M447=0,M447=""),"",ABS((M447-IF($C447="LT",Config!$F$8,Config!$F$20))/IF($C447="LT",Config!$G$8,Config!$G$20)))</f>
        <v/>
      </c>
      <c r="Z447">
        <f>IF(OR(N447=0,N447=""),"",ABS((N447-IF($C447="LT",Config!$F$9,Config!$F$21))/IF($C447="LT",Config!$G$9,Config!$G$21)))</f>
        <v/>
      </c>
      <c r="AA447">
        <f>IF(OR(O447=0,O447=""),"",ABS((O447-IF($C447="LT",Config!$F$10,Config!$F$22))/IF($C447="LT",Config!$G$10,Config!$G$22)))</f>
        <v/>
      </c>
      <c r="AB447">
        <f>IF(OR(P447=0,P447=""),"",ABS((P447-IF($C447="LT",Config!$F$11,Config!$F$23))/IF($C447="LT",Config!$G$11,Config!$G$23)))</f>
        <v/>
      </c>
      <c r="AC447">
        <f>IF(OR(Q447=0,Q447=""),"",ABS((Q447-IF($C447="LT",Config!$F$12,Config!$F$24))/IF($C447="LT",Config!$G$12,Config!$G$24)))</f>
        <v/>
      </c>
      <c r="AD447">
        <f>IF(OR(R447=0,R447=""),"",ABS((R447-IF($C447="LT",Config!$F$13,Config!$F$25))/IF($C447="LT",Config!$G$13,Config!$G$25)))</f>
        <v/>
      </c>
    </row>
    <row r="448">
      <c r="A448" t="inlineStr">
        <is>
          <t>04C2326121068</t>
        </is>
      </c>
      <c r="B448" t="inlineStr">
        <is>
          <t>CRS0000674</t>
        </is>
      </c>
      <c r="C448" t="inlineStr">
        <is>
          <t>MT</t>
        </is>
      </c>
      <c r="D448" t="inlineStr">
        <is>
          <t>TCX413U-DS1B01</t>
        </is>
      </c>
      <c r="E448" s="2" t="n">
        <v>46105</v>
      </c>
      <c r="F448" t="inlineStr">
        <is>
          <t>Pass</t>
        </is>
      </c>
      <c r="G448" t="n">
        <v>118.7</v>
      </c>
      <c r="H448" t="n">
        <v>83.8</v>
      </c>
      <c r="I448" t="n">
        <v>-1957.8</v>
      </c>
      <c r="J448" t="n">
        <v>73.09999999999999</v>
      </c>
      <c r="K448" t="n">
        <v>0</v>
      </c>
      <c r="L448" t="n">
        <v>1</v>
      </c>
      <c r="M448" t="n">
        <v>0</v>
      </c>
      <c r="N448" t="n">
        <v>74.09999999999999</v>
      </c>
      <c r="O448" t="n">
        <v>112.08</v>
      </c>
      <c r="P448" t="n">
        <v>116.48</v>
      </c>
      <c r="Q448" t="n">
        <v>4.1</v>
      </c>
      <c r="R448" t="n">
        <v>4.03</v>
      </c>
      <c r="S448">
        <f>IF(OR(G448=0,G448=""),"",ABS((G448-IF($C448="LT",Config!$F$2,Config!$F$14))/IF($C448="LT",Config!$G$2,Config!$G$14)))</f>
        <v/>
      </c>
      <c r="T448">
        <f>IF(OR(H448=0,H448=""),"",ABS((H448-IF($C448="LT",Config!$F$3,Config!$F$15))/IF($C448="LT",Config!$G$3,Config!$G$15)))</f>
        <v/>
      </c>
      <c r="U448">
        <f>IF(OR(I448=0,I448=""),"",ABS((I448-IF($C448="LT",Config!$F$4,Config!$F$16))/IF($C448="LT",Config!$G$4,Config!$G$16)))</f>
        <v/>
      </c>
      <c r="V448">
        <f>IF(OR(J448=0,J448=""),"",ABS((J448-IF($C448="LT",Config!$F$5,Config!$F$17))/IF($C448="LT",Config!$G$5,Config!$G$17)))</f>
        <v/>
      </c>
      <c r="W448">
        <f>IF(OR(K448=0,K448=""),"",ABS((K448-IF($C448="LT",Config!$F$6,Config!$F$18))/IF($C448="LT",Config!$G$6,Config!$G$18)))</f>
        <v/>
      </c>
      <c r="X448">
        <f>IF(OR(L448=0,L448=""),"",ABS((L448-IF($C448="LT",Config!$F$7,Config!$F$19))/IF($C448="LT",Config!$G$7,Config!$G$19)))</f>
        <v/>
      </c>
      <c r="Y448">
        <f>IF(OR(M448=0,M448=""),"",ABS((M448-IF($C448="LT",Config!$F$8,Config!$F$20))/IF($C448="LT",Config!$G$8,Config!$G$20)))</f>
        <v/>
      </c>
      <c r="Z448">
        <f>IF(OR(N448=0,N448=""),"",ABS((N448-IF($C448="LT",Config!$F$9,Config!$F$21))/IF($C448="LT",Config!$G$9,Config!$G$21)))</f>
        <v/>
      </c>
      <c r="AA448">
        <f>IF(OR(O448=0,O448=""),"",ABS((O448-IF($C448="LT",Config!$F$10,Config!$F$22))/IF($C448="LT",Config!$G$10,Config!$G$22)))</f>
        <v/>
      </c>
      <c r="AB448">
        <f>IF(OR(P448=0,P448=""),"",ABS((P448-IF($C448="LT",Config!$F$11,Config!$F$23))/IF($C448="LT",Config!$G$11,Config!$G$23)))</f>
        <v/>
      </c>
      <c r="AC448">
        <f>IF(OR(Q448=0,Q448=""),"",ABS((Q448-IF($C448="LT",Config!$F$12,Config!$F$24))/IF($C448="LT",Config!$G$12,Config!$G$24)))</f>
        <v/>
      </c>
      <c r="AD448">
        <f>IF(OR(R448=0,R448=""),"",ABS((R448-IF($C448="LT",Config!$F$13,Config!$F$25))/IF($C448="LT",Config!$G$13,Config!$G$25)))</f>
        <v/>
      </c>
    </row>
    <row r="449">
      <c r="A449" t="inlineStr">
        <is>
          <t>04C2426121069</t>
        </is>
      </c>
      <c r="B449" t="inlineStr">
        <is>
          <t>CRS0000674</t>
        </is>
      </c>
      <c r="C449" t="inlineStr">
        <is>
          <t>MT</t>
        </is>
      </c>
      <c r="D449" t="inlineStr">
        <is>
          <t>TCX413U-DS1B01</t>
        </is>
      </c>
      <c r="E449" s="2" t="n">
        <v>46105</v>
      </c>
      <c r="F449" t="inlineStr">
        <is>
          <t>Pass</t>
        </is>
      </c>
      <c r="G449" t="n">
        <v>114.2</v>
      </c>
      <c r="H449" t="n">
        <v>81.59999999999999</v>
      </c>
      <c r="I449" t="n">
        <v>-1957.8</v>
      </c>
      <c r="J449" t="n">
        <v>70</v>
      </c>
      <c r="K449" t="n">
        <v>0</v>
      </c>
      <c r="L449" t="n">
        <v>4.3</v>
      </c>
      <c r="M449" t="n">
        <v>0</v>
      </c>
      <c r="N449" t="n">
        <v>65.7</v>
      </c>
      <c r="O449" t="n">
        <v>112.16</v>
      </c>
      <c r="P449" t="n">
        <v>116.48</v>
      </c>
      <c r="Q449" t="n">
        <v>3.74</v>
      </c>
      <c r="R449" t="n">
        <v>3.74</v>
      </c>
      <c r="S449">
        <f>IF(OR(G449=0,G449=""),"",ABS((G449-IF($C449="LT",Config!$F$2,Config!$F$14))/IF($C449="LT",Config!$G$2,Config!$G$14)))</f>
        <v/>
      </c>
      <c r="T449">
        <f>IF(OR(H449=0,H449=""),"",ABS((H449-IF($C449="LT",Config!$F$3,Config!$F$15))/IF($C449="LT",Config!$G$3,Config!$G$15)))</f>
        <v/>
      </c>
      <c r="U449">
        <f>IF(OR(I449=0,I449=""),"",ABS((I449-IF($C449="LT",Config!$F$4,Config!$F$16))/IF($C449="LT",Config!$G$4,Config!$G$16)))</f>
        <v/>
      </c>
      <c r="V449">
        <f>IF(OR(J449=0,J449=""),"",ABS((J449-IF($C449="LT",Config!$F$5,Config!$F$17))/IF($C449="LT",Config!$G$5,Config!$G$17)))</f>
        <v/>
      </c>
      <c r="W449">
        <f>IF(OR(K449=0,K449=""),"",ABS((K449-IF($C449="LT",Config!$F$6,Config!$F$18))/IF($C449="LT",Config!$G$6,Config!$G$18)))</f>
        <v/>
      </c>
      <c r="X449">
        <f>IF(OR(L449=0,L449=""),"",ABS((L449-IF($C449="LT",Config!$F$7,Config!$F$19))/IF($C449="LT",Config!$G$7,Config!$G$19)))</f>
        <v/>
      </c>
      <c r="Y449">
        <f>IF(OR(M449=0,M449=""),"",ABS((M449-IF($C449="LT",Config!$F$8,Config!$F$20))/IF($C449="LT",Config!$G$8,Config!$G$20)))</f>
        <v/>
      </c>
      <c r="Z449">
        <f>IF(OR(N449=0,N449=""),"",ABS((N449-IF($C449="LT",Config!$F$9,Config!$F$21))/IF($C449="LT",Config!$G$9,Config!$G$21)))</f>
        <v/>
      </c>
      <c r="AA449">
        <f>IF(OR(O449=0,O449=""),"",ABS((O449-IF($C449="LT",Config!$F$10,Config!$F$22))/IF($C449="LT",Config!$G$10,Config!$G$22)))</f>
        <v/>
      </c>
      <c r="AB449">
        <f>IF(OR(P449=0,P449=""),"",ABS((P449-IF($C449="LT",Config!$F$11,Config!$F$23))/IF($C449="LT",Config!$G$11,Config!$G$23)))</f>
        <v/>
      </c>
      <c r="AC449">
        <f>IF(OR(Q449=0,Q449=""),"",ABS((Q449-IF($C449="LT",Config!$F$12,Config!$F$24))/IF($C449="LT",Config!$G$12,Config!$G$24)))</f>
        <v/>
      </c>
      <c r="AD449">
        <f>IF(OR(R449=0,R449=""),"",ABS((R449-IF($C449="LT",Config!$F$13,Config!$F$25))/IF($C449="LT",Config!$G$13,Config!$G$25)))</f>
        <v/>
      </c>
    </row>
    <row r="450">
      <c r="A450" t="inlineStr">
        <is>
          <t>04C2426121070</t>
        </is>
      </c>
      <c r="B450" t="inlineStr">
        <is>
          <t>CRS0000674</t>
        </is>
      </c>
      <c r="C450" t="inlineStr">
        <is>
          <t>MT</t>
        </is>
      </c>
      <c r="D450" t="inlineStr">
        <is>
          <t>TCX413U-DS1B01</t>
        </is>
      </c>
      <c r="E450" s="2" t="n">
        <v>46105</v>
      </c>
      <c r="F450" t="inlineStr">
        <is>
          <t>Fail</t>
        </is>
      </c>
      <c r="G450" t="n">
        <v>109.7</v>
      </c>
      <c r="H450" t="n">
        <v>78.90000000000001</v>
      </c>
      <c r="I450" t="n">
        <v>-1957.8</v>
      </c>
      <c r="J450" t="n">
        <v>66.8</v>
      </c>
      <c r="K450" t="n">
        <v>0</v>
      </c>
      <c r="L450" t="n">
        <v>2.6</v>
      </c>
      <c r="M450" t="n">
        <v>0</v>
      </c>
      <c r="N450" t="n">
        <v>64.2</v>
      </c>
      <c r="O450" t="n">
        <v>115.02</v>
      </c>
      <c r="P450" t="n">
        <v>115.02</v>
      </c>
      <c r="Q450" t="n">
        <v>3.78</v>
      </c>
      <c r="R450" t="n">
        <v>3.91</v>
      </c>
      <c r="S450">
        <f>IF(OR(G450=0,G450=""),"",ABS((G450-IF($C450="LT",Config!$F$2,Config!$F$14))/IF($C450="LT",Config!$G$2,Config!$G$14)))</f>
        <v/>
      </c>
      <c r="T450">
        <f>IF(OR(H450=0,H450=""),"",ABS((H450-IF($C450="LT",Config!$F$3,Config!$F$15))/IF($C450="LT",Config!$G$3,Config!$G$15)))</f>
        <v/>
      </c>
      <c r="U450">
        <f>IF(OR(I450=0,I450=""),"",ABS((I450-IF($C450="LT",Config!$F$4,Config!$F$16))/IF($C450="LT",Config!$G$4,Config!$G$16)))</f>
        <v/>
      </c>
      <c r="V450">
        <f>IF(OR(J450=0,J450=""),"",ABS((J450-IF($C450="LT",Config!$F$5,Config!$F$17))/IF($C450="LT",Config!$G$5,Config!$G$17)))</f>
        <v/>
      </c>
      <c r="W450">
        <f>IF(OR(K450=0,K450=""),"",ABS((K450-IF($C450="LT",Config!$F$6,Config!$F$18))/IF($C450="LT",Config!$G$6,Config!$G$18)))</f>
        <v/>
      </c>
      <c r="X450">
        <f>IF(OR(L450=0,L450=""),"",ABS((L450-IF($C450="LT",Config!$F$7,Config!$F$19))/IF($C450="LT",Config!$G$7,Config!$G$19)))</f>
        <v/>
      </c>
      <c r="Y450">
        <f>IF(OR(M450=0,M450=""),"",ABS((M450-IF($C450="LT",Config!$F$8,Config!$F$20))/IF($C450="LT",Config!$G$8,Config!$G$20)))</f>
        <v/>
      </c>
      <c r="Z450">
        <f>IF(OR(N450=0,N450=""),"",ABS((N450-IF($C450="LT",Config!$F$9,Config!$F$21))/IF($C450="LT",Config!$G$9,Config!$G$21)))</f>
        <v/>
      </c>
      <c r="AA450">
        <f>IF(OR(O450=0,O450=""),"",ABS((O450-IF($C450="LT",Config!$F$10,Config!$F$22))/IF($C450="LT",Config!$G$10,Config!$G$22)))</f>
        <v/>
      </c>
      <c r="AB450">
        <f>IF(OR(P450=0,P450=""),"",ABS((P450-IF($C450="LT",Config!$F$11,Config!$F$23))/IF($C450="LT",Config!$G$11,Config!$G$23)))</f>
        <v/>
      </c>
      <c r="AC450">
        <f>IF(OR(Q450=0,Q450=""),"",ABS((Q450-IF($C450="LT",Config!$F$12,Config!$F$24))/IF($C450="LT",Config!$G$12,Config!$G$24)))</f>
        <v/>
      </c>
      <c r="AD450">
        <f>IF(OR(R450=0,R450=""),"",ABS((R450-IF($C450="LT",Config!$F$13,Config!$F$25))/IF($C450="LT",Config!$G$13,Config!$G$25)))</f>
        <v/>
      </c>
    </row>
    <row r="451">
      <c r="A451" t="inlineStr">
        <is>
          <t>04C2426121070</t>
        </is>
      </c>
      <c r="B451" t="inlineStr">
        <is>
          <t>CRS0000674</t>
        </is>
      </c>
      <c r="C451" t="inlineStr">
        <is>
          <t>MT</t>
        </is>
      </c>
      <c r="D451" t="inlineStr">
        <is>
          <t>TCX413U-DS1B01</t>
        </is>
      </c>
      <c r="E451" s="2" t="n">
        <v>46105</v>
      </c>
      <c r="F451" t="inlineStr">
        <is>
          <t>Pass</t>
        </is>
      </c>
      <c r="G451" t="n">
        <v>119.1</v>
      </c>
      <c r="H451" t="n">
        <v>83.8</v>
      </c>
      <c r="I451" t="n">
        <v>-1957.8</v>
      </c>
      <c r="J451" t="n">
        <v>67.3</v>
      </c>
      <c r="K451" t="n">
        <v>0</v>
      </c>
      <c r="L451" t="n">
        <v>0.8</v>
      </c>
      <c r="M451" t="n">
        <v>0</v>
      </c>
      <c r="N451" t="n">
        <v>66.5</v>
      </c>
      <c r="O451" t="n">
        <v>112.16</v>
      </c>
      <c r="P451" t="n">
        <v>116.26</v>
      </c>
      <c r="Q451" t="n">
        <v>4.1</v>
      </c>
      <c r="R451" t="n">
        <v>4.08</v>
      </c>
      <c r="S451">
        <f>IF(OR(G451=0,G451=""),"",ABS((G451-IF($C451="LT",Config!$F$2,Config!$F$14))/IF($C451="LT",Config!$G$2,Config!$G$14)))</f>
        <v/>
      </c>
      <c r="T451">
        <f>IF(OR(H451=0,H451=""),"",ABS((H451-IF($C451="LT",Config!$F$3,Config!$F$15))/IF($C451="LT",Config!$G$3,Config!$G$15)))</f>
        <v/>
      </c>
      <c r="U451">
        <f>IF(OR(I451=0,I451=""),"",ABS((I451-IF($C451="LT",Config!$F$4,Config!$F$16))/IF($C451="LT",Config!$G$4,Config!$G$16)))</f>
        <v/>
      </c>
      <c r="V451">
        <f>IF(OR(J451=0,J451=""),"",ABS((J451-IF($C451="LT",Config!$F$5,Config!$F$17))/IF($C451="LT",Config!$G$5,Config!$G$17)))</f>
        <v/>
      </c>
      <c r="W451">
        <f>IF(OR(K451=0,K451=""),"",ABS((K451-IF($C451="LT",Config!$F$6,Config!$F$18))/IF($C451="LT",Config!$G$6,Config!$G$18)))</f>
        <v/>
      </c>
      <c r="X451">
        <f>IF(OR(L451=0,L451=""),"",ABS((L451-IF($C451="LT",Config!$F$7,Config!$F$19))/IF($C451="LT",Config!$G$7,Config!$G$19)))</f>
        <v/>
      </c>
      <c r="Y451">
        <f>IF(OR(M451=0,M451=""),"",ABS((M451-IF($C451="LT",Config!$F$8,Config!$F$20))/IF($C451="LT",Config!$G$8,Config!$G$20)))</f>
        <v/>
      </c>
      <c r="Z451">
        <f>IF(OR(N451=0,N451=""),"",ABS((N451-IF($C451="LT",Config!$F$9,Config!$F$21))/IF($C451="LT",Config!$G$9,Config!$G$21)))</f>
        <v/>
      </c>
      <c r="AA451">
        <f>IF(OR(O451=0,O451=""),"",ABS((O451-IF($C451="LT",Config!$F$10,Config!$F$22))/IF($C451="LT",Config!$G$10,Config!$G$22)))</f>
        <v/>
      </c>
      <c r="AB451">
        <f>IF(OR(P451=0,P451=""),"",ABS((P451-IF($C451="LT",Config!$F$11,Config!$F$23))/IF($C451="LT",Config!$G$11,Config!$G$23)))</f>
        <v/>
      </c>
      <c r="AC451">
        <f>IF(OR(Q451=0,Q451=""),"",ABS((Q451-IF($C451="LT",Config!$F$12,Config!$F$24))/IF($C451="LT",Config!$G$12,Config!$G$24)))</f>
        <v/>
      </c>
      <c r="AD451">
        <f>IF(OR(R451=0,R451=""),"",ABS((R451-IF($C451="LT",Config!$F$13,Config!$F$25))/IF($C451="LT",Config!$G$13,Config!$G$25)))</f>
        <v/>
      </c>
    </row>
    <row r="452">
      <c r="A452" t="inlineStr">
        <is>
          <t>04C2426121071</t>
        </is>
      </c>
      <c r="B452" t="inlineStr">
        <is>
          <t>CRS0000674</t>
        </is>
      </c>
      <c r="C452" t="inlineStr">
        <is>
          <t>MT</t>
        </is>
      </c>
      <c r="D452" t="inlineStr">
        <is>
          <t>TCX413U-DS1B01</t>
        </is>
      </c>
      <c r="E452" s="2" t="n">
        <v>46105</v>
      </c>
      <c r="F452" t="inlineStr">
        <is>
          <t>Pass</t>
        </is>
      </c>
      <c r="G452" t="n">
        <v>112.4</v>
      </c>
      <c r="H452" t="n">
        <v>80.2</v>
      </c>
      <c r="I452" t="n">
        <v>-1957.8</v>
      </c>
      <c r="J452" t="n">
        <v>70.40000000000001</v>
      </c>
      <c r="K452" t="n">
        <v>0</v>
      </c>
      <c r="L452" t="n">
        <v>2.9</v>
      </c>
      <c r="M452" t="n">
        <v>0</v>
      </c>
      <c r="N452" t="n">
        <v>67.5</v>
      </c>
      <c r="O452" t="n">
        <v>112.01</v>
      </c>
      <c r="P452" t="n">
        <v>113.4</v>
      </c>
      <c r="Q452" t="n">
        <v>3.76</v>
      </c>
      <c r="R452" t="n">
        <v>3.81</v>
      </c>
      <c r="S452">
        <f>IF(OR(G452=0,G452=""),"",ABS((G452-IF($C452="LT",Config!$F$2,Config!$F$14))/IF($C452="LT",Config!$G$2,Config!$G$14)))</f>
        <v/>
      </c>
      <c r="T452">
        <f>IF(OR(H452=0,H452=""),"",ABS((H452-IF($C452="LT",Config!$F$3,Config!$F$15))/IF($C452="LT",Config!$G$3,Config!$G$15)))</f>
        <v/>
      </c>
      <c r="U452">
        <f>IF(OR(I452=0,I452=""),"",ABS((I452-IF($C452="LT",Config!$F$4,Config!$F$16))/IF($C452="LT",Config!$G$4,Config!$G$16)))</f>
        <v/>
      </c>
      <c r="V452">
        <f>IF(OR(J452=0,J452=""),"",ABS((J452-IF($C452="LT",Config!$F$5,Config!$F$17))/IF($C452="LT",Config!$G$5,Config!$G$17)))</f>
        <v/>
      </c>
      <c r="W452">
        <f>IF(OR(K452=0,K452=""),"",ABS((K452-IF($C452="LT",Config!$F$6,Config!$F$18))/IF($C452="LT",Config!$G$6,Config!$G$18)))</f>
        <v/>
      </c>
      <c r="X452">
        <f>IF(OR(L452=0,L452=""),"",ABS((L452-IF($C452="LT",Config!$F$7,Config!$F$19))/IF($C452="LT",Config!$G$7,Config!$G$19)))</f>
        <v/>
      </c>
      <c r="Y452">
        <f>IF(OR(M452=0,M452=""),"",ABS((M452-IF($C452="LT",Config!$F$8,Config!$F$20))/IF($C452="LT",Config!$G$8,Config!$G$20)))</f>
        <v/>
      </c>
      <c r="Z452">
        <f>IF(OR(N452=0,N452=""),"",ABS((N452-IF($C452="LT",Config!$F$9,Config!$F$21))/IF($C452="LT",Config!$G$9,Config!$G$21)))</f>
        <v/>
      </c>
      <c r="AA452">
        <f>IF(OR(O452=0,O452=""),"",ABS((O452-IF($C452="LT",Config!$F$10,Config!$F$22))/IF($C452="LT",Config!$G$10,Config!$G$22)))</f>
        <v/>
      </c>
      <c r="AB452">
        <f>IF(OR(P452=0,P452=""),"",ABS((P452-IF($C452="LT",Config!$F$11,Config!$F$23))/IF($C452="LT",Config!$G$11,Config!$G$23)))</f>
        <v/>
      </c>
      <c r="AC452">
        <f>IF(OR(Q452=0,Q452=""),"",ABS((Q452-IF($C452="LT",Config!$F$12,Config!$F$24))/IF($C452="LT",Config!$G$12,Config!$G$24)))</f>
        <v/>
      </c>
      <c r="AD452">
        <f>IF(OR(R452=0,R452=""),"",ABS((R452-IF($C452="LT",Config!$F$13,Config!$F$25))/IF($C452="LT",Config!$G$13,Config!$G$25)))</f>
        <v/>
      </c>
    </row>
    <row r="453">
      <c r="A453" t="inlineStr">
        <is>
          <t>04C2426121072</t>
        </is>
      </c>
      <c r="B453" t="inlineStr">
        <is>
          <t>CRS0000674</t>
        </is>
      </c>
      <c r="C453" t="inlineStr">
        <is>
          <t>MT</t>
        </is>
      </c>
      <c r="D453" t="inlineStr">
        <is>
          <t>TCX413U-DS1B01</t>
        </is>
      </c>
      <c r="E453" s="2" t="n">
        <v>46105</v>
      </c>
      <c r="F453" t="inlineStr">
        <is>
          <t>Pass</t>
        </is>
      </c>
      <c r="G453" t="n">
        <v>97.7</v>
      </c>
      <c r="H453" t="n">
        <v>77.90000000000001</v>
      </c>
      <c r="I453" t="n">
        <v>-1957.8</v>
      </c>
      <c r="J453" t="n">
        <v>68.2</v>
      </c>
      <c r="K453" t="n">
        <v>0</v>
      </c>
      <c r="L453" t="n">
        <v>2</v>
      </c>
      <c r="M453" t="n">
        <v>0</v>
      </c>
      <c r="N453" t="n">
        <v>66.2</v>
      </c>
      <c r="O453" t="n">
        <v>114.87</v>
      </c>
      <c r="P453" t="n">
        <v>114.94</v>
      </c>
      <c r="Q453" t="n">
        <v>3.81</v>
      </c>
      <c r="R453" t="n">
        <v>3.83</v>
      </c>
      <c r="S453">
        <f>IF(OR(G453=0,G453=""),"",ABS((G453-IF($C453="LT",Config!$F$2,Config!$F$14))/IF($C453="LT",Config!$G$2,Config!$G$14)))</f>
        <v/>
      </c>
      <c r="T453">
        <f>IF(OR(H453=0,H453=""),"",ABS((H453-IF($C453="LT",Config!$F$3,Config!$F$15))/IF($C453="LT",Config!$G$3,Config!$G$15)))</f>
        <v/>
      </c>
      <c r="U453">
        <f>IF(OR(I453=0,I453=""),"",ABS((I453-IF($C453="LT",Config!$F$4,Config!$F$16))/IF($C453="LT",Config!$G$4,Config!$G$16)))</f>
        <v/>
      </c>
      <c r="V453">
        <f>IF(OR(J453=0,J453=""),"",ABS((J453-IF($C453="LT",Config!$F$5,Config!$F$17))/IF($C453="LT",Config!$G$5,Config!$G$17)))</f>
        <v/>
      </c>
      <c r="W453">
        <f>IF(OR(K453=0,K453=""),"",ABS((K453-IF($C453="LT",Config!$F$6,Config!$F$18))/IF($C453="LT",Config!$G$6,Config!$G$18)))</f>
        <v/>
      </c>
      <c r="X453">
        <f>IF(OR(L453=0,L453=""),"",ABS((L453-IF($C453="LT",Config!$F$7,Config!$F$19))/IF($C453="LT",Config!$G$7,Config!$G$19)))</f>
        <v/>
      </c>
      <c r="Y453">
        <f>IF(OR(M453=0,M453=""),"",ABS((M453-IF($C453="LT",Config!$F$8,Config!$F$20))/IF($C453="LT",Config!$G$8,Config!$G$20)))</f>
        <v/>
      </c>
      <c r="Z453">
        <f>IF(OR(N453=0,N453=""),"",ABS((N453-IF($C453="LT",Config!$F$9,Config!$F$21))/IF($C453="LT",Config!$G$9,Config!$G$21)))</f>
        <v/>
      </c>
      <c r="AA453">
        <f>IF(OR(O453=0,O453=""),"",ABS((O453-IF($C453="LT",Config!$F$10,Config!$F$22))/IF($C453="LT",Config!$G$10,Config!$G$22)))</f>
        <v/>
      </c>
      <c r="AB453">
        <f>IF(OR(P453=0,P453=""),"",ABS((P453-IF($C453="LT",Config!$F$11,Config!$F$23))/IF($C453="LT",Config!$G$11,Config!$G$23)))</f>
        <v/>
      </c>
      <c r="AC453">
        <f>IF(OR(Q453=0,Q453=""),"",ABS((Q453-IF($C453="LT",Config!$F$12,Config!$F$24))/IF($C453="LT",Config!$G$12,Config!$G$24)))</f>
        <v/>
      </c>
      <c r="AD453">
        <f>IF(OR(R453=0,R453=""),"",ABS((R453-IF($C453="LT",Config!$F$13,Config!$F$25))/IF($C453="LT",Config!$G$13,Config!$G$25)))</f>
        <v/>
      </c>
    </row>
    <row r="454">
      <c r="A454" t="inlineStr">
        <is>
          <t>04C2426121073</t>
        </is>
      </c>
      <c r="B454" t="inlineStr">
        <is>
          <t>CRS0000675</t>
        </is>
      </c>
      <c r="C454" t="inlineStr">
        <is>
          <t>LT</t>
        </is>
      </c>
      <c r="D454" t="inlineStr">
        <is>
          <t>ALX440U-DS3B01</t>
        </is>
      </c>
      <c r="E454" s="2" t="n">
        <v>46105</v>
      </c>
      <c r="F454" t="inlineStr">
        <is>
          <t>Pass</t>
        </is>
      </c>
      <c r="G454" t="n">
        <v>164.2</v>
      </c>
      <c r="H454" t="n">
        <v>102.8</v>
      </c>
      <c r="I454" t="n">
        <v>-1957.8</v>
      </c>
      <c r="J454" t="n">
        <v>67.7</v>
      </c>
      <c r="K454" t="n">
        <v>0</v>
      </c>
      <c r="L454" t="n">
        <v>0.9</v>
      </c>
      <c r="M454" t="n">
        <v>0</v>
      </c>
      <c r="N454" t="n">
        <v>68.59999999999999</v>
      </c>
      <c r="O454" t="n">
        <v>111.42</v>
      </c>
      <c r="P454" t="n">
        <v>112.96</v>
      </c>
      <c r="Q454" t="n">
        <v>8.69</v>
      </c>
      <c r="R454" t="n">
        <v>8.4</v>
      </c>
      <c r="S454">
        <f>IF(OR(G454=0,G454=""),"",ABS((G454-IF($C454="LT",Config!$F$2,Config!$F$14))/IF($C454="LT",Config!$G$2,Config!$G$14)))</f>
        <v/>
      </c>
      <c r="T454">
        <f>IF(OR(H454=0,H454=""),"",ABS((H454-IF($C454="LT",Config!$F$3,Config!$F$15))/IF($C454="LT",Config!$G$3,Config!$G$15)))</f>
        <v/>
      </c>
      <c r="U454">
        <f>IF(OR(I454=0,I454=""),"",ABS((I454-IF($C454="LT",Config!$F$4,Config!$F$16))/IF($C454="LT",Config!$G$4,Config!$G$16)))</f>
        <v/>
      </c>
      <c r="V454">
        <f>IF(OR(J454=0,J454=""),"",ABS((J454-IF($C454="LT",Config!$F$5,Config!$F$17))/IF($C454="LT",Config!$G$5,Config!$G$17)))</f>
        <v/>
      </c>
      <c r="W454">
        <f>IF(OR(K454=0,K454=""),"",ABS((K454-IF($C454="LT",Config!$F$6,Config!$F$18))/IF($C454="LT",Config!$G$6,Config!$G$18)))</f>
        <v/>
      </c>
      <c r="X454">
        <f>IF(OR(L454=0,L454=""),"",ABS((L454-IF($C454="LT",Config!$F$7,Config!$F$19))/IF($C454="LT",Config!$G$7,Config!$G$19)))</f>
        <v/>
      </c>
      <c r="Y454">
        <f>IF(OR(M454=0,M454=""),"",ABS((M454-IF($C454="LT",Config!$F$8,Config!$F$20))/IF($C454="LT",Config!$G$8,Config!$G$20)))</f>
        <v/>
      </c>
      <c r="Z454">
        <f>IF(OR(N454=0,N454=""),"",ABS((N454-IF($C454="LT",Config!$F$9,Config!$F$21))/IF($C454="LT",Config!$G$9,Config!$G$21)))</f>
        <v/>
      </c>
      <c r="AA454">
        <f>IF(OR(O454=0,O454=""),"",ABS((O454-IF($C454="LT",Config!$F$10,Config!$F$22))/IF($C454="LT",Config!$G$10,Config!$G$22)))</f>
        <v/>
      </c>
      <c r="AB454">
        <f>IF(OR(P454=0,P454=""),"",ABS((P454-IF($C454="LT",Config!$F$11,Config!$F$23))/IF($C454="LT",Config!$G$11,Config!$G$23)))</f>
        <v/>
      </c>
      <c r="AC454">
        <f>IF(OR(Q454=0,Q454=""),"",ABS((Q454-IF($C454="LT",Config!$F$12,Config!$F$24))/IF($C454="LT",Config!$G$12,Config!$G$24)))</f>
        <v/>
      </c>
      <c r="AD454">
        <f>IF(OR(R454=0,R454=""),"",ABS((R454-IF($C454="LT",Config!$F$13,Config!$F$25))/IF($C454="LT",Config!$G$13,Config!$G$25)))</f>
        <v/>
      </c>
    </row>
    <row r="455">
      <c r="A455" t="inlineStr">
        <is>
          <t>04C2426121074</t>
        </is>
      </c>
      <c r="B455" t="inlineStr">
        <is>
          <t>CRS0000675</t>
        </is>
      </c>
      <c r="C455" t="inlineStr">
        <is>
          <t>LT</t>
        </is>
      </c>
      <c r="D455" t="inlineStr">
        <is>
          <t>ALX440U-DS3B01</t>
        </is>
      </c>
      <c r="E455" s="2" t="n">
        <v>46105</v>
      </c>
      <c r="F455" t="inlineStr">
        <is>
          <t>Pass</t>
        </is>
      </c>
      <c r="G455" t="n">
        <v>151.7</v>
      </c>
      <c r="H455" t="n">
        <v>97.8</v>
      </c>
      <c r="I455" t="n">
        <v>-1957.8</v>
      </c>
      <c r="J455" t="n">
        <v>70</v>
      </c>
      <c r="K455" t="n">
        <v>0</v>
      </c>
      <c r="L455" t="n">
        <v>1.8</v>
      </c>
      <c r="M455" t="n">
        <v>0</v>
      </c>
      <c r="N455" t="n">
        <v>68.2</v>
      </c>
      <c r="O455" t="n">
        <v>111.2</v>
      </c>
      <c r="P455" t="n">
        <v>113.26</v>
      </c>
      <c r="Q455" t="n">
        <v>8.5</v>
      </c>
      <c r="R455" t="n">
        <v>7.96</v>
      </c>
      <c r="S455">
        <f>IF(OR(G455=0,G455=""),"",ABS((G455-IF($C455="LT",Config!$F$2,Config!$F$14))/IF($C455="LT",Config!$G$2,Config!$G$14)))</f>
        <v/>
      </c>
      <c r="T455">
        <f>IF(OR(H455=0,H455=""),"",ABS((H455-IF($C455="LT",Config!$F$3,Config!$F$15))/IF($C455="LT",Config!$G$3,Config!$G$15)))</f>
        <v/>
      </c>
      <c r="U455">
        <f>IF(OR(I455=0,I455=""),"",ABS((I455-IF($C455="LT",Config!$F$4,Config!$F$16))/IF($C455="LT",Config!$G$4,Config!$G$16)))</f>
        <v/>
      </c>
      <c r="V455">
        <f>IF(OR(J455=0,J455=""),"",ABS((J455-IF($C455="LT",Config!$F$5,Config!$F$17))/IF($C455="LT",Config!$G$5,Config!$G$17)))</f>
        <v/>
      </c>
      <c r="W455">
        <f>IF(OR(K455=0,K455=""),"",ABS((K455-IF($C455="LT",Config!$F$6,Config!$F$18))/IF($C455="LT",Config!$G$6,Config!$G$18)))</f>
        <v/>
      </c>
      <c r="X455">
        <f>IF(OR(L455=0,L455=""),"",ABS((L455-IF($C455="LT",Config!$F$7,Config!$F$19))/IF($C455="LT",Config!$G$7,Config!$G$19)))</f>
        <v/>
      </c>
      <c r="Y455">
        <f>IF(OR(M455=0,M455=""),"",ABS((M455-IF($C455="LT",Config!$F$8,Config!$F$20))/IF($C455="LT",Config!$G$8,Config!$G$20)))</f>
        <v/>
      </c>
      <c r="Z455">
        <f>IF(OR(N455=0,N455=""),"",ABS((N455-IF($C455="LT",Config!$F$9,Config!$F$21))/IF($C455="LT",Config!$G$9,Config!$G$21)))</f>
        <v/>
      </c>
      <c r="AA455">
        <f>IF(OR(O455=0,O455=""),"",ABS((O455-IF($C455="LT",Config!$F$10,Config!$F$22))/IF($C455="LT",Config!$G$10,Config!$G$22)))</f>
        <v/>
      </c>
      <c r="AB455">
        <f>IF(OR(P455=0,P455=""),"",ABS((P455-IF($C455="LT",Config!$F$11,Config!$F$23))/IF($C455="LT",Config!$G$11,Config!$G$23)))</f>
        <v/>
      </c>
      <c r="AC455">
        <f>IF(OR(Q455=0,Q455=""),"",ABS((Q455-IF($C455="LT",Config!$F$12,Config!$F$24))/IF($C455="LT",Config!$G$12,Config!$G$24)))</f>
        <v/>
      </c>
      <c r="AD455">
        <f>IF(OR(R455=0,R455=""),"",ABS((R455-IF($C455="LT",Config!$F$13,Config!$F$25))/IF($C455="LT",Config!$G$13,Config!$G$25)))</f>
        <v/>
      </c>
    </row>
    <row r="456">
      <c r="A456" t="inlineStr">
        <is>
          <t>04C2426121075</t>
        </is>
      </c>
      <c r="B456" t="inlineStr">
        <is>
          <t>CRS0000675</t>
        </is>
      </c>
      <c r="C456" t="inlineStr">
        <is>
          <t>LT</t>
        </is>
      </c>
      <c r="D456" t="inlineStr">
        <is>
          <t>ALX440U-DS3B01</t>
        </is>
      </c>
      <c r="E456" s="2" t="n">
        <v>46105</v>
      </c>
      <c r="F456" t="inlineStr">
        <is>
          <t>Fail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>
        <f>IF(OR(G456=0,G456=""),"",ABS((G456-IF($C456="LT",Config!$F$2,Config!$F$14))/IF($C456="LT",Config!$G$2,Config!$G$14)))</f>
        <v/>
      </c>
      <c r="T456">
        <f>IF(OR(H456=0,H456=""),"",ABS((H456-IF($C456="LT",Config!$F$3,Config!$F$15))/IF($C456="LT",Config!$G$3,Config!$G$15)))</f>
        <v/>
      </c>
      <c r="U456">
        <f>IF(OR(I456=0,I456=""),"",ABS((I456-IF($C456="LT",Config!$F$4,Config!$F$16))/IF($C456="LT",Config!$G$4,Config!$G$16)))</f>
        <v/>
      </c>
      <c r="V456">
        <f>IF(OR(J456=0,J456=""),"",ABS((J456-IF($C456="LT",Config!$F$5,Config!$F$17))/IF($C456="LT",Config!$G$5,Config!$G$17)))</f>
        <v/>
      </c>
      <c r="W456">
        <f>IF(OR(K456=0,K456=""),"",ABS((K456-IF($C456="LT",Config!$F$6,Config!$F$18))/IF($C456="LT",Config!$G$6,Config!$G$18)))</f>
        <v/>
      </c>
      <c r="X456">
        <f>IF(OR(L456=0,L456=""),"",ABS((L456-IF($C456="LT",Config!$F$7,Config!$F$19))/IF($C456="LT",Config!$G$7,Config!$G$19)))</f>
        <v/>
      </c>
      <c r="Y456">
        <f>IF(OR(M456=0,M456=""),"",ABS((M456-IF($C456="LT",Config!$F$8,Config!$F$20))/IF($C456="LT",Config!$G$8,Config!$G$20)))</f>
        <v/>
      </c>
      <c r="Z456">
        <f>IF(OR(N456=0,N456=""),"",ABS((N456-IF($C456="LT",Config!$F$9,Config!$F$21))/IF($C456="LT",Config!$G$9,Config!$G$21)))</f>
        <v/>
      </c>
      <c r="AA456">
        <f>IF(OR(O456=0,O456=""),"",ABS((O456-IF($C456="LT",Config!$F$10,Config!$F$22))/IF($C456="LT",Config!$G$10,Config!$G$22)))</f>
        <v/>
      </c>
      <c r="AB456">
        <f>IF(OR(P456=0,P456=""),"",ABS((P456-IF($C456="LT",Config!$F$11,Config!$F$23))/IF($C456="LT",Config!$G$11,Config!$G$23)))</f>
        <v/>
      </c>
      <c r="AC456">
        <f>IF(OR(Q456=0,Q456=""),"",ABS((Q456-IF($C456="LT",Config!$F$12,Config!$F$24))/IF($C456="LT",Config!$G$12,Config!$G$24)))</f>
        <v/>
      </c>
      <c r="AD456">
        <f>IF(OR(R456=0,R456=""),"",ABS((R456-IF($C456="LT",Config!$F$13,Config!$F$25))/IF($C456="LT",Config!$G$13,Config!$G$25)))</f>
        <v/>
      </c>
    </row>
    <row r="457">
      <c r="A457" t="inlineStr">
        <is>
          <t>04C2426121075</t>
        </is>
      </c>
      <c r="B457" t="inlineStr">
        <is>
          <t>CRS0000675</t>
        </is>
      </c>
      <c r="C457" t="inlineStr">
        <is>
          <t>LT</t>
        </is>
      </c>
      <c r="D457" t="inlineStr">
        <is>
          <t>ALX440U-DS3B01</t>
        </is>
      </c>
      <c r="E457" s="2" t="n">
        <v>46105</v>
      </c>
      <c r="F457" t="inlineStr">
        <is>
          <t>Fail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>
        <f>IF(OR(G457=0,G457=""),"",ABS((G457-IF($C457="LT",Config!$F$2,Config!$F$14))/IF($C457="LT",Config!$G$2,Config!$G$14)))</f>
        <v/>
      </c>
      <c r="T457">
        <f>IF(OR(H457=0,H457=""),"",ABS((H457-IF($C457="LT",Config!$F$3,Config!$F$15))/IF($C457="LT",Config!$G$3,Config!$G$15)))</f>
        <v/>
      </c>
      <c r="U457">
        <f>IF(OR(I457=0,I457=""),"",ABS((I457-IF($C457="LT",Config!$F$4,Config!$F$16))/IF($C457="LT",Config!$G$4,Config!$G$16)))</f>
        <v/>
      </c>
      <c r="V457">
        <f>IF(OR(J457=0,J457=""),"",ABS((J457-IF($C457="LT",Config!$F$5,Config!$F$17))/IF($C457="LT",Config!$G$5,Config!$G$17)))</f>
        <v/>
      </c>
      <c r="W457">
        <f>IF(OR(K457=0,K457=""),"",ABS((K457-IF($C457="LT",Config!$F$6,Config!$F$18))/IF($C457="LT",Config!$G$6,Config!$G$18)))</f>
        <v/>
      </c>
      <c r="X457">
        <f>IF(OR(L457=0,L457=""),"",ABS((L457-IF($C457="LT",Config!$F$7,Config!$F$19))/IF($C457="LT",Config!$G$7,Config!$G$19)))</f>
        <v/>
      </c>
      <c r="Y457">
        <f>IF(OR(M457=0,M457=""),"",ABS((M457-IF($C457="LT",Config!$F$8,Config!$F$20))/IF($C457="LT",Config!$G$8,Config!$G$20)))</f>
        <v/>
      </c>
      <c r="Z457">
        <f>IF(OR(N457=0,N457=""),"",ABS((N457-IF($C457="LT",Config!$F$9,Config!$F$21))/IF($C457="LT",Config!$G$9,Config!$G$21)))</f>
        <v/>
      </c>
      <c r="AA457">
        <f>IF(OR(O457=0,O457=""),"",ABS((O457-IF($C457="LT",Config!$F$10,Config!$F$22))/IF($C457="LT",Config!$G$10,Config!$G$22)))</f>
        <v/>
      </c>
      <c r="AB457">
        <f>IF(OR(P457=0,P457=""),"",ABS((P457-IF($C457="LT",Config!$F$11,Config!$F$23))/IF($C457="LT",Config!$G$11,Config!$G$23)))</f>
        <v/>
      </c>
      <c r="AC457">
        <f>IF(OR(Q457=0,Q457=""),"",ABS((Q457-IF($C457="LT",Config!$F$12,Config!$F$24))/IF($C457="LT",Config!$G$12,Config!$G$24)))</f>
        <v/>
      </c>
      <c r="AD457">
        <f>IF(OR(R457=0,R457=""),"",ABS((R457-IF($C457="LT",Config!$F$13,Config!$F$25))/IF($C457="LT",Config!$G$13,Config!$G$25)))</f>
        <v/>
      </c>
    </row>
    <row r="458">
      <c r="A458" t="inlineStr">
        <is>
          <t>04C2426121076</t>
        </is>
      </c>
      <c r="B458" t="inlineStr">
        <is>
          <t>CRS0000675</t>
        </is>
      </c>
      <c r="C458" t="inlineStr">
        <is>
          <t>LT</t>
        </is>
      </c>
      <c r="D458" t="inlineStr">
        <is>
          <t>ALX440U-DS3B01</t>
        </is>
      </c>
      <c r="E458" s="2" t="n">
        <v>46105</v>
      </c>
      <c r="F458" t="inlineStr">
        <is>
          <t>Pass</t>
        </is>
      </c>
      <c r="G458" t="n">
        <v>147.7</v>
      </c>
      <c r="H458" t="n">
        <v>94.59999999999999</v>
      </c>
      <c r="I458" t="n">
        <v>-1957.8</v>
      </c>
      <c r="J458" t="n">
        <v>68.2</v>
      </c>
      <c r="K458" t="n">
        <v>0</v>
      </c>
      <c r="L458" t="n">
        <v>0.8</v>
      </c>
      <c r="M458" t="n">
        <v>0</v>
      </c>
      <c r="N458" t="n">
        <v>67.40000000000001</v>
      </c>
      <c r="O458" t="n">
        <v>114.87</v>
      </c>
      <c r="P458" t="n">
        <v>115.02</v>
      </c>
      <c r="Q458" t="n">
        <v>8.15</v>
      </c>
      <c r="R458" t="n">
        <v>8.029999999999999</v>
      </c>
      <c r="S458">
        <f>IF(OR(G458=0,G458=""),"",ABS((G458-IF($C458="LT",Config!$F$2,Config!$F$14))/IF($C458="LT",Config!$G$2,Config!$G$14)))</f>
        <v/>
      </c>
      <c r="T458">
        <f>IF(OR(H458=0,H458=""),"",ABS((H458-IF($C458="LT",Config!$F$3,Config!$F$15))/IF($C458="LT",Config!$G$3,Config!$G$15)))</f>
        <v/>
      </c>
      <c r="U458">
        <f>IF(OR(I458=0,I458=""),"",ABS((I458-IF($C458="LT",Config!$F$4,Config!$F$16))/IF($C458="LT",Config!$G$4,Config!$G$16)))</f>
        <v/>
      </c>
      <c r="V458">
        <f>IF(OR(J458=0,J458=""),"",ABS((J458-IF($C458="LT",Config!$F$5,Config!$F$17))/IF($C458="LT",Config!$G$5,Config!$G$17)))</f>
        <v/>
      </c>
      <c r="W458">
        <f>IF(OR(K458=0,K458=""),"",ABS((K458-IF($C458="LT",Config!$F$6,Config!$F$18))/IF($C458="LT",Config!$G$6,Config!$G$18)))</f>
        <v/>
      </c>
      <c r="X458">
        <f>IF(OR(L458=0,L458=""),"",ABS((L458-IF($C458="LT",Config!$F$7,Config!$F$19))/IF($C458="LT",Config!$G$7,Config!$G$19)))</f>
        <v/>
      </c>
      <c r="Y458">
        <f>IF(OR(M458=0,M458=""),"",ABS((M458-IF($C458="LT",Config!$F$8,Config!$F$20))/IF($C458="LT",Config!$G$8,Config!$G$20)))</f>
        <v/>
      </c>
      <c r="Z458">
        <f>IF(OR(N458=0,N458=""),"",ABS((N458-IF($C458="LT",Config!$F$9,Config!$F$21))/IF($C458="LT",Config!$G$9,Config!$G$21)))</f>
        <v/>
      </c>
      <c r="AA458">
        <f>IF(OR(O458=0,O458=""),"",ABS((O458-IF($C458="LT",Config!$F$10,Config!$F$22))/IF($C458="LT",Config!$G$10,Config!$G$22)))</f>
        <v/>
      </c>
      <c r="AB458">
        <f>IF(OR(P458=0,P458=""),"",ABS((P458-IF($C458="LT",Config!$F$11,Config!$F$23))/IF($C458="LT",Config!$G$11,Config!$G$23)))</f>
        <v/>
      </c>
      <c r="AC458">
        <f>IF(OR(Q458=0,Q458=""),"",ABS((Q458-IF($C458="LT",Config!$F$12,Config!$F$24))/IF($C458="LT",Config!$G$12,Config!$G$24)))</f>
        <v/>
      </c>
      <c r="AD458">
        <f>IF(OR(R458=0,R458=""),"",ABS((R458-IF($C458="LT",Config!$F$13,Config!$F$25))/IF($C458="LT",Config!$G$13,Config!$G$25)))</f>
        <v/>
      </c>
    </row>
    <row r="459">
      <c r="A459" t="inlineStr">
        <is>
          <t>04C2426121077</t>
        </is>
      </c>
      <c r="B459" t="inlineStr">
        <is>
          <t>CRS0000675</t>
        </is>
      </c>
      <c r="C459" t="inlineStr">
        <is>
          <t>LT</t>
        </is>
      </c>
      <c r="D459" t="inlineStr">
        <is>
          <t>ALX440U-DS3B01</t>
        </is>
      </c>
      <c r="E459" s="2" t="n">
        <v>46105</v>
      </c>
      <c r="F459" t="inlineStr">
        <is>
          <t>Pass</t>
        </is>
      </c>
      <c r="G459" t="n">
        <v>151.7</v>
      </c>
      <c r="H459" t="n">
        <v>95.5</v>
      </c>
      <c r="I459" t="n">
        <v>-1957.8</v>
      </c>
      <c r="J459" t="n">
        <v>68.2</v>
      </c>
      <c r="K459" t="n">
        <v>0</v>
      </c>
      <c r="L459" t="n">
        <v>0.4</v>
      </c>
      <c r="M459" t="n">
        <v>0</v>
      </c>
      <c r="N459" t="n">
        <v>67.8</v>
      </c>
      <c r="O459" t="n">
        <v>111.28</v>
      </c>
      <c r="P459" t="n">
        <v>112.96</v>
      </c>
      <c r="Q459" t="n">
        <v>8.76</v>
      </c>
      <c r="R459" t="n">
        <v>8.300000000000001</v>
      </c>
      <c r="S459">
        <f>IF(OR(G459=0,G459=""),"",ABS((G459-IF($C459="LT",Config!$F$2,Config!$F$14))/IF($C459="LT",Config!$G$2,Config!$G$14)))</f>
        <v/>
      </c>
      <c r="T459">
        <f>IF(OR(H459=0,H459=""),"",ABS((H459-IF($C459="LT",Config!$F$3,Config!$F$15))/IF($C459="LT",Config!$G$3,Config!$G$15)))</f>
        <v/>
      </c>
      <c r="U459">
        <f>IF(OR(I459=0,I459=""),"",ABS((I459-IF($C459="LT",Config!$F$4,Config!$F$16))/IF($C459="LT",Config!$G$4,Config!$G$16)))</f>
        <v/>
      </c>
      <c r="V459">
        <f>IF(OR(J459=0,J459=""),"",ABS((J459-IF($C459="LT",Config!$F$5,Config!$F$17))/IF($C459="LT",Config!$G$5,Config!$G$17)))</f>
        <v/>
      </c>
      <c r="W459">
        <f>IF(OR(K459=0,K459=""),"",ABS((K459-IF($C459="LT",Config!$F$6,Config!$F$18))/IF($C459="LT",Config!$G$6,Config!$G$18)))</f>
        <v/>
      </c>
      <c r="X459">
        <f>IF(OR(L459=0,L459=""),"",ABS((L459-IF($C459="LT",Config!$F$7,Config!$F$19))/IF($C459="LT",Config!$G$7,Config!$G$19)))</f>
        <v/>
      </c>
      <c r="Y459">
        <f>IF(OR(M459=0,M459=""),"",ABS((M459-IF($C459="LT",Config!$F$8,Config!$F$20))/IF($C459="LT",Config!$G$8,Config!$G$20)))</f>
        <v/>
      </c>
      <c r="Z459">
        <f>IF(OR(N459=0,N459=""),"",ABS((N459-IF($C459="LT",Config!$F$9,Config!$F$21))/IF($C459="LT",Config!$G$9,Config!$G$21)))</f>
        <v/>
      </c>
      <c r="AA459">
        <f>IF(OR(O459=0,O459=""),"",ABS((O459-IF($C459="LT",Config!$F$10,Config!$F$22))/IF($C459="LT",Config!$G$10,Config!$G$22)))</f>
        <v/>
      </c>
      <c r="AB459">
        <f>IF(OR(P459=0,P459=""),"",ABS((P459-IF($C459="LT",Config!$F$11,Config!$F$23))/IF($C459="LT",Config!$G$11,Config!$G$23)))</f>
        <v/>
      </c>
      <c r="AC459">
        <f>IF(OR(Q459=0,Q459=""),"",ABS((Q459-IF($C459="LT",Config!$F$12,Config!$F$24))/IF($C459="LT",Config!$G$12,Config!$G$24)))</f>
        <v/>
      </c>
      <c r="AD459">
        <f>IF(OR(R459=0,R459=""),"",ABS((R459-IF($C459="LT",Config!$F$13,Config!$F$25))/IF($C459="LT",Config!$G$13,Config!$G$25)))</f>
        <v/>
      </c>
    </row>
    <row r="460">
      <c r="A460" t="inlineStr">
        <is>
          <t>04C2426121079</t>
        </is>
      </c>
      <c r="B460" t="inlineStr">
        <is>
          <t>CRS0000675</t>
        </is>
      </c>
      <c r="C460" t="inlineStr">
        <is>
          <t>LT</t>
        </is>
      </c>
      <c r="D460" t="inlineStr">
        <is>
          <t>ALX440U-DS3B01</t>
        </is>
      </c>
      <c r="E460" s="2" t="n">
        <v>46106</v>
      </c>
      <c r="F460" t="inlineStr">
        <is>
          <t>Pass</t>
        </is>
      </c>
      <c r="G460" t="n">
        <v>145.9</v>
      </c>
      <c r="H460" t="n">
        <v>84.7</v>
      </c>
      <c r="I460" t="n">
        <v>-1957.8</v>
      </c>
      <c r="J460" t="n">
        <v>67.3</v>
      </c>
      <c r="K460" t="n">
        <v>0</v>
      </c>
      <c r="L460" t="n">
        <v>0.1</v>
      </c>
      <c r="M460" t="n">
        <v>0</v>
      </c>
      <c r="N460" t="n">
        <v>67.2</v>
      </c>
      <c r="O460" t="n">
        <v>111.06</v>
      </c>
      <c r="P460" t="n">
        <v>117.51</v>
      </c>
      <c r="Q460" t="n">
        <v>7.37</v>
      </c>
      <c r="R460" t="n">
        <v>7.5</v>
      </c>
      <c r="S460">
        <f>IF(OR(G460=0,G460=""),"",ABS((G460-IF($C460="LT",Config!$F$2,Config!$F$14))/IF($C460="LT",Config!$G$2,Config!$G$14)))</f>
        <v/>
      </c>
      <c r="T460">
        <f>IF(OR(H460=0,H460=""),"",ABS((H460-IF($C460="LT",Config!$F$3,Config!$F$15))/IF($C460="LT",Config!$G$3,Config!$G$15)))</f>
        <v/>
      </c>
      <c r="U460">
        <f>IF(OR(I460=0,I460=""),"",ABS((I460-IF($C460="LT",Config!$F$4,Config!$F$16))/IF($C460="LT",Config!$G$4,Config!$G$16)))</f>
        <v/>
      </c>
      <c r="V460">
        <f>IF(OR(J460=0,J460=""),"",ABS((J460-IF($C460="LT",Config!$F$5,Config!$F$17))/IF($C460="LT",Config!$G$5,Config!$G$17)))</f>
        <v/>
      </c>
      <c r="W460">
        <f>IF(OR(K460=0,K460=""),"",ABS((K460-IF($C460="LT",Config!$F$6,Config!$F$18))/IF($C460="LT",Config!$G$6,Config!$G$18)))</f>
        <v/>
      </c>
      <c r="X460">
        <f>IF(OR(L460=0,L460=""),"",ABS((L460-IF($C460="LT",Config!$F$7,Config!$F$19))/IF($C460="LT",Config!$G$7,Config!$G$19)))</f>
        <v/>
      </c>
      <c r="Y460">
        <f>IF(OR(M460=0,M460=""),"",ABS((M460-IF($C460="LT",Config!$F$8,Config!$F$20))/IF($C460="LT",Config!$G$8,Config!$G$20)))</f>
        <v/>
      </c>
      <c r="Z460">
        <f>IF(OR(N460=0,N460=""),"",ABS((N460-IF($C460="LT",Config!$F$9,Config!$F$21))/IF($C460="LT",Config!$G$9,Config!$G$21)))</f>
        <v/>
      </c>
      <c r="AA460">
        <f>IF(OR(O460=0,O460=""),"",ABS((O460-IF($C460="LT",Config!$F$10,Config!$F$22))/IF($C460="LT",Config!$G$10,Config!$G$22)))</f>
        <v/>
      </c>
      <c r="AB460">
        <f>IF(OR(P460=0,P460=""),"",ABS((P460-IF($C460="LT",Config!$F$11,Config!$F$23))/IF($C460="LT",Config!$G$11,Config!$G$23)))</f>
        <v/>
      </c>
      <c r="AC460">
        <f>IF(OR(Q460=0,Q460=""),"",ABS((Q460-IF($C460="LT",Config!$F$12,Config!$F$24))/IF($C460="LT",Config!$G$12,Config!$G$24)))</f>
        <v/>
      </c>
      <c r="AD460">
        <f>IF(OR(R460=0,R460=""),"",ABS((R460-IF($C460="LT",Config!$F$13,Config!$F$25))/IF($C460="LT",Config!$G$13,Config!$G$25)))</f>
        <v/>
      </c>
    </row>
    <row r="461">
      <c r="A461" t="inlineStr">
        <is>
          <t>04C2426121080</t>
        </is>
      </c>
      <c r="B461" t="inlineStr">
        <is>
          <t>CRS0000675</t>
        </is>
      </c>
      <c r="C461" t="inlineStr">
        <is>
          <t>LT</t>
        </is>
      </c>
      <c r="D461" t="inlineStr">
        <is>
          <t>ALX440U-DS3B01</t>
        </is>
      </c>
      <c r="E461" s="2" t="n">
        <v>46106</v>
      </c>
      <c r="F461" t="inlineStr">
        <is>
          <t>Pass</t>
        </is>
      </c>
      <c r="G461" t="n">
        <v>149.5</v>
      </c>
      <c r="H461" t="n">
        <v>95.5</v>
      </c>
      <c r="I461" t="n">
        <v>-1957.8</v>
      </c>
      <c r="J461" t="n">
        <v>67.3</v>
      </c>
      <c r="K461" t="n">
        <v>0</v>
      </c>
      <c r="L461" t="n">
        <v>2.3</v>
      </c>
      <c r="M461" t="n">
        <v>0</v>
      </c>
      <c r="N461" t="n">
        <v>65</v>
      </c>
      <c r="O461" t="n">
        <v>111.57</v>
      </c>
      <c r="P461" t="n">
        <v>113.26</v>
      </c>
      <c r="Q461" t="n">
        <v>8.42</v>
      </c>
      <c r="R461" t="n">
        <v>8.029999999999999</v>
      </c>
      <c r="S461">
        <f>IF(OR(G461=0,G461=""),"",ABS((G461-IF($C461="LT",Config!$F$2,Config!$F$14))/IF($C461="LT",Config!$G$2,Config!$G$14)))</f>
        <v/>
      </c>
      <c r="T461">
        <f>IF(OR(H461=0,H461=""),"",ABS((H461-IF($C461="LT",Config!$F$3,Config!$F$15))/IF($C461="LT",Config!$G$3,Config!$G$15)))</f>
        <v/>
      </c>
      <c r="U461">
        <f>IF(OR(I461=0,I461=""),"",ABS((I461-IF($C461="LT",Config!$F$4,Config!$F$16))/IF($C461="LT",Config!$G$4,Config!$G$16)))</f>
        <v/>
      </c>
      <c r="V461">
        <f>IF(OR(J461=0,J461=""),"",ABS((J461-IF($C461="LT",Config!$F$5,Config!$F$17))/IF($C461="LT",Config!$G$5,Config!$G$17)))</f>
        <v/>
      </c>
      <c r="W461">
        <f>IF(OR(K461=0,K461=""),"",ABS((K461-IF($C461="LT",Config!$F$6,Config!$F$18))/IF($C461="LT",Config!$G$6,Config!$G$18)))</f>
        <v/>
      </c>
      <c r="X461">
        <f>IF(OR(L461=0,L461=""),"",ABS((L461-IF($C461="LT",Config!$F$7,Config!$F$19))/IF($C461="LT",Config!$G$7,Config!$G$19)))</f>
        <v/>
      </c>
      <c r="Y461">
        <f>IF(OR(M461=0,M461=""),"",ABS((M461-IF($C461="LT",Config!$F$8,Config!$F$20))/IF($C461="LT",Config!$G$8,Config!$G$20)))</f>
        <v/>
      </c>
      <c r="Z461">
        <f>IF(OR(N461=0,N461=""),"",ABS((N461-IF($C461="LT",Config!$F$9,Config!$F$21))/IF($C461="LT",Config!$G$9,Config!$G$21)))</f>
        <v/>
      </c>
      <c r="AA461">
        <f>IF(OR(O461=0,O461=""),"",ABS((O461-IF($C461="LT",Config!$F$10,Config!$F$22))/IF($C461="LT",Config!$G$10,Config!$G$22)))</f>
        <v/>
      </c>
      <c r="AB461">
        <f>IF(OR(P461=0,P461=""),"",ABS((P461-IF($C461="LT",Config!$F$11,Config!$F$23))/IF($C461="LT",Config!$G$11,Config!$G$23)))</f>
        <v/>
      </c>
      <c r="AC461">
        <f>IF(OR(Q461=0,Q461=""),"",ABS((Q461-IF($C461="LT",Config!$F$12,Config!$F$24))/IF($C461="LT",Config!$G$12,Config!$G$24)))</f>
        <v/>
      </c>
      <c r="AD461">
        <f>IF(OR(R461=0,R461=""),"",ABS((R461-IF($C461="LT",Config!$F$13,Config!$F$25))/IF($C461="LT",Config!$G$13,Config!$G$25)))</f>
        <v/>
      </c>
    </row>
    <row r="462">
      <c r="A462" t="inlineStr">
        <is>
          <t>04C2426121081</t>
        </is>
      </c>
      <c r="B462" t="inlineStr">
        <is>
          <t>CRS0000675</t>
        </is>
      </c>
      <c r="C462" t="inlineStr">
        <is>
          <t>LT</t>
        </is>
      </c>
      <c r="D462" t="inlineStr">
        <is>
          <t>ALX440U-DS3B01</t>
        </is>
      </c>
      <c r="E462" s="2" t="n">
        <v>46106</v>
      </c>
      <c r="F462" t="inlineStr">
        <is>
          <t>Pass</t>
        </is>
      </c>
      <c r="G462" t="n">
        <v>149.5</v>
      </c>
      <c r="H462" t="n">
        <v>97.3</v>
      </c>
      <c r="I462" t="n">
        <v>-1957.8</v>
      </c>
      <c r="J462" t="n">
        <v>67.3</v>
      </c>
      <c r="K462" t="n">
        <v>0</v>
      </c>
      <c r="L462" t="n">
        <v>1.7</v>
      </c>
      <c r="M462" t="n">
        <v>0</v>
      </c>
      <c r="N462" t="n">
        <v>65.59999999999999</v>
      </c>
      <c r="O462" t="n">
        <v>111.28</v>
      </c>
      <c r="P462" t="n">
        <v>117.8</v>
      </c>
      <c r="Q462" t="n">
        <v>8.470000000000001</v>
      </c>
      <c r="R462" t="n">
        <v>7.89</v>
      </c>
      <c r="S462">
        <f>IF(OR(G462=0,G462=""),"",ABS((G462-IF($C462="LT",Config!$F$2,Config!$F$14))/IF($C462="LT",Config!$G$2,Config!$G$14)))</f>
        <v/>
      </c>
      <c r="T462">
        <f>IF(OR(H462=0,H462=""),"",ABS((H462-IF($C462="LT",Config!$F$3,Config!$F$15))/IF($C462="LT",Config!$G$3,Config!$G$15)))</f>
        <v/>
      </c>
      <c r="U462">
        <f>IF(OR(I462=0,I462=""),"",ABS((I462-IF($C462="LT",Config!$F$4,Config!$F$16))/IF($C462="LT",Config!$G$4,Config!$G$16)))</f>
        <v/>
      </c>
      <c r="V462">
        <f>IF(OR(J462=0,J462=""),"",ABS((J462-IF($C462="LT",Config!$F$5,Config!$F$17))/IF($C462="LT",Config!$G$5,Config!$G$17)))</f>
        <v/>
      </c>
      <c r="W462">
        <f>IF(OR(K462=0,K462=""),"",ABS((K462-IF($C462="LT",Config!$F$6,Config!$F$18))/IF($C462="LT",Config!$G$6,Config!$G$18)))</f>
        <v/>
      </c>
      <c r="X462">
        <f>IF(OR(L462=0,L462=""),"",ABS((L462-IF($C462="LT",Config!$F$7,Config!$F$19))/IF($C462="LT",Config!$G$7,Config!$G$19)))</f>
        <v/>
      </c>
      <c r="Y462">
        <f>IF(OR(M462=0,M462=""),"",ABS((M462-IF($C462="LT",Config!$F$8,Config!$F$20))/IF($C462="LT",Config!$G$8,Config!$G$20)))</f>
        <v/>
      </c>
      <c r="Z462">
        <f>IF(OR(N462=0,N462=""),"",ABS((N462-IF($C462="LT",Config!$F$9,Config!$F$21))/IF($C462="LT",Config!$G$9,Config!$G$21)))</f>
        <v/>
      </c>
      <c r="AA462">
        <f>IF(OR(O462=0,O462=""),"",ABS((O462-IF($C462="LT",Config!$F$10,Config!$F$22))/IF($C462="LT",Config!$G$10,Config!$G$22)))</f>
        <v/>
      </c>
      <c r="AB462">
        <f>IF(OR(P462=0,P462=""),"",ABS((P462-IF($C462="LT",Config!$F$11,Config!$F$23))/IF($C462="LT",Config!$G$11,Config!$G$23)))</f>
        <v/>
      </c>
      <c r="AC462">
        <f>IF(OR(Q462=0,Q462=""),"",ABS((Q462-IF($C462="LT",Config!$F$12,Config!$F$24))/IF($C462="LT",Config!$G$12,Config!$G$24)))</f>
        <v/>
      </c>
      <c r="AD462">
        <f>IF(OR(R462=0,R462=""),"",ABS((R462-IF($C462="LT",Config!$F$13,Config!$F$25))/IF($C462="LT",Config!$G$13,Config!$G$25)))</f>
        <v/>
      </c>
    </row>
    <row r="463">
      <c r="A463" t="inlineStr">
        <is>
          <t>04C2426121082</t>
        </is>
      </c>
      <c r="B463" t="inlineStr">
        <is>
          <t>CRS0000675</t>
        </is>
      </c>
      <c r="C463" t="inlineStr">
        <is>
          <t>LT</t>
        </is>
      </c>
      <c r="D463" t="inlineStr">
        <is>
          <t>ALX440U-DS3B01</t>
        </is>
      </c>
      <c r="E463" s="2" t="n">
        <v>46106</v>
      </c>
      <c r="F463" t="inlineStr">
        <is>
          <t>Fail</t>
        </is>
      </c>
      <c r="G463" t="n">
        <v>154.4</v>
      </c>
      <c r="H463" t="n">
        <v>74.3</v>
      </c>
      <c r="I463" t="n">
        <v>-1957.8</v>
      </c>
      <c r="J463" t="n">
        <v>68.2</v>
      </c>
      <c r="K463" t="n">
        <v>0</v>
      </c>
      <c r="L463" t="n">
        <v>1.6</v>
      </c>
      <c r="M463" t="n">
        <v>0</v>
      </c>
      <c r="N463" t="n">
        <v>66.59999999999999</v>
      </c>
      <c r="O463" t="n">
        <v>112.45</v>
      </c>
      <c r="P463" t="n">
        <v>116.56</v>
      </c>
      <c r="Q463" t="n">
        <v>5.47</v>
      </c>
      <c r="R463" t="n">
        <v>5.08</v>
      </c>
      <c r="S463">
        <f>IF(OR(G463=0,G463=""),"",ABS((G463-IF($C463="LT",Config!$F$2,Config!$F$14))/IF($C463="LT",Config!$G$2,Config!$G$14)))</f>
        <v/>
      </c>
      <c r="T463">
        <f>IF(OR(H463=0,H463=""),"",ABS((H463-IF($C463="LT",Config!$F$3,Config!$F$15))/IF($C463="LT",Config!$G$3,Config!$G$15)))</f>
        <v/>
      </c>
      <c r="U463">
        <f>IF(OR(I463=0,I463=""),"",ABS((I463-IF($C463="LT",Config!$F$4,Config!$F$16))/IF($C463="LT",Config!$G$4,Config!$G$16)))</f>
        <v/>
      </c>
      <c r="V463">
        <f>IF(OR(J463=0,J463=""),"",ABS((J463-IF($C463="LT",Config!$F$5,Config!$F$17))/IF($C463="LT",Config!$G$5,Config!$G$17)))</f>
        <v/>
      </c>
      <c r="W463">
        <f>IF(OR(K463=0,K463=""),"",ABS((K463-IF($C463="LT",Config!$F$6,Config!$F$18))/IF($C463="LT",Config!$G$6,Config!$G$18)))</f>
        <v/>
      </c>
      <c r="X463">
        <f>IF(OR(L463=0,L463=""),"",ABS((L463-IF($C463="LT",Config!$F$7,Config!$F$19))/IF($C463="LT",Config!$G$7,Config!$G$19)))</f>
        <v/>
      </c>
      <c r="Y463">
        <f>IF(OR(M463=0,M463=""),"",ABS((M463-IF($C463="LT",Config!$F$8,Config!$F$20))/IF($C463="LT",Config!$G$8,Config!$G$20)))</f>
        <v/>
      </c>
      <c r="Z463">
        <f>IF(OR(N463=0,N463=""),"",ABS((N463-IF($C463="LT",Config!$F$9,Config!$F$21))/IF($C463="LT",Config!$G$9,Config!$G$21)))</f>
        <v/>
      </c>
      <c r="AA463">
        <f>IF(OR(O463=0,O463=""),"",ABS((O463-IF($C463="LT",Config!$F$10,Config!$F$22))/IF($C463="LT",Config!$G$10,Config!$G$22)))</f>
        <v/>
      </c>
      <c r="AB463">
        <f>IF(OR(P463=0,P463=""),"",ABS((P463-IF($C463="LT",Config!$F$11,Config!$F$23))/IF($C463="LT",Config!$G$11,Config!$G$23)))</f>
        <v/>
      </c>
      <c r="AC463">
        <f>IF(OR(Q463=0,Q463=""),"",ABS((Q463-IF($C463="LT",Config!$F$12,Config!$F$24))/IF($C463="LT",Config!$G$12,Config!$G$24)))</f>
        <v/>
      </c>
      <c r="AD463">
        <f>IF(OR(R463=0,R463=""),"",ABS((R463-IF($C463="LT",Config!$F$13,Config!$F$25))/IF($C463="LT",Config!$G$13,Config!$G$25)))</f>
        <v/>
      </c>
    </row>
    <row r="464">
      <c r="A464" t="inlineStr">
        <is>
          <t>04C2426121082</t>
        </is>
      </c>
      <c r="B464" t="inlineStr">
        <is>
          <t>CRS0000675</t>
        </is>
      </c>
      <c r="C464" t="inlineStr">
        <is>
          <t>LT</t>
        </is>
      </c>
      <c r="D464" t="inlineStr">
        <is>
          <t>ALX440U-DS3B01</t>
        </is>
      </c>
      <c r="E464" s="2" t="n">
        <v>46106</v>
      </c>
      <c r="F464" t="inlineStr">
        <is>
          <t>Fail</t>
        </is>
      </c>
      <c r="G464" t="n">
        <v>152.2</v>
      </c>
      <c r="H464" t="n">
        <v>77.90000000000001</v>
      </c>
      <c r="I464" t="n">
        <v>-1957.8</v>
      </c>
      <c r="J464" t="n">
        <v>68.59999999999999</v>
      </c>
      <c r="K464" t="n">
        <v>0</v>
      </c>
      <c r="L464" t="n">
        <v>0.8</v>
      </c>
      <c r="M464" t="n">
        <v>0</v>
      </c>
      <c r="N464" t="n">
        <v>69.40000000000001</v>
      </c>
      <c r="O464" t="n">
        <v>115.53</v>
      </c>
      <c r="P464" t="n">
        <v>113.62</v>
      </c>
      <c r="Q464" t="n">
        <v>5.1</v>
      </c>
      <c r="R464" t="n">
        <v>5.2</v>
      </c>
      <c r="S464">
        <f>IF(OR(G464=0,G464=""),"",ABS((G464-IF($C464="LT",Config!$F$2,Config!$F$14))/IF($C464="LT",Config!$G$2,Config!$G$14)))</f>
        <v/>
      </c>
      <c r="T464">
        <f>IF(OR(H464=0,H464=""),"",ABS((H464-IF($C464="LT",Config!$F$3,Config!$F$15))/IF($C464="LT",Config!$G$3,Config!$G$15)))</f>
        <v/>
      </c>
      <c r="U464">
        <f>IF(OR(I464=0,I464=""),"",ABS((I464-IF($C464="LT",Config!$F$4,Config!$F$16))/IF($C464="LT",Config!$G$4,Config!$G$16)))</f>
        <v/>
      </c>
      <c r="V464">
        <f>IF(OR(J464=0,J464=""),"",ABS((J464-IF($C464="LT",Config!$F$5,Config!$F$17))/IF($C464="LT",Config!$G$5,Config!$G$17)))</f>
        <v/>
      </c>
      <c r="W464">
        <f>IF(OR(K464=0,K464=""),"",ABS((K464-IF($C464="LT",Config!$F$6,Config!$F$18))/IF($C464="LT",Config!$G$6,Config!$G$18)))</f>
        <v/>
      </c>
      <c r="X464">
        <f>IF(OR(L464=0,L464=""),"",ABS((L464-IF($C464="LT",Config!$F$7,Config!$F$19))/IF($C464="LT",Config!$G$7,Config!$G$19)))</f>
        <v/>
      </c>
      <c r="Y464">
        <f>IF(OR(M464=0,M464=""),"",ABS((M464-IF($C464="LT",Config!$F$8,Config!$F$20))/IF($C464="LT",Config!$G$8,Config!$G$20)))</f>
        <v/>
      </c>
      <c r="Z464">
        <f>IF(OR(N464=0,N464=""),"",ABS((N464-IF($C464="LT",Config!$F$9,Config!$F$21))/IF($C464="LT",Config!$G$9,Config!$G$21)))</f>
        <v/>
      </c>
      <c r="AA464">
        <f>IF(OR(O464=0,O464=""),"",ABS((O464-IF($C464="LT",Config!$F$10,Config!$F$22))/IF($C464="LT",Config!$G$10,Config!$G$22)))</f>
        <v/>
      </c>
      <c r="AB464">
        <f>IF(OR(P464=0,P464=""),"",ABS((P464-IF($C464="LT",Config!$F$11,Config!$F$23))/IF($C464="LT",Config!$G$11,Config!$G$23)))</f>
        <v/>
      </c>
      <c r="AC464">
        <f>IF(OR(Q464=0,Q464=""),"",ABS((Q464-IF($C464="LT",Config!$F$12,Config!$F$24))/IF($C464="LT",Config!$G$12,Config!$G$24)))</f>
        <v/>
      </c>
      <c r="AD464">
        <f>IF(OR(R464=0,R464=""),"",ABS((R464-IF($C464="LT",Config!$F$13,Config!$F$25))/IF($C464="LT",Config!$G$13,Config!$G$25)))</f>
        <v/>
      </c>
    </row>
    <row r="465">
      <c r="A465" t="inlineStr">
        <is>
          <t>04C2526121083</t>
        </is>
      </c>
      <c r="B465" t="inlineStr">
        <is>
          <t>CRS0000675</t>
        </is>
      </c>
      <c r="C465" t="inlineStr">
        <is>
          <t>LT</t>
        </is>
      </c>
      <c r="D465" t="inlineStr">
        <is>
          <t>ALX440U-DS3B01</t>
        </is>
      </c>
      <c r="E465" s="2" t="n">
        <v>46106</v>
      </c>
      <c r="F465" t="inlineStr">
        <is>
          <t>Pass</t>
        </is>
      </c>
      <c r="G465" t="n">
        <v>160.6</v>
      </c>
      <c r="H465" t="n">
        <v>96.90000000000001</v>
      </c>
      <c r="I465" t="n">
        <v>-1957.8</v>
      </c>
      <c r="J465" t="n">
        <v>77.09999999999999</v>
      </c>
      <c r="K465" t="n">
        <v>0</v>
      </c>
      <c r="L465" t="n">
        <v>2.9</v>
      </c>
      <c r="M465" t="n">
        <v>0</v>
      </c>
      <c r="N465" t="n">
        <v>74.2</v>
      </c>
      <c r="O465" t="n">
        <v>114.87</v>
      </c>
      <c r="P465" t="n">
        <v>115.09</v>
      </c>
      <c r="Q465" t="n">
        <v>7.32</v>
      </c>
      <c r="R465" t="n">
        <v>7.1</v>
      </c>
      <c r="S465">
        <f>IF(OR(G465=0,G465=""),"",ABS((G465-IF($C465="LT",Config!$F$2,Config!$F$14))/IF($C465="LT",Config!$G$2,Config!$G$14)))</f>
        <v/>
      </c>
      <c r="T465">
        <f>IF(OR(H465=0,H465=""),"",ABS((H465-IF($C465="LT",Config!$F$3,Config!$F$15))/IF($C465="LT",Config!$G$3,Config!$G$15)))</f>
        <v/>
      </c>
      <c r="U465">
        <f>IF(OR(I465=0,I465=""),"",ABS((I465-IF($C465="LT",Config!$F$4,Config!$F$16))/IF($C465="LT",Config!$G$4,Config!$G$16)))</f>
        <v/>
      </c>
      <c r="V465">
        <f>IF(OR(J465=0,J465=""),"",ABS((J465-IF($C465="LT",Config!$F$5,Config!$F$17))/IF($C465="LT",Config!$G$5,Config!$G$17)))</f>
        <v/>
      </c>
      <c r="W465">
        <f>IF(OR(K465=0,K465=""),"",ABS((K465-IF($C465="LT",Config!$F$6,Config!$F$18))/IF($C465="LT",Config!$G$6,Config!$G$18)))</f>
        <v/>
      </c>
      <c r="X465">
        <f>IF(OR(L465=0,L465=""),"",ABS((L465-IF($C465="LT",Config!$F$7,Config!$F$19))/IF($C465="LT",Config!$G$7,Config!$G$19)))</f>
        <v/>
      </c>
      <c r="Y465">
        <f>IF(OR(M465=0,M465=""),"",ABS((M465-IF($C465="LT",Config!$F$8,Config!$F$20))/IF($C465="LT",Config!$G$8,Config!$G$20)))</f>
        <v/>
      </c>
      <c r="Z465">
        <f>IF(OR(N465=0,N465=""),"",ABS((N465-IF($C465="LT",Config!$F$9,Config!$F$21))/IF($C465="LT",Config!$G$9,Config!$G$21)))</f>
        <v/>
      </c>
      <c r="AA465">
        <f>IF(OR(O465=0,O465=""),"",ABS((O465-IF($C465="LT",Config!$F$10,Config!$F$22))/IF($C465="LT",Config!$G$10,Config!$G$22)))</f>
        <v/>
      </c>
      <c r="AB465">
        <f>IF(OR(P465=0,P465=""),"",ABS((P465-IF($C465="LT",Config!$F$11,Config!$F$23))/IF($C465="LT",Config!$G$11,Config!$G$23)))</f>
        <v/>
      </c>
      <c r="AC465">
        <f>IF(OR(Q465=0,Q465=""),"",ABS((Q465-IF($C465="LT",Config!$F$12,Config!$F$24))/IF($C465="LT",Config!$G$12,Config!$G$24)))</f>
        <v/>
      </c>
      <c r="AD465">
        <f>IF(OR(R465=0,R465=""),"",ABS((R465-IF($C465="LT",Config!$F$13,Config!$F$25))/IF($C465="LT",Config!$G$13,Config!$G$25)))</f>
        <v/>
      </c>
    </row>
    <row r="466">
      <c r="A466" t="inlineStr">
        <is>
          <t>04C2526121084</t>
        </is>
      </c>
      <c r="B466" t="inlineStr">
        <is>
          <t>CRS0000675</t>
        </is>
      </c>
      <c r="C466" t="inlineStr">
        <is>
          <t>LT</t>
        </is>
      </c>
      <c r="D466" t="inlineStr">
        <is>
          <t>ALX440U-DS3B01</t>
        </is>
      </c>
      <c r="E466" s="2" t="n">
        <v>46106</v>
      </c>
      <c r="F466" t="inlineStr">
        <is>
          <t>Pass</t>
        </is>
      </c>
      <c r="G466" t="n">
        <v>161.1</v>
      </c>
      <c r="H466" t="n">
        <v>97.8</v>
      </c>
      <c r="I466" t="n">
        <v>-1957.8</v>
      </c>
      <c r="J466" t="n">
        <v>73.09999999999999</v>
      </c>
      <c r="K466" t="n">
        <v>0</v>
      </c>
      <c r="L466" t="n">
        <v>4.1</v>
      </c>
      <c r="M466" t="n">
        <v>0</v>
      </c>
      <c r="N466" t="n">
        <v>69</v>
      </c>
      <c r="O466" t="n">
        <v>111.72</v>
      </c>
      <c r="P466" t="n">
        <v>113.26</v>
      </c>
      <c r="Q466" t="n">
        <v>8.199999999999999</v>
      </c>
      <c r="R466" t="n">
        <v>7.98</v>
      </c>
      <c r="S466">
        <f>IF(OR(G466=0,G466=""),"",ABS((G466-IF($C466="LT",Config!$F$2,Config!$F$14))/IF($C466="LT",Config!$G$2,Config!$G$14)))</f>
        <v/>
      </c>
      <c r="T466">
        <f>IF(OR(H466=0,H466=""),"",ABS((H466-IF($C466="LT",Config!$F$3,Config!$F$15))/IF($C466="LT",Config!$G$3,Config!$G$15)))</f>
        <v/>
      </c>
      <c r="U466">
        <f>IF(OR(I466=0,I466=""),"",ABS((I466-IF($C466="LT",Config!$F$4,Config!$F$16))/IF($C466="LT",Config!$G$4,Config!$G$16)))</f>
        <v/>
      </c>
      <c r="V466">
        <f>IF(OR(J466=0,J466=""),"",ABS((J466-IF($C466="LT",Config!$F$5,Config!$F$17))/IF($C466="LT",Config!$G$5,Config!$G$17)))</f>
        <v/>
      </c>
      <c r="W466">
        <f>IF(OR(K466=0,K466=""),"",ABS((K466-IF($C466="LT",Config!$F$6,Config!$F$18))/IF($C466="LT",Config!$G$6,Config!$G$18)))</f>
        <v/>
      </c>
      <c r="X466">
        <f>IF(OR(L466=0,L466=""),"",ABS((L466-IF($C466="LT",Config!$F$7,Config!$F$19))/IF($C466="LT",Config!$G$7,Config!$G$19)))</f>
        <v/>
      </c>
      <c r="Y466">
        <f>IF(OR(M466=0,M466=""),"",ABS((M466-IF($C466="LT",Config!$F$8,Config!$F$20))/IF($C466="LT",Config!$G$8,Config!$G$20)))</f>
        <v/>
      </c>
      <c r="Z466">
        <f>IF(OR(N466=0,N466=""),"",ABS((N466-IF($C466="LT",Config!$F$9,Config!$F$21))/IF($C466="LT",Config!$G$9,Config!$G$21)))</f>
        <v/>
      </c>
      <c r="AA466">
        <f>IF(OR(O466=0,O466=""),"",ABS((O466-IF($C466="LT",Config!$F$10,Config!$F$22))/IF($C466="LT",Config!$G$10,Config!$G$22)))</f>
        <v/>
      </c>
      <c r="AB466">
        <f>IF(OR(P466=0,P466=""),"",ABS((P466-IF($C466="LT",Config!$F$11,Config!$F$23))/IF($C466="LT",Config!$G$11,Config!$G$23)))</f>
        <v/>
      </c>
      <c r="AC466">
        <f>IF(OR(Q466=0,Q466=""),"",ABS((Q466-IF($C466="LT",Config!$F$12,Config!$F$24))/IF($C466="LT",Config!$G$12,Config!$G$24)))</f>
        <v/>
      </c>
      <c r="AD466">
        <f>IF(OR(R466=0,R466=""),"",ABS((R466-IF($C466="LT",Config!$F$13,Config!$F$25))/IF($C466="LT",Config!$G$13,Config!$G$25)))</f>
        <v/>
      </c>
    </row>
    <row r="467">
      <c r="A467" t="inlineStr">
        <is>
          <t>04C2526121085</t>
        </is>
      </c>
      <c r="B467" t="inlineStr">
        <is>
          <t>CRS0000675</t>
        </is>
      </c>
      <c r="C467" t="inlineStr">
        <is>
          <t>LT</t>
        </is>
      </c>
      <c r="D467" t="inlineStr">
        <is>
          <t>ALX440U-DS3B01</t>
        </is>
      </c>
      <c r="E467" s="2" t="n">
        <v>46106</v>
      </c>
      <c r="F467" t="inlineStr">
        <is>
          <t>Pass</t>
        </is>
      </c>
      <c r="G467" t="n">
        <v>154.8</v>
      </c>
      <c r="H467" t="n">
        <v>100.5</v>
      </c>
      <c r="I467" t="n">
        <v>-1957.8</v>
      </c>
      <c r="J467" t="n">
        <v>71.7</v>
      </c>
      <c r="K467" t="n">
        <v>0</v>
      </c>
      <c r="L467" t="n">
        <v>3.7</v>
      </c>
      <c r="M467" t="n">
        <v>0</v>
      </c>
      <c r="N467" t="n">
        <v>68</v>
      </c>
      <c r="O467" t="n">
        <v>111.5</v>
      </c>
      <c r="P467" t="n">
        <v>117.66</v>
      </c>
      <c r="Q467" t="n">
        <v>8.25</v>
      </c>
      <c r="R467" t="n">
        <v>7.71</v>
      </c>
      <c r="S467">
        <f>IF(OR(G467=0,G467=""),"",ABS((G467-IF($C467="LT",Config!$F$2,Config!$F$14))/IF($C467="LT",Config!$G$2,Config!$G$14)))</f>
        <v/>
      </c>
      <c r="T467">
        <f>IF(OR(H467=0,H467=""),"",ABS((H467-IF($C467="LT",Config!$F$3,Config!$F$15))/IF($C467="LT",Config!$G$3,Config!$G$15)))</f>
        <v/>
      </c>
      <c r="U467">
        <f>IF(OR(I467=0,I467=""),"",ABS((I467-IF($C467="LT",Config!$F$4,Config!$F$16))/IF($C467="LT",Config!$G$4,Config!$G$16)))</f>
        <v/>
      </c>
      <c r="V467">
        <f>IF(OR(J467=0,J467=""),"",ABS((J467-IF($C467="LT",Config!$F$5,Config!$F$17))/IF($C467="LT",Config!$G$5,Config!$G$17)))</f>
        <v/>
      </c>
      <c r="W467">
        <f>IF(OR(K467=0,K467=""),"",ABS((K467-IF($C467="LT",Config!$F$6,Config!$F$18))/IF($C467="LT",Config!$G$6,Config!$G$18)))</f>
        <v/>
      </c>
      <c r="X467">
        <f>IF(OR(L467=0,L467=""),"",ABS((L467-IF($C467="LT",Config!$F$7,Config!$F$19))/IF($C467="LT",Config!$G$7,Config!$G$19)))</f>
        <v/>
      </c>
      <c r="Y467">
        <f>IF(OR(M467=0,M467=""),"",ABS((M467-IF($C467="LT",Config!$F$8,Config!$F$20))/IF($C467="LT",Config!$G$8,Config!$G$20)))</f>
        <v/>
      </c>
      <c r="Z467">
        <f>IF(OR(N467=0,N467=""),"",ABS((N467-IF($C467="LT",Config!$F$9,Config!$F$21))/IF($C467="LT",Config!$G$9,Config!$G$21)))</f>
        <v/>
      </c>
      <c r="AA467">
        <f>IF(OR(O467=0,O467=""),"",ABS((O467-IF($C467="LT",Config!$F$10,Config!$F$22))/IF($C467="LT",Config!$G$10,Config!$G$22)))</f>
        <v/>
      </c>
      <c r="AB467">
        <f>IF(OR(P467=0,P467=""),"",ABS((P467-IF($C467="LT",Config!$F$11,Config!$F$23))/IF($C467="LT",Config!$G$11,Config!$G$23)))</f>
        <v/>
      </c>
      <c r="AC467">
        <f>IF(OR(Q467=0,Q467=""),"",ABS((Q467-IF($C467="LT",Config!$F$12,Config!$F$24))/IF($C467="LT",Config!$G$12,Config!$G$24)))</f>
        <v/>
      </c>
      <c r="AD467">
        <f>IF(OR(R467=0,R467=""),"",ABS((R467-IF($C467="LT",Config!$F$13,Config!$F$25))/IF($C467="LT",Config!$G$13,Config!$G$25)))</f>
        <v/>
      </c>
    </row>
    <row r="468">
      <c r="A468" t="inlineStr">
        <is>
          <t>04C2526121086</t>
        </is>
      </c>
      <c r="B468" t="inlineStr">
        <is>
          <t>CRS0000675</t>
        </is>
      </c>
      <c r="C468" t="inlineStr">
        <is>
          <t>LT</t>
        </is>
      </c>
      <c r="D468" t="inlineStr">
        <is>
          <t>ALX440U-DS3B01</t>
        </is>
      </c>
      <c r="E468" s="2" t="n">
        <v>46106</v>
      </c>
      <c r="F468" t="inlineStr">
        <is>
          <t>Pass</t>
        </is>
      </c>
      <c r="G468" t="n">
        <v>157.5</v>
      </c>
      <c r="H468" t="n">
        <v>100.5</v>
      </c>
      <c r="I468" t="n">
        <v>-1957.8</v>
      </c>
      <c r="J468" t="n">
        <v>71.7</v>
      </c>
      <c r="K468" t="n">
        <v>0</v>
      </c>
      <c r="L468" t="n">
        <v>2.1</v>
      </c>
      <c r="M468" t="n">
        <v>0</v>
      </c>
      <c r="N468" t="n">
        <v>69.59999999999999</v>
      </c>
      <c r="O468" t="n">
        <v>111.86</v>
      </c>
      <c r="P468" t="n">
        <v>113.48</v>
      </c>
      <c r="Q468" t="n">
        <v>8.01</v>
      </c>
      <c r="R468" t="n">
        <v>7.79</v>
      </c>
      <c r="S468">
        <f>IF(OR(G468=0,G468=""),"",ABS((G468-IF($C468="LT",Config!$F$2,Config!$F$14))/IF($C468="LT",Config!$G$2,Config!$G$14)))</f>
        <v/>
      </c>
      <c r="T468">
        <f>IF(OR(H468=0,H468=""),"",ABS((H468-IF($C468="LT",Config!$F$3,Config!$F$15))/IF($C468="LT",Config!$G$3,Config!$G$15)))</f>
        <v/>
      </c>
      <c r="U468">
        <f>IF(OR(I468=0,I468=""),"",ABS((I468-IF($C468="LT",Config!$F$4,Config!$F$16))/IF($C468="LT",Config!$G$4,Config!$G$16)))</f>
        <v/>
      </c>
      <c r="V468">
        <f>IF(OR(J468=0,J468=""),"",ABS((J468-IF($C468="LT",Config!$F$5,Config!$F$17))/IF($C468="LT",Config!$G$5,Config!$G$17)))</f>
        <v/>
      </c>
      <c r="W468">
        <f>IF(OR(K468=0,K468=""),"",ABS((K468-IF($C468="LT",Config!$F$6,Config!$F$18))/IF($C468="LT",Config!$G$6,Config!$G$18)))</f>
        <v/>
      </c>
      <c r="X468">
        <f>IF(OR(L468=0,L468=""),"",ABS((L468-IF($C468="LT",Config!$F$7,Config!$F$19))/IF($C468="LT",Config!$G$7,Config!$G$19)))</f>
        <v/>
      </c>
      <c r="Y468">
        <f>IF(OR(M468=0,M468=""),"",ABS((M468-IF($C468="LT",Config!$F$8,Config!$F$20))/IF($C468="LT",Config!$G$8,Config!$G$20)))</f>
        <v/>
      </c>
      <c r="Z468">
        <f>IF(OR(N468=0,N468=""),"",ABS((N468-IF($C468="LT",Config!$F$9,Config!$F$21))/IF($C468="LT",Config!$G$9,Config!$G$21)))</f>
        <v/>
      </c>
      <c r="AA468">
        <f>IF(OR(O468=0,O468=""),"",ABS((O468-IF($C468="LT",Config!$F$10,Config!$F$22))/IF($C468="LT",Config!$G$10,Config!$G$22)))</f>
        <v/>
      </c>
      <c r="AB468">
        <f>IF(OR(P468=0,P468=""),"",ABS((P468-IF($C468="LT",Config!$F$11,Config!$F$23))/IF($C468="LT",Config!$G$11,Config!$G$23)))</f>
        <v/>
      </c>
      <c r="AC468">
        <f>IF(OR(Q468=0,Q468=""),"",ABS((Q468-IF($C468="LT",Config!$F$12,Config!$F$24))/IF($C468="LT",Config!$G$12,Config!$G$24)))</f>
        <v/>
      </c>
      <c r="AD468">
        <f>IF(OR(R468=0,R468=""),"",ABS((R468-IF($C468="LT",Config!$F$13,Config!$F$25))/IF($C468="LT",Config!$G$13,Config!$G$25)))</f>
        <v/>
      </c>
    </row>
    <row r="469">
      <c r="A469" t="inlineStr">
        <is>
          <t>04C2526121087</t>
        </is>
      </c>
      <c r="B469" t="inlineStr">
        <is>
          <t>CRS0000675</t>
        </is>
      </c>
      <c r="C469" t="inlineStr">
        <is>
          <t>LT</t>
        </is>
      </c>
      <c r="D469" t="inlineStr">
        <is>
          <t>ALX440U-DS3B01</t>
        </is>
      </c>
      <c r="E469" s="2" t="n">
        <v>46107</v>
      </c>
      <c r="F469" t="inlineStr">
        <is>
          <t>Pass</t>
        </is>
      </c>
      <c r="G469" t="n">
        <v>151.7</v>
      </c>
      <c r="H469" t="n">
        <v>93.3</v>
      </c>
      <c r="I469" t="n">
        <v>-1957.8</v>
      </c>
      <c r="J469" t="n">
        <v>67.7</v>
      </c>
      <c r="K469" t="n">
        <v>0</v>
      </c>
      <c r="L469" t="n">
        <v>1</v>
      </c>
      <c r="M469" t="n">
        <v>0</v>
      </c>
      <c r="N469" t="n">
        <v>68.7</v>
      </c>
      <c r="O469" t="n">
        <v>114.94</v>
      </c>
      <c r="P469" t="n">
        <v>115.09</v>
      </c>
      <c r="Q469" t="n">
        <v>7.1</v>
      </c>
      <c r="R469" t="n">
        <v>7.28</v>
      </c>
      <c r="S469">
        <f>IF(OR(G469=0,G469=""),"",ABS((G469-IF($C469="LT",Config!$F$2,Config!$F$14))/IF($C469="LT",Config!$G$2,Config!$G$14)))</f>
        <v/>
      </c>
      <c r="T469">
        <f>IF(OR(H469=0,H469=""),"",ABS((H469-IF($C469="LT",Config!$F$3,Config!$F$15))/IF($C469="LT",Config!$G$3,Config!$G$15)))</f>
        <v/>
      </c>
      <c r="U469">
        <f>IF(OR(I469=0,I469=""),"",ABS((I469-IF($C469="LT",Config!$F$4,Config!$F$16))/IF($C469="LT",Config!$G$4,Config!$G$16)))</f>
        <v/>
      </c>
      <c r="V469">
        <f>IF(OR(J469=0,J469=""),"",ABS((J469-IF($C469="LT",Config!$F$5,Config!$F$17))/IF($C469="LT",Config!$G$5,Config!$G$17)))</f>
        <v/>
      </c>
      <c r="W469">
        <f>IF(OR(K469=0,K469=""),"",ABS((K469-IF($C469="LT",Config!$F$6,Config!$F$18))/IF($C469="LT",Config!$G$6,Config!$G$18)))</f>
        <v/>
      </c>
      <c r="X469">
        <f>IF(OR(L469=0,L469=""),"",ABS((L469-IF($C469="LT",Config!$F$7,Config!$F$19))/IF($C469="LT",Config!$G$7,Config!$G$19)))</f>
        <v/>
      </c>
      <c r="Y469">
        <f>IF(OR(M469=0,M469=""),"",ABS((M469-IF($C469="LT",Config!$F$8,Config!$F$20))/IF($C469="LT",Config!$G$8,Config!$G$20)))</f>
        <v/>
      </c>
      <c r="Z469">
        <f>IF(OR(N469=0,N469=""),"",ABS((N469-IF($C469="LT",Config!$F$9,Config!$F$21))/IF($C469="LT",Config!$G$9,Config!$G$21)))</f>
        <v/>
      </c>
      <c r="AA469">
        <f>IF(OR(O469=0,O469=""),"",ABS((O469-IF($C469="LT",Config!$F$10,Config!$F$22))/IF($C469="LT",Config!$G$10,Config!$G$22)))</f>
        <v/>
      </c>
      <c r="AB469">
        <f>IF(OR(P469=0,P469=""),"",ABS((P469-IF($C469="LT",Config!$F$11,Config!$F$23))/IF($C469="LT",Config!$G$11,Config!$G$23)))</f>
        <v/>
      </c>
      <c r="AC469">
        <f>IF(OR(Q469=0,Q469=""),"",ABS((Q469-IF($C469="LT",Config!$F$12,Config!$F$24))/IF($C469="LT",Config!$G$12,Config!$G$24)))</f>
        <v/>
      </c>
      <c r="AD469">
        <f>IF(OR(R469=0,R469=""),"",ABS((R469-IF($C469="LT",Config!$F$13,Config!$F$25))/IF($C469="LT",Config!$G$13,Config!$G$25)))</f>
        <v/>
      </c>
    </row>
    <row r="470">
      <c r="A470" t="inlineStr">
        <is>
          <t>04C2526121088</t>
        </is>
      </c>
      <c r="B470" t="inlineStr">
        <is>
          <t>CRS0000675</t>
        </is>
      </c>
      <c r="C470" t="inlineStr">
        <is>
          <t>LT</t>
        </is>
      </c>
      <c r="D470" t="inlineStr">
        <is>
          <t>ALX440U-DS3B01</t>
        </is>
      </c>
      <c r="E470" s="2" t="n">
        <v>46107</v>
      </c>
      <c r="F470" t="inlineStr">
        <is>
          <t>Pass</t>
        </is>
      </c>
      <c r="G470" t="n">
        <v>145.9</v>
      </c>
      <c r="H470" t="n">
        <v>94.59999999999999</v>
      </c>
      <c r="I470" t="n">
        <v>-1957.8</v>
      </c>
      <c r="J470" t="n">
        <v>69.09999999999999</v>
      </c>
      <c r="K470" t="n">
        <v>0</v>
      </c>
      <c r="L470" t="n">
        <v>1</v>
      </c>
      <c r="M470" t="n">
        <v>0</v>
      </c>
      <c r="N470" t="n">
        <v>68.09999999999999</v>
      </c>
      <c r="O470" t="n">
        <v>115.02</v>
      </c>
      <c r="P470" t="n">
        <v>114.8</v>
      </c>
      <c r="Q470" t="n">
        <v>7.1</v>
      </c>
      <c r="R470" t="n">
        <v>7.54</v>
      </c>
      <c r="S470">
        <f>IF(OR(G470=0,G470=""),"",ABS((G470-IF($C470="LT",Config!$F$2,Config!$F$14))/IF($C470="LT",Config!$G$2,Config!$G$14)))</f>
        <v/>
      </c>
      <c r="T470">
        <f>IF(OR(H470=0,H470=""),"",ABS((H470-IF($C470="LT",Config!$F$3,Config!$F$15))/IF($C470="LT",Config!$G$3,Config!$G$15)))</f>
        <v/>
      </c>
      <c r="U470">
        <f>IF(OR(I470=0,I470=""),"",ABS((I470-IF($C470="LT",Config!$F$4,Config!$F$16))/IF($C470="LT",Config!$G$4,Config!$G$16)))</f>
        <v/>
      </c>
      <c r="V470">
        <f>IF(OR(J470=0,J470=""),"",ABS((J470-IF($C470="LT",Config!$F$5,Config!$F$17))/IF($C470="LT",Config!$G$5,Config!$G$17)))</f>
        <v/>
      </c>
      <c r="W470">
        <f>IF(OR(K470=0,K470=""),"",ABS((K470-IF($C470="LT",Config!$F$6,Config!$F$18))/IF($C470="LT",Config!$G$6,Config!$G$18)))</f>
        <v/>
      </c>
      <c r="X470">
        <f>IF(OR(L470=0,L470=""),"",ABS((L470-IF($C470="LT",Config!$F$7,Config!$F$19))/IF($C470="LT",Config!$G$7,Config!$G$19)))</f>
        <v/>
      </c>
      <c r="Y470">
        <f>IF(OR(M470=0,M470=""),"",ABS((M470-IF($C470="LT",Config!$F$8,Config!$F$20))/IF($C470="LT",Config!$G$8,Config!$G$20)))</f>
        <v/>
      </c>
      <c r="Z470">
        <f>IF(OR(N470=0,N470=""),"",ABS((N470-IF($C470="LT",Config!$F$9,Config!$F$21))/IF($C470="LT",Config!$G$9,Config!$G$21)))</f>
        <v/>
      </c>
      <c r="AA470">
        <f>IF(OR(O470=0,O470=""),"",ABS((O470-IF($C470="LT",Config!$F$10,Config!$F$22))/IF($C470="LT",Config!$G$10,Config!$G$22)))</f>
        <v/>
      </c>
      <c r="AB470">
        <f>IF(OR(P470=0,P470=""),"",ABS((P470-IF($C470="LT",Config!$F$11,Config!$F$23))/IF($C470="LT",Config!$G$11,Config!$G$23)))</f>
        <v/>
      </c>
      <c r="AC470">
        <f>IF(OR(Q470=0,Q470=""),"",ABS((Q470-IF($C470="LT",Config!$F$12,Config!$F$24))/IF($C470="LT",Config!$G$12,Config!$G$24)))</f>
        <v/>
      </c>
      <c r="AD470">
        <f>IF(OR(R470=0,R470=""),"",ABS((R470-IF($C470="LT",Config!$F$13,Config!$F$25))/IF($C470="LT",Config!$G$13,Config!$G$25)))</f>
        <v/>
      </c>
    </row>
    <row r="471">
      <c r="A471" t="inlineStr">
        <is>
          <t>04C2526121091</t>
        </is>
      </c>
      <c r="B471" t="inlineStr">
        <is>
          <t>CRS0000675</t>
        </is>
      </c>
      <c r="C471" t="inlineStr">
        <is>
          <t>LT</t>
        </is>
      </c>
      <c r="D471" t="inlineStr">
        <is>
          <t>ALX440U-DS3B01</t>
        </is>
      </c>
      <c r="E471" s="2" t="n">
        <v>46107</v>
      </c>
      <c r="F471" t="inlineStr">
        <is>
          <t>Pass</t>
        </is>
      </c>
      <c r="G471" t="n">
        <v>148.6</v>
      </c>
      <c r="H471" t="n">
        <v>95.09999999999999</v>
      </c>
      <c r="I471" t="n">
        <v>-1957.8</v>
      </c>
      <c r="J471" t="n">
        <v>69.5</v>
      </c>
      <c r="K471" t="n">
        <v>0</v>
      </c>
      <c r="L471" t="n">
        <v>1.9</v>
      </c>
      <c r="M471" t="n">
        <v>0</v>
      </c>
      <c r="N471" t="n">
        <v>67.59999999999999</v>
      </c>
      <c r="O471" t="n">
        <v>111.86</v>
      </c>
      <c r="P471" t="n">
        <v>113.48</v>
      </c>
      <c r="Q471" t="n">
        <v>8.23</v>
      </c>
      <c r="R471" t="n">
        <v>7.98</v>
      </c>
      <c r="S471">
        <f>IF(OR(G471=0,G471=""),"",ABS((G471-IF($C471="LT",Config!$F$2,Config!$F$14))/IF($C471="LT",Config!$G$2,Config!$G$14)))</f>
        <v/>
      </c>
      <c r="T471">
        <f>IF(OR(H471=0,H471=""),"",ABS((H471-IF($C471="LT",Config!$F$3,Config!$F$15))/IF($C471="LT",Config!$G$3,Config!$G$15)))</f>
        <v/>
      </c>
      <c r="U471">
        <f>IF(OR(I471=0,I471=""),"",ABS((I471-IF($C471="LT",Config!$F$4,Config!$F$16))/IF($C471="LT",Config!$G$4,Config!$G$16)))</f>
        <v/>
      </c>
      <c r="V471">
        <f>IF(OR(J471=0,J471=""),"",ABS((J471-IF($C471="LT",Config!$F$5,Config!$F$17))/IF($C471="LT",Config!$G$5,Config!$G$17)))</f>
        <v/>
      </c>
      <c r="W471">
        <f>IF(OR(K471=0,K471=""),"",ABS((K471-IF($C471="LT",Config!$F$6,Config!$F$18))/IF($C471="LT",Config!$G$6,Config!$G$18)))</f>
        <v/>
      </c>
      <c r="X471">
        <f>IF(OR(L471=0,L471=""),"",ABS((L471-IF($C471="LT",Config!$F$7,Config!$F$19))/IF($C471="LT",Config!$G$7,Config!$G$19)))</f>
        <v/>
      </c>
      <c r="Y471">
        <f>IF(OR(M471=0,M471=""),"",ABS((M471-IF($C471="LT",Config!$F$8,Config!$F$20))/IF($C471="LT",Config!$G$8,Config!$G$20)))</f>
        <v/>
      </c>
      <c r="Z471">
        <f>IF(OR(N471=0,N471=""),"",ABS((N471-IF($C471="LT",Config!$F$9,Config!$F$21))/IF($C471="LT",Config!$G$9,Config!$G$21)))</f>
        <v/>
      </c>
      <c r="AA471">
        <f>IF(OR(O471=0,O471=""),"",ABS((O471-IF($C471="LT",Config!$F$10,Config!$F$22))/IF($C471="LT",Config!$G$10,Config!$G$22)))</f>
        <v/>
      </c>
      <c r="AB471">
        <f>IF(OR(P471=0,P471=""),"",ABS((P471-IF($C471="LT",Config!$F$11,Config!$F$23))/IF($C471="LT",Config!$G$11,Config!$G$23)))</f>
        <v/>
      </c>
      <c r="AC471">
        <f>IF(OR(Q471=0,Q471=""),"",ABS((Q471-IF($C471="LT",Config!$F$12,Config!$F$24))/IF($C471="LT",Config!$G$12,Config!$G$24)))</f>
        <v/>
      </c>
      <c r="AD471">
        <f>IF(OR(R471=0,R471=""),"",ABS((R471-IF($C471="LT",Config!$F$13,Config!$F$25))/IF($C471="LT",Config!$G$13,Config!$G$25)))</f>
        <v/>
      </c>
    </row>
    <row r="472">
      <c r="A472" t="inlineStr">
        <is>
          <t>04C2526121092</t>
        </is>
      </c>
      <c r="B472" t="inlineStr">
        <is>
          <t>CRS0000675</t>
        </is>
      </c>
      <c r="C472" t="inlineStr">
        <is>
          <t>LT</t>
        </is>
      </c>
      <c r="D472" t="inlineStr">
        <is>
          <t>ALX440U-DS3B01</t>
        </is>
      </c>
      <c r="E472" s="2" t="n">
        <v>46107</v>
      </c>
      <c r="F472" t="inlineStr">
        <is>
          <t>Pass</t>
        </is>
      </c>
      <c r="G472" t="n">
        <v>148.6</v>
      </c>
      <c r="H472" t="n">
        <v>92.40000000000001</v>
      </c>
      <c r="I472" t="n">
        <v>-1957.8</v>
      </c>
      <c r="J472" t="n">
        <v>68.59999999999999</v>
      </c>
      <c r="K472" t="n">
        <v>0</v>
      </c>
      <c r="L472" t="n">
        <v>2.6</v>
      </c>
      <c r="M472" t="n">
        <v>0</v>
      </c>
      <c r="N472" t="n">
        <v>66</v>
      </c>
      <c r="O472" t="n">
        <v>111.79</v>
      </c>
      <c r="P472" t="n">
        <v>113.4</v>
      </c>
      <c r="Q472" t="n">
        <v>8.15</v>
      </c>
      <c r="R472" t="n">
        <v>7.86</v>
      </c>
      <c r="S472">
        <f>IF(OR(G472=0,G472=""),"",ABS((G472-IF($C472="LT",Config!$F$2,Config!$F$14))/IF($C472="LT",Config!$G$2,Config!$G$14)))</f>
        <v/>
      </c>
      <c r="T472">
        <f>IF(OR(H472=0,H472=""),"",ABS((H472-IF($C472="LT",Config!$F$3,Config!$F$15))/IF($C472="LT",Config!$G$3,Config!$G$15)))</f>
        <v/>
      </c>
      <c r="U472">
        <f>IF(OR(I472=0,I472=""),"",ABS((I472-IF($C472="LT",Config!$F$4,Config!$F$16))/IF($C472="LT",Config!$G$4,Config!$G$16)))</f>
        <v/>
      </c>
      <c r="V472">
        <f>IF(OR(J472=0,J472=""),"",ABS((J472-IF($C472="LT",Config!$F$5,Config!$F$17))/IF($C472="LT",Config!$G$5,Config!$G$17)))</f>
        <v/>
      </c>
      <c r="W472">
        <f>IF(OR(K472=0,K472=""),"",ABS((K472-IF($C472="LT",Config!$F$6,Config!$F$18))/IF($C472="LT",Config!$G$6,Config!$G$18)))</f>
        <v/>
      </c>
      <c r="X472">
        <f>IF(OR(L472=0,L472=""),"",ABS((L472-IF($C472="LT",Config!$F$7,Config!$F$19))/IF($C472="LT",Config!$G$7,Config!$G$19)))</f>
        <v/>
      </c>
      <c r="Y472">
        <f>IF(OR(M472=0,M472=""),"",ABS((M472-IF($C472="LT",Config!$F$8,Config!$F$20))/IF($C472="LT",Config!$G$8,Config!$G$20)))</f>
        <v/>
      </c>
      <c r="Z472">
        <f>IF(OR(N472=0,N472=""),"",ABS((N472-IF($C472="LT",Config!$F$9,Config!$F$21))/IF($C472="LT",Config!$G$9,Config!$G$21)))</f>
        <v/>
      </c>
      <c r="AA472">
        <f>IF(OR(O472=0,O472=""),"",ABS((O472-IF($C472="LT",Config!$F$10,Config!$F$22))/IF($C472="LT",Config!$G$10,Config!$G$22)))</f>
        <v/>
      </c>
      <c r="AB472">
        <f>IF(OR(P472=0,P472=""),"",ABS((P472-IF($C472="LT",Config!$F$11,Config!$F$23))/IF($C472="LT",Config!$G$11,Config!$G$23)))</f>
        <v/>
      </c>
      <c r="AC472">
        <f>IF(OR(Q472=0,Q472=""),"",ABS((Q472-IF($C472="LT",Config!$F$12,Config!$F$24))/IF($C472="LT",Config!$G$12,Config!$G$24)))</f>
        <v/>
      </c>
      <c r="AD472">
        <f>IF(OR(R472=0,R472=""),"",ABS((R472-IF($C472="LT",Config!$F$13,Config!$F$25))/IF($C472="LT",Config!$G$13,Config!$G$25)))</f>
        <v/>
      </c>
    </row>
    <row r="473">
      <c r="A473" t="inlineStr">
        <is>
          <t>04C2526121093</t>
        </is>
      </c>
      <c r="B473" t="inlineStr">
        <is>
          <t>CRS0000675</t>
        </is>
      </c>
      <c r="C473" t="inlineStr">
        <is>
          <t>LT</t>
        </is>
      </c>
      <c r="D473" t="inlineStr">
        <is>
          <t>ALX440U-DS3B01</t>
        </is>
      </c>
      <c r="E473" s="2" t="n">
        <v>46107</v>
      </c>
      <c r="F473" t="inlineStr">
        <is>
          <t>Pass</t>
        </is>
      </c>
      <c r="G473" t="n">
        <v>153.5</v>
      </c>
      <c r="H473" t="n">
        <v>90.09999999999999</v>
      </c>
      <c r="I473" t="n">
        <v>-1957.8</v>
      </c>
      <c r="J473" t="n">
        <v>69.09999999999999</v>
      </c>
      <c r="K473" t="n">
        <v>0</v>
      </c>
      <c r="L473" t="n">
        <v>2.2</v>
      </c>
      <c r="M473" t="n">
        <v>0</v>
      </c>
      <c r="N473" t="n">
        <v>66.90000000000001</v>
      </c>
      <c r="O473" t="n">
        <v>111.86</v>
      </c>
      <c r="P473" t="n">
        <v>113.4</v>
      </c>
      <c r="Q473" t="n">
        <v>7.79</v>
      </c>
      <c r="R473" t="n">
        <v>7.52</v>
      </c>
      <c r="S473">
        <f>IF(OR(G473=0,G473=""),"",ABS((G473-IF($C473="LT",Config!$F$2,Config!$F$14))/IF($C473="LT",Config!$G$2,Config!$G$14)))</f>
        <v/>
      </c>
      <c r="T473">
        <f>IF(OR(H473=0,H473=""),"",ABS((H473-IF($C473="LT",Config!$F$3,Config!$F$15))/IF($C473="LT",Config!$G$3,Config!$G$15)))</f>
        <v/>
      </c>
      <c r="U473">
        <f>IF(OR(I473=0,I473=""),"",ABS((I473-IF($C473="LT",Config!$F$4,Config!$F$16))/IF($C473="LT",Config!$G$4,Config!$G$16)))</f>
        <v/>
      </c>
      <c r="V473">
        <f>IF(OR(J473=0,J473=""),"",ABS((J473-IF($C473="LT",Config!$F$5,Config!$F$17))/IF($C473="LT",Config!$G$5,Config!$G$17)))</f>
        <v/>
      </c>
      <c r="W473">
        <f>IF(OR(K473=0,K473=""),"",ABS((K473-IF($C473="LT",Config!$F$6,Config!$F$18))/IF($C473="LT",Config!$G$6,Config!$G$18)))</f>
        <v/>
      </c>
      <c r="X473">
        <f>IF(OR(L473=0,L473=""),"",ABS((L473-IF($C473="LT",Config!$F$7,Config!$F$19))/IF($C473="LT",Config!$G$7,Config!$G$19)))</f>
        <v/>
      </c>
      <c r="Y473">
        <f>IF(OR(M473=0,M473=""),"",ABS((M473-IF($C473="LT",Config!$F$8,Config!$F$20))/IF($C473="LT",Config!$G$8,Config!$G$20)))</f>
        <v/>
      </c>
      <c r="Z473">
        <f>IF(OR(N473=0,N473=""),"",ABS((N473-IF($C473="LT",Config!$F$9,Config!$F$21))/IF($C473="LT",Config!$G$9,Config!$G$21)))</f>
        <v/>
      </c>
      <c r="AA473">
        <f>IF(OR(O473=0,O473=""),"",ABS((O473-IF($C473="LT",Config!$F$10,Config!$F$22))/IF($C473="LT",Config!$G$10,Config!$G$22)))</f>
        <v/>
      </c>
      <c r="AB473">
        <f>IF(OR(P473=0,P473=""),"",ABS((P473-IF($C473="LT",Config!$F$11,Config!$F$23))/IF($C473="LT",Config!$G$11,Config!$G$23)))</f>
        <v/>
      </c>
      <c r="AC473">
        <f>IF(OR(Q473=0,Q473=""),"",ABS((Q473-IF($C473="LT",Config!$F$12,Config!$F$24))/IF($C473="LT",Config!$G$12,Config!$G$24)))</f>
        <v/>
      </c>
      <c r="AD473">
        <f>IF(OR(R473=0,R473=""),"",ABS((R473-IF($C473="LT",Config!$F$13,Config!$F$25))/IF($C473="LT",Config!$G$13,Config!$G$25)))</f>
        <v/>
      </c>
    </row>
    <row r="474">
      <c r="A474" t="inlineStr">
        <is>
          <t>04C2526121094</t>
        </is>
      </c>
      <c r="B474" t="inlineStr">
        <is>
          <t>CRS0000675</t>
        </is>
      </c>
      <c r="C474" t="inlineStr">
        <is>
          <t>LT</t>
        </is>
      </c>
      <c r="D474" t="inlineStr">
        <is>
          <t>ALX440U-DS3B01</t>
        </is>
      </c>
      <c r="E474" s="2" t="n">
        <v>46107</v>
      </c>
      <c r="F474" t="inlineStr">
        <is>
          <t>Pass</t>
        </is>
      </c>
      <c r="G474" t="n">
        <v>149.5</v>
      </c>
      <c r="H474" t="n">
        <v>91.5</v>
      </c>
      <c r="I474" t="n">
        <v>-1957.8</v>
      </c>
      <c r="J474" t="n">
        <v>69.09999999999999</v>
      </c>
      <c r="K474" t="n">
        <v>0</v>
      </c>
      <c r="L474" t="n">
        <v>1.4</v>
      </c>
      <c r="M474" t="n">
        <v>0</v>
      </c>
      <c r="N474" t="n">
        <v>67.7</v>
      </c>
      <c r="O474" t="n">
        <v>111.42</v>
      </c>
      <c r="P474" t="n">
        <v>112.82</v>
      </c>
      <c r="Q474" t="n">
        <v>7.62</v>
      </c>
      <c r="R474" t="n">
        <v>7.59</v>
      </c>
      <c r="S474">
        <f>IF(OR(G474=0,G474=""),"",ABS((G474-IF($C474="LT",Config!$F$2,Config!$F$14))/IF($C474="LT",Config!$G$2,Config!$G$14)))</f>
        <v/>
      </c>
      <c r="T474">
        <f>IF(OR(H474=0,H474=""),"",ABS((H474-IF($C474="LT",Config!$F$3,Config!$F$15))/IF($C474="LT",Config!$G$3,Config!$G$15)))</f>
        <v/>
      </c>
      <c r="U474">
        <f>IF(OR(I474=0,I474=""),"",ABS((I474-IF($C474="LT",Config!$F$4,Config!$F$16))/IF($C474="LT",Config!$G$4,Config!$G$16)))</f>
        <v/>
      </c>
      <c r="V474">
        <f>IF(OR(J474=0,J474=""),"",ABS((J474-IF($C474="LT",Config!$F$5,Config!$F$17))/IF($C474="LT",Config!$G$5,Config!$G$17)))</f>
        <v/>
      </c>
      <c r="W474">
        <f>IF(OR(K474=0,K474=""),"",ABS((K474-IF($C474="LT",Config!$F$6,Config!$F$18))/IF($C474="LT",Config!$G$6,Config!$G$18)))</f>
        <v/>
      </c>
      <c r="X474">
        <f>IF(OR(L474=0,L474=""),"",ABS((L474-IF($C474="LT",Config!$F$7,Config!$F$19))/IF($C474="LT",Config!$G$7,Config!$G$19)))</f>
        <v/>
      </c>
      <c r="Y474">
        <f>IF(OR(M474=0,M474=""),"",ABS((M474-IF($C474="LT",Config!$F$8,Config!$F$20))/IF($C474="LT",Config!$G$8,Config!$G$20)))</f>
        <v/>
      </c>
      <c r="Z474">
        <f>IF(OR(N474=0,N474=""),"",ABS((N474-IF($C474="LT",Config!$F$9,Config!$F$21))/IF($C474="LT",Config!$G$9,Config!$G$21)))</f>
        <v/>
      </c>
      <c r="AA474">
        <f>IF(OR(O474=0,O474=""),"",ABS((O474-IF($C474="LT",Config!$F$10,Config!$F$22))/IF($C474="LT",Config!$G$10,Config!$G$22)))</f>
        <v/>
      </c>
      <c r="AB474">
        <f>IF(OR(P474=0,P474=""),"",ABS((P474-IF($C474="LT",Config!$F$11,Config!$F$23))/IF($C474="LT",Config!$G$11,Config!$G$23)))</f>
        <v/>
      </c>
      <c r="AC474">
        <f>IF(OR(Q474=0,Q474=""),"",ABS((Q474-IF($C474="LT",Config!$F$12,Config!$F$24))/IF($C474="LT",Config!$G$12,Config!$G$24)))</f>
        <v/>
      </c>
      <c r="AD474">
        <f>IF(OR(R474=0,R474=""),"",ABS((R474-IF($C474="LT",Config!$F$13,Config!$F$25))/IF($C474="LT",Config!$G$13,Config!$G$25)))</f>
        <v/>
      </c>
    </row>
    <row r="475">
      <c r="A475" t="inlineStr">
        <is>
          <t>04C2526121095</t>
        </is>
      </c>
      <c r="B475" t="inlineStr">
        <is>
          <t>CRS0000675</t>
        </is>
      </c>
      <c r="C475" t="inlineStr">
        <is>
          <t>LT</t>
        </is>
      </c>
      <c r="D475" t="inlineStr">
        <is>
          <t>ALX440U-DS3B01</t>
        </is>
      </c>
      <c r="E475" s="2" t="n">
        <v>46107</v>
      </c>
      <c r="F475" t="inlineStr">
        <is>
          <t>Pass</t>
        </is>
      </c>
      <c r="G475" t="n">
        <v>150.8</v>
      </c>
      <c r="H475" t="n">
        <v>93.3</v>
      </c>
      <c r="I475" t="n">
        <v>-1957.8</v>
      </c>
      <c r="J475" t="n">
        <v>69.09999999999999</v>
      </c>
      <c r="K475" t="n">
        <v>0</v>
      </c>
      <c r="L475" t="n">
        <v>2.6</v>
      </c>
      <c r="M475" t="n">
        <v>0</v>
      </c>
      <c r="N475" t="n">
        <v>66.5</v>
      </c>
      <c r="O475" t="n">
        <v>114.8</v>
      </c>
      <c r="P475" t="n">
        <v>114.8</v>
      </c>
      <c r="Q475" t="n">
        <v>7.69</v>
      </c>
      <c r="R475" t="n">
        <v>7.71</v>
      </c>
      <c r="S475">
        <f>IF(OR(G475=0,G475=""),"",ABS((G475-IF($C475="LT",Config!$F$2,Config!$F$14))/IF($C475="LT",Config!$G$2,Config!$G$14)))</f>
        <v/>
      </c>
      <c r="T475">
        <f>IF(OR(H475=0,H475=""),"",ABS((H475-IF($C475="LT",Config!$F$3,Config!$F$15))/IF($C475="LT",Config!$G$3,Config!$G$15)))</f>
        <v/>
      </c>
      <c r="U475">
        <f>IF(OR(I475=0,I475=""),"",ABS((I475-IF($C475="LT",Config!$F$4,Config!$F$16))/IF($C475="LT",Config!$G$4,Config!$G$16)))</f>
        <v/>
      </c>
      <c r="V475">
        <f>IF(OR(J475=0,J475=""),"",ABS((J475-IF($C475="LT",Config!$F$5,Config!$F$17))/IF($C475="LT",Config!$G$5,Config!$G$17)))</f>
        <v/>
      </c>
      <c r="W475">
        <f>IF(OR(K475=0,K475=""),"",ABS((K475-IF($C475="LT",Config!$F$6,Config!$F$18))/IF($C475="LT",Config!$G$6,Config!$G$18)))</f>
        <v/>
      </c>
      <c r="X475">
        <f>IF(OR(L475=0,L475=""),"",ABS((L475-IF($C475="LT",Config!$F$7,Config!$F$19))/IF($C475="LT",Config!$G$7,Config!$G$19)))</f>
        <v/>
      </c>
      <c r="Y475">
        <f>IF(OR(M475=0,M475=""),"",ABS((M475-IF($C475="LT",Config!$F$8,Config!$F$20))/IF($C475="LT",Config!$G$8,Config!$G$20)))</f>
        <v/>
      </c>
      <c r="Z475">
        <f>IF(OR(N475=0,N475=""),"",ABS((N475-IF($C475="LT",Config!$F$9,Config!$F$21))/IF($C475="LT",Config!$G$9,Config!$G$21)))</f>
        <v/>
      </c>
      <c r="AA475">
        <f>IF(OR(O475=0,O475=""),"",ABS((O475-IF($C475="LT",Config!$F$10,Config!$F$22))/IF($C475="LT",Config!$G$10,Config!$G$22)))</f>
        <v/>
      </c>
      <c r="AB475">
        <f>IF(OR(P475=0,P475=""),"",ABS((P475-IF($C475="LT",Config!$F$11,Config!$F$23))/IF($C475="LT",Config!$G$11,Config!$G$23)))</f>
        <v/>
      </c>
      <c r="AC475">
        <f>IF(OR(Q475=0,Q475=""),"",ABS((Q475-IF($C475="LT",Config!$F$12,Config!$F$24))/IF($C475="LT",Config!$G$12,Config!$G$24)))</f>
        <v/>
      </c>
      <c r="AD475">
        <f>IF(OR(R475=0,R475=""),"",ABS((R475-IF($C475="LT",Config!$F$13,Config!$F$25))/IF($C475="LT",Config!$G$13,Config!$G$25)))</f>
        <v/>
      </c>
    </row>
    <row r="476">
      <c r="A476" t="inlineStr">
        <is>
          <t>04C2526121096</t>
        </is>
      </c>
      <c r="B476" t="inlineStr">
        <is>
          <t>CRS0000675</t>
        </is>
      </c>
      <c r="C476" t="inlineStr">
        <is>
          <t>LT</t>
        </is>
      </c>
      <c r="D476" t="inlineStr">
        <is>
          <t>ALX440U-DS3B01</t>
        </is>
      </c>
      <c r="E476" s="2" t="n">
        <v>46107</v>
      </c>
      <c r="F476" t="inlineStr">
        <is>
          <t>Pass</t>
        </is>
      </c>
      <c r="G476" t="n">
        <v>145.5</v>
      </c>
      <c r="H476" t="n">
        <v>94.59999999999999</v>
      </c>
      <c r="I476" t="n">
        <v>-1957.8</v>
      </c>
      <c r="J476" t="n">
        <v>69.09999999999999</v>
      </c>
      <c r="K476" t="n">
        <v>0</v>
      </c>
      <c r="L476" t="n">
        <v>1.4</v>
      </c>
      <c r="M476" t="n">
        <v>0</v>
      </c>
      <c r="N476" t="n">
        <v>67.7</v>
      </c>
      <c r="O476" t="n">
        <v>111.57</v>
      </c>
      <c r="P476" t="n">
        <v>117.88</v>
      </c>
      <c r="Q476" t="n">
        <v>7.84</v>
      </c>
      <c r="R476" t="n">
        <v>7.54</v>
      </c>
      <c r="S476">
        <f>IF(OR(G476=0,G476=""),"",ABS((G476-IF($C476="LT",Config!$F$2,Config!$F$14))/IF($C476="LT",Config!$G$2,Config!$G$14)))</f>
        <v/>
      </c>
      <c r="T476">
        <f>IF(OR(H476=0,H476=""),"",ABS((H476-IF($C476="LT",Config!$F$3,Config!$F$15))/IF($C476="LT",Config!$G$3,Config!$G$15)))</f>
        <v/>
      </c>
      <c r="U476">
        <f>IF(OR(I476=0,I476=""),"",ABS((I476-IF($C476="LT",Config!$F$4,Config!$F$16))/IF($C476="LT",Config!$G$4,Config!$G$16)))</f>
        <v/>
      </c>
      <c r="V476">
        <f>IF(OR(J476=0,J476=""),"",ABS((J476-IF($C476="LT",Config!$F$5,Config!$F$17))/IF($C476="LT",Config!$G$5,Config!$G$17)))</f>
        <v/>
      </c>
      <c r="W476">
        <f>IF(OR(K476=0,K476=""),"",ABS((K476-IF($C476="LT",Config!$F$6,Config!$F$18))/IF($C476="LT",Config!$G$6,Config!$G$18)))</f>
        <v/>
      </c>
      <c r="X476">
        <f>IF(OR(L476=0,L476=""),"",ABS((L476-IF($C476="LT",Config!$F$7,Config!$F$19))/IF($C476="LT",Config!$G$7,Config!$G$19)))</f>
        <v/>
      </c>
      <c r="Y476">
        <f>IF(OR(M476=0,M476=""),"",ABS((M476-IF($C476="LT",Config!$F$8,Config!$F$20))/IF($C476="LT",Config!$G$8,Config!$G$20)))</f>
        <v/>
      </c>
      <c r="Z476">
        <f>IF(OR(N476=0,N476=""),"",ABS((N476-IF($C476="LT",Config!$F$9,Config!$F$21))/IF($C476="LT",Config!$G$9,Config!$G$21)))</f>
        <v/>
      </c>
      <c r="AA476">
        <f>IF(OR(O476=0,O476=""),"",ABS((O476-IF($C476="LT",Config!$F$10,Config!$F$22))/IF($C476="LT",Config!$G$10,Config!$G$22)))</f>
        <v/>
      </c>
      <c r="AB476">
        <f>IF(OR(P476=0,P476=""),"",ABS((P476-IF($C476="LT",Config!$F$11,Config!$F$23))/IF($C476="LT",Config!$G$11,Config!$G$23)))</f>
        <v/>
      </c>
      <c r="AC476">
        <f>IF(OR(Q476=0,Q476=""),"",ABS((Q476-IF($C476="LT",Config!$F$12,Config!$F$24))/IF($C476="LT",Config!$G$12,Config!$G$24)))</f>
        <v/>
      </c>
      <c r="AD476">
        <f>IF(OR(R476=0,R476=""),"",ABS((R476-IF($C476="LT",Config!$F$13,Config!$F$25))/IF($C476="LT",Config!$G$13,Config!$G$25)))</f>
        <v/>
      </c>
    </row>
    <row r="477">
      <c r="A477" t="inlineStr">
        <is>
          <t>04C2626121097</t>
        </is>
      </c>
      <c r="B477" t="inlineStr">
        <is>
          <t>CRS0000675</t>
        </is>
      </c>
      <c r="C477" t="inlineStr">
        <is>
          <t>LT</t>
        </is>
      </c>
      <c r="D477" t="inlineStr">
        <is>
          <t>ALX440U-DS3B01</t>
        </is>
      </c>
      <c r="E477" s="2" t="n">
        <v>46107</v>
      </c>
      <c r="F477" t="inlineStr">
        <is>
          <t>Pass</t>
        </is>
      </c>
      <c r="G477" t="n">
        <v>145</v>
      </c>
      <c r="H477" t="n">
        <v>94.2</v>
      </c>
      <c r="I477" t="n">
        <v>-1957.8</v>
      </c>
      <c r="J477" t="n">
        <v>69.5</v>
      </c>
      <c r="K477" t="n">
        <v>0</v>
      </c>
      <c r="L477" t="n">
        <v>2.3</v>
      </c>
      <c r="M477" t="n">
        <v>0</v>
      </c>
      <c r="N477" t="n">
        <v>67.2</v>
      </c>
      <c r="O477" t="n">
        <v>115.31</v>
      </c>
      <c r="P477" t="n">
        <v>115.24</v>
      </c>
      <c r="Q477" t="n">
        <v>7.74</v>
      </c>
      <c r="R477" t="n">
        <v>7.81</v>
      </c>
      <c r="S477">
        <f>IF(OR(G477=0,G477=""),"",ABS((G477-IF($C477="LT",Config!$F$2,Config!$F$14))/IF($C477="LT",Config!$G$2,Config!$G$14)))</f>
        <v/>
      </c>
      <c r="T477">
        <f>IF(OR(H477=0,H477=""),"",ABS((H477-IF($C477="LT",Config!$F$3,Config!$F$15))/IF($C477="LT",Config!$G$3,Config!$G$15)))</f>
        <v/>
      </c>
      <c r="U477">
        <f>IF(OR(I477=0,I477=""),"",ABS((I477-IF($C477="LT",Config!$F$4,Config!$F$16))/IF($C477="LT",Config!$G$4,Config!$G$16)))</f>
        <v/>
      </c>
      <c r="V477">
        <f>IF(OR(J477=0,J477=""),"",ABS((J477-IF($C477="LT",Config!$F$5,Config!$F$17))/IF($C477="LT",Config!$G$5,Config!$G$17)))</f>
        <v/>
      </c>
      <c r="W477">
        <f>IF(OR(K477=0,K477=""),"",ABS((K477-IF($C477="LT",Config!$F$6,Config!$F$18))/IF($C477="LT",Config!$G$6,Config!$G$18)))</f>
        <v/>
      </c>
      <c r="X477">
        <f>IF(OR(L477=0,L477=""),"",ABS((L477-IF($C477="LT",Config!$F$7,Config!$F$19))/IF($C477="LT",Config!$G$7,Config!$G$19)))</f>
        <v/>
      </c>
      <c r="Y477">
        <f>IF(OR(M477=0,M477=""),"",ABS((M477-IF($C477="LT",Config!$F$8,Config!$F$20))/IF($C477="LT",Config!$G$8,Config!$G$20)))</f>
        <v/>
      </c>
      <c r="Z477">
        <f>IF(OR(N477=0,N477=""),"",ABS((N477-IF($C477="LT",Config!$F$9,Config!$F$21))/IF($C477="LT",Config!$G$9,Config!$G$21)))</f>
        <v/>
      </c>
      <c r="AA477">
        <f>IF(OR(O477=0,O477=""),"",ABS((O477-IF($C477="LT",Config!$F$10,Config!$F$22))/IF($C477="LT",Config!$G$10,Config!$G$22)))</f>
        <v/>
      </c>
      <c r="AB477">
        <f>IF(OR(P477=0,P477=""),"",ABS((P477-IF($C477="LT",Config!$F$11,Config!$F$23))/IF($C477="LT",Config!$G$11,Config!$G$23)))</f>
        <v/>
      </c>
      <c r="AC477">
        <f>IF(OR(Q477=0,Q477=""),"",ABS((Q477-IF($C477="LT",Config!$F$12,Config!$F$24))/IF($C477="LT",Config!$G$12,Config!$G$24)))</f>
        <v/>
      </c>
      <c r="AD477">
        <f>IF(OR(R477=0,R477=""),"",ABS((R477-IF($C477="LT",Config!$F$13,Config!$F$25))/IF($C477="LT",Config!$G$13,Config!$G$25)))</f>
        <v/>
      </c>
    </row>
    <row r="478">
      <c r="A478" t="inlineStr">
        <is>
          <t>04C2626121099</t>
        </is>
      </c>
      <c r="B478" t="inlineStr">
        <is>
          <t>CRS0000675</t>
        </is>
      </c>
      <c r="C478" t="inlineStr">
        <is>
          <t>LT</t>
        </is>
      </c>
      <c r="D478" t="inlineStr">
        <is>
          <t>ALX440U-DS3B01</t>
        </is>
      </c>
      <c r="E478" s="2" t="n">
        <v>46107</v>
      </c>
      <c r="F478" t="inlineStr">
        <is>
          <t>Pass</t>
        </is>
      </c>
      <c r="G478" t="n">
        <v>153.9</v>
      </c>
      <c r="H478" t="n">
        <v>85.2</v>
      </c>
      <c r="I478" t="n">
        <v>-1957.8</v>
      </c>
      <c r="J478" t="n">
        <v>69.5</v>
      </c>
      <c r="K478" t="n">
        <v>0</v>
      </c>
      <c r="L478" t="n">
        <v>1.9</v>
      </c>
      <c r="M478" t="n">
        <v>0</v>
      </c>
      <c r="N478" t="n">
        <v>67.59999999999999</v>
      </c>
      <c r="O478" t="n">
        <v>115.68</v>
      </c>
      <c r="P478" t="n">
        <v>117</v>
      </c>
      <c r="Q478" t="n">
        <v>6.35</v>
      </c>
      <c r="R478" t="n">
        <v>6.57</v>
      </c>
      <c r="S478">
        <f>IF(OR(G478=0,G478=""),"",ABS((G478-IF($C478="LT",Config!$F$2,Config!$F$14))/IF($C478="LT",Config!$G$2,Config!$G$14)))</f>
        <v/>
      </c>
      <c r="T478">
        <f>IF(OR(H478=0,H478=""),"",ABS((H478-IF($C478="LT",Config!$F$3,Config!$F$15))/IF($C478="LT",Config!$G$3,Config!$G$15)))</f>
        <v/>
      </c>
      <c r="U478">
        <f>IF(OR(I478=0,I478=""),"",ABS((I478-IF($C478="LT",Config!$F$4,Config!$F$16))/IF($C478="LT",Config!$G$4,Config!$G$16)))</f>
        <v/>
      </c>
      <c r="V478">
        <f>IF(OR(J478=0,J478=""),"",ABS((J478-IF($C478="LT",Config!$F$5,Config!$F$17))/IF($C478="LT",Config!$G$5,Config!$G$17)))</f>
        <v/>
      </c>
      <c r="W478">
        <f>IF(OR(K478=0,K478=""),"",ABS((K478-IF($C478="LT",Config!$F$6,Config!$F$18))/IF($C478="LT",Config!$G$6,Config!$G$18)))</f>
        <v/>
      </c>
      <c r="X478">
        <f>IF(OR(L478=0,L478=""),"",ABS((L478-IF($C478="LT",Config!$F$7,Config!$F$19))/IF($C478="LT",Config!$G$7,Config!$G$19)))</f>
        <v/>
      </c>
      <c r="Y478">
        <f>IF(OR(M478=0,M478=""),"",ABS((M478-IF($C478="LT",Config!$F$8,Config!$F$20))/IF($C478="LT",Config!$G$8,Config!$G$20)))</f>
        <v/>
      </c>
      <c r="Z478">
        <f>IF(OR(N478=0,N478=""),"",ABS((N478-IF($C478="LT",Config!$F$9,Config!$F$21))/IF($C478="LT",Config!$G$9,Config!$G$21)))</f>
        <v/>
      </c>
      <c r="AA478">
        <f>IF(OR(O478=0,O478=""),"",ABS((O478-IF($C478="LT",Config!$F$10,Config!$F$22))/IF($C478="LT",Config!$G$10,Config!$G$22)))</f>
        <v/>
      </c>
      <c r="AB478">
        <f>IF(OR(P478=0,P478=""),"",ABS((P478-IF($C478="LT",Config!$F$11,Config!$F$23))/IF($C478="LT",Config!$G$11,Config!$G$23)))</f>
        <v/>
      </c>
      <c r="AC478">
        <f>IF(OR(Q478=0,Q478=""),"",ABS((Q478-IF($C478="LT",Config!$F$12,Config!$F$24))/IF($C478="LT",Config!$G$12,Config!$G$24)))</f>
        <v/>
      </c>
      <c r="AD478">
        <f>IF(OR(R478=0,R478=""),"",ABS((R478-IF($C478="LT",Config!$F$13,Config!$F$25))/IF($C478="LT",Config!$G$13,Config!$G$25)))</f>
        <v/>
      </c>
    </row>
    <row r="479">
      <c r="A479" t="inlineStr">
        <is>
          <t>04C2626121100</t>
        </is>
      </c>
      <c r="B479" t="inlineStr">
        <is>
          <t>CRS0000675</t>
        </is>
      </c>
      <c r="C479" t="inlineStr">
        <is>
          <t>LT</t>
        </is>
      </c>
      <c r="D479" t="inlineStr">
        <is>
          <t>ALX440U-DS3B01</t>
        </is>
      </c>
      <c r="E479" s="2" t="n">
        <v>46107</v>
      </c>
      <c r="F479" t="inlineStr">
        <is>
          <t>Pass</t>
        </is>
      </c>
      <c r="G479" t="n">
        <v>149.5</v>
      </c>
      <c r="H479" t="n">
        <v>97.8</v>
      </c>
      <c r="I479" t="n">
        <v>-1957.8</v>
      </c>
      <c r="J479" t="n">
        <v>69.5</v>
      </c>
      <c r="K479" t="n">
        <v>0</v>
      </c>
      <c r="L479" t="n">
        <v>1.5</v>
      </c>
      <c r="M479" t="n">
        <v>0</v>
      </c>
      <c r="N479" t="n">
        <v>68</v>
      </c>
      <c r="O479" t="n">
        <v>111.2</v>
      </c>
      <c r="P479" t="n">
        <v>117.95</v>
      </c>
      <c r="Q479" t="n">
        <v>8.08</v>
      </c>
      <c r="R479" t="n">
        <v>7.57</v>
      </c>
      <c r="S479">
        <f>IF(OR(G479=0,G479=""),"",ABS((G479-IF($C479="LT",Config!$F$2,Config!$F$14))/IF($C479="LT",Config!$G$2,Config!$G$14)))</f>
        <v/>
      </c>
      <c r="T479">
        <f>IF(OR(H479=0,H479=""),"",ABS((H479-IF($C479="LT",Config!$F$3,Config!$F$15))/IF($C479="LT",Config!$G$3,Config!$G$15)))</f>
        <v/>
      </c>
      <c r="U479">
        <f>IF(OR(I479=0,I479=""),"",ABS((I479-IF($C479="LT",Config!$F$4,Config!$F$16))/IF($C479="LT",Config!$G$4,Config!$G$16)))</f>
        <v/>
      </c>
      <c r="V479">
        <f>IF(OR(J479=0,J479=""),"",ABS((J479-IF($C479="LT",Config!$F$5,Config!$F$17))/IF($C479="LT",Config!$G$5,Config!$G$17)))</f>
        <v/>
      </c>
      <c r="W479">
        <f>IF(OR(K479=0,K479=""),"",ABS((K479-IF($C479="LT",Config!$F$6,Config!$F$18))/IF($C479="LT",Config!$G$6,Config!$G$18)))</f>
        <v/>
      </c>
      <c r="X479">
        <f>IF(OR(L479=0,L479=""),"",ABS((L479-IF($C479="LT",Config!$F$7,Config!$F$19))/IF($C479="LT",Config!$G$7,Config!$G$19)))</f>
        <v/>
      </c>
      <c r="Y479">
        <f>IF(OR(M479=0,M479=""),"",ABS((M479-IF($C479="LT",Config!$F$8,Config!$F$20))/IF($C479="LT",Config!$G$8,Config!$G$20)))</f>
        <v/>
      </c>
      <c r="Z479">
        <f>IF(OR(N479=0,N479=""),"",ABS((N479-IF($C479="LT",Config!$F$9,Config!$F$21))/IF($C479="LT",Config!$G$9,Config!$G$21)))</f>
        <v/>
      </c>
      <c r="AA479">
        <f>IF(OR(O479=0,O479=""),"",ABS((O479-IF($C479="LT",Config!$F$10,Config!$F$22))/IF($C479="LT",Config!$G$10,Config!$G$22)))</f>
        <v/>
      </c>
      <c r="AB479">
        <f>IF(OR(P479=0,P479=""),"",ABS((P479-IF($C479="LT",Config!$F$11,Config!$F$23))/IF($C479="LT",Config!$G$11,Config!$G$23)))</f>
        <v/>
      </c>
      <c r="AC479">
        <f>IF(OR(Q479=0,Q479=""),"",ABS((Q479-IF($C479="LT",Config!$F$12,Config!$F$24))/IF($C479="LT",Config!$G$12,Config!$G$24)))</f>
        <v/>
      </c>
      <c r="AD479">
        <f>IF(OR(R479=0,R479=""),"",ABS((R479-IF($C479="LT",Config!$F$13,Config!$F$25))/IF($C479="LT",Config!$G$13,Config!$G$25)))</f>
        <v/>
      </c>
    </row>
    <row r="480">
      <c r="A480" t="inlineStr">
        <is>
          <t>04C2626121101</t>
        </is>
      </c>
      <c r="B480" t="inlineStr">
        <is>
          <t>CRS0000675</t>
        </is>
      </c>
      <c r="C480" t="inlineStr">
        <is>
          <t>LT</t>
        </is>
      </c>
      <c r="D480" t="inlineStr">
        <is>
          <t>ALX440U-DS3B01</t>
        </is>
      </c>
      <c r="E480" s="2" t="n">
        <v>46107</v>
      </c>
      <c r="F480" t="inlineStr">
        <is>
          <t>Pass</t>
        </is>
      </c>
      <c r="G480" t="n">
        <v>147.7</v>
      </c>
      <c r="H480" t="n">
        <v>96.90000000000001</v>
      </c>
      <c r="I480" t="n">
        <v>-1957.8</v>
      </c>
      <c r="J480" t="n">
        <v>70</v>
      </c>
      <c r="K480" t="n">
        <v>0</v>
      </c>
      <c r="L480" t="n">
        <v>0.7</v>
      </c>
      <c r="M480" t="n">
        <v>0</v>
      </c>
      <c r="N480" t="n">
        <v>69.3</v>
      </c>
      <c r="O480" t="n">
        <v>114.94</v>
      </c>
      <c r="P480" t="n">
        <v>114.87</v>
      </c>
      <c r="Q480" t="n">
        <v>7.62</v>
      </c>
      <c r="R480" t="n">
        <v>7.69</v>
      </c>
      <c r="S480">
        <f>IF(OR(G480=0,G480=""),"",ABS((G480-IF($C480="LT",Config!$F$2,Config!$F$14))/IF($C480="LT",Config!$G$2,Config!$G$14)))</f>
        <v/>
      </c>
      <c r="T480">
        <f>IF(OR(H480=0,H480=""),"",ABS((H480-IF($C480="LT",Config!$F$3,Config!$F$15))/IF($C480="LT",Config!$G$3,Config!$G$15)))</f>
        <v/>
      </c>
      <c r="U480">
        <f>IF(OR(I480=0,I480=""),"",ABS((I480-IF($C480="LT",Config!$F$4,Config!$F$16))/IF($C480="LT",Config!$G$4,Config!$G$16)))</f>
        <v/>
      </c>
      <c r="V480">
        <f>IF(OR(J480=0,J480=""),"",ABS((J480-IF($C480="LT",Config!$F$5,Config!$F$17))/IF($C480="LT",Config!$G$5,Config!$G$17)))</f>
        <v/>
      </c>
      <c r="W480">
        <f>IF(OR(K480=0,K480=""),"",ABS((K480-IF($C480="LT",Config!$F$6,Config!$F$18))/IF($C480="LT",Config!$G$6,Config!$G$18)))</f>
        <v/>
      </c>
      <c r="X480">
        <f>IF(OR(L480=0,L480=""),"",ABS((L480-IF($C480="LT",Config!$F$7,Config!$F$19))/IF($C480="LT",Config!$G$7,Config!$G$19)))</f>
        <v/>
      </c>
      <c r="Y480">
        <f>IF(OR(M480=0,M480=""),"",ABS((M480-IF($C480="LT",Config!$F$8,Config!$F$20))/IF($C480="LT",Config!$G$8,Config!$G$20)))</f>
        <v/>
      </c>
      <c r="Z480">
        <f>IF(OR(N480=0,N480=""),"",ABS((N480-IF($C480="LT",Config!$F$9,Config!$F$21))/IF($C480="LT",Config!$G$9,Config!$G$21)))</f>
        <v/>
      </c>
      <c r="AA480">
        <f>IF(OR(O480=0,O480=""),"",ABS((O480-IF($C480="LT",Config!$F$10,Config!$F$22))/IF($C480="LT",Config!$G$10,Config!$G$22)))</f>
        <v/>
      </c>
      <c r="AB480">
        <f>IF(OR(P480=0,P480=""),"",ABS((P480-IF($C480="LT",Config!$F$11,Config!$F$23))/IF($C480="LT",Config!$G$11,Config!$G$23)))</f>
        <v/>
      </c>
      <c r="AC480">
        <f>IF(OR(Q480=0,Q480=""),"",ABS((Q480-IF($C480="LT",Config!$F$12,Config!$F$24))/IF($C480="LT",Config!$G$12,Config!$G$24)))</f>
        <v/>
      </c>
      <c r="AD480">
        <f>IF(OR(R480=0,R480=""),"",ABS((R480-IF($C480="LT",Config!$F$13,Config!$F$25))/IF($C480="LT",Config!$G$13,Config!$G$25)))</f>
        <v/>
      </c>
    </row>
    <row r="481">
      <c r="A481" t="inlineStr">
        <is>
          <t>04C2626121102</t>
        </is>
      </c>
      <c r="B481" t="inlineStr">
        <is>
          <t>CRS0000675</t>
        </is>
      </c>
      <c r="C481" t="inlineStr">
        <is>
          <t>LT</t>
        </is>
      </c>
      <c r="D481" t="inlineStr">
        <is>
          <t>ALX440U-DS3B01</t>
        </is>
      </c>
      <c r="E481" s="2" t="n">
        <v>46107</v>
      </c>
      <c r="F481" t="inlineStr">
        <is>
          <t>Fail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>
        <f>IF(OR(G481=0,G481=""),"",ABS((G481-IF($C481="LT",Config!$F$2,Config!$F$14))/IF($C481="LT",Config!$G$2,Config!$G$14)))</f>
        <v/>
      </c>
      <c r="T481">
        <f>IF(OR(H481=0,H481=""),"",ABS((H481-IF($C481="LT",Config!$F$3,Config!$F$15))/IF($C481="LT",Config!$G$3,Config!$G$15)))</f>
        <v/>
      </c>
      <c r="U481">
        <f>IF(OR(I481=0,I481=""),"",ABS((I481-IF($C481="LT",Config!$F$4,Config!$F$16))/IF($C481="LT",Config!$G$4,Config!$G$16)))</f>
        <v/>
      </c>
      <c r="V481">
        <f>IF(OR(J481=0,J481=""),"",ABS((J481-IF($C481="LT",Config!$F$5,Config!$F$17))/IF($C481="LT",Config!$G$5,Config!$G$17)))</f>
        <v/>
      </c>
      <c r="W481">
        <f>IF(OR(K481=0,K481=""),"",ABS((K481-IF($C481="LT",Config!$F$6,Config!$F$18))/IF($C481="LT",Config!$G$6,Config!$G$18)))</f>
        <v/>
      </c>
      <c r="X481">
        <f>IF(OR(L481=0,L481=""),"",ABS((L481-IF($C481="LT",Config!$F$7,Config!$F$19))/IF($C481="LT",Config!$G$7,Config!$G$19)))</f>
        <v/>
      </c>
      <c r="Y481">
        <f>IF(OR(M481=0,M481=""),"",ABS((M481-IF($C481="LT",Config!$F$8,Config!$F$20))/IF($C481="LT",Config!$G$8,Config!$G$20)))</f>
        <v/>
      </c>
      <c r="Z481">
        <f>IF(OR(N481=0,N481=""),"",ABS((N481-IF($C481="LT",Config!$F$9,Config!$F$21))/IF($C481="LT",Config!$G$9,Config!$G$21)))</f>
        <v/>
      </c>
      <c r="AA481">
        <f>IF(OR(O481=0,O481=""),"",ABS((O481-IF($C481="LT",Config!$F$10,Config!$F$22))/IF($C481="LT",Config!$G$10,Config!$G$22)))</f>
        <v/>
      </c>
      <c r="AB481">
        <f>IF(OR(P481=0,P481=""),"",ABS((P481-IF($C481="LT",Config!$F$11,Config!$F$23))/IF($C481="LT",Config!$G$11,Config!$G$23)))</f>
        <v/>
      </c>
      <c r="AC481">
        <f>IF(OR(Q481=0,Q481=""),"",ABS((Q481-IF($C481="LT",Config!$F$12,Config!$F$24))/IF($C481="LT",Config!$G$12,Config!$G$24)))</f>
        <v/>
      </c>
      <c r="AD481">
        <f>IF(OR(R481=0,R481=""),"",ABS((R481-IF($C481="LT",Config!$F$13,Config!$F$25))/IF($C481="LT",Config!$G$13,Config!$G$25)))</f>
        <v/>
      </c>
    </row>
    <row r="482">
      <c r="A482" t="inlineStr">
        <is>
          <t>04C2626121102</t>
        </is>
      </c>
      <c r="B482" t="inlineStr">
        <is>
          <t>CRS0000675</t>
        </is>
      </c>
      <c r="C482" t="inlineStr">
        <is>
          <t>LT</t>
        </is>
      </c>
      <c r="D482" t="inlineStr">
        <is>
          <t>ALX440U-DS3B01</t>
        </is>
      </c>
      <c r="E482" s="2" t="n">
        <v>46107</v>
      </c>
      <c r="F482" t="inlineStr">
        <is>
          <t>Fail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>
        <f>IF(OR(G482=0,G482=""),"",ABS((G482-IF($C482="LT",Config!$F$2,Config!$F$14))/IF($C482="LT",Config!$G$2,Config!$G$14)))</f>
        <v/>
      </c>
      <c r="T482">
        <f>IF(OR(H482=0,H482=""),"",ABS((H482-IF($C482="LT",Config!$F$3,Config!$F$15))/IF($C482="LT",Config!$G$3,Config!$G$15)))</f>
        <v/>
      </c>
      <c r="U482">
        <f>IF(OR(I482=0,I482=""),"",ABS((I482-IF($C482="LT",Config!$F$4,Config!$F$16))/IF($C482="LT",Config!$G$4,Config!$G$16)))</f>
        <v/>
      </c>
      <c r="V482">
        <f>IF(OR(J482=0,J482=""),"",ABS((J482-IF($C482="LT",Config!$F$5,Config!$F$17))/IF($C482="LT",Config!$G$5,Config!$G$17)))</f>
        <v/>
      </c>
      <c r="W482">
        <f>IF(OR(K482=0,K482=""),"",ABS((K482-IF($C482="LT",Config!$F$6,Config!$F$18))/IF($C482="LT",Config!$G$6,Config!$G$18)))</f>
        <v/>
      </c>
      <c r="X482">
        <f>IF(OR(L482=0,L482=""),"",ABS((L482-IF($C482="LT",Config!$F$7,Config!$F$19))/IF($C482="LT",Config!$G$7,Config!$G$19)))</f>
        <v/>
      </c>
      <c r="Y482">
        <f>IF(OR(M482=0,M482=""),"",ABS((M482-IF($C482="LT",Config!$F$8,Config!$F$20))/IF($C482="LT",Config!$G$8,Config!$G$20)))</f>
        <v/>
      </c>
      <c r="Z482">
        <f>IF(OR(N482=0,N482=""),"",ABS((N482-IF($C482="LT",Config!$F$9,Config!$F$21))/IF($C482="LT",Config!$G$9,Config!$G$21)))</f>
        <v/>
      </c>
      <c r="AA482">
        <f>IF(OR(O482=0,O482=""),"",ABS((O482-IF($C482="LT",Config!$F$10,Config!$F$22))/IF($C482="LT",Config!$G$10,Config!$G$22)))</f>
        <v/>
      </c>
      <c r="AB482">
        <f>IF(OR(P482=0,P482=""),"",ABS((P482-IF($C482="LT",Config!$F$11,Config!$F$23))/IF($C482="LT",Config!$G$11,Config!$G$23)))</f>
        <v/>
      </c>
      <c r="AC482">
        <f>IF(OR(Q482=0,Q482=""),"",ABS((Q482-IF($C482="LT",Config!$F$12,Config!$F$24))/IF($C482="LT",Config!$G$12,Config!$G$24)))</f>
        <v/>
      </c>
      <c r="AD482">
        <f>IF(OR(R482=0,R482=""),"",ABS((R482-IF($C482="LT",Config!$F$13,Config!$F$25))/IF($C482="LT",Config!$G$13,Config!$G$25)))</f>
        <v/>
      </c>
    </row>
    <row r="483">
      <c r="A483" t="inlineStr">
        <is>
          <t>04C2626121102</t>
        </is>
      </c>
      <c r="B483" t="inlineStr">
        <is>
          <t>CRS0000675</t>
        </is>
      </c>
      <c r="C483" t="inlineStr">
        <is>
          <t>LT</t>
        </is>
      </c>
      <c r="D483" t="inlineStr">
        <is>
          <t>ALX440U-DS3B01</t>
        </is>
      </c>
      <c r="E483" s="2" t="n">
        <v>46107</v>
      </c>
      <c r="F483" t="inlineStr">
        <is>
          <t>Pass</t>
        </is>
      </c>
      <c r="G483" t="n">
        <v>152.6</v>
      </c>
      <c r="H483" t="n">
        <v>97.8</v>
      </c>
      <c r="I483" t="n">
        <v>-1957.8</v>
      </c>
      <c r="J483" t="n">
        <v>71.3</v>
      </c>
      <c r="K483" t="n">
        <v>0</v>
      </c>
      <c r="L483" t="n">
        <v>1.6</v>
      </c>
      <c r="M483" t="n">
        <v>0</v>
      </c>
      <c r="N483" t="n">
        <v>69.7</v>
      </c>
      <c r="O483" t="n">
        <v>111.64</v>
      </c>
      <c r="P483" t="n">
        <v>113.04</v>
      </c>
      <c r="Q483" t="n">
        <v>7.91</v>
      </c>
      <c r="R483" t="n">
        <v>7.91</v>
      </c>
      <c r="S483">
        <f>IF(OR(G483=0,G483=""),"",ABS((G483-IF($C483="LT",Config!$F$2,Config!$F$14))/IF($C483="LT",Config!$G$2,Config!$G$14)))</f>
        <v/>
      </c>
      <c r="T483">
        <f>IF(OR(H483=0,H483=""),"",ABS((H483-IF($C483="LT",Config!$F$3,Config!$F$15))/IF($C483="LT",Config!$G$3,Config!$G$15)))</f>
        <v/>
      </c>
      <c r="U483">
        <f>IF(OR(I483=0,I483=""),"",ABS((I483-IF($C483="LT",Config!$F$4,Config!$F$16))/IF($C483="LT",Config!$G$4,Config!$G$16)))</f>
        <v/>
      </c>
      <c r="V483">
        <f>IF(OR(J483=0,J483=""),"",ABS((J483-IF($C483="LT",Config!$F$5,Config!$F$17))/IF($C483="LT",Config!$G$5,Config!$G$17)))</f>
        <v/>
      </c>
      <c r="W483">
        <f>IF(OR(K483=0,K483=""),"",ABS((K483-IF($C483="LT",Config!$F$6,Config!$F$18))/IF($C483="LT",Config!$G$6,Config!$G$18)))</f>
        <v/>
      </c>
      <c r="X483">
        <f>IF(OR(L483=0,L483=""),"",ABS((L483-IF($C483="LT",Config!$F$7,Config!$F$19))/IF($C483="LT",Config!$G$7,Config!$G$19)))</f>
        <v/>
      </c>
      <c r="Y483">
        <f>IF(OR(M483=0,M483=""),"",ABS((M483-IF($C483="LT",Config!$F$8,Config!$F$20))/IF($C483="LT",Config!$G$8,Config!$G$20)))</f>
        <v/>
      </c>
      <c r="Z483">
        <f>IF(OR(N483=0,N483=""),"",ABS((N483-IF($C483="LT",Config!$F$9,Config!$F$21))/IF($C483="LT",Config!$G$9,Config!$G$21)))</f>
        <v/>
      </c>
      <c r="AA483">
        <f>IF(OR(O483=0,O483=""),"",ABS((O483-IF($C483="LT",Config!$F$10,Config!$F$22))/IF($C483="LT",Config!$G$10,Config!$G$22)))</f>
        <v/>
      </c>
      <c r="AB483">
        <f>IF(OR(P483=0,P483=""),"",ABS((P483-IF($C483="LT",Config!$F$11,Config!$F$23))/IF($C483="LT",Config!$G$11,Config!$G$23)))</f>
        <v/>
      </c>
      <c r="AC483">
        <f>IF(OR(Q483=0,Q483=""),"",ABS((Q483-IF($C483="LT",Config!$F$12,Config!$F$24))/IF($C483="LT",Config!$G$12,Config!$G$24)))</f>
        <v/>
      </c>
      <c r="AD483">
        <f>IF(OR(R483=0,R483=""),"",ABS((R483-IF($C483="LT",Config!$F$13,Config!$F$25))/IF($C483="LT",Config!$G$13,Config!$G$25)))</f>
        <v/>
      </c>
    </row>
    <row r="484">
      <c r="A484" t="inlineStr">
        <is>
          <t>04C2626121103</t>
        </is>
      </c>
      <c r="B484" t="inlineStr">
        <is>
          <t>CRS0000674</t>
        </is>
      </c>
      <c r="C484" t="inlineStr">
        <is>
          <t>MT</t>
        </is>
      </c>
      <c r="D484" t="inlineStr">
        <is>
          <t>TCX413U-DS1B01</t>
        </is>
      </c>
      <c r="E484" s="2" t="n">
        <v>46107</v>
      </c>
      <c r="F484" t="inlineStr">
        <is>
          <t>Pass</t>
        </is>
      </c>
      <c r="G484" t="n">
        <v>115.1</v>
      </c>
      <c r="H484" t="n">
        <v>85.2</v>
      </c>
      <c r="I484" t="n">
        <v>-1957.8</v>
      </c>
      <c r="J484" t="n">
        <v>71.3</v>
      </c>
      <c r="K484" t="n">
        <v>0</v>
      </c>
      <c r="L484" t="n">
        <v>2.1</v>
      </c>
      <c r="M484" t="n">
        <v>0</v>
      </c>
      <c r="N484" t="n">
        <v>69.2</v>
      </c>
      <c r="O484" t="n">
        <v>115.6</v>
      </c>
      <c r="P484" t="n">
        <v>113.84</v>
      </c>
      <c r="Q484" t="n">
        <v>3.86</v>
      </c>
      <c r="R484" t="n">
        <v>3.96</v>
      </c>
      <c r="S484">
        <f>IF(OR(G484=0,G484=""),"",ABS((G484-IF($C484="LT",Config!$F$2,Config!$F$14))/IF($C484="LT",Config!$G$2,Config!$G$14)))</f>
        <v/>
      </c>
      <c r="T484">
        <f>IF(OR(H484=0,H484=""),"",ABS((H484-IF($C484="LT",Config!$F$3,Config!$F$15))/IF($C484="LT",Config!$G$3,Config!$G$15)))</f>
        <v/>
      </c>
      <c r="U484">
        <f>IF(OR(I484=0,I484=""),"",ABS((I484-IF($C484="LT",Config!$F$4,Config!$F$16))/IF($C484="LT",Config!$G$4,Config!$G$16)))</f>
        <v/>
      </c>
      <c r="V484">
        <f>IF(OR(J484=0,J484=""),"",ABS((J484-IF($C484="LT",Config!$F$5,Config!$F$17))/IF($C484="LT",Config!$G$5,Config!$G$17)))</f>
        <v/>
      </c>
      <c r="W484">
        <f>IF(OR(K484=0,K484=""),"",ABS((K484-IF($C484="LT",Config!$F$6,Config!$F$18))/IF($C484="LT",Config!$G$6,Config!$G$18)))</f>
        <v/>
      </c>
      <c r="X484">
        <f>IF(OR(L484=0,L484=""),"",ABS((L484-IF($C484="LT",Config!$F$7,Config!$F$19))/IF($C484="LT",Config!$G$7,Config!$G$19)))</f>
        <v/>
      </c>
      <c r="Y484">
        <f>IF(OR(M484=0,M484=""),"",ABS((M484-IF($C484="LT",Config!$F$8,Config!$F$20))/IF($C484="LT",Config!$G$8,Config!$G$20)))</f>
        <v/>
      </c>
      <c r="Z484">
        <f>IF(OR(N484=0,N484=""),"",ABS((N484-IF($C484="LT",Config!$F$9,Config!$F$21))/IF($C484="LT",Config!$G$9,Config!$G$21)))</f>
        <v/>
      </c>
      <c r="AA484">
        <f>IF(OR(O484=0,O484=""),"",ABS((O484-IF($C484="LT",Config!$F$10,Config!$F$22))/IF($C484="LT",Config!$G$10,Config!$G$22)))</f>
        <v/>
      </c>
      <c r="AB484">
        <f>IF(OR(P484=0,P484=""),"",ABS((P484-IF($C484="LT",Config!$F$11,Config!$F$23))/IF($C484="LT",Config!$G$11,Config!$G$23)))</f>
        <v/>
      </c>
      <c r="AC484">
        <f>IF(OR(Q484=0,Q484=""),"",ABS((Q484-IF($C484="LT",Config!$F$12,Config!$F$24))/IF($C484="LT",Config!$G$12,Config!$G$24)))</f>
        <v/>
      </c>
      <c r="AD484">
        <f>IF(OR(R484=0,R484=""),"",ABS((R484-IF($C484="LT",Config!$F$13,Config!$F$25))/IF($C484="LT",Config!$G$13,Config!$G$25)))</f>
        <v/>
      </c>
    </row>
    <row r="485">
      <c r="A485" t="inlineStr">
        <is>
          <t>04C2626121104</t>
        </is>
      </c>
      <c r="B485" t="inlineStr">
        <is>
          <t>CRS0000674</t>
        </is>
      </c>
      <c r="C485" t="inlineStr">
        <is>
          <t>MT</t>
        </is>
      </c>
      <c r="D485" t="inlineStr">
        <is>
          <t>TCX413U-DS1B01</t>
        </is>
      </c>
      <c r="E485" s="2" t="n">
        <v>46107</v>
      </c>
      <c r="F485" t="inlineStr">
        <is>
          <t>Pass</t>
        </is>
      </c>
      <c r="G485" t="n">
        <v>114.6</v>
      </c>
      <c r="H485" t="n">
        <v>84.7</v>
      </c>
      <c r="I485" t="n">
        <v>-1957.8</v>
      </c>
      <c r="J485" t="n">
        <v>71.3</v>
      </c>
      <c r="K485" t="n">
        <v>0</v>
      </c>
      <c r="L485" t="n">
        <v>1.4</v>
      </c>
      <c r="M485" t="n">
        <v>0</v>
      </c>
      <c r="N485" t="n">
        <v>69.90000000000001</v>
      </c>
      <c r="O485" t="n">
        <v>115.6</v>
      </c>
      <c r="P485" t="n">
        <v>113.92</v>
      </c>
      <c r="Q485" t="n">
        <v>3.86</v>
      </c>
      <c r="R485" t="n">
        <v>4</v>
      </c>
      <c r="S485">
        <f>IF(OR(G485=0,G485=""),"",ABS((G485-IF($C485="LT",Config!$F$2,Config!$F$14))/IF($C485="LT",Config!$G$2,Config!$G$14)))</f>
        <v/>
      </c>
      <c r="T485">
        <f>IF(OR(H485=0,H485=""),"",ABS((H485-IF($C485="LT",Config!$F$3,Config!$F$15))/IF($C485="LT",Config!$G$3,Config!$G$15)))</f>
        <v/>
      </c>
      <c r="U485">
        <f>IF(OR(I485=0,I485=""),"",ABS((I485-IF($C485="LT",Config!$F$4,Config!$F$16))/IF($C485="LT",Config!$G$4,Config!$G$16)))</f>
        <v/>
      </c>
      <c r="V485">
        <f>IF(OR(J485=0,J485=""),"",ABS((J485-IF($C485="LT",Config!$F$5,Config!$F$17))/IF($C485="LT",Config!$G$5,Config!$G$17)))</f>
        <v/>
      </c>
      <c r="W485">
        <f>IF(OR(K485=0,K485=""),"",ABS((K485-IF($C485="LT",Config!$F$6,Config!$F$18))/IF($C485="LT",Config!$G$6,Config!$G$18)))</f>
        <v/>
      </c>
      <c r="X485">
        <f>IF(OR(L485=0,L485=""),"",ABS((L485-IF($C485="LT",Config!$F$7,Config!$F$19))/IF($C485="LT",Config!$G$7,Config!$G$19)))</f>
        <v/>
      </c>
      <c r="Y485">
        <f>IF(OR(M485=0,M485=""),"",ABS((M485-IF($C485="LT",Config!$F$8,Config!$F$20))/IF($C485="LT",Config!$G$8,Config!$G$20)))</f>
        <v/>
      </c>
      <c r="Z485">
        <f>IF(OR(N485=0,N485=""),"",ABS((N485-IF($C485="LT",Config!$F$9,Config!$F$21))/IF($C485="LT",Config!$G$9,Config!$G$21)))</f>
        <v/>
      </c>
      <c r="AA485">
        <f>IF(OR(O485=0,O485=""),"",ABS((O485-IF($C485="LT",Config!$F$10,Config!$F$22))/IF($C485="LT",Config!$G$10,Config!$G$22)))</f>
        <v/>
      </c>
      <c r="AB485">
        <f>IF(OR(P485=0,P485=""),"",ABS((P485-IF($C485="LT",Config!$F$11,Config!$F$23))/IF($C485="LT",Config!$G$11,Config!$G$23)))</f>
        <v/>
      </c>
      <c r="AC485">
        <f>IF(OR(Q485=0,Q485=""),"",ABS((Q485-IF($C485="LT",Config!$F$12,Config!$F$24))/IF($C485="LT",Config!$G$12,Config!$G$24)))</f>
        <v/>
      </c>
      <c r="AD485">
        <f>IF(OR(R485=0,R485=""),"",ABS((R485-IF($C485="LT",Config!$F$13,Config!$F$25))/IF($C485="LT",Config!$G$13,Config!$G$25)))</f>
        <v/>
      </c>
    </row>
    <row r="486">
      <c r="A486" t="inlineStr">
        <is>
          <t>04C2626121105</t>
        </is>
      </c>
      <c r="B486" t="inlineStr">
        <is>
          <t>CRS0000674</t>
        </is>
      </c>
      <c r="C486" t="inlineStr">
        <is>
          <t>MT</t>
        </is>
      </c>
      <c r="D486" t="inlineStr">
        <is>
          <t>TCX413U-DS1B01</t>
        </is>
      </c>
      <c r="E486" s="2" t="n">
        <v>46107</v>
      </c>
      <c r="F486" t="inlineStr">
        <is>
          <t>Pass</t>
        </is>
      </c>
      <c r="G486" t="n">
        <v>114.2</v>
      </c>
      <c r="H486" t="n">
        <v>82.5</v>
      </c>
      <c r="I486" t="n">
        <v>-1957.8</v>
      </c>
      <c r="J486" t="n">
        <v>71.3</v>
      </c>
      <c r="K486" t="n">
        <v>0</v>
      </c>
      <c r="L486" t="n">
        <v>0.9</v>
      </c>
      <c r="M486" t="n">
        <v>0</v>
      </c>
      <c r="N486" t="n">
        <v>70.40000000000001</v>
      </c>
      <c r="O486" t="n">
        <v>112.3</v>
      </c>
      <c r="P486" t="n">
        <v>117</v>
      </c>
      <c r="Q486" t="n">
        <v>3.96</v>
      </c>
      <c r="R486" t="n">
        <v>3.83</v>
      </c>
      <c r="S486">
        <f>IF(OR(G486=0,G486=""),"",ABS((G486-IF($C486="LT",Config!$F$2,Config!$F$14))/IF($C486="LT",Config!$G$2,Config!$G$14)))</f>
        <v/>
      </c>
      <c r="T486">
        <f>IF(OR(H486=0,H486=""),"",ABS((H486-IF($C486="LT",Config!$F$3,Config!$F$15))/IF($C486="LT",Config!$G$3,Config!$G$15)))</f>
        <v/>
      </c>
      <c r="U486">
        <f>IF(OR(I486=0,I486=""),"",ABS((I486-IF($C486="LT",Config!$F$4,Config!$F$16))/IF($C486="LT",Config!$G$4,Config!$G$16)))</f>
        <v/>
      </c>
      <c r="V486">
        <f>IF(OR(J486=0,J486=""),"",ABS((J486-IF($C486="LT",Config!$F$5,Config!$F$17))/IF($C486="LT",Config!$G$5,Config!$G$17)))</f>
        <v/>
      </c>
      <c r="W486">
        <f>IF(OR(K486=0,K486=""),"",ABS((K486-IF($C486="LT",Config!$F$6,Config!$F$18))/IF($C486="LT",Config!$G$6,Config!$G$18)))</f>
        <v/>
      </c>
      <c r="X486">
        <f>IF(OR(L486=0,L486=""),"",ABS((L486-IF($C486="LT",Config!$F$7,Config!$F$19))/IF($C486="LT",Config!$G$7,Config!$G$19)))</f>
        <v/>
      </c>
      <c r="Y486">
        <f>IF(OR(M486=0,M486=""),"",ABS((M486-IF($C486="LT",Config!$F$8,Config!$F$20))/IF($C486="LT",Config!$G$8,Config!$G$20)))</f>
        <v/>
      </c>
      <c r="Z486">
        <f>IF(OR(N486=0,N486=""),"",ABS((N486-IF($C486="LT",Config!$F$9,Config!$F$21))/IF($C486="LT",Config!$G$9,Config!$G$21)))</f>
        <v/>
      </c>
      <c r="AA486">
        <f>IF(OR(O486=0,O486=""),"",ABS((O486-IF($C486="LT",Config!$F$10,Config!$F$22))/IF($C486="LT",Config!$G$10,Config!$G$22)))</f>
        <v/>
      </c>
      <c r="AB486">
        <f>IF(OR(P486=0,P486=""),"",ABS((P486-IF($C486="LT",Config!$F$11,Config!$F$23))/IF($C486="LT",Config!$G$11,Config!$G$23)))</f>
        <v/>
      </c>
      <c r="AC486">
        <f>IF(OR(Q486=0,Q486=""),"",ABS((Q486-IF($C486="LT",Config!$F$12,Config!$F$24))/IF($C486="LT",Config!$G$12,Config!$G$24)))</f>
        <v/>
      </c>
      <c r="AD486">
        <f>IF(OR(R486=0,R486=""),"",ABS((R486-IF($C486="LT",Config!$F$13,Config!$F$25))/IF($C486="LT",Config!$G$13,Config!$G$25)))</f>
        <v/>
      </c>
    </row>
    <row r="487">
      <c r="A487" t="inlineStr">
        <is>
          <t>04C2626121106</t>
        </is>
      </c>
      <c r="B487" t="inlineStr">
        <is>
          <t>CRS0000674</t>
        </is>
      </c>
      <c r="C487" t="inlineStr">
        <is>
          <t>MT</t>
        </is>
      </c>
      <c r="D487" t="inlineStr">
        <is>
          <t>TCX413U-DS1B01</t>
        </is>
      </c>
      <c r="E487" s="2" t="n">
        <v>46108</v>
      </c>
      <c r="F487" t="inlineStr">
        <is>
          <t>Pass</t>
        </is>
      </c>
      <c r="G487" t="n">
        <v>108.4</v>
      </c>
      <c r="H487" t="n">
        <v>78.90000000000001</v>
      </c>
      <c r="I487" t="n">
        <v>-1957.8</v>
      </c>
      <c r="J487" t="n">
        <v>68.2</v>
      </c>
      <c r="K487" t="n">
        <v>0</v>
      </c>
      <c r="L487" t="n">
        <v>0.2</v>
      </c>
      <c r="M487" t="n">
        <v>0</v>
      </c>
      <c r="N487" t="n">
        <v>68</v>
      </c>
      <c r="O487" t="n">
        <v>111.79</v>
      </c>
      <c r="P487" t="n">
        <v>113.26</v>
      </c>
      <c r="Q487" t="n">
        <v>3.86</v>
      </c>
      <c r="R487" t="n">
        <v>3.88</v>
      </c>
      <c r="S487">
        <f>IF(OR(G487=0,G487=""),"",ABS((G487-IF($C487="LT",Config!$F$2,Config!$F$14))/IF($C487="LT",Config!$G$2,Config!$G$14)))</f>
        <v/>
      </c>
      <c r="T487">
        <f>IF(OR(H487=0,H487=""),"",ABS((H487-IF($C487="LT",Config!$F$3,Config!$F$15))/IF($C487="LT",Config!$G$3,Config!$G$15)))</f>
        <v/>
      </c>
      <c r="U487">
        <f>IF(OR(I487=0,I487=""),"",ABS((I487-IF($C487="LT",Config!$F$4,Config!$F$16))/IF($C487="LT",Config!$G$4,Config!$G$16)))</f>
        <v/>
      </c>
      <c r="V487">
        <f>IF(OR(J487=0,J487=""),"",ABS((J487-IF($C487="LT",Config!$F$5,Config!$F$17))/IF($C487="LT",Config!$G$5,Config!$G$17)))</f>
        <v/>
      </c>
      <c r="W487">
        <f>IF(OR(K487=0,K487=""),"",ABS((K487-IF($C487="LT",Config!$F$6,Config!$F$18))/IF($C487="LT",Config!$G$6,Config!$G$18)))</f>
        <v/>
      </c>
      <c r="X487">
        <f>IF(OR(L487=0,L487=""),"",ABS((L487-IF($C487="LT",Config!$F$7,Config!$F$19))/IF($C487="LT",Config!$G$7,Config!$G$19)))</f>
        <v/>
      </c>
      <c r="Y487">
        <f>IF(OR(M487=0,M487=""),"",ABS((M487-IF($C487="LT",Config!$F$8,Config!$F$20))/IF($C487="LT",Config!$G$8,Config!$G$20)))</f>
        <v/>
      </c>
      <c r="Z487">
        <f>IF(OR(N487=0,N487=""),"",ABS((N487-IF($C487="LT",Config!$F$9,Config!$F$21))/IF($C487="LT",Config!$G$9,Config!$G$21)))</f>
        <v/>
      </c>
      <c r="AA487">
        <f>IF(OR(O487=0,O487=""),"",ABS((O487-IF($C487="LT",Config!$F$10,Config!$F$22))/IF($C487="LT",Config!$G$10,Config!$G$22)))</f>
        <v/>
      </c>
      <c r="AB487">
        <f>IF(OR(P487=0,P487=""),"",ABS((P487-IF($C487="LT",Config!$F$11,Config!$F$23))/IF($C487="LT",Config!$G$11,Config!$G$23)))</f>
        <v/>
      </c>
      <c r="AC487">
        <f>IF(OR(Q487=0,Q487=""),"",ABS((Q487-IF($C487="LT",Config!$F$12,Config!$F$24))/IF($C487="LT",Config!$G$12,Config!$G$24)))</f>
        <v/>
      </c>
      <c r="AD487">
        <f>IF(OR(R487=0,R487=""),"",ABS((R487-IF($C487="LT",Config!$F$13,Config!$F$25))/IF($C487="LT",Config!$G$13,Config!$G$25)))</f>
        <v/>
      </c>
    </row>
    <row r="488">
      <c r="A488" t="inlineStr">
        <is>
          <t>04C2626121107</t>
        </is>
      </c>
      <c r="B488" t="inlineStr">
        <is>
          <t>CRS0000674</t>
        </is>
      </c>
      <c r="C488" t="inlineStr">
        <is>
          <t>MT</t>
        </is>
      </c>
      <c r="D488" t="inlineStr">
        <is>
          <t>TCX413U-DS1B01</t>
        </is>
      </c>
      <c r="E488" s="2" t="n">
        <v>46108</v>
      </c>
      <c r="F488" t="inlineStr">
        <is>
          <t>Pass</t>
        </is>
      </c>
      <c r="G488" t="n">
        <v>112.4</v>
      </c>
      <c r="H488" t="n">
        <v>79.3</v>
      </c>
      <c r="I488" t="n">
        <v>-1957.8</v>
      </c>
      <c r="J488" t="n">
        <v>68.2</v>
      </c>
      <c r="K488" t="n">
        <v>0</v>
      </c>
      <c r="L488" t="n">
        <v>0.5</v>
      </c>
      <c r="M488" t="n">
        <v>0</v>
      </c>
      <c r="N488" t="n">
        <v>67.7</v>
      </c>
      <c r="O488" t="n">
        <v>112.08</v>
      </c>
      <c r="P488" t="n">
        <v>113.7</v>
      </c>
      <c r="Q488" t="n">
        <v>3.76</v>
      </c>
      <c r="R488" t="n">
        <v>3.74</v>
      </c>
      <c r="S488">
        <f>IF(OR(G488=0,G488=""),"",ABS((G488-IF($C488="LT",Config!$F$2,Config!$F$14))/IF($C488="LT",Config!$G$2,Config!$G$14)))</f>
        <v/>
      </c>
      <c r="T488">
        <f>IF(OR(H488=0,H488=""),"",ABS((H488-IF($C488="LT",Config!$F$3,Config!$F$15))/IF($C488="LT",Config!$G$3,Config!$G$15)))</f>
        <v/>
      </c>
      <c r="U488">
        <f>IF(OR(I488=0,I488=""),"",ABS((I488-IF($C488="LT",Config!$F$4,Config!$F$16))/IF($C488="LT",Config!$G$4,Config!$G$16)))</f>
        <v/>
      </c>
      <c r="V488">
        <f>IF(OR(J488=0,J488=""),"",ABS((J488-IF($C488="LT",Config!$F$5,Config!$F$17))/IF($C488="LT",Config!$G$5,Config!$G$17)))</f>
        <v/>
      </c>
      <c r="W488">
        <f>IF(OR(K488=0,K488=""),"",ABS((K488-IF($C488="LT",Config!$F$6,Config!$F$18))/IF($C488="LT",Config!$G$6,Config!$G$18)))</f>
        <v/>
      </c>
      <c r="X488">
        <f>IF(OR(L488=0,L488=""),"",ABS((L488-IF($C488="LT",Config!$F$7,Config!$F$19))/IF($C488="LT",Config!$G$7,Config!$G$19)))</f>
        <v/>
      </c>
      <c r="Y488">
        <f>IF(OR(M488=0,M488=""),"",ABS((M488-IF($C488="LT",Config!$F$8,Config!$F$20))/IF($C488="LT",Config!$G$8,Config!$G$20)))</f>
        <v/>
      </c>
      <c r="Z488">
        <f>IF(OR(N488=0,N488=""),"",ABS((N488-IF($C488="LT",Config!$F$9,Config!$F$21))/IF($C488="LT",Config!$G$9,Config!$G$21)))</f>
        <v/>
      </c>
      <c r="AA488">
        <f>IF(OR(O488=0,O488=""),"",ABS((O488-IF($C488="LT",Config!$F$10,Config!$F$22))/IF($C488="LT",Config!$G$10,Config!$G$22)))</f>
        <v/>
      </c>
      <c r="AB488">
        <f>IF(OR(P488=0,P488=""),"",ABS((P488-IF($C488="LT",Config!$F$11,Config!$F$23))/IF($C488="LT",Config!$G$11,Config!$G$23)))</f>
        <v/>
      </c>
      <c r="AC488">
        <f>IF(OR(Q488=0,Q488=""),"",ABS((Q488-IF($C488="LT",Config!$F$12,Config!$F$24))/IF($C488="LT",Config!$G$12,Config!$G$24)))</f>
        <v/>
      </c>
      <c r="AD488">
        <f>IF(OR(R488=0,R488=""),"",ABS((R488-IF($C488="LT",Config!$F$13,Config!$F$25))/IF($C488="LT",Config!$G$13,Config!$G$25)))</f>
        <v/>
      </c>
    </row>
    <row r="489">
      <c r="A489" t="inlineStr">
        <is>
          <t>04C2626121108</t>
        </is>
      </c>
      <c r="B489" t="inlineStr">
        <is>
          <t>CRS0000674</t>
        </is>
      </c>
      <c r="C489" t="inlineStr">
        <is>
          <t>MT</t>
        </is>
      </c>
      <c r="D489" t="inlineStr">
        <is>
          <t>TCX413U-DS1B01</t>
        </is>
      </c>
      <c r="E489" s="2" t="n">
        <v>46108</v>
      </c>
      <c r="F489" t="inlineStr">
        <is>
          <t>Pass</t>
        </is>
      </c>
      <c r="G489" t="n">
        <v>112.9</v>
      </c>
      <c r="H489" t="n">
        <v>80.7</v>
      </c>
      <c r="I489" t="n">
        <v>-1957.8</v>
      </c>
      <c r="J489" t="n">
        <v>68.59999999999999</v>
      </c>
      <c r="K489" t="n">
        <v>0</v>
      </c>
      <c r="L489" t="n">
        <v>1.7</v>
      </c>
      <c r="M489" t="n">
        <v>0</v>
      </c>
      <c r="N489" t="n">
        <v>66.90000000000001</v>
      </c>
      <c r="O489" t="n">
        <v>115.09</v>
      </c>
      <c r="P489" t="n">
        <v>115.16</v>
      </c>
      <c r="Q489" t="n">
        <v>3.64</v>
      </c>
      <c r="R489" t="n">
        <v>3.69</v>
      </c>
      <c r="S489">
        <f>IF(OR(G489=0,G489=""),"",ABS((G489-IF($C489="LT",Config!$F$2,Config!$F$14))/IF($C489="LT",Config!$G$2,Config!$G$14)))</f>
        <v/>
      </c>
      <c r="T489">
        <f>IF(OR(H489=0,H489=""),"",ABS((H489-IF($C489="LT",Config!$F$3,Config!$F$15))/IF($C489="LT",Config!$G$3,Config!$G$15)))</f>
        <v/>
      </c>
      <c r="U489">
        <f>IF(OR(I489=0,I489=""),"",ABS((I489-IF($C489="LT",Config!$F$4,Config!$F$16))/IF($C489="LT",Config!$G$4,Config!$G$16)))</f>
        <v/>
      </c>
      <c r="V489">
        <f>IF(OR(J489=0,J489=""),"",ABS((J489-IF($C489="LT",Config!$F$5,Config!$F$17))/IF($C489="LT",Config!$G$5,Config!$G$17)))</f>
        <v/>
      </c>
      <c r="W489">
        <f>IF(OR(K489=0,K489=""),"",ABS((K489-IF($C489="LT",Config!$F$6,Config!$F$18))/IF($C489="LT",Config!$G$6,Config!$G$18)))</f>
        <v/>
      </c>
      <c r="X489">
        <f>IF(OR(L489=0,L489=""),"",ABS((L489-IF($C489="LT",Config!$F$7,Config!$F$19))/IF($C489="LT",Config!$G$7,Config!$G$19)))</f>
        <v/>
      </c>
      <c r="Y489">
        <f>IF(OR(M489=0,M489=""),"",ABS((M489-IF($C489="LT",Config!$F$8,Config!$F$20))/IF($C489="LT",Config!$G$8,Config!$G$20)))</f>
        <v/>
      </c>
      <c r="Z489">
        <f>IF(OR(N489=0,N489=""),"",ABS((N489-IF($C489="LT",Config!$F$9,Config!$F$21))/IF($C489="LT",Config!$G$9,Config!$G$21)))</f>
        <v/>
      </c>
      <c r="AA489">
        <f>IF(OR(O489=0,O489=""),"",ABS((O489-IF($C489="LT",Config!$F$10,Config!$F$22))/IF($C489="LT",Config!$G$10,Config!$G$22)))</f>
        <v/>
      </c>
      <c r="AB489">
        <f>IF(OR(P489=0,P489=""),"",ABS((P489-IF($C489="LT",Config!$F$11,Config!$F$23))/IF($C489="LT",Config!$G$11,Config!$G$23)))</f>
        <v/>
      </c>
      <c r="AC489">
        <f>IF(OR(Q489=0,Q489=""),"",ABS((Q489-IF($C489="LT",Config!$F$12,Config!$F$24))/IF($C489="LT",Config!$G$12,Config!$G$24)))</f>
        <v/>
      </c>
      <c r="AD489">
        <f>IF(OR(R489=0,R489=""),"",ABS((R489-IF($C489="LT",Config!$F$13,Config!$F$25))/IF($C489="LT",Config!$G$13,Config!$G$25)))</f>
        <v/>
      </c>
    </row>
    <row r="490">
      <c r="A490" t="inlineStr">
        <is>
          <t>04C2726121109</t>
        </is>
      </c>
      <c r="B490" t="inlineStr">
        <is>
          <t>CRS0000674</t>
        </is>
      </c>
      <c r="C490" t="inlineStr">
        <is>
          <t>MT</t>
        </is>
      </c>
      <c r="D490" t="inlineStr">
        <is>
          <t>TCX413U-DS1B01</t>
        </is>
      </c>
      <c r="E490" s="2" t="n">
        <v>46108</v>
      </c>
      <c r="F490" t="inlineStr">
        <is>
          <t>Fail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>
        <f>IF(OR(G490=0,G490=""),"",ABS((G490-IF($C490="LT",Config!$F$2,Config!$F$14))/IF($C490="LT",Config!$G$2,Config!$G$14)))</f>
        <v/>
      </c>
      <c r="T490">
        <f>IF(OR(H490=0,H490=""),"",ABS((H490-IF($C490="LT",Config!$F$3,Config!$F$15))/IF($C490="LT",Config!$G$3,Config!$G$15)))</f>
        <v/>
      </c>
      <c r="U490">
        <f>IF(OR(I490=0,I490=""),"",ABS((I490-IF($C490="LT",Config!$F$4,Config!$F$16))/IF($C490="LT",Config!$G$4,Config!$G$16)))</f>
        <v/>
      </c>
      <c r="V490">
        <f>IF(OR(J490=0,J490=""),"",ABS((J490-IF($C490="LT",Config!$F$5,Config!$F$17))/IF($C490="LT",Config!$G$5,Config!$G$17)))</f>
        <v/>
      </c>
      <c r="W490">
        <f>IF(OR(K490=0,K490=""),"",ABS((K490-IF($C490="LT",Config!$F$6,Config!$F$18))/IF($C490="LT",Config!$G$6,Config!$G$18)))</f>
        <v/>
      </c>
      <c r="X490">
        <f>IF(OR(L490=0,L490=""),"",ABS((L490-IF($C490="LT",Config!$F$7,Config!$F$19))/IF($C490="LT",Config!$G$7,Config!$G$19)))</f>
        <v/>
      </c>
      <c r="Y490">
        <f>IF(OR(M490=0,M490=""),"",ABS((M490-IF($C490="LT",Config!$F$8,Config!$F$20))/IF($C490="LT",Config!$G$8,Config!$G$20)))</f>
        <v/>
      </c>
      <c r="Z490">
        <f>IF(OR(N490=0,N490=""),"",ABS((N490-IF($C490="LT",Config!$F$9,Config!$F$21))/IF($C490="LT",Config!$G$9,Config!$G$21)))</f>
        <v/>
      </c>
      <c r="AA490">
        <f>IF(OR(O490=0,O490=""),"",ABS((O490-IF($C490="LT",Config!$F$10,Config!$F$22))/IF($C490="LT",Config!$G$10,Config!$G$22)))</f>
        <v/>
      </c>
      <c r="AB490">
        <f>IF(OR(P490=0,P490=""),"",ABS((P490-IF($C490="LT",Config!$F$11,Config!$F$23))/IF($C490="LT",Config!$G$11,Config!$G$23)))</f>
        <v/>
      </c>
      <c r="AC490">
        <f>IF(OR(Q490=0,Q490=""),"",ABS((Q490-IF($C490="LT",Config!$F$12,Config!$F$24))/IF($C490="LT",Config!$G$12,Config!$G$24)))</f>
        <v/>
      </c>
      <c r="AD490">
        <f>IF(OR(R490=0,R490=""),"",ABS((R490-IF($C490="LT",Config!$F$13,Config!$F$25))/IF($C490="LT",Config!$G$13,Config!$G$25)))</f>
        <v/>
      </c>
    </row>
    <row r="491">
      <c r="A491" t="inlineStr">
        <is>
          <t>04C2726121109</t>
        </is>
      </c>
      <c r="B491" t="inlineStr">
        <is>
          <t>CRS0000674</t>
        </is>
      </c>
      <c r="C491" t="inlineStr">
        <is>
          <t>MT</t>
        </is>
      </c>
      <c r="D491" t="inlineStr">
        <is>
          <t>TCX413U-DS1B01</t>
        </is>
      </c>
      <c r="E491" s="2" t="n">
        <v>46108</v>
      </c>
      <c r="F491" t="inlineStr">
        <is>
          <t>Fail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>
        <f>IF(OR(G491=0,G491=""),"",ABS((G491-IF($C491="LT",Config!$F$2,Config!$F$14))/IF($C491="LT",Config!$G$2,Config!$G$14)))</f>
        <v/>
      </c>
      <c r="T491">
        <f>IF(OR(H491=0,H491=""),"",ABS((H491-IF($C491="LT",Config!$F$3,Config!$F$15))/IF($C491="LT",Config!$G$3,Config!$G$15)))</f>
        <v/>
      </c>
      <c r="U491">
        <f>IF(OR(I491=0,I491=""),"",ABS((I491-IF($C491="LT",Config!$F$4,Config!$F$16))/IF($C491="LT",Config!$G$4,Config!$G$16)))</f>
        <v/>
      </c>
      <c r="V491">
        <f>IF(OR(J491=0,J491=""),"",ABS((J491-IF($C491="LT",Config!$F$5,Config!$F$17))/IF($C491="LT",Config!$G$5,Config!$G$17)))</f>
        <v/>
      </c>
      <c r="W491">
        <f>IF(OR(K491=0,K491=""),"",ABS((K491-IF($C491="LT",Config!$F$6,Config!$F$18))/IF($C491="LT",Config!$G$6,Config!$G$18)))</f>
        <v/>
      </c>
      <c r="X491">
        <f>IF(OR(L491=0,L491=""),"",ABS((L491-IF($C491="LT",Config!$F$7,Config!$F$19))/IF($C491="LT",Config!$G$7,Config!$G$19)))</f>
        <v/>
      </c>
      <c r="Y491">
        <f>IF(OR(M491=0,M491=""),"",ABS((M491-IF($C491="LT",Config!$F$8,Config!$F$20))/IF($C491="LT",Config!$G$8,Config!$G$20)))</f>
        <v/>
      </c>
      <c r="Z491">
        <f>IF(OR(N491=0,N491=""),"",ABS((N491-IF($C491="LT",Config!$F$9,Config!$F$21))/IF($C491="LT",Config!$G$9,Config!$G$21)))</f>
        <v/>
      </c>
      <c r="AA491">
        <f>IF(OR(O491=0,O491=""),"",ABS((O491-IF($C491="LT",Config!$F$10,Config!$F$22))/IF($C491="LT",Config!$G$10,Config!$G$22)))</f>
        <v/>
      </c>
      <c r="AB491">
        <f>IF(OR(P491=0,P491=""),"",ABS((P491-IF($C491="LT",Config!$F$11,Config!$F$23))/IF($C491="LT",Config!$G$11,Config!$G$23)))</f>
        <v/>
      </c>
      <c r="AC491">
        <f>IF(OR(Q491=0,Q491=""),"",ABS((Q491-IF($C491="LT",Config!$F$12,Config!$F$24))/IF($C491="LT",Config!$G$12,Config!$G$24)))</f>
        <v/>
      </c>
      <c r="AD491">
        <f>IF(OR(R491=0,R491=""),"",ABS((R491-IF($C491="LT",Config!$F$13,Config!$F$25))/IF($C491="LT",Config!$G$13,Config!$G$25)))</f>
        <v/>
      </c>
    </row>
    <row r="492">
      <c r="A492" t="inlineStr">
        <is>
          <t>04C2726121109</t>
        </is>
      </c>
      <c r="B492" t="inlineStr">
        <is>
          <t>CRS0000674</t>
        </is>
      </c>
      <c r="C492" t="inlineStr">
        <is>
          <t>MT</t>
        </is>
      </c>
      <c r="D492" t="inlineStr">
        <is>
          <t>TCX413U-DS1B01</t>
        </is>
      </c>
      <c r="E492" s="2" t="n">
        <v>46108</v>
      </c>
      <c r="F492" t="inlineStr">
        <is>
          <t>Fail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>
        <f>IF(OR(G492=0,G492=""),"",ABS((G492-IF($C492="LT",Config!$F$2,Config!$F$14))/IF($C492="LT",Config!$G$2,Config!$G$14)))</f>
        <v/>
      </c>
      <c r="T492">
        <f>IF(OR(H492=0,H492=""),"",ABS((H492-IF($C492="LT",Config!$F$3,Config!$F$15))/IF($C492="LT",Config!$G$3,Config!$G$15)))</f>
        <v/>
      </c>
      <c r="U492">
        <f>IF(OR(I492=0,I492=""),"",ABS((I492-IF($C492="LT",Config!$F$4,Config!$F$16))/IF($C492="LT",Config!$G$4,Config!$G$16)))</f>
        <v/>
      </c>
      <c r="V492">
        <f>IF(OR(J492=0,J492=""),"",ABS((J492-IF($C492="LT",Config!$F$5,Config!$F$17))/IF($C492="LT",Config!$G$5,Config!$G$17)))</f>
        <v/>
      </c>
      <c r="W492">
        <f>IF(OR(K492=0,K492=""),"",ABS((K492-IF($C492="LT",Config!$F$6,Config!$F$18))/IF($C492="LT",Config!$G$6,Config!$G$18)))</f>
        <v/>
      </c>
      <c r="X492">
        <f>IF(OR(L492=0,L492=""),"",ABS((L492-IF($C492="LT",Config!$F$7,Config!$F$19))/IF($C492="LT",Config!$G$7,Config!$G$19)))</f>
        <v/>
      </c>
      <c r="Y492">
        <f>IF(OR(M492=0,M492=""),"",ABS((M492-IF($C492="LT",Config!$F$8,Config!$F$20))/IF($C492="LT",Config!$G$8,Config!$G$20)))</f>
        <v/>
      </c>
      <c r="Z492">
        <f>IF(OR(N492=0,N492=""),"",ABS((N492-IF($C492="LT",Config!$F$9,Config!$F$21))/IF($C492="LT",Config!$G$9,Config!$G$21)))</f>
        <v/>
      </c>
      <c r="AA492">
        <f>IF(OR(O492=0,O492=""),"",ABS((O492-IF($C492="LT",Config!$F$10,Config!$F$22))/IF($C492="LT",Config!$G$10,Config!$G$22)))</f>
        <v/>
      </c>
      <c r="AB492">
        <f>IF(OR(P492=0,P492=""),"",ABS((P492-IF($C492="LT",Config!$F$11,Config!$F$23))/IF($C492="LT",Config!$G$11,Config!$G$23)))</f>
        <v/>
      </c>
      <c r="AC492">
        <f>IF(OR(Q492=0,Q492=""),"",ABS((Q492-IF($C492="LT",Config!$F$12,Config!$F$24))/IF($C492="LT",Config!$G$12,Config!$G$24)))</f>
        <v/>
      </c>
      <c r="AD492">
        <f>IF(OR(R492=0,R492=""),"",ABS((R492-IF($C492="LT",Config!$F$13,Config!$F$25))/IF($C492="LT",Config!$G$13,Config!$G$25)))</f>
        <v/>
      </c>
    </row>
    <row r="493">
      <c r="A493" t="inlineStr">
        <is>
          <t>04C2726121109</t>
        </is>
      </c>
      <c r="B493" t="inlineStr">
        <is>
          <t>CRS0000674</t>
        </is>
      </c>
      <c r="C493" t="inlineStr">
        <is>
          <t>MT</t>
        </is>
      </c>
      <c r="D493" t="inlineStr">
        <is>
          <t>TCX413U-DS1B01</t>
        </is>
      </c>
      <c r="E493" s="2" t="n">
        <v>46108</v>
      </c>
      <c r="F493" t="inlineStr">
        <is>
          <t>Pass</t>
        </is>
      </c>
      <c r="G493" t="n">
        <v>116.9</v>
      </c>
      <c r="H493" t="n">
        <v>84.3</v>
      </c>
      <c r="I493" t="n">
        <v>-1957.8</v>
      </c>
      <c r="J493" t="n">
        <v>69.5</v>
      </c>
      <c r="K493" t="n">
        <v>0</v>
      </c>
      <c r="L493" t="n">
        <v>0.2</v>
      </c>
      <c r="M493" t="n">
        <v>0</v>
      </c>
      <c r="N493" t="n">
        <v>69.3</v>
      </c>
      <c r="O493" t="n">
        <v>112.16</v>
      </c>
      <c r="P493" t="n">
        <v>116.19</v>
      </c>
      <c r="Q493" t="n">
        <v>4.03</v>
      </c>
      <c r="R493" t="n">
        <v>4.03</v>
      </c>
      <c r="S493">
        <f>IF(OR(G493=0,G493=""),"",ABS((G493-IF($C493="LT",Config!$F$2,Config!$F$14))/IF($C493="LT",Config!$G$2,Config!$G$14)))</f>
        <v/>
      </c>
      <c r="T493">
        <f>IF(OR(H493=0,H493=""),"",ABS((H493-IF($C493="LT",Config!$F$3,Config!$F$15))/IF($C493="LT",Config!$G$3,Config!$G$15)))</f>
        <v/>
      </c>
      <c r="U493">
        <f>IF(OR(I493=0,I493=""),"",ABS((I493-IF($C493="LT",Config!$F$4,Config!$F$16))/IF($C493="LT",Config!$G$4,Config!$G$16)))</f>
        <v/>
      </c>
      <c r="V493">
        <f>IF(OR(J493=0,J493=""),"",ABS((J493-IF($C493="LT",Config!$F$5,Config!$F$17))/IF($C493="LT",Config!$G$5,Config!$G$17)))</f>
        <v/>
      </c>
      <c r="W493">
        <f>IF(OR(K493=0,K493=""),"",ABS((K493-IF($C493="LT",Config!$F$6,Config!$F$18))/IF($C493="LT",Config!$G$6,Config!$G$18)))</f>
        <v/>
      </c>
      <c r="X493">
        <f>IF(OR(L493=0,L493=""),"",ABS((L493-IF($C493="LT",Config!$F$7,Config!$F$19))/IF($C493="LT",Config!$G$7,Config!$G$19)))</f>
        <v/>
      </c>
      <c r="Y493">
        <f>IF(OR(M493=0,M493=""),"",ABS((M493-IF($C493="LT",Config!$F$8,Config!$F$20))/IF($C493="LT",Config!$G$8,Config!$G$20)))</f>
        <v/>
      </c>
      <c r="Z493">
        <f>IF(OR(N493=0,N493=""),"",ABS((N493-IF($C493="LT",Config!$F$9,Config!$F$21))/IF($C493="LT",Config!$G$9,Config!$G$21)))</f>
        <v/>
      </c>
      <c r="AA493">
        <f>IF(OR(O493=0,O493=""),"",ABS((O493-IF($C493="LT",Config!$F$10,Config!$F$22))/IF($C493="LT",Config!$G$10,Config!$G$22)))</f>
        <v/>
      </c>
      <c r="AB493">
        <f>IF(OR(P493=0,P493=""),"",ABS((P493-IF($C493="LT",Config!$F$11,Config!$F$23))/IF($C493="LT",Config!$G$11,Config!$G$23)))</f>
        <v/>
      </c>
      <c r="AC493">
        <f>IF(OR(Q493=0,Q493=""),"",ABS((Q493-IF($C493="LT",Config!$F$12,Config!$F$24))/IF($C493="LT",Config!$G$12,Config!$G$24)))</f>
        <v/>
      </c>
      <c r="AD493">
        <f>IF(OR(R493=0,R493=""),"",ABS((R493-IF($C493="LT",Config!$F$13,Config!$F$25))/IF($C493="LT",Config!$G$13,Config!$G$25)))</f>
        <v/>
      </c>
    </row>
    <row r="494">
      <c r="A494" t="inlineStr">
        <is>
          <t>04C2726121110</t>
        </is>
      </c>
      <c r="B494" t="inlineStr">
        <is>
          <t>CRS0000674</t>
        </is>
      </c>
      <c r="C494" t="inlineStr">
        <is>
          <t>MT</t>
        </is>
      </c>
      <c r="D494" t="inlineStr">
        <is>
          <t>TCX413U-DS1B01</t>
        </is>
      </c>
      <c r="E494" s="2" t="n">
        <v>46108</v>
      </c>
      <c r="F494" t="inlineStr">
        <is>
          <t>Pass</t>
        </is>
      </c>
      <c r="G494" t="n">
        <v>112.9</v>
      </c>
      <c r="H494" t="n">
        <v>82</v>
      </c>
      <c r="I494" t="n">
        <v>-1957.8</v>
      </c>
      <c r="J494" t="n">
        <v>70</v>
      </c>
      <c r="K494" t="n">
        <v>0</v>
      </c>
      <c r="L494" t="n">
        <v>1.3</v>
      </c>
      <c r="M494" t="n">
        <v>0</v>
      </c>
      <c r="N494" t="n">
        <v>68.7</v>
      </c>
      <c r="O494" t="n">
        <v>112.08</v>
      </c>
      <c r="P494" t="n">
        <v>113.62</v>
      </c>
      <c r="Q494" t="n">
        <v>4.13</v>
      </c>
      <c r="R494" t="n">
        <v>4.13</v>
      </c>
      <c r="S494">
        <f>IF(OR(G494=0,G494=""),"",ABS((G494-IF($C494="LT",Config!$F$2,Config!$F$14))/IF($C494="LT",Config!$G$2,Config!$G$14)))</f>
        <v/>
      </c>
      <c r="T494">
        <f>IF(OR(H494=0,H494=""),"",ABS((H494-IF($C494="LT",Config!$F$3,Config!$F$15))/IF($C494="LT",Config!$G$3,Config!$G$15)))</f>
        <v/>
      </c>
      <c r="U494">
        <f>IF(OR(I494=0,I494=""),"",ABS((I494-IF($C494="LT",Config!$F$4,Config!$F$16))/IF($C494="LT",Config!$G$4,Config!$G$16)))</f>
        <v/>
      </c>
      <c r="V494">
        <f>IF(OR(J494=0,J494=""),"",ABS((J494-IF($C494="LT",Config!$F$5,Config!$F$17))/IF($C494="LT",Config!$G$5,Config!$G$17)))</f>
        <v/>
      </c>
      <c r="W494">
        <f>IF(OR(K494=0,K494=""),"",ABS((K494-IF($C494="LT",Config!$F$6,Config!$F$18))/IF($C494="LT",Config!$G$6,Config!$G$18)))</f>
        <v/>
      </c>
      <c r="X494">
        <f>IF(OR(L494=0,L494=""),"",ABS((L494-IF($C494="LT",Config!$F$7,Config!$F$19))/IF($C494="LT",Config!$G$7,Config!$G$19)))</f>
        <v/>
      </c>
      <c r="Y494">
        <f>IF(OR(M494=0,M494=""),"",ABS((M494-IF($C494="LT",Config!$F$8,Config!$F$20))/IF($C494="LT",Config!$G$8,Config!$G$20)))</f>
        <v/>
      </c>
      <c r="Z494">
        <f>IF(OR(N494=0,N494=""),"",ABS((N494-IF($C494="LT",Config!$F$9,Config!$F$21))/IF($C494="LT",Config!$G$9,Config!$G$21)))</f>
        <v/>
      </c>
      <c r="AA494">
        <f>IF(OR(O494=0,O494=""),"",ABS((O494-IF($C494="LT",Config!$F$10,Config!$F$22))/IF($C494="LT",Config!$G$10,Config!$G$22)))</f>
        <v/>
      </c>
      <c r="AB494">
        <f>IF(OR(P494=0,P494=""),"",ABS((P494-IF($C494="LT",Config!$F$11,Config!$F$23))/IF($C494="LT",Config!$G$11,Config!$G$23)))</f>
        <v/>
      </c>
      <c r="AC494">
        <f>IF(OR(Q494=0,Q494=""),"",ABS((Q494-IF($C494="LT",Config!$F$12,Config!$F$24))/IF($C494="LT",Config!$G$12,Config!$G$24)))</f>
        <v/>
      </c>
      <c r="AD494">
        <f>IF(OR(R494=0,R494=""),"",ABS((R494-IF($C494="LT",Config!$F$13,Config!$F$25))/IF($C494="LT",Config!$G$13,Config!$G$25)))</f>
        <v/>
      </c>
    </row>
    <row r="495">
      <c r="A495" t="inlineStr">
        <is>
          <t>04C2726121111</t>
        </is>
      </c>
      <c r="B495" t="inlineStr">
        <is>
          <t>CRS0000674</t>
        </is>
      </c>
      <c r="C495" t="inlineStr">
        <is>
          <t>MT</t>
        </is>
      </c>
      <c r="D495" t="inlineStr">
        <is>
          <t>TCX413U-DS1B01</t>
        </is>
      </c>
      <c r="E495" s="2" t="n">
        <v>46108</v>
      </c>
      <c r="F495" t="inlineStr">
        <is>
          <t>Pass</t>
        </is>
      </c>
      <c r="G495" t="n">
        <v>109.3</v>
      </c>
      <c r="H495" t="n">
        <v>79.3</v>
      </c>
      <c r="I495" t="n">
        <v>-1957.8</v>
      </c>
      <c r="J495" t="n">
        <v>68.59999999999999</v>
      </c>
      <c r="K495" t="n">
        <v>0</v>
      </c>
      <c r="L495" t="n">
        <v>2.1</v>
      </c>
      <c r="M495" t="n">
        <v>0</v>
      </c>
      <c r="N495" t="n">
        <v>66.5</v>
      </c>
      <c r="O495" t="n">
        <v>115.38</v>
      </c>
      <c r="P495" t="n">
        <v>115.38</v>
      </c>
      <c r="Q495" t="n">
        <v>3.86</v>
      </c>
      <c r="R495" t="n">
        <v>4</v>
      </c>
      <c r="S495">
        <f>IF(OR(G495=0,G495=""),"",ABS((G495-IF($C495="LT",Config!$F$2,Config!$F$14))/IF($C495="LT",Config!$G$2,Config!$G$14)))</f>
        <v/>
      </c>
      <c r="T495">
        <f>IF(OR(H495=0,H495=""),"",ABS((H495-IF($C495="LT",Config!$F$3,Config!$F$15))/IF($C495="LT",Config!$G$3,Config!$G$15)))</f>
        <v/>
      </c>
      <c r="U495">
        <f>IF(OR(I495=0,I495=""),"",ABS((I495-IF($C495="LT",Config!$F$4,Config!$F$16))/IF($C495="LT",Config!$G$4,Config!$G$16)))</f>
        <v/>
      </c>
      <c r="V495">
        <f>IF(OR(J495=0,J495=""),"",ABS((J495-IF($C495="LT",Config!$F$5,Config!$F$17))/IF($C495="LT",Config!$G$5,Config!$G$17)))</f>
        <v/>
      </c>
      <c r="W495">
        <f>IF(OR(K495=0,K495=""),"",ABS((K495-IF($C495="LT",Config!$F$6,Config!$F$18))/IF($C495="LT",Config!$G$6,Config!$G$18)))</f>
        <v/>
      </c>
      <c r="X495">
        <f>IF(OR(L495=0,L495=""),"",ABS((L495-IF($C495="LT",Config!$F$7,Config!$F$19))/IF($C495="LT",Config!$G$7,Config!$G$19)))</f>
        <v/>
      </c>
      <c r="Y495">
        <f>IF(OR(M495=0,M495=""),"",ABS((M495-IF($C495="LT",Config!$F$8,Config!$F$20))/IF($C495="LT",Config!$G$8,Config!$G$20)))</f>
        <v/>
      </c>
      <c r="Z495">
        <f>IF(OR(N495=0,N495=""),"",ABS((N495-IF($C495="LT",Config!$F$9,Config!$F$21))/IF($C495="LT",Config!$G$9,Config!$G$21)))</f>
        <v/>
      </c>
      <c r="AA495">
        <f>IF(OR(O495=0,O495=""),"",ABS((O495-IF($C495="LT",Config!$F$10,Config!$F$22))/IF($C495="LT",Config!$G$10,Config!$G$22)))</f>
        <v/>
      </c>
      <c r="AB495">
        <f>IF(OR(P495=0,P495=""),"",ABS((P495-IF($C495="LT",Config!$F$11,Config!$F$23))/IF($C495="LT",Config!$G$11,Config!$G$23)))</f>
        <v/>
      </c>
      <c r="AC495">
        <f>IF(OR(Q495=0,Q495=""),"",ABS((Q495-IF($C495="LT",Config!$F$12,Config!$F$24))/IF($C495="LT",Config!$G$12,Config!$G$24)))</f>
        <v/>
      </c>
      <c r="AD495">
        <f>IF(OR(R495=0,R495=""),"",ABS((R495-IF($C495="LT",Config!$F$13,Config!$F$25))/IF($C495="LT",Config!$G$13,Config!$G$25)))</f>
        <v/>
      </c>
    </row>
    <row r="496">
      <c r="A496" t="inlineStr">
        <is>
          <t>04C2726121112</t>
        </is>
      </c>
      <c r="B496" t="inlineStr">
        <is>
          <t>CRS0000674</t>
        </is>
      </c>
      <c r="C496" t="inlineStr">
        <is>
          <t>MT</t>
        </is>
      </c>
      <c r="D496" t="inlineStr">
        <is>
          <t>TCX413U-DS1B01</t>
        </is>
      </c>
      <c r="E496" s="2" t="n">
        <v>46108</v>
      </c>
      <c r="F496" t="inlineStr">
        <is>
          <t>Pass</t>
        </is>
      </c>
      <c r="G496" t="n">
        <v>112.9</v>
      </c>
      <c r="H496" t="n">
        <v>81.59999999999999</v>
      </c>
      <c r="I496" t="n">
        <v>-1957.8</v>
      </c>
      <c r="J496" t="n">
        <v>68.59999999999999</v>
      </c>
      <c r="K496" t="n">
        <v>0</v>
      </c>
      <c r="L496" t="n">
        <v>0.3</v>
      </c>
      <c r="M496" t="n">
        <v>0</v>
      </c>
      <c r="N496" t="n">
        <v>68.3</v>
      </c>
      <c r="O496" t="n">
        <v>115.09</v>
      </c>
      <c r="P496" t="n">
        <v>115.02</v>
      </c>
      <c r="Q496" t="n">
        <v>3.83</v>
      </c>
      <c r="R496" t="n">
        <v>3.93</v>
      </c>
      <c r="S496">
        <f>IF(OR(G496=0,G496=""),"",ABS((G496-IF($C496="LT",Config!$F$2,Config!$F$14))/IF($C496="LT",Config!$G$2,Config!$G$14)))</f>
        <v/>
      </c>
      <c r="T496">
        <f>IF(OR(H496=0,H496=""),"",ABS((H496-IF($C496="LT",Config!$F$3,Config!$F$15))/IF($C496="LT",Config!$G$3,Config!$G$15)))</f>
        <v/>
      </c>
      <c r="U496">
        <f>IF(OR(I496=0,I496=""),"",ABS((I496-IF($C496="LT",Config!$F$4,Config!$F$16))/IF($C496="LT",Config!$G$4,Config!$G$16)))</f>
        <v/>
      </c>
      <c r="V496">
        <f>IF(OR(J496=0,J496=""),"",ABS((J496-IF($C496="LT",Config!$F$5,Config!$F$17))/IF($C496="LT",Config!$G$5,Config!$G$17)))</f>
        <v/>
      </c>
      <c r="W496">
        <f>IF(OR(K496=0,K496=""),"",ABS((K496-IF($C496="LT",Config!$F$6,Config!$F$18))/IF($C496="LT",Config!$G$6,Config!$G$18)))</f>
        <v/>
      </c>
      <c r="X496">
        <f>IF(OR(L496=0,L496=""),"",ABS((L496-IF($C496="LT",Config!$F$7,Config!$F$19))/IF($C496="LT",Config!$G$7,Config!$G$19)))</f>
        <v/>
      </c>
      <c r="Y496">
        <f>IF(OR(M496=0,M496=""),"",ABS((M496-IF($C496="LT",Config!$F$8,Config!$F$20))/IF($C496="LT",Config!$G$8,Config!$G$20)))</f>
        <v/>
      </c>
      <c r="Z496">
        <f>IF(OR(N496=0,N496=""),"",ABS((N496-IF($C496="LT",Config!$F$9,Config!$F$21))/IF($C496="LT",Config!$G$9,Config!$G$21)))</f>
        <v/>
      </c>
      <c r="AA496">
        <f>IF(OR(O496=0,O496=""),"",ABS((O496-IF($C496="LT",Config!$F$10,Config!$F$22))/IF($C496="LT",Config!$G$10,Config!$G$22)))</f>
        <v/>
      </c>
      <c r="AB496">
        <f>IF(OR(P496=0,P496=""),"",ABS((P496-IF($C496="LT",Config!$F$11,Config!$F$23))/IF($C496="LT",Config!$G$11,Config!$G$23)))</f>
        <v/>
      </c>
      <c r="AC496">
        <f>IF(OR(Q496=0,Q496=""),"",ABS((Q496-IF($C496="LT",Config!$F$12,Config!$F$24))/IF($C496="LT",Config!$G$12,Config!$G$24)))</f>
        <v/>
      </c>
      <c r="AD496">
        <f>IF(OR(R496=0,R496=""),"",ABS((R496-IF($C496="LT",Config!$F$13,Config!$F$25))/IF($C496="LT",Config!$G$13,Config!$G$25)))</f>
        <v/>
      </c>
    </row>
    <row r="497">
      <c r="A497" t="inlineStr">
        <is>
          <t>04C2826121136</t>
        </is>
      </c>
      <c r="B497" t="inlineStr">
        <is>
          <t>CRS0000675</t>
        </is>
      </c>
      <c r="C497" t="inlineStr">
        <is>
          <t>LT</t>
        </is>
      </c>
      <c r="D497" t="inlineStr">
        <is>
          <t>ALX440U-DS3B01</t>
        </is>
      </c>
      <c r="E497" s="2" t="n">
        <v>46111</v>
      </c>
      <c r="F497" t="inlineStr">
        <is>
          <t>Fail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>
        <f>IF(OR(G497=0,G497=""),"",ABS((G497-IF($C497="LT",Config!$F$2,Config!$F$14))/IF($C497="LT",Config!$G$2,Config!$G$14)))</f>
        <v/>
      </c>
      <c r="T497">
        <f>IF(OR(H497=0,H497=""),"",ABS((H497-IF($C497="LT",Config!$F$3,Config!$F$15))/IF($C497="LT",Config!$G$3,Config!$G$15)))</f>
        <v/>
      </c>
      <c r="U497">
        <f>IF(OR(I497=0,I497=""),"",ABS((I497-IF($C497="LT",Config!$F$4,Config!$F$16))/IF($C497="LT",Config!$G$4,Config!$G$16)))</f>
        <v/>
      </c>
      <c r="V497">
        <f>IF(OR(J497=0,J497=""),"",ABS((J497-IF($C497="LT",Config!$F$5,Config!$F$17))/IF($C497="LT",Config!$G$5,Config!$G$17)))</f>
        <v/>
      </c>
      <c r="W497">
        <f>IF(OR(K497=0,K497=""),"",ABS((K497-IF($C497="LT",Config!$F$6,Config!$F$18))/IF($C497="LT",Config!$G$6,Config!$G$18)))</f>
        <v/>
      </c>
      <c r="X497">
        <f>IF(OR(L497=0,L497=""),"",ABS((L497-IF($C497="LT",Config!$F$7,Config!$F$19))/IF($C497="LT",Config!$G$7,Config!$G$19)))</f>
        <v/>
      </c>
      <c r="Y497">
        <f>IF(OR(M497=0,M497=""),"",ABS((M497-IF($C497="LT",Config!$F$8,Config!$F$20))/IF($C497="LT",Config!$G$8,Config!$G$20)))</f>
        <v/>
      </c>
      <c r="Z497">
        <f>IF(OR(N497=0,N497=""),"",ABS((N497-IF($C497="LT",Config!$F$9,Config!$F$21))/IF($C497="LT",Config!$G$9,Config!$G$21)))</f>
        <v/>
      </c>
      <c r="AA497">
        <f>IF(OR(O497=0,O497=""),"",ABS((O497-IF($C497="LT",Config!$F$10,Config!$F$22))/IF($C497="LT",Config!$G$10,Config!$G$22)))</f>
        <v/>
      </c>
      <c r="AB497">
        <f>IF(OR(P497=0,P497=""),"",ABS((P497-IF($C497="LT",Config!$F$11,Config!$F$23))/IF($C497="LT",Config!$G$11,Config!$G$23)))</f>
        <v/>
      </c>
      <c r="AC497">
        <f>IF(OR(Q497=0,Q497=""),"",ABS((Q497-IF($C497="LT",Config!$F$12,Config!$F$24))/IF($C497="LT",Config!$G$12,Config!$G$24)))</f>
        <v/>
      </c>
      <c r="AD497">
        <f>IF(OR(R497=0,R497=""),"",ABS((R497-IF($C497="LT",Config!$F$13,Config!$F$25))/IF($C497="LT",Config!$G$13,Config!$G$25)))</f>
        <v/>
      </c>
    </row>
    <row r="498">
      <c r="A498" t="inlineStr">
        <is>
          <t>04C2826121136</t>
        </is>
      </c>
      <c r="B498" t="inlineStr">
        <is>
          <t>CRS0000675</t>
        </is>
      </c>
      <c r="C498" t="inlineStr">
        <is>
          <t>LT</t>
        </is>
      </c>
      <c r="D498" t="inlineStr">
        <is>
          <t>ALX440U-DS3B01</t>
        </is>
      </c>
      <c r="E498" s="2" t="n">
        <v>46111</v>
      </c>
      <c r="F498" t="inlineStr">
        <is>
          <t>Fail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>
        <f>IF(OR(G498=0,G498=""),"",ABS((G498-IF($C498="LT",Config!$F$2,Config!$F$14))/IF($C498="LT",Config!$G$2,Config!$G$14)))</f>
        <v/>
      </c>
      <c r="T498">
        <f>IF(OR(H498=0,H498=""),"",ABS((H498-IF($C498="LT",Config!$F$3,Config!$F$15))/IF($C498="LT",Config!$G$3,Config!$G$15)))</f>
        <v/>
      </c>
      <c r="U498">
        <f>IF(OR(I498=0,I498=""),"",ABS((I498-IF($C498="LT",Config!$F$4,Config!$F$16))/IF($C498="LT",Config!$G$4,Config!$G$16)))</f>
        <v/>
      </c>
      <c r="V498">
        <f>IF(OR(J498=0,J498=""),"",ABS((J498-IF($C498="LT",Config!$F$5,Config!$F$17))/IF($C498="LT",Config!$G$5,Config!$G$17)))</f>
        <v/>
      </c>
      <c r="W498">
        <f>IF(OR(K498=0,K498=""),"",ABS((K498-IF($C498="LT",Config!$F$6,Config!$F$18))/IF($C498="LT",Config!$G$6,Config!$G$18)))</f>
        <v/>
      </c>
      <c r="X498">
        <f>IF(OR(L498=0,L498=""),"",ABS((L498-IF($C498="LT",Config!$F$7,Config!$F$19))/IF($C498="LT",Config!$G$7,Config!$G$19)))</f>
        <v/>
      </c>
      <c r="Y498">
        <f>IF(OR(M498=0,M498=""),"",ABS((M498-IF($C498="LT",Config!$F$8,Config!$F$20))/IF($C498="LT",Config!$G$8,Config!$G$20)))</f>
        <v/>
      </c>
      <c r="Z498">
        <f>IF(OR(N498=0,N498=""),"",ABS((N498-IF($C498="LT",Config!$F$9,Config!$F$21))/IF($C498="LT",Config!$G$9,Config!$G$21)))</f>
        <v/>
      </c>
      <c r="AA498">
        <f>IF(OR(O498=0,O498=""),"",ABS((O498-IF($C498="LT",Config!$F$10,Config!$F$22))/IF($C498="LT",Config!$G$10,Config!$G$22)))</f>
        <v/>
      </c>
      <c r="AB498">
        <f>IF(OR(P498=0,P498=""),"",ABS((P498-IF($C498="LT",Config!$F$11,Config!$F$23))/IF($C498="LT",Config!$G$11,Config!$G$23)))</f>
        <v/>
      </c>
      <c r="AC498">
        <f>IF(OR(Q498=0,Q498=""),"",ABS((Q498-IF($C498="LT",Config!$F$12,Config!$F$24))/IF($C498="LT",Config!$G$12,Config!$G$24)))</f>
        <v/>
      </c>
      <c r="AD498">
        <f>IF(OR(R498=0,R498=""),"",ABS((R498-IF($C498="LT",Config!$F$13,Config!$F$25))/IF($C498="LT",Config!$G$13,Config!$G$25)))</f>
        <v/>
      </c>
    </row>
    <row r="499">
      <c r="A499" t="inlineStr">
        <is>
          <t>04C2826121136</t>
        </is>
      </c>
      <c r="B499" t="inlineStr">
        <is>
          <t>CRS0000675</t>
        </is>
      </c>
      <c r="C499" t="inlineStr">
        <is>
          <t>LT</t>
        </is>
      </c>
      <c r="D499" t="inlineStr">
        <is>
          <t>ALX440U-DS3B01</t>
        </is>
      </c>
      <c r="E499" s="2" t="n">
        <v>46111</v>
      </c>
      <c r="F499" t="inlineStr">
        <is>
          <t>Pass</t>
        </is>
      </c>
      <c r="G499" t="n">
        <v>145.9</v>
      </c>
      <c r="H499" t="n">
        <v>92.8</v>
      </c>
      <c r="I499" t="n">
        <v>-1957.8</v>
      </c>
      <c r="J499" t="n">
        <v>67.7</v>
      </c>
      <c r="K499" t="n">
        <v>0</v>
      </c>
      <c r="L499" t="n">
        <v>0.9</v>
      </c>
      <c r="M499" t="n">
        <v>0</v>
      </c>
      <c r="N499" t="n">
        <v>66.8</v>
      </c>
      <c r="O499" t="n">
        <v>115.53</v>
      </c>
      <c r="P499" t="n">
        <v>115.38</v>
      </c>
      <c r="Q499" t="n">
        <v>6.71</v>
      </c>
      <c r="R499" t="n">
        <v>7.18</v>
      </c>
      <c r="S499">
        <f>IF(OR(G499=0,G499=""),"",ABS((G499-IF($C499="LT",Config!$F$2,Config!$F$14))/IF($C499="LT",Config!$G$2,Config!$G$14)))</f>
        <v/>
      </c>
      <c r="T499">
        <f>IF(OR(H499=0,H499=""),"",ABS((H499-IF($C499="LT",Config!$F$3,Config!$F$15))/IF($C499="LT",Config!$G$3,Config!$G$15)))</f>
        <v/>
      </c>
      <c r="U499">
        <f>IF(OR(I499=0,I499=""),"",ABS((I499-IF($C499="LT",Config!$F$4,Config!$F$16))/IF($C499="LT",Config!$G$4,Config!$G$16)))</f>
        <v/>
      </c>
      <c r="V499">
        <f>IF(OR(J499=0,J499=""),"",ABS((J499-IF($C499="LT",Config!$F$5,Config!$F$17))/IF($C499="LT",Config!$G$5,Config!$G$17)))</f>
        <v/>
      </c>
      <c r="W499">
        <f>IF(OR(K499=0,K499=""),"",ABS((K499-IF($C499="LT",Config!$F$6,Config!$F$18))/IF($C499="LT",Config!$G$6,Config!$G$18)))</f>
        <v/>
      </c>
      <c r="X499">
        <f>IF(OR(L499=0,L499=""),"",ABS((L499-IF($C499="LT",Config!$F$7,Config!$F$19))/IF($C499="LT",Config!$G$7,Config!$G$19)))</f>
        <v/>
      </c>
      <c r="Y499">
        <f>IF(OR(M499=0,M499=""),"",ABS((M499-IF($C499="LT",Config!$F$8,Config!$F$20))/IF($C499="LT",Config!$G$8,Config!$G$20)))</f>
        <v/>
      </c>
      <c r="Z499">
        <f>IF(OR(N499=0,N499=""),"",ABS((N499-IF($C499="LT",Config!$F$9,Config!$F$21))/IF($C499="LT",Config!$G$9,Config!$G$21)))</f>
        <v/>
      </c>
      <c r="AA499">
        <f>IF(OR(O499=0,O499=""),"",ABS((O499-IF($C499="LT",Config!$F$10,Config!$F$22))/IF($C499="LT",Config!$G$10,Config!$G$22)))</f>
        <v/>
      </c>
      <c r="AB499">
        <f>IF(OR(P499=0,P499=""),"",ABS((P499-IF($C499="LT",Config!$F$11,Config!$F$23))/IF($C499="LT",Config!$G$11,Config!$G$23)))</f>
        <v/>
      </c>
      <c r="AC499">
        <f>IF(OR(Q499=0,Q499=""),"",ABS((Q499-IF($C499="LT",Config!$F$12,Config!$F$24))/IF($C499="LT",Config!$G$12,Config!$G$24)))</f>
        <v/>
      </c>
      <c r="AD499">
        <f>IF(OR(R499=0,R499=""),"",ABS((R499-IF($C499="LT",Config!$F$13,Config!$F$25))/IF($C499="LT",Config!$G$13,Config!$G$25)))</f>
        <v/>
      </c>
    </row>
    <row r="500">
      <c r="A500" t="inlineStr">
        <is>
          <t>04C2826121137</t>
        </is>
      </c>
      <c r="B500" t="inlineStr">
        <is>
          <t>CRS0000675</t>
        </is>
      </c>
      <c r="C500" t="inlineStr">
        <is>
          <t>LT</t>
        </is>
      </c>
      <c r="D500" t="inlineStr">
        <is>
          <t>ALX440U-DS3B01</t>
        </is>
      </c>
      <c r="E500" s="2" t="n">
        <v>46111</v>
      </c>
      <c r="F500" t="inlineStr">
        <is>
          <t>Pass</t>
        </is>
      </c>
      <c r="G500" t="n">
        <v>146.4</v>
      </c>
      <c r="H500" t="n">
        <v>96.40000000000001</v>
      </c>
      <c r="I500" t="n">
        <v>-1957.8</v>
      </c>
      <c r="J500" t="n">
        <v>67.7</v>
      </c>
      <c r="K500" t="n">
        <v>0</v>
      </c>
      <c r="L500" t="n">
        <v>1.5</v>
      </c>
      <c r="M500" t="n">
        <v>0</v>
      </c>
      <c r="N500" t="n">
        <v>66.2</v>
      </c>
      <c r="O500" t="n">
        <v>114.87</v>
      </c>
      <c r="P500" t="n">
        <v>115.09</v>
      </c>
      <c r="Q500" t="n">
        <v>8.35</v>
      </c>
      <c r="R500" t="n">
        <v>7.98</v>
      </c>
      <c r="S500">
        <f>IF(OR(G500=0,G500=""),"",ABS((G500-IF($C500="LT",Config!$F$2,Config!$F$14))/IF($C500="LT",Config!$G$2,Config!$G$14)))</f>
        <v/>
      </c>
      <c r="T500">
        <f>IF(OR(H500=0,H500=""),"",ABS((H500-IF($C500="LT",Config!$F$3,Config!$F$15))/IF($C500="LT",Config!$G$3,Config!$G$15)))</f>
        <v/>
      </c>
      <c r="U500">
        <f>IF(OR(I500=0,I500=""),"",ABS((I500-IF($C500="LT",Config!$F$4,Config!$F$16))/IF($C500="LT",Config!$G$4,Config!$G$16)))</f>
        <v/>
      </c>
      <c r="V500">
        <f>IF(OR(J500=0,J500=""),"",ABS((J500-IF($C500="LT",Config!$F$5,Config!$F$17))/IF($C500="LT",Config!$G$5,Config!$G$17)))</f>
        <v/>
      </c>
      <c r="W500">
        <f>IF(OR(K500=0,K500=""),"",ABS((K500-IF($C500="LT",Config!$F$6,Config!$F$18))/IF($C500="LT",Config!$G$6,Config!$G$18)))</f>
        <v/>
      </c>
      <c r="X500">
        <f>IF(OR(L500=0,L500=""),"",ABS((L500-IF($C500="LT",Config!$F$7,Config!$F$19))/IF($C500="LT",Config!$G$7,Config!$G$19)))</f>
        <v/>
      </c>
      <c r="Y500">
        <f>IF(OR(M500=0,M500=""),"",ABS((M500-IF($C500="LT",Config!$F$8,Config!$F$20))/IF($C500="LT",Config!$G$8,Config!$G$20)))</f>
        <v/>
      </c>
      <c r="Z500">
        <f>IF(OR(N500=0,N500=""),"",ABS((N500-IF($C500="LT",Config!$F$9,Config!$F$21))/IF($C500="LT",Config!$G$9,Config!$G$21)))</f>
        <v/>
      </c>
      <c r="AA500">
        <f>IF(OR(O500=0,O500=""),"",ABS((O500-IF($C500="LT",Config!$F$10,Config!$F$22))/IF($C500="LT",Config!$G$10,Config!$G$22)))</f>
        <v/>
      </c>
      <c r="AB500">
        <f>IF(OR(P500=0,P500=""),"",ABS((P500-IF($C500="LT",Config!$F$11,Config!$F$23))/IF($C500="LT",Config!$G$11,Config!$G$23)))</f>
        <v/>
      </c>
      <c r="AC500">
        <f>IF(OR(Q500=0,Q500=""),"",ABS((Q500-IF($C500="LT",Config!$F$12,Config!$F$24))/IF($C500="LT",Config!$G$12,Config!$G$24)))</f>
        <v/>
      </c>
      <c r="AD500">
        <f>IF(OR(R500=0,R500=""),"",ABS((R500-IF($C500="LT",Config!$F$13,Config!$F$25))/IF($C500="LT",Config!$G$13,Config!$G$25)))</f>
        <v/>
      </c>
    </row>
    <row r="501">
      <c r="A501" t="inlineStr">
        <is>
          <t>04C2826121138</t>
        </is>
      </c>
      <c r="B501" t="inlineStr">
        <is>
          <t>CRS0000675</t>
        </is>
      </c>
      <c r="C501" t="inlineStr">
        <is>
          <t>LT</t>
        </is>
      </c>
      <c r="D501" t="inlineStr">
        <is>
          <t>ALX440U-DS3B01</t>
        </is>
      </c>
      <c r="E501" s="2" t="n">
        <v>46111</v>
      </c>
      <c r="F501" t="inlineStr">
        <is>
          <t>Pass</t>
        </is>
      </c>
      <c r="G501" t="n">
        <v>149</v>
      </c>
      <c r="H501" t="n">
        <v>95.5</v>
      </c>
      <c r="I501" t="n">
        <v>-1957.8</v>
      </c>
      <c r="J501" t="n">
        <v>67.3</v>
      </c>
      <c r="K501" t="n">
        <v>0</v>
      </c>
      <c r="L501" t="n">
        <v>1.2</v>
      </c>
      <c r="M501" t="n">
        <v>0</v>
      </c>
      <c r="N501" t="n">
        <v>66.09999999999999</v>
      </c>
      <c r="O501" t="n">
        <v>111.57</v>
      </c>
      <c r="P501" t="n">
        <v>113.18</v>
      </c>
      <c r="Q501" t="n">
        <v>8.470000000000001</v>
      </c>
      <c r="R501" t="n">
        <v>8.08</v>
      </c>
      <c r="S501">
        <f>IF(OR(G501=0,G501=""),"",ABS((G501-IF($C501="LT",Config!$F$2,Config!$F$14))/IF($C501="LT",Config!$G$2,Config!$G$14)))</f>
        <v/>
      </c>
      <c r="T501">
        <f>IF(OR(H501=0,H501=""),"",ABS((H501-IF($C501="LT",Config!$F$3,Config!$F$15))/IF($C501="LT",Config!$G$3,Config!$G$15)))</f>
        <v/>
      </c>
      <c r="U501">
        <f>IF(OR(I501=0,I501=""),"",ABS((I501-IF($C501="LT",Config!$F$4,Config!$F$16))/IF($C501="LT",Config!$G$4,Config!$G$16)))</f>
        <v/>
      </c>
      <c r="V501">
        <f>IF(OR(J501=0,J501=""),"",ABS((J501-IF($C501="LT",Config!$F$5,Config!$F$17))/IF($C501="LT",Config!$G$5,Config!$G$17)))</f>
        <v/>
      </c>
      <c r="W501">
        <f>IF(OR(K501=0,K501=""),"",ABS((K501-IF($C501="LT",Config!$F$6,Config!$F$18))/IF($C501="LT",Config!$G$6,Config!$G$18)))</f>
        <v/>
      </c>
      <c r="X501">
        <f>IF(OR(L501=0,L501=""),"",ABS((L501-IF($C501="LT",Config!$F$7,Config!$F$19))/IF($C501="LT",Config!$G$7,Config!$G$19)))</f>
        <v/>
      </c>
      <c r="Y501">
        <f>IF(OR(M501=0,M501=""),"",ABS((M501-IF($C501="LT",Config!$F$8,Config!$F$20))/IF($C501="LT",Config!$G$8,Config!$G$20)))</f>
        <v/>
      </c>
      <c r="Z501">
        <f>IF(OR(N501=0,N501=""),"",ABS((N501-IF($C501="LT",Config!$F$9,Config!$F$21))/IF($C501="LT",Config!$G$9,Config!$G$21)))</f>
        <v/>
      </c>
      <c r="AA501">
        <f>IF(OR(O501=0,O501=""),"",ABS((O501-IF($C501="LT",Config!$F$10,Config!$F$22))/IF($C501="LT",Config!$G$10,Config!$G$22)))</f>
        <v/>
      </c>
      <c r="AB501">
        <f>IF(OR(P501=0,P501=""),"",ABS((P501-IF($C501="LT",Config!$F$11,Config!$F$23))/IF($C501="LT",Config!$G$11,Config!$G$23)))</f>
        <v/>
      </c>
      <c r="AC501">
        <f>IF(OR(Q501=0,Q501=""),"",ABS((Q501-IF($C501="LT",Config!$F$12,Config!$F$24))/IF($C501="LT",Config!$G$12,Config!$G$24)))</f>
        <v/>
      </c>
      <c r="AD501">
        <f>IF(OR(R501=0,R501=""),"",ABS((R501-IF($C501="LT",Config!$F$13,Config!$F$25))/IF($C501="LT",Config!$G$13,Config!$G$25)))</f>
        <v/>
      </c>
    </row>
    <row r="502">
      <c r="A502" t="inlineStr">
        <is>
          <t>04C2826121139</t>
        </is>
      </c>
      <c r="B502" t="inlineStr">
        <is>
          <t>CRS0000675</t>
        </is>
      </c>
      <c r="C502" t="inlineStr">
        <is>
          <t>LT</t>
        </is>
      </c>
      <c r="D502" t="inlineStr">
        <is>
          <t>ALX440U-DS3B01</t>
        </is>
      </c>
      <c r="E502" s="2" t="n">
        <v>46111</v>
      </c>
      <c r="F502" t="inlineStr">
        <is>
          <t>Pass</t>
        </is>
      </c>
      <c r="G502" t="n">
        <v>154.8</v>
      </c>
      <c r="H502" t="n">
        <v>96.90000000000001</v>
      </c>
      <c r="I502" t="n">
        <v>-1957.8</v>
      </c>
      <c r="J502" t="n">
        <v>67.7</v>
      </c>
      <c r="K502" t="n">
        <v>0</v>
      </c>
      <c r="L502" t="n">
        <v>1.3</v>
      </c>
      <c r="M502" t="n">
        <v>0</v>
      </c>
      <c r="N502" t="n">
        <v>66.40000000000001</v>
      </c>
      <c r="O502" t="n">
        <v>115.09</v>
      </c>
      <c r="P502" t="n">
        <v>115.16</v>
      </c>
      <c r="Q502" t="n">
        <v>8.130000000000001</v>
      </c>
      <c r="R502" t="n">
        <v>7.91</v>
      </c>
      <c r="S502">
        <f>IF(OR(G502=0,G502=""),"",ABS((G502-IF($C502="LT",Config!$F$2,Config!$F$14))/IF($C502="LT",Config!$G$2,Config!$G$14)))</f>
        <v/>
      </c>
      <c r="T502">
        <f>IF(OR(H502=0,H502=""),"",ABS((H502-IF($C502="LT",Config!$F$3,Config!$F$15))/IF($C502="LT",Config!$G$3,Config!$G$15)))</f>
        <v/>
      </c>
      <c r="U502">
        <f>IF(OR(I502=0,I502=""),"",ABS((I502-IF($C502="LT",Config!$F$4,Config!$F$16))/IF($C502="LT",Config!$G$4,Config!$G$16)))</f>
        <v/>
      </c>
      <c r="V502">
        <f>IF(OR(J502=0,J502=""),"",ABS((J502-IF($C502="LT",Config!$F$5,Config!$F$17))/IF($C502="LT",Config!$G$5,Config!$G$17)))</f>
        <v/>
      </c>
      <c r="W502">
        <f>IF(OR(K502=0,K502=""),"",ABS((K502-IF($C502="LT",Config!$F$6,Config!$F$18))/IF($C502="LT",Config!$G$6,Config!$G$18)))</f>
        <v/>
      </c>
      <c r="X502">
        <f>IF(OR(L502=0,L502=""),"",ABS((L502-IF($C502="LT",Config!$F$7,Config!$F$19))/IF($C502="LT",Config!$G$7,Config!$G$19)))</f>
        <v/>
      </c>
      <c r="Y502">
        <f>IF(OR(M502=0,M502=""),"",ABS((M502-IF($C502="LT",Config!$F$8,Config!$F$20))/IF($C502="LT",Config!$G$8,Config!$G$20)))</f>
        <v/>
      </c>
      <c r="Z502">
        <f>IF(OR(N502=0,N502=""),"",ABS((N502-IF($C502="LT",Config!$F$9,Config!$F$21))/IF($C502="LT",Config!$G$9,Config!$G$21)))</f>
        <v/>
      </c>
      <c r="AA502">
        <f>IF(OR(O502=0,O502=""),"",ABS((O502-IF($C502="LT",Config!$F$10,Config!$F$22))/IF($C502="LT",Config!$G$10,Config!$G$22)))</f>
        <v/>
      </c>
      <c r="AB502">
        <f>IF(OR(P502=0,P502=""),"",ABS((P502-IF($C502="LT",Config!$F$11,Config!$F$23))/IF($C502="LT",Config!$G$11,Config!$G$23)))</f>
        <v/>
      </c>
      <c r="AC502">
        <f>IF(OR(Q502=0,Q502=""),"",ABS((Q502-IF($C502="LT",Config!$F$12,Config!$F$24))/IF($C502="LT",Config!$G$12,Config!$G$24)))</f>
        <v/>
      </c>
      <c r="AD502">
        <f>IF(OR(R502=0,R502=""),"",ABS((R502-IF($C502="LT",Config!$F$13,Config!$F$25))/IF($C502="LT",Config!$G$13,Config!$G$25)))</f>
        <v/>
      </c>
    </row>
    <row r="503">
      <c r="A503" t="inlineStr">
        <is>
          <t>04C2826121140</t>
        </is>
      </c>
      <c r="B503" t="inlineStr">
        <is>
          <t>CRS0000675</t>
        </is>
      </c>
      <c r="C503" t="inlineStr">
        <is>
          <t>LT</t>
        </is>
      </c>
      <c r="D503" t="inlineStr">
        <is>
          <t>ALX440U-DS3B01</t>
        </is>
      </c>
      <c r="E503" s="2" t="n">
        <v>46111</v>
      </c>
      <c r="F503" t="inlineStr">
        <is>
          <t>Pass</t>
        </is>
      </c>
      <c r="G503" t="n">
        <v>149</v>
      </c>
      <c r="H503" t="n">
        <v>97.3</v>
      </c>
      <c r="I503" t="n">
        <v>-1957.8</v>
      </c>
      <c r="J503" t="n">
        <v>68.2</v>
      </c>
      <c r="K503" t="n">
        <v>0</v>
      </c>
      <c r="L503" t="n">
        <v>2.9</v>
      </c>
      <c r="M503" t="n">
        <v>0</v>
      </c>
      <c r="N503" t="n">
        <v>65.3</v>
      </c>
      <c r="O503" t="n">
        <v>111.13</v>
      </c>
      <c r="P503" t="n">
        <v>117.66</v>
      </c>
      <c r="Q503" t="n">
        <v>8.35</v>
      </c>
      <c r="R503" t="n">
        <v>7.84</v>
      </c>
      <c r="S503">
        <f>IF(OR(G503=0,G503=""),"",ABS((G503-IF($C503="LT",Config!$F$2,Config!$F$14))/IF($C503="LT",Config!$G$2,Config!$G$14)))</f>
        <v/>
      </c>
      <c r="T503">
        <f>IF(OR(H503=0,H503=""),"",ABS((H503-IF($C503="LT",Config!$F$3,Config!$F$15))/IF($C503="LT",Config!$G$3,Config!$G$15)))</f>
        <v/>
      </c>
      <c r="U503">
        <f>IF(OR(I503=0,I503=""),"",ABS((I503-IF($C503="LT",Config!$F$4,Config!$F$16))/IF($C503="LT",Config!$G$4,Config!$G$16)))</f>
        <v/>
      </c>
      <c r="V503">
        <f>IF(OR(J503=0,J503=""),"",ABS((J503-IF($C503="LT",Config!$F$5,Config!$F$17))/IF($C503="LT",Config!$G$5,Config!$G$17)))</f>
        <v/>
      </c>
      <c r="W503">
        <f>IF(OR(K503=0,K503=""),"",ABS((K503-IF($C503="LT",Config!$F$6,Config!$F$18))/IF($C503="LT",Config!$G$6,Config!$G$18)))</f>
        <v/>
      </c>
      <c r="X503">
        <f>IF(OR(L503=0,L503=""),"",ABS((L503-IF($C503="LT",Config!$F$7,Config!$F$19))/IF($C503="LT",Config!$G$7,Config!$G$19)))</f>
        <v/>
      </c>
      <c r="Y503">
        <f>IF(OR(M503=0,M503=""),"",ABS((M503-IF($C503="LT",Config!$F$8,Config!$F$20))/IF($C503="LT",Config!$G$8,Config!$G$20)))</f>
        <v/>
      </c>
      <c r="Z503">
        <f>IF(OR(N503=0,N503=""),"",ABS((N503-IF($C503="LT",Config!$F$9,Config!$F$21))/IF($C503="LT",Config!$G$9,Config!$G$21)))</f>
        <v/>
      </c>
      <c r="AA503">
        <f>IF(OR(O503=0,O503=""),"",ABS((O503-IF($C503="LT",Config!$F$10,Config!$F$22))/IF($C503="LT",Config!$G$10,Config!$G$22)))</f>
        <v/>
      </c>
      <c r="AB503">
        <f>IF(OR(P503=0,P503=""),"",ABS((P503-IF($C503="LT",Config!$F$11,Config!$F$23))/IF($C503="LT",Config!$G$11,Config!$G$23)))</f>
        <v/>
      </c>
      <c r="AC503">
        <f>IF(OR(Q503=0,Q503=""),"",ABS((Q503-IF($C503="LT",Config!$F$12,Config!$F$24))/IF($C503="LT",Config!$G$12,Config!$G$24)))</f>
        <v/>
      </c>
      <c r="AD503">
        <f>IF(OR(R503=0,R503=""),"",ABS((R503-IF($C503="LT",Config!$F$13,Config!$F$25))/IF($C503="LT",Config!$G$13,Config!$G$25)))</f>
        <v/>
      </c>
    </row>
    <row r="504">
      <c r="A504" t="inlineStr">
        <is>
          <t>04C3026121141</t>
        </is>
      </c>
      <c r="B504" t="inlineStr">
        <is>
          <t>CRS0000675</t>
        </is>
      </c>
      <c r="C504" t="inlineStr">
        <is>
          <t>LT</t>
        </is>
      </c>
      <c r="D504" t="inlineStr">
        <is>
          <t>ALX440U-DS3B01</t>
        </is>
      </c>
      <c r="E504" s="2" t="n">
        <v>46111</v>
      </c>
      <c r="F504" t="inlineStr">
        <is>
          <t>Pass</t>
        </is>
      </c>
      <c r="G504" t="n">
        <v>158</v>
      </c>
      <c r="H504" t="n">
        <v>96.90000000000001</v>
      </c>
      <c r="I504" t="n">
        <v>-1957.8</v>
      </c>
      <c r="J504" t="n">
        <v>68.2</v>
      </c>
      <c r="K504" t="n">
        <v>0</v>
      </c>
      <c r="L504" t="n">
        <v>0.9</v>
      </c>
      <c r="M504" t="n">
        <v>0</v>
      </c>
      <c r="N504" t="n">
        <v>67.3</v>
      </c>
      <c r="O504" t="n">
        <v>111.5</v>
      </c>
      <c r="P504" t="n">
        <v>112.74</v>
      </c>
      <c r="Q504" t="n">
        <v>8.300000000000001</v>
      </c>
      <c r="R504" t="n">
        <v>8.279999999999999</v>
      </c>
      <c r="S504">
        <f>IF(OR(G504=0,G504=""),"",ABS((G504-IF($C504="LT",Config!$F$2,Config!$F$14))/IF($C504="LT",Config!$G$2,Config!$G$14)))</f>
        <v/>
      </c>
      <c r="T504">
        <f>IF(OR(H504=0,H504=""),"",ABS((H504-IF($C504="LT",Config!$F$3,Config!$F$15))/IF($C504="LT",Config!$G$3,Config!$G$15)))</f>
        <v/>
      </c>
      <c r="U504">
        <f>IF(OR(I504=0,I504=""),"",ABS((I504-IF($C504="LT",Config!$F$4,Config!$F$16))/IF($C504="LT",Config!$G$4,Config!$G$16)))</f>
        <v/>
      </c>
      <c r="V504">
        <f>IF(OR(J504=0,J504=""),"",ABS((J504-IF($C504="LT",Config!$F$5,Config!$F$17))/IF($C504="LT",Config!$G$5,Config!$G$17)))</f>
        <v/>
      </c>
      <c r="W504">
        <f>IF(OR(K504=0,K504=""),"",ABS((K504-IF($C504="LT",Config!$F$6,Config!$F$18))/IF($C504="LT",Config!$G$6,Config!$G$18)))</f>
        <v/>
      </c>
      <c r="X504">
        <f>IF(OR(L504=0,L504=""),"",ABS((L504-IF($C504="LT",Config!$F$7,Config!$F$19))/IF($C504="LT",Config!$G$7,Config!$G$19)))</f>
        <v/>
      </c>
      <c r="Y504">
        <f>IF(OR(M504=0,M504=""),"",ABS((M504-IF($C504="LT",Config!$F$8,Config!$F$20))/IF($C504="LT",Config!$G$8,Config!$G$20)))</f>
        <v/>
      </c>
      <c r="Z504">
        <f>IF(OR(N504=0,N504=""),"",ABS((N504-IF($C504="LT",Config!$F$9,Config!$F$21))/IF($C504="LT",Config!$G$9,Config!$G$21)))</f>
        <v/>
      </c>
      <c r="AA504">
        <f>IF(OR(O504=0,O504=""),"",ABS((O504-IF($C504="LT",Config!$F$10,Config!$F$22))/IF($C504="LT",Config!$G$10,Config!$G$22)))</f>
        <v/>
      </c>
      <c r="AB504">
        <f>IF(OR(P504=0,P504=""),"",ABS((P504-IF($C504="LT",Config!$F$11,Config!$F$23))/IF($C504="LT",Config!$G$11,Config!$G$23)))</f>
        <v/>
      </c>
      <c r="AC504">
        <f>IF(OR(Q504=0,Q504=""),"",ABS((Q504-IF($C504="LT",Config!$F$12,Config!$F$24))/IF($C504="LT",Config!$G$12,Config!$G$24)))</f>
        <v/>
      </c>
      <c r="AD504">
        <f>IF(OR(R504=0,R504=""),"",ABS((R504-IF($C504="LT",Config!$F$13,Config!$F$25))/IF($C504="LT",Config!$G$13,Config!$G$25)))</f>
        <v/>
      </c>
    </row>
    <row r="505">
      <c r="A505" t="inlineStr">
        <is>
          <t>04C3026121143</t>
        </is>
      </c>
      <c r="B505" t="inlineStr">
        <is>
          <t>CRS0000675</t>
        </is>
      </c>
      <c r="C505" t="inlineStr">
        <is>
          <t>LT</t>
        </is>
      </c>
      <c r="D505" t="inlineStr">
        <is>
          <t>ALX440U-DS3B01</t>
        </is>
      </c>
      <c r="E505" s="2" t="n">
        <v>46111</v>
      </c>
      <c r="F505" t="inlineStr">
        <is>
          <t>Pass</t>
        </is>
      </c>
      <c r="G505" t="n">
        <v>155.3</v>
      </c>
      <c r="H505" t="n">
        <v>96.40000000000001</v>
      </c>
      <c r="I505" t="n">
        <v>-1957.8</v>
      </c>
      <c r="J505" t="n">
        <v>68.2</v>
      </c>
      <c r="K505" t="n">
        <v>0</v>
      </c>
      <c r="L505" t="n">
        <v>1</v>
      </c>
      <c r="M505" t="n">
        <v>0</v>
      </c>
      <c r="N505" t="n">
        <v>67.2</v>
      </c>
      <c r="O505" t="n">
        <v>114.5</v>
      </c>
      <c r="P505" t="n">
        <v>114.5</v>
      </c>
      <c r="Q505" t="n">
        <v>8.23</v>
      </c>
      <c r="R505" t="n">
        <v>8.06</v>
      </c>
      <c r="S505">
        <f>IF(OR(G505=0,G505=""),"",ABS((G505-IF($C505="LT",Config!$F$2,Config!$F$14))/IF($C505="LT",Config!$G$2,Config!$G$14)))</f>
        <v/>
      </c>
      <c r="T505">
        <f>IF(OR(H505=0,H505=""),"",ABS((H505-IF($C505="LT",Config!$F$3,Config!$F$15))/IF($C505="LT",Config!$G$3,Config!$G$15)))</f>
        <v/>
      </c>
      <c r="U505">
        <f>IF(OR(I505=0,I505=""),"",ABS((I505-IF($C505="LT",Config!$F$4,Config!$F$16))/IF($C505="LT",Config!$G$4,Config!$G$16)))</f>
        <v/>
      </c>
      <c r="V505">
        <f>IF(OR(J505=0,J505=""),"",ABS((J505-IF($C505="LT",Config!$F$5,Config!$F$17))/IF($C505="LT",Config!$G$5,Config!$G$17)))</f>
        <v/>
      </c>
      <c r="W505">
        <f>IF(OR(K505=0,K505=""),"",ABS((K505-IF($C505="LT",Config!$F$6,Config!$F$18))/IF($C505="LT",Config!$G$6,Config!$G$18)))</f>
        <v/>
      </c>
      <c r="X505">
        <f>IF(OR(L505=0,L505=""),"",ABS((L505-IF($C505="LT",Config!$F$7,Config!$F$19))/IF($C505="LT",Config!$G$7,Config!$G$19)))</f>
        <v/>
      </c>
      <c r="Y505">
        <f>IF(OR(M505=0,M505=""),"",ABS((M505-IF($C505="LT",Config!$F$8,Config!$F$20))/IF($C505="LT",Config!$G$8,Config!$G$20)))</f>
        <v/>
      </c>
      <c r="Z505">
        <f>IF(OR(N505=0,N505=""),"",ABS((N505-IF($C505="LT",Config!$F$9,Config!$F$21))/IF($C505="LT",Config!$G$9,Config!$G$21)))</f>
        <v/>
      </c>
      <c r="AA505">
        <f>IF(OR(O505=0,O505=""),"",ABS((O505-IF($C505="LT",Config!$F$10,Config!$F$22))/IF($C505="LT",Config!$G$10,Config!$G$22)))</f>
        <v/>
      </c>
      <c r="AB505">
        <f>IF(OR(P505=0,P505=""),"",ABS((P505-IF($C505="LT",Config!$F$11,Config!$F$23))/IF($C505="LT",Config!$G$11,Config!$G$23)))</f>
        <v/>
      </c>
      <c r="AC505">
        <f>IF(OR(Q505=0,Q505=""),"",ABS((Q505-IF($C505="LT",Config!$F$12,Config!$F$24))/IF($C505="LT",Config!$G$12,Config!$G$24)))</f>
        <v/>
      </c>
      <c r="AD505">
        <f>IF(OR(R505=0,R505=""),"",ABS((R505-IF($C505="LT",Config!$F$13,Config!$F$25))/IF($C505="LT",Config!$G$13,Config!$G$25)))</f>
        <v/>
      </c>
    </row>
    <row r="506">
      <c r="A506" t="inlineStr">
        <is>
          <t>04C3026121144</t>
        </is>
      </c>
      <c r="B506" t="inlineStr">
        <is>
          <t>CRS0000675</t>
        </is>
      </c>
      <c r="C506" t="inlineStr">
        <is>
          <t>LT</t>
        </is>
      </c>
      <c r="D506" t="inlineStr">
        <is>
          <t>ALX440U-DS3B01</t>
        </is>
      </c>
      <c r="E506" s="2" t="n">
        <v>46111</v>
      </c>
      <c r="F506" t="inlineStr">
        <is>
          <t>Pass</t>
        </is>
      </c>
      <c r="G506" t="n">
        <v>158</v>
      </c>
      <c r="H506" t="n">
        <v>97.8</v>
      </c>
      <c r="I506" t="n">
        <v>-1957.8</v>
      </c>
      <c r="J506" t="n">
        <v>68.2</v>
      </c>
      <c r="K506" t="n">
        <v>0</v>
      </c>
      <c r="L506" t="n">
        <v>0</v>
      </c>
      <c r="M506" t="n">
        <v>0</v>
      </c>
      <c r="N506" t="n">
        <v>68.2</v>
      </c>
      <c r="O506" t="n">
        <v>115.38</v>
      </c>
      <c r="P506" t="n">
        <v>115.31</v>
      </c>
      <c r="Q506" t="n">
        <v>8.300000000000001</v>
      </c>
      <c r="R506" t="n">
        <v>8.199999999999999</v>
      </c>
      <c r="S506">
        <f>IF(OR(G506=0,G506=""),"",ABS((G506-IF($C506="LT",Config!$F$2,Config!$F$14))/IF($C506="LT",Config!$G$2,Config!$G$14)))</f>
        <v/>
      </c>
      <c r="T506">
        <f>IF(OR(H506=0,H506=""),"",ABS((H506-IF($C506="LT",Config!$F$3,Config!$F$15))/IF($C506="LT",Config!$G$3,Config!$G$15)))</f>
        <v/>
      </c>
      <c r="U506">
        <f>IF(OR(I506=0,I506=""),"",ABS((I506-IF($C506="LT",Config!$F$4,Config!$F$16))/IF($C506="LT",Config!$G$4,Config!$G$16)))</f>
        <v/>
      </c>
      <c r="V506">
        <f>IF(OR(J506=0,J506=""),"",ABS((J506-IF($C506="LT",Config!$F$5,Config!$F$17))/IF($C506="LT",Config!$G$5,Config!$G$17)))</f>
        <v/>
      </c>
      <c r="W506">
        <f>IF(OR(K506=0,K506=""),"",ABS((K506-IF($C506="LT",Config!$F$6,Config!$F$18))/IF($C506="LT",Config!$G$6,Config!$G$18)))</f>
        <v/>
      </c>
      <c r="X506">
        <f>IF(OR(L506=0,L506=""),"",ABS((L506-IF($C506="LT",Config!$F$7,Config!$F$19))/IF($C506="LT",Config!$G$7,Config!$G$19)))</f>
        <v/>
      </c>
      <c r="Y506">
        <f>IF(OR(M506=0,M506=""),"",ABS((M506-IF($C506="LT",Config!$F$8,Config!$F$20))/IF($C506="LT",Config!$G$8,Config!$G$20)))</f>
        <v/>
      </c>
      <c r="Z506">
        <f>IF(OR(N506=0,N506=""),"",ABS((N506-IF($C506="LT",Config!$F$9,Config!$F$21))/IF($C506="LT",Config!$G$9,Config!$G$21)))</f>
        <v/>
      </c>
      <c r="AA506">
        <f>IF(OR(O506=0,O506=""),"",ABS((O506-IF($C506="LT",Config!$F$10,Config!$F$22))/IF($C506="LT",Config!$G$10,Config!$G$22)))</f>
        <v/>
      </c>
      <c r="AB506">
        <f>IF(OR(P506=0,P506=""),"",ABS((P506-IF($C506="LT",Config!$F$11,Config!$F$23))/IF($C506="LT",Config!$G$11,Config!$G$23)))</f>
        <v/>
      </c>
      <c r="AC506">
        <f>IF(OR(Q506=0,Q506=""),"",ABS((Q506-IF($C506="LT",Config!$F$12,Config!$F$24))/IF($C506="LT",Config!$G$12,Config!$G$24)))</f>
        <v/>
      </c>
      <c r="AD506">
        <f>IF(OR(R506=0,R506=""),"",ABS((R506-IF($C506="LT",Config!$F$13,Config!$F$25))/IF($C506="LT",Config!$G$13,Config!$G$25)))</f>
        <v/>
      </c>
    </row>
    <row r="507">
      <c r="A507" t="inlineStr">
        <is>
          <t>04C2726121113</t>
        </is>
      </c>
      <c r="B507" t="inlineStr">
        <is>
          <t>CRS0000674</t>
        </is>
      </c>
      <c r="C507" t="inlineStr">
        <is>
          <t>MT</t>
        </is>
      </c>
      <c r="D507" t="inlineStr">
        <is>
          <t>TCX413U-DS1B01</t>
        </is>
      </c>
      <c r="E507" s="2" t="n">
        <v>46111</v>
      </c>
      <c r="F507" t="inlineStr">
        <is>
          <t>Pass</t>
        </is>
      </c>
      <c r="G507" t="n">
        <v>111.5</v>
      </c>
      <c r="H507" t="n">
        <v>78.90000000000001</v>
      </c>
      <c r="I507" t="n">
        <v>-1957.8</v>
      </c>
      <c r="J507" t="n">
        <v>70</v>
      </c>
      <c r="K507" t="n">
        <v>0</v>
      </c>
      <c r="L507" t="n">
        <v>0.6</v>
      </c>
      <c r="M507" t="n">
        <v>0</v>
      </c>
      <c r="N507" t="n">
        <v>69.40000000000001</v>
      </c>
      <c r="O507" t="n">
        <v>116.04</v>
      </c>
      <c r="P507" t="n">
        <v>112.82</v>
      </c>
      <c r="Q507" t="n">
        <v>3.76</v>
      </c>
      <c r="R507" t="n">
        <v>3.91</v>
      </c>
      <c r="S507">
        <f>IF(OR(G507=0,G507=""),"",ABS((G507-IF($C507="LT",Config!$F$2,Config!$F$14))/IF($C507="LT",Config!$G$2,Config!$G$14)))</f>
        <v/>
      </c>
      <c r="T507">
        <f>IF(OR(H507=0,H507=""),"",ABS((H507-IF($C507="LT",Config!$F$3,Config!$F$15))/IF($C507="LT",Config!$G$3,Config!$G$15)))</f>
        <v/>
      </c>
      <c r="U507">
        <f>IF(OR(I507=0,I507=""),"",ABS((I507-IF($C507="LT",Config!$F$4,Config!$F$16))/IF($C507="LT",Config!$G$4,Config!$G$16)))</f>
        <v/>
      </c>
      <c r="V507">
        <f>IF(OR(J507=0,J507=""),"",ABS((J507-IF($C507="LT",Config!$F$5,Config!$F$17))/IF($C507="LT",Config!$G$5,Config!$G$17)))</f>
        <v/>
      </c>
      <c r="W507">
        <f>IF(OR(K507=0,K507=""),"",ABS((K507-IF($C507="LT",Config!$F$6,Config!$F$18))/IF($C507="LT",Config!$G$6,Config!$G$18)))</f>
        <v/>
      </c>
      <c r="X507">
        <f>IF(OR(L507=0,L507=""),"",ABS((L507-IF($C507="LT",Config!$F$7,Config!$F$19))/IF($C507="LT",Config!$G$7,Config!$G$19)))</f>
        <v/>
      </c>
      <c r="Y507">
        <f>IF(OR(M507=0,M507=""),"",ABS((M507-IF($C507="LT",Config!$F$8,Config!$F$20))/IF($C507="LT",Config!$G$8,Config!$G$20)))</f>
        <v/>
      </c>
      <c r="Z507">
        <f>IF(OR(N507=0,N507=""),"",ABS((N507-IF($C507="LT",Config!$F$9,Config!$F$21))/IF($C507="LT",Config!$G$9,Config!$G$21)))</f>
        <v/>
      </c>
      <c r="AA507">
        <f>IF(OR(O507=0,O507=""),"",ABS((O507-IF($C507="LT",Config!$F$10,Config!$F$22))/IF($C507="LT",Config!$G$10,Config!$G$22)))</f>
        <v/>
      </c>
      <c r="AB507">
        <f>IF(OR(P507=0,P507=""),"",ABS((P507-IF($C507="LT",Config!$F$11,Config!$F$23))/IF($C507="LT",Config!$G$11,Config!$G$23)))</f>
        <v/>
      </c>
      <c r="AC507">
        <f>IF(OR(Q507=0,Q507=""),"",ABS((Q507-IF($C507="LT",Config!$F$12,Config!$F$24))/IF($C507="LT",Config!$G$12,Config!$G$24)))</f>
        <v/>
      </c>
      <c r="AD507">
        <f>IF(OR(R507=0,R507=""),"",ABS((R507-IF($C507="LT",Config!$F$13,Config!$F$25))/IF($C507="LT",Config!$G$13,Config!$G$25)))</f>
        <v/>
      </c>
    </row>
    <row r="508">
      <c r="A508" t="inlineStr">
        <is>
          <t>04C2426121078</t>
        </is>
      </c>
      <c r="B508" t="inlineStr">
        <is>
          <t>CRS0000675</t>
        </is>
      </c>
      <c r="C508" t="inlineStr">
        <is>
          <t>LT</t>
        </is>
      </c>
      <c r="D508" t="inlineStr">
        <is>
          <t>ALX440U-DS3B01</t>
        </is>
      </c>
      <c r="E508" s="2" t="n">
        <v>46111</v>
      </c>
      <c r="F508" t="inlineStr">
        <is>
          <t>Pass</t>
        </is>
      </c>
      <c r="G508" t="n">
        <v>156.6</v>
      </c>
      <c r="H508" t="n">
        <v>97.3</v>
      </c>
      <c r="I508" t="n">
        <v>-1957.8</v>
      </c>
      <c r="J508" t="n">
        <v>70</v>
      </c>
      <c r="K508" t="n">
        <v>0</v>
      </c>
      <c r="L508" t="n">
        <v>0.9</v>
      </c>
      <c r="M508" t="n">
        <v>0</v>
      </c>
      <c r="N508" t="n">
        <v>69.09999999999999</v>
      </c>
      <c r="O508" t="n">
        <v>110.47</v>
      </c>
      <c r="P508" t="n">
        <v>116.34</v>
      </c>
      <c r="Q508" t="n">
        <v>8.69</v>
      </c>
      <c r="R508" t="n">
        <v>8.029999999999999</v>
      </c>
      <c r="S508">
        <f>IF(OR(G508=0,G508=""),"",ABS((G508-IF($C508="LT",Config!$F$2,Config!$F$14))/IF($C508="LT",Config!$G$2,Config!$G$14)))</f>
        <v/>
      </c>
      <c r="T508">
        <f>IF(OR(H508=0,H508=""),"",ABS((H508-IF($C508="LT",Config!$F$3,Config!$F$15))/IF($C508="LT",Config!$G$3,Config!$G$15)))</f>
        <v/>
      </c>
      <c r="U508">
        <f>IF(OR(I508=0,I508=""),"",ABS((I508-IF($C508="LT",Config!$F$4,Config!$F$16))/IF($C508="LT",Config!$G$4,Config!$G$16)))</f>
        <v/>
      </c>
      <c r="V508">
        <f>IF(OR(J508=0,J508=""),"",ABS((J508-IF($C508="LT",Config!$F$5,Config!$F$17))/IF($C508="LT",Config!$G$5,Config!$G$17)))</f>
        <v/>
      </c>
      <c r="W508">
        <f>IF(OR(K508=0,K508=""),"",ABS((K508-IF($C508="LT",Config!$F$6,Config!$F$18))/IF($C508="LT",Config!$G$6,Config!$G$18)))</f>
        <v/>
      </c>
      <c r="X508">
        <f>IF(OR(L508=0,L508=""),"",ABS((L508-IF($C508="LT",Config!$F$7,Config!$F$19))/IF($C508="LT",Config!$G$7,Config!$G$19)))</f>
        <v/>
      </c>
      <c r="Y508">
        <f>IF(OR(M508=0,M508=""),"",ABS((M508-IF($C508="LT",Config!$F$8,Config!$F$20))/IF($C508="LT",Config!$G$8,Config!$G$20)))</f>
        <v/>
      </c>
      <c r="Z508">
        <f>IF(OR(N508=0,N508=""),"",ABS((N508-IF($C508="LT",Config!$F$9,Config!$F$21))/IF($C508="LT",Config!$G$9,Config!$G$21)))</f>
        <v/>
      </c>
      <c r="AA508">
        <f>IF(OR(O508=0,O508=""),"",ABS((O508-IF($C508="LT",Config!$F$10,Config!$F$22))/IF($C508="LT",Config!$G$10,Config!$G$22)))</f>
        <v/>
      </c>
      <c r="AB508">
        <f>IF(OR(P508=0,P508=""),"",ABS((P508-IF($C508="LT",Config!$F$11,Config!$F$23))/IF($C508="LT",Config!$G$11,Config!$G$23)))</f>
        <v/>
      </c>
      <c r="AC508">
        <f>IF(OR(Q508=0,Q508=""),"",ABS((Q508-IF($C508="LT",Config!$F$12,Config!$F$24))/IF($C508="LT",Config!$G$12,Config!$G$24)))</f>
        <v/>
      </c>
      <c r="AD508">
        <f>IF(OR(R508=0,R508=""),"",ABS((R508-IF($C508="LT",Config!$F$13,Config!$F$25))/IF($C508="LT",Config!$G$13,Config!$G$25)))</f>
        <v/>
      </c>
    </row>
    <row r="509">
      <c r="A509" t="inlineStr">
        <is>
          <t>04C1326120945</t>
        </is>
      </c>
      <c r="B509" t="inlineStr">
        <is>
          <t>CRS0000674</t>
        </is>
      </c>
      <c r="C509" t="inlineStr">
        <is>
          <t>MT</t>
        </is>
      </c>
      <c r="D509" t="inlineStr">
        <is>
          <t>TCX413U-DS1B01</t>
        </is>
      </c>
      <c r="E509" s="2" t="n">
        <v>46111</v>
      </c>
      <c r="F509" t="inlineStr">
        <is>
          <t>Pass</t>
        </is>
      </c>
      <c r="G509" t="n">
        <v>105.3</v>
      </c>
      <c r="H509" t="n">
        <v>79.8</v>
      </c>
      <c r="I509" t="n">
        <v>-1957.8</v>
      </c>
      <c r="J509" t="n">
        <v>69.5</v>
      </c>
      <c r="K509" t="n">
        <v>0</v>
      </c>
      <c r="L509" t="n">
        <v>1.3</v>
      </c>
      <c r="M509" t="n">
        <v>0</v>
      </c>
      <c r="N509" t="n">
        <v>68.2</v>
      </c>
      <c r="O509" t="n">
        <v>115.97</v>
      </c>
      <c r="P509" t="n">
        <v>112.52</v>
      </c>
      <c r="Q509" t="n">
        <v>3.61</v>
      </c>
      <c r="R509" t="n">
        <v>3.76</v>
      </c>
      <c r="S509">
        <f>IF(OR(G509=0,G509=""),"",ABS((G509-IF($C509="LT",Config!$F$2,Config!$F$14))/IF($C509="LT",Config!$G$2,Config!$G$14)))</f>
        <v/>
      </c>
      <c r="T509">
        <f>IF(OR(H509=0,H509=""),"",ABS((H509-IF($C509="LT",Config!$F$3,Config!$F$15))/IF($C509="LT",Config!$G$3,Config!$G$15)))</f>
        <v/>
      </c>
      <c r="U509">
        <f>IF(OR(I509=0,I509=""),"",ABS((I509-IF($C509="LT",Config!$F$4,Config!$F$16))/IF($C509="LT",Config!$G$4,Config!$G$16)))</f>
        <v/>
      </c>
      <c r="V509">
        <f>IF(OR(J509=0,J509=""),"",ABS((J509-IF($C509="LT",Config!$F$5,Config!$F$17))/IF($C509="LT",Config!$G$5,Config!$G$17)))</f>
        <v/>
      </c>
      <c r="W509">
        <f>IF(OR(K509=0,K509=""),"",ABS((K509-IF($C509="LT",Config!$F$6,Config!$F$18))/IF($C509="LT",Config!$G$6,Config!$G$18)))</f>
        <v/>
      </c>
      <c r="X509">
        <f>IF(OR(L509=0,L509=""),"",ABS((L509-IF($C509="LT",Config!$F$7,Config!$F$19))/IF($C509="LT",Config!$G$7,Config!$G$19)))</f>
        <v/>
      </c>
      <c r="Y509">
        <f>IF(OR(M509=0,M509=""),"",ABS((M509-IF($C509="LT",Config!$F$8,Config!$F$20))/IF($C509="LT",Config!$G$8,Config!$G$20)))</f>
        <v/>
      </c>
      <c r="Z509">
        <f>IF(OR(N509=0,N509=""),"",ABS((N509-IF($C509="LT",Config!$F$9,Config!$F$21))/IF($C509="LT",Config!$G$9,Config!$G$21)))</f>
        <v/>
      </c>
      <c r="AA509">
        <f>IF(OR(O509=0,O509=""),"",ABS((O509-IF($C509="LT",Config!$F$10,Config!$F$22))/IF($C509="LT",Config!$G$10,Config!$G$22)))</f>
        <v/>
      </c>
      <c r="AB509">
        <f>IF(OR(P509=0,P509=""),"",ABS((P509-IF($C509="LT",Config!$F$11,Config!$F$23))/IF($C509="LT",Config!$G$11,Config!$G$23)))</f>
        <v/>
      </c>
      <c r="AC509">
        <f>IF(OR(Q509=0,Q509=""),"",ABS((Q509-IF($C509="LT",Config!$F$12,Config!$F$24))/IF($C509="LT",Config!$G$12,Config!$G$24)))</f>
        <v/>
      </c>
      <c r="AD509">
        <f>IF(OR(R509=0,R509=""),"",ABS((R509-IF($C509="LT",Config!$F$13,Config!$F$25))/IF($C509="LT",Config!$G$13,Config!$G$25)))</f>
        <v/>
      </c>
    </row>
    <row r="510">
      <c r="A510" t="inlineStr">
        <is>
          <t>04C3026121146</t>
        </is>
      </c>
      <c r="B510" t="inlineStr">
        <is>
          <t>CRS0000675</t>
        </is>
      </c>
      <c r="C510" t="inlineStr">
        <is>
          <t>LT</t>
        </is>
      </c>
      <c r="D510" t="inlineStr">
        <is>
          <t>ALX440U-DS3B01</t>
        </is>
      </c>
      <c r="E510" s="2" t="n">
        <v>46111</v>
      </c>
      <c r="F510" t="inlineStr">
        <is>
          <t>Pass</t>
        </is>
      </c>
      <c r="G510" t="n">
        <v>152.6</v>
      </c>
      <c r="H510" t="n">
        <v>100.5</v>
      </c>
      <c r="I510" t="n">
        <v>-1957.8</v>
      </c>
      <c r="J510" t="n">
        <v>70</v>
      </c>
      <c r="K510" t="n">
        <v>0</v>
      </c>
      <c r="L510" t="n">
        <v>0.3</v>
      </c>
      <c r="M510" t="n">
        <v>0</v>
      </c>
      <c r="N510" t="n">
        <v>69.7</v>
      </c>
      <c r="O510" t="n">
        <v>110.76</v>
      </c>
      <c r="P510" t="n">
        <v>117.44</v>
      </c>
      <c r="Q510" t="n">
        <v>8.5</v>
      </c>
      <c r="R510" t="n">
        <v>7.84</v>
      </c>
      <c r="S510">
        <f>IF(OR(G510=0,G510=""),"",ABS((G510-IF($C510="LT",Config!$F$2,Config!$F$14))/IF($C510="LT",Config!$G$2,Config!$G$14)))</f>
        <v/>
      </c>
      <c r="T510">
        <f>IF(OR(H510=0,H510=""),"",ABS((H510-IF($C510="LT",Config!$F$3,Config!$F$15))/IF($C510="LT",Config!$G$3,Config!$G$15)))</f>
        <v/>
      </c>
      <c r="U510">
        <f>IF(OR(I510=0,I510=""),"",ABS((I510-IF($C510="LT",Config!$F$4,Config!$F$16))/IF($C510="LT",Config!$G$4,Config!$G$16)))</f>
        <v/>
      </c>
      <c r="V510">
        <f>IF(OR(J510=0,J510=""),"",ABS((J510-IF($C510="LT",Config!$F$5,Config!$F$17))/IF($C510="LT",Config!$G$5,Config!$G$17)))</f>
        <v/>
      </c>
      <c r="W510">
        <f>IF(OR(K510=0,K510=""),"",ABS((K510-IF($C510="LT",Config!$F$6,Config!$F$18))/IF($C510="LT",Config!$G$6,Config!$G$18)))</f>
        <v/>
      </c>
      <c r="X510">
        <f>IF(OR(L510=0,L510=""),"",ABS((L510-IF($C510="LT",Config!$F$7,Config!$F$19))/IF($C510="LT",Config!$G$7,Config!$G$19)))</f>
        <v/>
      </c>
      <c r="Y510">
        <f>IF(OR(M510=0,M510=""),"",ABS((M510-IF($C510="LT",Config!$F$8,Config!$F$20))/IF($C510="LT",Config!$G$8,Config!$G$20)))</f>
        <v/>
      </c>
      <c r="Z510">
        <f>IF(OR(N510=0,N510=""),"",ABS((N510-IF($C510="LT",Config!$F$9,Config!$F$21))/IF($C510="LT",Config!$G$9,Config!$G$21)))</f>
        <v/>
      </c>
      <c r="AA510">
        <f>IF(OR(O510=0,O510=""),"",ABS((O510-IF($C510="LT",Config!$F$10,Config!$F$22))/IF($C510="LT",Config!$G$10,Config!$G$22)))</f>
        <v/>
      </c>
      <c r="AB510">
        <f>IF(OR(P510=0,P510=""),"",ABS((P510-IF($C510="LT",Config!$F$11,Config!$F$23))/IF($C510="LT",Config!$G$11,Config!$G$23)))</f>
        <v/>
      </c>
      <c r="AC510">
        <f>IF(OR(Q510=0,Q510=""),"",ABS((Q510-IF($C510="LT",Config!$F$12,Config!$F$24))/IF($C510="LT",Config!$G$12,Config!$G$24)))</f>
        <v/>
      </c>
      <c r="AD510">
        <f>IF(OR(R510=0,R510=""),"",ABS((R510-IF($C510="LT",Config!$F$13,Config!$F$25))/IF($C510="LT",Config!$G$13,Config!$G$25)))</f>
        <v/>
      </c>
    </row>
    <row r="511">
      <c r="A511" t="inlineStr">
        <is>
          <t>04C2626121098</t>
        </is>
      </c>
      <c r="B511" t="inlineStr">
        <is>
          <t>CRS0000675</t>
        </is>
      </c>
      <c r="C511" t="inlineStr">
        <is>
          <t>LT</t>
        </is>
      </c>
      <c r="D511" t="inlineStr">
        <is>
          <t>ALX440U-DS3B01</t>
        </is>
      </c>
      <c r="E511" s="2" t="n">
        <v>46111</v>
      </c>
      <c r="F511" t="inlineStr">
        <is>
          <t>Pass</t>
        </is>
      </c>
      <c r="G511" t="n">
        <v>158</v>
      </c>
      <c r="H511" t="n">
        <v>97.8</v>
      </c>
      <c r="I511" t="n">
        <v>-1957.8</v>
      </c>
      <c r="J511" t="n">
        <v>69.5</v>
      </c>
      <c r="K511" t="n">
        <v>0</v>
      </c>
      <c r="L511" t="n">
        <v>0.8</v>
      </c>
      <c r="M511" t="n">
        <v>0</v>
      </c>
      <c r="N511" t="n">
        <v>68.7</v>
      </c>
      <c r="O511" t="n">
        <v>111.28</v>
      </c>
      <c r="P511" t="n">
        <v>118.02</v>
      </c>
      <c r="Q511" t="n">
        <v>8.67</v>
      </c>
      <c r="R511" t="n">
        <v>7.98</v>
      </c>
      <c r="S511">
        <f>IF(OR(G511=0,G511=""),"",ABS((G511-IF($C511="LT",Config!$F$2,Config!$F$14))/IF($C511="LT",Config!$G$2,Config!$G$14)))</f>
        <v/>
      </c>
      <c r="T511">
        <f>IF(OR(H511=0,H511=""),"",ABS((H511-IF($C511="LT",Config!$F$3,Config!$F$15))/IF($C511="LT",Config!$G$3,Config!$G$15)))</f>
        <v/>
      </c>
      <c r="U511">
        <f>IF(OR(I511=0,I511=""),"",ABS((I511-IF($C511="LT",Config!$F$4,Config!$F$16))/IF($C511="LT",Config!$G$4,Config!$G$16)))</f>
        <v/>
      </c>
      <c r="V511">
        <f>IF(OR(J511=0,J511=""),"",ABS((J511-IF($C511="LT",Config!$F$5,Config!$F$17))/IF($C511="LT",Config!$G$5,Config!$G$17)))</f>
        <v/>
      </c>
      <c r="W511">
        <f>IF(OR(K511=0,K511=""),"",ABS((K511-IF($C511="LT",Config!$F$6,Config!$F$18))/IF($C511="LT",Config!$G$6,Config!$G$18)))</f>
        <v/>
      </c>
      <c r="X511">
        <f>IF(OR(L511=0,L511=""),"",ABS((L511-IF($C511="LT",Config!$F$7,Config!$F$19))/IF($C511="LT",Config!$G$7,Config!$G$19)))</f>
        <v/>
      </c>
      <c r="Y511">
        <f>IF(OR(M511=0,M511=""),"",ABS((M511-IF($C511="LT",Config!$F$8,Config!$F$20))/IF($C511="LT",Config!$G$8,Config!$G$20)))</f>
        <v/>
      </c>
      <c r="Z511">
        <f>IF(OR(N511=0,N511=""),"",ABS((N511-IF($C511="LT",Config!$F$9,Config!$F$21))/IF($C511="LT",Config!$G$9,Config!$G$21)))</f>
        <v/>
      </c>
      <c r="AA511">
        <f>IF(OR(O511=0,O511=""),"",ABS((O511-IF($C511="LT",Config!$F$10,Config!$F$22))/IF($C511="LT",Config!$G$10,Config!$G$22)))</f>
        <v/>
      </c>
      <c r="AB511">
        <f>IF(OR(P511=0,P511=""),"",ABS((P511-IF($C511="LT",Config!$F$11,Config!$F$23))/IF($C511="LT",Config!$G$11,Config!$G$23)))</f>
        <v/>
      </c>
      <c r="AC511">
        <f>IF(OR(Q511=0,Q511=""),"",ABS((Q511-IF($C511="LT",Config!$F$12,Config!$F$24))/IF($C511="LT",Config!$G$12,Config!$G$24)))</f>
        <v/>
      </c>
      <c r="AD511">
        <f>IF(OR(R511=0,R511=""),"",ABS((R511-IF($C511="LT",Config!$F$13,Config!$F$25))/IF($C511="LT",Config!$G$13,Config!$G$25)))</f>
        <v/>
      </c>
    </row>
    <row r="512">
      <c r="A512" t="inlineStr">
        <is>
          <t>04C3026121145</t>
        </is>
      </c>
      <c r="B512" t="inlineStr">
        <is>
          <t>CRS0000674</t>
        </is>
      </c>
      <c r="C512" t="inlineStr">
        <is>
          <t>MT</t>
        </is>
      </c>
      <c r="D512" t="inlineStr">
        <is>
          <t>TCX413U-DS1B01</t>
        </is>
      </c>
      <c r="E512" s="2" t="n">
        <v>46111</v>
      </c>
      <c r="F512" t="inlineStr">
        <is>
          <t>Pass</t>
        </is>
      </c>
      <c r="G512" t="n">
        <v>112.4</v>
      </c>
      <c r="H512" t="n">
        <v>81.09999999999999</v>
      </c>
      <c r="I512" t="n">
        <v>-1957.8</v>
      </c>
      <c r="J512" t="n">
        <v>69.5</v>
      </c>
      <c r="K512" t="n">
        <v>0</v>
      </c>
      <c r="L512" t="n">
        <v>1.4</v>
      </c>
      <c r="M512" t="n">
        <v>0</v>
      </c>
      <c r="N512" t="n">
        <v>68.09999999999999</v>
      </c>
      <c r="O512" t="n">
        <v>115.16</v>
      </c>
      <c r="P512" t="n">
        <v>115.16</v>
      </c>
      <c r="Q512" t="n">
        <v>3.96</v>
      </c>
      <c r="R512" t="n">
        <v>4.03</v>
      </c>
      <c r="S512">
        <f>IF(OR(G512=0,G512=""),"",ABS((G512-IF($C512="LT",Config!$F$2,Config!$F$14))/IF($C512="LT",Config!$G$2,Config!$G$14)))</f>
        <v/>
      </c>
      <c r="T512">
        <f>IF(OR(H512=0,H512=""),"",ABS((H512-IF($C512="LT",Config!$F$3,Config!$F$15))/IF($C512="LT",Config!$G$3,Config!$G$15)))</f>
        <v/>
      </c>
      <c r="U512">
        <f>IF(OR(I512=0,I512=""),"",ABS((I512-IF($C512="LT",Config!$F$4,Config!$F$16))/IF($C512="LT",Config!$G$4,Config!$G$16)))</f>
        <v/>
      </c>
      <c r="V512">
        <f>IF(OR(J512=0,J512=""),"",ABS((J512-IF($C512="LT",Config!$F$5,Config!$F$17))/IF($C512="LT",Config!$G$5,Config!$G$17)))</f>
        <v/>
      </c>
      <c r="W512">
        <f>IF(OR(K512=0,K512=""),"",ABS((K512-IF($C512="LT",Config!$F$6,Config!$F$18))/IF($C512="LT",Config!$G$6,Config!$G$18)))</f>
        <v/>
      </c>
      <c r="X512">
        <f>IF(OR(L512=0,L512=""),"",ABS((L512-IF($C512="LT",Config!$F$7,Config!$F$19))/IF($C512="LT",Config!$G$7,Config!$G$19)))</f>
        <v/>
      </c>
      <c r="Y512">
        <f>IF(OR(M512=0,M512=""),"",ABS((M512-IF($C512="LT",Config!$F$8,Config!$F$20))/IF($C512="LT",Config!$G$8,Config!$G$20)))</f>
        <v/>
      </c>
      <c r="Z512">
        <f>IF(OR(N512=0,N512=""),"",ABS((N512-IF($C512="LT",Config!$F$9,Config!$F$21))/IF($C512="LT",Config!$G$9,Config!$G$21)))</f>
        <v/>
      </c>
      <c r="AA512">
        <f>IF(OR(O512=0,O512=""),"",ABS((O512-IF($C512="LT",Config!$F$10,Config!$F$22))/IF($C512="LT",Config!$G$10,Config!$G$22)))</f>
        <v/>
      </c>
      <c r="AB512">
        <f>IF(OR(P512=0,P512=""),"",ABS((P512-IF($C512="LT",Config!$F$11,Config!$F$23))/IF($C512="LT",Config!$G$11,Config!$G$23)))</f>
        <v/>
      </c>
      <c r="AC512">
        <f>IF(OR(Q512=0,Q512=""),"",ABS((Q512-IF($C512="LT",Config!$F$12,Config!$F$24))/IF($C512="LT",Config!$G$12,Config!$G$24)))</f>
        <v/>
      </c>
      <c r="AD512">
        <f>IF(OR(R512=0,R512=""),"",ABS((R512-IF($C512="LT",Config!$F$13,Config!$F$25))/IF($C512="LT",Config!$G$13,Config!$G$25)))</f>
        <v/>
      </c>
    </row>
    <row r="513">
      <c r="A513" t="inlineStr">
        <is>
          <t>04C3026121147</t>
        </is>
      </c>
      <c r="B513" t="inlineStr">
        <is>
          <t>CRS0000674</t>
        </is>
      </c>
      <c r="C513" t="inlineStr">
        <is>
          <t>MT</t>
        </is>
      </c>
      <c r="D513" t="inlineStr">
        <is>
          <t>TCX413U-DS1B01</t>
        </is>
      </c>
      <c r="E513" s="2" t="n">
        <v>46111</v>
      </c>
      <c r="F513" t="inlineStr">
        <is>
          <t>Pass</t>
        </is>
      </c>
      <c r="G513" t="n">
        <v>111.5</v>
      </c>
      <c r="H513" t="n">
        <v>79.3</v>
      </c>
      <c r="I513" t="n">
        <v>-1957.8</v>
      </c>
      <c r="J513" t="n">
        <v>70.40000000000001</v>
      </c>
      <c r="K513" t="n">
        <v>0</v>
      </c>
      <c r="L513" t="n">
        <v>0</v>
      </c>
      <c r="M513" t="n">
        <v>0</v>
      </c>
      <c r="N513" t="n">
        <v>70.40000000000001</v>
      </c>
      <c r="O513" t="n">
        <v>115.24</v>
      </c>
      <c r="P513" t="n">
        <v>115.46</v>
      </c>
      <c r="Q513" t="n">
        <v>3.96</v>
      </c>
      <c r="R513" t="n">
        <v>3.96</v>
      </c>
      <c r="S513">
        <f>IF(OR(G513=0,G513=""),"",ABS((G513-IF($C513="LT",Config!$F$2,Config!$F$14))/IF($C513="LT",Config!$G$2,Config!$G$14)))</f>
        <v/>
      </c>
      <c r="T513">
        <f>IF(OR(H513=0,H513=""),"",ABS((H513-IF($C513="LT",Config!$F$3,Config!$F$15))/IF($C513="LT",Config!$G$3,Config!$G$15)))</f>
        <v/>
      </c>
      <c r="U513">
        <f>IF(OR(I513=0,I513=""),"",ABS((I513-IF($C513="LT",Config!$F$4,Config!$F$16))/IF($C513="LT",Config!$G$4,Config!$G$16)))</f>
        <v/>
      </c>
      <c r="V513">
        <f>IF(OR(J513=0,J513=""),"",ABS((J513-IF($C513="LT",Config!$F$5,Config!$F$17))/IF($C513="LT",Config!$G$5,Config!$G$17)))</f>
        <v/>
      </c>
      <c r="W513">
        <f>IF(OR(K513=0,K513=""),"",ABS((K513-IF($C513="LT",Config!$F$6,Config!$F$18))/IF($C513="LT",Config!$G$6,Config!$G$18)))</f>
        <v/>
      </c>
      <c r="X513">
        <f>IF(OR(L513=0,L513=""),"",ABS((L513-IF($C513="LT",Config!$F$7,Config!$F$19))/IF($C513="LT",Config!$G$7,Config!$G$19)))</f>
        <v/>
      </c>
      <c r="Y513">
        <f>IF(OR(M513=0,M513=""),"",ABS((M513-IF($C513="LT",Config!$F$8,Config!$F$20))/IF($C513="LT",Config!$G$8,Config!$G$20)))</f>
        <v/>
      </c>
      <c r="Z513">
        <f>IF(OR(N513=0,N513=""),"",ABS((N513-IF($C513="LT",Config!$F$9,Config!$F$21))/IF($C513="LT",Config!$G$9,Config!$G$21)))</f>
        <v/>
      </c>
      <c r="AA513">
        <f>IF(OR(O513=0,O513=""),"",ABS((O513-IF($C513="LT",Config!$F$10,Config!$F$22))/IF($C513="LT",Config!$G$10,Config!$G$22)))</f>
        <v/>
      </c>
      <c r="AB513">
        <f>IF(OR(P513=0,P513=""),"",ABS((P513-IF($C513="LT",Config!$F$11,Config!$F$23))/IF($C513="LT",Config!$G$11,Config!$G$23)))</f>
        <v/>
      </c>
      <c r="AC513">
        <f>IF(OR(Q513=0,Q513=""),"",ABS((Q513-IF($C513="LT",Config!$F$12,Config!$F$24))/IF($C513="LT",Config!$G$12,Config!$G$24)))</f>
        <v/>
      </c>
      <c r="AD513">
        <f>IF(OR(R513=0,R513=""),"",ABS((R513-IF($C513="LT",Config!$F$13,Config!$F$25))/IF($C513="LT",Config!$G$13,Config!$G$25)))</f>
        <v/>
      </c>
    </row>
    <row r="514">
      <c r="A514" t="inlineStr">
        <is>
          <t>04C3026121148</t>
        </is>
      </c>
      <c r="B514" t="inlineStr">
        <is>
          <t>CRS0000674</t>
        </is>
      </c>
      <c r="C514" t="inlineStr">
        <is>
          <t>MT</t>
        </is>
      </c>
      <c r="D514" t="inlineStr">
        <is>
          <t>TCX413U-DS1B01</t>
        </is>
      </c>
      <c r="E514" s="2" t="n">
        <v>46112</v>
      </c>
      <c r="F514" t="inlineStr">
        <is>
          <t>Fail</t>
        </is>
      </c>
      <c r="G514" t="n">
        <v>93.2</v>
      </c>
      <c r="H514" t="n">
        <v>80.7</v>
      </c>
      <c r="I514" t="n">
        <v>-1957.8</v>
      </c>
      <c r="J514" t="n">
        <v>68.59999999999999</v>
      </c>
      <c r="K514" t="n">
        <v>0</v>
      </c>
      <c r="L514" t="n">
        <v>0.1</v>
      </c>
      <c r="M514" t="n">
        <v>0</v>
      </c>
      <c r="N514" t="n">
        <v>68.5</v>
      </c>
      <c r="O514" t="n">
        <v>111.94</v>
      </c>
      <c r="P514" t="n">
        <v>116.41</v>
      </c>
      <c r="Q514" t="n">
        <v>3.69</v>
      </c>
      <c r="R514" t="n">
        <v>3.76</v>
      </c>
      <c r="S514">
        <f>IF(OR(G514=0,G514=""),"",ABS((G514-IF($C514="LT",Config!$F$2,Config!$F$14))/IF($C514="LT",Config!$G$2,Config!$G$14)))</f>
        <v/>
      </c>
      <c r="T514">
        <f>IF(OR(H514=0,H514=""),"",ABS((H514-IF($C514="LT",Config!$F$3,Config!$F$15))/IF($C514="LT",Config!$G$3,Config!$G$15)))</f>
        <v/>
      </c>
      <c r="U514">
        <f>IF(OR(I514=0,I514=""),"",ABS((I514-IF($C514="LT",Config!$F$4,Config!$F$16))/IF($C514="LT",Config!$G$4,Config!$G$16)))</f>
        <v/>
      </c>
      <c r="V514">
        <f>IF(OR(J514=0,J514=""),"",ABS((J514-IF($C514="LT",Config!$F$5,Config!$F$17))/IF($C514="LT",Config!$G$5,Config!$G$17)))</f>
        <v/>
      </c>
      <c r="W514">
        <f>IF(OR(K514=0,K514=""),"",ABS((K514-IF($C514="LT",Config!$F$6,Config!$F$18))/IF($C514="LT",Config!$G$6,Config!$G$18)))</f>
        <v/>
      </c>
      <c r="X514">
        <f>IF(OR(L514=0,L514=""),"",ABS((L514-IF($C514="LT",Config!$F$7,Config!$F$19))/IF($C514="LT",Config!$G$7,Config!$G$19)))</f>
        <v/>
      </c>
      <c r="Y514">
        <f>IF(OR(M514=0,M514=""),"",ABS((M514-IF($C514="LT",Config!$F$8,Config!$F$20))/IF($C514="LT",Config!$G$8,Config!$G$20)))</f>
        <v/>
      </c>
      <c r="Z514">
        <f>IF(OR(N514=0,N514=""),"",ABS((N514-IF($C514="LT",Config!$F$9,Config!$F$21))/IF($C514="LT",Config!$G$9,Config!$G$21)))</f>
        <v/>
      </c>
      <c r="AA514">
        <f>IF(OR(O514=0,O514=""),"",ABS((O514-IF($C514="LT",Config!$F$10,Config!$F$22))/IF($C514="LT",Config!$G$10,Config!$G$22)))</f>
        <v/>
      </c>
      <c r="AB514">
        <f>IF(OR(P514=0,P514=""),"",ABS((P514-IF($C514="LT",Config!$F$11,Config!$F$23))/IF($C514="LT",Config!$G$11,Config!$G$23)))</f>
        <v/>
      </c>
      <c r="AC514">
        <f>IF(OR(Q514=0,Q514=""),"",ABS((Q514-IF($C514="LT",Config!$F$12,Config!$F$24))/IF($C514="LT",Config!$G$12,Config!$G$24)))</f>
        <v/>
      </c>
      <c r="AD514">
        <f>IF(OR(R514=0,R514=""),"",ABS((R514-IF($C514="LT",Config!$F$13,Config!$F$25))/IF($C514="LT",Config!$G$13,Config!$G$25)))</f>
        <v/>
      </c>
    </row>
    <row r="515">
      <c r="A515" t="inlineStr">
        <is>
          <t>04C3026121148</t>
        </is>
      </c>
      <c r="B515" t="inlineStr">
        <is>
          <t>CRS0000674</t>
        </is>
      </c>
      <c r="C515" t="inlineStr">
        <is>
          <t>MT</t>
        </is>
      </c>
      <c r="D515" t="inlineStr">
        <is>
          <t>TCX413U-DS1B01</t>
        </is>
      </c>
      <c r="E515" s="2" t="n">
        <v>46112</v>
      </c>
      <c r="F515" t="inlineStr">
        <is>
          <t>Pass</t>
        </is>
      </c>
      <c r="G515" t="n">
        <v>105.7</v>
      </c>
      <c r="H515" t="n">
        <v>81.09999999999999</v>
      </c>
      <c r="I515" t="n">
        <v>-1957.8</v>
      </c>
      <c r="J515" t="n">
        <v>69.09999999999999</v>
      </c>
      <c r="K515" t="n">
        <v>0</v>
      </c>
      <c r="L515" t="n">
        <v>0</v>
      </c>
      <c r="M515" t="n">
        <v>0</v>
      </c>
      <c r="N515" t="n">
        <v>69.09999999999999</v>
      </c>
      <c r="O515" t="n">
        <v>111.79</v>
      </c>
      <c r="P515" t="n">
        <v>113.04</v>
      </c>
      <c r="Q515" t="n">
        <v>3.86</v>
      </c>
      <c r="R515" t="n">
        <v>3.86</v>
      </c>
      <c r="S515">
        <f>IF(OR(G515=0,G515=""),"",ABS((G515-IF($C515="LT",Config!$F$2,Config!$F$14))/IF($C515="LT",Config!$G$2,Config!$G$14)))</f>
        <v/>
      </c>
      <c r="T515">
        <f>IF(OR(H515=0,H515=""),"",ABS((H515-IF($C515="LT",Config!$F$3,Config!$F$15))/IF($C515="LT",Config!$G$3,Config!$G$15)))</f>
        <v/>
      </c>
      <c r="U515">
        <f>IF(OR(I515=0,I515=""),"",ABS((I515-IF($C515="LT",Config!$F$4,Config!$F$16))/IF($C515="LT",Config!$G$4,Config!$G$16)))</f>
        <v/>
      </c>
      <c r="V515">
        <f>IF(OR(J515=0,J515=""),"",ABS((J515-IF($C515="LT",Config!$F$5,Config!$F$17))/IF($C515="LT",Config!$G$5,Config!$G$17)))</f>
        <v/>
      </c>
      <c r="W515">
        <f>IF(OR(K515=0,K515=""),"",ABS((K515-IF($C515="LT",Config!$F$6,Config!$F$18))/IF($C515="LT",Config!$G$6,Config!$G$18)))</f>
        <v/>
      </c>
      <c r="X515">
        <f>IF(OR(L515=0,L515=""),"",ABS((L515-IF($C515="LT",Config!$F$7,Config!$F$19))/IF($C515="LT",Config!$G$7,Config!$G$19)))</f>
        <v/>
      </c>
      <c r="Y515">
        <f>IF(OR(M515=0,M515=""),"",ABS((M515-IF($C515="LT",Config!$F$8,Config!$F$20))/IF($C515="LT",Config!$G$8,Config!$G$20)))</f>
        <v/>
      </c>
      <c r="Z515">
        <f>IF(OR(N515=0,N515=""),"",ABS((N515-IF($C515="LT",Config!$F$9,Config!$F$21))/IF($C515="LT",Config!$G$9,Config!$G$21)))</f>
        <v/>
      </c>
      <c r="AA515">
        <f>IF(OR(O515=0,O515=""),"",ABS((O515-IF($C515="LT",Config!$F$10,Config!$F$22))/IF($C515="LT",Config!$G$10,Config!$G$22)))</f>
        <v/>
      </c>
      <c r="AB515">
        <f>IF(OR(P515=0,P515=""),"",ABS((P515-IF($C515="LT",Config!$F$11,Config!$F$23))/IF($C515="LT",Config!$G$11,Config!$G$23)))</f>
        <v/>
      </c>
      <c r="AC515">
        <f>IF(OR(Q515=0,Q515=""),"",ABS((Q515-IF($C515="LT",Config!$F$12,Config!$F$24))/IF($C515="LT",Config!$G$12,Config!$G$24)))</f>
        <v/>
      </c>
      <c r="AD515">
        <f>IF(OR(R515=0,R515=""),"",ABS((R515-IF($C515="LT",Config!$F$13,Config!$F$25))/IF($C515="LT",Config!$G$13,Config!$G$25)))</f>
        <v/>
      </c>
    </row>
    <row r="516">
      <c r="A516" t="inlineStr">
        <is>
          <t>04C3026121149</t>
        </is>
      </c>
      <c r="B516" t="inlineStr">
        <is>
          <t>CRS0000674</t>
        </is>
      </c>
      <c r="C516" t="inlineStr">
        <is>
          <t>MT</t>
        </is>
      </c>
      <c r="D516" t="inlineStr">
        <is>
          <t>TCX413U-DS1B01</t>
        </is>
      </c>
      <c r="E516" s="2" t="n">
        <v>46112</v>
      </c>
      <c r="F516" t="inlineStr">
        <is>
          <t>Pass</t>
        </is>
      </c>
      <c r="G516" t="n">
        <v>106.2</v>
      </c>
      <c r="H516" t="n">
        <v>81.09999999999999</v>
      </c>
      <c r="I516" t="n">
        <v>-1957.8</v>
      </c>
      <c r="J516" t="n">
        <v>69.09999999999999</v>
      </c>
      <c r="K516" t="n">
        <v>0</v>
      </c>
      <c r="L516" t="n">
        <v>0.2</v>
      </c>
      <c r="M516" t="n">
        <v>0</v>
      </c>
      <c r="N516" t="n">
        <v>68.90000000000001</v>
      </c>
      <c r="O516" t="n">
        <v>112.08</v>
      </c>
      <c r="P516" t="n">
        <v>116.63</v>
      </c>
      <c r="Q516" t="n">
        <v>3.98</v>
      </c>
      <c r="R516" t="n">
        <v>3.98</v>
      </c>
      <c r="S516">
        <f>IF(OR(G516=0,G516=""),"",ABS((G516-IF($C516="LT",Config!$F$2,Config!$F$14))/IF($C516="LT",Config!$G$2,Config!$G$14)))</f>
        <v/>
      </c>
      <c r="T516">
        <f>IF(OR(H516=0,H516=""),"",ABS((H516-IF($C516="LT",Config!$F$3,Config!$F$15))/IF($C516="LT",Config!$G$3,Config!$G$15)))</f>
        <v/>
      </c>
      <c r="U516">
        <f>IF(OR(I516=0,I516=""),"",ABS((I516-IF($C516="LT",Config!$F$4,Config!$F$16))/IF($C516="LT",Config!$G$4,Config!$G$16)))</f>
        <v/>
      </c>
      <c r="V516">
        <f>IF(OR(J516=0,J516=""),"",ABS((J516-IF($C516="LT",Config!$F$5,Config!$F$17))/IF($C516="LT",Config!$G$5,Config!$G$17)))</f>
        <v/>
      </c>
      <c r="W516">
        <f>IF(OR(K516=0,K516=""),"",ABS((K516-IF($C516="LT",Config!$F$6,Config!$F$18))/IF($C516="LT",Config!$G$6,Config!$G$18)))</f>
        <v/>
      </c>
      <c r="X516">
        <f>IF(OR(L516=0,L516=""),"",ABS((L516-IF($C516="LT",Config!$F$7,Config!$F$19))/IF($C516="LT",Config!$G$7,Config!$G$19)))</f>
        <v/>
      </c>
      <c r="Y516">
        <f>IF(OR(M516=0,M516=""),"",ABS((M516-IF($C516="LT",Config!$F$8,Config!$F$20))/IF($C516="LT",Config!$G$8,Config!$G$20)))</f>
        <v/>
      </c>
      <c r="Z516">
        <f>IF(OR(N516=0,N516=""),"",ABS((N516-IF($C516="LT",Config!$F$9,Config!$F$21))/IF($C516="LT",Config!$G$9,Config!$G$21)))</f>
        <v/>
      </c>
      <c r="AA516">
        <f>IF(OR(O516=0,O516=""),"",ABS((O516-IF($C516="LT",Config!$F$10,Config!$F$22))/IF($C516="LT",Config!$G$10,Config!$G$22)))</f>
        <v/>
      </c>
      <c r="AB516">
        <f>IF(OR(P516=0,P516=""),"",ABS((P516-IF($C516="LT",Config!$F$11,Config!$F$23))/IF($C516="LT",Config!$G$11,Config!$G$23)))</f>
        <v/>
      </c>
      <c r="AC516">
        <f>IF(OR(Q516=0,Q516=""),"",ABS((Q516-IF($C516="LT",Config!$F$12,Config!$F$24))/IF($C516="LT",Config!$G$12,Config!$G$24)))</f>
        <v/>
      </c>
      <c r="AD516">
        <f>IF(OR(R516=0,R516=""),"",ABS((R516-IF($C516="LT",Config!$F$13,Config!$F$25))/IF($C516="LT",Config!$G$13,Config!$G$25)))</f>
        <v/>
      </c>
    </row>
    <row r="517">
      <c r="A517" t="inlineStr">
        <is>
          <t>04C1726120990</t>
        </is>
      </c>
      <c r="B517" t="inlineStr">
        <is>
          <t>CRS0000675</t>
        </is>
      </c>
      <c r="C517" t="inlineStr">
        <is>
          <t>LT</t>
        </is>
      </c>
      <c r="D517" t="inlineStr">
        <is>
          <t>ALX440U-DS3B01</t>
        </is>
      </c>
      <c r="E517" s="2" t="n">
        <v>46112</v>
      </c>
      <c r="F517" t="inlineStr">
        <is>
          <t>Fail</t>
        </is>
      </c>
      <c r="G517" t="n">
        <v>127.6</v>
      </c>
      <c r="H517" t="n">
        <v>86.09999999999999</v>
      </c>
      <c r="I517" t="n">
        <v>-1957.8</v>
      </c>
      <c r="J517" t="n">
        <v>69.5</v>
      </c>
      <c r="K517" t="n">
        <v>0</v>
      </c>
      <c r="L517" t="n">
        <v>1.4</v>
      </c>
      <c r="M517" t="n">
        <v>0</v>
      </c>
      <c r="N517" t="n">
        <v>68.09999999999999</v>
      </c>
      <c r="O517" t="n">
        <v>111.94</v>
      </c>
      <c r="P517" t="n">
        <v>113.04</v>
      </c>
      <c r="Q517" t="n">
        <v>6.15</v>
      </c>
      <c r="R517" t="n">
        <v>6.59</v>
      </c>
      <c r="S517">
        <f>IF(OR(G517=0,G517=""),"",ABS((G517-IF($C517="LT",Config!$F$2,Config!$F$14))/IF($C517="LT",Config!$G$2,Config!$G$14)))</f>
        <v/>
      </c>
      <c r="T517">
        <f>IF(OR(H517=0,H517=""),"",ABS((H517-IF($C517="LT",Config!$F$3,Config!$F$15))/IF($C517="LT",Config!$G$3,Config!$G$15)))</f>
        <v/>
      </c>
      <c r="U517">
        <f>IF(OR(I517=0,I517=""),"",ABS((I517-IF($C517="LT",Config!$F$4,Config!$F$16))/IF($C517="LT",Config!$G$4,Config!$G$16)))</f>
        <v/>
      </c>
      <c r="V517">
        <f>IF(OR(J517=0,J517=""),"",ABS((J517-IF($C517="LT",Config!$F$5,Config!$F$17))/IF($C517="LT",Config!$G$5,Config!$G$17)))</f>
        <v/>
      </c>
      <c r="W517">
        <f>IF(OR(K517=0,K517=""),"",ABS((K517-IF($C517="LT",Config!$F$6,Config!$F$18))/IF($C517="LT",Config!$G$6,Config!$G$18)))</f>
        <v/>
      </c>
      <c r="X517">
        <f>IF(OR(L517=0,L517=""),"",ABS((L517-IF($C517="LT",Config!$F$7,Config!$F$19))/IF($C517="LT",Config!$G$7,Config!$G$19)))</f>
        <v/>
      </c>
      <c r="Y517">
        <f>IF(OR(M517=0,M517=""),"",ABS((M517-IF($C517="LT",Config!$F$8,Config!$F$20))/IF($C517="LT",Config!$G$8,Config!$G$20)))</f>
        <v/>
      </c>
      <c r="Z517">
        <f>IF(OR(N517=0,N517=""),"",ABS((N517-IF($C517="LT",Config!$F$9,Config!$F$21))/IF($C517="LT",Config!$G$9,Config!$G$21)))</f>
        <v/>
      </c>
      <c r="AA517">
        <f>IF(OR(O517=0,O517=""),"",ABS((O517-IF($C517="LT",Config!$F$10,Config!$F$22))/IF($C517="LT",Config!$G$10,Config!$G$22)))</f>
        <v/>
      </c>
      <c r="AB517">
        <f>IF(OR(P517=0,P517=""),"",ABS((P517-IF($C517="LT",Config!$F$11,Config!$F$23))/IF($C517="LT",Config!$G$11,Config!$G$23)))</f>
        <v/>
      </c>
      <c r="AC517">
        <f>IF(OR(Q517=0,Q517=""),"",ABS((Q517-IF($C517="LT",Config!$F$12,Config!$F$24))/IF($C517="LT",Config!$G$12,Config!$G$24)))</f>
        <v/>
      </c>
      <c r="AD517">
        <f>IF(OR(R517=0,R517=""),"",ABS((R517-IF($C517="LT",Config!$F$13,Config!$F$25))/IF($C517="LT",Config!$G$13,Config!$G$25)))</f>
        <v/>
      </c>
    </row>
    <row r="518">
      <c r="A518" t="inlineStr">
        <is>
          <t>04C1726120990</t>
        </is>
      </c>
      <c r="B518" t="inlineStr">
        <is>
          <t>CRS0000675</t>
        </is>
      </c>
      <c r="C518" t="inlineStr">
        <is>
          <t>LT</t>
        </is>
      </c>
      <c r="D518" t="inlineStr">
        <is>
          <t>ALX440U-DS3B01</t>
        </is>
      </c>
      <c r="E518" s="2" t="n">
        <v>46112</v>
      </c>
      <c r="F518" t="inlineStr">
        <is>
          <t>Fail</t>
        </is>
      </c>
      <c r="G518" t="n">
        <v>168.2</v>
      </c>
      <c r="H518" t="n">
        <v>89.7</v>
      </c>
      <c r="I518" t="n">
        <v>-1957.8</v>
      </c>
      <c r="J518" t="n">
        <v>69.5</v>
      </c>
      <c r="K518" t="n">
        <v>0</v>
      </c>
      <c r="L518" t="n">
        <v>0.6</v>
      </c>
      <c r="M518" t="n">
        <v>0</v>
      </c>
      <c r="N518" t="n">
        <v>68.90000000000001</v>
      </c>
      <c r="O518" t="n">
        <v>112.16</v>
      </c>
      <c r="P518" t="n">
        <v>113.4</v>
      </c>
      <c r="Q518" t="n">
        <v>6.62</v>
      </c>
      <c r="R518" t="n">
        <v>6.88</v>
      </c>
      <c r="S518">
        <f>IF(OR(G518=0,G518=""),"",ABS((G518-IF($C518="LT",Config!$F$2,Config!$F$14))/IF($C518="LT",Config!$G$2,Config!$G$14)))</f>
        <v/>
      </c>
      <c r="T518">
        <f>IF(OR(H518=0,H518=""),"",ABS((H518-IF($C518="LT",Config!$F$3,Config!$F$15))/IF($C518="LT",Config!$G$3,Config!$G$15)))</f>
        <v/>
      </c>
      <c r="U518">
        <f>IF(OR(I518=0,I518=""),"",ABS((I518-IF($C518="LT",Config!$F$4,Config!$F$16))/IF($C518="LT",Config!$G$4,Config!$G$16)))</f>
        <v/>
      </c>
      <c r="V518">
        <f>IF(OR(J518=0,J518=""),"",ABS((J518-IF($C518="LT",Config!$F$5,Config!$F$17))/IF($C518="LT",Config!$G$5,Config!$G$17)))</f>
        <v/>
      </c>
      <c r="W518">
        <f>IF(OR(K518=0,K518=""),"",ABS((K518-IF($C518="LT",Config!$F$6,Config!$F$18))/IF($C518="LT",Config!$G$6,Config!$G$18)))</f>
        <v/>
      </c>
      <c r="X518">
        <f>IF(OR(L518=0,L518=""),"",ABS((L518-IF($C518="LT",Config!$F$7,Config!$F$19))/IF($C518="LT",Config!$G$7,Config!$G$19)))</f>
        <v/>
      </c>
      <c r="Y518">
        <f>IF(OR(M518=0,M518=""),"",ABS((M518-IF($C518="LT",Config!$F$8,Config!$F$20))/IF($C518="LT",Config!$G$8,Config!$G$20)))</f>
        <v/>
      </c>
      <c r="Z518">
        <f>IF(OR(N518=0,N518=""),"",ABS((N518-IF($C518="LT",Config!$F$9,Config!$F$21))/IF($C518="LT",Config!$G$9,Config!$G$21)))</f>
        <v/>
      </c>
      <c r="AA518">
        <f>IF(OR(O518=0,O518=""),"",ABS((O518-IF($C518="LT",Config!$F$10,Config!$F$22))/IF($C518="LT",Config!$G$10,Config!$G$22)))</f>
        <v/>
      </c>
      <c r="AB518">
        <f>IF(OR(P518=0,P518=""),"",ABS((P518-IF($C518="LT",Config!$F$11,Config!$F$23))/IF($C518="LT",Config!$G$11,Config!$G$23)))</f>
        <v/>
      </c>
      <c r="AC518">
        <f>IF(OR(Q518=0,Q518=""),"",ABS((Q518-IF($C518="LT",Config!$F$12,Config!$F$24))/IF($C518="LT",Config!$G$12,Config!$G$24)))</f>
        <v/>
      </c>
      <c r="AD518">
        <f>IF(OR(R518=0,R518=""),"",ABS((R518-IF($C518="LT",Config!$F$13,Config!$F$25))/IF($C518="LT",Config!$G$13,Config!$G$25)))</f>
        <v/>
      </c>
    </row>
    <row r="519">
      <c r="A519" t="inlineStr">
        <is>
          <t>04C1726120990</t>
        </is>
      </c>
      <c r="B519" t="inlineStr">
        <is>
          <t>CRS0000675</t>
        </is>
      </c>
      <c r="C519" t="inlineStr">
        <is>
          <t>LT</t>
        </is>
      </c>
      <c r="D519" t="inlineStr">
        <is>
          <t>ALX440U-DS3B01</t>
        </is>
      </c>
      <c r="E519" s="2" t="n">
        <v>46112</v>
      </c>
      <c r="F519" t="inlineStr">
        <is>
          <t>Fail</t>
        </is>
      </c>
      <c r="G519" t="n">
        <v>141.9</v>
      </c>
      <c r="H519" t="n">
        <v>90.09999999999999</v>
      </c>
      <c r="I519" t="n">
        <v>-1957.8</v>
      </c>
      <c r="J519" t="n">
        <v>69.5</v>
      </c>
      <c r="K519" t="n">
        <v>0</v>
      </c>
      <c r="L519" t="n">
        <v>0.1</v>
      </c>
      <c r="M519" t="n">
        <v>0</v>
      </c>
      <c r="N519" t="n">
        <v>69.40000000000001</v>
      </c>
      <c r="O519" t="n">
        <v>115.68</v>
      </c>
      <c r="P519" t="n">
        <v>116.92</v>
      </c>
      <c r="Q519" t="n">
        <v>6.67</v>
      </c>
      <c r="R519" t="n">
        <v>6.79</v>
      </c>
      <c r="S519">
        <f>IF(OR(G519=0,G519=""),"",ABS((G519-IF($C519="LT",Config!$F$2,Config!$F$14))/IF($C519="LT",Config!$G$2,Config!$G$14)))</f>
        <v/>
      </c>
      <c r="T519">
        <f>IF(OR(H519=0,H519=""),"",ABS((H519-IF($C519="LT",Config!$F$3,Config!$F$15))/IF($C519="LT",Config!$G$3,Config!$G$15)))</f>
        <v/>
      </c>
      <c r="U519">
        <f>IF(OR(I519=0,I519=""),"",ABS((I519-IF($C519="LT",Config!$F$4,Config!$F$16))/IF($C519="LT",Config!$G$4,Config!$G$16)))</f>
        <v/>
      </c>
      <c r="V519">
        <f>IF(OR(J519=0,J519=""),"",ABS((J519-IF($C519="LT",Config!$F$5,Config!$F$17))/IF($C519="LT",Config!$G$5,Config!$G$17)))</f>
        <v/>
      </c>
      <c r="W519">
        <f>IF(OR(K519=0,K519=""),"",ABS((K519-IF($C519="LT",Config!$F$6,Config!$F$18))/IF($C519="LT",Config!$G$6,Config!$G$18)))</f>
        <v/>
      </c>
      <c r="X519">
        <f>IF(OR(L519=0,L519=""),"",ABS((L519-IF($C519="LT",Config!$F$7,Config!$F$19))/IF($C519="LT",Config!$G$7,Config!$G$19)))</f>
        <v/>
      </c>
      <c r="Y519">
        <f>IF(OR(M519=0,M519=""),"",ABS((M519-IF($C519="LT",Config!$F$8,Config!$F$20))/IF($C519="LT",Config!$G$8,Config!$G$20)))</f>
        <v/>
      </c>
      <c r="Z519">
        <f>IF(OR(N519=0,N519=""),"",ABS((N519-IF($C519="LT",Config!$F$9,Config!$F$21))/IF($C519="LT",Config!$G$9,Config!$G$21)))</f>
        <v/>
      </c>
      <c r="AA519">
        <f>IF(OR(O519=0,O519=""),"",ABS((O519-IF($C519="LT",Config!$F$10,Config!$F$22))/IF($C519="LT",Config!$G$10,Config!$G$22)))</f>
        <v/>
      </c>
      <c r="AB519">
        <f>IF(OR(P519=0,P519=""),"",ABS((P519-IF($C519="LT",Config!$F$11,Config!$F$23))/IF($C519="LT",Config!$G$11,Config!$G$23)))</f>
        <v/>
      </c>
      <c r="AC519">
        <f>IF(OR(Q519=0,Q519=""),"",ABS((Q519-IF($C519="LT",Config!$F$12,Config!$F$24))/IF($C519="LT",Config!$G$12,Config!$G$24)))</f>
        <v/>
      </c>
      <c r="AD519">
        <f>IF(OR(R519=0,R519=""),"",ABS((R519-IF($C519="LT",Config!$F$13,Config!$F$25))/IF($C519="LT",Config!$G$13,Config!$G$25)))</f>
        <v/>
      </c>
    </row>
    <row r="520">
      <c r="A520" t="inlineStr">
        <is>
          <t>04C1726120990</t>
        </is>
      </c>
      <c r="B520" t="inlineStr">
        <is>
          <t>CRS0000675</t>
        </is>
      </c>
      <c r="C520" t="inlineStr">
        <is>
          <t>LT</t>
        </is>
      </c>
      <c r="D520" t="inlineStr">
        <is>
          <t>ALX440U-DS3B01</t>
        </is>
      </c>
      <c r="E520" s="2" t="n">
        <v>46112</v>
      </c>
      <c r="F520" t="inlineStr">
        <is>
          <t>Pass</t>
        </is>
      </c>
      <c r="G520" t="n">
        <v>148.1</v>
      </c>
      <c r="H520" t="n">
        <v>91.5</v>
      </c>
      <c r="I520" t="n">
        <v>-1957.8</v>
      </c>
      <c r="J520" t="n">
        <v>70</v>
      </c>
      <c r="K520" t="n">
        <v>0</v>
      </c>
      <c r="L520" t="n">
        <v>0.4</v>
      </c>
      <c r="M520" t="n">
        <v>0</v>
      </c>
      <c r="N520" t="n">
        <v>70.40000000000001</v>
      </c>
      <c r="O520" t="n">
        <v>115.46</v>
      </c>
      <c r="P520" t="n">
        <v>115.6</v>
      </c>
      <c r="Q520" t="n">
        <v>6.79</v>
      </c>
      <c r="R520" t="n">
        <v>6.98</v>
      </c>
      <c r="S520">
        <f>IF(OR(G520=0,G520=""),"",ABS((G520-IF($C520="LT",Config!$F$2,Config!$F$14))/IF($C520="LT",Config!$G$2,Config!$G$14)))</f>
        <v/>
      </c>
      <c r="T520">
        <f>IF(OR(H520=0,H520=""),"",ABS((H520-IF($C520="LT",Config!$F$3,Config!$F$15))/IF($C520="LT",Config!$G$3,Config!$G$15)))</f>
        <v/>
      </c>
      <c r="U520">
        <f>IF(OR(I520=0,I520=""),"",ABS((I520-IF($C520="LT",Config!$F$4,Config!$F$16))/IF($C520="LT",Config!$G$4,Config!$G$16)))</f>
        <v/>
      </c>
      <c r="V520">
        <f>IF(OR(J520=0,J520=""),"",ABS((J520-IF($C520="LT",Config!$F$5,Config!$F$17))/IF($C520="LT",Config!$G$5,Config!$G$17)))</f>
        <v/>
      </c>
      <c r="W520">
        <f>IF(OR(K520=0,K520=""),"",ABS((K520-IF($C520="LT",Config!$F$6,Config!$F$18))/IF($C520="LT",Config!$G$6,Config!$G$18)))</f>
        <v/>
      </c>
      <c r="X520">
        <f>IF(OR(L520=0,L520=""),"",ABS((L520-IF($C520="LT",Config!$F$7,Config!$F$19))/IF($C520="LT",Config!$G$7,Config!$G$19)))</f>
        <v/>
      </c>
      <c r="Y520">
        <f>IF(OR(M520=0,M520=""),"",ABS((M520-IF($C520="LT",Config!$F$8,Config!$F$20))/IF($C520="LT",Config!$G$8,Config!$G$20)))</f>
        <v/>
      </c>
      <c r="Z520">
        <f>IF(OR(N520=0,N520=""),"",ABS((N520-IF($C520="LT",Config!$F$9,Config!$F$21))/IF($C520="LT",Config!$G$9,Config!$G$21)))</f>
        <v/>
      </c>
      <c r="AA520">
        <f>IF(OR(O520=0,O520=""),"",ABS((O520-IF($C520="LT",Config!$F$10,Config!$F$22))/IF($C520="LT",Config!$G$10,Config!$G$22)))</f>
        <v/>
      </c>
      <c r="AB520">
        <f>IF(OR(P520=0,P520=""),"",ABS((P520-IF($C520="LT",Config!$F$11,Config!$F$23))/IF($C520="LT",Config!$G$11,Config!$G$23)))</f>
        <v/>
      </c>
      <c r="AC520">
        <f>IF(OR(Q520=0,Q520=""),"",ABS((Q520-IF($C520="LT",Config!$F$12,Config!$F$24))/IF($C520="LT",Config!$G$12,Config!$G$24)))</f>
        <v/>
      </c>
      <c r="AD520">
        <f>IF(OR(R520=0,R520=""),"",ABS((R520-IF($C520="LT",Config!$F$13,Config!$F$25))/IF($C520="LT",Config!$G$13,Config!$G$25)))</f>
        <v/>
      </c>
    </row>
    <row r="521">
      <c r="A521" t="inlineStr">
        <is>
          <t>04C2526121090</t>
        </is>
      </c>
      <c r="B521" t="inlineStr">
        <is>
          <t>CRS0000675</t>
        </is>
      </c>
      <c r="C521" t="inlineStr">
        <is>
          <t>LT</t>
        </is>
      </c>
      <c r="D521" t="inlineStr">
        <is>
          <t>ALX440U-DS3B01</t>
        </is>
      </c>
      <c r="E521" s="2" t="n">
        <v>46112</v>
      </c>
      <c r="F521" t="inlineStr">
        <is>
          <t>Pass</t>
        </is>
      </c>
      <c r="G521" t="n">
        <v>156.6</v>
      </c>
      <c r="H521" t="n">
        <v>93.3</v>
      </c>
      <c r="I521" t="n">
        <v>-1957.8</v>
      </c>
      <c r="J521" t="n">
        <v>70</v>
      </c>
      <c r="K521" t="n">
        <v>0</v>
      </c>
      <c r="L521" t="n">
        <v>1.3</v>
      </c>
      <c r="M521" t="n">
        <v>0</v>
      </c>
      <c r="N521" t="n">
        <v>71.3</v>
      </c>
      <c r="O521" t="n">
        <v>115.38</v>
      </c>
      <c r="P521" t="n">
        <v>115.16</v>
      </c>
      <c r="Q521" t="n">
        <v>6.81</v>
      </c>
      <c r="R521" t="n">
        <v>7.47</v>
      </c>
      <c r="S521">
        <f>IF(OR(G521=0,G521=""),"",ABS((G521-IF($C521="LT",Config!$F$2,Config!$F$14))/IF($C521="LT",Config!$G$2,Config!$G$14)))</f>
        <v/>
      </c>
      <c r="T521">
        <f>IF(OR(H521=0,H521=""),"",ABS((H521-IF($C521="LT",Config!$F$3,Config!$F$15))/IF($C521="LT",Config!$G$3,Config!$G$15)))</f>
        <v/>
      </c>
      <c r="U521">
        <f>IF(OR(I521=0,I521=""),"",ABS((I521-IF($C521="LT",Config!$F$4,Config!$F$16))/IF($C521="LT",Config!$G$4,Config!$G$16)))</f>
        <v/>
      </c>
      <c r="V521">
        <f>IF(OR(J521=0,J521=""),"",ABS((J521-IF($C521="LT",Config!$F$5,Config!$F$17))/IF($C521="LT",Config!$G$5,Config!$G$17)))</f>
        <v/>
      </c>
      <c r="W521">
        <f>IF(OR(K521=0,K521=""),"",ABS((K521-IF($C521="LT",Config!$F$6,Config!$F$18))/IF($C521="LT",Config!$G$6,Config!$G$18)))</f>
        <v/>
      </c>
      <c r="X521">
        <f>IF(OR(L521=0,L521=""),"",ABS((L521-IF($C521="LT",Config!$F$7,Config!$F$19))/IF($C521="LT",Config!$G$7,Config!$G$19)))</f>
        <v/>
      </c>
      <c r="Y521">
        <f>IF(OR(M521=0,M521=""),"",ABS((M521-IF($C521="LT",Config!$F$8,Config!$F$20))/IF($C521="LT",Config!$G$8,Config!$G$20)))</f>
        <v/>
      </c>
      <c r="Z521">
        <f>IF(OR(N521=0,N521=""),"",ABS((N521-IF($C521="LT",Config!$F$9,Config!$F$21))/IF($C521="LT",Config!$G$9,Config!$G$21)))</f>
        <v/>
      </c>
      <c r="AA521">
        <f>IF(OR(O521=0,O521=""),"",ABS((O521-IF($C521="LT",Config!$F$10,Config!$F$22))/IF($C521="LT",Config!$G$10,Config!$G$22)))</f>
        <v/>
      </c>
      <c r="AB521">
        <f>IF(OR(P521=0,P521=""),"",ABS((P521-IF($C521="LT",Config!$F$11,Config!$F$23))/IF($C521="LT",Config!$G$11,Config!$G$23)))</f>
        <v/>
      </c>
      <c r="AC521">
        <f>IF(OR(Q521=0,Q521=""),"",ABS((Q521-IF($C521="LT",Config!$F$12,Config!$F$24))/IF($C521="LT",Config!$G$12,Config!$G$24)))</f>
        <v/>
      </c>
      <c r="AD521">
        <f>IF(OR(R521=0,R521=""),"",ABS((R521-IF($C521="LT",Config!$F$13,Config!$F$25))/IF($C521="LT",Config!$G$13,Config!$G$25)))</f>
        <v/>
      </c>
    </row>
    <row r="522">
      <c r="A522" t="inlineStr">
        <is>
          <t>04C3026121150</t>
        </is>
      </c>
      <c r="B522" t="inlineStr">
        <is>
          <t>CRS0000674</t>
        </is>
      </c>
      <c r="C522" t="inlineStr">
        <is>
          <t>MT</t>
        </is>
      </c>
      <c r="D522" t="inlineStr">
        <is>
          <t>TCX413U-DS1B01</t>
        </is>
      </c>
      <c r="E522" s="2" t="n">
        <v>46112</v>
      </c>
      <c r="F522" t="inlineStr">
        <is>
          <t>Pass</t>
        </is>
      </c>
      <c r="G522" t="n">
        <v>113.7</v>
      </c>
      <c r="H522" t="n">
        <v>80.2</v>
      </c>
      <c r="I522" t="n">
        <v>-1957.8</v>
      </c>
      <c r="J522" t="n">
        <v>70.40000000000001</v>
      </c>
      <c r="K522" t="n">
        <v>0</v>
      </c>
      <c r="L522" t="n">
        <v>1.1</v>
      </c>
      <c r="M522" t="n">
        <v>0</v>
      </c>
      <c r="N522" t="n">
        <v>71.5</v>
      </c>
      <c r="O522" t="n">
        <v>115.31</v>
      </c>
      <c r="P522" t="n">
        <v>115.31</v>
      </c>
      <c r="Q522" t="n">
        <v>3.86</v>
      </c>
      <c r="R522" t="n">
        <v>3.96</v>
      </c>
      <c r="S522">
        <f>IF(OR(G522=0,G522=""),"",ABS((G522-IF($C522="LT",Config!$F$2,Config!$F$14))/IF($C522="LT",Config!$G$2,Config!$G$14)))</f>
        <v/>
      </c>
      <c r="T522">
        <f>IF(OR(H522=0,H522=""),"",ABS((H522-IF($C522="LT",Config!$F$3,Config!$F$15))/IF($C522="LT",Config!$G$3,Config!$G$15)))</f>
        <v/>
      </c>
      <c r="U522">
        <f>IF(OR(I522=0,I522=""),"",ABS((I522-IF($C522="LT",Config!$F$4,Config!$F$16))/IF($C522="LT",Config!$G$4,Config!$G$16)))</f>
        <v/>
      </c>
      <c r="V522">
        <f>IF(OR(J522=0,J522=""),"",ABS((J522-IF($C522="LT",Config!$F$5,Config!$F$17))/IF($C522="LT",Config!$G$5,Config!$G$17)))</f>
        <v/>
      </c>
      <c r="W522">
        <f>IF(OR(K522=0,K522=""),"",ABS((K522-IF($C522="LT",Config!$F$6,Config!$F$18))/IF($C522="LT",Config!$G$6,Config!$G$18)))</f>
        <v/>
      </c>
      <c r="X522">
        <f>IF(OR(L522=0,L522=""),"",ABS((L522-IF($C522="LT",Config!$F$7,Config!$F$19))/IF($C522="LT",Config!$G$7,Config!$G$19)))</f>
        <v/>
      </c>
      <c r="Y522">
        <f>IF(OR(M522=0,M522=""),"",ABS((M522-IF($C522="LT",Config!$F$8,Config!$F$20))/IF($C522="LT",Config!$G$8,Config!$G$20)))</f>
        <v/>
      </c>
      <c r="Z522">
        <f>IF(OR(N522=0,N522=""),"",ABS((N522-IF($C522="LT",Config!$F$9,Config!$F$21))/IF($C522="LT",Config!$G$9,Config!$G$21)))</f>
        <v/>
      </c>
      <c r="AA522">
        <f>IF(OR(O522=0,O522=""),"",ABS((O522-IF($C522="LT",Config!$F$10,Config!$F$22))/IF($C522="LT",Config!$G$10,Config!$G$22)))</f>
        <v/>
      </c>
      <c r="AB522">
        <f>IF(OR(P522=0,P522=""),"",ABS((P522-IF($C522="LT",Config!$F$11,Config!$F$23))/IF($C522="LT",Config!$G$11,Config!$G$23)))</f>
        <v/>
      </c>
      <c r="AC522">
        <f>IF(OR(Q522=0,Q522=""),"",ABS((Q522-IF($C522="LT",Config!$F$12,Config!$F$24))/IF($C522="LT",Config!$G$12,Config!$G$24)))</f>
        <v/>
      </c>
      <c r="AD522">
        <f>IF(OR(R522=0,R522=""),"",ABS((R522-IF($C522="LT",Config!$F$13,Config!$F$25))/IF($C522="LT",Config!$G$13,Config!$G$25)))</f>
        <v/>
      </c>
    </row>
    <row r="523">
      <c r="A523" t="inlineStr">
        <is>
          <t>04C3026121151</t>
        </is>
      </c>
      <c r="B523" t="inlineStr">
        <is>
          <t>CRS0000674</t>
        </is>
      </c>
      <c r="C523" t="inlineStr">
        <is>
          <t>MT</t>
        </is>
      </c>
      <c r="D523" t="inlineStr">
        <is>
          <t>TCX413U-DS1B01</t>
        </is>
      </c>
      <c r="E523" s="2" t="n">
        <v>46112</v>
      </c>
      <c r="F523" t="inlineStr">
        <is>
          <t>Pass</t>
        </is>
      </c>
      <c r="G523" t="n">
        <v>114.2</v>
      </c>
      <c r="H523" t="n">
        <v>83.8</v>
      </c>
      <c r="I523" t="n">
        <v>-1957.8</v>
      </c>
      <c r="J523" t="n">
        <v>70</v>
      </c>
      <c r="K523" t="n">
        <v>0</v>
      </c>
      <c r="L523" t="n">
        <v>1.4</v>
      </c>
      <c r="M523" t="n">
        <v>0</v>
      </c>
      <c r="N523" t="n">
        <v>71.40000000000001</v>
      </c>
      <c r="O523" t="n">
        <v>111.72</v>
      </c>
      <c r="P523" t="n">
        <v>113.33</v>
      </c>
      <c r="Q523" t="n">
        <v>3.96</v>
      </c>
      <c r="R523" t="n">
        <v>4.03</v>
      </c>
      <c r="S523">
        <f>IF(OR(G523=0,G523=""),"",ABS((G523-IF($C523="LT",Config!$F$2,Config!$F$14))/IF($C523="LT",Config!$G$2,Config!$G$14)))</f>
        <v/>
      </c>
      <c r="T523">
        <f>IF(OR(H523=0,H523=""),"",ABS((H523-IF($C523="LT",Config!$F$3,Config!$F$15))/IF($C523="LT",Config!$G$3,Config!$G$15)))</f>
        <v/>
      </c>
      <c r="U523">
        <f>IF(OR(I523=0,I523=""),"",ABS((I523-IF($C523="LT",Config!$F$4,Config!$F$16))/IF($C523="LT",Config!$G$4,Config!$G$16)))</f>
        <v/>
      </c>
      <c r="V523">
        <f>IF(OR(J523=0,J523=""),"",ABS((J523-IF($C523="LT",Config!$F$5,Config!$F$17))/IF($C523="LT",Config!$G$5,Config!$G$17)))</f>
        <v/>
      </c>
      <c r="W523">
        <f>IF(OR(K523=0,K523=""),"",ABS((K523-IF($C523="LT",Config!$F$6,Config!$F$18))/IF($C523="LT",Config!$G$6,Config!$G$18)))</f>
        <v/>
      </c>
      <c r="X523">
        <f>IF(OR(L523=0,L523=""),"",ABS((L523-IF($C523="LT",Config!$F$7,Config!$F$19))/IF($C523="LT",Config!$G$7,Config!$G$19)))</f>
        <v/>
      </c>
      <c r="Y523">
        <f>IF(OR(M523=0,M523=""),"",ABS((M523-IF($C523="LT",Config!$F$8,Config!$F$20))/IF($C523="LT",Config!$G$8,Config!$G$20)))</f>
        <v/>
      </c>
      <c r="Z523">
        <f>IF(OR(N523=0,N523=""),"",ABS((N523-IF($C523="LT",Config!$F$9,Config!$F$21))/IF($C523="LT",Config!$G$9,Config!$G$21)))</f>
        <v/>
      </c>
      <c r="AA523">
        <f>IF(OR(O523=0,O523=""),"",ABS((O523-IF($C523="LT",Config!$F$10,Config!$F$22))/IF($C523="LT",Config!$G$10,Config!$G$22)))</f>
        <v/>
      </c>
      <c r="AB523">
        <f>IF(OR(P523=0,P523=""),"",ABS((P523-IF($C523="LT",Config!$F$11,Config!$F$23))/IF($C523="LT",Config!$G$11,Config!$G$23)))</f>
        <v/>
      </c>
      <c r="AC523">
        <f>IF(OR(Q523=0,Q523=""),"",ABS((Q523-IF($C523="LT",Config!$F$12,Config!$F$24))/IF($C523="LT",Config!$G$12,Config!$G$24)))</f>
        <v/>
      </c>
      <c r="AD523">
        <f>IF(OR(R523=0,R523=""),"",ABS((R523-IF($C523="LT",Config!$F$13,Config!$F$25))/IF($C523="LT",Config!$G$13,Config!$G$25)))</f>
        <v/>
      </c>
    </row>
    <row r="524">
      <c r="A524" t="inlineStr">
        <is>
          <t>04C3026121152</t>
        </is>
      </c>
      <c r="B524" t="inlineStr">
        <is>
          <t>CRS0000674</t>
        </is>
      </c>
      <c r="C524" t="inlineStr">
        <is>
          <t>MT</t>
        </is>
      </c>
      <c r="D524" t="inlineStr">
        <is>
          <t>TCX413U-DS1B01</t>
        </is>
      </c>
      <c r="E524" s="2" t="n">
        <v>46112</v>
      </c>
      <c r="F524" t="inlineStr">
        <is>
          <t>Pass</t>
        </is>
      </c>
      <c r="G524" t="n">
        <v>110.6</v>
      </c>
      <c r="H524" t="n">
        <v>82.5</v>
      </c>
      <c r="I524" t="n">
        <v>-1957.8</v>
      </c>
      <c r="J524" t="n">
        <v>70</v>
      </c>
      <c r="K524" t="n">
        <v>0</v>
      </c>
      <c r="L524" t="n">
        <v>0.7</v>
      </c>
      <c r="M524" t="n">
        <v>0</v>
      </c>
      <c r="N524" t="n">
        <v>70.7</v>
      </c>
      <c r="O524" t="n">
        <v>114.94</v>
      </c>
      <c r="P524" t="n">
        <v>115.02</v>
      </c>
      <c r="Q524" t="n">
        <v>3.76</v>
      </c>
      <c r="R524" t="n">
        <v>3.88</v>
      </c>
      <c r="S524">
        <f>IF(OR(G524=0,G524=""),"",ABS((G524-IF($C524="LT",Config!$F$2,Config!$F$14))/IF($C524="LT",Config!$G$2,Config!$G$14)))</f>
        <v/>
      </c>
      <c r="T524">
        <f>IF(OR(H524=0,H524=""),"",ABS((H524-IF($C524="LT",Config!$F$3,Config!$F$15))/IF($C524="LT",Config!$G$3,Config!$G$15)))</f>
        <v/>
      </c>
      <c r="U524">
        <f>IF(OR(I524=0,I524=""),"",ABS((I524-IF($C524="LT",Config!$F$4,Config!$F$16))/IF($C524="LT",Config!$G$4,Config!$G$16)))</f>
        <v/>
      </c>
      <c r="V524">
        <f>IF(OR(J524=0,J524=""),"",ABS((J524-IF($C524="LT",Config!$F$5,Config!$F$17))/IF($C524="LT",Config!$G$5,Config!$G$17)))</f>
        <v/>
      </c>
      <c r="W524">
        <f>IF(OR(K524=0,K524=""),"",ABS((K524-IF($C524="LT",Config!$F$6,Config!$F$18))/IF($C524="LT",Config!$G$6,Config!$G$18)))</f>
        <v/>
      </c>
      <c r="X524">
        <f>IF(OR(L524=0,L524=""),"",ABS((L524-IF($C524="LT",Config!$F$7,Config!$F$19))/IF($C524="LT",Config!$G$7,Config!$G$19)))</f>
        <v/>
      </c>
      <c r="Y524">
        <f>IF(OR(M524=0,M524=""),"",ABS((M524-IF($C524="LT",Config!$F$8,Config!$F$20))/IF($C524="LT",Config!$G$8,Config!$G$20)))</f>
        <v/>
      </c>
      <c r="Z524">
        <f>IF(OR(N524=0,N524=""),"",ABS((N524-IF($C524="LT",Config!$F$9,Config!$F$21))/IF($C524="LT",Config!$G$9,Config!$G$21)))</f>
        <v/>
      </c>
      <c r="AA524">
        <f>IF(OR(O524=0,O524=""),"",ABS((O524-IF($C524="LT",Config!$F$10,Config!$F$22))/IF($C524="LT",Config!$G$10,Config!$G$22)))</f>
        <v/>
      </c>
      <c r="AB524">
        <f>IF(OR(P524=0,P524=""),"",ABS((P524-IF($C524="LT",Config!$F$11,Config!$F$23))/IF($C524="LT",Config!$G$11,Config!$G$23)))</f>
        <v/>
      </c>
      <c r="AC524">
        <f>IF(OR(Q524=0,Q524=""),"",ABS((Q524-IF($C524="LT",Config!$F$12,Config!$F$24))/IF($C524="LT",Config!$G$12,Config!$G$24)))</f>
        <v/>
      </c>
      <c r="AD524">
        <f>IF(OR(R524=0,R524=""),"",ABS((R524-IF($C524="LT",Config!$F$13,Config!$F$25))/IF($C524="LT",Config!$G$13,Config!$G$25)))</f>
        <v/>
      </c>
    </row>
    <row r="525">
      <c r="A525" t="inlineStr">
        <is>
          <t>04C3026121153</t>
        </is>
      </c>
      <c r="B525" t="inlineStr">
        <is>
          <t>CRS0000674</t>
        </is>
      </c>
      <c r="C525" t="inlineStr">
        <is>
          <t>MT</t>
        </is>
      </c>
      <c r="D525" t="inlineStr">
        <is>
          <t>TCX413U-DS1B01</t>
        </is>
      </c>
      <c r="E525" s="2" t="n">
        <v>46112</v>
      </c>
      <c r="F525" t="inlineStr">
        <is>
          <t>Pass</t>
        </is>
      </c>
      <c r="G525" t="n">
        <v>113.3</v>
      </c>
      <c r="H525" t="n">
        <v>81.59999999999999</v>
      </c>
      <c r="I525" t="n">
        <v>-1957.8</v>
      </c>
      <c r="J525" t="n">
        <v>70.40000000000001</v>
      </c>
      <c r="K525" t="n">
        <v>0</v>
      </c>
      <c r="L525" t="n">
        <v>0.6</v>
      </c>
      <c r="M525" t="n">
        <v>0</v>
      </c>
      <c r="N525" t="n">
        <v>71</v>
      </c>
      <c r="O525" t="n">
        <v>115.31</v>
      </c>
      <c r="P525" t="n">
        <v>115.16</v>
      </c>
      <c r="Q525" t="n">
        <v>3.86</v>
      </c>
      <c r="R525" t="n">
        <v>3.91</v>
      </c>
      <c r="S525">
        <f>IF(OR(G525=0,G525=""),"",ABS((G525-IF($C525="LT",Config!$F$2,Config!$F$14))/IF($C525="LT",Config!$G$2,Config!$G$14)))</f>
        <v/>
      </c>
      <c r="T525">
        <f>IF(OR(H525=0,H525=""),"",ABS((H525-IF($C525="LT",Config!$F$3,Config!$F$15))/IF($C525="LT",Config!$G$3,Config!$G$15)))</f>
        <v/>
      </c>
      <c r="U525">
        <f>IF(OR(I525=0,I525=""),"",ABS((I525-IF($C525="LT",Config!$F$4,Config!$F$16))/IF($C525="LT",Config!$G$4,Config!$G$16)))</f>
        <v/>
      </c>
      <c r="V525">
        <f>IF(OR(J525=0,J525=""),"",ABS((J525-IF($C525="LT",Config!$F$5,Config!$F$17))/IF($C525="LT",Config!$G$5,Config!$G$17)))</f>
        <v/>
      </c>
      <c r="W525">
        <f>IF(OR(K525=0,K525=""),"",ABS((K525-IF($C525="LT",Config!$F$6,Config!$F$18))/IF($C525="LT",Config!$G$6,Config!$G$18)))</f>
        <v/>
      </c>
      <c r="X525">
        <f>IF(OR(L525=0,L525=""),"",ABS((L525-IF($C525="LT",Config!$F$7,Config!$F$19))/IF($C525="LT",Config!$G$7,Config!$G$19)))</f>
        <v/>
      </c>
      <c r="Y525">
        <f>IF(OR(M525=0,M525=""),"",ABS((M525-IF($C525="LT",Config!$F$8,Config!$F$20))/IF($C525="LT",Config!$G$8,Config!$G$20)))</f>
        <v/>
      </c>
      <c r="Z525">
        <f>IF(OR(N525=0,N525=""),"",ABS((N525-IF($C525="LT",Config!$F$9,Config!$F$21))/IF($C525="LT",Config!$G$9,Config!$G$21)))</f>
        <v/>
      </c>
      <c r="AA525">
        <f>IF(OR(O525=0,O525=""),"",ABS((O525-IF($C525="LT",Config!$F$10,Config!$F$22))/IF($C525="LT",Config!$G$10,Config!$G$22)))</f>
        <v/>
      </c>
      <c r="AB525">
        <f>IF(OR(P525=0,P525=""),"",ABS((P525-IF($C525="LT",Config!$F$11,Config!$F$23))/IF($C525="LT",Config!$G$11,Config!$G$23)))</f>
        <v/>
      </c>
      <c r="AC525">
        <f>IF(OR(Q525=0,Q525=""),"",ABS((Q525-IF($C525="LT",Config!$F$12,Config!$F$24))/IF($C525="LT",Config!$G$12,Config!$G$24)))</f>
        <v/>
      </c>
      <c r="AD525">
        <f>IF(OR(R525=0,R525=""),"",ABS((R525-IF($C525="LT",Config!$F$13,Config!$F$25))/IF($C525="LT",Config!$G$13,Config!$G$25)))</f>
        <v/>
      </c>
    </row>
    <row r="526">
      <c r="A526" t="inlineStr">
        <is>
          <t>04C3026121154</t>
        </is>
      </c>
      <c r="B526" t="inlineStr">
        <is>
          <t>CRS0000674</t>
        </is>
      </c>
      <c r="C526" t="inlineStr">
        <is>
          <t>MT</t>
        </is>
      </c>
      <c r="D526" t="inlineStr">
        <is>
          <t>TCX413U-DS1B01</t>
        </is>
      </c>
      <c r="E526" s="2" t="n">
        <v>46112</v>
      </c>
      <c r="F526" t="inlineStr">
        <is>
          <t>Pass</t>
        </is>
      </c>
      <c r="G526" t="n">
        <v>108.8</v>
      </c>
      <c r="H526" t="n">
        <v>85.2</v>
      </c>
      <c r="I526" t="n">
        <v>-1957.8</v>
      </c>
      <c r="J526" t="n">
        <v>70.40000000000001</v>
      </c>
      <c r="K526" t="n">
        <v>0</v>
      </c>
      <c r="L526" t="n">
        <v>0.9</v>
      </c>
      <c r="M526" t="n">
        <v>0</v>
      </c>
      <c r="N526" t="n">
        <v>71.3</v>
      </c>
      <c r="O526" t="n">
        <v>112.52</v>
      </c>
      <c r="P526" t="n">
        <v>116.7</v>
      </c>
      <c r="Q526" t="n">
        <v>3.91</v>
      </c>
      <c r="R526" t="n">
        <v>3.86</v>
      </c>
      <c r="S526">
        <f>IF(OR(G526=0,G526=""),"",ABS((G526-IF($C526="LT",Config!$F$2,Config!$F$14))/IF($C526="LT",Config!$G$2,Config!$G$14)))</f>
        <v/>
      </c>
      <c r="T526">
        <f>IF(OR(H526=0,H526=""),"",ABS((H526-IF($C526="LT",Config!$F$3,Config!$F$15))/IF($C526="LT",Config!$G$3,Config!$G$15)))</f>
        <v/>
      </c>
      <c r="U526">
        <f>IF(OR(I526=0,I526=""),"",ABS((I526-IF($C526="LT",Config!$F$4,Config!$F$16))/IF($C526="LT",Config!$G$4,Config!$G$16)))</f>
        <v/>
      </c>
      <c r="V526">
        <f>IF(OR(J526=0,J526=""),"",ABS((J526-IF($C526="LT",Config!$F$5,Config!$F$17))/IF($C526="LT",Config!$G$5,Config!$G$17)))</f>
        <v/>
      </c>
      <c r="W526">
        <f>IF(OR(K526=0,K526=""),"",ABS((K526-IF($C526="LT",Config!$F$6,Config!$F$18))/IF($C526="LT",Config!$G$6,Config!$G$18)))</f>
        <v/>
      </c>
      <c r="X526">
        <f>IF(OR(L526=0,L526=""),"",ABS((L526-IF($C526="LT",Config!$F$7,Config!$F$19))/IF($C526="LT",Config!$G$7,Config!$G$19)))</f>
        <v/>
      </c>
      <c r="Y526">
        <f>IF(OR(M526=0,M526=""),"",ABS((M526-IF($C526="LT",Config!$F$8,Config!$F$20))/IF($C526="LT",Config!$G$8,Config!$G$20)))</f>
        <v/>
      </c>
      <c r="Z526">
        <f>IF(OR(N526=0,N526=""),"",ABS((N526-IF($C526="LT",Config!$F$9,Config!$F$21))/IF($C526="LT",Config!$G$9,Config!$G$21)))</f>
        <v/>
      </c>
      <c r="AA526">
        <f>IF(OR(O526=0,O526=""),"",ABS((O526-IF($C526="LT",Config!$F$10,Config!$F$22))/IF($C526="LT",Config!$G$10,Config!$G$22)))</f>
        <v/>
      </c>
      <c r="AB526">
        <f>IF(OR(P526=0,P526=""),"",ABS((P526-IF($C526="LT",Config!$F$11,Config!$F$23))/IF($C526="LT",Config!$G$11,Config!$G$23)))</f>
        <v/>
      </c>
      <c r="AC526">
        <f>IF(OR(Q526=0,Q526=""),"",ABS((Q526-IF($C526="LT",Config!$F$12,Config!$F$24))/IF($C526="LT",Config!$G$12,Config!$G$24)))</f>
        <v/>
      </c>
      <c r="AD526">
        <f>IF(OR(R526=0,R526=""),"",ABS((R526-IF($C526="LT",Config!$F$13,Config!$F$25))/IF($C526="LT",Config!$G$13,Config!$G$25)))</f>
        <v/>
      </c>
    </row>
    <row r="527">
      <c r="A527" t="inlineStr">
        <is>
          <t>04C3026121155</t>
        </is>
      </c>
      <c r="B527" t="inlineStr">
        <is>
          <t>CRS0000674</t>
        </is>
      </c>
      <c r="C527" t="inlineStr">
        <is>
          <t>MT</t>
        </is>
      </c>
      <c r="D527" t="inlineStr">
        <is>
          <t>TCX413U-DS1B01</t>
        </is>
      </c>
      <c r="E527" s="2" t="n">
        <v>46112</v>
      </c>
      <c r="F527" t="inlineStr">
        <is>
          <t>Pass</t>
        </is>
      </c>
      <c r="G527" t="n">
        <v>113.7</v>
      </c>
      <c r="H527" t="n">
        <v>83.8</v>
      </c>
      <c r="I527" t="n">
        <v>-1957.8</v>
      </c>
      <c r="J527" t="n">
        <v>70</v>
      </c>
      <c r="K527" t="n">
        <v>0</v>
      </c>
      <c r="L527" t="n">
        <v>0.9</v>
      </c>
      <c r="M527" t="n">
        <v>0</v>
      </c>
      <c r="N527" t="n">
        <v>70.90000000000001</v>
      </c>
      <c r="O527" t="n">
        <v>112.01</v>
      </c>
      <c r="P527" t="n">
        <v>113.55</v>
      </c>
      <c r="Q527" t="n">
        <v>3.88</v>
      </c>
      <c r="R527" t="n">
        <v>3.93</v>
      </c>
      <c r="S527">
        <f>IF(OR(G527=0,G527=""),"",ABS((G527-IF($C527="LT",Config!$F$2,Config!$F$14))/IF($C527="LT",Config!$G$2,Config!$G$14)))</f>
        <v/>
      </c>
      <c r="T527">
        <f>IF(OR(H527=0,H527=""),"",ABS((H527-IF($C527="LT",Config!$F$3,Config!$F$15))/IF($C527="LT",Config!$G$3,Config!$G$15)))</f>
        <v/>
      </c>
      <c r="U527">
        <f>IF(OR(I527=0,I527=""),"",ABS((I527-IF($C527="LT",Config!$F$4,Config!$F$16))/IF($C527="LT",Config!$G$4,Config!$G$16)))</f>
        <v/>
      </c>
      <c r="V527">
        <f>IF(OR(J527=0,J527=""),"",ABS((J527-IF($C527="LT",Config!$F$5,Config!$F$17))/IF($C527="LT",Config!$G$5,Config!$G$17)))</f>
        <v/>
      </c>
      <c r="W527">
        <f>IF(OR(K527=0,K527=""),"",ABS((K527-IF($C527="LT",Config!$F$6,Config!$F$18))/IF($C527="LT",Config!$G$6,Config!$G$18)))</f>
        <v/>
      </c>
      <c r="X527">
        <f>IF(OR(L527=0,L527=""),"",ABS((L527-IF($C527="LT",Config!$F$7,Config!$F$19))/IF($C527="LT",Config!$G$7,Config!$G$19)))</f>
        <v/>
      </c>
      <c r="Y527">
        <f>IF(OR(M527=0,M527=""),"",ABS((M527-IF($C527="LT",Config!$F$8,Config!$F$20))/IF($C527="LT",Config!$G$8,Config!$G$20)))</f>
        <v/>
      </c>
      <c r="Z527">
        <f>IF(OR(N527=0,N527=""),"",ABS((N527-IF($C527="LT",Config!$F$9,Config!$F$21))/IF($C527="LT",Config!$G$9,Config!$G$21)))</f>
        <v/>
      </c>
      <c r="AA527">
        <f>IF(OR(O527=0,O527=""),"",ABS((O527-IF($C527="LT",Config!$F$10,Config!$F$22))/IF($C527="LT",Config!$G$10,Config!$G$22)))</f>
        <v/>
      </c>
      <c r="AB527">
        <f>IF(OR(P527=0,P527=""),"",ABS((P527-IF($C527="LT",Config!$F$11,Config!$F$23))/IF($C527="LT",Config!$G$11,Config!$G$23)))</f>
        <v/>
      </c>
      <c r="AC527">
        <f>IF(OR(Q527=0,Q527=""),"",ABS((Q527-IF($C527="LT",Config!$F$12,Config!$F$24))/IF($C527="LT",Config!$G$12,Config!$G$24)))</f>
        <v/>
      </c>
      <c r="AD527">
        <f>IF(OR(R527=0,R527=""),"",ABS((R527-IF($C527="LT",Config!$F$13,Config!$F$25))/IF($C527="LT",Config!$G$13,Config!$G$25)))</f>
        <v/>
      </c>
    </row>
    <row r="528">
      <c r="A528" t="inlineStr">
        <is>
          <t>04C3026121156</t>
        </is>
      </c>
      <c r="B528" t="inlineStr">
        <is>
          <t>CRS0000674</t>
        </is>
      </c>
      <c r="C528" t="inlineStr">
        <is>
          <t>MT</t>
        </is>
      </c>
      <c r="D528" t="inlineStr">
        <is>
          <t>TCX413U-DS1B01</t>
        </is>
      </c>
      <c r="E528" s="2" t="n">
        <v>46112</v>
      </c>
      <c r="F528" t="inlineStr">
        <is>
          <t>Pass</t>
        </is>
      </c>
      <c r="G528" t="n">
        <v>110.2</v>
      </c>
      <c r="H528" t="n">
        <v>81.59999999999999</v>
      </c>
      <c r="I528" t="n">
        <v>-1957.8</v>
      </c>
      <c r="J528" t="n">
        <v>70</v>
      </c>
      <c r="K528" t="n">
        <v>0</v>
      </c>
      <c r="L528" t="n">
        <v>0.8</v>
      </c>
      <c r="M528" t="n">
        <v>0</v>
      </c>
      <c r="N528" t="n">
        <v>70.8</v>
      </c>
      <c r="O528" t="n">
        <v>112.16</v>
      </c>
      <c r="P528" t="n">
        <v>116.34</v>
      </c>
      <c r="Q528" t="n">
        <v>3.91</v>
      </c>
      <c r="R528" t="n">
        <v>3.93</v>
      </c>
      <c r="S528">
        <f>IF(OR(G528=0,G528=""),"",ABS((G528-IF($C528="LT",Config!$F$2,Config!$F$14))/IF($C528="LT",Config!$G$2,Config!$G$14)))</f>
        <v/>
      </c>
      <c r="T528">
        <f>IF(OR(H528=0,H528=""),"",ABS((H528-IF($C528="LT",Config!$F$3,Config!$F$15))/IF($C528="LT",Config!$G$3,Config!$G$15)))</f>
        <v/>
      </c>
      <c r="U528">
        <f>IF(OR(I528=0,I528=""),"",ABS((I528-IF($C528="LT",Config!$F$4,Config!$F$16))/IF($C528="LT",Config!$G$4,Config!$G$16)))</f>
        <v/>
      </c>
      <c r="V528">
        <f>IF(OR(J528=0,J528=""),"",ABS((J528-IF($C528="LT",Config!$F$5,Config!$F$17))/IF($C528="LT",Config!$G$5,Config!$G$17)))</f>
        <v/>
      </c>
      <c r="W528">
        <f>IF(OR(K528=0,K528=""),"",ABS((K528-IF($C528="LT",Config!$F$6,Config!$F$18))/IF($C528="LT",Config!$G$6,Config!$G$18)))</f>
        <v/>
      </c>
      <c r="X528">
        <f>IF(OR(L528=0,L528=""),"",ABS((L528-IF($C528="LT",Config!$F$7,Config!$F$19))/IF($C528="LT",Config!$G$7,Config!$G$19)))</f>
        <v/>
      </c>
      <c r="Y528">
        <f>IF(OR(M528=0,M528=""),"",ABS((M528-IF($C528="LT",Config!$F$8,Config!$F$20))/IF($C528="LT",Config!$G$8,Config!$G$20)))</f>
        <v/>
      </c>
      <c r="Z528">
        <f>IF(OR(N528=0,N528=""),"",ABS((N528-IF($C528="LT",Config!$F$9,Config!$F$21))/IF($C528="LT",Config!$G$9,Config!$G$21)))</f>
        <v/>
      </c>
      <c r="AA528">
        <f>IF(OR(O528=0,O528=""),"",ABS((O528-IF($C528="LT",Config!$F$10,Config!$F$22))/IF($C528="LT",Config!$G$10,Config!$G$22)))</f>
        <v/>
      </c>
      <c r="AB528">
        <f>IF(OR(P528=0,P528=""),"",ABS((P528-IF($C528="LT",Config!$F$11,Config!$F$23))/IF($C528="LT",Config!$G$11,Config!$G$23)))</f>
        <v/>
      </c>
      <c r="AC528">
        <f>IF(OR(Q528=0,Q528=""),"",ABS((Q528-IF($C528="LT",Config!$F$12,Config!$F$24))/IF($C528="LT",Config!$G$12,Config!$G$24)))</f>
        <v/>
      </c>
      <c r="AD528">
        <f>IF(OR(R528=0,R528=""),"",ABS((R528-IF($C528="LT",Config!$F$13,Config!$F$25))/IF($C528="LT",Config!$G$13,Config!$G$25)))</f>
        <v/>
      </c>
    </row>
    <row r="529">
      <c r="A529" t="inlineStr">
        <is>
          <t>04C3026121157</t>
        </is>
      </c>
      <c r="B529" t="inlineStr">
        <is>
          <t>CRS0000674</t>
        </is>
      </c>
      <c r="C529" t="inlineStr">
        <is>
          <t>MT</t>
        </is>
      </c>
      <c r="D529" t="inlineStr">
        <is>
          <t>TCX413U-DS1B01</t>
        </is>
      </c>
      <c r="E529" s="2" t="n">
        <v>46112</v>
      </c>
      <c r="F529" t="inlineStr">
        <is>
          <t>Pass</t>
        </is>
      </c>
      <c r="G529" t="n">
        <v>114.6</v>
      </c>
      <c r="H529" t="n">
        <v>80.2</v>
      </c>
      <c r="I529" t="n">
        <v>-1957.8</v>
      </c>
      <c r="J529" t="n">
        <v>70.40000000000001</v>
      </c>
      <c r="K529" t="n">
        <v>0</v>
      </c>
      <c r="L529" t="n">
        <v>1.8</v>
      </c>
      <c r="M529" t="n">
        <v>0</v>
      </c>
      <c r="N529" t="n">
        <v>72.2</v>
      </c>
      <c r="O529" t="n">
        <v>112.38</v>
      </c>
      <c r="P529" t="n">
        <v>116.41</v>
      </c>
      <c r="Q529" t="n">
        <v>4.1</v>
      </c>
      <c r="R529" t="n">
        <v>4.1</v>
      </c>
      <c r="S529">
        <f>IF(OR(G529=0,G529=""),"",ABS((G529-IF($C529="LT",Config!$F$2,Config!$F$14))/IF($C529="LT",Config!$G$2,Config!$G$14)))</f>
        <v/>
      </c>
      <c r="T529">
        <f>IF(OR(H529=0,H529=""),"",ABS((H529-IF($C529="LT",Config!$F$3,Config!$F$15))/IF($C529="LT",Config!$G$3,Config!$G$15)))</f>
        <v/>
      </c>
      <c r="U529">
        <f>IF(OR(I529=0,I529=""),"",ABS((I529-IF($C529="LT",Config!$F$4,Config!$F$16))/IF($C529="LT",Config!$G$4,Config!$G$16)))</f>
        <v/>
      </c>
      <c r="V529">
        <f>IF(OR(J529=0,J529=""),"",ABS((J529-IF($C529="LT",Config!$F$5,Config!$F$17))/IF($C529="LT",Config!$G$5,Config!$G$17)))</f>
        <v/>
      </c>
      <c r="W529">
        <f>IF(OR(K529=0,K529=""),"",ABS((K529-IF($C529="LT",Config!$F$6,Config!$F$18))/IF($C529="LT",Config!$G$6,Config!$G$18)))</f>
        <v/>
      </c>
      <c r="X529">
        <f>IF(OR(L529=0,L529=""),"",ABS((L529-IF($C529="LT",Config!$F$7,Config!$F$19))/IF($C529="LT",Config!$G$7,Config!$G$19)))</f>
        <v/>
      </c>
      <c r="Y529">
        <f>IF(OR(M529=0,M529=""),"",ABS((M529-IF($C529="LT",Config!$F$8,Config!$F$20))/IF($C529="LT",Config!$G$8,Config!$G$20)))</f>
        <v/>
      </c>
      <c r="Z529">
        <f>IF(OR(N529=0,N529=""),"",ABS((N529-IF($C529="LT",Config!$F$9,Config!$F$21))/IF($C529="LT",Config!$G$9,Config!$G$21)))</f>
        <v/>
      </c>
      <c r="AA529">
        <f>IF(OR(O529=0,O529=""),"",ABS((O529-IF($C529="LT",Config!$F$10,Config!$F$22))/IF($C529="LT",Config!$G$10,Config!$G$22)))</f>
        <v/>
      </c>
      <c r="AB529">
        <f>IF(OR(P529=0,P529=""),"",ABS((P529-IF($C529="LT",Config!$F$11,Config!$F$23))/IF($C529="LT",Config!$G$11,Config!$G$23)))</f>
        <v/>
      </c>
      <c r="AC529">
        <f>IF(OR(Q529=0,Q529=""),"",ABS((Q529-IF($C529="LT",Config!$F$12,Config!$F$24))/IF($C529="LT",Config!$G$12,Config!$G$24)))</f>
        <v/>
      </c>
      <c r="AD529">
        <f>IF(OR(R529=0,R529=""),"",ABS((R529-IF($C529="LT",Config!$F$13,Config!$F$25))/IF($C529="LT",Config!$G$13,Config!$G$25)))</f>
        <v/>
      </c>
    </row>
    <row r="530">
      <c r="A530" t="inlineStr">
        <is>
          <t>04C2326121061</t>
        </is>
      </c>
      <c r="B530" t="inlineStr">
        <is>
          <t>CRS0000674</t>
        </is>
      </c>
      <c r="C530" t="inlineStr">
        <is>
          <t>MT</t>
        </is>
      </c>
      <c r="D530" t="inlineStr">
        <is>
          <t>TCX413U-DS1B01</t>
        </is>
      </c>
      <c r="E530" s="2" t="n">
        <v>46112</v>
      </c>
      <c r="F530" t="inlineStr">
        <is>
          <t>Fail</t>
        </is>
      </c>
      <c r="G530" t="n">
        <v>117.3</v>
      </c>
      <c r="H530" t="n">
        <v>84.3</v>
      </c>
      <c r="I530" t="n">
        <v>-1957.8</v>
      </c>
      <c r="J530" t="n">
        <v>70.40000000000001</v>
      </c>
      <c r="K530" t="n">
        <v>0</v>
      </c>
      <c r="L530" t="n">
        <v>0.3</v>
      </c>
      <c r="M530" t="n">
        <v>0</v>
      </c>
      <c r="N530" t="n">
        <v>70.7</v>
      </c>
      <c r="O530" t="n">
        <v>115.16</v>
      </c>
      <c r="P530" t="n">
        <v>115.16</v>
      </c>
      <c r="Q530" t="n">
        <v>3.93</v>
      </c>
      <c r="R530" t="n">
        <v>4.03</v>
      </c>
      <c r="S530">
        <f>IF(OR(G530=0,G530=""),"",ABS((G530-IF($C530="LT",Config!$F$2,Config!$F$14))/IF($C530="LT",Config!$G$2,Config!$G$14)))</f>
        <v/>
      </c>
      <c r="T530">
        <f>IF(OR(H530=0,H530=""),"",ABS((H530-IF($C530="LT",Config!$F$3,Config!$F$15))/IF($C530="LT",Config!$G$3,Config!$G$15)))</f>
        <v/>
      </c>
      <c r="U530">
        <f>IF(OR(I530=0,I530=""),"",ABS((I530-IF($C530="LT",Config!$F$4,Config!$F$16))/IF($C530="LT",Config!$G$4,Config!$G$16)))</f>
        <v/>
      </c>
      <c r="V530">
        <f>IF(OR(J530=0,J530=""),"",ABS((J530-IF($C530="LT",Config!$F$5,Config!$F$17))/IF($C530="LT",Config!$G$5,Config!$G$17)))</f>
        <v/>
      </c>
      <c r="W530">
        <f>IF(OR(K530=0,K530=""),"",ABS((K530-IF($C530="LT",Config!$F$6,Config!$F$18))/IF($C530="LT",Config!$G$6,Config!$G$18)))</f>
        <v/>
      </c>
      <c r="X530">
        <f>IF(OR(L530=0,L530=""),"",ABS((L530-IF($C530="LT",Config!$F$7,Config!$F$19))/IF($C530="LT",Config!$G$7,Config!$G$19)))</f>
        <v/>
      </c>
      <c r="Y530">
        <f>IF(OR(M530=0,M530=""),"",ABS((M530-IF($C530="LT",Config!$F$8,Config!$F$20))/IF($C530="LT",Config!$G$8,Config!$G$20)))</f>
        <v/>
      </c>
      <c r="Z530">
        <f>IF(OR(N530=0,N530=""),"",ABS((N530-IF($C530="LT",Config!$F$9,Config!$F$21))/IF($C530="LT",Config!$G$9,Config!$G$21)))</f>
        <v/>
      </c>
      <c r="AA530">
        <f>IF(OR(O530=0,O530=""),"",ABS((O530-IF($C530="LT",Config!$F$10,Config!$F$22))/IF($C530="LT",Config!$G$10,Config!$G$22)))</f>
        <v/>
      </c>
      <c r="AB530">
        <f>IF(OR(P530=0,P530=""),"",ABS((P530-IF($C530="LT",Config!$F$11,Config!$F$23))/IF($C530="LT",Config!$G$11,Config!$G$23)))</f>
        <v/>
      </c>
      <c r="AC530">
        <f>IF(OR(Q530=0,Q530=""),"",ABS((Q530-IF($C530="LT",Config!$F$12,Config!$F$24))/IF($C530="LT",Config!$G$12,Config!$G$24)))</f>
        <v/>
      </c>
      <c r="AD530">
        <f>IF(OR(R530=0,R530=""),"",ABS((R530-IF($C530="LT",Config!$F$13,Config!$F$25))/IF($C530="LT",Config!$G$13,Config!$G$25)))</f>
        <v/>
      </c>
    </row>
    <row r="531">
      <c r="A531" t="inlineStr">
        <is>
          <t>04C3126121158</t>
        </is>
      </c>
      <c r="B531" t="inlineStr">
        <is>
          <t>CRS0000674</t>
        </is>
      </c>
      <c r="C531" t="inlineStr">
        <is>
          <t>MT</t>
        </is>
      </c>
      <c r="D531" t="inlineStr">
        <is>
          <t>TCX413U-DS1B01</t>
        </is>
      </c>
      <c r="E531" s="2" t="n">
        <v>46112</v>
      </c>
      <c r="F531" t="inlineStr">
        <is>
          <t>Pass</t>
        </is>
      </c>
      <c r="G531" t="n">
        <v>113.7</v>
      </c>
      <c r="H531" t="n">
        <v>82</v>
      </c>
      <c r="I531" t="n">
        <v>-1957.8</v>
      </c>
      <c r="J531" t="n">
        <v>70.40000000000001</v>
      </c>
      <c r="K531" t="n">
        <v>0</v>
      </c>
      <c r="L531" t="n">
        <v>0.9</v>
      </c>
      <c r="M531" t="n">
        <v>0</v>
      </c>
      <c r="N531" t="n">
        <v>71.3</v>
      </c>
      <c r="O531" t="n">
        <v>112.3</v>
      </c>
      <c r="P531" t="n">
        <v>116.48</v>
      </c>
      <c r="Q531" t="n">
        <v>4</v>
      </c>
      <c r="R531" t="n">
        <v>3.96</v>
      </c>
      <c r="S531">
        <f>IF(OR(G531=0,G531=""),"",ABS((G531-IF($C531="LT",Config!$F$2,Config!$F$14))/IF($C531="LT",Config!$G$2,Config!$G$14)))</f>
        <v/>
      </c>
      <c r="T531">
        <f>IF(OR(H531=0,H531=""),"",ABS((H531-IF($C531="LT",Config!$F$3,Config!$F$15))/IF($C531="LT",Config!$G$3,Config!$G$15)))</f>
        <v/>
      </c>
      <c r="U531">
        <f>IF(OR(I531=0,I531=""),"",ABS((I531-IF($C531="LT",Config!$F$4,Config!$F$16))/IF($C531="LT",Config!$G$4,Config!$G$16)))</f>
        <v/>
      </c>
      <c r="V531">
        <f>IF(OR(J531=0,J531=""),"",ABS((J531-IF($C531="LT",Config!$F$5,Config!$F$17))/IF($C531="LT",Config!$G$5,Config!$G$17)))</f>
        <v/>
      </c>
      <c r="W531">
        <f>IF(OR(K531=0,K531=""),"",ABS((K531-IF($C531="LT",Config!$F$6,Config!$F$18))/IF($C531="LT",Config!$G$6,Config!$G$18)))</f>
        <v/>
      </c>
      <c r="X531">
        <f>IF(OR(L531=0,L531=""),"",ABS((L531-IF($C531="LT",Config!$F$7,Config!$F$19))/IF($C531="LT",Config!$G$7,Config!$G$19)))</f>
        <v/>
      </c>
      <c r="Y531">
        <f>IF(OR(M531=0,M531=""),"",ABS((M531-IF($C531="LT",Config!$F$8,Config!$F$20))/IF($C531="LT",Config!$G$8,Config!$G$20)))</f>
        <v/>
      </c>
      <c r="Z531">
        <f>IF(OR(N531=0,N531=""),"",ABS((N531-IF($C531="LT",Config!$F$9,Config!$F$21))/IF($C531="LT",Config!$G$9,Config!$G$21)))</f>
        <v/>
      </c>
      <c r="AA531">
        <f>IF(OR(O531=0,O531=""),"",ABS((O531-IF($C531="LT",Config!$F$10,Config!$F$22))/IF($C531="LT",Config!$G$10,Config!$G$22)))</f>
        <v/>
      </c>
      <c r="AB531">
        <f>IF(OR(P531=0,P531=""),"",ABS((P531-IF($C531="LT",Config!$F$11,Config!$F$23))/IF($C531="LT",Config!$G$11,Config!$G$23)))</f>
        <v/>
      </c>
      <c r="AC531">
        <f>IF(OR(Q531=0,Q531=""),"",ABS((Q531-IF($C531="LT",Config!$F$12,Config!$F$24))/IF($C531="LT",Config!$G$12,Config!$G$24)))</f>
        <v/>
      </c>
      <c r="AD531">
        <f>IF(OR(R531=0,R531=""),"",ABS((R531-IF($C531="LT",Config!$F$13,Config!$F$25))/IF($C531="LT",Config!$G$13,Config!$G$25)))</f>
        <v/>
      </c>
    </row>
    <row r="532">
      <c r="A532" t="inlineStr">
        <is>
          <t>04C2326121061</t>
        </is>
      </c>
      <c r="B532" t="inlineStr">
        <is>
          <t>CRS0000674</t>
        </is>
      </c>
      <c r="C532" t="inlineStr">
        <is>
          <t>MT</t>
        </is>
      </c>
      <c r="D532" t="inlineStr">
        <is>
          <t>TCX413U-DS1B01</t>
        </is>
      </c>
      <c r="E532" s="2" t="n">
        <v>46112</v>
      </c>
      <c r="F532" t="inlineStr">
        <is>
          <t>Pass</t>
        </is>
      </c>
      <c r="G532" t="n">
        <v>117.3</v>
      </c>
      <c r="H532" t="n">
        <v>83.40000000000001</v>
      </c>
      <c r="I532" t="n">
        <v>-1957.8</v>
      </c>
      <c r="J532" t="n">
        <v>70.40000000000001</v>
      </c>
      <c r="K532" t="n">
        <v>0</v>
      </c>
      <c r="L532" t="n">
        <v>0.5</v>
      </c>
      <c r="M532" t="n">
        <v>0</v>
      </c>
      <c r="N532" t="n">
        <v>70.90000000000001</v>
      </c>
      <c r="O532" t="n">
        <v>114.94</v>
      </c>
      <c r="P532" t="n">
        <v>114.72</v>
      </c>
      <c r="Q532" t="n">
        <v>3.83</v>
      </c>
      <c r="R532" t="n">
        <v>3.96</v>
      </c>
      <c r="S532">
        <f>IF(OR(G532=0,G532=""),"",ABS((G532-IF($C532="LT",Config!$F$2,Config!$F$14))/IF($C532="LT",Config!$G$2,Config!$G$14)))</f>
        <v/>
      </c>
      <c r="T532">
        <f>IF(OR(H532=0,H532=""),"",ABS((H532-IF($C532="LT",Config!$F$3,Config!$F$15))/IF($C532="LT",Config!$G$3,Config!$G$15)))</f>
        <v/>
      </c>
      <c r="U532">
        <f>IF(OR(I532=0,I532=""),"",ABS((I532-IF($C532="LT",Config!$F$4,Config!$F$16))/IF($C532="LT",Config!$G$4,Config!$G$16)))</f>
        <v/>
      </c>
      <c r="V532">
        <f>IF(OR(J532=0,J532=""),"",ABS((J532-IF($C532="LT",Config!$F$5,Config!$F$17))/IF($C532="LT",Config!$G$5,Config!$G$17)))</f>
        <v/>
      </c>
      <c r="W532">
        <f>IF(OR(K532=0,K532=""),"",ABS((K532-IF($C532="LT",Config!$F$6,Config!$F$18))/IF($C532="LT",Config!$G$6,Config!$G$18)))</f>
        <v/>
      </c>
      <c r="X532">
        <f>IF(OR(L532=0,L532=""),"",ABS((L532-IF($C532="LT",Config!$F$7,Config!$F$19))/IF($C532="LT",Config!$G$7,Config!$G$19)))</f>
        <v/>
      </c>
      <c r="Y532">
        <f>IF(OR(M532=0,M532=""),"",ABS((M532-IF($C532="LT",Config!$F$8,Config!$F$20))/IF($C532="LT",Config!$G$8,Config!$G$20)))</f>
        <v/>
      </c>
      <c r="Z532">
        <f>IF(OR(N532=0,N532=""),"",ABS((N532-IF($C532="LT",Config!$F$9,Config!$F$21))/IF($C532="LT",Config!$G$9,Config!$G$21)))</f>
        <v/>
      </c>
      <c r="AA532">
        <f>IF(OR(O532=0,O532=""),"",ABS((O532-IF($C532="LT",Config!$F$10,Config!$F$22))/IF($C532="LT",Config!$G$10,Config!$G$22)))</f>
        <v/>
      </c>
      <c r="AB532">
        <f>IF(OR(P532=0,P532=""),"",ABS((P532-IF($C532="LT",Config!$F$11,Config!$F$23))/IF($C532="LT",Config!$G$11,Config!$G$23)))</f>
        <v/>
      </c>
      <c r="AC532">
        <f>IF(OR(Q532=0,Q532=""),"",ABS((Q532-IF($C532="LT",Config!$F$12,Config!$F$24))/IF($C532="LT",Config!$G$12,Config!$G$24)))</f>
        <v/>
      </c>
      <c r="AD532">
        <f>IF(OR(R532=0,R532=""),"",ABS((R532-IF($C532="LT",Config!$F$13,Config!$F$25))/IF($C532="LT",Config!$G$13,Config!$G$25)))</f>
        <v/>
      </c>
    </row>
    <row r="533">
      <c r="A533" t="inlineStr">
        <is>
          <t>04C3126121159</t>
        </is>
      </c>
      <c r="B533" t="inlineStr">
        <is>
          <t>CRS0000674</t>
        </is>
      </c>
      <c r="C533" t="inlineStr">
        <is>
          <t>MT</t>
        </is>
      </c>
      <c r="D533" t="inlineStr">
        <is>
          <t>TCX413U-DS1B01</t>
        </is>
      </c>
      <c r="E533" s="2" t="n">
        <v>46112</v>
      </c>
      <c r="F533" t="inlineStr">
        <is>
          <t>Pass</t>
        </is>
      </c>
      <c r="G533" t="n">
        <v>112.9</v>
      </c>
      <c r="H533" t="n">
        <v>82</v>
      </c>
      <c r="I533" t="n">
        <v>-1957.8</v>
      </c>
      <c r="J533" t="n">
        <v>70.40000000000001</v>
      </c>
      <c r="K533" t="n">
        <v>0</v>
      </c>
      <c r="L533" t="n">
        <v>1.5</v>
      </c>
      <c r="M533" t="n">
        <v>0</v>
      </c>
      <c r="N533" t="n">
        <v>71.90000000000001</v>
      </c>
      <c r="O533" t="n">
        <v>115.31</v>
      </c>
      <c r="P533" t="n">
        <v>115.24</v>
      </c>
      <c r="Q533" t="n">
        <v>3.74</v>
      </c>
      <c r="R533" t="n">
        <v>3.81</v>
      </c>
      <c r="S533">
        <f>IF(OR(G533=0,G533=""),"",ABS((G533-IF($C533="LT",Config!$F$2,Config!$F$14))/IF($C533="LT",Config!$G$2,Config!$G$14)))</f>
        <v/>
      </c>
      <c r="T533">
        <f>IF(OR(H533=0,H533=""),"",ABS((H533-IF($C533="LT",Config!$F$3,Config!$F$15))/IF($C533="LT",Config!$G$3,Config!$G$15)))</f>
        <v/>
      </c>
      <c r="U533">
        <f>IF(OR(I533=0,I533=""),"",ABS((I533-IF($C533="LT",Config!$F$4,Config!$F$16))/IF($C533="LT",Config!$G$4,Config!$G$16)))</f>
        <v/>
      </c>
      <c r="V533">
        <f>IF(OR(J533=0,J533=""),"",ABS((J533-IF($C533="LT",Config!$F$5,Config!$F$17))/IF($C533="LT",Config!$G$5,Config!$G$17)))</f>
        <v/>
      </c>
      <c r="W533">
        <f>IF(OR(K533=0,K533=""),"",ABS((K533-IF($C533="LT",Config!$F$6,Config!$F$18))/IF($C533="LT",Config!$G$6,Config!$G$18)))</f>
        <v/>
      </c>
      <c r="X533">
        <f>IF(OR(L533=0,L533=""),"",ABS((L533-IF($C533="LT",Config!$F$7,Config!$F$19))/IF($C533="LT",Config!$G$7,Config!$G$19)))</f>
        <v/>
      </c>
      <c r="Y533">
        <f>IF(OR(M533=0,M533=""),"",ABS((M533-IF($C533="LT",Config!$F$8,Config!$F$20))/IF($C533="LT",Config!$G$8,Config!$G$20)))</f>
        <v/>
      </c>
      <c r="Z533">
        <f>IF(OR(N533=0,N533=""),"",ABS((N533-IF($C533="LT",Config!$F$9,Config!$F$21))/IF($C533="LT",Config!$G$9,Config!$G$21)))</f>
        <v/>
      </c>
      <c r="AA533">
        <f>IF(OR(O533=0,O533=""),"",ABS((O533-IF($C533="LT",Config!$F$10,Config!$F$22))/IF($C533="LT",Config!$G$10,Config!$G$22)))</f>
        <v/>
      </c>
      <c r="AB533">
        <f>IF(OR(P533=0,P533=""),"",ABS((P533-IF($C533="LT",Config!$F$11,Config!$F$23))/IF($C533="LT",Config!$G$11,Config!$G$23)))</f>
        <v/>
      </c>
      <c r="AC533">
        <f>IF(OR(Q533=0,Q533=""),"",ABS((Q533-IF($C533="LT",Config!$F$12,Config!$F$24))/IF($C533="LT",Config!$G$12,Config!$G$24)))</f>
        <v/>
      </c>
      <c r="AD533">
        <f>IF(OR(R533=0,R533=""),"",ABS((R533-IF($C533="LT",Config!$F$13,Config!$F$25))/IF($C533="LT",Config!$G$13,Config!$G$25)))</f>
        <v/>
      </c>
    </row>
    <row r="534">
      <c r="A534" t="inlineStr">
        <is>
          <t>04C3126121160</t>
        </is>
      </c>
      <c r="B534" t="inlineStr">
        <is>
          <t>CRS0000674</t>
        </is>
      </c>
      <c r="C534" t="inlineStr">
        <is>
          <t>MT</t>
        </is>
      </c>
      <c r="D534" t="inlineStr">
        <is>
          <t>TCX413U-DS1B01</t>
        </is>
      </c>
      <c r="E534" s="2" t="n">
        <v>46112</v>
      </c>
      <c r="F534" t="inlineStr">
        <is>
          <t>Fail</t>
        </is>
      </c>
      <c r="G534" t="n">
        <v>71.3</v>
      </c>
      <c r="H534" t="n">
        <v>69.8</v>
      </c>
      <c r="I534" t="n">
        <v>-1957.8</v>
      </c>
      <c r="J534" t="n">
        <v>70.8</v>
      </c>
      <c r="K534" t="n">
        <v>0</v>
      </c>
      <c r="L534" t="n">
        <v>0.5</v>
      </c>
      <c r="M534" t="n">
        <v>0</v>
      </c>
      <c r="N534" t="n">
        <v>71.3</v>
      </c>
      <c r="O534" t="n">
        <v>112.08</v>
      </c>
      <c r="P534" t="n">
        <v>116.78</v>
      </c>
      <c r="Q534" t="n">
        <v>4.08</v>
      </c>
      <c r="R534" t="n">
        <v>4.08</v>
      </c>
      <c r="S534">
        <f>IF(OR(G534=0,G534=""),"",ABS((G534-IF($C534="LT",Config!$F$2,Config!$F$14))/IF($C534="LT",Config!$G$2,Config!$G$14)))</f>
        <v/>
      </c>
      <c r="T534">
        <f>IF(OR(H534=0,H534=""),"",ABS((H534-IF($C534="LT",Config!$F$3,Config!$F$15))/IF($C534="LT",Config!$G$3,Config!$G$15)))</f>
        <v/>
      </c>
      <c r="U534">
        <f>IF(OR(I534=0,I534=""),"",ABS((I534-IF($C534="LT",Config!$F$4,Config!$F$16))/IF($C534="LT",Config!$G$4,Config!$G$16)))</f>
        <v/>
      </c>
      <c r="V534">
        <f>IF(OR(J534=0,J534=""),"",ABS((J534-IF($C534="LT",Config!$F$5,Config!$F$17))/IF($C534="LT",Config!$G$5,Config!$G$17)))</f>
        <v/>
      </c>
      <c r="W534">
        <f>IF(OR(K534=0,K534=""),"",ABS((K534-IF($C534="LT",Config!$F$6,Config!$F$18))/IF($C534="LT",Config!$G$6,Config!$G$18)))</f>
        <v/>
      </c>
      <c r="X534">
        <f>IF(OR(L534=0,L534=""),"",ABS((L534-IF($C534="LT",Config!$F$7,Config!$F$19))/IF($C534="LT",Config!$G$7,Config!$G$19)))</f>
        <v/>
      </c>
      <c r="Y534">
        <f>IF(OR(M534=0,M534=""),"",ABS((M534-IF($C534="LT",Config!$F$8,Config!$F$20))/IF($C534="LT",Config!$G$8,Config!$G$20)))</f>
        <v/>
      </c>
      <c r="Z534">
        <f>IF(OR(N534=0,N534=""),"",ABS((N534-IF($C534="LT",Config!$F$9,Config!$F$21))/IF($C534="LT",Config!$G$9,Config!$G$21)))</f>
        <v/>
      </c>
      <c r="AA534">
        <f>IF(OR(O534=0,O534=""),"",ABS((O534-IF($C534="LT",Config!$F$10,Config!$F$22))/IF($C534="LT",Config!$G$10,Config!$G$22)))</f>
        <v/>
      </c>
      <c r="AB534">
        <f>IF(OR(P534=0,P534=""),"",ABS((P534-IF($C534="LT",Config!$F$11,Config!$F$23))/IF($C534="LT",Config!$G$11,Config!$G$23)))</f>
        <v/>
      </c>
      <c r="AC534">
        <f>IF(OR(Q534=0,Q534=""),"",ABS((Q534-IF($C534="LT",Config!$F$12,Config!$F$24))/IF($C534="LT",Config!$G$12,Config!$G$24)))</f>
        <v/>
      </c>
      <c r="AD534">
        <f>IF(OR(R534=0,R534=""),"",ABS((R534-IF($C534="LT",Config!$F$13,Config!$F$25))/IF($C534="LT",Config!$G$13,Config!$G$25)))</f>
        <v/>
      </c>
    </row>
    <row r="535">
      <c r="A535" t="inlineStr">
        <is>
          <t>04C3126121160</t>
        </is>
      </c>
      <c r="B535" t="inlineStr">
        <is>
          <t>CRS0000674</t>
        </is>
      </c>
      <c r="C535" t="inlineStr">
        <is>
          <t>MT</t>
        </is>
      </c>
      <c r="D535" t="inlineStr">
        <is>
          <t>TCX413U-DS1B01</t>
        </is>
      </c>
      <c r="E535" s="2" t="n">
        <v>46112</v>
      </c>
      <c r="F535" t="inlineStr">
        <is>
          <t>Fail</t>
        </is>
      </c>
      <c r="G535" t="n">
        <v>122.2</v>
      </c>
      <c r="H535" t="n">
        <v>78.90000000000001</v>
      </c>
      <c r="I535" t="n">
        <v>-1957.8</v>
      </c>
      <c r="J535" t="n">
        <v>70.8</v>
      </c>
      <c r="K535" t="n">
        <v>0</v>
      </c>
      <c r="L535" t="n">
        <v>1</v>
      </c>
      <c r="M535" t="n">
        <v>0</v>
      </c>
      <c r="N535" t="n">
        <v>71.8</v>
      </c>
      <c r="O535" t="n">
        <v>111.57</v>
      </c>
      <c r="P535" t="n">
        <v>113.11</v>
      </c>
      <c r="Q535" t="n">
        <v>4.22</v>
      </c>
      <c r="R535" t="n">
        <v>4.25</v>
      </c>
      <c r="S535">
        <f>IF(OR(G535=0,G535=""),"",ABS((G535-IF($C535="LT",Config!$F$2,Config!$F$14))/IF($C535="LT",Config!$G$2,Config!$G$14)))</f>
        <v/>
      </c>
      <c r="T535">
        <f>IF(OR(H535=0,H535=""),"",ABS((H535-IF($C535="LT",Config!$F$3,Config!$F$15))/IF($C535="LT",Config!$G$3,Config!$G$15)))</f>
        <v/>
      </c>
      <c r="U535">
        <f>IF(OR(I535=0,I535=""),"",ABS((I535-IF($C535="LT",Config!$F$4,Config!$F$16))/IF($C535="LT",Config!$G$4,Config!$G$16)))</f>
        <v/>
      </c>
      <c r="V535">
        <f>IF(OR(J535=0,J535=""),"",ABS((J535-IF($C535="LT",Config!$F$5,Config!$F$17))/IF($C535="LT",Config!$G$5,Config!$G$17)))</f>
        <v/>
      </c>
      <c r="W535">
        <f>IF(OR(K535=0,K535=""),"",ABS((K535-IF($C535="LT",Config!$F$6,Config!$F$18))/IF($C535="LT",Config!$G$6,Config!$G$18)))</f>
        <v/>
      </c>
      <c r="X535">
        <f>IF(OR(L535=0,L535=""),"",ABS((L535-IF($C535="LT",Config!$F$7,Config!$F$19))/IF($C535="LT",Config!$G$7,Config!$G$19)))</f>
        <v/>
      </c>
      <c r="Y535">
        <f>IF(OR(M535=0,M535=""),"",ABS((M535-IF($C535="LT",Config!$F$8,Config!$F$20))/IF($C535="LT",Config!$G$8,Config!$G$20)))</f>
        <v/>
      </c>
      <c r="Z535">
        <f>IF(OR(N535=0,N535=""),"",ABS((N535-IF($C535="LT",Config!$F$9,Config!$F$21))/IF($C535="LT",Config!$G$9,Config!$G$21)))</f>
        <v/>
      </c>
      <c r="AA535">
        <f>IF(OR(O535=0,O535=""),"",ABS((O535-IF($C535="LT",Config!$F$10,Config!$F$22))/IF($C535="LT",Config!$G$10,Config!$G$22)))</f>
        <v/>
      </c>
      <c r="AB535">
        <f>IF(OR(P535=0,P535=""),"",ABS((P535-IF($C535="LT",Config!$F$11,Config!$F$23))/IF($C535="LT",Config!$G$11,Config!$G$23)))</f>
        <v/>
      </c>
      <c r="AC535">
        <f>IF(OR(Q535=0,Q535=""),"",ABS((Q535-IF($C535="LT",Config!$F$12,Config!$F$24))/IF($C535="LT",Config!$G$12,Config!$G$24)))</f>
        <v/>
      </c>
      <c r="AD535">
        <f>IF(OR(R535=0,R535=""),"",ABS((R535-IF($C535="LT",Config!$F$13,Config!$F$25))/IF($C535="LT",Config!$G$13,Config!$G$25)))</f>
        <v/>
      </c>
    </row>
    <row r="536">
      <c r="A536" t="inlineStr">
        <is>
          <t>04C3126121160</t>
        </is>
      </c>
      <c r="B536" t="inlineStr">
        <is>
          <t>CRS0000674</t>
        </is>
      </c>
      <c r="C536" t="inlineStr">
        <is>
          <t>MT</t>
        </is>
      </c>
      <c r="D536" t="inlineStr">
        <is>
          <t>TCX413U-DS1B01</t>
        </is>
      </c>
      <c r="E536" s="2" t="n">
        <v>46112</v>
      </c>
      <c r="F536" t="inlineStr">
        <is>
          <t>Fail</t>
        </is>
      </c>
      <c r="G536" t="n">
        <v>124</v>
      </c>
      <c r="H536" t="n">
        <v>80.2</v>
      </c>
      <c r="I536" t="n">
        <v>-1957.8</v>
      </c>
      <c r="J536" t="n">
        <v>71.3</v>
      </c>
      <c r="K536" t="n">
        <v>0</v>
      </c>
      <c r="L536" t="n">
        <v>2.1</v>
      </c>
      <c r="M536" t="n">
        <v>0</v>
      </c>
      <c r="N536" t="n">
        <v>73.40000000000001</v>
      </c>
      <c r="O536" t="n">
        <v>112.16</v>
      </c>
      <c r="P536" t="n">
        <v>113.7</v>
      </c>
      <c r="Q536" t="n">
        <v>4.25</v>
      </c>
      <c r="R536" t="n">
        <v>4.25</v>
      </c>
      <c r="S536">
        <f>IF(OR(G536=0,G536=""),"",ABS((G536-IF($C536="LT",Config!$F$2,Config!$F$14))/IF($C536="LT",Config!$G$2,Config!$G$14)))</f>
        <v/>
      </c>
      <c r="T536">
        <f>IF(OR(H536=0,H536=""),"",ABS((H536-IF($C536="LT",Config!$F$3,Config!$F$15))/IF($C536="LT",Config!$G$3,Config!$G$15)))</f>
        <v/>
      </c>
      <c r="U536">
        <f>IF(OR(I536=0,I536=""),"",ABS((I536-IF($C536="LT",Config!$F$4,Config!$F$16))/IF($C536="LT",Config!$G$4,Config!$G$16)))</f>
        <v/>
      </c>
      <c r="V536">
        <f>IF(OR(J536=0,J536=""),"",ABS((J536-IF($C536="LT",Config!$F$5,Config!$F$17))/IF($C536="LT",Config!$G$5,Config!$G$17)))</f>
        <v/>
      </c>
      <c r="W536">
        <f>IF(OR(K536=0,K536=""),"",ABS((K536-IF($C536="LT",Config!$F$6,Config!$F$18))/IF($C536="LT",Config!$G$6,Config!$G$18)))</f>
        <v/>
      </c>
      <c r="X536">
        <f>IF(OR(L536=0,L536=""),"",ABS((L536-IF($C536="LT",Config!$F$7,Config!$F$19))/IF($C536="LT",Config!$G$7,Config!$G$19)))</f>
        <v/>
      </c>
      <c r="Y536">
        <f>IF(OR(M536=0,M536=""),"",ABS((M536-IF($C536="LT",Config!$F$8,Config!$F$20))/IF($C536="LT",Config!$G$8,Config!$G$20)))</f>
        <v/>
      </c>
      <c r="Z536">
        <f>IF(OR(N536=0,N536=""),"",ABS((N536-IF($C536="LT",Config!$F$9,Config!$F$21))/IF($C536="LT",Config!$G$9,Config!$G$21)))</f>
        <v/>
      </c>
      <c r="AA536">
        <f>IF(OR(O536=0,O536=""),"",ABS((O536-IF($C536="LT",Config!$F$10,Config!$F$22))/IF($C536="LT",Config!$G$10,Config!$G$22)))</f>
        <v/>
      </c>
      <c r="AB536">
        <f>IF(OR(P536=0,P536=""),"",ABS((P536-IF($C536="LT",Config!$F$11,Config!$F$23))/IF($C536="LT",Config!$G$11,Config!$G$23)))</f>
        <v/>
      </c>
      <c r="AC536">
        <f>IF(OR(Q536=0,Q536=""),"",ABS((Q536-IF($C536="LT",Config!$F$12,Config!$F$24))/IF($C536="LT",Config!$G$12,Config!$G$24)))</f>
        <v/>
      </c>
      <c r="AD536">
        <f>IF(OR(R536=0,R536=""),"",ABS((R536-IF($C536="LT",Config!$F$13,Config!$F$25))/IF($C536="LT",Config!$G$13,Config!$G$25)))</f>
        <v/>
      </c>
    </row>
    <row r="537">
      <c r="A537" t="inlineStr">
        <is>
          <t>04C3126121160</t>
        </is>
      </c>
      <c r="B537" t="inlineStr">
        <is>
          <t>CRS0000674</t>
        </is>
      </c>
      <c r="C537" t="inlineStr">
        <is>
          <t>MT</t>
        </is>
      </c>
      <c r="D537" t="inlineStr">
        <is>
          <t>TCX413U-DS1B01</t>
        </is>
      </c>
      <c r="E537" s="2" t="n">
        <v>46112</v>
      </c>
      <c r="F537" t="inlineStr">
        <is>
          <t>Pass</t>
        </is>
      </c>
      <c r="G537" t="n">
        <v>127.6</v>
      </c>
      <c r="H537" t="n">
        <v>79.8</v>
      </c>
      <c r="I537" t="n">
        <v>-1957.8</v>
      </c>
      <c r="J537" t="n">
        <v>71.3</v>
      </c>
      <c r="K537" t="n">
        <v>0</v>
      </c>
      <c r="L537" t="n">
        <v>1.5</v>
      </c>
      <c r="M537" t="n">
        <v>0</v>
      </c>
      <c r="N537" t="n">
        <v>72.8</v>
      </c>
      <c r="O537" t="n">
        <v>112.38</v>
      </c>
      <c r="P537" t="n">
        <v>116.56</v>
      </c>
      <c r="Q537" t="n">
        <v>4.25</v>
      </c>
      <c r="R537" t="n">
        <v>4.17</v>
      </c>
      <c r="S537">
        <f>IF(OR(G537=0,G537=""),"",ABS((G537-IF($C537="LT",Config!$F$2,Config!$F$14))/IF($C537="LT",Config!$G$2,Config!$G$14)))</f>
        <v/>
      </c>
      <c r="T537">
        <f>IF(OR(H537=0,H537=""),"",ABS((H537-IF($C537="LT",Config!$F$3,Config!$F$15))/IF($C537="LT",Config!$G$3,Config!$G$15)))</f>
        <v/>
      </c>
      <c r="U537">
        <f>IF(OR(I537=0,I537=""),"",ABS((I537-IF($C537="LT",Config!$F$4,Config!$F$16))/IF($C537="LT",Config!$G$4,Config!$G$16)))</f>
        <v/>
      </c>
      <c r="V537">
        <f>IF(OR(J537=0,J537=""),"",ABS((J537-IF($C537="LT",Config!$F$5,Config!$F$17))/IF($C537="LT",Config!$G$5,Config!$G$17)))</f>
        <v/>
      </c>
      <c r="W537">
        <f>IF(OR(K537=0,K537=""),"",ABS((K537-IF($C537="LT",Config!$F$6,Config!$F$18))/IF($C537="LT",Config!$G$6,Config!$G$18)))</f>
        <v/>
      </c>
      <c r="X537">
        <f>IF(OR(L537=0,L537=""),"",ABS((L537-IF($C537="LT",Config!$F$7,Config!$F$19))/IF($C537="LT",Config!$G$7,Config!$G$19)))</f>
        <v/>
      </c>
      <c r="Y537">
        <f>IF(OR(M537=0,M537=""),"",ABS((M537-IF($C537="LT",Config!$F$8,Config!$F$20))/IF($C537="LT",Config!$G$8,Config!$G$20)))</f>
        <v/>
      </c>
      <c r="Z537">
        <f>IF(OR(N537=0,N537=""),"",ABS((N537-IF($C537="LT",Config!$F$9,Config!$F$21))/IF($C537="LT",Config!$G$9,Config!$G$21)))</f>
        <v/>
      </c>
      <c r="AA537">
        <f>IF(OR(O537=0,O537=""),"",ABS((O537-IF($C537="LT",Config!$F$10,Config!$F$22))/IF($C537="LT",Config!$G$10,Config!$G$22)))</f>
        <v/>
      </c>
      <c r="AB537">
        <f>IF(OR(P537=0,P537=""),"",ABS((P537-IF($C537="LT",Config!$F$11,Config!$F$23))/IF($C537="LT",Config!$G$11,Config!$G$23)))</f>
        <v/>
      </c>
      <c r="AC537">
        <f>IF(OR(Q537=0,Q537=""),"",ABS((Q537-IF($C537="LT",Config!$F$12,Config!$F$24))/IF($C537="LT",Config!$G$12,Config!$G$24)))</f>
        <v/>
      </c>
      <c r="AD537">
        <f>IF(OR(R537=0,R537=""),"",ABS((R537-IF($C537="LT",Config!$F$13,Config!$F$25))/IF($C537="LT",Config!$G$13,Config!$G$25)))</f>
        <v/>
      </c>
    </row>
    <row r="538">
      <c r="A538" t="inlineStr">
        <is>
          <t>04C3126121161</t>
        </is>
      </c>
      <c r="B538" t="inlineStr">
        <is>
          <t>CRS0000674</t>
        </is>
      </c>
      <c r="C538" t="inlineStr">
        <is>
          <t>MT</t>
        </is>
      </c>
      <c r="D538" t="inlineStr">
        <is>
          <t>TCX413U-DS1B01</t>
        </is>
      </c>
      <c r="E538" s="2" t="n">
        <v>46112</v>
      </c>
      <c r="F538" t="inlineStr">
        <is>
          <t>Pass</t>
        </is>
      </c>
      <c r="G538" t="n">
        <v>114.2</v>
      </c>
      <c r="H538" t="n">
        <v>79.8</v>
      </c>
      <c r="I538" t="n">
        <v>-1957.8</v>
      </c>
      <c r="J538" t="n">
        <v>71.3</v>
      </c>
      <c r="K538" t="n">
        <v>0</v>
      </c>
      <c r="L538" t="n">
        <v>0.6</v>
      </c>
      <c r="M538" t="n">
        <v>0</v>
      </c>
      <c r="N538" t="n">
        <v>71.90000000000001</v>
      </c>
      <c r="O538" t="n">
        <v>115.02</v>
      </c>
      <c r="P538" t="n">
        <v>115.09</v>
      </c>
      <c r="Q538" t="n">
        <v>3.74</v>
      </c>
      <c r="R538" t="n">
        <v>3.88</v>
      </c>
      <c r="S538">
        <f>IF(OR(G538=0,G538=""),"",ABS((G538-IF($C538="LT",Config!$F$2,Config!$F$14))/IF($C538="LT",Config!$G$2,Config!$G$14)))</f>
        <v/>
      </c>
      <c r="T538">
        <f>IF(OR(H538=0,H538=""),"",ABS((H538-IF($C538="LT",Config!$F$3,Config!$F$15))/IF($C538="LT",Config!$G$3,Config!$G$15)))</f>
        <v/>
      </c>
      <c r="U538">
        <f>IF(OR(I538=0,I538=""),"",ABS((I538-IF($C538="LT",Config!$F$4,Config!$F$16))/IF($C538="LT",Config!$G$4,Config!$G$16)))</f>
        <v/>
      </c>
      <c r="V538">
        <f>IF(OR(J538=0,J538=""),"",ABS((J538-IF($C538="LT",Config!$F$5,Config!$F$17))/IF($C538="LT",Config!$G$5,Config!$G$17)))</f>
        <v/>
      </c>
      <c r="W538">
        <f>IF(OR(K538=0,K538=""),"",ABS((K538-IF($C538="LT",Config!$F$6,Config!$F$18))/IF($C538="LT",Config!$G$6,Config!$G$18)))</f>
        <v/>
      </c>
      <c r="X538">
        <f>IF(OR(L538=0,L538=""),"",ABS((L538-IF($C538="LT",Config!$F$7,Config!$F$19))/IF($C538="LT",Config!$G$7,Config!$G$19)))</f>
        <v/>
      </c>
      <c r="Y538">
        <f>IF(OR(M538=0,M538=""),"",ABS((M538-IF($C538="LT",Config!$F$8,Config!$F$20))/IF($C538="LT",Config!$G$8,Config!$G$20)))</f>
        <v/>
      </c>
      <c r="Z538">
        <f>IF(OR(N538=0,N538=""),"",ABS((N538-IF($C538="LT",Config!$F$9,Config!$F$21))/IF($C538="LT",Config!$G$9,Config!$G$21)))</f>
        <v/>
      </c>
      <c r="AA538">
        <f>IF(OR(O538=0,O538=""),"",ABS((O538-IF($C538="LT",Config!$F$10,Config!$F$22))/IF($C538="LT",Config!$G$10,Config!$G$22)))</f>
        <v/>
      </c>
      <c r="AB538">
        <f>IF(OR(P538=0,P538=""),"",ABS((P538-IF($C538="LT",Config!$F$11,Config!$F$23))/IF($C538="LT",Config!$G$11,Config!$G$23)))</f>
        <v/>
      </c>
      <c r="AC538">
        <f>IF(OR(Q538=0,Q538=""),"",ABS((Q538-IF($C538="LT",Config!$F$12,Config!$F$24))/IF($C538="LT",Config!$G$12,Config!$G$24)))</f>
        <v/>
      </c>
      <c r="AD538">
        <f>IF(OR(R538=0,R538=""),"",ABS((R538-IF($C538="LT",Config!$F$13,Config!$F$25))/IF($C538="LT",Config!$G$13,Config!$G$25)))</f>
        <v/>
      </c>
    </row>
    <row r="539">
      <c r="A539" t="inlineStr">
        <is>
          <t>04C3126121162</t>
        </is>
      </c>
      <c r="B539" t="inlineStr">
        <is>
          <t>CRS0000674</t>
        </is>
      </c>
      <c r="C539" t="inlineStr">
        <is>
          <t>MT</t>
        </is>
      </c>
      <c r="D539" t="inlineStr">
        <is>
          <t>TCX413U-DS1B01</t>
        </is>
      </c>
      <c r="E539" s="2" t="n">
        <v>46112</v>
      </c>
      <c r="F539" t="inlineStr">
        <is>
          <t>Pass</t>
        </is>
      </c>
      <c r="G539" t="n">
        <v>113.3</v>
      </c>
      <c r="H539" t="n">
        <v>82.90000000000001</v>
      </c>
      <c r="I539" t="n">
        <v>-1957.8</v>
      </c>
      <c r="J539" t="n">
        <v>71.3</v>
      </c>
      <c r="K539" t="n">
        <v>0</v>
      </c>
      <c r="L539" t="n">
        <v>0.3</v>
      </c>
      <c r="M539" t="n">
        <v>0</v>
      </c>
      <c r="N539" t="n">
        <v>71.59999999999999</v>
      </c>
      <c r="O539" t="n">
        <v>114.87</v>
      </c>
      <c r="P539" t="n">
        <v>114.94</v>
      </c>
      <c r="Q539" t="n">
        <v>3.86</v>
      </c>
      <c r="R539" t="n">
        <v>3.96</v>
      </c>
      <c r="S539">
        <f>IF(OR(G539=0,G539=""),"",ABS((G539-IF($C539="LT",Config!$F$2,Config!$F$14))/IF($C539="LT",Config!$G$2,Config!$G$14)))</f>
        <v/>
      </c>
      <c r="T539">
        <f>IF(OR(H539=0,H539=""),"",ABS((H539-IF($C539="LT",Config!$F$3,Config!$F$15))/IF($C539="LT",Config!$G$3,Config!$G$15)))</f>
        <v/>
      </c>
      <c r="U539">
        <f>IF(OR(I539=0,I539=""),"",ABS((I539-IF($C539="LT",Config!$F$4,Config!$F$16))/IF($C539="LT",Config!$G$4,Config!$G$16)))</f>
        <v/>
      </c>
      <c r="V539">
        <f>IF(OR(J539=0,J539=""),"",ABS((J539-IF($C539="LT",Config!$F$5,Config!$F$17))/IF($C539="LT",Config!$G$5,Config!$G$17)))</f>
        <v/>
      </c>
      <c r="W539">
        <f>IF(OR(K539=0,K539=""),"",ABS((K539-IF($C539="LT",Config!$F$6,Config!$F$18))/IF($C539="LT",Config!$G$6,Config!$G$18)))</f>
        <v/>
      </c>
      <c r="X539">
        <f>IF(OR(L539=0,L539=""),"",ABS((L539-IF($C539="LT",Config!$F$7,Config!$F$19))/IF($C539="LT",Config!$G$7,Config!$G$19)))</f>
        <v/>
      </c>
      <c r="Y539">
        <f>IF(OR(M539=0,M539=""),"",ABS((M539-IF($C539="LT",Config!$F$8,Config!$F$20))/IF($C539="LT",Config!$G$8,Config!$G$20)))</f>
        <v/>
      </c>
      <c r="Z539">
        <f>IF(OR(N539=0,N539=""),"",ABS((N539-IF($C539="LT",Config!$F$9,Config!$F$21))/IF($C539="LT",Config!$G$9,Config!$G$21)))</f>
        <v/>
      </c>
      <c r="AA539">
        <f>IF(OR(O539=0,O539=""),"",ABS((O539-IF($C539="LT",Config!$F$10,Config!$F$22))/IF($C539="LT",Config!$G$10,Config!$G$22)))</f>
        <v/>
      </c>
      <c r="AB539">
        <f>IF(OR(P539=0,P539=""),"",ABS((P539-IF($C539="LT",Config!$F$11,Config!$F$23))/IF($C539="LT",Config!$G$11,Config!$G$23)))</f>
        <v/>
      </c>
      <c r="AC539">
        <f>IF(OR(Q539=0,Q539=""),"",ABS((Q539-IF($C539="LT",Config!$F$12,Config!$F$24))/IF($C539="LT",Config!$G$12,Config!$G$24)))</f>
        <v/>
      </c>
      <c r="AD539">
        <f>IF(OR(R539=0,R539=""),"",ABS((R539-IF($C539="LT",Config!$F$13,Config!$F$25))/IF($C539="LT",Config!$G$13,Config!$G$25)))</f>
        <v/>
      </c>
    </row>
    <row r="540">
      <c r="A540" t="inlineStr">
        <is>
          <t>04C3126121163</t>
        </is>
      </c>
      <c r="B540" t="inlineStr">
        <is>
          <t>CRS0000674</t>
        </is>
      </c>
      <c r="C540" t="inlineStr">
        <is>
          <t>MT</t>
        </is>
      </c>
      <c r="D540" t="inlineStr">
        <is>
          <t>TCX413U-DS1B01</t>
        </is>
      </c>
      <c r="E540" s="2" t="n">
        <v>46112</v>
      </c>
      <c r="F540" t="inlineStr">
        <is>
          <t>Pass</t>
        </is>
      </c>
      <c r="G540" t="n">
        <v>113.7</v>
      </c>
      <c r="H540" t="n">
        <v>81.59999999999999</v>
      </c>
      <c r="I540" t="n">
        <v>-1957.8</v>
      </c>
      <c r="J540" t="n">
        <v>70.8</v>
      </c>
      <c r="K540" t="n">
        <v>0</v>
      </c>
      <c r="L540" t="n">
        <v>0.8</v>
      </c>
      <c r="M540" t="n">
        <v>0</v>
      </c>
      <c r="N540" t="n">
        <v>71.59999999999999</v>
      </c>
      <c r="O540" t="n">
        <v>112.16</v>
      </c>
      <c r="P540" t="n">
        <v>116.48</v>
      </c>
      <c r="Q540" t="n">
        <v>3.98</v>
      </c>
      <c r="R540" t="n">
        <v>4</v>
      </c>
      <c r="S540">
        <f>IF(OR(G540=0,G540=""),"",ABS((G540-IF($C540="LT",Config!$F$2,Config!$F$14))/IF($C540="LT",Config!$G$2,Config!$G$14)))</f>
        <v/>
      </c>
      <c r="T540">
        <f>IF(OR(H540=0,H540=""),"",ABS((H540-IF($C540="LT",Config!$F$3,Config!$F$15))/IF($C540="LT",Config!$G$3,Config!$G$15)))</f>
        <v/>
      </c>
      <c r="U540">
        <f>IF(OR(I540=0,I540=""),"",ABS((I540-IF($C540="LT",Config!$F$4,Config!$F$16))/IF($C540="LT",Config!$G$4,Config!$G$16)))</f>
        <v/>
      </c>
      <c r="V540">
        <f>IF(OR(J540=0,J540=""),"",ABS((J540-IF($C540="LT",Config!$F$5,Config!$F$17))/IF($C540="LT",Config!$G$5,Config!$G$17)))</f>
        <v/>
      </c>
      <c r="W540">
        <f>IF(OR(K540=0,K540=""),"",ABS((K540-IF($C540="LT",Config!$F$6,Config!$F$18))/IF($C540="LT",Config!$G$6,Config!$G$18)))</f>
        <v/>
      </c>
      <c r="X540">
        <f>IF(OR(L540=0,L540=""),"",ABS((L540-IF($C540="LT",Config!$F$7,Config!$F$19))/IF($C540="LT",Config!$G$7,Config!$G$19)))</f>
        <v/>
      </c>
      <c r="Y540">
        <f>IF(OR(M540=0,M540=""),"",ABS((M540-IF($C540="LT",Config!$F$8,Config!$F$20))/IF($C540="LT",Config!$G$8,Config!$G$20)))</f>
        <v/>
      </c>
      <c r="Z540">
        <f>IF(OR(N540=0,N540=""),"",ABS((N540-IF($C540="LT",Config!$F$9,Config!$F$21))/IF($C540="LT",Config!$G$9,Config!$G$21)))</f>
        <v/>
      </c>
      <c r="AA540">
        <f>IF(OR(O540=0,O540=""),"",ABS((O540-IF($C540="LT",Config!$F$10,Config!$F$22))/IF($C540="LT",Config!$G$10,Config!$G$22)))</f>
        <v/>
      </c>
      <c r="AB540">
        <f>IF(OR(P540=0,P540=""),"",ABS((P540-IF($C540="LT",Config!$F$11,Config!$F$23))/IF($C540="LT",Config!$G$11,Config!$G$23)))</f>
        <v/>
      </c>
      <c r="AC540">
        <f>IF(OR(Q540=0,Q540=""),"",ABS((Q540-IF($C540="LT",Config!$F$12,Config!$F$24))/IF($C540="LT",Config!$G$12,Config!$G$24)))</f>
        <v/>
      </c>
      <c r="AD540">
        <f>IF(OR(R540=0,R540=""),"",ABS((R540-IF($C540="LT",Config!$F$13,Config!$F$25))/IF($C540="LT",Config!$G$13,Config!$G$25)))</f>
        <v/>
      </c>
    </row>
    <row r="541">
      <c r="A541" t="inlineStr">
        <is>
          <t>04C3126121164</t>
        </is>
      </c>
      <c r="B541" t="inlineStr">
        <is>
          <t>CRS0000674</t>
        </is>
      </c>
      <c r="C541" t="inlineStr">
        <is>
          <t>MT</t>
        </is>
      </c>
      <c r="D541" t="inlineStr">
        <is>
          <t>TCX413U-DS1B01</t>
        </is>
      </c>
      <c r="E541" s="2" t="n">
        <v>46112</v>
      </c>
      <c r="F541" t="inlineStr">
        <is>
          <t>Pass</t>
        </is>
      </c>
      <c r="G541" t="n">
        <v>105.3</v>
      </c>
      <c r="H541" t="n">
        <v>84.7</v>
      </c>
      <c r="I541" t="n">
        <v>-1957.8</v>
      </c>
      <c r="J541" t="n">
        <v>70.8</v>
      </c>
      <c r="K541" t="n">
        <v>0</v>
      </c>
      <c r="L541" t="n">
        <v>0.1</v>
      </c>
      <c r="M541" t="n">
        <v>0</v>
      </c>
      <c r="N541" t="n">
        <v>70.90000000000001</v>
      </c>
      <c r="O541" t="n">
        <v>112.16</v>
      </c>
      <c r="P541" t="n">
        <v>116.26</v>
      </c>
      <c r="Q541" t="n">
        <v>3.86</v>
      </c>
      <c r="R541" t="n">
        <v>3.88</v>
      </c>
      <c r="S541">
        <f>IF(OR(G541=0,G541=""),"",ABS((G541-IF($C541="LT",Config!$F$2,Config!$F$14))/IF($C541="LT",Config!$G$2,Config!$G$14)))</f>
        <v/>
      </c>
      <c r="T541">
        <f>IF(OR(H541=0,H541=""),"",ABS((H541-IF($C541="LT",Config!$F$3,Config!$F$15))/IF($C541="LT",Config!$G$3,Config!$G$15)))</f>
        <v/>
      </c>
      <c r="U541">
        <f>IF(OR(I541=0,I541=""),"",ABS((I541-IF($C541="LT",Config!$F$4,Config!$F$16))/IF($C541="LT",Config!$G$4,Config!$G$16)))</f>
        <v/>
      </c>
      <c r="V541">
        <f>IF(OR(J541=0,J541=""),"",ABS((J541-IF($C541="LT",Config!$F$5,Config!$F$17))/IF($C541="LT",Config!$G$5,Config!$G$17)))</f>
        <v/>
      </c>
      <c r="W541">
        <f>IF(OR(K541=0,K541=""),"",ABS((K541-IF($C541="LT",Config!$F$6,Config!$F$18))/IF($C541="LT",Config!$G$6,Config!$G$18)))</f>
        <v/>
      </c>
      <c r="X541">
        <f>IF(OR(L541=0,L541=""),"",ABS((L541-IF($C541="LT",Config!$F$7,Config!$F$19))/IF($C541="LT",Config!$G$7,Config!$G$19)))</f>
        <v/>
      </c>
      <c r="Y541">
        <f>IF(OR(M541=0,M541=""),"",ABS((M541-IF($C541="LT",Config!$F$8,Config!$F$20))/IF($C541="LT",Config!$G$8,Config!$G$20)))</f>
        <v/>
      </c>
      <c r="Z541">
        <f>IF(OR(N541=0,N541=""),"",ABS((N541-IF($C541="LT",Config!$F$9,Config!$F$21))/IF($C541="LT",Config!$G$9,Config!$G$21)))</f>
        <v/>
      </c>
      <c r="AA541">
        <f>IF(OR(O541=0,O541=""),"",ABS((O541-IF($C541="LT",Config!$F$10,Config!$F$22))/IF($C541="LT",Config!$G$10,Config!$G$22)))</f>
        <v/>
      </c>
      <c r="AB541">
        <f>IF(OR(P541=0,P541=""),"",ABS((P541-IF($C541="LT",Config!$F$11,Config!$F$23))/IF($C541="LT",Config!$G$11,Config!$G$23)))</f>
        <v/>
      </c>
      <c r="AC541">
        <f>IF(OR(Q541=0,Q541=""),"",ABS((Q541-IF($C541="LT",Config!$F$12,Config!$F$24))/IF($C541="LT",Config!$G$12,Config!$G$24)))</f>
        <v/>
      </c>
      <c r="AD541">
        <f>IF(OR(R541=0,R541=""),"",ABS((R541-IF($C541="LT",Config!$F$13,Config!$F$25))/IF($C541="LT",Config!$G$13,Config!$G$25)))</f>
        <v/>
      </c>
    </row>
    <row r="542">
      <c r="A542" t="inlineStr">
        <is>
          <t>04C3126121165</t>
        </is>
      </c>
      <c r="B542" t="inlineStr">
        <is>
          <t>CRS0000674</t>
        </is>
      </c>
      <c r="C542" t="inlineStr">
        <is>
          <t>MT</t>
        </is>
      </c>
      <c r="D542" t="inlineStr">
        <is>
          <t>TCX413U-DS1B01</t>
        </is>
      </c>
      <c r="E542" s="2" t="n">
        <v>46112</v>
      </c>
      <c r="F542" t="inlineStr">
        <is>
          <t>Pass</t>
        </is>
      </c>
      <c r="G542" t="n">
        <v>112</v>
      </c>
      <c r="H542" t="n">
        <v>82</v>
      </c>
      <c r="I542" t="n">
        <v>-1957.8</v>
      </c>
      <c r="J542" t="n">
        <v>71.3</v>
      </c>
      <c r="K542" t="n">
        <v>0</v>
      </c>
      <c r="L542" t="n">
        <v>0.1</v>
      </c>
      <c r="M542" t="n">
        <v>0</v>
      </c>
      <c r="N542" t="n">
        <v>71.2</v>
      </c>
      <c r="O542" t="n">
        <v>115.9</v>
      </c>
      <c r="P542" t="n">
        <v>116.78</v>
      </c>
      <c r="Q542" t="n">
        <v>3.91</v>
      </c>
      <c r="R542" t="n">
        <v>3.98</v>
      </c>
      <c r="S542">
        <f>IF(OR(G542=0,G542=""),"",ABS((G542-IF($C542="LT",Config!$F$2,Config!$F$14))/IF($C542="LT",Config!$G$2,Config!$G$14)))</f>
        <v/>
      </c>
      <c r="T542">
        <f>IF(OR(H542=0,H542=""),"",ABS((H542-IF($C542="LT",Config!$F$3,Config!$F$15))/IF($C542="LT",Config!$G$3,Config!$G$15)))</f>
        <v/>
      </c>
      <c r="U542">
        <f>IF(OR(I542=0,I542=""),"",ABS((I542-IF($C542="LT",Config!$F$4,Config!$F$16))/IF($C542="LT",Config!$G$4,Config!$G$16)))</f>
        <v/>
      </c>
      <c r="V542">
        <f>IF(OR(J542=0,J542=""),"",ABS((J542-IF($C542="LT",Config!$F$5,Config!$F$17))/IF($C542="LT",Config!$G$5,Config!$G$17)))</f>
        <v/>
      </c>
      <c r="W542">
        <f>IF(OR(K542=0,K542=""),"",ABS((K542-IF($C542="LT",Config!$F$6,Config!$F$18))/IF($C542="LT",Config!$G$6,Config!$G$18)))</f>
        <v/>
      </c>
      <c r="X542">
        <f>IF(OR(L542=0,L542=""),"",ABS((L542-IF($C542="LT",Config!$F$7,Config!$F$19))/IF($C542="LT",Config!$G$7,Config!$G$19)))</f>
        <v/>
      </c>
      <c r="Y542">
        <f>IF(OR(M542=0,M542=""),"",ABS((M542-IF($C542="LT",Config!$F$8,Config!$F$20))/IF($C542="LT",Config!$G$8,Config!$G$20)))</f>
        <v/>
      </c>
      <c r="Z542">
        <f>IF(OR(N542=0,N542=""),"",ABS((N542-IF($C542="LT",Config!$F$9,Config!$F$21))/IF($C542="LT",Config!$G$9,Config!$G$21)))</f>
        <v/>
      </c>
      <c r="AA542">
        <f>IF(OR(O542=0,O542=""),"",ABS((O542-IF($C542="LT",Config!$F$10,Config!$F$22))/IF($C542="LT",Config!$G$10,Config!$G$22)))</f>
        <v/>
      </c>
      <c r="AB542">
        <f>IF(OR(P542=0,P542=""),"",ABS((P542-IF($C542="LT",Config!$F$11,Config!$F$23))/IF($C542="LT",Config!$G$11,Config!$G$23)))</f>
        <v/>
      </c>
      <c r="AC542">
        <f>IF(OR(Q542=0,Q542=""),"",ABS((Q542-IF($C542="LT",Config!$F$12,Config!$F$24))/IF($C542="LT",Config!$G$12,Config!$G$24)))</f>
        <v/>
      </c>
      <c r="AD542">
        <f>IF(OR(R542=0,R542=""),"",ABS((R542-IF($C542="LT",Config!$F$13,Config!$F$25))/IF($C542="LT",Config!$G$13,Config!$G$25)))</f>
        <v/>
      </c>
    </row>
    <row r="543">
      <c r="A543" t="inlineStr">
        <is>
          <t>04C3126121166</t>
        </is>
      </c>
      <c r="B543" t="inlineStr">
        <is>
          <t>CRS0000674</t>
        </is>
      </c>
      <c r="C543" t="inlineStr">
        <is>
          <t>MT</t>
        </is>
      </c>
      <c r="D543" t="inlineStr">
        <is>
          <t>TCX413U-DS1B01</t>
        </is>
      </c>
      <c r="E543" s="2" t="n">
        <v>46112</v>
      </c>
      <c r="F543" t="inlineStr">
        <is>
          <t>Pass</t>
        </is>
      </c>
      <c r="G543" t="n">
        <v>112.9</v>
      </c>
      <c r="H543" t="n">
        <v>81.09999999999999</v>
      </c>
      <c r="I543" t="n">
        <v>-1957.8</v>
      </c>
      <c r="J543" t="n">
        <v>70.8</v>
      </c>
      <c r="K543" t="n">
        <v>0</v>
      </c>
      <c r="L543" t="n">
        <v>1</v>
      </c>
      <c r="M543" t="n">
        <v>0</v>
      </c>
      <c r="N543" t="n">
        <v>71.8</v>
      </c>
      <c r="O543" t="n">
        <v>115.6</v>
      </c>
      <c r="P543" t="n">
        <v>116.92</v>
      </c>
      <c r="Q543" t="n">
        <v>3.86</v>
      </c>
      <c r="R543" t="n">
        <v>3.93</v>
      </c>
      <c r="S543">
        <f>IF(OR(G543=0,G543=""),"",ABS((G543-IF($C543="LT",Config!$F$2,Config!$F$14))/IF($C543="LT",Config!$G$2,Config!$G$14)))</f>
        <v/>
      </c>
      <c r="T543">
        <f>IF(OR(H543=0,H543=""),"",ABS((H543-IF($C543="LT",Config!$F$3,Config!$F$15))/IF($C543="LT",Config!$G$3,Config!$G$15)))</f>
        <v/>
      </c>
      <c r="U543">
        <f>IF(OR(I543=0,I543=""),"",ABS((I543-IF($C543="LT",Config!$F$4,Config!$F$16))/IF($C543="LT",Config!$G$4,Config!$G$16)))</f>
        <v/>
      </c>
      <c r="V543">
        <f>IF(OR(J543=0,J543=""),"",ABS((J543-IF($C543="LT",Config!$F$5,Config!$F$17))/IF($C543="LT",Config!$G$5,Config!$G$17)))</f>
        <v/>
      </c>
      <c r="W543">
        <f>IF(OR(K543=0,K543=""),"",ABS((K543-IF($C543="LT",Config!$F$6,Config!$F$18))/IF($C543="LT",Config!$G$6,Config!$G$18)))</f>
        <v/>
      </c>
      <c r="X543">
        <f>IF(OR(L543=0,L543=""),"",ABS((L543-IF($C543="LT",Config!$F$7,Config!$F$19))/IF($C543="LT",Config!$G$7,Config!$G$19)))</f>
        <v/>
      </c>
      <c r="Y543">
        <f>IF(OR(M543=0,M543=""),"",ABS((M543-IF($C543="LT",Config!$F$8,Config!$F$20))/IF($C543="LT",Config!$G$8,Config!$G$20)))</f>
        <v/>
      </c>
      <c r="Z543">
        <f>IF(OR(N543=0,N543=""),"",ABS((N543-IF($C543="LT",Config!$F$9,Config!$F$21))/IF($C543="LT",Config!$G$9,Config!$G$21)))</f>
        <v/>
      </c>
      <c r="AA543">
        <f>IF(OR(O543=0,O543=""),"",ABS((O543-IF($C543="LT",Config!$F$10,Config!$F$22))/IF($C543="LT",Config!$G$10,Config!$G$22)))</f>
        <v/>
      </c>
      <c r="AB543">
        <f>IF(OR(P543=0,P543=""),"",ABS((P543-IF($C543="LT",Config!$F$11,Config!$F$23))/IF($C543="LT",Config!$G$11,Config!$G$23)))</f>
        <v/>
      </c>
      <c r="AC543">
        <f>IF(OR(Q543=0,Q543=""),"",ABS((Q543-IF($C543="LT",Config!$F$12,Config!$F$24))/IF($C543="LT",Config!$G$12,Config!$G$24)))</f>
        <v/>
      </c>
      <c r="AD543">
        <f>IF(OR(R543=0,R543=""),"",ABS((R543-IF($C543="LT",Config!$F$13,Config!$F$25))/IF($C543="LT",Config!$G$13,Config!$G$25)))</f>
        <v/>
      </c>
    </row>
    <row r="544">
      <c r="A544" t="inlineStr">
        <is>
          <t>04C3126121167</t>
        </is>
      </c>
      <c r="B544" t="inlineStr">
        <is>
          <t>CRS0000674</t>
        </is>
      </c>
      <c r="C544" t="inlineStr">
        <is>
          <t>MT</t>
        </is>
      </c>
      <c r="D544" t="inlineStr">
        <is>
          <t>TCX413U-DS1B01</t>
        </is>
      </c>
      <c r="E544" s="2" t="n">
        <v>46112</v>
      </c>
      <c r="F544" t="inlineStr">
        <is>
          <t>Pass</t>
        </is>
      </c>
      <c r="G544" t="n">
        <v>111.5</v>
      </c>
      <c r="H544" t="n">
        <v>83.8</v>
      </c>
      <c r="I544" t="n">
        <v>-1957.8</v>
      </c>
      <c r="J544" t="n">
        <v>70.8</v>
      </c>
      <c r="K544" t="n">
        <v>0</v>
      </c>
      <c r="L544" t="n">
        <v>1.8</v>
      </c>
      <c r="M544" t="n">
        <v>0</v>
      </c>
      <c r="N544" t="n">
        <v>72.59999999999999</v>
      </c>
      <c r="O544" t="n">
        <v>115.24</v>
      </c>
      <c r="P544" t="n">
        <v>115.09</v>
      </c>
      <c r="Q544" t="n">
        <v>3.91</v>
      </c>
      <c r="R544" t="n">
        <v>4.03</v>
      </c>
      <c r="S544">
        <f>IF(OR(G544=0,G544=""),"",ABS((G544-IF($C544="LT",Config!$F$2,Config!$F$14))/IF($C544="LT",Config!$G$2,Config!$G$14)))</f>
        <v/>
      </c>
      <c r="T544">
        <f>IF(OR(H544=0,H544=""),"",ABS((H544-IF($C544="LT",Config!$F$3,Config!$F$15))/IF($C544="LT",Config!$G$3,Config!$G$15)))</f>
        <v/>
      </c>
      <c r="U544">
        <f>IF(OR(I544=0,I544=""),"",ABS((I544-IF($C544="LT",Config!$F$4,Config!$F$16))/IF($C544="LT",Config!$G$4,Config!$G$16)))</f>
        <v/>
      </c>
      <c r="V544">
        <f>IF(OR(J544=0,J544=""),"",ABS((J544-IF($C544="LT",Config!$F$5,Config!$F$17))/IF($C544="LT",Config!$G$5,Config!$G$17)))</f>
        <v/>
      </c>
      <c r="W544">
        <f>IF(OR(K544=0,K544=""),"",ABS((K544-IF($C544="LT",Config!$F$6,Config!$F$18))/IF($C544="LT",Config!$G$6,Config!$G$18)))</f>
        <v/>
      </c>
      <c r="X544">
        <f>IF(OR(L544=0,L544=""),"",ABS((L544-IF($C544="LT",Config!$F$7,Config!$F$19))/IF($C544="LT",Config!$G$7,Config!$G$19)))</f>
        <v/>
      </c>
      <c r="Y544">
        <f>IF(OR(M544=0,M544=""),"",ABS((M544-IF($C544="LT",Config!$F$8,Config!$F$20))/IF($C544="LT",Config!$G$8,Config!$G$20)))</f>
        <v/>
      </c>
      <c r="Z544">
        <f>IF(OR(N544=0,N544=""),"",ABS((N544-IF($C544="LT",Config!$F$9,Config!$F$21))/IF($C544="LT",Config!$G$9,Config!$G$21)))</f>
        <v/>
      </c>
      <c r="AA544">
        <f>IF(OR(O544=0,O544=""),"",ABS((O544-IF($C544="LT",Config!$F$10,Config!$F$22))/IF($C544="LT",Config!$G$10,Config!$G$22)))</f>
        <v/>
      </c>
      <c r="AB544">
        <f>IF(OR(P544=0,P544=""),"",ABS((P544-IF($C544="LT",Config!$F$11,Config!$F$23))/IF($C544="LT",Config!$G$11,Config!$G$23)))</f>
        <v/>
      </c>
      <c r="AC544">
        <f>IF(OR(Q544=0,Q544=""),"",ABS((Q544-IF($C544="LT",Config!$F$12,Config!$F$24))/IF($C544="LT",Config!$G$12,Config!$G$24)))</f>
        <v/>
      </c>
      <c r="AD544">
        <f>IF(OR(R544=0,R544=""),"",ABS((R544-IF($C544="LT",Config!$F$13,Config!$F$25))/IF($C544="LT",Config!$G$13,Config!$G$25)))</f>
        <v/>
      </c>
    </row>
    <row r="545">
      <c r="A545" t="inlineStr">
        <is>
          <t>04C3126121168</t>
        </is>
      </c>
      <c r="B545" t="inlineStr">
        <is>
          <t>CRS0000674</t>
        </is>
      </c>
      <c r="C545" t="inlineStr">
        <is>
          <t>MT</t>
        </is>
      </c>
      <c r="D545" t="inlineStr">
        <is>
          <t>TCX413U-DS1B01</t>
        </is>
      </c>
      <c r="E545" s="2" t="n">
        <v>46112</v>
      </c>
      <c r="F545" t="inlineStr">
        <is>
          <t>Pass</t>
        </is>
      </c>
      <c r="G545" t="n">
        <v>113.3</v>
      </c>
      <c r="H545" t="n">
        <v>80.7</v>
      </c>
      <c r="I545" t="n">
        <v>-1957.8</v>
      </c>
      <c r="J545" t="n">
        <v>70.8</v>
      </c>
      <c r="K545" t="n">
        <v>0</v>
      </c>
      <c r="L545" t="n">
        <v>1.3</v>
      </c>
      <c r="M545" t="n">
        <v>0</v>
      </c>
      <c r="N545" t="n">
        <v>72.09999999999999</v>
      </c>
      <c r="O545" t="n">
        <v>115.6</v>
      </c>
      <c r="P545" t="n">
        <v>112.96</v>
      </c>
      <c r="Q545" t="n">
        <v>3.86</v>
      </c>
      <c r="R545" t="n">
        <v>4</v>
      </c>
      <c r="S545">
        <f>IF(OR(G545=0,G545=""),"",ABS((G545-IF($C545="LT",Config!$F$2,Config!$F$14))/IF($C545="LT",Config!$G$2,Config!$G$14)))</f>
        <v/>
      </c>
      <c r="T545">
        <f>IF(OR(H545=0,H545=""),"",ABS((H545-IF($C545="LT",Config!$F$3,Config!$F$15))/IF($C545="LT",Config!$G$3,Config!$G$15)))</f>
        <v/>
      </c>
      <c r="U545">
        <f>IF(OR(I545=0,I545=""),"",ABS((I545-IF($C545="LT",Config!$F$4,Config!$F$16))/IF($C545="LT",Config!$G$4,Config!$G$16)))</f>
        <v/>
      </c>
      <c r="V545">
        <f>IF(OR(J545=0,J545=""),"",ABS((J545-IF($C545="LT",Config!$F$5,Config!$F$17))/IF($C545="LT",Config!$G$5,Config!$G$17)))</f>
        <v/>
      </c>
      <c r="W545">
        <f>IF(OR(K545=0,K545=""),"",ABS((K545-IF($C545="LT",Config!$F$6,Config!$F$18))/IF($C545="LT",Config!$G$6,Config!$G$18)))</f>
        <v/>
      </c>
      <c r="X545">
        <f>IF(OR(L545=0,L545=""),"",ABS((L545-IF($C545="LT",Config!$F$7,Config!$F$19))/IF($C545="LT",Config!$G$7,Config!$G$19)))</f>
        <v/>
      </c>
      <c r="Y545">
        <f>IF(OR(M545=0,M545=""),"",ABS((M545-IF($C545="LT",Config!$F$8,Config!$F$20))/IF($C545="LT",Config!$G$8,Config!$G$20)))</f>
        <v/>
      </c>
      <c r="Z545">
        <f>IF(OR(N545=0,N545=""),"",ABS((N545-IF($C545="LT",Config!$F$9,Config!$F$21))/IF($C545="LT",Config!$G$9,Config!$G$21)))</f>
        <v/>
      </c>
      <c r="AA545">
        <f>IF(OR(O545=0,O545=""),"",ABS((O545-IF($C545="LT",Config!$F$10,Config!$F$22))/IF($C545="LT",Config!$G$10,Config!$G$22)))</f>
        <v/>
      </c>
      <c r="AB545">
        <f>IF(OR(P545=0,P545=""),"",ABS((P545-IF($C545="LT",Config!$F$11,Config!$F$23))/IF($C545="LT",Config!$G$11,Config!$G$23)))</f>
        <v/>
      </c>
      <c r="AC545">
        <f>IF(OR(Q545=0,Q545=""),"",ABS((Q545-IF($C545="LT",Config!$F$12,Config!$F$24))/IF($C545="LT",Config!$G$12,Config!$G$24)))</f>
        <v/>
      </c>
      <c r="AD545">
        <f>IF(OR(R545=0,R545=""),"",ABS((R545-IF($C545="LT",Config!$F$13,Config!$F$25))/IF($C545="LT",Config!$G$13,Config!$G$25)))</f>
        <v/>
      </c>
    </row>
    <row r="546">
      <c r="A546" t="inlineStr">
        <is>
          <t>04C3126121169</t>
        </is>
      </c>
      <c r="B546" t="inlineStr">
        <is>
          <t>CRS0000674</t>
        </is>
      </c>
      <c r="C546" t="inlineStr">
        <is>
          <t>MT</t>
        </is>
      </c>
      <c r="D546" t="inlineStr">
        <is>
          <t>TCX413U-DS1B01</t>
        </is>
      </c>
      <c r="E546" s="2" t="n">
        <v>46112</v>
      </c>
      <c r="F546" t="inlineStr">
        <is>
          <t>Pass</t>
        </is>
      </c>
      <c r="G546" t="n">
        <v>115.1</v>
      </c>
      <c r="H546" t="n">
        <v>83.40000000000001</v>
      </c>
      <c r="I546" t="n">
        <v>-1957.8</v>
      </c>
      <c r="J546" t="n">
        <v>70.8</v>
      </c>
      <c r="K546" t="n">
        <v>0</v>
      </c>
      <c r="L546" t="n">
        <v>1.1</v>
      </c>
      <c r="M546" t="n">
        <v>0</v>
      </c>
      <c r="N546" t="n">
        <v>71.90000000000001</v>
      </c>
      <c r="O546" t="n">
        <v>115.16</v>
      </c>
      <c r="P546" t="n">
        <v>115.02</v>
      </c>
      <c r="Q546" t="n">
        <v>3.91</v>
      </c>
      <c r="R546" t="n">
        <v>4</v>
      </c>
      <c r="S546">
        <f>IF(OR(G546=0,G546=""),"",ABS((G546-IF($C546="LT",Config!$F$2,Config!$F$14))/IF($C546="LT",Config!$G$2,Config!$G$14)))</f>
        <v/>
      </c>
      <c r="T546">
        <f>IF(OR(H546=0,H546=""),"",ABS((H546-IF($C546="LT",Config!$F$3,Config!$F$15))/IF($C546="LT",Config!$G$3,Config!$G$15)))</f>
        <v/>
      </c>
      <c r="U546">
        <f>IF(OR(I546=0,I546=""),"",ABS((I546-IF($C546="LT",Config!$F$4,Config!$F$16))/IF($C546="LT",Config!$G$4,Config!$G$16)))</f>
        <v/>
      </c>
      <c r="V546">
        <f>IF(OR(J546=0,J546=""),"",ABS((J546-IF($C546="LT",Config!$F$5,Config!$F$17))/IF($C546="LT",Config!$G$5,Config!$G$17)))</f>
        <v/>
      </c>
      <c r="W546">
        <f>IF(OR(K546=0,K546=""),"",ABS((K546-IF($C546="LT",Config!$F$6,Config!$F$18))/IF($C546="LT",Config!$G$6,Config!$G$18)))</f>
        <v/>
      </c>
      <c r="X546">
        <f>IF(OR(L546=0,L546=""),"",ABS((L546-IF($C546="LT",Config!$F$7,Config!$F$19))/IF($C546="LT",Config!$G$7,Config!$G$19)))</f>
        <v/>
      </c>
      <c r="Y546">
        <f>IF(OR(M546=0,M546=""),"",ABS((M546-IF($C546="LT",Config!$F$8,Config!$F$20))/IF($C546="LT",Config!$G$8,Config!$G$20)))</f>
        <v/>
      </c>
      <c r="Z546">
        <f>IF(OR(N546=0,N546=""),"",ABS((N546-IF($C546="LT",Config!$F$9,Config!$F$21))/IF($C546="LT",Config!$G$9,Config!$G$21)))</f>
        <v/>
      </c>
      <c r="AA546">
        <f>IF(OR(O546=0,O546=""),"",ABS((O546-IF($C546="LT",Config!$F$10,Config!$F$22))/IF($C546="LT",Config!$G$10,Config!$G$22)))</f>
        <v/>
      </c>
      <c r="AB546">
        <f>IF(OR(P546=0,P546=""),"",ABS((P546-IF($C546="LT",Config!$F$11,Config!$F$23))/IF($C546="LT",Config!$G$11,Config!$G$23)))</f>
        <v/>
      </c>
      <c r="AC546">
        <f>IF(OR(Q546=0,Q546=""),"",ABS((Q546-IF($C546="LT",Config!$F$12,Config!$F$24))/IF($C546="LT",Config!$G$12,Config!$G$24)))</f>
        <v/>
      </c>
      <c r="AD546">
        <f>IF(OR(R546=0,R546=""),"",ABS((R546-IF($C546="LT",Config!$F$13,Config!$F$25))/IF($C546="LT",Config!$G$13,Config!$G$25)))</f>
        <v/>
      </c>
    </row>
    <row r="547">
      <c r="A547" t="inlineStr">
        <is>
          <t>04C3126121170</t>
        </is>
      </c>
      <c r="B547" t="inlineStr">
        <is>
          <t>CRS0000674</t>
        </is>
      </c>
      <c r="C547" t="inlineStr">
        <is>
          <t>MT</t>
        </is>
      </c>
      <c r="D547" t="inlineStr">
        <is>
          <t>TCX413U-DS1B01</t>
        </is>
      </c>
      <c r="E547" s="2" t="n">
        <v>46112</v>
      </c>
      <c r="F547" t="inlineStr">
        <is>
          <t>Pass</t>
        </is>
      </c>
      <c r="G547" t="n">
        <v>119.1</v>
      </c>
      <c r="H547" t="n">
        <v>83.40000000000001</v>
      </c>
      <c r="I547" t="n">
        <v>-1957.8</v>
      </c>
      <c r="J547" t="n">
        <v>71.3</v>
      </c>
      <c r="K547" t="n">
        <v>0</v>
      </c>
      <c r="L547" t="n">
        <v>1.4</v>
      </c>
      <c r="M547" t="n">
        <v>0</v>
      </c>
      <c r="N547" t="n">
        <v>72.7</v>
      </c>
      <c r="O547" t="n">
        <v>115.09</v>
      </c>
      <c r="P547" t="n">
        <v>115.02</v>
      </c>
      <c r="Q547" t="n">
        <v>3.91</v>
      </c>
      <c r="R547" t="n">
        <v>4.03</v>
      </c>
      <c r="S547">
        <f>IF(OR(G547=0,G547=""),"",ABS((G547-IF($C547="LT",Config!$F$2,Config!$F$14))/IF($C547="LT",Config!$G$2,Config!$G$14)))</f>
        <v/>
      </c>
      <c r="T547">
        <f>IF(OR(H547=0,H547=""),"",ABS((H547-IF($C547="LT",Config!$F$3,Config!$F$15))/IF($C547="LT",Config!$G$3,Config!$G$15)))</f>
        <v/>
      </c>
      <c r="U547">
        <f>IF(OR(I547=0,I547=""),"",ABS((I547-IF($C547="LT",Config!$F$4,Config!$F$16))/IF($C547="LT",Config!$G$4,Config!$G$16)))</f>
        <v/>
      </c>
      <c r="V547">
        <f>IF(OR(J547=0,J547=""),"",ABS((J547-IF($C547="LT",Config!$F$5,Config!$F$17))/IF($C547="LT",Config!$G$5,Config!$G$17)))</f>
        <v/>
      </c>
      <c r="W547">
        <f>IF(OR(K547=0,K547=""),"",ABS((K547-IF($C547="LT",Config!$F$6,Config!$F$18))/IF($C547="LT",Config!$G$6,Config!$G$18)))</f>
        <v/>
      </c>
      <c r="X547">
        <f>IF(OR(L547=0,L547=""),"",ABS((L547-IF($C547="LT",Config!$F$7,Config!$F$19))/IF($C547="LT",Config!$G$7,Config!$G$19)))</f>
        <v/>
      </c>
      <c r="Y547">
        <f>IF(OR(M547=0,M547=""),"",ABS((M547-IF($C547="LT",Config!$F$8,Config!$F$20))/IF($C547="LT",Config!$G$8,Config!$G$20)))</f>
        <v/>
      </c>
      <c r="Z547">
        <f>IF(OR(N547=0,N547=""),"",ABS((N547-IF($C547="LT",Config!$F$9,Config!$F$21))/IF($C547="LT",Config!$G$9,Config!$G$21)))</f>
        <v/>
      </c>
      <c r="AA547">
        <f>IF(OR(O547=0,O547=""),"",ABS((O547-IF($C547="LT",Config!$F$10,Config!$F$22))/IF($C547="LT",Config!$G$10,Config!$G$22)))</f>
        <v/>
      </c>
      <c r="AB547">
        <f>IF(OR(P547=0,P547=""),"",ABS((P547-IF($C547="LT",Config!$F$11,Config!$F$23))/IF($C547="LT",Config!$G$11,Config!$G$23)))</f>
        <v/>
      </c>
      <c r="AC547">
        <f>IF(OR(Q547=0,Q547=""),"",ABS((Q547-IF($C547="LT",Config!$F$12,Config!$F$24))/IF($C547="LT",Config!$G$12,Config!$G$24)))</f>
        <v/>
      </c>
      <c r="AD547">
        <f>IF(OR(R547=0,R547=""),"",ABS((R547-IF($C547="LT",Config!$F$13,Config!$F$25))/IF($C547="LT",Config!$G$13,Config!$G$25)))</f>
        <v/>
      </c>
    </row>
    <row r="548">
      <c r="A548" t="inlineStr">
        <is>
          <t>04C3126121171</t>
        </is>
      </c>
      <c r="B548" t="inlineStr">
        <is>
          <t>CRS0000674</t>
        </is>
      </c>
      <c r="C548" t="inlineStr">
        <is>
          <t>MT</t>
        </is>
      </c>
      <c r="D548" t="inlineStr">
        <is>
          <t>TCX413U-DS1B01</t>
        </is>
      </c>
      <c r="E548" s="2" t="n">
        <v>46112</v>
      </c>
      <c r="F548" t="inlineStr">
        <is>
          <t>Pass</t>
        </is>
      </c>
      <c r="G548" t="n">
        <v>116.9</v>
      </c>
      <c r="H548" t="n">
        <v>83.40000000000001</v>
      </c>
      <c r="I548" t="n">
        <v>-1957.8</v>
      </c>
      <c r="J548" t="n">
        <v>71.3</v>
      </c>
      <c r="K548" t="n">
        <v>0</v>
      </c>
      <c r="L548" t="n">
        <v>1.2</v>
      </c>
      <c r="M548" t="n">
        <v>0</v>
      </c>
      <c r="N548" t="n">
        <v>72.5</v>
      </c>
      <c r="O548" t="n">
        <v>115.24</v>
      </c>
      <c r="P548" t="n">
        <v>115.24</v>
      </c>
      <c r="Q548" t="n">
        <v>3.96</v>
      </c>
      <c r="R548" t="n">
        <v>4</v>
      </c>
      <c r="S548">
        <f>IF(OR(G548=0,G548=""),"",ABS((G548-IF($C548="LT",Config!$F$2,Config!$F$14))/IF($C548="LT",Config!$G$2,Config!$G$14)))</f>
        <v/>
      </c>
      <c r="T548">
        <f>IF(OR(H548=0,H548=""),"",ABS((H548-IF($C548="LT",Config!$F$3,Config!$F$15))/IF($C548="LT",Config!$G$3,Config!$G$15)))</f>
        <v/>
      </c>
      <c r="U548">
        <f>IF(OR(I548=0,I548=""),"",ABS((I548-IF($C548="LT",Config!$F$4,Config!$F$16))/IF($C548="LT",Config!$G$4,Config!$G$16)))</f>
        <v/>
      </c>
      <c r="V548">
        <f>IF(OR(J548=0,J548=""),"",ABS((J548-IF($C548="LT",Config!$F$5,Config!$F$17))/IF($C548="LT",Config!$G$5,Config!$G$17)))</f>
        <v/>
      </c>
      <c r="W548">
        <f>IF(OR(K548=0,K548=""),"",ABS((K548-IF($C548="LT",Config!$F$6,Config!$F$18))/IF($C548="LT",Config!$G$6,Config!$G$18)))</f>
        <v/>
      </c>
      <c r="X548">
        <f>IF(OR(L548=0,L548=""),"",ABS((L548-IF($C548="LT",Config!$F$7,Config!$F$19))/IF($C548="LT",Config!$G$7,Config!$G$19)))</f>
        <v/>
      </c>
      <c r="Y548">
        <f>IF(OR(M548=0,M548=""),"",ABS((M548-IF($C548="LT",Config!$F$8,Config!$F$20))/IF($C548="LT",Config!$G$8,Config!$G$20)))</f>
        <v/>
      </c>
      <c r="Z548">
        <f>IF(OR(N548=0,N548=""),"",ABS((N548-IF($C548="LT",Config!$F$9,Config!$F$21))/IF($C548="LT",Config!$G$9,Config!$G$21)))</f>
        <v/>
      </c>
      <c r="AA548">
        <f>IF(OR(O548=0,O548=""),"",ABS((O548-IF($C548="LT",Config!$F$10,Config!$F$22))/IF($C548="LT",Config!$G$10,Config!$G$22)))</f>
        <v/>
      </c>
      <c r="AB548">
        <f>IF(OR(P548=0,P548=""),"",ABS((P548-IF($C548="LT",Config!$F$11,Config!$F$23))/IF($C548="LT",Config!$G$11,Config!$G$23)))</f>
        <v/>
      </c>
      <c r="AC548">
        <f>IF(OR(Q548=0,Q548=""),"",ABS((Q548-IF($C548="LT",Config!$F$12,Config!$F$24))/IF($C548="LT",Config!$G$12,Config!$G$24)))</f>
        <v/>
      </c>
      <c r="AD548">
        <f>IF(OR(R548=0,R548=""),"",ABS((R548-IF($C548="LT",Config!$F$13,Config!$F$25))/IF($C548="LT",Config!$G$13,Config!$G$25)))</f>
        <v/>
      </c>
    </row>
    <row r="549">
      <c r="A549" t="inlineStr">
        <is>
          <t>04C3126121172</t>
        </is>
      </c>
      <c r="B549" t="inlineStr">
        <is>
          <t>CRS0000674</t>
        </is>
      </c>
      <c r="C549" t="inlineStr">
        <is>
          <t>MT</t>
        </is>
      </c>
      <c r="D549" t="inlineStr">
        <is>
          <t>TCX413U-DS1B01</t>
        </is>
      </c>
      <c r="E549" s="2" t="n">
        <v>46113</v>
      </c>
      <c r="F549" t="inlineStr">
        <is>
          <t>Pass</t>
        </is>
      </c>
      <c r="G549" t="n">
        <v>115.1</v>
      </c>
      <c r="H549" t="n">
        <v>83.40000000000001</v>
      </c>
      <c r="I549" t="n">
        <v>-1957.8</v>
      </c>
      <c r="J549" t="n">
        <v>70</v>
      </c>
      <c r="K549" t="n">
        <v>0</v>
      </c>
      <c r="L549" t="n">
        <v>1.8</v>
      </c>
      <c r="M549" t="n">
        <v>0</v>
      </c>
      <c r="N549" t="n">
        <v>71.8</v>
      </c>
      <c r="O549" t="n">
        <v>115.02</v>
      </c>
      <c r="P549" t="n">
        <v>114.94</v>
      </c>
      <c r="Q549" t="n">
        <v>3.93</v>
      </c>
      <c r="R549" t="n">
        <v>4</v>
      </c>
      <c r="S549">
        <f>IF(OR(G549=0,G549=""),"",ABS((G549-IF($C549="LT",Config!$F$2,Config!$F$14))/IF($C549="LT",Config!$G$2,Config!$G$14)))</f>
        <v/>
      </c>
      <c r="T549">
        <f>IF(OR(H549=0,H549=""),"",ABS((H549-IF($C549="LT",Config!$F$3,Config!$F$15))/IF($C549="LT",Config!$G$3,Config!$G$15)))</f>
        <v/>
      </c>
      <c r="U549">
        <f>IF(OR(I549=0,I549=""),"",ABS((I549-IF($C549="LT",Config!$F$4,Config!$F$16))/IF($C549="LT",Config!$G$4,Config!$G$16)))</f>
        <v/>
      </c>
      <c r="V549">
        <f>IF(OR(J549=0,J549=""),"",ABS((J549-IF($C549="LT",Config!$F$5,Config!$F$17))/IF($C549="LT",Config!$G$5,Config!$G$17)))</f>
        <v/>
      </c>
      <c r="W549">
        <f>IF(OR(K549=0,K549=""),"",ABS((K549-IF($C549="LT",Config!$F$6,Config!$F$18))/IF($C549="LT",Config!$G$6,Config!$G$18)))</f>
        <v/>
      </c>
      <c r="X549">
        <f>IF(OR(L549=0,L549=""),"",ABS((L549-IF($C549="LT",Config!$F$7,Config!$F$19))/IF($C549="LT",Config!$G$7,Config!$G$19)))</f>
        <v/>
      </c>
      <c r="Y549">
        <f>IF(OR(M549=0,M549=""),"",ABS((M549-IF($C549="LT",Config!$F$8,Config!$F$20))/IF($C549="LT",Config!$G$8,Config!$G$20)))</f>
        <v/>
      </c>
      <c r="Z549">
        <f>IF(OR(N549=0,N549=""),"",ABS((N549-IF($C549="LT",Config!$F$9,Config!$F$21))/IF($C549="LT",Config!$G$9,Config!$G$21)))</f>
        <v/>
      </c>
      <c r="AA549">
        <f>IF(OR(O549=0,O549=""),"",ABS((O549-IF($C549="LT",Config!$F$10,Config!$F$22))/IF($C549="LT",Config!$G$10,Config!$G$22)))</f>
        <v/>
      </c>
      <c r="AB549">
        <f>IF(OR(P549=0,P549=""),"",ABS((P549-IF($C549="LT",Config!$F$11,Config!$F$23))/IF($C549="LT",Config!$G$11,Config!$G$23)))</f>
        <v/>
      </c>
      <c r="AC549">
        <f>IF(OR(Q549=0,Q549=""),"",ABS((Q549-IF($C549="LT",Config!$F$12,Config!$F$24))/IF($C549="LT",Config!$G$12,Config!$G$24)))</f>
        <v/>
      </c>
      <c r="AD549">
        <f>IF(OR(R549=0,R549=""),"",ABS((R549-IF($C549="LT",Config!$F$13,Config!$F$25))/IF($C549="LT",Config!$G$13,Config!$G$25)))</f>
        <v/>
      </c>
    </row>
    <row r="550">
      <c r="A550" t="inlineStr">
        <is>
          <t>04C3126121173</t>
        </is>
      </c>
      <c r="B550" t="inlineStr">
        <is>
          <t>CRS0000674</t>
        </is>
      </c>
      <c r="C550" t="inlineStr">
        <is>
          <t>MT</t>
        </is>
      </c>
      <c r="D550" t="inlineStr">
        <is>
          <t>TCX413U-DS1B01</t>
        </is>
      </c>
      <c r="E550" s="2" t="n">
        <v>46113</v>
      </c>
      <c r="F550" t="inlineStr">
        <is>
          <t>Pass</t>
        </is>
      </c>
      <c r="G550" t="n">
        <v>113.3</v>
      </c>
      <c r="H550" t="n">
        <v>80.2</v>
      </c>
      <c r="I550" t="n">
        <v>-1957.8</v>
      </c>
      <c r="J550" t="n">
        <v>71.3</v>
      </c>
      <c r="K550" t="n">
        <v>0</v>
      </c>
      <c r="L550" t="n">
        <v>0.8</v>
      </c>
      <c r="M550" t="n">
        <v>0</v>
      </c>
      <c r="N550" t="n">
        <v>72.09999999999999</v>
      </c>
      <c r="O550" t="n">
        <v>112.45</v>
      </c>
      <c r="P550" t="n">
        <v>116.78</v>
      </c>
      <c r="Q550" t="n">
        <v>3.86</v>
      </c>
      <c r="R550" t="n">
        <v>3.86</v>
      </c>
      <c r="S550">
        <f>IF(OR(G550=0,G550=""),"",ABS((G550-IF($C550="LT",Config!$F$2,Config!$F$14))/IF($C550="LT",Config!$G$2,Config!$G$14)))</f>
        <v/>
      </c>
      <c r="T550">
        <f>IF(OR(H550=0,H550=""),"",ABS((H550-IF($C550="LT",Config!$F$3,Config!$F$15))/IF($C550="LT",Config!$G$3,Config!$G$15)))</f>
        <v/>
      </c>
      <c r="U550">
        <f>IF(OR(I550=0,I550=""),"",ABS((I550-IF($C550="LT",Config!$F$4,Config!$F$16))/IF($C550="LT",Config!$G$4,Config!$G$16)))</f>
        <v/>
      </c>
      <c r="V550">
        <f>IF(OR(J550=0,J550=""),"",ABS((J550-IF($C550="LT",Config!$F$5,Config!$F$17))/IF($C550="LT",Config!$G$5,Config!$G$17)))</f>
        <v/>
      </c>
      <c r="W550">
        <f>IF(OR(K550=0,K550=""),"",ABS((K550-IF($C550="LT",Config!$F$6,Config!$F$18))/IF($C550="LT",Config!$G$6,Config!$G$18)))</f>
        <v/>
      </c>
      <c r="X550">
        <f>IF(OR(L550=0,L550=""),"",ABS((L550-IF($C550="LT",Config!$F$7,Config!$F$19))/IF($C550="LT",Config!$G$7,Config!$G$19)))</f>
        <v/>
      </c>
      <c r="Y550">
        <f>IF(OR(M550=0,M550=""),"",ABS((M550-IF($C550="LT",Config!$F$8,Config!$F$20))/IF($C550="LT",Config!$G$8,Config!$G$20)))</f>
        <v/>
      </c>
      <c r="Z550">
        <f>IF(OR(N550=0,N550=""),"",ABS((N550-IF($C550="LT",Config!$F$9,Config!$F$21))/IF($C550="LT",Config!$G$9,Config!$G$21)))</f>
        <v/>
      </c>
      <c r="AA550">
        <f>IF(OR(O550=0,O550=""),"",ABS((O550-IF($C550="LT",Config!$F$10,Config!$F$22))/IF($C550="LT",Config!$G$10,Config!$G$22)))</f>
        <v/>
      </c>
      <c r="AB550">
        <f>IF(OR(P550=0,P550=""),"",ABS((P550-IF($C550="LT",Config!$F$11,Config!$F$23))/IF($C550="LT",Config!$G$11,Config!$G$23)))</f>
        <v/>
      </c>
      <c r="AC550">
        <f>IF(OR(Q550=0,Q550=""),"",ABS((Q550-IF($C550="LT",Config!$F$12,Config!$F$24))/IF($C550="LT",Config!$G$12,Config!$G$24)))</f>
        <v/>
      </c>
      <c r="AD550">
        <f>IF(OR(R550=0,R550=""),"",ABS((R550-IF($C550="LT",Config!$F$13,Config!$F$25))/IF($C550="LT",Config!$G$13,Config!$G$25)))</f>
        <v/>
      </c>
    </row>
    <row r="551">
      <c r="A551" t="inlineStr">
        <is>
          <t>04C3126121174</t>
        </is>
      </c>
      <c r="B551" t="inlineStr">
        <is>
          <t>CRS0000674</t>
        </is>
      </c>
      <c r="C551" t="inlineStr">
        <is>
          <t>MT</t>
        </is>
      </c>
      <c r="D551" t="inlineStr">
        <is>
          <t>TCX413U-DS1B01</t>
        </is>
      </c>
      <c r="E551" s="2" t="n">
        <v>46113</v>
      </c>
      <c r="F551" t="inlineStr">
        <is>
          <t>Fail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>
        <f>IF(OR(G551=0,G551=""),"",ABS((G551-IF($C551="LT",Config!$F$2,Config!$F$14))/IF($C551="LT",Config!$G$2,Config!$G$14)))</f>
        <v/>
      </c>
      <c r="T551">
        <f>IF(OR(H551=0,H551=""),"",ABS((H551-IF($C551="LT",Config!$F$3,Config!$F$15))/IF($C551="LT",Config!$G$3,Config!$G$15)))</f>
        <v/>
      </c>
      <c r="U551">
        <f>IF(OR(I551=0,I551=""),"",ABS((I551-IF($C551="LT",Config!$F$4,Config!$F$16))/IF($C551="LT",Config!$G$4,Config!$G$16)))</f>
        <v/>
      </c>
      <c r="V551">
        <f>IF(OR(J551=0,J551=""),"",ABS((J551-IF($C551="LT",Config!$F$5,Config!$F$17))/IF($C551="LT",Config!$G$5,Config!$G$17)))</f>
        <v/>
      </c>
      <c r="W551">
        <f>IF(OR(K551=0,K551=""),"",ABS((K551-IF($C551="LT",Config!$F$6,Config!$F$18))/IF($C551="LT",Config!$G$6,Config!$G$18)))</f>
        <v/>
      </c>
      <c r="X551">
        <f>IF(OR(L551=0,L551=""),"",ABS((L551-IF($C551="LT",Config!$F$7,Config!$F$19))/IF($C551="LT",Config!$G$7,Config!$G$19)))</f>
        <v/>
      </c>
      <c r="Y551">
        <f>IF(OR(M551=0,M551=""),"",ABS((M551-IF($C551="LT",Config!$F$8,Config!$F$20))/IF($C551="LT",Config!$G$8,Config!$G$20)))</f>
        <v/>
      </c>
      <c r="Z551">
        <f>IF(OR(N551=0,N551=""),"",ABS((N551-IF($C551="LT",Config!$F$9,Config!$F$21))/IF($C551="LT",Config!$G$9,Config!$G$21)))</f>
        <v/>
      </c>
      <c r="AA551">
        <f>IF(OR(O551=0,O551=""),"",ABS((O551-IF($C551="LT",Config!$F$10,Config!$F$22))/IF($C551="LT",Config!$G$10,Config!$G$22)))</f>
        <v/>
      </c>
      <c r="AB551">
        <f>IF(OR(P551=0,P551=""),"",ABS((P551-IF($C551="LT",Config!$F$11,Config!$F$23))/IF($C551="LT",Config!$G$11,Config!$G$23)))</f>
        <v/>
      </c>
      <c r="AC551">
        <f>IF(OR(Q551=0,Q551=""),"",ABS((Q551-IF($C551="LT",Config!$F$12,Config!$F$24))/IF($C551="LT",Config!$G$12,Config!$G$24)))</f>
        <v/>
      </c>
      <c r="AD551">
        <f>IF(OR(R551=0,R551=""),"",ABS((R551-IF($C551="LT",Config!$F$13,Config!$F$25))/IF($C551="LT",Config!$G$13,Config!$G$25)))</f>
        <v/>
      </c>
    </row>
    <row r="552">
      <c r="A552" t="inlineStr">
        <is>
          <t>04C3126121174</t>
        </is>
      </c>
      <c r="B552" t="inlineStr">
        <is>
          <t>CRS0000674</t>
        </is>
      </c>
      <c r="C552" t="inlineStr">
        <is>
          <t>MT</t>
        </is>
      </c>
      <c r="D552" t="inlineStr">
        <is>
          <t>TCX413U-DS1B01</t>
        </is>
      </c>
      <c r="E552" s="2" t="n">
        <v>46113</v>
      </c>
      <c r="F552" t="inlineStr">
        <is>
          <t>Fail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>
        <f>IF(OR(G552=0,G552=""),"",ABS((G552-IF($C552="LT",Config!$F$2,Config!$F$14))/IF($C552="LT",Config!$G$2,Config!$G$14)))</f>
        <v/>
      </c>
      <c r="T552">
        <f>IF(OR(H552=0,H552=""),"",ABS((H552-IF($C552="LT",Config!$F$3,Config!$F$15))/IF($C552="LT",Config!$G$3,Config!$G$15)))</f>
        <v/>
      </c>
      <c r="U552">
        <f>IF(OR(I552=0,I552=""),"",ABS((I552-IF($C552="LT",Config!$F$4,Config!$F$16))/IF($C552="LT",Config!$G$4,Config!$G$16)))</f>
        <v/>
      </c>
      <c r="V552">
        <f>IF(OR(J552=0,J552=""),"",ABS((J552-IF($C552="LT",Config!$F$5,Config!$F$17))/IF($C552="LT",Config!$G$5,Config!$G$17)))</f>
        <v/>
      </c>
      <c r="W552">
        <f>IF(OR(K552=0,K552=""),"",ABS((K552-IF($C552="LT",Config!$F$6,Config!$F$18))/IF($C552="LT",Config!$G$6,Config!$G$18)))</f>
        <v/>
      </c>
      <c r="X552">
        <f>IF(OR(L552=0,L552=""),"",ABS((L552-IF($C552="LT",Config!$F$7,Config!$F$19))/IF($C552="LT",Config!$G$7,Config!$G$19)))</f>
        <v/>
      </c>
      <c r="Y552">
        <f>IF(OR(M552=0,M552=""),"",ABS((M552-IF($C552="LT",Config!$F$8,Config!$F$20))/IF($C552="LT",Config!$G$8,Config!$G$20)))</f>
        <v/>
      </c>
      <c r="Z552">
        <f>IF(OR(N552=0,N552=""),"",ABS((N552-IF($C552="LT",Config!$F$9,Config!$F$21))/IF($C552="LT",Config!$G$9,Config!$G$21)))</f>
        <v/>
      </c>
      <c r="AA552">
        <f>IF(OR(O552=0,O552=""),"",ABS((O552-IF($C552="LT",Config!$F$10,Config!$F$22))/IF($C552="LT",Config!$G$10,Config!$G$22)))</f>
        <v/>
      </c>
      <c r="AB552">
        <f>IF(OR(P552=0,P552=""),"",ABS((P552-IF($C552="LT",Config!$F$11,Config!$F$23))/IF($C552="LT",Config!$G$11,Config!$G$23)))</f>
        <v/>
      </c>
      <c r="AC552">
        <f>IF(OR(Q552=0,Q552=""),"",ABS((Q552-IF($C552="LT",Config!$F$12,Config!$F$24))/IF($C552="LT",Config!$G$12,Config!$G$24)))</f>
        <v/>
      </c>
      <c r="AD552">
        <f>IF(OR(R552=0,R552=""),"",ABS((R552-IF($C552="LT",Config!$F$13,Config!$F$25))/IF($C552="LT",Config!$G$13,Config!$G$25)))</f>
        <v/>
      </c>
    </row>
    <row r="553">
      <c r="A553" t="inlineStr">
        <is>
          <t>04C3126121174</t>
        </is>
      </c>
      <c r="B553" t="inlineStr">
        <is>
          <t>CRS0000674</t>
        </is>
      </c>
      <c r="C553" t="inlineStr">
        <is>
          <t>MT</t>
        </is>
      </c>
      <c r="D553" t="inlineStr">
        <is>
          <t>TCX413U-DS1B01</t>
        </is>
      </c>
      <c r="E553" s="2" t="n">
        <v>46113</v>
      </c>
      <c r="F553" t="inlineStr">
        <is>
          <t>Fail</t>
        </is>
      </c>
      <c r="G553" t="n">
        <v>77.09999999999999</v>
      </c>
      <c r="H553" t="n">
        <v>70.7</v>
      </c>
      <c r="I553" t="n">
        <v>-1957.8</v>
      </c>
      <c r="J553" t="n">
        <v>71.3</v>
      </c>
      <c r="K553" t="n">
        <v>0</v>
      </c>
      <c r="L553" t="n">
        <v>1.2</v>
      </c>
      <c r="M553" t="n">
        <v>0</v>
      </c>
      <c r="N553" t="n">
        <v>72.5</v>
      </c>
      <c r="O553" t="n">
        <v>112.67</v>
      </c>
      <c r="P553" t="n">
        <v>116.92</v>
      </c>
      <c r="Q553" t="n">
        <v>2.27</v>
      </c>
      <c r="R553" t="n">
        <v>2.2</v>
      </c>
      <c r="S553">
        <f>IF(OR(G553=0,G553=""),"",ABS((G553-IF($C553="LT",Config!$F$2,Config!$F$14))/IF($C553="LT",Config!$G$2,Config!$G$14)))</f>
        <v/>
      </c>
      <c r="T553">
        <f>IF(OR(H553=0,H553=""),"",ABS((H553-IF($C553="LT",Config!$F$3,Config!$F$15))/IF($C553="LT",Config!$G$3,Config!$G$15)))</f>
        <v/>
      </c>
      <c r="U553">
        <f>IF(OR(I553=0,I553=""),"",ABS((I553-IF($C553="LT",Config!$F$4,Config!$F$16))/IF($C553="LT",Config!$G$4,Config!$G$16)))</f>
        <v/>
      </c>
      <c r="V553">
        <f>IF(OR(J553=0,J553=""),"",ABS((J553-IF($C553="LT",Config!$F$5,Config!$F$17))/IF($C553="LT",Config!$G$5,Config!$G$17)))</f>
        <v/>
      </c>
      <c r="W553">
        <f>IF(OR(K553=0,K553=""),"",ABS((K553-IF($C553="LT",Config!$F$6,Config!$F$18))/IF($C553="LT",Config!$G$6,Config!$G$18)))</f>
        <v/>
      </c>
      <c r="X553">
        <f>IF(OR(L553=0,L553=""),"",ABS((L553-IF($C553="LT",Config!$F$7,Config!$F$19))/IF($C553="LT",Config!$G$7,Config!$G$19)))</f>
        <v/>
      </c>
      <c r="Y553">
        <f>IF(OR(M553=0,M553=""),"",ABS((M553-IF($C553="LT",Config!$F$8,Config!$F$20))/IF($C553="LT",Config!$G$8,Config!$G$20)))</f>
        <v/>
      </c>
      <c r="Z553">
        <f>IF(OR(N553=0,N553=""),"",ABS((N553-IF($C553="LT",Config!$F$9,Config!$F$21))/IF($C553="LT",Config!$G$9,Config!$G$21)))</f>
        <v/>
      </c>
      <c r="AA553">
        <f>IF(OR(O553=0,O553=""),"",ABS((O553-IF($C553="LT",Config!$F$10,Config!$F$22))/IF($C553="LT",Config!$G$10,Config!$G$22)))</f>
        <v/>
      </c>
      <c r="AB553">
        <f>IF(OR(P553=0,P553=""),"",ABS((P553-IF($C553="LT",Config!$F$11,Config!$F$23))/IF($C553="LT",Config!$G$11,Config!$G$23)))</f>
        <v/>
      </c>
      <c r="AC553">
        <f>IF(OR(Q553=0,Q553=""),"",ABS((Q553-IF($C553="LT",Config!$F$12,Config!$F$24))/IF($C553="LT",Config!$G$12,Config!$G$24)))</f>
        <v/>
      </c>
      <c r="AD553">
        <f>IF(OR(R553=0,R553=""),"",ABS((R553-IF($C553="LT",Config!$F$13,Config!$F$25))/IF($C553="LT",Config!$G$13,Config!$G$25)))</f>
        <v/>
      </c>
    </row>
    <row r="554">
      <c r="A554" t="inlineStr">
        <is>
          <t>04C3126121174</t>
        </is>
      </c>
      <c r="B554" t="inlineStr">
        <is>
          <t>CRS0000674</t>
        </is>
      </c>
      <c r="C554" t="inlineStr">
        <is>
          <t>MT</t>
        </is>
      </c>
      <c r="D554" t="inlineStr">
        <is>
          <t>TCX413U-DS1B01</t>
        </is>
      </c>
      <c r="E554" s="2" t="n">
        <v>46113</v>
      </c>
      <c r="F554" t="inlineStr">
        <is>
          <t>Fail</t>
        </is>
      </c>
      <c r="G554" t="n">
        <v>74</v>
      </c>
      <c r="H554" t="n">
        <v>68.5</v>
      </c>
      <c r="I554" t="n">
        <v>-1957.8</v>
      </c>
      <c r="J554" t="n">
        <v>71.3</v>
      </c>
      <c r="K554" t="n">
        <v>0</v>
      </c>
      <c r="L554" t="n">
        <v>1.2</v>
      </c>
      <c r="M554" t="n">
        <v>0</v>
      </c>
      <c r="N554" t="n">
        <v>72.5</v>
      </c>
      <c r="O554" t="n">
        <v>112.82</v>
      </c>
      <c r="P554" t="n">
        <v>117.22</v>
      </c>
      <c r="Q554" t="n">
        <v>2.1</v>
      </c>
      <c r="R554" t="n">
        <v>2.17</v>
      </c>
      <c r="S554">
        <f>IF(OR(G554=0,G554=""),"",ABS((G554-IF($C554="LT",Config!$F$2,Config!$F$14))/IF($C554="LT",Config!$G$2,Config!$G$14)))</f>
        <v/>
      </c>
      <c r="T554">
        <f>IF(OR(H554=0,H554=""),"",ABS((H554-IF($C554="LT",Config!$F$3,Config!$F$15))/IF($C554="LT",Config!$G$3,Config!$G$15)))</f>
        <v/>
      </c>
      <c r="U554">
        <f>IF(OR(I554=0,I554=""),"",ABS((I554-IF($C554="LT",Config!$F$4,Config!$F$16))/IF($C554="LT",Config!$G$4,Config!$G$16)))</f>
        <v/>
      </c>
      <c r="V554">
        <f>IF(OR(J554=0,J554=""),"",ABS((J554-IF($C554="LT",Config!$F$5,Config!$F$17))/IF($C554="LT",Config!$G$5,Config!$G$17)))</f>
        <v/>
      </c>
      <c r="W554">
        <f>IF(OR(K554=0,K554=""),"",ABS((K554-IF($C554="LT",Config!$F$6,Config!$F$18))/IF($C554="LT",Config!$G$6,Config!$G$18)))</f>
        <v/>
      </c>
      <c r="X554">
        <f>IF(OR(L554=0,L554=""),"",ABS((L554-IF($C554="LT",Config!$F$7,Config!$F$19))/IF($C554="LT",Config!$G$7,Config!$G$19)))</f>
        <v/>
      </c>
      <c r="Y554">
        <f>IF(OR(M554=0,M554=""),"",ABS((M554-IF($C554="LT",Config!$F$8,Config!$F$20))/IF($C554="LT",Config!$G$8,Config!$G$20)))</f>
        <v/>
      </c>
      <c r="Z554">
        <f>IF(OR(N554=0,N554=""),"",ABS((N554-IF($C554="LT",Config!$F$9,Config!$F$21))/IF($C554="LT",Config!$G$9,Config!$G$21)))</f>
        <v/>
      </c>
      <c r="AA554">
        <f>IF(OR(O554=0,O554=""),"",ABS((O554-IF($C554="LT",Config!$F$10,Config!$F$22))/IF($C554="LT",Config!$G$10,Config!$G$22)))</f>
        <v/>
      </c>
      <c r="AB554">
        <f>IF(OR(P554=0,P554=""),"",ABS((P554-IF($C554="LT",Config!$F$11,Config!$F$23))/IF($C554="LT",Config!$G$11,Config!$G$23)))</f>
        <v/>
      </c>
      <c r="AC554">
        <f>IF(OR(Q554=0,Q554=""),"",ABS((Q554-IF($C554="LT",Config!$F$12,Config!$F$24))/IF($C554="LT",Config!$G$12,Config!$G$24)))</f>
        <v/>
      </c>
      <c r="AD554">
        <f>IF(OR(R554=0,R554=""),"",ABS((R554-IF($C554="LT",Config!$F$13,Config!$F$25))/IF($C554="LT",Config!$G$13,Config!$G$25)))</f>
        <v/>
      </c>
    </row>
    <row r="555">
      <c r="A555" t="inlineStr">
        <is>
          <t>04C3126121174</t>
        </is>
      </c>
      <c r="B555" t="inlineStr">
        <is>
          <t>CRS0000674</t>
        </is>
      </c>
      <c r="C555" t="inlineStr">
        <is>
          <t>MT</t>
        </is>
      </c>
      <c r="D555" t="inlineStr">
        <is>
          <t>TCX413U-DS1B01</t>
        </is>
      </c>
      <c r="E555" s="2" t="n">
        <v>46113</v>
      </c>
      <c r="F555" t="inlineStr">
        <is>
          <t>Fail</t>
        </is>
      </c>
      <c r="G555" t="n">
        <v>122.7</v>
      </c>
      <c r="H555" t="n">
        <v>68.90000000000001</v>
      </c>
      <c r="I555" t="n">
        <v>-1957.8</v>
      </c>
      <c r="J555" t="n">
        <v>71.3</v>
      </c>
      <c r="K555" t="n">
        <v>0</v>
      </c>
      <c r="L555" t="n">
        <v>1.5</v>
      </c>
      <c r="M555" t="n">
        <v>0</v>
      </c>
      <c r="N555" t="n">
        <v>72.8</v>
      </c>
      <c r="O555" t="n">
        <v>112.38</v>
      </c>
      <c r="P555" t="n">
        <v>116.63</v>
      </c>
      <c r="Q555" t="n">
        <v>3.05</v>
      </c>
      <c r="R555" t="n">
        <v>3.25</v>
      </c>
      <c r="S555">
        <f>IF(OR(G555=0,G555=""),"",ABS((G555-IF($C555="LT",Config!$F$2,Config!$F$14))/IF($C555="LT",Config!$G$2,Config!$G$14)))</f>
        <v/>
      </c>
      <c r="T555">
        <f>IF(OR(H555=0,H555=""),"",ABS((H555-IF($C555="LT",Config!$F$3,Config!$F$15))/IF($C555="LT",Config!$G$3,Config!$G$15)))</f>
        <v/>
      </c>
      <c r="U555">
        <f>IF(OR(I555=0,I555=""),"",ABS((I555-IF($C555="LT",Config!$F$4,Config!$F$16))/IF($C555="LT",Config!$G$4,Config!$G$16)))</f>
        <v/>
      </c>
      <c r="V555">
        <f>IF(OR(J555=0,J555=""),"",ABS((J555-IF($C555="LT",Config!$F$5,Config!$F$17))/IF($C555="LT",Config!$G$5,Config!$G$17)))</f>
        <v/>
      </c>
      <c r="W555">
        <f>IF(OR(K555=0,K555=""),"",ABS((K555-IF($C555="LT",Config!$F$6,Config!$F$18))/IF($C555="LT",Config!$G$6,Config!$G$18)))</f>
        <v/>
      </c>
      <c r="X555">
        <f>IF(OR(L555=0,L555=""),"",ABS((L555-IF($C555="LT",Config!$F$7,Config!$F$19))/IF($C555="LT",Config!$G$7,Config!$G$19)))</f>
        <v/>
      </c>
      <c r="Y555">
        <f>IF(OR(M555=0,M555=""),"",ABS((M555-IF($C555="LT",Config!$F$8,Config!$F$20))/IF($C555="LT",Config!$G$8,Config!$G$20)))</f>
        <v/>
      </c>
      <c r="Z555">
        <f>IF(OR(N555=0,N555=""),"",ABS((N555-IF($C555="LT",Config!$F$9,Config!$F$21))/IF($C555="LT",Config!$G$9,Config!$G$21)))</f>
        <v/>
      </c>
      <c r="AA555">
        <f>IF(OR(O555=0,O555=""),"",ABS((O555-IF($C555="LT",Config!$F$10,Config!$F$22))/IF($C555="LT",Config!$G$10,Config!$G$22)))</f>
        <v/>
      </c>
      <c r="AB555">
        <f>IF(OR(P555=0,P555=""),"",ABS((P555-IF($C555="LT",Config!$F$11,Config!$F$23))/IF($C555="LT",Config!$G$11,Config!$G$23)))</f>
        <v/>
      </c>
      <c r="AC555">
        <f>IF(OR(Q555=0,Q555=""),"",ABS((Q555-IF($C555="LT",Config!$F$12,Config!$F$24))/IF($C555="LT",Config!$G$12,Config!$G$24)))</f>
        <v/>
      </c>
      <c r="AD555">
        <f>IF(OR(R555=0,R555=""),"",ABS((R555-IF($C555="LT",Config!$F$13,Config!$F$25))/IF($C555="LT",Config!$G$13,Config!$G$25)))</f>
        <v/>
      </c>
    </row>
    <row r="556">
      <c r="A556" t="inlineStr">
        <is>
          <t>04C3126121174</t>
        </is>
      </c>
      <c r="B556" t="inlineStr">
        <is>
          <t>CRS0000674</t>
        </is>
      </c>
      <c r="C556" t="inlineStr">
        <is>
          <t>MT</t>
        </is>
      </c>
      <c r="D556" t="inlineStr">
        <is>
          <t>TCX413U-DS1B01</t>
        </is>
      </c>
      <c r="E556" s="2" t="n">
        <v>46113</v>
      </c>
      <c r="F556" t="inlineStr">
        <is>
          <t>Pass</t>
        </is>
      </c>
      <c r="G556" t="n">
        <v>123.6</v>
      </c>
      <c r="H556" t="n">
        <v>81.59999999999999</v>
      </c>
      <c r="I556" t="n">
        <v>-1957.8</v>
      </c>
      <c r="J556" t="n">
        <v>70.8</v>
      </c>
      <c r="K556" t="n">
        <v>0</v>
      </c>
      <c r="L556" t="n">
        <v>0.8</v>
      </c>
      <c r="M556" t="n">
        <v>0</v>
      </c>
      <c r="N556" t="n">
        <v>71.59999999999999</v>
      </c>
      <c r="O556" t="n">
        <v>115.46</v>
      </c>
      <c r="P556" t="n">
        <v>115.38</v>
      </c>
      <c r="Q556" t="n">
        <v>3.66</v>
      </c>
      <c r="R556" t="n">
        <v>3.74</v>
      </c>
      <c r="S556">
        <f>IF(OR(G556=0,G556=""),"",ABS((G556-IF($C556="LT",Config!$F$2,Config!$F$14))/IF($C556="LT",Config!$G$2,Config!$G$14)))</f>
        <v/>
      </c>
      <c r="T556">
        <f>IF(OR(H556=0,H556=""),"",ABS((H556-IF($C556="LT",Config!$F$3,Config!$F$15))/IF($C556="LT",Config!$G$3,Config!$G$15)))</f>
        <v/>
      </c>
      <c r="U556">
        <f>IF(OR(I556=0,I556=""),"",ABS((I556-IF($C556="LT",Config!$F$4,Config!$F$16))/IF($C556="LT",Config!$G$4,Config!$G$16)))</f>
        <v/>
      </c>
      <c r="V556">
        <f>IF(OR(J556=0,J556=""),"",ABS((J556-IF($C556="LT",Config!$F$5,Config!$F$17))/IF($C556="LT",Config!$G$5,Config!$G$17)))</f>
        <v/>
      </c>
      <c r="W556">
        <f>IF(OR(K556=0,K556=""),"",ABS((K556-IF($C556="LT",Config!$F$6,Config!$F$18))/IF($C556="LT",Config!$G$6,Config!$G$18)))</f>
        <v/>
      </c>
      <c r="X556">
        <f>IF(OR(L556=0,L556=""),"",ABS((L556-IF($C556="LT",Config!$F$7,Config!$F$19))/IF($C556="LT",Config!$G$7,Config!$G$19)))</f>
        <v/>
      </c>
      <c r="Y556">
        <f>IF(OR(M556=0,M556=""),"",ABS((M556-IF($C556="LT",Config!$F$8,Config!$F$20))/IF($C556="LT",Config!$G$8,Config!$G$20)))</f>
        <v/>
      </c>
      <c r="Z556">
        <f>IF(OR(N556=0,N556=""),"",ABS((N556-IF($C556="LT",Config!$F$9,Config!$F$21))/IF($C556="LT",Config!$G$9,Config!$G$21)))</f>
        <v/>
      </c>
      <c r="AA556">
        <f>IF(OR(O556=0,O556=""),"",ABS((O556-IF($C556="LT",Config!$F$10,Config!$F$22))/IF($C556="LT",Config!$G$10,Config!$G$22)))</f>
        <v/>
      </c>
      <c r="AB556">
        <f>IF(OR(P556=0,P556=""),"",ABS((P556-IF($C556="LT",Config!$F$11,Config!$F$23))/IF($C556="LT",Config!$G$11,Config!$G$23)))</f>
        <v/>
      </c>
      <c r="AC556">
        <f>IF(OR(Q556=0,Q556=""),"",ABS((Q556-IF($C556="LT",Config!$F$12,Config!$F$24))/IF($C556="LT",Config!$G$12,Config!$G$24)))</f>
        <v/>
      </c>
      <c r="AD556">
        <f>IF(OR(R556=0,R556=""),"",ABS((R556-IF($C556="LT",Config!$F$13,Config!$F$25))/IF($C556="LT",Config!$G$13,Config!$G$25)))</f>
        <v/>
      </c>
    </row>
    <row r="557">
      <c r="A557" t="inlineStr">
        <is>
          <t>04D0126121175</t>
        </is>
      </c>
      <c r="B557" t="inlineStr">
        <is>
          <t>CRS0000674</t>
        </is>
      </c>
      <c r="C557" t="inlineStr">
        <is>
          <t>MT</t>
        </is>
      </c>
      <c r="D557" t="inlineStr">
        <is>
          <t>TCX413U-DS1B01</t>
        </is>
      </c>
      <c r="E557" s="2" t="n">
        <v>46113</v>
      </c>
      <c r="F557" t="inlineStr">
        <is>
          <t>Pass</t>
        </is>
      </c>
      <c r="G557" t="n">
        <v>110.6</v>
      </c>
      <c r="H557" t="n">
        <v>81.59999999999999</v>
      </c>
      <c r="I557" t="n">
        <v>-1957.8</v>
      </c>
      <c r="J557" t="n">
        <v>71.3</v>
      </c>
      <c r="K557" t="n">
        <v>0</v>
      </c>
      <c r="L557" t="n">
        <v>0.6</v>
      </c>
      <c r="M557" t="n">
        <v>0</v>
      </c>
      <c r="N557" t="n">
        <v>71.90000000000001</v>
      </c>
      <c r="O557" t="n">
        <v>114.94</v>
      </c>
      <c r="P557" t="n">
        <v>114.58</v>
      </c>
      <c r="Q557" t="n">
        <v>3.86</v>
      </c>
      <c r="R557" t="n">
        <v>3.98</v>
      </c>
      <c r="S557">
        <f>IF(OR(G557=0,G557=""),"",ABS((G557-IF($C557="LT",Config!$F$2,Config!$F$14))/IF($C557="LT",Config!$G$2,Config!$G$14)))</f>
        <v/>
      </c>
      <c r="T557">
        <f>IF(OR(H557=0,H557=""),"",ABS((H557-IF($C557="LT",Config!$F$3,Config!$F$15))/IF($C557="LT",Config!$G$3,Config!$G$15)))</f>
        <v/>
      </c>
      <c r="U557">
        <f>IF(OR(I557=0,I557=""),"",ABS((I557-IF($C557="LT",Config!$F$4,Config!$F$16))/IF($C557="LT",Config!$G$4,Config!$G$16)))</f>
        <v/>
      </c>
      <c r="V557">
        <f>IF(OR(J557=0,J557=""),"",ABS((J557-IF($C557="LT",Config!$F$5,Config!$F$17))/IF($C557="LT",Config!$G$5,Config!$G$17)))</f>
        <v/>
      </c>
      <c r="W557">
        <f>IF(OR(K557=0,K557=""),"",ABS((K557-IF($C557="LT",Config!$F$6,Config!$F$18))/IF($C557="LT",Config!$G$6,Config!$G$18)))</f>
        <v/>
      </c>
      <c r="X557">
        <f>IF(OR(L557=0,L557=""),"",ABS((L557-IF($C557="LT",Config!$F$7,Config!$F$19))/IF($C557="LT",Config!$G$7,Config!$G$19)))</f>
        <v/>
      </c>
      <c r="Y557">
        <f>IF(OR(M557=0,M557=""),"",ABS((M557-IF($C557="LT",Config!$F$8,Config!$F$20))/IF($C557="LT",Config!$G$8,Config!$G$20)))</f>
        <v/>
      </c>
      <c r="Z557">
        <f>IF(OR(N557=0,N557=""),"",ABS((N557-IF($C557="LT",Config!$F$9,Config!$F$21))/IF($C557="LT",Config!$G$9,Config!$G$21)))</f>
        <v/>
      </c>
      <c r="AA557">
        <f>IF(OR(O557=0,O557=""),"",ABS((O557-IF($C557="LT",Config!$F$10,Config!$F$22))/IF($C557="LT",Config!$G$10,Config!$G$22)))</f>
        <v/>
      </c>
      <c r="AB557">
        <f>IF(OR(P557=0,P557=""),"",ABS((P557-IF($C557="LT",Config!$F$11,Config!$F$23))/IF($C557="LT",Config!$G$11,Config!$G$23)))</f>
        <v/>
      </c>
      <c r="AC557">
        <f>IF(OR(Q557=0,Q557=""),"",ABS((Q557-IF($C557="LT",Config!$F$12,Config!$F$24))/IF($C557="LT",Config!$G$12,Config!$G$24)))</f>
        <v/>
      </c>
      <c r="AD557">
        <f>IF(OR(R557=0,R557=""),"",ABS((R557-IF($C557="LT",Config!$F$13,Config!$F$25))/IF($C557="LT",Config!$G$13,Config!$G$25)))</f>
        <v/>
      </c>
    </row>
    <row r="558">
      <c r="A558" t="inlineStr">
        <is>
          <t>04D0126121176</t>
        </is>
      </c>
      <c r="B558" t="inlineStr">
        <is>
          <t>CRS0000674</t>
        </is>
      </c>
      <c r="C558" t="inlineStr">
        <is>
          <t>MT</t>
        </is>
      </c>
      <c r="D558" t="inlineStr">
        <is>
          <t>TCX413U-DS1B01</t>
        </is>
      </c>
      <c r="E558" s="2" t="n">
        <v>46113</v>
      </c>
      <c r="F558" t="inlineStr">
        <is>
          <t>Pass</t>
        </is>
      </c>
      <c r="G558" t="n">
        <v>111.1</v>
      </c>
      <c r="H558" t="n">
        <v>83.8</v>
      </c>
      <c r="I558" t="n">
        <v>-1957.8</v>
      </c>
      <c r="J558" t="n">
        <v>71.3</v>
      </c>
      <c r="K558" t="n">
        <v>0</v>
      </c>
      <c r="L558" t="n">
        <v>0.8</v>
      </c>
      <c r="M558" t="n">
        <v>0</v>
      </c>
      <c r="N558" t="n">
        <v>72.09999999999999</v>
      </c>
      <c r="O558" t="n">
        <v>115.24</v>
      </c>
      <c r="P558" t="n">
        <v>115.02</v>
      </c>
      <c r="Q558" t="n">
        <v>3.98</v>
      </c>
      <c r="R558" t="n">
        <v>4.05</v>
      </c>
      <c r="S558">
        <f>IF(OR(G558=0,G558=""),"",ABS((G558-IF($C558="LT",Config!$F$2,Config!$F$14))/IF($C558="LT",Config!$G$2,Config!$G$14)))</f>
        <v/>
      </c>
      <c r="T558">
        <f>IF(OR(H558=0,H558=""),"",ABS((H558-IF($C558="LT",Config!$F$3,Config!$F$15))/IF($C558="LT",Config!$G$3,Config!$G$15)))</f>
        <v/>
      </c>
      <c r="U558">
        <f>IF(OR(I558=0,I558=""),"",ABS((I558-IF($C558="LT",Config!$F$4,Config!$F$16))/IF($C558="LT",Config!$G$4,Config!$G$16)))</f>
        <v/>
      </c>
      <c r="V558">
        <f>IF(OR(J558=0,J558=""),"",ABS((J558-IF($C558="LT",Config!$F$5,Config!$F$17))/IF($C558="LT",Config!$G$5,Config!$G$17)))</f>
        <v/>
      </c>
      <c r="W558">
        <f>IF(OR(K558=0,K558=""),"",ABS((K558-IF($C558="LT",Config!$F$6,Config!$F$18))/IF($C558="LT",Config!$G$6,Config!$G$18)))</f>
        <v/>
      </c>
      <c r="X558">
        <f>IF(OR(L558=0,L558=""),"",ABS((L558-IF($C558="LT",Config!$F$7,Config!$F$19))/IF($C558="LT",Config!$G$7,Config!$G$19)))</f>
        <v/>
      </c>
      <c r="Y558">
        <f>IF(OR(M558=0,M558=""),"",ABS((M558-IF($C558="LT",Config!$F$8,Config!$F$20))/IF($C558="LT",Config!$G$8,Config!$G$20)))</f>
        <v/>
      </c>
      <c r="Z558">
        <f>IF(OR(N558=0,N558=""),"",ABS((N558-IF($C558="LT",Config!$F$9,Config!$F$21))/IF($C558="LT",Config!$G$9,Config!$G$21)))</f>
        <v/>
      </c>
      <c r="AA558">
        <f>IF(OR(O558=0,O558=""),"",ABS((O558-IF($C558="LT",Config!$F$10,Config!$F$22))/IF($C558="LT",Config!$G$10,Config!$G$22)))</f>
        <v/>
      </c>
      <c r="AB558">
        <f>IF(OR(P558=0,P558=""),"",ABS((P558-IF($C558="LT",Config!$F$11,Config!$F$23))/IF($C558="LT",Config!$G$11,Config!$G$23)))</f>
        <v/>
      </c>
      <c r="AC558">
        <f>IF(OR(Q558=0,Q558=""),"",ABS((Q558-IF($C558="LT",Config!$F$12,Config!$F$24))/IF($C558="LT",Config!$G$12,Config!$G$24)))</f>
        <v/>
      </c>
      <c r="AD558">
        <f>IF(OR(R558=0,R558=""),"",ABS((R558-IF($C558="LT",Config!$F$13,Config!$F$25))/IF($C558="LT",Config!$G$13,Config!$G$25)))</f>
        <v/>
      </c>
    </row>
    <row r="559">
      <c r="A559" t="inlineStr">
        <is>
          <t>04D0126121177</t>
        </is>
      </c>
      <c r="B559" t="inlineStr">
        <is>
          <t>CRS0000674</t>
        </is>
      </c>
      <c r="C559" t="inlineStr">
        <is>
          <t>MT</t>
        </is>
      </c>
      <c r="D559" t="inlineStr">
        <is>
          <t>TCX413U-DS1B01</t>
        </is>
      </c>
      <c r="E559" s="2" t="n">
        <v>46113</v>
      </c>
      <c r="F559" t="inlineStr">
        <is>
          <t>Pass</t>
        </is>
      </c>
      <c r="G559" t="n">
        <v>113.3</v>
      </c>
      <c r="H559" t="n">
        <v>82.90000000000001</v>
      </c>
      <c r="I559" t="n">
        <v>-1957.8</v>
      </c>
      <c r="J559" t="n">
        <v>71.3</v>
      </c>
      <c r="K559" t="n">
        <v>0</v>
      </c>
      <c r="L559" t="n">
        <v>0.9</v>
      </c>
      <c r="M559" t="n">
        <v>0</v>
      </c>
      <c r="N559" t="n">
        <v>72.2</v>
      </c>
      <c r="O559" t="n">
        <v>111.72</v>
      </c>
      <c r="P559" t="n">
        <v>113.11</v>
      </c>
      <c r="Q559" t="n">
        <v>3.98</v>
      </c>
      <c r="R559" t="n">
        <v>4.1</v>
      </c>
      <c r="S559">
        <f>IF(OR(G559=0,G559=""),"",ABS((G559-IF($C559="LT",Config!$F$2,Config!$F$14))/IF($C559="LT",Config!$G$2,Config!$G$14)))</f>
        <v/>
      </c>
      <c r="T559">
        <f>IF(OR(H559=0,H559=""),"",ABS((H559-IF($C559="LT",Config!$F$3,Config!$F$15))/IF($C559="LT",Config!$G$3,Config!$G$15)))</f>
        <v/>
      </c>
      <c r="U559">
        <f>IF(OR(I559=0,I559=""),"",ABS((I559-IF($C559="LT",Config!$F$4,Config!$F$16))/IF($C559="LT",Config!$G$4,Config!$G$16)))</f>
        <v/>
      </c>
      <c r="V559">
        <f>IF(OR(J559=0,J559=""),"",ABS((J559-IF($C559="LT",Config!$F$5,Config!$F$17))/IF($C559="LT",Config!$G$5,Config!$G$17)))</f>
        <v/>
      </c>
      <c r="W559">
        <f>IF(OR(K559=0,K559=""),"",ABS((K559-IF($C559="LT",Config!$F$6,Config!$F$18))/IF($C559="LT",Config!$G$6,Config!$G$18)))</f>
        <v/>
      </c>
      <c r="X559">
        <f>IF(OR(L559=0,L559=""),"",ABS((L559-IF($C559="LT",Config!$F$7,Config!$F$19))/IF($C559="LT",Config!$G$7,Config!$G$19)))</f>
        <v/>
      </c>
      <c r="Y559">
        <f>IF(OR(M559=0,M559=""),"",ABS((M559-IF($C559="LT",Config!$F$8,Config!$F$20))/IF($C559="LT",Config!$G$8,Config!$G$20)))</f>
        <v/>
      </c>
      <c r="Z559">
        <f>IF(OR(N559=0,N559=""),"",ABS((N559-IF($C559="LT",Config!$F$9,Config!$F$21))/IF($C559="LT",Config!$G$9,Config!$G$21)))</f>
        <v/>
      </c>
      <c r="AA559">
        <f>IF(OR(O559=0,O559=""),"",ABS((O559-IF($C559="LT",Config!$F$10,Config!$F$22))/IF($C559="LT",Config!$G$10,Config!$G$22)))</f>
        <v/>
      </c>
      <c r="AB559">
        <f>IF(OR(P559=0,P559=""),"",ABS((P559-IF($C559="LT",Config!$F$11,Config!$F$23))/IF($C559="LT",Config!$G$11,Config!$G$23)))</f>
        <v/>
      </c>
      <c r="AC559">
        <f>IF(OR(Q559=0,Q559=""),"",ABS((Q559-IF($C559="LT",Config!$F$12,Config!$F$24))/IF($C559="LT",Config!$G$12,Config!$G$24)))</f>
        <v/>
      </c>
      <c r="AD559">
        <f>IF(OR(R559=0,R559=""),"",ABS((R559-IF($C559="LT",Config!$F$13,Config!$F$25))/IF($C559="LT",Config!$G$13,Config!$G$25)))</f>
        <v/>
      </c>
    </row>
    <row r="560">
      <c r="A560" t="inlineStr">
        <is>
          <t>04D0626121251</t>
        </is>
      </c>
      <c r="B560" t="inlineStr">
        <is>
          <t>CRS0000674</t>
        </is>
      </c>
      <c r="C560" t="inlineStr">
        <is>
          <t>MT</t>
        </is>
      </c>
      <c r="D560" t="inlineStr">
        <is>
          <t>TCX413U-DS1B01</t>
        </is>
      </c>
      <c r="E560" s="2" t="n">
        <v>46118</v>
      </c>
      <c r="F560" t="inlineStr">
        <is>
          <t>Pass</t>
        </is>
      </c>
      <c r="G560" t="n">
        <v>112</v>
      </c>
      <c r="H560" t="n">
        <v>80.2</v>
      </c>
      <c r="I560" t="n">
        <v>-1957.8</v>
      </c>
      <c r="J560" t="n">
        <v>68.59999999999999</v>
      </c>
      <c r="K560" t="n">
        <v>0</v>
      </c>
      <c r="L560" t="n">
        <v>1.1</v>
      </c>
      <c r="M560" t="n">
        <v>0</v>
      </c>
      <c r="N560" t="n">
        <v>69.7</v>
      </c>
      <c r="O560" t="n">
        <v>112.3</v>
      </c>
      <c r="P560" t="n">
        <v>116.48</v>
      </c>
      <c r="Q560" t="n">
        <v>3.64</v>
      </c>
      <c r="R560" t="n">
        <v>3.66</v>
      </c>
      <c r="S560">
        <f>IF(OR(G560=0,G560=""),"",ABS((G560-IF($C560="LT",Config!$F$2,Config!$F$14))/IF($C560="LT",Config!$G$2,Config!$G$14)))</f>
        <v/>
      </c>
      <c r="T560">
        <f>IF(OR(H560=0,H560=""),"",ABS((H560-IF($C560="LT",Config!$F$3,Config!$F$15))/IF($C560="LT",Config!$G$3,Config!$G$15)))</f>
        <v/>
      </c>
      <c r="U560">
        <f>IF(OR(I560=0,I560=""),"",ABS((I560-IF($C560="LT",Config!$F$4,Config!$F$16))/IF($C560="LT",Config!$G$4,Config!$G$16)))</f>
        <v/>
      </c>
      <c r="V560">
        <f>IF(OR(J560=0,J560=""),"",ABS((J560-IF($C560="LT",Config!$F$5,Config!$F$17))/IF($C560="LT",Config!$G$5,Config!$G$17)))</f>
        <v/>
      </c>
      <c r="W560">
        <f>IF(OR(K560=0,K560=""),"",ABS((K560-IF($C560="LT",Config!$F$6,Config!$F$18))/IF($C560="LT",Config!$G$6,Config!$G$18)))</f>
        <v/>
      </c>
      <c r="X560">
        <f>IF(OR(L560=0,L560=""),"",ABS((L560-IF($C560="LT",Config!$F$7,Config!$F$19))/IF($C560="LT",Config!$G$7,Config!$G$19)))</f>
        <v/>
      </c>
      <c r="Y560">
        <f>IF(OR(M560=0,M560=""),"",ABS((M560-IF($C560="LT",Config!$F$8,Config!$F$20))/IF($C560="LT",Config!$G$8,Config!$G$20)))</f>
        <v/>
      </c>
      <c r="Z560">
        <f>IF(OR(N560=0,N560=""),"",ABS((N560-IF($C560="LT",Config!$F$9,Config!$F$21))/IF($C560="LT",Config!$G$9,Config!$G$21)))</f>
        <v/>
      </c>
      <c r="AA560">
        <f>IF(OR(O560=0,O560=""),"",ABS((O560-IF($C560="LT",Config!$F$10,Config!$F$22))/IF($C560="LT",Config!$G$10,Config!$G$22)))</f>
        <v/>
      </c>
      <c r="AB560">
        <f>IF(OR(P560=0,P560=""),"",ABS((P560-IF($C560="LT",Config!$F$11,Config!$F$23))/IF($C560="LT",Config!$G$11,Config!$G$23)))</f>
        <v/>
      </c>
      <c r="AC560">
        <f>IF(OR(Q560=0,Q560=""),"",ABS((Q560-IF($C560="LT",Config!$F$12,Config!$F$24))/IF($C560="LT",Config!$G$12,Config!$G$24)))</f>
        <v/>
      </c>
      <c r="AD560">
        <f>IF(OR(R560=0,R560=""),"",ABS((R560-IF($C560="LT",Config!$F$13,Config!$F$25))/IF($C560="LT",Config!$G$13,Config!$G$25)))</f>
        <v/>
      </c>
    </row>
    <row r="561">
      <c r="A561" t="inlineStr">
        <is>
          <t>04D0626121253</t>
        </is>
      </c>
      <c r="B561" t="inlineStr">
        <is>
          <t>CRS0000674</t>
        </is>
      </c>
      <c r="C561" t="inlineStr">
        <is>
          <t>MT</t>
        </is>
      </c>
      <c r="D561" t="inlineStr">
        <is>
          <t>TCX413U-DS1B01</t>
        </is>
      </c>
      <c r="E561" s="2" t="n">
        <v>46118</v>
      </c>
      <c r="F561" t="inlineStr">
        <is>
          <t>Pass</t>
        </is>
      </c>
      <c r="G561" t="n">
        <v>111.5</v>
      </c>
      <c r="H561" t="n">
        <v>79.8</v>
      </c>
      <c r="I561" t="n">
        <v>-1957.8</v>
      </c>
      <c r="J561" t="n">
        <v>68.59999999999999</v>
      </c>
      <c r="K561" t="n">
        <v>0</v>
      </c>
      <c r="L561" t="n">
        <v>0.2</v>
      </c>
      <c r="M561" t="n">
        <v>0</v>
      </c>
      <c r="N561" t="n">
        <v>68.8</v>
      </c>
      <c r="O561" t="n">
        <v>115.68</v>
      </c>
      <c r="P561" t="n">
        <v>117.14</v>
      </c>
      <c r="Q561" t="n">
        <v>3.66</v>
      </c>
      <c r="R561" t="n">
        <v>3.71</v>
      </c>
      <c r="S561">
        <f>IF(OR(G561=0,G561=""),"",ABS((G561-IF($C561="LT",Config!$F$2,Config!$F$14))/IF($C561="LT",Config!$G$2,Config!$G$14)))</f>
        <v/>
      </c>
      <c r="T561">
        <f>IF(OR(H561=0,H561=""),"",ABS((H561-IF($C561="LT",Config!$F$3,Config!$F$15))/IF($C561="LT",Config!$G$3,Config!$G$15)))</f>
        <v/>
      </c>
      <c r="U561">
        <f>IF(OR(I561=0,I561=""),"",ABS((I561-IF($C561="LT",Config!$F$4,Config!$F$16))/IF($C561="LT",Config!$G$4,Config!$G$16)))</f>
        <v/>
      </c>
      <c r="V561">
        <f>IF(OR(J561=0,J561=""),"",ABS((J561-IF($C561="LT",Config!$F$5,Config!$F$17))/IF($C561="LT",Config!$G$5,Config!$G$17)))</f>
        <v/>
      </c>
      <c r="W561">
        <f>IF(OR(K561=0,K561=""),"",ABS((K561-IF($C561="LT",Config!$F$6,Config!$F$18))/IF($C561="LT",Config!$G$6,Config!$G$18)))</f>
        <v/>
      </c>
      <c r="X561">
        <f>IF(OR(L561=0,L561=""),"",ABS((L561-IF($C561="LT",Config!$F$7,Config!$F$19))/IF($C561="LT",Config!$G$7,Config!$G$19)))</f>
        <v/>
      </c>
      <c r="Y561">
        <f>IF(OR(M561=0,M561=""),"",ABS((M561-IF($C561="LT",Config!$F$8,Config!$F$20))/IF($C561="LT",Config!$G$8,Config!$G$20)))</f>
        <v/>
      </c>
      <c r="Z561">
        <f>IF(OR(N561=0,N561=""),"",ABS((N561-IF($C561="LT",Config!$F$9,Config!$F$21))/IF($C561="LT",Config!$G$9,Config!$G$21)))</f>
        <v/>
      </c>
      <c r="AA561">
        <f>IF(OR(O561=0,O561=""),"",ABS((O561-IF($C561="LT",Config!$F$10,Config!$F$22))/IF($C561="LT",Config!$G$10,Config!$G$22)))</f>
        <v/>
      </c>
      <c r="AB561">
        <f>IF(OR(P561=0,P561=""),"",ABS((P561-IF($C561="LT",Config!$F$11,Config!$F$23))/IF($C561="LT",Config!$G$11,Config!$G$23)))</f>
        <v/>
      </c>
      <c r="AC561">
        <f>IF(OR(Q561=0,Q561=""),"",ABS((Q561-IF($C561="LT",Config!$F$12,Config!$F$24))/IF($C561="LT",Config!$G$12,Config!$G$24)))</f>
        <v/>
      </c>
      <c r="AD561">
        <f>IF(OR(R561=0,R561=""),"",ABS((R561-IF($C561="LT",Config!$F$13,Config!$F$25))/IF($C561="LT",Config!$G$13,Config!$G$25)))</f>
        <v/>
      </c>
    </row>
    <row r="562">
      <c r="A562" t="inlineStr">
        <is>
          <t>04D0626121254</t>
        </is>
      </c>
      <c r="B562" t="inlineStr">
        <is>
          <t>CRS0000674</t>
        </is>
      </c>
      <c r="C562" t="inlineStr">
        <is>
          <t>MT</t>
        </is>
      </c>
      <c r="D562" t="inlineStr">
        <is>
          <t>TCX413U-DS1B01</t>
        </is>
      </c>
      <c r="E562" s="2" t="n">
        <v>46118</v>
      </c>
      <c r="F562" t="inlineStr">
        <is>
          <t>Pass</t>
        </is>
      </c>
      <c r="G562" t="n">
        <v>111.1</v>
      </c>
      <c r="H562" t="n">
        <v>78.90000000000001</v>
      </c>
      <c r="I562" t="n">
        <v>-1957.8</v>
      </c>
      <c r="J562" t="n">
        <v>68.2</v>
      </c>
      <c r="K562" t="n">
        <v>0</v>
      </c>
      <c r="L562" t="n">
        <v>0.9</v>
      </c>
      <c r="M562" t="n">
        <v>0</v>
      </c>
      <c r="N562" t="n">
        <v>69.09999999999999</v>
      </c>
      <c r="O562" t="n">
        <v>115.24</v>
      </c>
      <c r="P562" t="n">
        <v>115.24</v>
      </c>
      <c r="Q562" t="n">
        <v>3.91</v>
      </c>
      <c r="R562" t="n">
        <v>4.03</v>
      </c>
      <c r="S562">
        <f>IF(OR(G562=0,G562=""),"",ABS((G562-IF($C562="LT",Config!$F$2,Config!$F$14))/IF($C562="LT",Config!$G$2,Config!$G$14)))</f>
        <v/>
      </c>
      <c r="T562">
        <f>IF(OR(H562=0,H562=""),"",ABS((H562-IF($C562="LT",Config!$F$3,Config!$F$15))/IF($C562="LT",Config!$G$3,Config!$G$15)))</f>
        <v/>
      </c>
      <c r="U562">
        <f>IF(OR(I562=0,I562=""),"",ABS((I562-IF($C562="LT",Config!$F$4,Config!$F$16))/IF($C562="LT",Config!$G$4,Config!$G$16)))</f>
        <v/>
      </c>
      <c r="V562">
        <f>IF(OR(J562=0,J562=""),"",ABS((J562-IF($C562="LT",Config!$F$5,Config!$F$17))/IF($C562="LT",Config!$G$5,Config!$G$17)))</f>
        <v/>
      </c>
      <c r="W562">
        <f>IF(OR(K562=0,K562=""),"",ABS((K562-IF($C562="LT",Config!$F$6,Config!$F$18))/IF($C562="LT",Config!$G$6,Config!$G$18)))</f>
        <v/>
      </c>
      <c r="X562">
        <f>IF(OR(L562=0,L562=""),"",ABS((L562-IF($C562="LT",Config!$F$7,Config!$F$19))/IF($C562="LT",Config!$G$7,Config!$G$19)))</f>
        <v/>
      </c>
      <c r="Y562">
        <f>IF(OR(M562=0,M562=""),"",ABS((M562-IF($C562="LT",Config!$F$8,Config!$F$20))/IF($C562="LT",Config!$G$8,Config!$G$20)))</f>
        <v/>
      </c>
      <c r="Z562">
        <f>IF(OR(N562=0,N562=""),"",ABS((N562-IF($C562="LT",Config!$F$9,Config!$F$21))/IF($C562="LT",Config!$G$9,Config!$G$21)))</f>
        <v/>
      </c>
      <c r="AA562">
        <f>IF(OR(O562=0,O562=""),"",ABS((O562-IF($C562="LT",Config!$F$10,Config!$F$22))/IF($C562="LT",Config!$G$10,Config!$G$22)))</f>
        <v/>
      </c>
      <c r="AB562">
        <f>IF(OR(P562=0,P562=""),"",ABS((P562-IF($C562="LT",Config!$F$11,Config!$F$23))/IF($C562="LT",Config!$G$11,Config!$G$23)))</f>
        <v/>
      </c>
      <c r="AC562">
        <f>IF(OR(Q562=0,Q562=""),"",ABS((Q562-IF($C562="LT",Config!$F$12,Config!$F$24))/IF($C562="LT",Config!$G$12,Config!$G$24)))</f>
        <v/>
      </c>
      <c r="AD562">
        <f>IF(OR(R562=0,R562=""),"",ABS((R562-IF($C562="LT",Config!$F$13,Config!$F$25))/IF($C562="LT",Config!$G$13,Config!$G$25)))</f>
        <v/>
      </c>
    </row>
    <row r="563">
      <c r="A563" t="inlineStr">
        <is>
          <t>04D0626121252</t>
        </is>
      </c>
      <c r="B563" t="inlineStr">
        <is>
          <t>CRS0000674</t>
        </is>
      </c>
      <c r="C563" t="inlineStr">
        <is>
          <t>MT</t>
        </is>
      </c>
      <c r="D563" t="inlineStr">
        <is>
          <t>TCX413U-DS1B01</t>
        </is>
      </c>
      <c r="E563" s="2" t="n">
        <v>46119</v>
      </c>
      <c r="F563" t="inlineStr">
        <is>
          <t>Fail</t>
        </is>
      </c>
      <c r="G563" t="n">
        <v>78</v>
      </c>
      <c r="H563" t="n">
        <v>54</v>
      </c>
      <c r="I563" t="n">
        <v>-1957.8</v>
      </c>
      <c r="J563" t="n">
        <v>66.40000000000001</v>
      </c>
      <c r="K563" t="n">
        <v>0</v>
      </c>
      <c r="L563" t="n">
        <v>0.8</v>
      </c>
      <c r="M563" t="n">
        <v>0</v>
      </c>
      <c r="N563" t="n">
        <v>67.2</v>
      </c>
      <c r="O563" t="n">
        <v>116.63</v>
      </c>
      <c r="P563" t="n">
        <v>113.4</v>
      </c>
      <c r="Q563" t="n">
        <v>2.34</v>
      </c>
      <c r="R563" t="n">
        <v>2.05</v>
      </c>
      <c r="S563">
        <f>IF(OR(G563=0,G563=""),"",ABS((G563-IF($C563="LT",Config!$F$2,Config!$F$14))/IF($C563="LT",Config!$G$2,Config!$G$14)))</f>
        <v/>
      </c>
      <c r="T563">
        <f>IF(OR(H563=0,H563=""),"",ABS((H563-IF($C563="LT",Config!$F$3,Config!$F$15))/IF($C563="LT",Config!$G$3,Config!$G$15)))</f>
        <v/>
      </c>
      <c r="U563">
        <f>IF(OR(I563=0,I563=""),"",ABS((I563-IF($C563="LT",Config!$F$4,Config!$F$16))/IF($C563="LT",Config!$G$4,Config!$G$16)))</f>
        <v/>
      </c>
      <c r="V563">
        <f>IF(OR(J563=0,J563=""),"",ABS((J563-IF($C563="LT",Config!$F$5,Config!$F$17))/IF($C563="LT",Config!$G$5,Config!$G$17)))</f>
        <v/>
      </c>
      <c r="W563">
        <f>IF(OR(K563=0,K563=""),"",ABS((K563-IF($C563="LT",Config!$F$6,Config!$F$18))/IF($C563="LT",Config!$G$6,Config!$G$18)))</f>
        <v/>
      </c>
      <c r="X563">
        <f>IF(OR(L563=0,L563=""),"",ABS((L563-IF($C563="LT",Config!$F$7,Config!$F$19))/IF($C563="LT",Config!$G$7,Config!$G$19)))</f>
        <v/>
      </c>
      <c r="Y563">
        <f>IF(OR(M563=0,M563=""),"",ABS((M563-IF($C563="LT",Config!$F$8,Config!$F$20))/IF($C563="LT",Config!$G$8,Config!$G$20)))</f>
        <v/>
      </c>
      <c r="Z563">
        <f>IF(OR(N563=0,N563=""),"",ABS((N563-IF($C563="LT",Config!$F$9,Config!$F$21))/IF($C563="LT",Config!$G$9,Config!$G$21)))</f>
        <v/>
      </c>
      <c r="AA563">
        <f>IF(OR(O563=0,O563=""),"",ABS((O563-IF($C563="LT",Config!$F$10,Config!$F$22))/IF($C563="LT",Config!$G$10,Config!$G$22)))</f>
        <v/>
      </c>
      <c r="AB563">
        <f>IF(OR(P563=0,P563=""),"",ABS((P563-IF($C563="LT",Config!$F$11,Config!$F$23))/IF($C563="LT",Config!$G$11,Config!$G$23)))</f>
        <v/>
      </c>
      <c r="AC563">
        <f>IF(OR(Q563=0,Q563=""),"",ABS((Q563-IF($C563="LT",Config!$F$12,Config!$F$24))/IF($C563="LT",Config!$G$12,Config!$G$24)))</f>
        <v/>
      </c>
      <c r="AD563">
        <f>IF(OR(R563=0,R563=""),"",ABS((R563-IF($C563="LT",Config!$F$13,Config!$F$25))/IF($C563="LT",Config!$G$13,Config!$G$25)))</f>
        <v/>
      </c>
    </row>
    <row r="564">
      <c r="A564" t="inlineStr">
        <is>
          <t>04D0626121252</t>
        </is>
      </c>
      <c r="B564" t="inlineStr">
        <is>
          <t>CRS0000674</t>
        </is>
      </c>
      <c r="C564" t="inlineStr">
        <is>
          <t>MT</t>
        </is>
      </c>
      <c r="D564" t="inlineStr">
        <is>
          <t>TCX413U-DS1B01</t>
        </is>
      </c>
      <c r="E564" s="2" t="n">
        <v>46119</v>
      </c>
      <c r="F564" t="inlineStr">
        <is>
          <t>Fail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>
        <f>IF(OR(G564=0,G564=""),"",ABS((G564-IF($C564="LT",Config!$F$2,Config!$F$14))/IF($C564="LT",Config!$G$2,Config!$G$14)))</f>
        <v/>
      </c>
      <c r="T564">
        <f>IF(OR(H564=0,H564=""),"",ABS((H564-IF($C564="LT",Config!$F$3,Config!$F$15))/IF($C564="LT",Config!$G$3,Config!$G$15)))</f>
        <v/>
      </c>
      <c r="U564">
        <f>IF(OR(I564=0,I564=""),"",ABS((I564-IF($C564="LT",Config!$F$4,Config!$F$16))/IF($C564="LT",Config!$G$4,Config!$G$16)))</f>
        <v/>
      </c>
      <c r="V564">
        <f>IF(OR(J564=0,J564=""),"",ABS((J564-IF($C564="LT",Config!$F$5,Config!$F$17))/IF($C564="LT",Config!$G$5,Config!$G$17)))</f>
        <v/>
      </c>
      <c r="W564">
        <f>IF(OR(K564=0,K564=""),"",ABS((K564-IF($C564="LT",Config!$F$6,Config!$F$18))/IF($C564="LT",Config!$G$6,Config!$G$18)))</f>
        <v/>
      </c>
      <c r="X564">
        <f>IF(OR(L564=0,L564=""),"",ABS((L564-IF($C564="LT",Config!$F$7,Config!$F$19))/IF($C564="LT",Config!$G$7,Config!$G$19)))</f>
        <v/>
      </c>
      <c r="Y564">
        <f>IF(OR(M564=0,M564=""),"",ABS((M564-IF($C564="LT",Config!$F$8,Config!$F$20))/IF($C564="LT",Config!$G$8,Config!$G$20)))</f>
        <v/>
      </c>
      <c r="Z564">
        <f>IF(OR(N564=0,N564=""),"",ABS((N564-IF($C564="LT",Config!$F$9,Config!$F$21))/IF($C564="LT",Config!$G$9,Config!$G$21)))</f>
        <v/>
      </c>
      <c r="AA564">
        <f>IF(OR(O564=0,O564=""),"",ABS((O564-IF($C564="LT",Config!$F$10,Config!$F$22))/IF($C564="LT",Config!$G$10,Config!$G$22)))</f>
        <v/>
      </c>
      <c r="AB564">
        <f>IF(OR(P564=0,P564=""),"",ABS((P564-IF($C564="LT",Config!$F$11,Config!$F$23))/IF($C564="LT",Config!$G$11,Config!$G$23)))</f>
        <v/>
      </c>
      <c r="AC564">
        <f>IF(OR(Q564=0,Q564=""),"",ABS((Q564-IF($C564="LT",Config!$F$12,Config!$F$24))/IF($C564="LT",Config!$G$12,Config!$G$24)))</f>
        <v/>
      </c>
      <c r="AD564">
        <f>IF(OR(R564=0,R564=""),"",ABS((R564-IF($C564="LT",Config!$F$13,Config!$F$25))/IF($C564="LT",Config!$G$13,Config!$G$25)))</f>
        <v/>
      </c>
    </row>
    <row r="565">
      <c r="A565" t="inlineStr">
        <is>
          <t>04D0626121257</t>
        </is>
      </c>
      <c r="B565" t="inlineStr">
        <is>
          <t>CRS0000674</t>
        </is>
      </c>
      <c r="C565" t="inlineStr">
        <is>
          <t>MT</t>
        </is>
      </c>
      <c r="D565" t="inlineStr">
        <is>
          <t>TCX413U-DS1B01</t>
        </is>
      </c>
      <c r="E565" s="2" t="n">
        <v>46119</v>
      </c>
      <c r="F565" t="inlineStr">
        <is>
          <t>Pass</t>
        </is>
      </c>
      <c r="G565" t="n">
        <v>111.1</v>
      </c>
      <c r="H565" t="n">
        <v>77.90000000000001</v>
      </c>
      <c r="I565" t="n">
        <v>-1957.8</v>
      </c>
      <c r="J565" t="n">
        <v>67.3</v>
      </c>
      <c r="K565" t="n">
        <v>0</v>
      </c>
      <c r="L565" t="n">
        <v>0.8</v>
      </c>
      <c r="M565" t="n">
        <v>0</v>
      </c>
      <c r="N565" t="n">
        <v>68.09999999999999</v>
      </c>
      <c r="O565" t="n">
        <v>112.01</v>
      </c>
      <c r="P565" t="n">
        <v>116.85</v>
      </c>
      <c r="Q565" t="n">
        <v>3.83</v>
      </c>
      <c r="R565" t="n">
        <v>3.81</v>
      </c>
      <c r="S565">
        <f>IF(OR(G565=0,G565=""),"",ABS((G565-IF($C565="LT",Config!$F$2,Config!$F$14))/IF($C565="LT",Config!$G$2,Config!$G$14)))</f>
        <v/>
      </c>
      <c r="T565">
        <f>IF(OR(H565=0,H565=""),"",ABS((H565-IF($C565="LT",Config!$F$3,Config!$F$15))/IF($C565="LT",Config!$G$3,Config!$G$15)))</f>
        <v/>
      </c>
      <c r="U565">
        <f>IF(OR(I565=0,I565=""),"",ABS((I565-IF($C565="LT",Config!$F$4,Config!$F$16))/IF($C565="LT",Config!$G$4,Config!$G$16)))</f>
        <v/>
      </c>
      <c r="V565">
        <f>IF(OR(J565=0,J565=""),"",ABS((J565-IF($C565="LT",Config!$F$5,Config!$F$17))/IF($C565="LT",Config!$G$5,Config!$G$17)))</f>
        <v/>
      </c>
      <c r="W565">
        <f>IF(OR(K565=0,K565=""),"",ABS((K565-IF($C565="LT",Config!$F$6,Config!$F$18))/IF($C565="LT",Config!$G$6,Config!$G$18)))</f>
        <v/>
      </c>
      <c r="X565">
        <f>IF(OR(L565=0,L565=""),"",ABS((L565-IF($C565="LT",Config!$F$7,Config!$F$19))/IF($C565="LT",Config!$G$7,Config!$G$19)))</f>
        <v/>
      </c>
      <c r="Y565">
        <f>IF(OR(M565=0,M565=""),"",ABS((M565-IF($C565="LT",Config!$F$8,Config!$F$20))/IF($C565="LT",Config!$G$8,Config!$G$20)))</f>
        <v/>
      </c>
      <c r="Z565">
        <f>IF(OR(N565=0,N565=""),"",ABS((N565-IF($C565="LT",Config!$F$9,Config!$F$21))/IF($C565="LT",Config!$G$9,Config!$G$21)))</f>
        <v/>
      </c>
      <c r="AA565">
        <f>IF(OR(O565=0,O565=""),"",ABS((O565-IF($C565="LT",Config!$F$10,Config!$F$22))/IF($C565="LT",Config!$G$10,Config!$G$22)))</f>
        <v/>
      </c>
      <c r="AB565">
        <f>IF(OR(P565=0,P565=""),"",ABS((P565-IF($C565="LT",Config!$F$11,Config!$F$23))/IF($C565="LT",Config!$G$11,Config!$G$23)))</f>
        <v/>
      </c>
      <c r="AC565">
        <f>IF(OR(Q565=0,Q565=""),"",ABS((Q565-IF($C565="LT",Config!$F$12,Config!$F$24))/IF($C565="LT",Config!$G$12,Config!$G$24)))</f>
        <v/>
      </c>
      <c r="AD565">
        <f>IF(OR(R565=0,R565=""),"",ABS((R565-IF($C565="LT",Config!$F$13,Config!$F$25))/IF($C565="LT",Config!$G$13,Config!$G$25)))</f>
        <v/>
      </c>
    </row>
    <row r="566">
      <c r="A566" t="inlineStr">
        <is>
          <t>04D0626121258</t>
        </is>
      </c>
      <c r="B566" t="inlineStr">
        <is>
          <t>CRS0000674</t>
        </is>
      </c>
      <c r="C566" t="inlineStr">
        <is>
          <t>MT</t>
        </is>
      </c>
      <c r="D566" t="inlineStr">
        <is>
          <t>TCX413U-DS1B01</t>
        </is>
      </c>
      <c r="E566" s="2" t="n">
        <v>46119</v>
      </c>
      <c r="F566" t="inlineStr">
        <is>
          <t>Pass</t>
        </is>
      </c>
      <c r="G566" t="n">
        <v>112</v>
      </c>
      <c r="H566" t="n">
        <v>77.5</v>
      </c>
      <c r="I566" t="n">
        <v>-1957.8</v>
      </c>
      <c r="J566" t="n">
        <v>67.3</v>
      </c>
      <c r="K566" t="n">
        <v>0</v>
      </c>
      <c r="L566" t="n">
        <v>0.2</v>
      </c>
      <c r="M566" t="n">
        <v>0</v>
      </c>
      <c r="N566" t="n">
        <v>67.09999999999999</v>
      </c>
      <c r="O566" t="n">
        <v>115.38</v>
      </c>
      <c r="P566" t="n">
        <v>115.31</v>
      </c>
      <c r="Q566" t="n">
        <v>3.76</v>
      </c>
      <c r="R566" t="n">
        <v>3.86</v>
      </c>
      <c r="S566">
        <f>IF(OR(G566=0,G566=""),"",ABS((G566-IF($C566="LT",Config!$F$2,Config!$F$14))/IF($C566="LT",Config!$G$2,Config!$G$14)))</f>
        <v/>
      </c>
      <c r="T566">
        <f>IF(OR(H566=0,H566=""),"",ABS((H566-IF($C566="LT",Config!$F$3,Config!$F$15))/IF($C566="LT",Config!$G$3,Config!$G$15)))</f>
        <v/>
      </c>
      <c r="U566">
        <f>IF(OR(I566=0,I566=""),"",ABS((I566-IF($C566="LT",Config!$F$4,Config!$F$16))/IF($C566="LT",Config!$G$4,Config!$G$16)))</f>
        <v/>
      </c>
      <c r="V566">
        <f>IF(OR(J566=0,J566=""),"",ABS((J566-IF($C566="LT",Config!$F$5,Config!$F$17))/IF($C566="LT",Config!$G$5,Config!$G$17)))</f>
        <v/>
      </c>
      <c r="W566">
        <f>IF(OR(K566=0,K566=""),"",ABS((K566-IF($C566="LT",Config!$F$6,Config!$F$18))/IF($C566="LT",Config!$G$6,Config!$G$18)))</f>
        <v/>
      </c>
      <c r="X566">
        <f>IF(OR(L566=0,L566=""),"",ABS((L566-IF($C566="LT",Config!$F$7,Config!$F$19))/IF($C566="LT",Config!$G$7,Config!$G$19)))</f>
        <v/>
      </c>
      <c r="Y566">
        <f>IF(OR(M566=0,M566=""),"",ABS((M566-IF($C566="LT",Config!$F$8,Config!$F$20))/IF($C566="LT",Config!$G$8,Config!$G$20)))</f>
        <v/>
      </c>
      <c r="Z566">
        <f>IF(OR(N566=0,N566=""),"",ABS((N566-IF($C566="LT",Config!$F$9,Config!$F$21))/IF($C566="LT",Config!$G$9,Config!$G$21)))</f>
        <v/>
      </c>
      <c r="AA566">
        <f>IF(OR(O566=0,O566=""),"",ABS((O566-IF($C566="LT",Config!$F$10,Config!$F$22))/IF($C566="LT",Config!$G$10,Config!$G$22)))</f>
        <v/>
      </c>
      <c r="AB566">
        <f>IF(OR(P566=0,P566=""),"",ABS((P566-IF($C566="LT",Config!$F$11,Config!$F$23))/IF($C566="LT",Config!$G$11,Config!$G$23)))</f>
        <v/>
      </c>
      <c r="AC566">
        <f>IF(OR(Q566=0,Q566=""),"",ABS((Q566-IF($C566="LT",Config!$F$12,Config!$F$24))/IF($C566="LT",Config!$G$12,Config!$G$24)))</f>
        <v/>
      </c>
      <c r="AD566">
        <f>IF(OR(R566=0,R566=""),"",ABS((R566-IF($C566="LT",Config!$F$13,Config!$F$25))/IF($C566="LT",Config!$G$13,Config!$G$25)))</f>
        <v/>
      </c>
    </row>
    <row r="567">
      <c r="A567" t="inlineStr">
        <is>
          <t>04D0626121259</t>
        </is>
      </c>
      <c r="B567" t="inlineStr">
        <is>
          <t>CRS0000674</t>
        </is>
      </c>
      <c r="C567" t="inlineStr">
        <is>
          <t>MT</t>
        </is>
      </c>
      <c r="D567" t="inlineStr">
        <is>
          <t>TCX413U-DS1B01</t>
        </is>
      </c>
      <c r="E567" s="2" t="n">
        <v>46119</v>
      </c>
      <c r="F567" t="inlineStr">
        <is>
          <t>Fail</t>
        </is>
      </c>
      <c r="G567" t="n">
        <v>111.1</v>
      </c>
      <c r="H567" t="n">
        <v>73.40000000000001</v>
      </c>
      <c r="I567" t="n">
        <v>-1957.8</v>
      </c>
      <c r="J567" t="n">
        <v>67.3</v>
      </c>
      <c r="K567" t="n">
        <v>0</v>
      </c>
      <c r="L567" t="n">
        <v>0.4</v>
      </c>
      <c r="M567" t="n">
        <v>0</v>
      </c>
      <c r="N567" t="n">
        <v>67.7</v>
      </c>
      <c r="O567" t="n">
        <v>112.16</v>
      </c>
      <c r="P567" t="n">
        <v>116.7</v>
      </c>
      <c r="Q567" t="n">
        <v>3.42</v>
      </c>
      <c r="R567" t="n">
        <v>3.44</v>
      </c>
      <c r="S567">
        <f>IF(OR(G567=0,G567=""),"",ABS((G567-IF($C567="LT",Config!$F$2,Config!$F$14))/IF($C567="LT",Config!$G$2,Config!$G$14)))</f>
        <v/>
      </c>
      <c r="T567">
        <f>IF(OR(H567=0,H567=""),"",ABS((H567-IF($C567="LT",Config!$F$3,Config!$F$15))/IF($C567="LT",Config!$G$3,Config!$G$15)))</f>
        <v/>
      </c>
      <c r="U567">
        <f>IF(OR(I567=0,I567=""),"",ABS((I567-IF($C567="LT",Config!$F$4,Config!$F$16))/IF($C567="LT",Config!$G$4,Config!$G$16)))</f>
        <v/>
      </c>
      <c r="V567">
        <f>IF(OR(J567=0,J567=""),"",ABS((J567-IF($C567="LT",Config!$F$5,Config!$F$17))/IF($C567="LT",Config!$G$5,Config!$G$17)))</f>
        <v/>
      </c>
      <c r="W567">
        <f>IF(OR(K567=0,K567=""),"",ABS((K567-IF($C567="LT",Config!$F$6,Config!$F$18))/IF($C567="LT",Config!$G$6,Config!$G$18)))</f>
        <v/>
      </c>
      <c r="X567">
        <f>IF(OR(L567=0,L567=""),"",ABS((L567-IF($C567="LT",Config!$F$7,Config!$F$19))/IF($C567="LT",Config!$G$7,Config!$G$19)))</f>
        <v/>
      </c>
      <c r="Y567">
        <f>IF(OR(M567=0,M567=""),"",ABS((M567-IF($C567="LT",Config!$F$8,Config!$F$20))/IF($C567="LT",Config!$G$8,Config!$G$20)))</f>
        <v/>
      </c>
      <c r="Z567">
        <f>IF(OR(N567=0,N567=""),"",ABS((N567-IF($C567="LT",Config!$F$9,Config!$F$21))/IF($C567="LT",Config!$G$9,Config!$G$21)))</f>
        <v/>
      </c>
      <c r="AA567">
        <f>IF(OR(O567=0,O567=""),"",ABS((O567-IF($C567="LT",Config!$F$10,Config!$F$22))/IF($C567="LT",Config!$G$10,Config!$G$22)))</f>
        <v/>
      </c>
      <c r="AB567">
        <f>IF(OR(P567=0,P567=""),"",ABS((P567-IF($C567="LT",Config!$F$11,Config!$F$23))/IF($C567="LT",Config!$G$11,Config!$G$23)))</f>
        <v/>
      </c>
      <c r="AC567">
        <f>IF(OR(Q567=0,Q567=""),"",ABS((Q567-IF($C567="LT",Config!$F$12,Config!$F$24))/IF($C567="LT",Config!$G$12,Config!$G$24)))</f>
        <v/>
      </c>
      <c r="AD567">
        <f>IF(OR(R567=0,R567=""),"",ABS((R567-IF($C567="LT",Config!$F$13,Config!$F$25))/IF($C567="LT",Config!$G$13,Config!$G$25)))</f>
        <v/>
      </c>
    </row>
    <row r="568">
      <c r="A568" t="inlineStr">
        <is>
          <t>04D0626121259</t>
        </is>
      </c>
      <c r="B568" t="inlineStr">
        <is>
          <t>CRS0000674</t>
        </is>
      </c>
      <c r="C568" t="inlineStr">
        <is>
          <t>MT</t>
        </is>
      </c>
      <c r="D568" t="inlineStr">
        <is>
          <t>TCX413U-DS1B01</t>
        </is>
      </c>
      <c r="E568" s="2" t="n">
        <v>46119</v>
      </c>
      <c r="F568" t="inlineStr">
        <is>
          <t>Fail</t>
        </is>
      </c>
      <c r="G568" t="n">
        <v>113.3</v>
      </c>
      <c r="H568" t="n">
        <v>71.59999999999999</v>
      </c>
      <c r="I568" t="n">
        <v>-1957.8</v>
      </c>
      <c r="J568" t="n">
        <v>66.8</v>
      </c>
      <c r="K568" t="n">
        <v>0</v>
      </c>
      <c r="L568" t="n">
        <v>0.8</v>
      </c>
      <c r="M568" t="n">
        <v>0</v>
      </c>
      <c r="N568" t="n">
        <v>66</v>
      </c>
      <c r="O568" t="n">
        <v>115.31</v>
      </c>
      <c r="P568" t="n">
        <v>115.53</v>
      </c>
      <c r="Q568" t="n">
        <v>3.44</v>
      </c>
      <c r="R568" t="n">
        <v>3.47</v>
      </c>
      <c r="S568">
        <f>IF(OR(G568=0,G568=""),"",ABS((G568-IF($C568="LT",Config!$F$2,Config!$F$14))/IF($C568="LT",Config!$G$2,Config!$G$14)))</f>
        <v/>
      </c>
      <c r="T568">
        <f>IF(OR(H568=0,H568=""),"",ABS((H568-IF($C568="LT",Config!$F$3,Config!$F$15))/IF($C568="LT",Config!$G$3,Config!$G$15)))</f>
        <v/>
      </c>
      <c r="U568">
        <f>IF(OR(I568=0,I568=""),"",ABS((I568-IF($C568="LT",Config!$F$4,Config!$F$16))/IF($C568="LT",Config!$G$4,Config!$G$16)))</f>
        <v/>
      </c>
      <c r="V568">
        <f>IF(OR(J568=0,J568=""),"",ABS((J568-IF($C568="LT",Config!$F$5,Config!$F$17))/IF($C568="LT",Config!$G$5,Config!$G$17)))</f>
        <v/>
      </c>
      <c r="W568">
        <f>IF(OR(K568=0,K568=""),"",ABS((K568-IF($C568="LT",Config!$F$6,Config!$F$18))/IF($C568="LT",Config!$G$6,Config!$G$18)))</f>
        <v/>
      </c>
      <c r="X568">
        <f>IF(OR(L568=0,L568=""),"",ABS((L568-IF($C568="LT",Config!$F$7,Config!$F$19))/IF($C568="LT",Config!$G$7,Config!$G$19)))</f>
        <v/>
      </c>
      <c r="Y568">
        <f>IF(OR(M568=0,M568=""),"",ABS((M568-IF($C568="LT",Config!$F$8,Config!$F$20))/IF($C568="LT",Config!$G$8,Config!$G$20)))</f>
        <v/>
      </c>
      <c r="Z568">
        <f>IF(OR(N568=0,N568=""),"",ABS((N568-IF($C568="LT",Config!$F$9,Config!$F$21))/IF($C568="LT",Config!$G$9,Config!$G$21)))</f>
        <v/>
      </c>
      <c r="AA568">
        <f>IF(OR(O568=0,O568=""),"",ABS((O568-IF($C568="LT",Config!$F$10,Config!$F$22))/IF($C568="LT",Config!$G$10,Config!$G$22)))</f>
        <v/>
      </c>
      <c r="AB568">
        <f>IF(OR(P568=0,P568=""),"",ABS((P568-IF($C568="LT",Config!$F$11,Config!$F$23))/IF($C568="LT",Config!$G$11,Config!$G$23)))</f>
        <v/>
      </c>
      <c r="AC568">
        <f>IF(OR(Q568=0,Q568=""),"",ABS((Q568-IF($C568="LT",Config!$F$12,Config!$F$24))/IF($C568="LT",Config!$G$12,Config!$G$24)))</f>
        <v/>
      </c>
      <c r="AD568">
        <f>IF(OR(R568=0,R568=""),"",ABS((R568-IF($C568="LT",Config!$F$13,Config!$F$25))/IF($C568="LT",Config!$G$13,Config!$G$25)))</f>
        <v/>
      </c>
    </row>
    <row r="569">
      <c r="A569" t="inlineStr">
        <is>
          <t>04D0726121260</t>
        </is>
      </c>
      <c r="B569" t="inlineStr">
        <is>
          <t>CRS0000674</t>
        </is>
      </c>
      <c r="C569" t="inlineStr">
        <is>
          <t>MT</t>
        </is>
      </c>
      <c r="D569" t="inlineStr">
        <is>
          <t>TCX413U-DS1B01</t>
        </is>
      </c>
      <c r="E569" s="2" t="n">
        <v>46119</v>
      </c>
      <c r="F569" t="inlineStr">
        <is>
          <t>Pass</t>
        </is>
      </c>
      <c r="G569" t="n">
        <v>112</v>
      </c>
      <c r="H569" t="n">
        <v>75.7</v>
      </c>
      <c r="I569" t="n">
        <v>-1957.8</v>
      </c>
      <c r="J569" t="n">
        <v>66.8</v>
      </c>
      <c r="K569" t="n">
        <v>0</v>
      </c>
      <c r="L569" t="n">
        <v>1.1</v>
      </c>
      <c r="M569" t="n">
        <v>0</v>
      </c>
      <c r="N569" t="n">
        <v>67.90000000000001</v>
      </c>
      <c r="O569" t="n">
        <v>115.53</v>
      </c>
      <c r="P569" t="n">
        <v>117.07</v>
      </c>
      <c r="Q569" t="n">
        <v>3.71</v>
      </c>
      <c r="R569" t="n">
        <v>3.71</v>
      </c>
      <c r="S569">
        <f>IF(OR(G569=0,G569=""),"",ABS((G569-IF($C569="LT",Config!$F$2,Config!$F$14))/IF($C569="LT",Config!$G$2,Config!$G$14)))</f>
        <v/>
      </c>
      <c r="T569">
        <f>IF(OR(H569=0,H569=""),"",ABS((H569-IF($C569="LT",Config!$F$3,Config!$F$15))/IF($C569="LT",Config!$G$3,Config!$G$15)))</f>
        <v/>
      </c>
      <c r="U569">
        <f>IF(OR(I569=0,I569=""),"",ABS((I569-IF($C569="LT",Config!$F$4,Config!$F$16))/IF($C569="LT",Config!$G$4,Config!$G$16)))</f>
        <v/>
      </c>
      <c r="V569">
        <f>IF(OR(J569=0,J569=""),"",ABS((J569-IF($C569="LT",Config!$F$5,Config!$F$17))/IF($C569="LT",Config!$G$5,Config!$G$17)))</f>
        <v/>
      </c>
      <c r="W569">
        <f>IF(OR(K569=0,K569=""),"",ABS((K569-IF($C569="LT",Config!$F$6,Config!$F$18))/IF($C569="LT",Config!$G$6,Config!$G$18)))</f>
        <v/>
      </c>
      <c r="X569">
        <f>IF(OR(L569=0,L569=""),"",ABS((L569-IF($C569="LT",Config!$F$7,Config!$F$19))/IF($C569="LT",Config!$G$7,Config!$G$19)))</f>
        <v/>
      </c>
      <c r="Y569">
        <f>IF(OR(M569=0,M569=""),"",ABS((M569-IF($C569="LT",Config!$F$8,Config!$F$20))/IF($C569="LT",Config!$G$8,Config!$G$20)))</f>
        <v/>
      </c>
      <c r="Z569">
        <f>IF(OR(N569=0,N569=""),"",ABS((N569-IF($C569="LT",Config!$F$9,Config!$F$21))/IF($C569="LT",Config!$G$9,Config!$G$21)))</f>
        <v/>
      </c>
      <c r="AA569">
        <f>IF(OR(O569=0,O569=""),"",ABS((O569-IF($C569="LT",Config!$F$10,Config!$F$22))/IF($C569="LT",Config!$G$10,Config!$G$22)))</f>
        <v/>
      </c>
      <c r="AB569">
        <f>IF(OR(P569=0,P569=""),"",ABS((P569-IF($C569="LT",Config!$F$11,Config!$F$23))/IF($C569="LT",Config!$G$11,Config!$G$23)))</f>
        <v/>
      </c>
      <c r="AC569">
        <f>IF(OR(Q569=0,Q569=""),"",ABS((Q569-IF($C569="LT",Config!$F$12,Config!$F$24))/IF($C569="LT",Config!$G$12,Config!$G$24)))</f>
        <v/>
      </c>
      <c r="AD569">
        <f>IF(OR(R569=0,R569=""),"",ABS((R569-IF($C569="LT",Config!$F$13,Config!$F$25))/IF($C569="LT",Config!$G$13,Config!$G$25)))</f>
        <v/>
      </c>
    </row>
    <row r="570">
      <c r="A570" t="inlineStr">
        <is>
          <t>04D0726121261</t>
        </is>
      </c>
      <c r="B570" t="inlineStr">
        <is>
          <t>CRS0000674</t>
        </is>
      </c>
      <c r="C570" t="inlineStr">
        <is>
          <t>MT</t>
        </is>
      </c>
      <c r="D570" t="inlineStr">
        <is>
          <t>TCX413U-DS1B01</t>
        </is>
      </c>
      <c r="E570" s="2" t="n">
        <v>46119</v>
      </c>
      <c r="F570" t="inlineStr">
        <is>
          <t>Fail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>
        <f>IF(OR(G570=0,G570=""),"",ABS((G570-IF($C570="LT",Config!$F$2,Config!$F$14))/IF($C570="LT",Config!$G$2,Config!$G$14)))</f>
        <v/>
      </c>
      <c r="T570">
        <f>IF(OR(H570=0,H570=""),"",ABS((H570-IF($C570="LT",Config!$F$3,Config!$F$15))/IF($C570="LT",Config!$G$3,Config!$G$15)))</f>
        <v/>
      </c>
      <c r="U570">
        <f>IF(OR(I570=0,I570=""),"",ABS((I570-IF($C570="LT",Config!$F$4,Config!$F$16))/IF($C570="LT",Config!$G$4,Config!$G$16)))</f>
        <v/>
      </c>
      <c r="V570">
        <f>IF(OR(J570=0,J570=""),"",ABS((J570-IF($C570="LT",Config!$F$5,Config!$F$17))/IF($C570="LT",Config!$G$5,Config!$G$17)))</f>
        <v/>
      </c>
      <c r="W570">
        <f>IF(OR(K570=0,K570=""),"",ABS((K570-IF($C570="LT",Config!$F$6,Config!$F$18))/IF($C570="LT",Config!$G$6,Config!$G$18)))</f>
        <v/>
      </c>
      <c r="X570">
        <f>IF(OR(L570=0,L570=""),"",ABS((L570-IF($C570="LT",Config!$F$7,Config!$F$19))/IF($C570="LT",Config!$G$7,Config!$G$19)))</f>
        <v/>
      </c>
      <c r="Y570">
        <f>IF(OR(M570=0,M570=""),"",ABS((M570-IF($C570="LT",Config!$F$8,Config!$F$20))/IF($C570="LT",Config!$G$8,Config!$G$20)))</f>
        <v/>
      </c>
      <c r="Z570">
        <f>IF(OR(N570=0,N570=""),"",ABS((N570-IF($C570="LT",Config!$F$9,Config!$F$21))/IF($C570="LT",Config!$G$9,Config!$G$21)))</f>
        <v/>
      </c>
      <c r="AA570">
        <f>IF(OR(O570=0,O570=""),"",ABS((O570-IF($C570="LT",Config!$F$10,Config!$F$22))/IF($C570="LT",Config!$G$10,Config!$G$22)))</f>
        <v/>
      </c>
      <c r="AB570">
        <f>IF(OR(P570=0,P570=""),"",ABS((P570-IF($C570="LT",Config!$F$11,Config!$F$23))/IF($C570="LT",Config!$G$11,Config!$G$23)))</f>
        <v/>
      </c>
      <c r="AC570">
        <f>IF(OR(Q570=0,Q570=""),"",ABS((Q570-IF($C570="LT",Config!$F$12,Config!$F$24))/IF($C570="LT",Config!$G$12,Config!$G$24)))</f>
        <v/>
      </c>
      <c r="AD570">
        <f>IF(OR(R570=0,R570=""),"",ABS((R570-IF($C570="LT",Config!$F$13,Config!$F$25))/IF($C570="LT",Config!$G$13,Config!$G$25)))</f>
        <v/>
      </c>
    </row>
    <row r="571">
      <c r="A571" t="inlineStr">
        <is>
          <t>04D0726121261</t>
        </is>
      </c>
      <c r="B571" t="inlineStr">
        <is>
          <t>CRS0000674</t>
        </is>
      </c>
      <c r="C571" t="inlineStr">
        <is>
          <t>MT</t>
        </is>
      </c>
      <c r="D571" t="inlineStr">
        <is>
          <t>TCX413U-DS1B01</t>
        </is>
      </c>
      <c r="E571" s="2" t="n">
        <v>46119</v>
      </c>
      <c r="F571" t="inlineStr">
        <is>
          <t>Fail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>
        <f>IF(OR(G571=0,G571=""),"",ABS((G571-IF($C571="LT",Config!$F$2,Config!$F$14))/IF($C571="LT",Config!$G$2,Config!$G$14)))</f>
        <v/>
      </c>
      <c r="T571">
        <f>IF(OR(H571=0,H571=""),"",ABS((H571-IF($C571="LT",Config!$F$3,Config!$F$15))/IF($C571="LT",Config!$G$3,Config!$G$15)))</f>
        <v/>
      </c>
      <c r="U571">
        <f>IF(OR(I571=0,I571=""),"",ABS((I571-IF($C571="LT",Config!$F$4,Config!$F$16))/IF($C571="LT",Config!$G$4,Config!$G$16)))</f>
        <v/>
      </c>
      <c r="V571">
        <f>IF(OR(J571=0,J571=""),"",ABS((J571-IF($C571="LT",Config!$F$5,Config!$F$17))/IF($C571="LT",Config!$G$5,Config!$G$17)))</f>
        <v/>
      </c>
      <c r="W571">
        <f>IF(OR(K571=0,K571=""),"",ABS((K571-IF($C571="LT",Config!$F$6,Config!$F$18))/IF($C571="LT",Config!$G$6,Config!$G$18)))</f>
        <v/>
      </c>
      <c r="X571">
        <f>IF(OR(L571=0,L571=""),"",ABS((L571-IF($C571="LT",Config!$F$7,Config!$F$19))/IF($C571="LT",Config!$G$7,Config!$G$19)))</f>
        <v/>
      </c>
      <c r="Y571">
        <f>IF(OR(M571=0,M571=""),"",ABS((M571-IF($C571="LT",Config!$F$8,Config!$F$20))/IF($C571="LT",Config!$G$8,Config!$G$20)))</f>
        <v/>
      </c>
      <c r="Z571">
        <f>IF(OR(N571=0,N571=""),"",ABS((N571-IF($C571="LT",Config!$F$9,Config!$F$21))/IF($C571="LT",Config!$G$9,Config!$G$21)))</f>
        <v/>
      </c>
      <c r="AA571">
        <f>IF(OR(O571=0,O571=""),"",ABS((O571-IF($C571="LT",Config!$F$10,Config!$F$22))/IF($C571="LT",Config!$G$10,Config!$G$22)))</f>
        <v/>
      </c>
      <c r="AB571">
        <f>IF(OR(P571=0,P571=""),"",ABS((P571-IF($C571="LT",Config!$F$11,Config!$F$23))/IF($C571="LT",Config!$G$11,Config!$G$23)))</f>
        <v/>
      </c>
      <c r="AC571">
        <f>IF(OR(Q571=0,Q571=""),"",ABS((Q571-IF($C571="LT",Config!$F$12,Config!$F$24))/IF($C571="LT",Config!$G$12,Config!$G$24)))</f>
        <v/>
      </c>
      <c r="AD571">
        <f>IF(OR(R571=0,R571=""),"",ABS((R571-IF($C571="LT",Config!$F$13,Config!$F$25))/IF($C571="LT",Config!$G$13,Config!$G$25)))</f>
        <v/>
      </c>
    </row>
    <row r="572">
      <c r="A572" t="inlineStr">
        <is>
          <t>04D0726121261</t>
        </is>
      </c>
      <c r="B572" t="inlineStr">
        <is>
          <t>CRS0000674</t>
        </is>
      </c>
      <c r="C572" t="inlineStr">
        <is>
          <t>MT</t>
        </is>
      </c>
      <c r="D572" t="inlineStr">
        <is>
          <t>TCX413U-DS1B01</t>
        </is>
      </c>
      <c r="E572" s="2" t="n">
        <v>46119</v>
      </c>
      <c r="F572" t="inlineStr">
        <is>
          <t>Pass</t>
        </is>
      </c>
      <c r="G572" t="n">
        <v>111.5</v>
      </c>
      <c r="H572" t="n">
        <v>78.40000000000001</v>
      </c>
      <c r="I572" t="n">
        <v>-1957.8</v>
      </c>
      <c r="J572" t="n">
        <v>67.3</v>
      </c>
      <c r="K572" t="n">
        <v>0</v>
      </c>
      <c r="L572" t="n">
        <v>4</v>
      </c>
      <c r="M572" t="n">
        <v>0</v>
      </c>
      <c r="N572" t="n">
        <v>71.3</v>
      </c>
      <c r="O572" t="n">
        <v>111.94</v>
      </c>
      <c r="P572" t="n">
        <v>113.62</v>
      </c>
      <c r="Q572" t="n">
        <v>3.74</v>
      </c>
      <c r="R572" t="n">
        <v>3.78</v>
      </c>
      <c r="S572">
        <f>IF(OR(G572=0,G572=""),"",ABS((G572-IF($C572="LT",Config!$F$2,Config!$F$14))/IF($C572="LT",Config!$G$2,Config!$G$14)))</f>
        <v/>
      </c>
      <c r="T572">
        <f>IF(OR(H572=0,H572=""),"",ABS((H572-IF($C572="LT",Config!$F$3,Config!$F$15))/IF($C572="LT",Config!$G$3,Config!$G$15)))</f>
        <v/>
      </c>
      <c r="U572">
        <f>IF(OR(I572=0,I572=""),"",ABS((I572-IF($C572="LT",Config!$F$4,Config!$F$16))/IF($C572="LT",Config!$G$4,Config!$G$16)))</f>
        <v/>
      </c>
      <c r="V572">
        <f>IF(OR(J572=0,J572=""),"",ABS((J572-IF($C572="LT",Config!$F$5,Config!$F$17))/IF($C572="LT",Config!$G$5,Config!$G$17)))</f>
        <v/>
      </c>
      <c r="W572">
        <f>IF(OR(K572=0,K572=""),"",ABS((K572-IF($C572="LT",Config!$F$6,Config!$F$18))/IF($C572="LT",Config!$G$6,Config!$G$18)))</f>
        <v/>
      </c>
      <c r="X572">
        <f>IF(OR(L572=0,L572=""),"",ABS((L572-IF($C572="LT",Config!$F$7,Config!$F$19))/IF($C572="LT",Config!$G$7,Config!$G$19)))</f>
        <v/>
      </c>
      <c r="Y572">
        <f>IF(OR(M572=0,M572=""),"",ABS((M572-IF($C572="LT",Config!$F$8,Config!$F$20))/IF($C572="LT",Config!$G$8,Config!$G$20)))</f>
        <v/>
      </c>
      <c r="Z572">
        <f>IF(OR(N572=0,N572=""),"",ABS((N572-IF($C572="LT",Config!$F$9,Config!$F$21))/IF($C572="LT",Config!$G$9,Config!$G$21)))</f>
        <v/>
      </c>
      <c r="AA572">
        <f>IF(OR(O572=0,O572=""),"",ABS((O572-IF($C572="LT",Config!$F$10,Config!$F$22))/IF($C572="LT",Config!$G$10,Config!$G$22)))</f>
        <v/>
      </c>
      <c r="AB572">
        <f>IF(OR(P572=0,P572=""),"",ABS((P572-IF($C572="LT",Config!$F$11,Config!$F$23))/IF($C572="LT",Config!$G$11,Config!$G$23)))</f>
        <v/>
      </c>
      <c r="AC572">
        <f>IF(OR(Q572=0,Q572=""),"",ABS((Q572-IF($C572="LT",Config!$F$12,Config!$F$24))/IF($C572="LT",Config!$G$12,Config!$G$24)))</f>
        <v/>
      </c>
      <c r="AD572">
        <f>IF(OR(R572=0,R572=""),"",ABS((R572-IF($C572="LT",Config!$F$13,Config!$F$25))/IF($C572="LT",Config!$G$13,Config!$G$25)))</f>
        <v/>
      </c>
    </row>
    <row r="573">
      <c r="A573" t="inlineStr">
        <is>
          <t>04C1426120954</t>
        </is>
      </c>
      <c r="B573" t="inlineStr">
        <is>
          <t>CRS0000674</t>
        </is>
      </c>
      <c r="C573" t="inlineStr">
        <is>
          <t>MT</t>
        </is>
      </c>
      <c r="D573" t="inlineStr">
        <is>
          <t>TCX413U-DS1B01</t>
        </is>
      </c>
      <c r="E573" s="2" t="n">
        <v>46119</v>
      </c>
      <c r="F573" t="inlineStr">
        <is>
          <t>Pass</t>
        </is>
      </c>
      <c r="G573" t="n">
        <v>113.3</v>
      </c>
      <c r="H573" t="n">
        <v>80.2</v>
      </c>
      <c r="I573" t="n">
        <v>-1957.8</v>
      </c>
      <c r="J573" t="n">
        <v>68.59999999999999</v>
      </c>
      <c r="K573" t="n">
        <v>0</v>
      </c>
      <c r="L573" t="n">
        <v>3.4</v>
      </c>
      <c r="M573" t="n">
        <v>0</v>
      </c>
      <c r="N573" t="n">
        <v>72</v>
      </c>
      <c r="O573" t="n">
        <v>112.3</v>
      </c>
      <c r="P573" t="n">
        <v>116.78</v>
      </c>
      <c r="Q573" t="n">
        <v>3.83</v>
      </c>
      <c r="R573" t="n">
        <v>3.83</v>
      </c>
      <c r="S573">
        <f>IF(OR(G573=0,G573=""),"",ABS((G573-IF($C573="LT",Config!$F$2,Config!$F$14))/IF($C573="LT",Config!$G$2,Config!$G$14)))</f>
        <v/>
      </c>
      <c r="T573">
        <f>IF(OR(H573=0,H573=""),"",ABS((H573-IF($C573="LT",Config!$F$3,Config!$F$15))/IF($C573="LT",Config!$G$3,Config!$G$15)))</f>
        <v/>
      </c>
      <c r="U573">
        <f>IF(OR(I573=0,I573=""),"",ABS((I573-IF($C573="LT",Config!$F$4,Config!$F$16))/IF($C573="LT",Config!$G$4,Config!$G$16)))</f>
        <v/>
      </c>
      <c r="V573">
        <f>IF(OR(J573=0,J573=""),"",ABS((J573-IF($C573="LT",Config!$F$5,Config!$F$17))/IF($C573="LT",Config!$G$5,Config!$G$17)))</f>
        <v/>
      </c>
      <c r="W573">
        <f>IF(OR(K573=0,K573=""),"",ABS((K573-IF($C573="LT",Config!$F$6,Config!$F$18))/IF($C573="LT",Config!$G$6,Config!$G$18)))</f>
        <v/>
      </c>
      <c r="X573">
        <f>IF(OR(L573=0,L573=""),"",ABS((L573-IF($C573="LT",Config!$F$7,Config!$F$19))/IF($C573="LT",Config!$G$7,Config!$G$19)))</f>
        <v/>
      </c>
      <c r="Y573">
        <f>IF(OR(M573=0,M573=""),"",ABS((M573-IF($C573="LT",Config!$F$8,Config!$F$20))/IF($C573="LT",Config!$G$8,Config!$G$20)))</f>
        <v/>
      </c>
      <c r="Z573">
        <f>IF(OR(N573=0,N573=""),"",ABS((N573-IF($C573="LT",Config!$F$9,Config!$F$21))/IF($C573="LT",Config!$G$9,Config!$G$21)))</f>
        <v/>
      </c>
      <c r="AA573">
        <f>IF(OR(O573=0,O573=""),"",ABS((O573-IF($C573="LT",Config!$F$10,Config!$F$22))/IF($C573="LT",Config!$G$10,Config!$G$22)))</f>
        <v/>
      </c>
      <c r="AB573">
        <f>IF(OR(P573=0,P573=""),"",ABS((P573-IF($C573="LT",Config!$F$11,Config!$F$23))/IF($C573="LT",Config!$G$11,Config!$G$23)))</f>
        <v/>
      </c>
      <c r="AC573">
        <f>IF(OR(Q573=0,Q573=""),"",ABS((Q573-IF($C573="LT",Config!$F$12,Config!$F$24))/IF($C573="LT",Config!$G$12,Config!$G$24)))</f>
        <v/>
      </c>
      <c r="AD573">
        <f>IF(OR(R573=0,R573=""),"",ABS((R573-IF($C573="LT",Config!$F$13,Config!$F$25))/IF($C573="LT",Config!$G$13,Config!$G$25)))</f>
        <v/>
      </c>
    </row>
    <row r="574">
      <c r="A574" t="inlineStr">
        <is>
          <t>04C2026121035</t>
        </is>
      </c>
      <c r="B574" t="inlineStr">
        <is>
          <t>CRS0000674</t>
        </is>
      </c>
      <c r="C574" t="inlineStr">
        <is>
          <t>MT</t>
        </is>
      </c>
      <c r="D574" t="inlineStr">
        <is>
          <t>TCX413U-DS1B01</t>
        </is>
      </c>
      <c r="E574" s="2" t="n">
        <v>46119</v>
      </c>
      <c r="F574" t="inlineStr">
        <is>
          <t>Pass</t>
        </is>
      </c>
      <c r="G574" t="n">
        <v>104.4</v>
      </c>
      <c r="H574" t="n">
        <v>80.2</v>
      </c>
      <c r="I574" t="n">
        <v>-1957.8</v>
      </c>
      <c r="J574" t="n">
        <v>68.59999999999999</v>
      </c>
      <c r="K574" t="n">
        <v>0</v>
      </c>
      <c r="L574" t="n">
        <v>0.7</v>
      </c>
      <c r="M574" t="n">
        <v>0</v>
      </c>
      <c r="N574" t="n">
        <v>69.3</v>
      </c>
      <c r="O574" t="n">
        <v>112.38</v>
      </c>
      <c r="P574" t="n">
        <v>116.85</v>
      </c>
      <c r="Q574" t="n">
        <v>3.66</v>
      </c>
      <c r="R574" t="n">
        <v>3.69</v>
      </c>
      <c r="S574">
        <f>IF(OR(G574=0,G574=""),"",ABS((G574-IF($C574="LT",Config!$F$2,Config!$F$14))/IF($C574="LT",Config!$G$2,Config!$G$14)))</f>
        <v/>
      </c>
      <c r="T574">
        <f>IF(OR(H574=0,H574=""),"",ABS((H574-IF($C574="LT",Config!$F$3,Config!$F$15))/IF($C574="LT",Config!$G$3,Config!$G$15)))</f>
        <v/>
      </c>
      <c r="U574">
        <f>IF(OR(I574=0,I574=""),"",ABS((I574-IF($C574="LT",Config!$F$4,Config!$F$16))/IF($C574="LT",Config!$G$4,Config!$G$16)))</f>
        <v/>
      </c>
      <c r="V574">
        <f>IF(OR(J574=0,J574=""),"",ABS((J574-IF($C574="LT",Config!$F$5,Config!$F$17))/IF($C574="LT",Config!$G$5,Config!$G$17)))</f>
        <v/>
      </c>
      <c r="W574">
        <f>IF(OR(K574=0,K574=""),"",ABS((K574-IF($C574="LT",Config!$F$6,Config!$F$18))/IF($C574="LT",Config!$G$6,Config!$G$18)))</f>
        <v/>
      </c>
      <c r="X574">
        <f>IF(OR(L574=0,L574=""),"",ABS((L574-IF($C574="LT",Config!$F$7,Config!$F$19))/IF($C574="LT",Config!$G$7,Config!$G$19)))</f>
        <v/>
      </c>
      <c r="Y574">
        <f>IF(OR(M574=0,M574=""),"",ABS((M574-IF($C574="LT",Config!$F$8,Config!$F$20))/IF($C574="LT",Config!$G$8,Config!$G$20)))</f>
        <v/>
      </c>
      <c r="Z574">
        <f>IF(OR(N574=0,N574=""),"",ABS((N574-IF($C574="LT",Config!$F$9,Config!$F$21))/IF($C574="LT",Config!$G$9,Config!$G$21)))</f>
        <v/>
      </c>
      <c r="AA574">
        <f>IF(OR(O574=0,O574=""),"",ABS((O574-IF($C574="LT",Config!$F$10,Config!$F$22))/IF($C574="LT",Config!$G$10,Config!$G$22)))</f>
        <v/>
      </c>
      <c r="AB574">
        <f>IF(OR(P574=0,P574=""),"",ABS((P574-IF($C574="LT",Config!$F$11,Config!$F$23))/IF($C574="LT",Config!$G$11,Config!$G$23)))</f>
        <v/>
      </c>
      <c r="AC574">
        <f>IF(OR(Q574=0,Q574=""),"",ABS((Q574-IF($C574="LT",Config!$F$12,Config!$F$24))/IF($C574="LT",Config!$G$12,Config!$G$24)))</f>
        <v/>
      </c>
      <c r="AD574">
        <f>IF(OR(R574=0,R574=""),"",ABS((R574-IF($C574="LT",Config!$F$13,Config!$F$25))/IF($C574="LT",Config!$G$13,Config!$G$25)))</f>
        <v/>
      </c>
    </row>
    <row r="575">
      <c r="A575" t="inlineStr">
        <is>
          <t>04D0626121256</t>
        </is>
      </c>
      <c r="B575" t="inlineStr">
        <is>
          <t>CRS0000674</t>
        </is>
      </c>
      <c r="C575" t="inlineStr">
        <is>
          <t>MT</t>
        </is>
      </c>
      <c r="D575" t="inlineStr">
        <is>
          <t>TCX413U-DS1B01</t>
        </is>
      </c>
      <c r="E575" s="2" t="n">
        <v>46119</v>
      </c>
      <c r="F575" t="inlineStr">
        <is>
          <t>Fail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>
        <f>IF(OR(G575=0,G575=""),"",ABS((G575-IF($C575="LT",Config!$F$2,Config!$F$14))/IF($C575="LT",Config!$G$2,Config!$G$14)))</f>
        <v/>
      </c>
      <c r="T575">
        <f>IF(OR(H575=0,H575=""),"",ABS((H575-IF($C575="LT",Config!$F$3,Config!$F$15))/IF($C575="LT",Config!$G$3,Config!$G$15)))</f>
        <v/>
      </c>
      <c r="U575">
        <f>IF(OR(I575=0,I575=""),"",ABS((I575-IF($C575="LT",Config!$F$4,Config!$F$16))/IF($C575="LT",Config!$G$4,Config!$G$16)))</f>
        <v/>
      </c>
      <c r="V575">
        <f>IF(OR(J575=0,J575=""),"",ABS((J575-IF($C575="LT",Config!$F$5,Config!$F$17))/IF($C575="LT",Config!$G$5,Config!$G$17)))</f>
        <v/>
      </c>
      <c r="W575">
        <f>IF(OR(K575=0,K575=""),"",ABS((K575-IF($C575="LT",Config!$F$6,Config!$F$18))/IF($C575="LT",Config!$G$6,Config!$G$18)))</f>
        <v/>
      </c>
      <c r="X575">
        <f>IF(OR(L575=0,L575=""),"",ABS((L575-IF($C575="LT",Config!$F$7,Config!$F$19))/IF($C575="LT",Config!$G$7,Config!$G$19)))</f>
        <v/>
      </c>
      <c r="Y575">
        <f>IF(OR(M575=0,M575=""),"",ABS((M575-IF($C575="LT",Config!$F$8,Config!$F$20))/IF($C575="LT",Config!$G$8,Config!$G$20)))</f>
        <v/>
      </c>
      <c r="Z575">
        <f>IF(OR(N575=0,N575=""),"",ABS((N575-IF($C575="LT",Config!$F$9,Config!$F$21))/IF($C575="LT",Config!$G$9,Config!$G$21)))</f>
        <v/>
      </c>
      <c r="AA575">
        <f>IF(OR(O575=0,O575=""),"",ABS((O575-IF($C575="LT",Config!$F$10,Config!$F$22))/IF($C575="LT",Config!$G$10,Config!$G$22)))</f>
        <v/>
      </c>
      <c r="AB575">
        <f>IF(OR(P575=0,P575=""),"",ABS((P575-IF($C575="LT",Config!$F$11,Config!$F$23))/IF($C575="LT",Config!$G$11,Config!$G$23)))</f>
        <v/>
      </c>
      <c r="AC575">
        <f>IF(OR(Q575=0,Q575=""),"",ABS((Q575-IF($C575="LT",Config!$F$12,Config!$F$24))/IF($C575="LT",Config!$G$12,Config!$G$24)))</f>
        <v/>
      </c>
      <c r="AD575">
        <f>IF(OR(R575=0,R575=""),"",ABS((R575-IF($C575="LT",Config!$F$13,Config!$F$25))/IF($C575="LT",Config!$G$13,Config!$G$25)))</f>
        <v/>
      </c>
    </row>
    <row r="576">
      <c r="A576" t="inlineStr">
        <is>
          <t>04D0626121256</t>
        </is>
      </c>
      <c r="B576" t="inlineStr">
        <is>
          <t>CRS0000674</t>
        </is>
      </c>
      <c r="C576" t="inlineStr">
        <is>
          <t>MT</t>
        </is>
      </c>
      <c r="D576" t="inlineStr">
        <is>
          <t>TCX413U-DS1B01</t>
        </is>
      </c>
      <c r="E576" s="2" t="n">
        <v>46119</v>
      </c>
      <c r="F576" t="inlineStr">
        <is>
          <t>Pass</t>
        </is>
      </c>
      <c r="G576" t="n">
        <v>114.2</v>
      </c>
      <c r="H576" t="n">
        <v>80.2</v>
      </c>
      <c r="I576" t="n">
        <v>-1957.8</v>
      </c>
      <c r="J576" t="n">
        <v>69.09999999999999</v>
      </c>
      <c r="K576" t="n">
        <v>0</v>
      </c>
      <c r="L576" t="n">
        <v>1.4</v>
      </c>
      <c r="M576" t="n">
        <v>0</v>
      </c>
      <c r="N576" t="n">
        <v>70.5</v>
      </c>
      <c r="O576" t="n">
        <v>112.45</v>
      </c>
      <c r="P576" t="n">
        <v>116.78</v>
      </c>
      <c r="Q576" t="n">
        <v>3.83</v>
      </c>
      <c r="R576" t="n">
        <v>3.83</v>
      </c>
      <c r="S576">
        <f>IF(OR(G576=0,G576=""),"",ABS((G576-IF($C576="LT",Config!$F$2,Config!$F$14))/IF($C576="LT",Config!$G$2,Config!$G$14)))</f>
        <v/>
      </c>
      <c r="T576">
        <f>IF(OR(H576=0,H576=""),"",ABS((H576-IF($C576="LT",Config!$F$3,Config!$F$15))/IF($C576="LT",Config!$G$3,Config!$G$15)))</f>
        <v/>
      </c>
      <c r="U576">
        <f>IF(OR(I576=0,I576=""),"",ABS((I576-IF($C576="LT",Config!$F$4,Config!$F$16))/IF($C576="LT",Config!$G$4,Config!$G$16)))</f>
        <v/>
      </c>
      <c r="V576">
        <f>IF(OR(J576=0,J576=""),"",ABS((J576-IF($C576="LT",Config!$F$5,Config!$F$17))/IF($C576="LT",Config!$G$5,Config!$G$17)))</f>
        <v/>
      </c>
      <c r="W576">
        <f>IF(OR(K576=0,K576=""),"",ABS((K576-IF($C576="LT",Config!$F$6,Config!$F$18))/IF($C576="LT",Config!$G$6,Config!$G$18)))</f>
        <v/>
      </c>
      <c r="X576">
        <f>IF(OR(L576=0,L576=""),"",ABS((L576-IF($C576="LT",Config!$F$7,Config!$F$19))/IF($C576="LT",Config!$G$7,Config!$G$19)))</f>
        <v/>
      </c>
      <c r="Y576">
        <f>IF(OR(M576=0,M576=""),"",ABS((M576-IF($C576="LT",Config!$F$8,Config!$F$20))/IF($C576="LT",Config!$G$8,Config!$G$20)))</f>
        <v/>
      </c>
      <c r="Z576">
        <f>IF(OR(N576=0,N576=""),"",ABS((N576-IF($C576="LT",Config!$F$9,Config!$F$21))/IF($C576="LT",Config!$G$9,Config!$G$21)))</f>
        <v/>
      </c>
      <c r="AA576">
        <f>IF(OR(O576=0,O576=""),"",ABS((O576-IF($C576="LT",Config!$F$10,Config!$F$22))/IF($C576="LT",Config!$G$10,Config!$G$22)))</f>
        <v/>
      </c>
      <c r="AB576">
        <f>IF(OR(P576=0,P576=""),"",ABS((P576-IF($C576="LT",Config!$F$11,Config!$F$23))/IF($C576="LT",Config!$G$11,Config!$G$23)))</f>
        <v/>
      </c>
      <c r="AC576">
        <f>IF(OR(Q576=0,Q576=""),"",ABS((Q576-IF($C576="LT",Config!$F$12,Config!$F$24))/IF($C576="LT",Config!$G$12,Config!$G$24)))</f>
        <v/>
      </c>
      <c r="AD576">
        <f>IF(OR(R576=0,R576=""),"",ABS((R576-IF($C576="LT",Config!$F$13,Config!$F$25))/IF($C576="LT",Config!$G$13,Config!$G$25)))</f>
        <v/>
      </c>
    </row>
    <row r="577">
      <c r="A577" t="inlineStr">
        <is>
          <t>04D0726121262</t>
        </is>
      </c>
      <c r="B577" t="inlineStr">
        <is>
          <t>CRS0000674</t>
        </is>
      </c>
      <c r="C577" t="inlineStr">
        <is>
          <t>MT</t>
        </is>
      </c>
      <c r="D577" t="inlineStr">
        <is>
          <t>TCX413U-DS1B01</t>
        </is>
      </c>
      <c r="E577" s="2" t="n">
        <v>46119</v>
      </c>
      <c r="F577" t="inlineStr">
        <is>
          <t>Pass</t>
        </is>
      </c>
      <c r="G577" t="n">
        <v>113.7</v>
      </c>
      <c r="H577" t="n">
        <v>79.3</v>
      </c>
      <c r="I577" t="n">
        <v>-1957.8</v>
      </c>
      <c r="J577" t="n">
        <v>69.09999999999999</v>
      </c>
      <c r="K577" t="n">
        <v>0</v>
      </c>
      <c r="L577" t="n">
        <v>0.6</v>
      </c>
      <c r="M577" t="n">
        <v>0</v>
      </c>
      <c r="N577" t="n">
        <v>68.5</v>
      </c>
      <c r="O577" t="n">
        <v>111.79</v>
      </c>
      <c r="P577" t="n">
        <v>116.19</v>
      </c>
      <c r="Q577" t="n">
        <v>3.76</v>
      </c>
      <c r="R577" t="n">
        <v>3.74</v>
      </c>
      <c r="S577">
        <f>IF(OR(G577=0,G577=""),"",ABS((G577-IF($C577="LT",Config!$F$2,Config!$F$14))/IF($C577="LT",Config!$G$2,Config!$G$14)))</f>
        <v/>
      </c>
      <c r="T577">
        <f>IF(OR(H577=0,H577=""),"",ABS((H577-IF($C577="LT",Config!$F$3,Config!$F$15))/IF($C577="LT",Config!$G$3,Config!$G$15)))</f>
        <v/>
      </c>
      <c r="U577">
        <f>IF(OR(I577=0,I577=""),"",ABS((I577-IF($C577="LT",Config!$F$4,Config!$F$16))/IF($C577="LT",Config!$G$4,Config!$G$16)))</f>
        <v/>
      </c>
      <c r="V577">
        <f>IF(OR(J577=0,J577=""),"",ABS((J577-IF($C577="LT",Config!$F$5,Config!$F$17))/IF($C577="LT",Config!$G$5,Config!$G$17)))</f>
        <v/>
      </c>
      <c r="W577">
        <f>IF(OR(K577=0,K577=""),"",ABS((K577-IF($C577="LT",Config!$F$6,Config!$F$18))/IF($C577="LT",Config!$G$6,Config!$G$18)))</f>
        <v/>
      </c>
      <c r="X577">
        <f>IF(OR(L577=0,L577=""),"",ABS((L577-IF($C577="LT",Config!$F$7,Config!$F$19))/IF($C577="LT",Config!$G$7,Config!$G$19)))</f>
        <v/>
      </c>
      <c r="Y577">
        <f>IF(OR(M577=0,M577=""),"",ABS((M577-IF($C577="LT",Config!$F$8,Config!$F$20))/IF($C577="LT",Config!$G$8,Config!$G$20)))</f>
        <v/>
      </c>
      <c r="Z577">
        <f>IF(OR(N577=0,N577=""),"",ABS((N577-IF($C577="LT",Config!$F$9,Config!$F$21))/IF($C577="LT",Config!$G$9,Config!$G$21)))</f>
        <v/>
      </c>
      <c r="AA577">
        <f>IF(OR(O577=0,O577=""),"",ABS((O577-IF($C577="LT",Config!$F$10,Config!$F$22))/IF($C577="LT",Config!$G$10,Config!$G$22)))</f>
        <v/>
      </c>
      <c r="AB577">
        <f>IF(OR(P577=0,P577=""),"",ABS((P577-IF($C577="LT",Config!$F$11,Config!$F$23))/IF($C577="LT",Config!$G$11,Config!$G$23)))</f>
        <v/>
      </c>
      <c r="AC577">
        <f>IF(OR(Q577=0,Q577=""),"",ABS((Q577-IF($C577="LT",Config!$F$12,Config!$F$24))/IF($C577="LT",Config!$G$12,Config!$G$24)))</f>
        <v/>
      </c>
      <c r="AD577">
        <f>IF(OR(R577=0,R577=""),"",ABS((R577-IF($C577="LT",Config!$F$13,Config!$F$25))/IF($C577="LT",Config!$G$13,Config!$G$25)))</f>
        <v/>
      </c>
    </row>
    <row r="578">
      <c r="A578" t="inlineStr">
        <is>
          <t>04D0626121255</t>
        </is>
      </c>
      <c r="B578" t="inlineStr">
        <is>
          <t>CRS0000674</t>
        </is>
      </c>
      <c r="C578" t="inlineStr">
        <is>
          <t>MT</t>
        </is>
      </c>
      <c r="D578" t="inlineStr">
        <is>
          <t>TCX413U-DS1B01</t>
        </is>
      </c>
      <c r="E578" s="2" t="n">
        <v>46119</v>
      </c>
      <c r="F578" t="inlineStr">
        <is>
          <t>Pass</t>
        </is>
      </c>
      <c r="G578" t="n">
        <v>115.5</v>
      </c>
      <c r="H578" t="n">
        <v>79.8</v>
      </c>
      <c r="I578" t="n">
        <v>-1957.8</v>
      </c>
      <c r="J578" t="n">
        <v>68.2</v>
      </c>
      <c r="K578" t="n">
        <v>0</v>
      </c>
      <c r="L578" t="n">
        <v>0.6</v>
      </c>
      <c r="M578" t="n">
        <v>0</v>
      </c>
      <c r="N578" t="n">
        <v>68.8</v>
      </c>
      <c r="O578" t="n">
        <v>115.38</v>
      </c>
      <c r="P578" t="n">
        <v>115.31</v>
      </c>
      <c r="Q578" t="n">
        <v>3.66</v>
      </c>
      <c r="R578" t="n">
        <v>3.74</v>
      </c>
      <c r="S578">
        <f>IF(OR(G578=0,G578=""),"",ABS((G578-IF($C578="LT",Config!$F$2,Config!$F$14))/IF($C578="LT",Config!$G$2,Config!$G$14)))</f>
        <v/>
      </c>
      <c r="T578">
        <f>IF(OR(H578=0,H578=""),"",ABS((H578-IF($C578="LT",Config!$F$3,Config!$F$15))/IF($C578="LT",Config!$G$3,Config!$G$15)))</f>
        <v/>
      </c>
      <c r="U578">
        <f>IF(OR(I578=0,I578=""),"",ABS((I578-IF($C578="LT",Config!$F$4,Config!$F$16))/IF($C578="LT",Config!$G$4,Config!$G$16)))</f>
        <v/>
      </c>
      <c r="V578">
        <f>IF(OR(J578=0,J578=""),"",ABS((J578-IF($C578="LT",Config!$F$5,Config!$F$17))/IF($C578="LT",Config!$G$5,Config!$G$17)))</f>
        <v/>
      </c>
      <c r="W578">
        <f>IF(OR(K578=0,K578=""),"",ABS((K578-IF($C578="LT",Config!$F$6,Config!$F$18))/IF($C578="LT",Config!$G$6,Config!$G$18)))</f>
        <v/>
      </c>
      <c r="X578">
        <f>IF(OR(L578=0,L578=""),"",ABS((L578-IF($C578="LT",Config!$F$7,Config!$F$19))/IF($C578="LT",Config!$G$7,Config!$G$19)))</f>
        <v/>
      </c>
      <c r="Y578">
        <f>IF(OR(M578=0,M578=""),"",ABS((M578-IF($C578="LT",Config!$F$8,Config!$F$20))/IF($C578="LT",Config!$G$8,Config!$G$20)))</f>
        <v/>
      </c>
      <c r="Z578">
        <f>IF(OR(N578=0,N578=""),"",ABS((N578-IF($C578="LT",Config!$F$9,Config!$F$21))/IF($C578="LT",Config!$G$9,Config!$G$21)))</f>
        <v/>
      </c>
      <c r="AA578">
        <f>IF(OR(O578=0,O578=""),"",ABS((O578-IF($C578="LT",Config!$F$10,Config!$F$22))/IF($C578="LT",Config!$G$10,Config!$G$22)))</f>
        <v/>
      </c>
      <c r="AB578">
        <f>IF(OR(P578=0,P578=""),"",ABS((P578-IF($C578="LT",Config!$F$11,Config!$F$23))/IF($C578="LT",Config!$G$11,Config!$G$23)))</f>
        <v/>
      </c>
      <c r="AC578">
        <f>IF(OR(Q578=0,Q578=""),"",ABS((Q578-IF($C578="LT",Config!$F$12,Config!$F$24))/IF($C578="LT",Config!$G$12,Config!$G$24)))</f>
        <v/>
      </c>
      <c r="AD578">
        <f>IF(OR(R578=0,R578=""),"",ABS((R578-IF($C578="LT",Config!$F$13,Config!$F$25))/IF($C578="LT",Config!$G$13,Config!$G$25)))</f>
        <v/>
      </c>
    </row>
    <row r="579">
      <c r="A579" t="inlineStr">
        <is>
          <t>04D0726121263</t>
        </is>
      </c>
      <c r="B579" t="inlineStr">
        <is>
          <t>CRS0000674</t>
        </is>
      </c>
      <c r="C579" t="inlineStr">
        <is>
          <t>MT</t>
        </is>
      </c>
      <c r="D579" t="inlineStr">
        <is>
          <t>TCX413U-DS1B01</t>
        </is>
      </c>
      <c r="E579" s="2" t="n">
        <v>46119</v>
      </c>
      <c r="F579" t="inlineStr">
        <is>
          <t>Pass</t>
        </is>
      </c>
      <c r="G579" t="n">
        <v>111.5</v>
      </c>
      <c r="H579" t="n">
        <v>78.90000000000001</v>
      </c>
      <c r="I579" t="n">
        <v>-1957.8</v>
      </c>
      <c r="J579" t="n">
        <v>69.09999999999999</v>
      </c>
      <c r="K579" t="n">
        <v>0</v>
      </c>
      <c r="L579" t="n">
        <v>0.9</v>
      </c>
      <c r="M579" t="n">
        <v>0</v>
      </c>
      <c r="N579" t="n">
        <v>70</v>
      </c>
      <c r="O579" t="n">
        <v>111.86</v>
      </c>
      <c r="P579" t="n">
        <v>113.26</v>
      </c>
      <c r="Q579" t="n">
        <v>3.91</v>
      </c>
      <c r="R579" t="n">
        <v>3.93</v>
      </c>
      <c r="S579">
        <f>IF(OR(G579=0,G579=""),"",ABS((G579-IF($C579="LT",Config!$F$2,Config!$F$14))/IF($C579="LT",Config!$G$2,Config!$G$14)))</f>
        <v/>
      </c>
      <c r="T579">
        <f>IF(OR(H579=0,H579=""),"",ABS((H579-IF($C579="LT",Config!$F$3,Config!$F$15))/IF($C579="LT",Config!$G$3,Config!$G$15)))</f>
        <v/>
      </c>
      <c r="U579">
        <f>IF(OR(I579=0,I579=""),"",ABS((I579-IF($C579="LT",Config!$F$4,Config!$F$16))/IF($C579="LT",Config!$G$4,Config!$G$16)))</f>
        <v/>
      </c>
      <c r="V579">
        <f>IF(OR(J579=0,J579=""),"",ABS((J579-IF($C579="LT",Config!$F$5,Config!$F$17))/IF($C579="LT",Config!$G$5,Config!$G$17)))</f>
        <v/>
      </c>
      <c r="W579">
        <f>IF(OR(K579=0,K579=""),"",ABS((K579-IF($C579="LT",Config!$F$6,Config!$F$18))/IF($C579="LT",Config!$G$6,Config!$G$18)))</f>
        <v/>
      </c>
      <c r="X579">
        <f>IF(OR(L579=0,L579=""),"",ABS((L579-IF($C579="LT",Config!$F$7,Config!$F$19))/IF($C579="LT",Config!$G$7,Config!$G$19)))</f>
        <v/>
      </c>
      <c r="Y579">
        <f>IF(OR(M579=0,M579=""),"",ABS((M579-IF($C579="LT",Config!$F$8,Config!$F$20))/IF($C579="LT",Config!$G$8,Config!$G$20)))</f>
        <v/>
      </c>
      <c r="Z579">
        <f>IF(OR(N579=0,N579=""),"",ABS((N579-IF($C579="LT",Config!$F$9,Config!$F$21))/IF($C579="LT",Config!$G$9,Config!$G$21)))</f>
        <v/>
      </c>
      <c r="AA579">
        <f>IF(OR(O579=0,O579=""),"",ABS((O579-IF($C579="LT",Config!$F$10,Config!$F$22))/IF($C579="LT",Config!$G$10,Config!$G$22)))</f>
        <v/>
      </c>
      <c r="AB579">
        <f>IF(OR(P579=0,P579=""),"",ABS((P579-IF($C579="LT",Config!$F$11,Config!$F$23))/IF($C579="LT",Config!$G$11,Config!$G$23)))</f>
        <v/>
      </c>
      <c r="AC579">
        <f>IF(OR(Q579=0,Q579=""),"",ABS((Q579-IF($C579="LT",Config!$F$12,Config!$F$24))/IF($C579="LT",Config!$G$12,Config!$G$24)))</f>
        <v/>
      </c>
      <c r="AD579">
        <f>IF(OR(R579=0,R579=""),"",ABS((R579-IF($C579="LT",Config!$F$13,Config!$F$25))/IF($C579="LT",Config!$G$13,Config!$G$25)))</f>
        <v/>
      </c>
    </row>
    <row r="580">
      <c r="A580" t="inlineStr">
        <is>
          <t>04D0726121264</t>
        </is>
      </c>
      <c r="B580" t="inlineStr">
        <is>
          <t>CRS0000674</t>
        </is>
      </c>
      <c r="C580" t="inlineStr">
        <is>
          <t>MT</t>
        </is>
      </c>
      <c r="D580" t="inlineStr">
        <is>
          <t>TCX413U-DS1B01</t>
        </is>
      </c>
      <c r="E580" s="2" t="n">
        <v>46119</v>
      </c>
      <c r="F580" t="inlineStr">
        <is>
          <t>Pass</t>
        </is>
      </c>
      <c r="G580" t="n">
        <v>116.4</v>
      </c>
      <c r="H580" t="n">
        <v>79.8</v>
      </c>
      <c r="I580" t="n">
        <v>-1957.8</v>
      </c>
      <c r="J580" t="n">
        <v>69.09999999999999</v>
      </c>
      <c r="K580" t="n">
        <v>0</v>
      </c>
      <c r="L580" t="n">
        <v>0.3</v>
      </c>
      <c r="M580" t="n">
        <v>0</v>
      </c>
      <c r="N580" t="n">
        <v>69.40000000000001</v>
      </c>
      <c r="O580" t="n">
        <v>115.24</v>
      </c>
      <c r="P580" t="n">
        <v>115.24</v>
      </c>
      <c r="Q580" t="n">
        <v>3.61</v>
      </c>
      <c r="R580" t="n">
        <v>3.69</v>
      </c>
      <c r="S580">
        <f>IF(OR(G580=0,G580=""),"",ABS((G580-IF($C580="LT",Config!$F$2,Config!$F$14))/IF($C580="LT",Config!$G$2,Config!$G$14)))</f>
        <v/>
      </c>
      <c r="T580">
        <f>IF(OR(H580=0,H580=""),"",ABS((H580-IF($C580="LT",Config!$F$3,Config!$F$15))/IF($C580="LT",Config!$G$3,Config!$G$15)))</f>
        <v/>
      </c>
      <c r="U580">
        <f>IF(OR(I580=0,I580=""),"",ABS((I580-IF($C580="LT",Config!$F$4,Config!$F$16))/IF($C580="LT",Config!$G$4,Config!$G$16)))</f>
        <v/>
      </c>
      <c r="V580">
        <f>IF(OR(J580=0,J580=""),"",ABS((J580-IF($C580="LT",Config!$F$5,Config!$F$17))/IF($C580="LT",Config!$G$5,Config!$G$17)))</f>
        <v/>
      </c>
      <c r="W580">
        <f>IF(OR(K580=0,K580=""),"",ABS((K580-IF($C580="LT",Config!$F$6,Config!$F$18))/IF($C580="LT",Config!$G$6,Config!$G$18)))</f>
        <v/>
      </c>
      <c r="X580">
        <f>IF(OR(L580=0,L580=""),"",ABS((L580-IF($C580="LT",Config!$F$7,Config!$F$19))/IF($C580="LT",Config!$G$7,Config!$G$19)))</f>
        <v/>
      </c>
      <c r="Y580">
        <f>IF(OR(M580=0,M580=""),"",ABS((M580-IF($C580="LT",Config!$F$8,Config!$F$20))/IF($C580="LT",Config!$G$8,Config!$G$20)))</f>
        <v/>
      </c>
      <c r="Z580">
        <f>IF(OR(N580=0,N580=""),"",ABS((N580-IF($C580="LT",Config!$F$9,Config!$F$21))/IF($C580="LT",Config!$G$9,Config!$G$21)))</f>
        <v/>
      </c>
      <c r="AA580">
        <f>IF(OR(O580=0,O580=""),"",ABS((O580-IF($C580="LT",Config!$F$10,Config!$F$22))/IF($C580="LT",Config!$G$10,Config!$G$22)))</f>
        <v/>
      </c>
      <c r="AB580">
        <f>IF(OR(P580=0,P580=""),"",ABS((P580-IF($C580="LT",Config!$F$11,Config!$F$23))/IF($C580="LT",Config!$G$11,Config!$G$23)))</f>
        <v/>
      </c>
      <c r="AC580">
        <f>IF(OR(Q580=0,Q580=""),"",ABS((Q580-IF($C580="LT",Config!$F$12,Config!$F$24))/IF($C580="LT",Config!$G$12,Config!$G$24)))</f>
        <v/>
      </c>
      <c r="AD580">
        <f>IF(OR(R580=0,R580=""),"",ABS((R580-IF($C580="LT",Config!$F$13,Config!$F$25))/IF($C580="LT",Config!$G$13,Config!$G$25)))</f>
        <v/>
      </c>
    </row>
    <row r="581">
      <c r="A581" t="inlineStr">
        <is>
          <t>04D0726121265</t>
        </is>
      </c>
      <c r="B581" t="inlineStr">
        <is>
          <t>CRS0000674</t>
        </is>
      </c>
      <c r="C581" t="inlineStr">
        <is>
          <t>MT</t>
        </is>
      </c>
      <c r="D581" t="inlineStr">
        <is>
          <t>TCX413U-DS1B01</t>
        </is>
      </c>
      <c r="E581" s="2" t="n">
        <v>46119</v>
      </c>
      <c r="F581" t="inlineStr">
        <is>
          <t>Pass</t>
        </is>
      </c>
      <c r="G581" t="n">
        <v>120</v>
      </c>
      <c r="H581" t="n">
        <v>81.59999999999999</v>
      </c>
      <c r="I581" t="n">
        <v>-1957.8</v>
      </c>
      <c r="J581" t="n">
        <v>70.40000000000001</v>
      </c>
      <c r="K581" t="n">
        <v>0</v>
      </c>
      <c r="L581" t="n">
        <v>1.4</v>
      </c>
      <c r="M581" t="n">
        <v>0</v>
      </c>
      <c r="N581" t="n">
        <v>71.8</v>
      </c>
      <c r="O581" t="n">
        <v>112.01</v>
      </c>
      <c r="P581" t="n">
        <v>113.04</v>
      </c>
      <c r="Q581" t="n">
        <v>4.03</v>
      </c>
      <c r="R581" t="n">
        <v>4.05</v>
      </c>
      <c r="S581">
        <f>IF(OR(G581=0,G581=""),"",ABS((G581-IF($C581="LT",Config!$F$2,Config!$F$14))/IF($C581="LT",Config!$G$2,Config!$G$14)))</f>
        <v/>
      </c>
      <c r="T581">
        <f>IF(OR(H581=0,H581=""),"",ABS((H581-IF($C581="LT",Config!$F$3,Config!$F$15))/IF($C581="LT",Config!$G$3,Config!$G$15)))</f>
        <v/>
      </c>
      <c r="U581">
        <f>IF(OR(I581=0,I581=""),"",ABS((I581-IF($C581="LT",Config!$F$4,Config!$F$16))/IF($C581="LT",Config!$G$4,Config!$G$16)))</f>
        <v/>
      </c>
      <c r="V581">
        <f>IF(OR(J581=0,J581=""),"",ABS((J581-IF($C581="LT",Config!$F$5,Config!$F$17))/IF($C581="LT",Config!$G$5,Config!$G$17)))</f>
        <v/>
      </c>
      <c r="W581">
        <f>IF(OR(K581=0,K581=""),"",ABS((K581-IF($C581="LT",Config!$F$6,Config!$F$18))/IF($C581="LT",Config!$G$6,Config!$G$18)))</f>
        <v/>
      </c>
      <c r="X581">
        <f>IF(OR(L581=0,L581=""),"",ABS((L581-IF($C581="LT",Config!$F$7,Config!$F$19))/IF($C581="LT",Config!$G$7,Config!$G$19)))</f>
        <v/>
      </c>
      <c r="Y581">
        <f>IF(OR(M581=0,M581=""),"",ABS((M581-IF($C581="LT",Config!$F$8,Config!$F$20))/IF($C581="LT",Config!$G$8,Config!$G$20)))</f>
        <v/>
      </c>
      <c r="Z581">
        <f>IF(OR(N581=0,N581=""),"",ABS((N581-IF($C581="LT",Config!$F$9,Config!$F$21))/IF($C581="LT",Config!$G$9,Config!$G$21)))</f>
        <v/>
      </c>
      <c r="AA581">
        <f>IF(OR(O581=0,O581=""),"",ABS((O581-IF($C581="LT",Config!$F$10,Config!$F$22))/IF($C581="LT",Config!$G$10,Config!$G$22)))</f>
        <v/>
      </c>
      <c r="AB581">
        <f>IF(OR(P581=0,P581=""),"",ABS((P581-IF($C581="LT",Config!$F$11,Config!$F$23))/IF($C581="LT",Config!$G$11,Config!$G$23)))</f>
        <v/>
      </c>
      <c r="AC581">
        <f>IF(OR(Q581=0,Q581=""),"",ABS((Q581-IF($C581="LT",Config!$F$12,Config!$F$24))/IF($C581="LT",Config!$G$12,Config!$G$24)))</f>
        <v/>
      </c>
      <c r="AD581">
        <f>IF(OR(R581=0,R581=""),"",ABS((R581-IF($C581="LT",Config!$F$13,Config!$F$25))/IF($C581="LT",Config!$G$13,Config!$G$25)))</f>
        <v/>
      </c>
    </row>
    <row r="582">
      <c r="A582" t="inlineStr">
        <is>
          <t>04D0726121266</t>
        </is>
      </c>
      <c r="B582" t="inlineStr">
        <is>
          <t>CRS0000674</t>
        </is>
      </c>
      <c r="C582" t="inlineStr">
        <is>
          <t>MT</t>
        </is>
      </c>
      <c r="D582" t="inlineStr">
        <is>
          <t>TCX413U-DS1B01</t>
        </is>
      </c>
      <c r="E582" s="2" t="n">
        <v>46119</v>
      </c>
      <c r="F582" t="inlineStr">
        <is>
          <t>Pass</t>
        </is>
      </c>
      <c r="G582" t="n">
        <v>116.9</v>
      </c>
      <c r="H582" t="n">
        <v>78.90000000000001</v>
      </c>
      <c r="I582" t="n">
        <v>-1957.8</v>
      </c>
      <c r="J582" t="n">
        <v>70</v>
      </c>
      <c r="K582" t="n">
        <v>0</v>
      </c>
      <c r="L582" t="n">
        <v>3.5</v>
      </c>
      <c r="M582" t="n">
        <v>0</v>
      </c>
      <c r="N582" t="n">
        <v>73.5</v>
      </c>
      <c r="O582" t="n">
        <v>111.28</v>
      </c>
      <c r="P582" t="n">
        <v>113.18</v>
      </c>
      <c r="Q582" t="n">
        <v>3.86</v>
      </c>
      <c r="R582" t="n">
        <v>3.93</v>
      </c>
      <c r="S582">
        <f>IF(OR(G582=0,G582=""),"",ABS((G582-IF($C582="LT",Config!$F$2,Config!$F$14))/IF($C582="LT",Config!$G$2,Config!$G$14)))</f>
        <v/>
      </c>
      <c r="T582">
        <f>IF(OR(H582=0,H582=""),"",ABS((H582-IF($C582="LT",Config!$F$3,Config!$F$15))/IF($C582="LT",Config!$G$3,Config!$G$15)))</f>
        <v/>
      </c>
      <c r="U582">
        <f>IF(OR(I582=0,I582=""),"",ABS((I582-IF($C582="LT",Config!$F$4,Config!$F$16))/IF($C582="LT",Config!$G$4,Config!$G$16)))</f>
        <v/>
      </c>
      <c r="V582">
        <f>IF(OR(J582=0,J582=""),"",ABS((J582-IF($C582="LT",Config!$F$5,Config!$F$17))/IF($C582="LT",Config!$G$5,Config!$G$17)))</f>
        <v/>
      </c>
      <c r="W582">
        <f>IF(OR(K582=0,K582=""),"",ABS((K582-IF($C582="LT",Config!$F$6,Config!$F$18))/IF($C582="LT",Config!$G$6,Config!$G$18)))</f>
        <v/>
      </c>
      <c r="X582">
        <f>IF(OR(L582=0,L582=""),"",ABS((L582-IF($C582="LT",Config!$F$7,Config!$F$19))/IF($C582="LT",Config!$G$7,Config!$G$19)))</f>
        <v/>
      </c>
      <c r="Y582">
        <f>IF(OR(M582=0,M582=""),"",ABS((M582-IF($C582="LT",Config!$F$8,Config!$F$20))/IF($C582="LT",Config!$G$8,Config!$G$20)))</f>
        <v/>
      </c>
      <c r="Z582">
        <f>IF(OR(N582=0,N582=""),"",ABS((N582-IF($C582="LT",Config!$F$9,Config!$F$21))/IF($C582="LT",Config!$G$9,Config!$G$21)))</f>
        <v/>
      </c>
      <c r="AA582">
        <f>IF(OR(O582=0,O582=""),"",ABS((O582-IF($C582="LT",Config!$F$10,Config!$F$22))/IF($C582="LT",Config!$G$10,Config!$G$22)))</f>
        <v/>
      </c>
      <c r="AB582">
        <f>IF(OR(P582=0,P582=""),"",ABS((P582-IF($C582="LT",Config!$F$11,Config!$F$23))/IF($C582="LT",Config!$G$11,Config!$G$23)))</f>
        <v/>
      </c>
      <c r="AC582">
        <f>IF(OR(Q582=0,Q582=""),"",ABS((Q582-IF($C582="LT",Config!$F$12,Config!$F$24))/IF($C582="LT",Config!$G$12,Config!$G$24)))</f>
        <v/>
      </c>
      <c r="AD582">
        <f>IF(OR(R582=0,R582=""),"",ABS((R582-IF($C582="LT",Config!$F$13,Config!$F$25))/IF($C582="LT",Config!$G$13,Config!$G$25)))</f>
        <v/>
      </c>
    </row>
    <row r="583">
      <c r="A583" t="inlineStr">
        <is>
          <t>04D0726121267</t>
        </is>
      </c>
      <c r="B583" t="inlineStr">
        <is>
          <t>CRS0000674</t>
        </is>
      </c>
      <c r="C583" t="inlineStr">
        <is>
          <t>MT</t>
        </is>
      </c>
      <c r="D583" t="inlineStr">
        <is>
          <t>TCX413U-DS1B01</t>
        </is>
      </c>
      <c r="E583" s="2" t="n">
        <v>46119</v>
      </c>
      <c r="F583" t="inlineStr">
        <is>
          <t>Pass</t>
        </is>
      </c>
      <c r="G583" t="n">
        <v>107</v>
      </c>
      <c r="H583" t="n">
        <v>80.2</v>
      </c>
      <c r="I583" t="n">
        <v>-1957.8</v>
      </c>
      <c r="J583" t="n">
        <v>70</v>
      </c>
      <c r="K583" t="n">
        <v>0</v>
      </c>
      <c r="L583" t="n">
        <v>1.1</v>
      </c>
      <c r="M583" t="n">
        <v>0</v>
      </c>
      <c r="N583" t="n">
        <v>71.09999999999999</v>
      </c>
      <c r="O583" t="n">
        <v>111.79</v>
      </c>
      <c r="P583" t="n">
        <v>113.26</v>
      </c>
      <c r="Q583" t="n">
        <v>3.96</v>
      </c>
      <c r="R583" t="n">
        <v>4</v>
      </c>
      <c r="S583">
        <f>IF(OR(G583=0,G583=""),"",ABS((G583-IF($C583="LT",Config!$F$2,Config!$F$14))/IF($C583="LT",Config!$G$2,Config!$G$14)))</f>
        <v/>
      </c>
      <c r="T583">
        <f>IF(OR(H583=0,H583=""),"",ABS((H583-IF($C583="LT",Config!$F$3,Config!$F$15))/IF($C583="LT",Config!$G$3,Config!$G$15)))</f>
        <v/>
      </c>
      <c r="U583">
        <f>IF(OR(I583=0,I583=""),"",ABS((I583-IF($C583="LT",Config!$F$4,Config!$F$16))/IF($C583="LT",Config!$G$4,Config!$G$16)))</f>
        <v/>
      </c>
      <c r="V583">
        <f>IF(OR(J583=0,J583=""),"",ABS((J583-IF($C583="LT",Config!$F$5,Config!$F$17))/IF($C583="LT",Config!$G$5,Config!$G$17)))</f>
        <v/>
      </c>
      <c r="W583">
        <f>IF(OR(K583=0,K583=""),"",ABS((K583-IF($C583="LT",Config!$F$6,Config!$F$18))/IF($C583="LT",Config!$G$6,Config!$G$18)))</f>
        <v/>
      </c>
      <c r="X583">
        <f>IF(OR(L583=0,L583=""),"",ABS((L583-IF($C583="LT",Config!$F$7,Config!$F$19))/IF($C583="LT",Config!$G$7,Config!$G$19)))</f>
        <v/>
      </c>
      <c r="Y583">
        <f>IF(OR(M583=0,M583=""),"",ABS((M583-IF($C583="LT",Config!$F$8,Config!$F$20))/IF($C583="LT",Config!$G$8,Config!$G$20)))</f>
        <v/>
      </c>
      <c r="Z583">
        <f>IF(OR(N583=0,N583=""),"",ABS((N583-IF($C583="LT",Config!$F$9,Config!$F$21))/IF($C583="LT",Config!$G$9,Config!$G$21)))</f>
        <v/>
      </c>
      <c r="AA583">
        <f>IF(OR(O583=0,O583=""),"",ABS((O583-IF($C583="LT",Config!$F$10,Config!$F$22))/IF($C583="LT",Config!$G$10,Config!$G$22)))</f>
        <v/>
      </c>
      <c r="AB583">
        <f>IF(OR(P583=0,P583=""),"",ABS((P583-IF($C583="LT",Config!$F$11,Config!$F$23))/IF($C583="LT",Config!$G$11,Config!$G$23)))</f>
        <v/>
      </c>
      <c r="AC583">
        <f>IF(OR(Q583=0,Q583=""),"",ABS((Q583-IF($C583="LT",Config!$F$12,Config!$F$24))/IF($C583="LT",Config!$G$12,Config!$G$24)))</f>
        <v/>
      </c>
      <c r="AD583">
        <f>IF(OR(R583=0,R583=""),"",ABS((R583-IF($C583="LT",Config!$F$13,Config!$F$25))/IF($C583="LT",Config!$G$13,Config!$G$25)))</f>
        <v/>
      </c>
    </row>
    <row r="584">
      <c r="A584" t="inlineStr">
        <is>
          <t>04D0726121268</t>
        </is>
      </c>
      <c r="B584" t="inlineStr">
        <is>
          <t>CRS0000674</t>
        </is>
      </c>
      <c r="C584" t="inlineStr">
        <is>
          <t>MT</t>
        </is>
      </c>
      <c r="D584" t="inlineStr">
        <is>
          <t>TCX413U-DS1B01</t>
        </is>
      </c>
      <c r="E584" s="2" t="n">
        <v>46119</v>
      </c>
      <c r="F584" t="inlineStr">
        <is>
          <t>Pass</t>
        </is>
      </c>
      <c r="G584" t="n">
        <v>116.9</v>
      </c>
      <c r="H584" t="n">
        <v>81.09999999999999</v>
      </c>
      <c r="I584" t="n">
        <v>-1957.8</v>
      </c>
      <c r="J584" t="n">
        <v>70.40000000000001</v>
      </c>
      <c r="K584" t="n">
        <v>0</v>
      </c>
      <c r="L584" t="n">
        <v>2.1</v>
      </c>
      <c r="M584" t="n">
        <v>0</v>
      </c>
      <c r="N584" t="n">
        <v>72.5</v>
      </c>
      <c r="O584" t="n">
        <v>111.86</v>
      </c>
      <c r="P584" t="n">
        <v>113.4</v>
      </c>
      <c r="Q584" t="n">
        <v>3.83</v>
      </c>
      <c r="R584" t="n">
        <v>3.86</v>
      </c>
      <c r="S584">
        <f>IF(OR(G584=0,G584=""),"",ABS((G584-IF($C584="LT",Config!$F$2,Config!$F$14))/IF($C584="LT",Config!$G$2,Config!$G$14)))</f>
        <v/>
      </c>
      <c r="T584">
        <f>IF(OR(H584=0,H584=""),"",ABS((H584-IF($C584="LT",Config!$F$3,Config!$F$15))/IF($C584="LT",Config!$G$3,Config!$G$15)))</f>
        <v/>
      </c>
      <c r="U584">
        <f>IF(OR(I584=0,I584=""),"",ABS((I584-IF($C584="LT",Config!$F$4,Config!$F$16))/IF($C584="LT",Config!$G$4,Config!$G$16)))</f>
        <v/>
      </c>
      <c r="V584">
        <f>IF(OR(J584=0,J584=""),"",ABS((J584-IF($C584="LT",Config!$F$5,Config!$F$17))/IF($C584="LT",Config!$G$5,Config!$G$17)))</f>
        <v/>
      </c>
      <c r="W584">
        <f>IF(OR(K584=0,K584=""),"",ABS((K584-IF($C584="LT",Config!$F$6,Config!$F$18))/IF($C584="LT",Config!$G$6,Config!$G$18)))</f>
        <v/>
      </c>
      <c r="X584">
        <f>IF(OR(L584=0,L584=""),"",ABS((L584-IF($C584="LT",Config!$F$7,Config!$F$19))/IF($C584="LT",Config!$G$7,Config!$G$19)))</f>
        <v/>
      </c>
      <c r="Y584">
        <f>IF(OR(M584=0,M584=""),"",ABS((M584-IF($C584="LT",Config!$F$8,Config!$F$20))/IF($C584="LT",Config!$G$8,Config!$G$20)))</f>
        <v/>
      </c>
      <c r="Z584">
        <f>IF(OR(N584=0,N584=""),"",ABS((N584-IF($C584="LT",Config!$F$9,Config!$F$21))/IF($C584="LT",Config!$G$9,Config!$G$21)))</f>
        <v/>
      </c>
      <c r="AA584">
        <f>IF(OR(O584=0,O584=""),"",ABS((O584-IF($C584="LT",Config!$F$10,Config!$F$22))/IF($C584="LT",Config!$G$10,Config!$G$22)))</f>
        <v/>
      </c>
      <c r="AB584">
        <f>IF(OR(P584=0,P584=""),"",ABS((P584-IF($C584="LT",Config!$F$11,Config!$F$23))/IF($C584="LT",Config!$G$11,Config!$G$23)))</f>
        <v/>
      </c>
      <c r="AC584">
        <f>IF(OR(Q584=0,Q584=""),"",ABS((Q584-IF($C584="LT",Config!$F$12,Config!$F$24))/IF($C584="LT",Config!$G$12,Config!$G$24)))</f>
        <v/>
      </c>
      <c r="AD584">
        <f>IF(OR(R584=0,R584=""),"",ABS((R584-IF($C584="LT",Config!$F$13,Config!$F$25))/IF($C584="LT",Config!$G$13,Config!$G$25)))</f>
        <v/>
      </c>
    </row>
    <row r="585">
      <c r="A585" t="inlineStr">
        <is>
          <t>04D0726121269</t>
        </is>
      </c>
      <c r="B585" t="inlineStr">
        <is>
          <t>CRS0000674</t>
        </is>
      </c>
      <c r="C585" t="inlineStr">
        <is>
          <t>MT</t>
        </is>
      </c>
      <c r="D585" t="inlineStr">
        <is>
          <t>TCX413U-DS1B01</t>
        </is>
      </c>
      <c r="E585" s="2" t="n">
        <v>46120</v>
      </c>
      <c r="F585" t="inlineStr">
        <is>
          <t>Fail</t>
        </is>
      </c>
      <c r="G585" t="n">
        <v>95.90000000000001</v>
      </c>
      <c r="H585" t="n">
        <v>76.09999999999999</v>
      </c>
      <c r="I585" t="n">
        <v>-1957.8</v>
      </c>
      <c r="J585" t="n">
        <v>67.3</v>
      </c>
      <c r="K585" t="n">
        <v>0</v>
      </c>
      <c r="L585" t="n">
        <v>0.4</v>
      </c>
      <c r="M585" t="n">
        <v>0</v>
      </c>
      <c r="N585" t="n">
        <v>67.7</v>
      </c>
      <c r="O585" t="n">
        <v>112.08</v>
      </c>
      <c r="P585" t="n">
        <v>116.19</v>
      </c>
      <c r="Q585" t="n">
        <v>3.74</v>
      </c>
      <c r="R585" t="n">
        <v>3.81</v>
      </c>
      <c r="S585">
        <f>IF(OR(G585=0,G585=""),"",ABS((G585-IF($C585="LT",Config!$F$2,Config!$F$14))/IF($C585="LT",Config!$G$2,Config!$G$14)))</f>
        <v/>
      </c>
      <c r="T585">
        <f>IF(OR(H585=0,H585=""),"",ABS((H585-IF($C585="LT",Config!$F$3,Config!$F$15))/IF($C585="LT",Config!$G$3,Config!$G$15)))</f>
        <v/>
      </c>
      <c r="U585">
        <f>IF(OR(I585=0,I585=""),"",ABS((I585-IF($C585="LT",Config!$F$4,Config!$F$16))/IF($C585="LT",Config!$G$4,Config!$G$16)))</f>
        <v/>
      </c>
      <c r="V585">
        <f>IF(OR(J585=0,J585=""),"",ABS((J585-IF($C585="LT",Config!$F$5,Config!$F$17))/IF($C585="LT",Config!$G$5,Config!$G$17)))</f>
        <v/>
      </c>
      <c r="W585">
        <f>IF(OR(K585=0,K585=""),"",ABS((K585-IF($C585="LT",Config!$F$6,Config!$F$18))/IF($C585="LT",Config!$G$6,Config!$G$18)))</f>
        <v/>
      </c>
      <c r="X585">
        <f>IF(OR(L585=0,L585=""),"",ABS((L585-IF($C585="LT",Config!$F$7,Config!$F$19))/IF($C585="LT",Config!$G$7,Config!$G$19)))</f>
        <v/>
      </c>
      <c r="Y585">
        <f>IF(OR(M585=0,M585=""),"",ABS((M585-IF($C585="LT",Config!$F$8,Config!$F$20))/IF($C585="LT",Config!$G$8,Config!$G$20)))</f>
        <v/>
      </c>
      <c r="Z585">
        <f>IF(OR(N585=0,N585=""),"",ABS((N585-IF($C585="LT",Config!$F$9,Config!$F$21))/IF($C585="LT",Config!$G$9,Config!$G$21)))</f>
        <v/>
      </c>
      <c r="AA585">
        <f>IF(OR(O585=0,O585=""),"",ABS((O585-IF($C585="LT",Config!$F$10,Config!$F$22))/IF($C585="LT",Config!$G$10,Config!$G$22)))</f>
        <v/>
      </c>
      <c r="AB585">
        <f>IF(OR(P585=0,P585=""),"",ABS((P585-IF($C585="LT",Config!$F$11,Config!$F$23))/IF($C585="LT",Config!$G$11,Config!$G$23)))</f>
        <v/>
      </c>
      <c r="AC585">
        <f>IF(OR(Q585=0,Q585=""),"",ABS((Q585-IF($C585="LT",Config!$F$12,Config!$F$24))/IF($C585="LT",Config!$G$12,Config!$G$24)))</f>
        <v/>
      </c>
      <c r="AD585">
        <f>IF(OR(R585=0,R585=""),"",ABS((R585-IF($C585="LT",Config!$F$13,Config!$F$25))/IF($C585="LT",Config!$G$13,Config!$G$25)))</f>
        <v/>
      </c>
    </row>
    <row r="586">
      <c r="A586" t="inlineStr">
        <is>
          <t>04D0726121269</t>
        </is>
      </c>
      <c r="B586" t="inlineStr">
        <is>
          <t>CRS0000674</t>
        </is>
      </c>
      <c r="C586" t="inlineStr">
        <is>
          <t>MT</t>
        </is>
      </c>
      <c r="D586" t="inlineStr">
        <is>
          <t>TCX413U-DS1B01</t>
        </is>
      </c>
      <c r="E586" s="2" t="n">
        <v>46120</v>
      </c>
      <c r="F586" t="inlineStr">
        <is>
          <t>Fail</t>
        </is>
      </c>
      <c r="G586" t="n">
        <v>112.9</v>
      </c>
      <c r="H586" t="n">
        <v>70.7</v>
      </c>
      <c r="I586" t="n">
        <v>-1957.8</v>
      </c>
      <c r="J586" t="n">
        <v>67.3</v>
      </c>
      <c r="K586" t="n">
        <v>0</v>
      </c>
      <c r="L586" t="n">
        <v>0.9</v>
      </c>
      <c r="M586" t="n">
        <v>0</v>
      </c>
      <c r="N586" t="n">
        <v>68.2</v>
      </c>
      <c r="O586" t="n">
        <v>112.01</v>
      </c>
      <c r="P586" t="n">
        <v>113.4</v>
      </c>
      <c r="Q586" t="n">
        <v>3.83</v>
      </c>
      <c r="R586" t="n">
        <v>3.91</v>
      </c>
      <c r="S586">
        <f>IF(OR(G586=0,G586=""),"",ABS((G586-IF($C586="LT",Config!$F$2,Config!$F$14))/IF($C586="LT",Config!$G$2,Config!$G$14)))</f>
        <v/>
      </c>
      <c r="T586">
        <f>IF(OR(H586=0,H586=""),"",ABS((H586-IF($C586="LT",Config!$F$3,Config!$F$15))/IF($C586="LT",Config!$G$3,Config!$G$15)))</f>
        <v/>
      </c>
      <c r="U586">
        <f>IF(OR(I586=0,I586=""),"",ABS((I586-IF($C586="LT",Config!$F$4,Config!$F$16))/IF($C586="LT",Config!$G$4,Config!$G$16)))</f>
        <v/>
      </c>
      <c r="V586">
        <f>IF(OR(J586=0,J586=""),"",ABS((J586-IF($C586="LT",Config!$F$5,Config!$F$17))/IF($C586="LT",Config!$G$5,Config!$G$17)))</f>
        <v/>
      </c>
      <c r="W586">
        <f>IF(OR(K586=0,K586=""),"",ABS((K586-IF($C586="LT",Config!$F$6,Config!$F$18))/IF($C586="LT",Config!$G$6,Config!$G$18)))</f>
        <v/>
      </c>
      <c r="X586">
        <f>IF(OR(L586=0,L586=""),"",ABS((L586-IF($C586="LT",Config!$F$7,Config!$F$19))/IF($C586="LT",Config!$G$7,Config!$G$19)))</f>
        <v/>
      </c>
      <c r="Y586">
        <f>IF(OR(M586=0,M586=""),"",ABS((M586-IF($C586="LT",Config!$F$8,Config!$F$20))/IF($C586="LT",Config!$G$8,Config!$G$20)))</f>
        <v/>
      </c>
      <c r="Z586">
        <f>IF(OR(N586=0,N586=""),"",ABS((N586-IF($C586="LT",Config!$F$9,Config!$F$21))/IF($C586="LT",Config!$G$9,Config!$G$21)))</f>
        <v/>
      </c>
      <c r="AA586">
        <f>IF(OR(O586=0,O586=""),"",ABS((O586-IF($C586="LT",Config!$F$10,Config!$F$22))/IF($C586="LT",Config!$G$10,Config!$G$22)))</f>
        <v/>
      </c>
      <c r="AB586">
        <f>IF(OR(P586=0,P586=""),"",ABS((P586-IF($C586="LT",Config!$F$11,Config!$F$23))/IF($C586="LT",Config!$G$11,Config!$G$23)))</f>
        <v/>
      </c>
      <c r="AC586">
        <f>IF(OR(Q586=0,Q586=""),"",ABS((Q586-IF($C586="LT",Config!$F$12,Config!$F$24))/IF($C586="LT",Config!$G$12,Config!$G$24)))</f>
        <v/>
      </c>
      <c r="AD586">
        <f>IF(OR(R586=0,R586=""),"",ABS((R586-IF($C586="LT",Config!$F$13,Config!$F$25))/IF($C586="LT",Config!$G$13,Config!$G$25)))</f>
        <v/>
      </c>
    </row>
    <row r="587">
      <c r="A587" t="inlineStr">
        <is>
          <t>04D0726121269</t>
        </is>
      </c>
      <c r="B587" t="inlineStr">
        <is>
          <t>CRS0000674</t>
        </is>
      </c>
      <c r="C587" t="inlineStr">
        <is>
          <t>MT</t>
        </is>
      </c>
      <c r="D587" t="inlineStr">
        <is>
          <t>TCX413U-DS1B01</t>
        </is>
      </c>
      <c r="E587" s="2" t="n">
        <v>46120</v>
      </c>
      <c r="F587" t="inlineStr">
        <is>
          <t>Pass</t>
        </is>
      </c>
      <c r="G587" t="n">
        <v>115.5</v>
      </c>
      <c r="H587" t="n">
        <v>77.5</v>
      </c>
      <c r="I587" t="n">
        <v>-1957.8</v>
      </c>
      <c r="J587" t="n">
        <v>67.3</v>
      </c>
      <c r="K587" t="n">
        <v>0</v>
      </c>
      <c r="L587" t="n">
        <v>0.9</v>
      </c>
      <c r="M587" t="n">
        <v>0</v>
      </c>
      <c r="N587" t="n">
        <v>68.2</v>
      </c>
      <c r="O587" t="n">
        <v>111.72</v>
      </c>
      <c r="P587" t="n">
        <v>113.26</v>
      </c>
      <c r="Q587" t="n">
        <v>3.98</v>
      </c>
      <c r="R587" t="n">
        <v>3.98</v>
      </c>
      <c r="S587">
        <f>IF(OR(G587=0,G587=""),"",ABS((G587-IF($C587="LT",Config!$F$2,Config!$F$14))/IF($C587="LT",Config!$G$2,Config!$G$14)))</f>
        <v/>
      </c>
      <c r="T587">
        <f>IF(OR(H587=0,H587=""),"",ABS((H587-IF($C587="LT",Config!$F$3,Config!$F$15))/IF($C587="LT",Config!$G$3,Config!$G$15)))</f>
        <v/>
      </c>
      <c r="U587">
        <f>IF(OR(I587=0,I587=""),"",ABS((I587-IF($C587="LT",Config!$F$4,Config!$F$16))/IF($C587="LT",Config!$G$4,Config!$G$16)))</f>
        <v/>
      </c>
      <c r="V587">
        <f>IF(OR(J587=0,J587=""),"",ABS((J587-IF($C587="LT",Config!$F$5,Config!$F$17))/IF($C587="LT",Config!$G$5,Config!$G$17)))</f>
        <v/>
      </c>
      <c r="W587">
        <f>IF(OR(K587=0,K587=""),"",ABS((K587-IF($C587="LT",Config!$F$6,Config!$F$18))/IF($C587="LT",Config!$G$6,Config!$G$18)))</f>
        <v/>
      </c>
      <c r="X587">
        <f>IF(OR(L587=0,L587=""),"",ABS((L587-IF($C587="LT",Config!$F$7,Config!$F$19))/IF($C587="LT",Config!$G$7,Config!$G$19)))</f>
        <v/>
      </c>
      <c r="Y587">
        <f>IF(OR(M587=0,M587=""),"",ABS((M587-IF($C587="LT",Config!$F$8,Config!$F$20))/IF($C587="LT",Config!$G$8,Config!$G$20)))</f>
        <v/>
      </c>
      <c r="Z587">
        <f>IF(OR(N587=0,N587=""),"",ABS((N587-IF($C587="LT",Config!$F$9,Config!$F$21))/IF($C587="LT",Config!$G$9,Config!$G$21)))</f>
        <v/>
      </c>
      <c r="AA587">
        <f>IF(OR(O587=0,O587=""),"",ABS((O587-IF($C587="LT",Config!$F$10,Config!$F$22))/IF($C587="LT",Config!$G$10,Config!$G$22)))</f>
        <v/>
      </c>
      <c r="AB587">
        <f>IF(OR(P587=0,P587=""),"",ABS((P587-IF($C587="LT",Config!$F$11,Config!$F$23))/IF($C587="LT",Config!$G$11,Config!$G$23)))</f>
        <v/>
      </c>
      <c r="AC587">
        <f>IF(OR(Q587=0,Q587=""),"",ABS((Q587-IF($C587="LT",Config!$F$12,Config!$F$24))/IF($C587="LT",Config!$G$12,Config!$G$24)))</f>
        <v/>
      </c>
      <c r="AD587">
        <f>IF(OR(R587=0,R587=""),"",ABS((R587-IF($C587="LT",Config!$F$13,Config!$F$25))/IF($C587="LT",Config!$G$13,Config!$G$25)))</f>
        <v/>
      </c>
    </row>
    <row r="588">
      <c r="A588" t="inlineStr">
        <is>
          <t>04D0726121270</t>
        </is>
      </c>
      <c r="B588" t="inlineStr">
        <is>
          <t>CRS0000674</t>
        </is>
      </c>
      <c r="C588" t="inlineStr">
        <is>
          <t>MT</t>
        </is>
      </c>
      <c r="D588" t="inlineStr">
        <is>
          <t>TCX413U-DS1B01</t>
        </is>
      </c>
      <c r="E588" s="2" t="n">
        <v>46120</v>
      </c>
      <c r="F588" t="inlineStr">
        <is>
          <t>Pass</t>
        </is>
      </c>
      <c r="G588" t="n">
        <v>112</v>
      </c>
      <c r="H588" t="n">
        <v>77.90000000000001</v>
      </c>
      <c r="I588" t="n">
        <v>-1957.8</v>
      </c>
      <c r="J588" t="n">
        <v>67.7</v>
      </c>
      <c r="K588" t="n">
        <v>0</v>
      </c>
      <c r="L588" t="n">
        <v>1.9</v>
      </c>
      <c r="M588" t="n">
        <v>0</v>
      </c>
      <c r="N588" t="n">
        <v>69.59999999999999</v>
      </c>
      <c r="O588" t="n">
        <v>111.5</v>
      </c>
      <c r="P588" t="n">
        <v>117.95</v>
      </c>
      <c r="Q588" t="n">
        <v>3.93</v>
      </c>
      <c r="R588" t="n">
        <v>3.86</v>
      </c>
      <c r="S588">
        <f>IF(OR(G588=0,G588=""),"",ABS((G588-IF($C588="LT",Config!$F$2,Config!$F$14))/IF($C588="LT",Config!$G$2,Config!$G$14)))</f>
        <v/>
      </c>
      <c r="T588">
        <f>IF(OR(H588=0,H588=""),"",ABS((H588-IF($C588="LT",Config!$F$3,Config!$F$15))/IF($C588="LT",Config!$G$3,Config!$G$15)))</f>
        <v/>
      </c>
      <c r="U588">
        <f>IF(OR(I588=0,I588=""),"",ABS((I588-IF($C588="LT",Config!$F$4,Config!$F$16))/IF($C588="LT",Config!$G$4,Config!$G$16)))</f>
        <v/>
      </c>
      <c r="V588">
        <f>IF(OR(J588=0,J588=""),"",ABS((J588-IF($C588="LT",Config!$F$5,Config!$F$17))/IF($C588="LT",Config!$G$5,Config!$G$17)))</f>
        <v/>
      </c>
      <c r="W588">
        <f>IF(OR(K588=0,K588=""),"",ABS((K588-IF($C588="LT",Config!$F$6,Config!$F$18))/IF($C588="LT",Config!$G$6,Config!$G$18)))</f>
        <v/>
      </c>
      <c r="X588">
        <f>IF(OR(L588=0,L588=""),"",ABS((L588-IF($C588="LT",Config!$F$7,Config!$F$19))/IF($C588="LT",Config!$G$7,Config!$G$19)))</f>
        <v/>
      </c>
      <c r="Y588">
        <f>IF(OR(M588=0,M588=""),"",ABS((M588-IF($C588="LT",Config!$F$8,Config!$F$20))/IF($C588="LT",Config!$G$8,Config!$G$20)))</f>
        <v/>
      </c>
      <c r="Z588">
        <f>IF(OR(N588=0,N588=""),"",ABS((N588-IF($C588="LT",Config!$F$9,Config!$F$21))/IF($C588="LT",Config!$G$9,Config!$G$21)))</f>
        <v/>
      </c>
      <c r="AA588">
        <f>IF(OR(O588=0,O588=""),"",ABS((O588-IF($C588="LT",Config!$F$10,Config!$F$22))/IF($C588="LT",Config!$G$10,Config!$G$22)))</f>
        <v/>
      </c>
      <c r="AB588">
        <f>IF(OR(P588=0,P588=""),"",ABS((P588-IF($C588="LT",Config!$F$11,Config!$F$23))/IF($C588="LT",Config!$G$11,Config!$G$23)))</f>
        <v/>
      </c>
      <c r="AC588">
        <f>IF(OR(Q588=0,Q588=""),"",ABS((Q588-IF($C588="LT",Config!$F$12,Config!$F$24))/IF($C588="LT",Config!$G$12,Config!$G$24)))</f>
        <v/>
      </c>
      <c r="AD588">
        <f>IF(OR(R588=0,R588=""),"",ABS((R588-IF($C588="LT",Config!$F$13,Config!$F$25))/IF($C588="LT",Config!$G$13,Config!$G$25)))</f>
        <v/>
      </c>
    </row>
    <row r="589">
      <c r="A589" t="inlineStr">
        <is>
          <t>04D0726121270</t>
        </is>
      </c>
      <c r="B589" t="inlineStr">
        <is>
          <t>CRS0000674</t>
        </is>
      </c>
      <c r="C589" t="inlineStr">
        <is>
          <t>MT</t>
        </is>
      </c>
      <c r="D589" t="inlineStr">
        <is>
          <t>TCX413U-DS1B01</t>
        </is>
      </c>
      <c r="E589" s="2" t="n">
        <v>46120</v>
      </c>
      <c r="F589" t="inlineStr">
        <is>
          <t>Pass</t>
        </is>
      </c>
      <c r="G589" t="n">
        <v>117.3</v>
      </c>
      <c r="H589" t="n">
        <v>77</v>
      </c>
      <c r="I589" t="n">
        <v>-1957.8</v>
      </c>
      <c r="J589" t="n">
        <v>68.2</v>
      </c>
      <c r="K589" t="n">
        <v>0</v>
      </c>
      <c r="L589" t="n">
        <v>0.4</v>
      </c>
      <c r="M589" t="n">
        <v>0</v>
      </c>
      <c r="N589" t="n">
        <v>68.59999999999999</v>
      </c>
      <c r="O589" t="n">
        <v>112.01</v>
      </c>
      <c r="P589" t="n">
        <v>116.7</v>
      </c>
      <c r="Q589" t="n">
        <v>3.91</v>
      </c>
      <c r="R589" t="n">
        <v>3.86</v>
      </c>
      <c r="S589">
        <f>IF(OR(G589=0,G589=""),"",ABS((G589-IF($C589="LT",Config!$F$2,Config!$F$14))/IF($C589="LT",Config!$G$2,Config!$G$14)))</f>
        <v/>
      </c>
      <c r="T589">
        <f>IF(OR(H589=0,H589=""),"",ABS((H589-IF($C589="LT",Config!$F$3,Config!$F$15))/IF($C589="LT",Config!$G$3,Config!$G$15)))</f>
        <v/>
      </c>
      <c r="U589">
        <f>IF(OR(I589=0,I589=""),"",ABS((I589-IF($C589="LT",Config!$F$4,Config!$F$16))/IF($C589="LT",Config!$G$4,Config!$G$16)))</f>
        <v/>
      </c>
      <c r="V589">
        <f>IF(OR(J589=0,J589=""),"",ABS((J589-IF($C589="LT",Config!$F$5,Config!$F$17))/IF($C589="LT",Config!$G$5,Config!$G$17)))</f>
        <v/>
      </c>
      <c r="W589">
        <f>IF(OR(K589=0,K589=""),"",ABS((K589-IF($C589="LT",Config!$F$6,Config!$F$18))/IF($C589="LT",Config!$G$6,Config!$G$18)))</f>
        <v/>
      </c>
      <c r="X589">
        <f>IF(OR(L589=0,L589=""),"",ABS((L589-IF($C589="LT",Config!$F$7,Config!$F$19))/IF($C589="LT",Config!$G$7,Config!$G$19)))</f>
        <v/>
      </c>
      <c r="Y589">
        <f>IF(OR(M589=0,M589=""),"",ABS((M589-IF($C589="LT",Config!$F$8,Config!$F$20))/IF($C589="LT",Config!$G$8,Config!$G$20)))</f>
        <v/>
      </c>
      <c r="Z589">
        <f>IF(OR(N589=0,N589=""),"",ABS((N589-IF($C589="LT",Config!$F$9,Config!$F$21))/IF($C589="LT",Config!$G$9,Config!$G$21)))</f>
        <v/>
      </c>
      <c r="AA589">
        <f>IF(OR(O589=0,O589=""),"",ABS((O589-IF($C589="LT",Config!$F$10,Config!$F$22))/IF($C589="LT",Config!$G$10,Config!$G$22)))</f>
        <v/>
      </c>
      <c r="AB589">
        <f>IF(OR(P589=0,P589=""),"",ABS((P589-IF($C589="LT",Config!$F$11,Config!$F$23))/IF($C589="LT",Config!$G$11,Config!$G$23)))</f>
        <v/>
      </c>
      <c r="AC589">
        <f>IF(OR(Q589=0,Q589=""),"",ABS((Q589-IF($C589="LT",Config!$F$12,Config!$F$24))/IF($C589="LT",Config!$G$12,Config!$G$24)))</f>
        <v/>
      </c>
      <c r="AD589">
        <f>IF(OR(R589=0,R589=""),"",ABS((R589-IF($C589="LT",Config!$F$13,Config!$F$25))/IF($C589="LT",Config!$G$13,Config!$G$25)))</f>
        <v/>
      </c>
    </row>
    <row r="590">
      <c r="A590" t="inlineStr">
        <is>
          <t>04D0726121271</t>
        </is>
      </c>
      <c r="B590" t="inlineStr">
        <is>
          <t>CRS0000674</t>
        </is>
      </c>
      <c r="C590" t="inlineStr">
        <is>
          <t>MT</t>
        </is>
      </c>
      <c r="D590" t="inlineStr">
        <is>
          <t>TCX413U-DS1B01</t>
        </is>
      </c>
      <c r="E590" s="2" t="n">
        <v>46120</v>
      </c>
      <c r="F590" t="inlineStr">
        <is>
          <t>Pass</t>
        </is>
      </c>
      <c r="G590" t="n">
        <v>110.6</v>
      </c>
      <c r="H590" t="n">
        <v>77</v>
      </c>
      <c r="I590" t="n">
        <v>-1957.8</v>
      </c>
      <c r="J590" t="n">
        <v>68.2</v>
      </c>
      <c r="K590" t="n">
        <v>0</v>
      </c>
      <c r="L590" t="n">
        <v>0.2</v>
      </c>
      <c r="M590" t="n">
        <v>0</v>
      </c>
      <c r="N590" t="n">
        <v>68</v>
      </c>
      <c r="O590" t="n">
        <v>112.38</v>
      </c>
      <c r="P590" t="n">
        <v>116.56</v>
      </c>
      <c r="Q590" t="n">
        <v>3.71</v>
      </c>
      <c r="R590" t="n">
        <v>3.71</v>
      </c>
      <c r="S590">
        <f>IF(OR(G590=0,G590=""),"",ABS((G590-IF($C590="LT",Config!$F$2,Config!$F$14))/IF($C590="LT",Config!$G$2,Config!$G$14)))</f>
        <v/>
      </c>
      <c r="T590">
        <f>IF(OR(H590=0,H590=""),"",ABS((H590-IF($C590="LT",Config!$F$3,Config!$F$15))/IF($C590="LT",Config!$G$3,Config!$G$15)))</f>
        <v/>
      </c>
      <c r="U590">
        <f>IF(OR(I590=0,I590=""),"",ABS((I590-IF($C590="LT",Config!$F$4,Config!$F$16))/IF($C590="LT",Config!$G$4,Config!$G$16)))</f>
        <v/>
      </c>
      <c r="V590">
        <f>IF(OR(J590=0,J590=""),"",ABS((J590-IF($C590="LT",Config!$F$5,Config!$F$17))/IF($C590="LT",Config!$G$5,Config!$G$17)))</f>
        <v/>
      </c>
      <c r="W590">
        <f>IF(OR(K590=0,K590=""),"",ABS((K590-IF($C590="LT",Config!$F$6,Config!$F$18))/IF($C590="LT",Config!$G$6,Config!$G$18)))</f>
        <v/>
      </c>
      <c r="X590">
        <f>IF(OR(L590=0,L590=""),"",ABS((L590-IF($C590="LT",Config!$F$7,Config!$F$19))/IF($C590="LT",Config!$G$7,Config!$G$19)))</f>
        <v/>
      </c>
      <c r="Y590">
        <f>IF(OR(M590=0,M590=""),"",ABS((M590-IF($C590="LT",Config!$F$8,Config!$F$20))/IF($C590="LT",Config!$G$8,Config!$G$20)))</f>
        <v/>
      </c>
      <c r="Z590">
        <f>IF(OR(N590=0,N590=""),"",ABS((N590-IF($C590="LT",Config!$F$9,Config!$F$21))/IF($C590="LT",Config!$G$9,Config!$G$21)))</f>
        <v/>
      </c>
      <c r="AA590">
        <f>IF(OR(O590=0,O590=""),"",ABS((O590-IF($C590="LT",Config!$F$10,Config!$F$22))/IF($C590="LT",Config!$G$10,Config!$G$22)))</f>
        <v/>
      </c>
      <c r="AB590">
        <f>IF(OR(P590=0,P590=""),"",ABS((P590-IF($C590="LT",Config!$F$11,Config!$F$23))/IF($C590="LT",Config!$G$11,Config!$G$23)))</f>
        <v/>
      </c>
      <c r="AC590">
        <f>IF(OR(Q590=0,Q590=""),"",ABS((Q590-IF($C590="LT",Config!$F$12,Config!$F$24))/IF($C590="LT",Config!$G$12,Config!$G$24)))</f>
        <v/>
      </c>
      <c r="AD590">
        <f>IF(OR(R590=0,R590=""),"",ABS((R590-IF($C590="LT",Config!$F$13,Config!$F$25))/IF($C590="LT",Config!$G$13,Config!$G$25)))</f>
        <v/>
      </c>
    </row>
    <row r="591">
      <c r="A591" t="inlineStr">
        <is>
          <t>04D0726121272</t>
        </is>
      </c>
      <c r="B591" t="inlineStr">
        <is>
          <t>CRS0000674</t>
        </is>
      </c>
      <c r="C591" t="inlineStr">
        <is>
          <t>MT</t>
        </is>
      </c>
      <c r="D591" t="inlineStr">
        <is>
          <t>TCX413U-DS1B01</t>
        </is>
      </c>
      <c r="E591" s="2" t="n">
        <v>46120</v>
      </c>
      <c r="F591" t="inlineStr">
        <is>
          <t>Fail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>
        <f>IF(OR(G591=0,G591=""),"",ABS((G591-IF($C591="LT",Config!$F$2,Config!$F$14))/IF($C591="LT",Config!$G$2,Config!$G$14)))</f>
        <v/>
      </c>
      <c r="T591">
        <f>IF(OR(H591=0,H591=""),"",ABS((H591-IF($C591="LT",Config!$F$3,Config!$F$15))/IF($C591="LT",Config!$G$3,Config!$G$15)))</f>
        <v/>
      </c>
      <c r="U591">
        <f>IF(OR(I591=0,I591=""),"",ABS((I591-IF($C591="LT",Config!$F$4,Config!$F$16))/IF($C591="LT",Config!$G$4,Config!$G$16)))</f>
        <v/>
      </c>
      <c r="V591">
        <f>IF(OR(J591=0,J591=""),"",ABS((J591-IF($C591="LT",Config!$F$5,Config!$F$17))/IF($C591="LT",Config!$G$5,Config!$G$17)))</f>
        <v/>
      </c>
      <c r="W591">
        <f>IF(OR(K591=0,K591=""),"",ABS((K591-IF($C591="LT",Config!$F$6,Config!$F$18))/IF($C591="LT",Config!$G$6,Config!$G$18)))</f>
        <v/>
      </c>
      <c r="X591">
        <f>IF(OR(L591=0,L591=""),"",ABS((L591-IF($C591="LT",Config!$F$7,Config!$F$19))/IF($C591="LT",Config!$G$7,Config!$G$19)))</f>
        <v/>
      </c>
      <c r="Y591">
        <f>IF(OR(M591=0,M591=""),"",ABS((M591-IF($C591="LT",Config!$F$8,Config!$F$20))/IF($C591="LT",Config!$G$8,Config!$G$20)))</f>
        <v/>
      </c>
      <c r="Z591">
        <f>IF(OR(N591=0,N591=""),"",ABS((N591-IF($C591="LT",Config!$F$9,Config!$F$21))/IF($C591="LT",Config!$G$9,Config!$G$21)))</f>
        <v/>
      </c>
      <c r="AA591">
        <f>IF(OR(O591=0,O591=""),"",ABS((O591-IF($C591="LT",Config!$F$10,Config!$F$22))/IF($C591="LT",Config!$G$10,Config!$G$22)))</f>
        <v/>
      </c>
      <c r="AB591">
        <f>IF(OR(P591=0,P591=""),"",ABS((P591-IF($C591="LT",Config!$F$11,Config!$F$23))/IF($C591="LT",Config!$G$11,Config!$G$23)))</f>
        <v/>
      </c>
      <c r="AC591">
        <f>IF(OR(Q591=0,Q591=""),"",ABS((Q591-IF($C591="LT",Config!$F$12,Config!$F$24))/IF($C591="LT",Config!$G$12,Config!$G$24)))</f>
        <v/>
      </c>
      <c r="AD591">
        <f>IF(OR(R591=0,R591=""),"",ABS((R591-IF($C591="LT",Config!$F$13,Config!$F$25))/IF($C591="LT",Config!$G$13,Config!$G$25)))</f>
        <v/>
      </c>
    </row>
    <row r="592">
      <c r="A592" t="inlineStr">
        <is>
          <t>04D0726121272</t>
        </is>
      </c>
      <c r="B592" t="inlineStr">
        <is>
          <t>CRS0000674</t>
        </is>
      </c>
      <c r="C592" t="inlineStr">
        <is>
          <t>MT</t>
        </is>
      </c>
      <c r="D592" t="inlineStr">
        <is>
          <t>TCX413U-DS1B01</t>
        </is>
      </c>
      <c r="E592" s="2" t="n">
        <v>46120</v>
      </c>
      <c r="F592" t="inlineStr">
        <is>
          <t>Pass</t>
        </is>
      </c>
      <c r="G592" t="n">
        <v>113.7</v>
      </c>
      <c r="H592" t="n">
        <v>78.40000000000001</v>
      </c>
      <c r="I592" t="n">
        <v>-1957.8</v>
      </c>
      <c r="J592" t="n">
        <v>67.3</v>
      </c>
      <c r="K592" t="n">
        <v>0</v>
      </c>
      <c r="L592" t="n">
        <v>0.9</v>
      </c>
      <c r="M592" t="n">
        <v>0</v>
      </c>
      <c r="N592" t="n">
        <v>68.2</v>
      </c>
      <c r="O592" t="n">
        <v>115.16</v>
      </c>
      <c r="P592" t="n">
        <v>115.16</v>
      </c>
      <c r="Q592" t="n">
        <v>3.78</v>
      </c>
      <c r="R592" t="n">
        <v>3.83</v>
      </c>
      <c r="S592">
        <f>IF(OR(G592=0,G592=""),"",ABS((G592-IF($C592="LT",Config!$F$2,Config!$F$14))/IF($C592="LT",Config!$G$2,Config!$G$14)))</f>
        <v/>
      </c>
      <c r="T592">
        <f>IF(OR(H592=0,H592=""),"",ABS((H592-IF($C592="LT",Config!$F$3,Config!$F$15))/IF($C592="LT",Config!$G$3,Config!$G$15)))</f>
        <v/>
      </c>
      <c r="U592">
        <f>IF(OR(I592=0,I592=""),"",ABS((I592-IF($C592="LT",Config!$F$4,Config!$F$16))/IF($C592="LT",Config!$G$4,Config!$G$16)))</f>
        <v/>
      </c>
      <c r="V592">
        <f>IF(OR(J592=0,J592=""),"",ABS((J592-IF($C592="LT",Config!$F$5,Config!$F$17))/IF($C592="LT",Config!$G$5,Config!$G$17)))</f>
        <v/>
      </c>
      <c r="W592">
        <f>IF(OR(K592=0,K592=""),"",ABS((K592-IF($C592="LT",Config!$F$6,Config!$F$18))/IF($C592="LT",Config!$G$6,Config!$G$18)))</f>
        <v/>
      </c>
      <c r="X592">
        <f>IF(OR(L592=0,L592=""),"",ABS((L592-IF($C592="LT",Config!$F$7,Config!$F$19))/IF($C592="LT",Config!$G$7,Config!$G$19)))</f>
        <v/>
      </c>
      <c r="Y592">
        <f>IF(OR(M592=0,M592=""),"",ABS((M592-IF($C592="LT",Config!$F$8,Config!$F$20))/IF($C592="LT",Config!$G$8,Config!$G$20)))</f>
        <v/>
      </c>
      <c r="Z592">
        <f>IF(OR(N592=0,N592=""),"",ABS((N592-IF($C592="LT",Config!$F$9,Config!$F$21))/IF($C592="LT",Config!$G$9,Config!$G$21)))</f>
        <v/>
      </c>
      <c r="AA592">
        <f>IF(OR(O592=0,O592=""),"",ABS((O592-IF($C592="LT",Config!$F$10,Config!$F$22))/IF($C592="LT",Config!$G$10,Config!$G$22)))</f>
        <v/>
      </c>
      <c r="AB592">
        <f>IF(OR(P592=0,P592=""),"",ABS((P592-IF($C592="LT",Config!$F$11,Config!$F$23))/IF($C592="LT",Config!$G$11,Config!$G$23)))</f>
        <v/>
      </c>
      <c r="AC592">
        <f>IF(OR(Q592=0,Q592=""),"",ABS((Q592-IF($C592="LT",Config!$F$12,Config!$F$24))/IF($C592="LT",Config!$G$12,Config!$G$24)))</f>
        <v/>
      </c>
      <c r="AD592">
        <f>IF(OR(R592=0,R592=""),"",ABS((R592-IF($C592="LT",Config!$F$13,Config!$F$25))/IF($C592="LT",Config!$G$13,Config!$G$25)))</f>
        <v/>
      </c>
    </row>
    <row r="593">
      <c r="A593" t="inlineStr">
        <is>
          <t>04D0826121274</t>
        </is>
      </c>
      <c r="B593" t="inlineStr">
        <is>
          <t>CRS0000674</t>
        </is>
      </c>
      <c r="C593" t="inlineStr">
        <is>
          <t>MT</t>
        </is>
      </c>
      <c r="D593" t="inlineStr">
        <is>
          <t>TCX413U-DS1B01</t>
        </is>
      </c>
      <c r="E593" s="2" t="n">
        <v>46120</v>
      </c>
      <c r="F593" t="inlineStr">
        <is>
          <t>Pass</t>
        </is>
      </c>
      <c r="G593" t="n">
        <v>114.2</v>
      </c>
      <c r="H593" t="n">
        <v>80.7</v>
      </c>
      <c r="I593" t="n">
        <v>-1957.8</v>
      </c>
      <c r="J593" t="n">
        <v>67.7</v>
      </c>
      <c r="K593" t="n">
        <v>0</v>
      </c>
      <c r="L593" t="n">
        <v>2.2</v>
      </c>
      <c r="M593" t="n">
        <v>0</v>
      </c>
      <c r="N593" t="n">
        <v>69.90000000000001</v>
      </c>
      <c r="O593" t="n">
        <v>115.09</v>
      </c>
      <c r="P593" t="n">
        <v>115.09</v>
      </c>
      <c r="Q593" t="n">
        <v>3.78</v>
      </c>
      <c r="R593" t="n">
        <v>3.83</v>
      </c>
      <c r="S593">
        <f>IF(OR(G593=0,G593=""),"",ABS((G593-IF($C593="LT",Config!$F$2,Config!$F$14))/IF($C593="LT",Config!$G$2,Config!$G$14)))</f>
        <v/>
      </c>
      <c r="T593">
        <f>IF(OR(H593=0,H593=""),"",ABS((H593-IF($C593="LT",Config!$F$3,Config!$F$15))/IF($C593="LT",Config!$G$3,Config!$G$15)))</f>
        <v/>
      </c>
      <c r="U593">
        <f>IF(OR(I593=0,I593=""),"",ABS((I593-IF($C593="LT",Config!$F$4,Config!$F$16))/IF($C593="LT",Config!$G$4,Config!$G$16)))</f>
        <v/>
      </c>
      <c r="V593">
        <f>IF(OR(J593=0,J593=""),"",ABS((J593-IF($C593="LT",Config!$F$5,Config!$F$17))/IF($C593="LT",Config!$G$5,Config!$G$17)))</f>
        <v/>
      </c>
      <c r="W593">
        <f>IF(OR(K593=0,K593=""),"",ABS((K593-IF($C593="LT",Config!$F$6,Config!$F$18))/IF($C593="LT",Config!$G$6,Config!$G$18)))</f>
        <v/>
      </c>
      <c r="X593">
        <f>IF(OR(L593=0,L593=""),"",ABS((L593-IF($C593="LT",Config!$F$7,Config!$F$19))/IF($C593="LT",Config!$G$7,Config!$G$19)))</f>
        <v/>
      </c>
      <c r="Y593">
        <f>IF(OR(M593=0,M593=""),"",ABS((M593-IF($C593="LT",Config!$F$8,Config!$F$20))/IF($C593="LT",Config!$G$8,Config!$G$20)))</f>
        <v/>
      </c>
      <c r="Z593">
        <f>IF(OR(N593=0,N593=""),"",ABS((N593-IF($C593="LT",Config!$F$9,Config!$F$21))/IF($C593="LT",Config!$G$9,Config!$G$21)))</f>
        <v/>
      </c>
      <c r="AA593">
        <f>IF(OR(O593=0,O593=""),"",ABS((O593-IF($C593="LT",Config!$F$10,Config!$F$22))/IF($C593="LT",Config!$G$10,Config!$G$22)))</f>
        <v/>
      </c>
      <c r="AB593">
        <f>IF(OR(P593=0,P593=""),"",ABS((P593-IF($C593="LT",Config!$F$11,Config!$F$23))/IF($C593="LT",Config!$G$11,Config!$G$23)))</f>
        <v/>
      </c>
      <c r="AC593">
        <f>IF(OR(Q593=0,Q593=""),"",ABS((Q593-IF($C593="LT",Config!$F$12,Config!$F$24))/IF($C593="LT",Config!$G$12,Config!$G$24)))</f>
        <v/>
      </c>
      <c r="AD593">
        <f>IF(OR(R593=0,R593=""),"",ABS((R593-IF($C593="LT",Config!$F$13,Config!$F$25))/IF($C593="LT",Config!$G$13,Config!$G$25)))</f>
        <v/>
      </c>
    </row>
    <row r="594">
      <c r="A594" t="inlineStr">
        <is>
          <t>04D0826121275</t>
        </is>
      </c>
      <c r="B594" t="inlineStr">
        <is>
          <t>CRS0000674</t>
        </is>
      </c>
      <c r="C594" t="inlineStr">
        <is>
          <t>MT</t>
        </is>
      </c>
      <c r="D594" t="inlineStr">
        <is>
          <t>TCX413U-DS1B01</t>
        </is>
      </c>
      <c r="E594" s="2" t="n">
        <v>46120</v>
      </c>
      <c r="F594" t="inlineStr">
        <is>
          <t>Pass</t>
        </is>
      </c>
      <c r="G594" t="n">
        <v>115.1</v>
      </c>
      <c r="H594" t="n">
        <v>77.90000000000001</v>
      </c>
      <c r="I594" t="n">
        <v>-1957.8</v>
      </c>
      <c r="J594" t="n">
        <v>68.2</v>
      </c>
      <c r="K594" t="n">
        <v>0</v>
      </c>
      <c r="L594" t="n">
        <v>1.3</v>
      </c>
      <c r="M594" t="n">
        <v>0</v>
      </c>
      <c r="N594" t="n">
        <v>69.5</v>
      </c>
      <c r="O594" t="n">
        <v>111.94</v>
      </c>
      <c r="P594" t="n">
        <v>113.48</v>
      </c>
      <c r="Q594" t="n">
        <v>3.91</v>
      </c>
      <c r="R594" t="n">
        <v>3.96</v>
      </c>
      <c r="S594">
        <f>IF(OR(G594=0,G594=""),"",ABS((G594-IF($C594="LT",Config!$F$2,Config!$F$14))/IF($C594="LT",Config!$G$2,Config!$G$14)))</f>
        <v/>
      </c>
      <c r="T594">
        <f>IF(OR(H594=0,H594=""),"",ABS((H594-IF($C594="LT",Config!$F$3,Config!$F$15))/IF($C594="LT",Config!$G$3,Config!$G$15)))</f>
        <v/>
      </c>
      <c r="U594">
        <f>IF(OR(I594=0,I594=""),"",ABS((I594-IF($C594="LT",Config!$F$4,Config!$F$16))/IF($C594="LT",Config!$G$4,Config!$G$16)))</f>
        <v/>
      </c>
      <c r="V594">
        <f>IF(OR(J594=0,J594=""),"",ABS((J594-IF($C594="LT",Config!$F$5,Config!$F$17))/IF($C594="LT",Config!$G$5,Config!$G$17)))</f>
        <v/>
      </c>
      <c r="W594">
        <f>IF(OR(K594=0,K594=""),"",ABS((K594-IF($C594="LT",Config!$F$6,Config!$F$18))/IF($C594="LT",Config!$G$6,Config!$G$18)))</f>
        <v/>
      </c>
      <c r="X594">
        <f>IF(OR(L594=0,L594=""),"",ABS((L594-IF($C594="LT",Config!$F$7,Config!$F$19))/IF($C594="LT",Config!$G$7,Config!$G$19)))</f>
        <v/>
      </c>
      <c r="Y594">
        <f>IF(OR(M594=0,M594=""),"",ABS((M594-IF($C594="LT",Config!$F$8,Config!$F$20))/IF($C594="LT",Config!$G$8,Config!$G$20)))</f>
        <v/>
      </c>
      <c r="Z594">
        <f>IF(OR(N594=0,N594=""),"",ABS((N594-IF($C594="LT",Config!$F$9,Config!$F$21))/IF($C594="LT",Config!$G$9,Config!$G$21)))</f>
        <v/>
      </c>
      <c r="AA594">
        <f>IF(OR(O594=0,O594=""),"",ABS((O594-IF($C594="LT",Config!$F$10,Config!$F$22))/IF($C594="LT",Config!$G$10,Config!$G$22)))</f>
        <v/>
      </c>
      <c r="AB594">
        <f>IF(OR(P594=0,P594=""),"",ABS((P594-IF($C594="LT",Config!$F$11,Config!$F$23))/IF($C594="LT",Config!$G$11,Config!$G$23)))</f>
        <v/>
      </c>
      <c r="AC594">
        <f>IF(OR(Q594=0,Q594=""),"",ABS((Q594-IF($C594="LT",Config!$F$12,Config!$F$24))/IF($C594="LT",Config!$G$12,Config!$G$24)))</f>
        <v/>
      </c>
      <c r="AD594">
        <f>IF(OR(R594=0,R594=""),"",ABS((R594-IF($C594="LT",Config!$F$13,Config!$F$25))/IF($C594="LT",Config!$G$13,Config!$G$25)))</f>
        <v/>
      </c>
    </row>
    <row r="595">
      <c r="A595" t="inlineStr">
        <is>
          <t>04C1026120889</t>
        </is>
      </c>
      <c r="B595" t="inlineStr">
        <is>
          <t>CRS0000675</t>
        </is>
      </c>
      <c r="C595" t="inlineStr">
        <is>
          <t>LT</t>
        </is>
      </c>
      <c r="D595" t="inlineStr">
        <is>
          <t>ALX440U-DS3B01</t>
        </is>
      </c>
      <c r="E595" s="2" t="n">
        <v>46120</v>
      </c>
      <c r="F595" t="inlineStr">
        <is>
          <t>Fail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>
        <f>IF(OR(G595=0,G595=""),"",ABS((G595-IF($C595="LT",Config!$F$2,Config!$F$14))/IF($C595="LT",Config!$G$2,Config!$G$14)))</f>
        <v/>
      </c>
      <c r="T595">
        <f>IF(OR(H595=0,H595=""),"",ABS((H595-IF($C595="LT",Config!$F$3,Config!$F$15))/IF($C595="LT",Config!$G$3,Config!$G$15)))</f>
        <v/>
      </c>
      <c r="U595">
        <f>IF(OR(I595=0,I595=""),"",ABS((I595-IF($C595="LT",Config!$F$4,Config!$F$16))/IF($C595="LT",Config!$G$4,Config!$G$16)))</f>
        <v/>
      </c>
      <c r="V595">
        <f>IF(OR(J595=0,J595=""),"",ABS((J595-IF($C595="LT",Config!$F$5,Config!$F$17))/IF($C595="LT",Config!$G$5,Config!$G$17)))</f>
        <v/>
      </c>
      <c r="W595">
        <f>IF(OR(K595=0,K595=""),"",ABS((K595-IF($C595="LT",Config!$F$6,Config!$F$18))/IF($C595="LT",Config!$G$6,Config!$G$18)))</f>
        <v/>
      </c>
      <c r="X595">
        <f>IF(OR(L595=0,L595=""),"",ABS((L595-IF($C595="LT",Config!$F$7,Config!$F$19))/IF($C595="LT",Config!$G$7,Config!$G$19)))</f>
        <v/>
      </c>
      <c r="Y595">
        <f>IF(OR(M595=0,M595=""),"",ABS((M595-IF($C595="LT",Config!$F$8,Config!$F$20))/IF($C595="LT",Config!$G$8,Config!$G$20)))</f>
        <v/>
      </c>
      <c r="Z595">
        <f>IF(OR(N595=0,N595=""),"",ABS((N595-IF($C595="LT",Config!$F$9,Config!$F$21))/IF($C595="LT",Config!$G$9,Config!$G$21)))</f>
        <v/>
      </c>
      <c r="AA595">
        <f>IF(OR(O595=0,O595=""),"",ABS((O595-IF($C595="LT",Config!$F$10,Config!$F$22))/IF($C595="LT",Config!$G$10,Config!$G$22)))</f>
        <v/>
      </c>
      <c r="AB595">
        <f>IF(OR(P595=0,P595=""),"",ABS((P595-IF($C595="LT",Config!$F$11,Config!$F$23))/IF($C595="LT",Config!$G$11,Config!$G$23)))</f>
        <v/>
      </c>
      <c r="AC595">
        <f>IF(OR(Q595=0,Q595=""),"",ABS((Q595-IF($C595="LT",Config!$F$12,Config!$F$24))/IF($C595="LT",Config!$G$12,Config!$G$24)))</f>
        <v/>
      </c>
      <c r="AD595">
        <f>IF(OR(R595=0,R595=""),"",ABS((R595-IF($C595="LT",Config!$F$13,Config!$F$25))/IF($C595="LT",Config!$G$13,Config!$G$25)))</f>
        <v/>
      </c>
    </row>
    <row r="596">
      <c r="A596" t="inlineStr">
        <is>
          <t>04D0826121276</t>
        </is>
      </c>
      <c r="B596" t="inlineStr">
        <is>
          <t>CRS0000674</t>
        </is>
      </c>
      <c r="C596" t="inlineStr">
        <is>
          <t>MT</t>
        </is>
      </c>
      <c r="D596" t="inlineStr">
        <is>
          <t>TCX413U-DS1B01</t>
        </is>
      </c>
      <c r="E596" s="2" t="n">
        <v>46120</v>
      </c>
      <c r="F596" t="inlineStr">
        <is>
          <t>Pass</t>
        </is>
      </c>
      <c r="G596" t="n">
        <v>117.3</v>
      </c>
      <c r="H596" t="n">
        <v>79.3</v>
      </c>
      <c r="I596" t="n">
        <v>-1957.8</v>
      </c>
      <c r="J596" t="n">
        <v>68.59999999999999</v>
      </c>
      <c r="K596" t="n">
        <v>0</v>
      </c>
      <c r="L596" t="n">
        <v>2.8</v>
      </c>
      <c r="M596" t="n">
        <v>0</v>
      </c>
      <c r="N596" t="n">
        <v>71.40000000000001</v>
      </c>
      <c r="O596" t="n">
        <v>112.16</v>
      </c>
      <c r="P596" t="n">
        <v>116.26</v>
      </c>
      <c r="Q596" t="n">
        <v>4</v>
      </c>
      <c r="R596" t="n">
        <v>4</v>
      </c>
      <c r="S596">
        <f>IF(OR(G596=0,G596=""),"",ABS((G596-IF($C596="LT",Config!$F$2,Config!$F$14))/IF($C596="LT",Config!$G$2,Config!$G$14)))</f>
        <v/>
      </c>
      <c r="T596">
        <f>IF(OR(H596=0,H596=""),"",ABS((H596-IF($C596="LT",Config!$F$3,Config!$F$15))/IF($C596="LT",Config!$G$3,Config!$G$15)))</f>
        <v/>
      </c>
      <c r="U596">
        <f>IF(OR(I596=0,I596=""),"",ABS((I596-IF($C596="LT",Config!$F$4,Config!$F$16))/IF($C596="LT",Config!$G$4,Config!$G$16)))</f>
        <v/>
      </c>
      <c r="V596">
        <f>IF(OR(J596=0,J596=""),"",ABS((J596-IF($C596="LT",Config!$F$5,Config!$F$17))/IF($C596="LT",Config!$G$5,Config!$G$17)))</f>
        <v/>
      </c>
      <c r="W596">
        <f>IF(OR(K596=0,K596=""),"",ABS((K596-IF($C596="LT",Config!$F$6,Config!$F$18))/IF($C596="LT",Config!$G$6,Config!$G$18)))</f>
        <v/>
      </c>
      <c r="X596">
        <f>IF(OR(L596=0,L596=""),"",ABS((L596-IF($C596="LT",Config!$F$7,Config!$F$19))/IF($C596="LT",Config!$G$7,Config!$G$19)))</f>
        <v/>
      </c>
      <c r="Y596">
        <f>IF(OR(M596=0,M596=""),"",ABS((M596-IF($C596="LT",Config!$F$8,Config!$F$20))/IF($C596="LT",Config!$G$8,Config!$G$20)))</f>
        <v/>
      </c>
      <c r="Z596">
        <f>IF(OR(N596=0,N596=""),"",ABS((N596-IF($C596="LT",Config!$F$9,Config!$F$21))/IF($C596="LT",Config!$G$9,Config!$G$21)))</f>
        <v/>
      </c>
      <c r="AA596">
        <f>IF(OR(O596=0,O596=""),"",ABS((O596-IF($C596="LT",Config!$F$10,Config!$F$22))/IF($C596="LT",Config!$G$10,Config!$G$22)))</f>
        <v/>
      </c>
      <c r="AB596">
        <f>IF(OR(P596=0,P596=""),"",ABS((P596-IF($C596="LT",Config!$F$11,Config!$F$23))/IF($C596="LT",Config!$G$11,Config!$G$23)))</f>
        <v/>
      </c>
      <c r="AC596">
        <f>IF(OR(Q596=0,Q596=""),"",ABS((Q596-IF($C596="LT",Config!$F$12,Config!$F$24))/IF($C596="LT",Config!$G$12,Config!$G$24)))</f>
        <v/>
      </c>
      <c r="AD596">
        <f>IF(OR(R596=0,R596=""),"",ABS((R596-IF($C596="LT",Config!$F$13,Config!$F$25))/IF($C596="LT",Config!$G$13,Config!$G$25)))</f>
        <v/>
      </c>
    </row>
    <row r="597">
      <c r="A597" t="inlineStr">
        <is>
          <t>04D0826121277</t>
        </is>
      </c>
      <c r="B597" t="inlineStr">
        <is>
          <t>CRS0000674</t>
        </is>
      </c>
      <c r="C597" t="inlineStr">
        <is>
          <t>MT</t>
        </is>
      </c>
      <c r="D597" t="inlineStr">
        <is>
          <t>TCX413U-DS1B01</t>
        </is>
      </c>
      <c r="E597" s="2" t="n">
        <v>46120</v>
      </c>
      <c r="F597" t="inlineStr">
        <is>
          <t>Pass</t>
        </is>
      </c>
      <c r="G597" t="n">
        <v>117.8</v>
      </c>
      <c r="H597" t="n">
        <v>77.90000000000001</v>
      </c>
      <c r="I597" t="n">
        <v>-1957.8</v>
      </c>
      <c r="J597" t="n">
        <v>69.5</v>
      </c>
      <c r="K597" t="n">
        <v>0</v>
      </c>
      <c r="L597" t="n">
        <v>2.3</v>
      </c>
      <c r="M597" t="n">
        <v>0</v>
      </c>
      <c r="N597" t="n">
        <v>71.8</v>
      </c>
      <c r="O597" t="n">
        <v>115.24</v>
      </c>
      <c r="P597" t="n">
        <v>115.09</v>
      </c>
      <c r="Q597" t="n">
        <v>3.98</v>
      </c>
      <c r="R597" t="n">
        <v>4.05</v>
      </c>
      <c r="S597">
        <f>IF(OR(G597=0,G597=""),"",ABS((G597-IF($C597="LT",Config!$F$2,Config!$F$14))/IF($C597="LT",Config!$G$2,Config!$G$14)))</f>
        <v/>
      </c>
      <c r="T597">
        <f>IF(OR(H597=0,H597=""),"",ABS((H597-IF($C597="LT",Config!$F$3,Config!$F$15))/IF($C597="LT",Config!$G$3,Config!$G$15)))</f>
        <v/>
      </c>
      <c r="U597">
        <f>IF(OR(I597=0,I597=""),"",ABS((I597-IF($C597="LT",Config!$F$4,Config!$F$16))/IF($C597="LT",Config!$G$4,Config!$G$16)))</f>
        <v/>
      </c>
      <c r="V597">
        <f>IF(OR(J597=0,J597=""),"",ABS((J597-IF($C597="LT",Config!$F$5,Config!$F$17))/IF($C597="LT",Config!$G$5,Config!$G$17)))</f>
        <v/>
      </c>
      <c r="W597">
        <f>IF(OR(K597=0,K597=""),"",ABS((K597-IF($C597="LT",Config!$F$6,Config!$F$18))/IF($C597="LT",Config!$G$6,Config!$G$18)))</f>
        <v/>
      </c>
      <c r="X597">
        <f>IF(OR(L597=0,L597=""),"",ABS((L597-IF($C597="LT",Config!$F$7,Config!$F$19))/IF($C597="LT",Config!$G$7,Config!$G$19)))</f>
        <v/>
      </c>
      <c r="Y597">
        <f>IF(OR(M597=0,M597=""),"",ABS((M597-IF($C597="LT",Config!$F$8,Config!$F$20))/IF($C597="LT",Config!$G$8,Config!$G$20)))</f>
        <v/>
      </c>
      <c r="Z597">
        <f>IF(OR(N597=0,N597=""),"",ABS((N597-IF($C597="LT",Config!$F$9,Config!$F$21))/IF($C597="LT",Config!$G$9,Config!$G$21)))</f>
        <v/>
      </c>
      <c r="AA597">
        <f>IF(OR(O597=0,O597=""),"",ABS((O597-IF($C597="LT",Config!$F$10,Config!$F$22))/IF($C597="LT",Config!$G$10,Config!$G$22)))</f>
        <v/>
      </c>
      <c r="AB597">
        <f>IF(OR(P597=0,P597=""),"",ABS((P597-IF($C597="LT",Config!$F$11,Config!$F$23))/IF($C597="LT",Config!$G$11,Config!$G$23)))</f>
        <v/>
      </c>
      <c r="AC597">
        <f>IF(OR(Q597=0,Q597=""),"",ABS((Q597-IF($C597="LT",Config!$F$12,Config!$F$24))/IF($C597="LT",Config!$G$12,Config!$G$24)))</f>
        <v/>
      </c>
      <c r="AD597">
        <f>IF(OR(R597=0,R597=""),"",ABS((R597-IF($C597="LT",Config!$F$13,Config!$F$25))/IF($C597="LT",Config!$G$13,Config!$G$25)))</f>
        <v/>
      </c>
    </row>
    <row r="598">
      <c r="A598" t="inlineStr">
        <is>
          <t>04D0826121278</t>
        </is>
      </c>
      <c r="B598" t="inlineStr">
        <is>
          <t>CRS0000674</t>
        </is>
      </c>
      <c r="C598" t="inlineStr">
        <is>
          <t>MT</t>
        </is>
      </c>
      <c r="D598" t="inlineStr">
        <is>
          <t>TCX413U-DS1B01</t>
        </is>
      </c>
      <c r="E598" s="2" t="n">
        <v>46120</v>
      </c>
      <c r="F598" t="inlineStr">
        <is>
          <t>Pass</t>
        </is>
      </c>
      <c r="G598" t="n">
        <v>115.1</v>
      </c>
      <c r="H598" t="n">
        <v>82</v>
      </c>
      <c r="I598" t="n">
        <v>-1957.8</v>
      </c>
      <c r="J598" t="n">
        <v>70</v>
      </c>
      <c r="K598" t="n">
        <v>0</v>
      </c>
      <c r="L598" t="n">
        <v>3.1</v>
      </c>
      <c r="M598" t="n">
        <v>0</v>
      </c>
      <c r="N598" t="n">
        <v>73.09999999999999</v>
      </c>
      <c r="O598" t="n">
        <v>112.08</v>
      </c>
      <c r="P598" t="n">
        <v>113.55</v>
      </c>
      <c r="Q598" t="n">
        <v>4</v>
      </c>
      <c r="R598" t="n">
        <v>4.08</v>
      </c>
      <c r="S598">
        <f>IF(OR(G598=0,G598=""),"",ABS((G598-IF($C598="LT",Config!$F$2,Config!$F$14))/IF($C598="LT",Config!$G$2,Config!$G$14)))</f>
        <v/>
      </c>
      <c r="T598">
        <f>IF(OR(H598=0,H598=""),"",ABS((H598-IF($C598="LT",Config!$F$3,Config!$F$15))/IF($C598="LT",Config!$G$3,Config!$G$15)))</f>
        <v/>
      </c>
      <c r="U598">
        <f>IF(OR(I598=0,I598=""),"",ABS((I598-IF($C598="LT",Config!$F$4,Config!$F$16))/IF($C598="LT",Config!$G$4,Config!$G$16)))</f>
        <v/>
      </c>
      <c r="V598">
        <f>IF(OR(J598=0,J598=""),"",ABS((J598-IF($C598="LT",Config!$F$5,Config!$F$17))/IF($C598="LT",Config!$G$5,Config!$G$17)))</f>
        <v/>
      </c>
      <c r="W598">
        <f>IF(OR(K598=0,K598=""),"",ABS((K598-IF($C598="LT",Config!$F$6,Config!$F$18))/IF($C598="LT",Config!$G$6,Config!$G$18)))</f>
        <v/>
      </c>
      <c r="X598">
        <f>IF(OR(L598=0,L598=""),"",ABS((L598-IF($C598="LT",Config!$F$7,Config!$F$19))/IF($C598="LT",Config!$G$7,Config!$G$19)))</f>
        <v/>
      </c>
      <c r="Y598">
        <f>IF(OR(M598=0,M598=""),"",ABS((M598-IF($C598="LT",Config!$F$8,Config!$F$20))/IF($C598="LT",Config!$G$8,Config!$G$20)))</f>
        <v/>
      </c>
      <c r="Z598">
        <f>IF(OR(N598=0,N598=""),"",ABS((N598-IF($C598="LT",Config!$F$9,Config!$F$21))/IF($C598="LT",Config!$G$9,Config!$G$21)))</f>
        <v/>
      </c>
      <c r="AA598">
        <f>IF(OR(O598=0,O598=""),"",ABS((O598-IF($C598="LT",Config!$F$10,Config!$F$22))/IF($C598="LT",Config!$G$10,Config!$G$22)))</f>
        <v/>
      </c>
      <c r="AB598">
        <f>IF(OR(P598=0,P598=""),"",ABS((P598-IF($C598="LT",Config!$F$11,Config!$F$23))/IF($C598="LT",Config!$G$11,Config!$G$23)))</f>
        <v/>
      </c>
      <c r="AC598">
        <f>IF(OR(Q598=0,Q598=""),"",ABS((Q598-IF($C598="LT",Config!$F$12,Config!$F$24))/IF($C598="LT",Config!$G$12,Config!$G$24)))</f>
        <v/>
      </c>
      <c r="AD598">
        <f>IF(OR(R598=0,R598=""),"",ABS((R598-IF($C598="LT",Config!$F$13,Config!$F$25))/IF($C598="LT",Config!$G$13,Config!$G$25)))</f>
        <v/>
      </c>
    </row>
    <row r="599">
      <c r="A599" t="inlineStr">
        <is>
          <t>04D0826121279</t>
        </is>
      </c>
      <c r="B599" t="inlineStr">
        <is>
          <t>CRS0000674</t>
        </is>
      </c>
      <c r="C599" t="inlineStr">
        <is>
          <t>MT</t>
        </is>
      </c>
      <c r="D599" t="inlineStr">
        <is>
          <t>TCX413U-DS1B01</t>
        </is>
      </c>
      <c r="E599" s="2" t="n">
        <v>46120</v>
      </c>
      <c r="F599" t="inlineStr">
        <is>
          <t>Pass</t>
        </is>
      </c>
      <c r="G599" t="n">
        <v>118.7</v>
      </c>
      <c r="H599" t="n">
        <v>79.8</v>
      </c>
      <c r="I599" t="n">
        <v>-1957.8</v>
      </c>
      <c r="J599" t="n">
        <v>70</v>
      </c>
      <c r="K599" t="n">
        <v>0</v>
      </c>
      <c r="L599" t="n">
        <v>1.7</v>
      </c>
      <c r="M599" t="n">
        <v>0</v>
      </c>
      <c r="N599" t="n">
        <v>71.7</v>
      </c>
      <c r="O599" t="n">
        <v>115.16</v>
      </c>
      <c r="P599" t="n">
        <v>115.09</v>
      </c>
      <c r="Q599" t="n">
        <v>3.88</v>
      </c>
      <c r="R599" t="n">
        <v>3.98</v>
      </c>
      <c r="S599">
        <f>IF(OR(G599=0,G599=""),"",ABS((G599-IF($C599="LT",Config!$F$2,Config!$F$14))/IF($C599="LT",Config!$G$2,Config!$G$14)))</f>
        <v/>
      </c>
      <c r="T599">
        <f>IF(OR(H599=0,H599=""),"",ABS((H599-IF($C599="LT",Config!$F$3,Config!$F$15))/IF($C599="LT",Config!$G$3,Config!$G$15)))</f>
        <v/>
      </c>
      <c r="U599">
        <f>IF(OR(I599=0,I599=""),"",ABS((I599-IF($C599="LT",Config!$F$4,Config!$F$16))/IF($C599="LT",Config!$G$4,Config!$G$16)))</f>
        <v/>
      </c>
      <c r="V599">
        <f>IF(OR(J599=0,J599=""),"",ABS((J599-IF($C599="LT",Config!$F$5,Config!$F$17))/IF($C599="LT",Config!$G$5,Config!$G$17)))</f>
        <v/>
      </c>
      <c r="W599">
        <f>IF(OR(K599=0,K599=""),"",ABS((K599-IF($C599="LT",Config!$F$6,Config!$F$18))/IF($C599="LT",Config!$G$6,Config!$G$18)))</f>
        <v/>
      </c>
      <c r="X599">
        <f>IF(OR(L599=0,L599=""),"",ABS((L599-IF($C599="LT",Config!$F$7,Config!$F$19))/IF($C599="LT",Config!$G$7,Config!$G$19)))</f>
        <v/>
      </c>
      <c r="Y599">
        <f>IF(OR(M599=0,M599=""),"",ABS((M599-IF($C599="LT",Config!$F$8,Config!$F$20))/IF($C599="LT",Config!$G$8,Config!$G$20)))</f>
        <v/>
      </c>
      <c r="Z599">
        <f>IF(OR(N599=0,N599=""),"",ABS((N599-IF($C599="LT",Config!$F$9,Config!$F$21))/IF($C599="LT",Config!$G$9,Config!$G$21)))</f>
        <v/>
      </c>
      <c r="AA599">
        <f>IF(OR(O599=0,O599=""),"",ABS((O599-IF($C599="LT",Config!$F$10,Config!$F$22))/IF($C599="LT",Config!$G$10,Config!$G$22)))</f>
        <v/>
      </c>
      <c r="AB599">
        <f>IF(OR(P599=0,P599=""),"",ABS((P599-IF($C599="LT",Config!$F$11,Config!$F$23))/IF($C599="LT",Config!$G$11,Config!$G$23)))</f>
        <v/>
      </c>
      <c r="AC599">
        <f>IF(OR(Q599=0,Q599=""),"",ABS((Q599-IF($C599="LT",Config!$F$12,Config!$F$24))/IF($C599="LT",Config!$G$12,Config!$G$24)))</f>
        <v/>
      </c>
      <c r="AD599">
        <f>IF(OR(R599=0,R599=""),"",ABS((R599-IF($C599="LT",Config!$F$13,Config!$F$25))/IF($C599="LT",Config!$G$13,Config!$G$25)))</f>
        <v/>
      </c>
    </row>
    <row r="600">
      <c r="A600" t="inlineStr">
        <is>
          <t>04D0826121280</t>
        </is>
      </c>
      <c r="B600" t="inlineStr">
        <is>
          <t>CRS0000674</t>
        </is>
      </c>
      <c r="C600" t="inlineStr">
        <is>
          <t>MT</t>
        </is>
      </c>
      <c r="D600" t="inlineStr">
        <is>
          <t>TCX413U-DS1B01</t>
        </is>
      </c>
      <c r="E600" s="2" t="n">
        <v>46120</v>
      </c>
      <c r="F600" t="inlineStr">
        <is>
          <t>Fail</t>
        </is>
      </c>
      <c r="G600" t="n">
        <v>91.40000000000001</v>
      </c>
      <c r="H600" t="n">
        <v>86.09999999999999</v>
      </c>
      <c r="I600" t="n">
        <v>-1957.8</v>
      </c>
      <c r="J600" t="n">
        <v>70.8</v>
      </c>
      <c r="K600" t="n">
        <v>0</v>
      </c>
      <c r="L600" t="n">
        <v>3.8</v>
      </c>
      <c r="M600" t="n">
        <v>0</v>
      </c>
      <c r="N600" t="n">
        <v>74.59999999999999</v>
      </c>
      <c r="O600" t="n">
        <v>111.79</v>
      </c>
      <c r="P600" t="n">
        <v>113.26</v>
      </c>
      <c r="Q600" t="n">
        <v>4.1</v>
      </c>
      <c r="R600" t="n">
        <v>4.17</v>
      </c>
      <c r="S600">
        <f>IF(OR(G600=0,G600=""),"",ABS((G600-IF($C600="LT",Config!$F$2,Config!$F$14))/IF($C600="LT",Config!$G$2,Config!$G$14)))</f>
        <v/>
      </c>
      <c r="T600">
        <f>IF(OR(H600=0,H600=""),"",ABS((H600-IF($C600="LT",Config!$F$3,Config!$F$15))/IF($C600="LT",Config!$G$3,Config!$G$15)))</f>
        <v/>
      </c>
      <c r="U600">
        <f>IF(OR(I600=0,I600=""),"",ABS((I600-IF($C600="LT",Config!$F$4,Config!$F$16))/IF($C600="LT",Config!$G$4,Config!$G$16)))</f>
        <v/>
      </c>
      <c r="V600">
        <f>IF(OR(J600=0,J600=""),"",ABS((J600-IF($C600="LT",Config!$F$5,Config!$F$17))/IF($C600="LT",Config!$G$5,Config!$G$17)))</f>
        <v/>
      </c>
      <c r="W600">
        <f>IF(OR(K600=0,K600=""),"",ABS((K600-IF($C600="LT",Config!$F$6,Config!$F$18))/IF($C600="LT",Config!$G$6,Config!$G$18)))</f>
        <v/>
      </c>
      <c r="X600">
        <f>IF(OR(L600=0,L600=""),"",ABS((L600-IF($C600="LT",Config!$F$7,Config!$F$19))/IF($C600="LT",Config!$G$7,Config!$G$19)))</f>
        <v/>
      </c>
      <c r="Y600">
        <f>IF(OR(M600=0,M600=""),"",ABS((M600-IF($C600="LT",Config!$F$8,Config!$F$20))/IF($C600="LT",Config!$G$8,Config!$G$20)))</f>
        <v/>
      </c>
      <c r="Z600">
        <f>IF(OR(N600=0,N600=""),"",ABS((N600-IF($C600="LT",Config!$F$9,Config!$F$21))/IF($C600="LT",Config!$G$9,Config!$G$21)))</f>
        <v/>
      </c>
      <c r="AA600">
        <f>IF(OR(O600=0,O600=""),"",ABS((O600-IF($C600="LT",Config!$F$10,Config!$F$22))/IF($C600="LT",Config!$G$10,Config!$G$22)))</f>
        <v/>
      </c>
      <c r="AB600">
        <f>IF(OR(P600=0,P600=""),"",ABS((P600-IF($C600="LT",Config!$F$11,Config!$F$23))/IF($C600="LT",Config!$G$11,Config!$G$23)))</f>
        <v/>
      </c>
      <c r="AC600">
        <f>IF(OR(Q600=0,Q600=""),"",ABS((Q600-IF($C600="LT",Config!$F$12,Config!$F$24))/IF($C600="LT",Config!$G$12,Config!$G$24)))</f>
        <v/>
      </c>
      <c r="AD600">
        <f>IF(OR(R600=0,R600=""),"",ABS((R600-IF($C600="LT",Config!$F$13,Config!$F$25))/IF($C600="LT",Config!$G$13,Config!$G$25)))</f>
        <v/>
      </c>
    </row>
    <row r="601">
      <c r="A601" t="inlineStr">
        <is>
          <t>04D0826121280</t>
        </is>
      </c>
      <c r="B601" t="inlineStr">
        <is>
          <t>CRS0000674</t>
        </is>
      </c>
      <c r="C601" t="inlineStr">
        <is>
          <t>MT</t>
        </is>
      </c>
      <c r="D601" t="inlineStr">
        <is>
          <t>TCX413U-DS1B01</t>
        </is>
      </c>
      <c r="E601" s="2" t="n">
        <v>46120</v>
      </c>
      <c r="F601" t="inlineStr">
        <is>
          <t>Pass</t>
        </is>
      </c>
      <c r="G601" t="n">
        <v>117.8</v>
      </c>
      <c r="H601" t="n">
        <v>82.90000000000001</v>
      </c>
      <c r="I601" t="n">
        <v>-1957.8</v>
      </c>
      <c r="J601" t="n">
        <v>71.3</v>
      </c>
      <c r="K601" t="n">
        <v>0</v>
      </c>
      <c r="L601" t="n">
        <v>3.3</v>
      </c>
      <c r="M601" t="n">
        <v>0</v>
      </c>
      <c r="N601" t="n">
        <v>74.59999999999999</v>
      </c>
      <c r="O601" t="n">
        <v>111.86</v>
      </c>
      <c r="P601" t="n">
        <v>113.18</v>
      </c>
      <c r="Q601" t="n">
        <v>4.08</v>
      </c>
      <c r="R601" t="n">
        <v>4.05</v>
      </c>
      <c r="S601">
        <f>IF(OR(G601=0,G601=""),"",ABS((G601-IF($C601="LT",Config!$F$2,Config!$F$14))/IF($C601="LT",Config!$G$2,Config!$G$14)))</f>
        <v/>
      </c>
      <c r="T601">
        <f>IF(OR(H601=0,H601=""),"",ABS((H601-IF($C601="LT",Config!$F$3,Config!$F$15))/IF($C601="LT",Config!$G$3,Config!$G$15)))</f>
        <v/>
      </c>
      <c r="U601">
        <f>IF(OR(I601=0,I601=""),"",ABS((I601-IF($C601="LT",Config!$F$4,Config!$F$16))/IF($C601="LT",Config!$G$4,Config!$G$16)))</f>
        <v/>
      </c>
      <c r="V601">
        <f>IF(OR(J601=0,J601=""),"",ABS((J601-IF($C601="LT",Config!$F$5,Config!$F$17))/IF($C601="LT",Config!$G$5,Config!$G$17)))</f>
        <v/>
      </c>
      <c r="W601">
        <f>IF(OR(K601=0,K601=""),"",ABS((K601-IF($C601="LT",Config!$F$6,Config!$F$18))/IF($C601="LT",Config!$G$6,Config!$G$18)))</f>
        <v/>
      </c>
      <c r="X601">
        <f>IF(OR(L601=0,L601=""),"",ABS((L601-IF($C601="LT",Config!$F$7,Config!$F$19))/IF($C601="LT",Config!$G$7,Config!$G$19)))</f>
        <v/>
      </c>
      <c r="Y601">
        <f>IF(OR(M601=0,M601=""),"",ABS((M601-IF($C601="LT",Config!$F$8,Config!$F$20))/IF($C601="LT",Config!$G$8,Config!$G$20)))</f>
        <v/>
      </c>
      <c r="Z601">
        <f>IF(OR(N601=0,N601=""),"",ABS((N601-IF($C601="LT",Config!$F$9,Config!$F$21))/IF($C601="LT",Config!$G$9,Config!$G$21)))</f>
        <v/>
      </c>
      <c r="AA601">
        <f>IF(OR(O601=0,O601=""),"",ABS((O601-IF($C601="LT",Config!$F$10,Config!$F$22))/IF($C601="LT",Config!$G$10,Config!$G$22)))</f>
        <v/>
      </c>
      <c r="AB601">
        <f>IF(OR(P601=0,P601=""),"",ABS((P601-IF($C601="LT",Config!$F$11,Config!$F$23))/IF($C601="LT",Config!$G$11,Config!$G$23)))</f>
        <v/>
      </c>
      <c r="AC601">
        <f>IF(OR(Q601=0,Q601=""),"",ABS((Q601-IF($C601="LT",Config!$F$12,Config!$F$24))/IF($C601="LT",Config!$G$12,Config!$G$24)))</f>
        <v/>
      </c>
      <c r="AD601">
        <f>IF(OR(R601=0,R601=""),"",ABS((R601-IF($C601="LT",Config!$F$13,Config!$F$25))/IF($C601="LT",Config!$G$13,Config!$G$25)))</f>
        <v/>
      </c>
    </row>
    <row r="602">
      <c r="A602" t="inlineStr">
        <is>
          <t>04D0826121281</t>
        </is>
      </c>
      <c r="B602" t="inlineStr">
        <is>
          <t>CRS0000674</t>
        </is>
      </c>
      <c r="C602" t="inlineStr">
        <is>
          <t>MT</t>
        </is>
      </c>
      <c r="D602" t="inlineStr">
        <is>
          <t>TCX413U-DS1B01</t>
        </is>
      </c>
      <c r="E602" s="2" t="n">
        <v>46120</v>
      </c>
      <c r="F602" t="inlineStr">
        <is>
          <t>Fail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>
        <f>IF(OR(G602=0,G602=""),"",ABS((G602-IF($C602="LT",Config!$F$2,Config!$F$14))/IF($C602="LT",Config!$G$2,Config!$G$14)))</f>
        <v/>
      </c>
      <c r="T602">
        <f>IF(OR(H602=0,H602=""),"",ABS((H602-IF($C602="LT",Config!$F$3,Config!$F$15))/IF($C602="LT",Config!$G$3,Config!$G$15)))</f>
        <v/>
      </c>
      <c r="U602">
        <f>IF(OR(I602=0,I602=""),"",ABS((I602-IF($C602="LT",Config!$F$4,Config!$F$16))/IF($C602="LT",Config!$G$4,Config!$G$16)))</f>
        <v/>
      </c>
      <c r="V602">
        <f>IF(OR(J602=0,J602=""),"",ABS((J602-IF($C602="LT",Config!$F$5,Config!$F$17))/IF($C602="LT",Config!$G$5,Config!$G$17)))</f>
        <v/>
      </c>
      <c r="W602">
        <f>IF(OR(K602=0,K602=""),"",ABS((K602-IF($C602="LT",Config!$F$6,Config!$F$18))/IF($C602="LT",Config!$G$6,Config!$G$18)))</f>
        <v/>
      </c>
      <c r="X602">
        <f>IF(OR(L602=0,L602=""),"",ABS((L602-IF($C602="LT",Config!$F$7,Config!$F$19))/IF($C602="LT",Config!$G$7,Config!$G$19)))</f>
        <v/>
      </c>
      <c r="Y602">
        <f>IF(OR(M602=0,M602=""),"",ABS((M602-IF($C602="LT",Config!$F$8,Config!$F$20))/IF($C602="LT",Config!$G$8,Config!$G$20)))</f>
        <v/>
      </c>
      <c r="Z602">
        <f>IF(OR(N602=0,N602=""),"",ABS((N602-IF($C602="LT",Config!$F$9,Config!$F$21))/IF($C602="LT",Config!$G$9,Config!$G$21)))</f>
        <v/>
      </c>
      <c r="AA602">
        <f>IF(OR(O602=0,O602=""),"",ABS((O602-IF($C602="LT",Config!$F$10,Config!$F$22))/IF($C602="LT",Config!$G$10,Config!$G$22)))</f>
        <v/>
      </c>
      <c r="AB602">
        <f>IF(OR(P602=0,P602=""),"",ABS((P602-IF($C602="LT",Config!$F$11,Config!$F$23))/IF($C602="LT",Config!$G$11,Config!$G$23)))</f>
        <v/>
      </c>
      <c r="AC602">
        <f>IF(OR(Q602=0,Q602=""),"",ABS((Q602-IF($C602="LT",Config!$F$12,Config!$F$24))/IF($C602="LT",Config!$G$12,Config!$G$24)))</f>
        <v/>
      </c>
      <c r="AD602">
        <f>IF(OR(R602=0,R602=""),"",ABS((R602-IF($C602="LT",Config!$F$13,Config!$F$25))/IF($C602="LT",Config!$G$13,Config!$G$25)))</f>
        <v/>
      </c>
    </row>
    <row r="603">
      <c r="A603" t="inlineStr">
        <is>
          <t>04D0826121281</t>
        </is>
      </c>
      <c r="B603" t="inlineStr">
        <is>
          <t>CRS0000674</t>
        </is>
      </c>
      <c r="C603" t="inlineStr">
        <is>
          <t>MT</t>
        </is>
      </c>
      <c r="D603" t="inlineStr">
        <is>
          <t>TCX413U-DS1B01</t>
        </is>
      </c>
      <c r="E603" s="2" t="n">
        <v>46120</v>
      </c>
      <c r="F603" t="inlineStr">
        <is>
          <t>Fail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>
        <f>IF(OR(G603=0,G603=""),"",ABS((G603-IF($C603="LT",Config!$F$2,Config!$F$14))/IF($C603="LT",Config!$G$2,Config!$G$14)))</f>
        <v/>
      </c>
      <c r="T603">
        <f>IF(OR(H603=0,H603=""),"",ABS((H603-IF($C603="LT",Config!$F$3,Config!$F$15))/IF($C603="LT",Config!$G$3,Config!$G$15)))</f>
        <v/>
      </c>
      <c r="U603">
        <f>IF(OR(I603=0,I603=""),"",ABS((I603-IF($C603="LT",Config!$F$4,Config!$F$16))/IF($C603="LT",Config!$G$4,Config!$G$16)))</f>
        <v/>
      </c>
      <c r="V603">
        <f>IF(OR(J603=0,J603=""),"",ABS((J603-IF($C603="LT",Config!$F$5,Config!$F$17))/IF($C603="LT",Config!$G$5,Config!$G$17)))</f>
        <v/>
      </c>
      <c r="W603">
        <f>IF(OR(K603=0,K603=""),"",ABS((K603-IF($C603="LT",Config!$F$6,Config!$F$18))/IF($C603="LT",Config!$G$6,Config!$G$18)))</f>
        <v/>
      </c>
      <c r="X603">
        <f>IF(OR(L603=0,L603=""),"",ABS((L603-IF($C603="LT",Config!$F$7,Config!$F$19))/IF($C603="LT",Config!$G$7,Config!$G$19)))</f>
        <v/>
      </c>
      <c r="Y603">
        <f>IF(OR(M603=0,M603=""),"",ABS((M603-IF($C603="LT",Config!$F$8,Config!$F$20))/IF($C603="LT",Config!$G$8,Config!$G$20)))</f>
        <v/>
      </c>
      <c r="Z603">
        <f>IF(OR(N603=0,N603=""),"",ABS((N603-IF($C603="LT",Config!$F$9,Config!$F$21))/IF($C603="LT",Config!$G$9,Config!$G$21)))</f>
        <v/>
      </c>
      <c r="AA603">
        <f>IF(OR(O603=0,O603=""),"",ABS((O603-IF($C603="LT",Config!$F$10,Config!$F$22))/IF($C603="LT",Config!$G$10,Config!$G$22)))</f>
        <v/>
      </c>
      <c r="AB603">
        <f>IF(OR(P603=0,P603=""),"",ABS((P603-IF($C603="LT",Config!$F$11,Config!$F$23))/IF($C603="LT",Config!$G$11,Config!$G$23)))</f>
        <v/>
      </c>
      <c r="AC603">
        <f>IF(OR(Q603=0,Q603=""),"",ABS((Q603-IF($C603="LT",Config!$F$12,Config!$F$24))/IF($C603="LT",Config!$G$12,Config!$G$24)))</f>
        <v/>
      </c>
      <c r="AD603">
        <f>IF(OR(R603=0,R603=""),"",ABS((R603-IF($C603="LT",Config!$F$13,Config!$F$25))/IF($C603="LT",Config!$G$13,Config!$G$25)))</f>
        <v/>
      </c>
    </row>
    <row r="604">
      <c r="A604" t="inlineStr">
        <is>
          <t>04D0826121281</t>
        </is>
      </c>
      <c r="B604" t="inlineStr">
        <is>
          <t>CRS0000674</t>
        </is>
      </c>
      <c r="C604" t="inlineStr">
        <is>
          <t>MT</t>
        </is>
      </c>
      <c r="D604" t="inlineStr">
        <is>
          <t>TCX413U-DS1B01</t>
        </is>
      </c>
      <c r="E604" s="2" t="n">
        <v>46120</v>
      </c>
      <c r="F604" t="inlineStr">
        <is>
          <t>Fail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>
        <f>IF(OR(G604=0,G604=""),"",ABS((G604-IF($C604="LT",Config!$F$2,Config!$F$14))/IF($C604="LT",Config!$G$2,Config!$G$14)))</f>
        <v/>
      </c>
      <c r="T604">
        <f>IF(OR(H604=0,H604=""),"",ABS((H604-IF($C604="LT",Config!$F$3,Config!$F$15))/IF($C604="LT",Config!$G$3,Config!$G$15)))</f>
        <v/>
      </c>
      <c r="U604">
        <f>IF(OR(I604=0,I604=""),"",ABS((I604-IF($C604="LT",Config!$F$4,Config!$F$16))/IF($C604="LT",Config!$G$4,Config!$G$16)))</f>
        <v/>
      </c>
      <c r="V604">
        <f>IF(OR(J604=0,J604=""),"",ABS((J604-IF($C604="LT",Config!$F$5,Config!$F$17))/IF($C604="LT",Config!$G$5,Config!$G$17)))</f>
        <v/>
      </c>
      <c r="W604">
        <f>IF(OR(K604=0,K604=""),"",ABS((K604-IF($C604="LT",Config!$F$6,Config!$F$18))/IF($C604="LT",Config!$G$6,Config!$G$18)))</f>
        <v/>
      </c>
      <c r="X604">
        <f>IF(OR(L604=0,L604=""),"",ABS((L604-IF($C604="LT",Config!$F$7,Config!$F$19))/IF($C604="LT",Config!$G$7,Config!$G$19)))</f>
        <v/>
      </c>
      <c r="Y604">
        <f>IF(OR(M604=0,M604=""),"",ABS((M604-IF($C604="LT",Config!$F$8,Config!$F$20))/IF($C604="LT",Config!$G$8,Config!$G$20)))</f>
        <v/>
      </c>
      <c r="Z604">
        <f>IF(OR(N604=0,N604=""),"",ABS((N604-IF($C604="LT",Config!$F$9,Config!$F$21))/IF($C604="LT",Config!$G$9,Config!$G$21)))</f>
        <v/>
      </c>
      <c r="AA604">
        <f>IF(OR(O604=0,O604=""),"",ABS((O604-IF($C604="LT",Config!$F$10,Config!$F$22))/IF($C604="LT",Config!$G$10,Config!$G$22)))</f>
        <v/>
      </c>
      <c r="AB604">
        <f>IF(OR(P604=0,P604=""),"",ABS((P604-IF($C604="LT",Config!$F$11,Config!$F$23))/IF($C604="LT",Config!$G$11,Config!$G$23)))</f>
        <v/>
      </c>
      <c r="AC604">
        <f>IF(OR(Q604=0,Q604=""),"",ABS((Q604-IF($C604="LT",Config!$F$12,Config!$F$24))/IF($C604="LT",Config!$G$12,Config!$G$24)))</f>
        <v/>
      </c>
      <c r="AD604">
        <f>IF(OR(R604=0,R604=""),"",ABS((R604-IF($C604="LT",Config!$F$13,Config!$F$25))/IF($C604="LT",Config!$G$13,Config!$G$25)))</f>
        <v/>
      </c>
    </row>
    <row r="605">
      <c r="A605" t="inlineStr">
        <is>
          <t>04D0826121281</t>
        </is>
      </c>
      <c r="B605" t="inlineStr">
        <is>
          <t>CRS0000674</t>
        </is>
      </c>
      <c r="C605" t="inlineStr">
        <is>
          <t>MT</t>
        </is>
      </c>
      <c r="D605" t="inlineStr">
        <is>
          <t>TCX413U-DS1B01</t>
        </is>
      </c>
      <c r="E605" s="2" t="n">
        <v>46120</v>
      </c>
      <c r="F605" t="inlineStr">
        <is>
          <t>Fail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>
        <f>IF(OR(G605=0,G605=""),"",ABS((G605-IF($C605="LT",Config!$F$2,Config!$F$14))/IF($C605="LT",Config!$G$2,Config!$G$14)))</f>
        <v/>
      </c>
      <c r="T605">
        <f>IF(OR(H605=0,H605=""),"",ABS((H605-IF($C605="LT",Config!$F$3,Config!$F$15))/IF($C605="LT",Config!$G$3,Config!$G$15)))</f>
        <v/>
      </c>
      <c r="U605">
        <f>IF(OR(I605=0,I605=""),"",ABS((I605-IF($C605="LT",Config!$F$4,Config!$F$16))/IF($C605="LT",Config!$G$4,Config!$G$16)))</f>
        <v/>
      </c>
      <c r="V605">
        <f>IF(OR(J605=0,J605=""),"",ABS((J605-IF($C605="LT",Config!$F$5,Config!$F$17))/IF($C605="LT",Config!$G$5,Config!$G$17)))</f>
        <v/>
      </c>
      <c r="W605">
        <f>IF(OR(K605=0,K605=""),"",ABS((K605-IF($C605="LT",Config!$F$6,Config!$F$18))/IF($C605="LT",Config!$G$6,Config!$G$18)))</f>
        <v/>
      </c>
      <c r="X605">
        <f>IF(OR(L605=0,L605=""),"",ABS((L605-IF($C605="LT",Config!$F$7,Config!$F$19))/IF($C605="LT",Config!$G$7,Config!$G$19)))</f>
        <v/>
      </c>
      <c r="Y605">
        <f>IF(OR(M605=0,M605=""),"",ABS((M605-IF($C605="LT",Config!$F$8,Config!$F$20))/IF($C605="LT",Config!$G$8,Config!$G$20)))</f>
        <v/>
      </c>
      <c r="Z605">
        <f>IF(OR(N605=0,N605=""),"",ABS((N605-IF($C605="LT",Config!$F$9,Config!$F$21))/IF($C605="LT",Config!$G$9,Config!$G$21)))</f>
        <v/>
      </c>
      <c r="AA605">
        <f>IF(OR(O605=0,O605=""),"",ABS((O605-IF($C605="LT",Config!$F$10,Config!$F$22))/IF($C605="LT",Config!$G$10,Config!$G$22)))</f>
        <v/>
      </c>
      <c r="AB605">
        <f>IF(OR(P605=0,P605=""),"",ABS((P605-IF($C605="LT",Config!$F$11,Config!$F$23))/IF($C605="LT",Config!$G$11,Config!$G$23)))</f>
        <v/>
      </c>
      <c r="AC605">
        <f>IF(OR(Q605=0,Q605=""),"",ABS((Q605-IF($C605="LT",Config!$F$12,Config!$F$24))/IF($C605="LT",Config!$G$12,Config!$G$24)))</f>
        <v/>
      </c>
      <c r="AD605">
        <f>IF(OR(R605=0,R605=""),"",ABS((R605-IF($C605="LT",Config!$F$13,Config!$F$25))/IF($C605="LT",Config!$G$13,Config!$G$25)))</f>
        <v/>
      </c>
    </row>
    <row r="606">
      <c r="A606" t="inlineStr">
        <is>
          <t>04D0826121281</t>
        </is>
      </c>
      <c r="B606" t="inlineStr">
        <is>
          <t>CRS0000674</t>
        </is>
      </c>
      <c r="C606" t="inlineStr">
        <is>
          <t>MT</t>
        </is>
      </c>
      <c r="D606" t="inlineStr">
        <is>
          <t>TCX413U-DS1B01</t>
        </is>
      </c>
      <c r="E606" s="2" t="n">
        <v>46120</v>
      </c>
      <c r="F606" t="inlineStr">
        <is>
          <t>Fail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>
        <f>IF(OR(G606=0,G606=""),"",ABS((G606-IF($C606="LT",Config!$F$2,Config!$F$14))/IF($C606="LT",Config!$G$2,Config!$G$14)))</f>
        <v/>
      </c>
      <c r="T606">
        <f>IF(OR(H606=0,H606=""),"",ABS((H606-IF($C606="LT",Config!$F$3,Config!$F$15))/IF($C606="LT",Config!$G$3,Config!$G$15)))</f>
        <v/>
      </c>
      <c r="U606">
        <f>IF(OR(I606=0,I606=""),"",ABS((I606-IF($C606="LT",Config!$F$4,Config!$F$16))/IF($C606="LT",Config!$G$4,Config!$G$16)))</f>
        <v/>
      </c>
      <c r="V606">
        <f>IF(OR(J606=0,J606=""),"",ABS((J606-IF($C606="LT",Config!$F$5,Config!$F$17))/IF($C606="LT",Config!$G$5,Config!$G$17)))</f>
        <v/>
      </c>
      <c r="W606">
        <f>IF(OR(K606=0,K606=""),"",ABS((K606-IF($C606="LT",Config!$F$6,Config!$F$18))/IF($C606="LT",Config!$G$6,Config!$G$18)))</f>
        <v/>
      </c>
      <c r="X606">
        <f>IF(OR(L606=0,L606=""),"",ABS((L606-IF($C606="LT",Config!$F$7,Config!$F$19))/IF($C606="LT",Config!$G$7,Config!$G$19)))</f>
        <v/>
      </c>
      <c r="Y606">
        <f>IF(OR(M606=0,M606=""),"",ABS((M606-IF($C606="LT",Config!$F$8,Config!$F$20))/IF($C606="LT",Config!$G$8,Config!$G$20)))</f>
        <v/>
      </c>
      <c r="Z606">
        <f>IF(OR(N606=0,N606=""),"",ABS((N606-IF($C606="LT",Config!$F$9,Config!$F$21))/IF($C606="LT",Config!$G$9,Config!$G$21)))</f>
        <v/>
      </c>
      <c r="AA606">
        <f>IF(OR(O606=0,O606=""),"",ABS((O606-IF($C606="LT",Config!$F$10,Config!$F$22))/IF($C606="LT",Config!$G$10,Config!$G$22)))</f>
        <v/>
      </c>
      <c r="AB606">
        <f>IF(OR(P606=0,P606=""),"",ABS((P606-IF($C606="LT",Config!$F$11,Config!$F$23))/IF($C606="LT",Config!$G$11,Config!$G$23)))</f>
        <v/>
      </c>
      <c r="AC606">
        <f>IF(OR(Q606=0,Q606=""),"",ABS((Q606-IF($C606="LT",Config!$F$12,Config!$F$24))/IF($C606="LT",Config!$G$12,Config!$G$24)))</f>
        <v/>
      </c>
      <c r="AD606">
        <f>IF(OR(R606=0,R606=""),"",ABS((R606-IF($C606="LT",Config!$F$13,Config!$F$25))/IF($C606="LT",Config!$G$13,Config!$G$25)))</f>
        <v/>
      </c>
    </row>
    <row r="607">
      <c r="A607" t="inlineStr">
        <is>
          <t>04D0826121281</t>
        </is>
      </c>
      <c r="B607" t="inlineStr">
        <is>
          <t>CRS0000674</t>
        </is>
      </c>
      <c r="C607" t="inlineStr">
        <is>
          <t>MT</t>
        </is>
      </c>
      <c r="D607" t="inlineStr">
        <is>
          <t>TCX413U-DS1B01</t>
        </is>
      </c>
      <c r="E607" s="2" t="n">
        <v>46120</v>
      </c>
      <c r="F607" t="inlineStr">
        <is>
          <t>Pass</t>
        </is>
      </c>
      <c r="G607" t="n">
        <v>116.9</v>
      </c>
      <c r="H607" t="n">
        <v>76.09999999999999</v>
      </c>
      <c r="I607" t="n">
        <v>-1957.8</v>
      </c>
      <c r="J607" t="n">
        <v>71.7</v>
      </c>
      <c r="K607" t="n">
        <v>0</v>
      </c>
      <c r="L607" t="n">
        <v>1.9</v>
      </c>
      <c r="M607" t="n">
        <v>0</v>
      </c>
      <c r="N607" t="n">
        <v>73.59999999999999</v>
      </c>
      <c r="O607" t="n">
        <v>112.3</v>
      </c>
      <c r="P607" t="n">
        <v>116.48</v>
      </c>
      <c r="Q607" t="n">
        <v>3.98</v>
      </c>
      <c r="R607" t="n">
        <v>3.98</v>
      </c>
      <c r="S607">
        <f>IF(OR(G607=0,G607=""),"",ABS((G607-IF($C607="LT",Config!$F$2,Config!$F$14))/IF($C607="LT",Config!$G$2,Config!$G$14)))</f>
        <v/>
      </c>
      <c r="T607">
        <f>IF(OR(H607=0,H607=""),"",ABS((H607-IF($C607="LT",Config!$F$3,Config!$F$15))/IF($C607="LT",Config!$G$3,Config!$G$15)))</f>
        <v/>
      </c>
      <c r="U607">
        <f>IF(OR(I607=0,I607=""),"",ABS((I607-IF($C607="LT",Config!$F$4,Config!$F$16))/IF($C607="LT",Config!$G$4,Config!$G$16)))</f>
        <v/>
      </c>
      <c r="V607">
        <f>IF(OR(J607=0,J607=""),"",ABS((J607-IF($C607="LT",Config!$F$5,Config!$F$17))/IF($C607="LT",Config!$G$5,Config!$G$17)))</f>
        <v/>
      </c>
      <c r="W607">
        <f>IF(OR(K607=0,K607=""),"",ABS((K607-IF($C607="LT",Config!$F$6,Config!$F$18))/IF($C607="LT",Config!$G$6,Config!$G$18)))</f>
        <v/>
      </c>
      <c r="X607">
        <f>IF(OR(L607=0,L607=""),"",ABS((L607-IF($C607="LT",Config!$F$7,Config!$F$19))/IF($C607="LT",Config!$G$7,Config!$G$19)))</f>
        <v/>
      </c>
      <c r="Y607">
        <f>IF(OR(M607=0,M607=""),"",ABS((M607-IF($C607="LT",Config!$F$8,Config!$F$20))/IF($C607="LT",Config!$G$8,Config!$G$20)))</f>
        <v/>
      </c>
      <c r="Z607">
        <f>IF(OR(N607=0,N607=""),"",ABS((N607-IF($C607="LT",Config!$F$9,Config!$F$21))/IF($C607="LT",Config!$G$9,Config!$G$21)))</f>
        <v/>
      </c>
      <c r="AA607">
        <f>IF(OR(O607=0,O607=""),"",ABS((O607-IF($C607="LT",Config!$F$10,Config!$F$22))/IF($C607="LT",Config!$G$10,Config!$G$22)))</f>
        <v/>
      </c>
      <c r="AB607">
        <f>IF(OR(P607=0,P607=""),"",ABS((P607-IF($C607="LT",Config!$F$11,Config!$F$23))/IF($C607="LT",Config!$G$11,Config!$G$23)))</f>
        <v/>
      </c>
      <c r="AC607">
        <f>IF(OR(Q607=0,Q607=""),"",ABS((Q607-IF($C607="LT",Config!$F$12,Config!$F$24))/IF($C607="LT",Config!$G$12,Config!$G$24)))</f>
        <v/>
      </c>
      <c r="AD607">
        <f>IF(OR(R607=0,R607=""),"",ABS((R607-IF($C607="LT",Config!$F$13,Config!$F$25))/IF($C607="LT",Config!$G$13,Config!$G$25)))</f>
        <v/>
      </c>
    </row>
    <row r="608">
      <c r="A608" t="inlineStr">
        <is>
          <t>04D0826121283</t>
        </is>
      </c>
      <c r="B608" t="inlineStr">
        <is>
          <t>CRS0000674</t>
        </is>
      </c>
      <c r="C608" t="inlineStr">
        <is>
          <t>MT</t>
        </is>
      </c>
      <c r="D608" t="inlineStr">
        <is>
          <t>TCX413U-DS1B01</t>
        </is>
      </c>
      <c r="E608" s="2" t="n">
        <v>46120</v>
      </c>
      <c r="F608" t="inlineStr">
        <is>
          <t>Pass</t>
        </is>
      </c>
      <c r="G608" t="n">
        <v>118.7</v>
      </c>
      <c r="H608" t="n">
        <v>82.90000000000001</v>
      </c>
      <c r="I608" t="n">
        <v>-1957.8</v>
      </c>
      <c r="J608" t="n">
        <v>71.7</v>
      </c>
      <c r="K608" t="n">
        <v>0</v>
      </c>
      <c r="L608" t="n">
        <v>3</v>
      </c>
      <c r="M608" t="n">
        <v>0</v>
      </c>
      <c r="N608" t="n">
        <v>74.7</v>
      </c>
      <c r="O608" t="n">
        <v>115.31</v>
      </c>
      <c r="P608" t="n">
        <v>115.24</v>
      </c>
      <c r="Q608" t="n">
        <v>3.93</v>
      </c>
      <c r="R608" t="n">
        <v>4</v>
      </c>
      <c r="S608">
        <f>IF(OR(G608=0,G608=""),"",ABS((G608-IF($C608="LT",Config!$F$2,Config!$F$14))/IF($C608="LT",Config!$G$2,Config!$G$14)))</f>
        <v/>
      </c>
      <c r="T608">
        <f>IF(OR(H608=0,H608=""),"",ABS((H608-IF($C608="LT",Config!$F$3,Config!$F$15))/IF($C608="LT",Config!$G$3,Config!$G$15)))</f>
        <v/>
      </c>
      <c r="U608">
        <f>IF(OR(I608=0,I608=""),"",ABS((I608-IF($C608="LT",Config!$F$4,Config!$F$16))/IF($C608="LT",Config!$G$4,Config!$G$16)))</f>
        <v/>
      </c>
      <c r="V608">
        <f>IF(OR(J608=0,J608=""),"",ABS((J608-IF($C608="LT",Config!$F$5,Config!$F$17))/IF($C608="LT",Config!$G$5,Config!$G$17)))</f>
        <v/>
      </c>
      <c r="W608">
        <f>IF(OR(K608=0,K608=""),"",ABS((K608-IF($C608="LT",Config!$F$6,Config!$F$18))/IF($C608="LT",Config!$G$6,Config!$G$18)))</f>
        <v/>
      </c>
      <c r="X608">
        <f>IF(OR(L608=0,L608=""),"",ABS((L608-IF($C608="LT",Config!$F$7,Config!$F$19))/IF($C608="LT",Config!$G$7,Config!$G$19)))</f>
        <v/>
      </c>
      <c r="Y608">
        <f>IF(OR(M608=0,M608=""),"",ABS((M608-IF($C608="LT",Config!$F$8,Config!$F$20))/IF($C608="LT",Config!$G$8,Config!$G$20)))</f>
        <v/>
      </c>
      <c r="Z608">
        <f>IF(OR(N608=0,N608=""),"",ABS((N608-IF($C608="LT",Config!$F$9,Config!$F$21))/IF($C608="LT",Config!$G$9,Config!$G$21)))</f>
        <v/>
      </c>
      <c r="AA608">
        <f>IF(OR(O608=0,O608=""),"",ABS((O608-IF($C608="LT",Config!$F$10,Config!$F$22))/IF($C608="LT",Config!$G$10,Config!$G$22)))</f>
        <v/>
      </c>
      <c r="AB608">
        <f>IF(OR(P608=0,P608=""),"",ABS((P608-IF($C608="LT",Config!$F$11,Config!$F$23))/IF($C608="LT",Config!$G$11,Config!$G$23)))</f>
        <v/>
      </c>
      <c r="AC608">
        <f>IF(OR(Q608=0,Q608=""),"",ABS((Q608-IF($C608="LT",Config!$F$12,Config!$F$24))/IF($C608="LT",Config!$G$12,Config!$G$24)))</f>
        <v/>
      </c>
      <c r="AD608">
        <f>IF(OR(R608=0,R608=""),"",ABS((R608-IF($C608="LT",Config!$F$13,Config!$F$25))/IF($C608="LT",Config!$G$13,Config!$G$25)))</f>
        <v/>
      </c>
    </row>
    <row r="609">
      <c r="A609" t="inlineStr">
        <is>
          <t>04C1026120889</t>
        </is>
      </c>
      <c r="B609" t="inlineStr">
        <is>
          <t>CRS0000675</t>
        </is>
      </c>
      <c r="C609" t="inlineStr">
        <is>
          <t>LT</t>
        </is>
      </c>
      <c r="D609" t="inlineStr">
        <is>
          <t>ALX440U-DS3B01</t>
        </is>
      </c>
      <c r="E609" s="2" t="n">
        <v>46121</v>
      </c>
      <c r="F609" t="inlineStr">
        <is>
          <t>Fail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>
        <f>IF(OR(G609=0,G609=""),"",ABS((G609-IF($C609="LT",Config!$F$2,Config!$F$14))/IF($C609="LT",Config!$G$2,Config!$G$14)))</f>
        <v/>
      </c>
      <c r="T609">
        <f>IF(OR(H609=0,H609=""),"",ABS((H609-IF($C609="LT",Config!$F$3,Config!$F$15))/IF($C609="LT",Config!$G$3,Config!$G$15)))</f>
        <v/>
      </c>
      <c r="U609">
        <f>IF(OR(I609=0,I609=""),"",ABS((I609-IF($C609="LT",Config!$F$4,Config!$F$16))/IF($C609="LT",Config!$G$4,Config!$G$16)))</f>
        <v/>
      </c>
      <c r="V609">
        <f>IF(OR(J609=0,J609=""),"",ABS((J609-IF($C609="LT",Config!$F$5,Config!$F$17))/IF($C609="LT",Config!$G$5,Config!$G$17)))</f>
        <v/>
      </c>
      <c r="W609">
        <f>IF(OR(K609=0,K609=""),"",ABS((K609-IF($C609="LT",Config!$F$6,Config!$F$18))/IF($C609="LT",Config!$G$6,Config!$G$18)))</f>
        <v/>
      </c>
      <c r="X609">
        <f>IF(OR(L609=0,L609=""),"",ABS((L609-IF($C609="LT",Config!$F$7,Config!$F$19))/IF($C609="LT",Config!$G$7,Config!$G$19)))</f>
        <v/>
      </c>
      <c r="Y609">
        <f>IF(OR(M609=0,M609=""),"",ABS((M609-IF($C609="LT",Config!$F$8,Config!$F$20))/IF($C609="LT",Config!$G$8,Config!$G$20)))</f>
        <v/>
      </c>
      <c r="Z609">
        <f>IF(OR(N609=0,N609=""),"",ABS((N609-IF($C609="LT",Config!$F$9,Config!$F$21))/IF($C609="LT",Config!$G$9,Config!$G$21)))</f>
        <v/>
      </c>
      <c r="AA609">
        <f>IF(OR(O609=0,O609=""),"",ABS((O609-IF($C609="LT",Config!$F$10,Config!$F$22))/IF($C609="LT",Config!$G$10,Config!$G$22)))</f>
        <v/>
      </c>
      <c r="AB609">
        <f>IF(OR(P609=0,P609=""),"",ABS((P609-IF($C609="LT",Config!$F$11,Config!$F$23))/IF($C609="LT",Config!$G$11,Config!$G$23)))</f>
        <v/>
      </c>
      <c r="AC609">
        <f>IF(OR(Q609=0,Q609=""),"",ABS((Q609-IF($C609="LT",Config!$F$12,Config!$F$24))/IF($C609="LT",Config!$G$12,Config!$G$24)))</f>
        <v/>
      </c>
      <c r="AD609">
        <f>IF(OR(R609=0,R609=""),"",ABS((R609-IF($C609="LT",Config!$F$13,Config!$F$25))/IF($C609="LT",Config!$G$13,Config!$G$25)))</f>
        <v/>
      </c>
    </row>
    <row r="610">
      <c r="A610" t="inlineStr">
        <is>
          <t>04D0826121284</t>
        </is>
      </c>
      <c r="B610" t="inlineStr">
        <is>
          <t>CRS0000675</t>
        </is>
      </c>
      <c r="C610" t="inlineStr">
        <is>
          <t>LT</t>
        </is>
      </c>
      <c r="D610" t="inlineStr">
        <is>
          <t>ALX440U-DS3B01</t>
        </is>
      </c>
      <c r="E610" s="2" t="n">
        <v>46121</v>
      </c>
      <c r="F610" t="inlineStr">
        <is>
          <t>Fail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>
        <f>IF(OR(G610=0,G610=""),"",ABS((G610-IF($C610="LT",Config!$F$2,Config!$F$14))/IF($C610="LT",Config!$G$2,Config!$G$14)))</f>
        <v/>
      </c>
      <c r="T610">
        <f>IF(OR(H610=0,H610=""),"",ABS((H610-IF($C610="LT",Config!$F$3,Config!$F$15))/IF($C610="LT",Config!$G$3,Config!$G$15)))</f>
        <v/>
      </c>
      <c r="U610">
        <f>IF(OR(I610=0,I610=""),"",ABS((I610-IF($C610="LT",Config!$F$4,Config!$F$16))/IF($C610="LT",Config!$G$4,Config!$G$16)))</f>
        <v/>
      </c>
      <c r="V610">
        <f>IF(OR(J610=0,J610=""),"",ABS((J610-IF($C610="LT",Config!$F$5,Config!$F$17))/IF($C610="LT",Config!$G$5,Config!$G$17)))</f>
        <v/>
      </c>
      <c r="W610">
        <f>IF(OR(K610=0,K610=""),"",ABS((K610-IF($C610="LT",Config!$F$6,Config!$F$18))/IF($C610="LT",Config!$G$6,Config!$G$18)))</f>
        <v/>
      </c>
      <c r="X610">
        <f>IF(OR(L610=0,L610=""),"",ABS((L610-IF($C610="LT",Config!$F$7,Config!$F$19))/IF($C610="LT",Config!$G$7,Config!$G$19)))</f>
        <v/>
      </c>
      <c r="Y610">
        <f>IF(OR(M610=0,M610=""),"",ABS((M610-IF($C610="LT",Config!$F$8,Config!$F$20))/IF($C610="LT",Config!$G$8,Config!$G$20)))</f>
        <v/>
      </c>
      <c r="Z610">
        <f>IF(OR(N610=0,N610=""),"",ABS((N610-IF($C610="LT",Config!$F$9,Config!$F$21))/IF($C610="LT",Config!$G$9,Config!$G$21)))</f>
        <v/>
      </c>
      <c r="AA610">
        <f>IF(OR(O610=0,O610=""),"",ABS((O610-IF($C610="LT",Config!$F$10,Config!$F$22))/IF($C610="LT",Config!$G$10,Config!$G$22)))</f>
        <v/>
      </c>
      <c r="AB610">
        <f>IF(OR(P610=0,P610=""),"",ABS((P610-IF($C610="LT",Config!$F$11,Config!$F$23))/IF($C610="LT",Config!$G$11,Config!$G$23)))</f>
        <v/>
      </c>
      <c r="AC610">
        <f>IF(OR(Q610=0,Q610=""),"",ABS((Q610-IF($C610="LT",Config!$F$12,Config!$F$24))/IF($C610="LT",Config!$G$12,Config!$G$24)))</f>
        <v/>
      </c>
      <c r="AD610">
        <f>IF(OR(R610=0,R610=""),"",ABS((R610-IF($C610="LT",Config!$F$13,Config!$F$25))/IF($C610="LT",Config!$G$13,Config!$G$25)))</f>
        <v/>
      </c>
    </row>
    <row r="611">
      <c r="A611" t="inlineStr">
        <is>
          <t>04D0826121287</t>
        </is>
      </c>
      <c r="B611" t="inlineStr">
        <is>
          <t>CRS0000674</t>
        </is>
      </c>
      <c r="C611" t="inlineStr">
        <is>
          <t>MT</t>
        </is>
      </c>
      <c r="D611" t="inlineStr">
        <is>
          <t>TCX413U-DS1B01</t>
        </is>
      </c>
      <c r="E611" s="2" t="n">
        <v>46121</v>
      </c>
      <c r="F611" t="inlineStr">
        <is>
          <t>Pass</t>
        </is>
      </c>
      <c r="G611" t="n">
        <v>116</v>
      </c>
      <c r="H611" t="n">
        <v>77.90000000000001</v>
      </c>
      <c r="I611" t="n">
        <v>-1957.8</v>
      </c>
      <c r="J611" t="n">
        <v>69.5</v>
      </c>
      <c r="K611" t="n">
        <v>0</v>
      </c>
      <c r="L611" t="n">
        <v>0.4</v>
      </c>
      <c r="M611" t="n">
        <v>0</v>
      </c>
      <c r="N611" t="n">
        <v>69.90000000000001</v>
      </c>
      <c r="O611" t="n">
        <v>112.08</v>
      </c>
      <c r="P611" t="n">
        <v>116.26</v>
      </c>
      <c r="Q611" t="n">
        <v>3.71</v>
      </c>
      <c r="R611" t="n">
        <v>3.71</v>
      </c>
      <c r="S611">
        <f>IF(OR(G611=0,G611=""),"",ABS((G611-IF($C611="LT",Config!$F$2,Config!$F$14))/IF($C611="LT",Config!$G$2,Config!$G$14)))</f>
        <v/>
      </c>
      <c r="T611">
        <f>IF(OR(H611=0,H611=""),"",ABS((H611-IF($C611="LT",Config!$F$3,Config!$F$15))/IF($C611="LT",Config!$G$3,Config!$G$15)))</f>
        <v/>
      </c>
      <c r="U611">
        <f>IF(OR(I611=0,I611=""),"",ABS((I611-IF($C611="LT",Config!$F$4,Config!$F$16))/IF($C611="LT",Config!$G$4,Config!$G$16)))</f>
        <v/>
      </c>
      <c r="V611">
        <f>IF(OR(J611=0,J611=""),"",ABS((J611-IF($C611="LT",Config!$F$5,Config!$F$17))/IF($C611="LT",Config!$G$5,Config!$G$17)))</f>
        <v/>
      </c>
      <c r="W611">
        <f>IF(OR(K611=0,K611=""),"",ABS((K611-IF($C611="LT",Config!$F$6,Config!$F$18))/IF($C611="LT",Config!$G$6,Config!$G$18)))</f>
        <v/>
      </c>
      <c r="X611">
        <f>IF(OR(L611=0,L611=""),"",ABS((L611-IF($C611="LT",Config!$F$7,Config!$F$19))/IF($C611="LT",Config!$G$7,Config!$G$19)))</f>
        <v/>
      </c>
      <c r="Y611">
        <f>IF(OR(M611=0,M611=""),"",ABS((M611-IF($C611="LT",Config!$F$8,Config!$F$20))/IF($C611="LT",Config!$G$8,Config!$G$20)))</f>
        <v/>
      </c>
      <c r="Z611">
        <f>IF(OR(N611=0,N611=""),"",ABS((N611-IF($C611="LT",Config!$F$9,Config!$F$21))/IF($C611="LT",Config!$G$9,Config!$G$21)))</f>
        <v/>
      </c>
      <c r="AA611">
        <f>IF(OR(O611=0,O611=""),"",ABS((O611-IF($C611="LT",Config!$F$10,Config!$F$22))/IF($C611="LT",Config!$G$10,Config!$G$22)))</f>
        <v/>
      </c>
      <c r="AB611">
        <f>IF(OR(P611=0,P611=""),"",ABS((P611-IF($C611="LT",Config!$F$11,Config!$F$23))/IF($C611="LT",Config!$G$11,Config!$G$23)))</f>
        <v/>
      </c>
      <c r="AC611">
        <f>IF(OR(Q611=0,Q611=""),"",ABS((Q611-IF($C611="LT",Config!$F$12,Config!$F$24))/IF($C611="LT",Config!$G$12,Config!$G$24)))</f>
        <v/>
      </c>
      <c r="AD611">
        <f>IF(OR(R611=0,R611=""),"",ABS((R611-IF($C611="LT",Config!$F$13,Config!$F$25))/IF($C611="LT",Config!$G$13,Config!$G$25)))</f>
        <v/>
      </c>
    </row>
    <row r="612">
      <c r="A612" t="inlineStr">
        <is>
          <t>04D0826121285</t>
        </is>
      </c>
      <c r="B612" t="inlineStr">
        <is>
          <t>CRS0000675</t>
        </is>
      </c>
      <c r="C612" t="inlineStr">
        <is>
          <t>LT</t>
        </is>
      </c>
      <c r="D612" t="inlineStr">
        <is>
          <t>ALX440U-DS3B01</t>
        </is>
      </c>
      <c r="E612" s="2" t="n">
        <v>46121</v>
      </c>
      <c r="F612" t="inlineStr">
        <is>
          <t>Fail</t>
        </is>
      </c>
      <c r="G612" t="n">
        <v>140.5</v>
      </c>
      <c r="H612" t="n">
        <v>79.8</v>
      </c>
      <c r="I612" t="n">
        <v>-1957.8</v>
      </c>
      <c r="J612" t="n">
        <v>70</v>
      </c>
      <c r="K612" t="n">
        <v>0</v>
      </c>
      <c r="L612" t="n">
        <v>1.9</v>
      </c>
      <c r="M612" t="n">
        <v>0</v>
      </c>
      <c r="N612" t="n">
        <v>71.90000000000001</v>
      </c>
      <c r="O612" t="n">
        <v>114.72</v>
      </c>
      <c r="P612" t="n">
        <v>114.8</v>
      </c>
      <c r="Q612" t="n">
        <v>8.130000000000001</v>
      </c>
      <c r="R612" t="n">
        <v>7.98</v>
      </c>
      <c r="S612">
        <f>IF(OR(G612=0,G612=""),"",ABS((G612-IF($C612="LT",Config!$F$2,Config!$F$14))/IF($C612="LT",Config!$G$2,Config!$G$14)))</f>
        <v/>
      </c>
      <c r="T612">
        <f>IF(OR(H612=0,H612=""),"",ABS((H612-IF($C612="LT",Config!$F$3,Config!$F$15))/IF($C612="LT",Config!$G$3,Config!$G$15)))</f>
        <v/>
      </c>
      <c r="U612">
        <f>IF(OR(I612=0,I612=""),"",ABS((I612-IF($C612="LT",Config!$F$4,Config!$F$16))/IF($C612="LT",Config!$G$4,Config!$G$16)))</f>
        <v/>
      </c>
      <c r="V612">
        <f>IF(OR(J612=0,J612=""),"",ABS((J612-IF($C612="LT",Config!$F$5,Config!$F$17))/IF($C612="LT",Config!$G$5,Config!$G$17)))</f>
        <v/>
      </c>
      <c r="W612">
        <f>IF(OR(K612=0,K612=""),"",ABS((K612-IF($C612="LT",Config!$F$6,Config!$F$18))/IF($C612="LT",Config!$G$6,Config!$G$18)))</f>
        <v/>
      </c>
      <c r="X612">
        <f>IF(OR(L612=0,L612=""),"",ABS((L612-IF($C612="LT",Config!$F$7,Config!$F$19))/IF($C612="LT",Config!$G$7,Config!$G$19)))</f>
        <v/>
      </c>
      <c r="Y612">
        <f>IF(OR(M612=0,M612=""),"",ABS((M612-IF($C612="LT",Config!$F$8,Config!$F$20))/IF($C612="LT",Config!$G$8,Config!$G$20)))</f>
        <v/>
      </c>
      <c r="Z612">
        <f>IF(OR(N612=0,N612=""),"",ABS((N612-IF($C612="LT",Config!$F$9,Config!$F$21))/IF($C612="LT",Config!$G$9,Config!$G$21)))</f>
        <v/>
      </c>
      <c r="AA612">
        <f>IF(OR(O612=0,O612=""),"",ABS((O612-IF($C612="LT",Config!$F$10,Config!$F$22))/IF($C612="LT",Config!$G$10,Config!$G$22)))</f>
        <v/>
      </c>
      <c r="AB612">
        <f>IF(OR(P612=0,P612=""),"",ABS((P612-IF($C612="LT",Config!$F$11,Config!$F$23))/IF($C612="LT",Config!$G$11,Config!$G$23)))</f>
        <v/>
      </c>
      <c r="AC612">
        <f>IF(OR(Q612=0,Q612=""),"",ABS((Q612-IF($C612="LT",Config!$F$12,Config!$F$24))/IF($C612="LT",Config!$G$12,Config!$G$24)))</f>
        <v/>
      </c>
      <c r="AD612">
        <f>IF(OR(R612=0,R612=""),"",ABS((R612-IF($C612="LT",Config!$F$13,Config!$F$25))/IF($C612="LT",Config!$G$13,Config!$G$25)))</f>
        <v/>
      </c>
    </row>
    <row r="613">
      <c r="A613" t="inlineStr">
        <is>
          <t>04D0826121285</t>
        </is>
      </c>
      <c r="B613" t="inlineStr">
        <is>
          <t>CRS0000675</t>
        </is>
      </c>
      <c r="C613" t="inlineStr">
        <is>
          <t>LT</t>
        </is>
      </c>
      <c r="D613" t="inlineStr">
        <is>
          <t>ALX440U-DS3B01</t>
        </is>
      </c>
      <c r="E613" s="2" t="n">
        <v>46121</v>
      </c>
      <c r="F613" t="inlineStr">
        <is>
          <t>Pass</t>
        </is>
      </c>
      <c r="G613" t="n">
        <v>146.4</v>
      </c>
      <c r="H613" t="n">
        <v>103.2</v>
      </c>
      <c r="I613" t="n">
        <v>-1957.8</v>
      </c>
      <c r="J613" t="n">
        <v>70.40000000000001</v>
      </c>
      <c r="K613" t="n">
        <v>0</v>
      </c>
      <c r="L613" t="n">
        <v>1.2</v>
      </c>
      <c r="M613" t="n">
        <v>0</v>
      </c>
      <c r="N613" t="n">
        <v>71.59999999999999</v>
      </c>
      <c r="O613" t="n">
        <v>111.57</v>
      </c>
      <c r="P613" t="n">
        <v>112.74</v>
      </c>
      <c r="Q613" t="n">
        <v>8.109999999999999</v>
      </c>
      <c r="R613" t="n">
        <v>8.08</v>
      </c>
      <c r="S613">
        <f>IF(OR(G613=0,G613=""),"",ABS((G613-IF($C613="LT",Config!$F$2,Config!$F$14))/IF($C613="LT",Config!$G$2,Config!$G$14)))</f>
        <v/>
      </c>
      <c r="T613">
        <f>IF(OR(H613=0,H613=""),"",ABS((H613-IF($C613="LT",Config!$F$3,Config!$F$15))/IF($C613="LT",Config!$G$3,Config!$G$15)))</f>
        <v/>
      </c>
      <c r="U613">
        <f>IF(OR(I613=0,I613=""),"",ABS((I613-IF($C613="LT",Config!$F$4,Config!$F$16))/IF($C613="LT",Config!$G$4,Config!$G$16)))</f>
        <v/>
      </c>
      <c r="V613">
        <f>IF(OR(J613=0,J613=""),"",ABS((J613-IF($C613="LT",Config!$F$5,Config!$F$17))/IF($C613="LT",Config!$G$5,Config!$G$17)))</f>
        <v/>
      </c>
      <c r="W613">
        <f>IF(OR(K613=0,K613=""),"",ABS((K613-IF($C613="LT",Config!$F$6,Config!$F$18))/IF($C613="LT",Config!$G$6,Config!$G$18)))</f>
        <v/>
      </c>
      <c r="X613">
        <f>IF(OR(L613=0,L613=""),"",ABS((L613-IF($C613="LT",Config!$F$7,Config!$F$19))/IF($C613="LT",Config!$G$7,Config!$G$19)))</f>
        <v/>
      </c>
      <c r="Y613">
        <f>IF(OR(M613=0,M613=""),"",ABS((M613-IF($C613="LT",Config!$F$8,Config!$F$20))/IF($C613="LT",Config!$G$8,Config!$G$20)))</f>
        <v/>
      </c>
      <c r="Z613">
        <f>IF(OR(N613=0,N613=""),"",ABS((N613-IF($C613="LT",Config!$F$9,Config!$F$21))/IF($C613="LT",Config!$G$9,Config!$G$21)))</f>
        <v/>
      </c>
      <c r="AA613">
        <f>IF(OR(O613=0,O613=""),"",ABS((O613-IF($C613="LT",Config!$F$10,Config!$F$22))/IF($C613="LT",Config!$G$10,Config!$G$22)))</f>
        <v/>
      </c>
      <c r="AB613">
        <f>IF(OR(P613=0,P613=""),"",ABS((P613-IF($C613="LT",Config!$F$11,Config!$F$23))/IF($C613="LT",Config!$G$11,Config!$G$23)))</f>
        <v/>
      </c>
      <c r="AC613">
        <f>IF(OR(Q613=0,Q613=""),"",ABS((Q613-IF($C613="LT",Config!$F$12,Config!$F$24))/IF($C613="LT",Config!$G$12,Config!$G$24)))</f>
        <v/>
      </c>
      <c r="AD613">
        <f>IF(OR(R613=0,R613=""),"",ABS((R613-IF($C613="LT",Config!$F$13,Config!$F$25))/IF($C613="LT",Config!$G$13,Config!$G$25)))</f>
        <v/>
      </c>
    </row>
    <row r="614">
      <c r="A614" t="inlineStr">
        <is>
          <t>04D0826121288</t>
        </is>
      </c>
      <c r="B614" t="inlineStr">
        <is>
          <t>CRS0000675</t>
        </is>
      </c>
      <c r="C614" t="inlineStr">
        <is>
          <t>LT</t>
        </is>
      </c>
      <c r="D614" t="inlineStr">
        <is>
          <t>ALX440U-DS3B01</t>
        </is>
      </c>
      <c r="E614" s="2" t="n">
        <v>46121</v>
      </c>
      <c r="F614" t="inlineStr">
        <is>
          <t>Fail</t>
        </is>
      </c>
      <c r="G614" t="n">
        <v>159.7</v>
      </c>
      <c r="H614" t="n">
        <v>105.5</v>
      </c>
      <c r="I614" t="n">
        <v>-1957.8</v>
      </c>
      <c r="J614" t="n">
        <v>71.3</v>
      </c>
      <c r="K614" t="n">
        <v>0</v>
      </c>
      <c r="L614" t="n">
        <v>1.6</v>
      </c>
      <c r="M614" t="n">
        <v>0</v>
      </c>
      <c r="N614" t="n">
        <v>72.90000000000001</v>
      </c>
      <c r="O614" t="n">
        <v>114.8</v>
      </c>
      <c r="P614" t="n">
        <v>114.94</v>
      </c>
      <c r="Q614" t="n">
        <v>8.5</v>
      </c>
      <c r="R614" t="n">
        <v>8.33</v>
      </c>
      <c r="S614">
        <f>IF(OR(G614=0,G614=""),"",ABS((G614-IF($C614="LT",Config!$F$2,Config!$F$14))/IF($C614="LT",Config!$G$2,Config!$G$14)))</f>
        <v/>
      </c>
      <c r="T614">
        <f>IF(OR(H614=0,H614=""),"",ABS((H614-IF($C614="LT",Config!$F$3,Config!$F$15))/IF($C614="LT",Config!$G$3,Config!$G$15)))</f>
        <v/>
      </c>
      <c r="U614">
        <f>IF(OR(I614=0,I614=""),"",ABS((I614-IF($C614="LT",Config!$F$4,Config!$F$16))/IF($C614="LT",Config!$G$4,Config!$G$16)))</f>
        <v/>
      </c>
      <c r="V614">
        <f>IF(OR(J614=0,J614=""),"",ABS((J614-IF($C614="LT",Config!$F$5,Config!$F$17))/IF($C614="LT",Config!$G$5,Config!$G$17)))</f>
        <v/>
      </c>
      <c r="W614">
        <f>IF(OR(K614=0,K614=""),"",ABS((K614-IF($C614="LT",Config!$F$6,Config!$F$18))/IF($C614="LT",Config!$G$6,Config!$G$18)))</f>
        <v/>
      </c>
      <c r="X614">
        <f>IF(OR(L614=0,L614=""),"",ABS((L614-IF($C614="LT",Config!$F$7,Config!$F$19))/IF($C614="LT",Config!$G$7,Config!$G$19)))</f>
        <v/>
      </c>
      <c r="Y614">
        <f>IF(OR(M614=0,M614=""),"",ABS((M614-IF($C614="LT",Config!$F$8,Config!$F$20))/IF($C614="LT",Config!$G$8,Config!$G$20)))</f>
        <v/>
      </c>
      <c r="Z614">
        <f>IF(OR(N614=0,N614=""),"",ABS((N614-IF($C614="LT",Config!$F$9,Config!$F$21))/IF($C614="LT",Config!$G$9,Config!$G$21)))</f>
        <v/>
      </c>
      <c r="AA614">
        <f>IF(OR(O614=0,O614=""),"",ABS((O614-IF($C614="LT",Config!$F$10,Config!$F$22))/IF($C614="LT",Config!$G$10,Config!$G$22)))</f>
        <v/>
      </c>
      <c r="AB614">
        <f>IF(OR(P614=0,P614=""),"",ABS((P614-IF($C614="LT",Config!$F$11,Config!$F$23))/IF($C614="LT",Config!$G$11,Config!$G$23)))</f>
        <v/>
      </c>
      <c r="AC614">
        <f>IF(OR(Q614=0,Q614=""),"",ABS((Q614-IF($C614="LT",Config!$F$12,Config!$F$24))/IF($C614="LT",Config!$G$12,Config!$G$24)))</f>
        <v/>
      </c>
      <c r="AD614">
        <f>IF(OR(R614=0,R614=""),"",ABS((R614-IF($C614="LT",Config!$F$13,Config!$F$25))/IF($C614="LT",Config!$G$13,Config!$G$25)))</f>
        <v/>
      </c>
    </row>
    <row r="615">
      <c r="A615" t="inlineStr">
        <is>
          <t>04D0826121288</t>
        </is>
      </c>
      <c r="B615" t="inlineStr">
        <is>
          <t>CRS0000675</t>
        </is>
      </c>
      <c r="C615" t="inlineStr">
        <is>
          <t>LT</t>
        </is>
      </c>
      <c r="D615" t="inlineStr">
        <is>
          <t>ALX440U-DS3B01</t>
        </is>
      </c>
      <c r="E615" s="2" t="n">
        <v>46121</v>
      </c>
      <c r="F615" t="inlineStr">
        <is>
          <t>Pass</t>
        </is>
      </c>
      <c r="G615" t="n">
        <v>152.2</v>
      </c>
      <c r="H615" t="n">
        <v>102.3</v>
      </c>
      <c r="I615" t="n">
        <v>-1957.8</v>
      </c>
      <c r="J615" t="n">
        <v>71.3</v>
      </c>
      <c r="K615" t="n">
        <v>0</v>
      </c>
      <c r="L615" t="n">
        <v>0.5</v>
      </c>
      <c r="M615" t="n">
        <v>0</v>
      </c>
      <c r="N615" t="n">
        <v>71.8</v>
      </c>
      <c r="O615" t="n">
        <v>115.02</v>
      </c>
      <c r="P615" t="n">
        <v>115.02</v>
      </c>
      <c r="Q615" t="n">
        <v>8.08</v>
      </c>
      <c r="R615" t="n">
        <v>8.18</v>
      </c>
      <c r="S615">
        <f>IF(OR(G615=0,G615=""),"",ABS((G615-IF($C615="LT",Config!$F$2,Config!$F$14))/IF($C615="LT",Config!$G$2,Config!$G$14)))</f>
        <v/>
      </c>
      <c r="T615">
        <f>IF(OR(H615=0,H615=""),"",ABS((H615-IF($C615="LT",Config!$F$3,Config!$F$15))/IF($C615="LT",Config!$G$3,Config!$G$15)))</f>
        <v/>
      </c>
      <c r="U615">
        <f>IF(OR(I615=0,I615=""),"",ABS((I615-IF($C615="LT",Config!$F$4,Config!$F$16))/IF($C615="LT",Config!$G$4,Config!$G$16)))</f>
        <v/>
      </c>
      <c r="V615">
        <f>IF(OR(J615=0,J615=""),"",ABS((J615-IF($C615="LT",Config!$F$5,Config!$F$17))/IF($C615="LT",Config!$G$5,Config!$G$17)))</f>
        <v/>
      </c>
      <c r="W615">
        <f>IF(OR(K615=0,K615=""),"",ABS((K615-IF($C615="LT",Config!$F$6,Config!$F$18))/IF($C615="LT",Config!$G$6,Config!$G$18)))</f>
        <v/>
      </c>
      <c r="X615">
        <f>IF(OR(L615=0,L615=""),"",ABS((L615-IF($C615="LT",Config!$F$7,Config!$F$19))/IF($C615="LT",Config!$G$7,Config!$G$19)))</f>
        <v/>
      </c>
      <c r="Y615">
        <f>IF(OR(M615=0,M615=""),"",ABS((M615-IF($C615="LT",Config!$F$8,Config!$F$20))/IF($C615="LT",Config!$G$8,Config!$G$20)))</f>
        <v/>
      </c>
      <c r="Z615">
        <f>IF(OR(N615=0,N615=""),"",ABS((N615-IF($C615="LT",Config!$F$9,Config!$F$21))/IF($C615="LT",Config!$G$9,Config!$G$21)))</f>
        <v/>
      </c>
      <c r="AA615">
        <f>IF(OR(O615=0,O615=""),"",ABS((O615-IF($C615="LT",Config!$F$10,Config!$F$22))/IF($C615="LT",Config!$G$10,Config!$G$22)))</f>
        <v/>
      </c>
      <c r="AB615">
        <f>IF(OR(P615=0,P615=""),"",ABS((P615-IF($C615="LT",Config!$F$11,Config!$F$23))/IF($C615="LT",Config!$G$11,Config!$G$23)))</f>
        <v/>
      </c>
      <c r="AC615">
        <f>IF(OR(Q615=0,Q615=""),"",ABS((Q615-IF($C615="LT",Config!$F$12,Config!$F$24))/IF($C615="LT",Config!$G$12,Config!$G$24)))</f>
        <v/>
      </c>
      <c r="AD615">
        <f>IF(OR(R615=0,R615=""),"",ABS((R615-IF($C615="LT",Config!$F$13,Config!$F$25))/IF($C615="LT",Config!$G$13,Config!$G$25)))</f>
        <v/>
      </c>
    </row>
    <row r="616">
      <c r="A616" t="inlineStr">
        <is>
          <t>04D0826121289</t>
        </is>
      </c>
      <c r="B616" t="inlineStr">
        <is>
          <t>CRS0000675</t>
        </is>
      </c>
      <c r="C616" t="inlineStr">
        <is>
          <t>LT</t>
        </is>
      </c>
      <c r="D616" t="inlineStr">
        <is>
          <t>ALX440U-DS3B01</t>
        </is>
      </c>
      <c r="E616" s="2" t="n">
        <v>46121</v>
      </c>
      <c r="F616" t="inlineStr">
        <is>
          <t>Pass</t>
        </is>
      </c>
      <c r="G616" t="n">
        <v>162.4</v>
      </c>
      <c r="H616" t="n">
        <v>98.7</v>
      </c>
      <c r="I616" t="n">
        <v>-1957.8</v>
      </c>
      <c r="J616" t="n">
        <v>69.5</v>
      </c>
      <c r="K616" t="n">
        <v>0</v>
      </c>
      <c r="L616" t="n">
        <v>0.2</v>
      </c>
      <c r="M616" t="n">
        <v>0</v>
      </c>
      <c r="N616" t="n">
        <v>69.7</v>
      </c>
      <c r="O616" t="n">
        <v>114.65</v>
      </c>
      <c r="P616" t="n">
        <v>114.65</v>
      </c>
      <c r="Q616" t="n">
        <v>8.15</v>
      </c>
      <c r="R616" t="n">
        <v>8.08</v>
      </c>
      <c r="S616">
        <f>IF(OR(G616=0,G616=""),"",ABS((G616-IF($C616="LT",Config!$F$2,Config!$F$14))/IF($C616="LT",Config!$G$2,Config!$G$14)))</f>
        <v/>
      </c>
      <c r="T616">
        <f>IF(OR(H616=0,H616=""),"",ABS((H616-IF($C616="LT",Config!$F$3,Config!$F$15))/IF($C616="LT",Config!$G$3,Config!$G$15)))</f>
        <v/>
      </c>
      <c r="U616">
        <f>IF(OR(I616=0,I616=""),"",ABS((I616-IF($C616="LT",Config!$F$4,Config!$F$16))/IF($C616="LT",Config!$G$4,Config!$G$16)))</f>
        <v/>
      </c>
      <c r="V616">
        <f>IF(OR(J616=0,J616=""),"",ABS((J616-IF($C616="LT",Config!$F$5,Config!$F$17))/IF($C616="LT",Config!$G$5,Config!$G$17)))</f>
        <v/>
      </c>
      <c r="W616">
        <f>IF(OR(K616=0,K616=""),"",ABS((K616-IF($C616="LT",Config!$F$6,Config!$F$18))/IF($C616="LT",Config!$G$6,Config!$G$18)))</f>
        <v/>
      </c>
      <c r="X616">
        <f>IF(OR(L616=0,L616=""),"",ABS((L616-IF($C616="LT",Config!$F$7,Config!$F$19))/IF($C616="LT",Config!$G$7,Config!$G$19)))</f>
        <v/>
      </c>
      <c r="Y616">
        <f>IF(OR(M616=0,M616=""),"",ABS((M616-IF($C616="LT",Config!$F$8,Config!$F$20))/IF($C616="LT",Config!$G$8,Config!$G$20)))</f>
        <v/>
      </c>
      <c r="Z616">
        <f>IF(OR(N616=0,N616=""),"",ABS((N616-IF($C616="LT",Config!$F$9,Config!$F$21))/IF($C616="LT",Config!$G$9,Config!$G$21)))</f>
        <v/>
      </c>
      <c r="AA616">
        <f>IF(OR(O616=0,O616=""),"",ABS((O616-IF($C616="LT",Config!$F$10,Config!$F$22))/IF($C616="LT",Config!$G$10,Config!$G$22)))</f>
        <v/>
      </c>
      <c r="AB616">
        <f>IF(OR(P616=0,P616=""),"",ABS((P616-IF($C616="LT",Config!$F$11,Config!$F$23))/IF($C616="LT",Config!$G$11,Config!$G$23)))</f>
        <v/>
      </c>
      <c r="AC616">
        <f>IF(OR(Q616=0,Q616=""),"",ABS((Q616-IF($C616="LT",Config!$F$12,Config!$F$24))/IF($C616="LT",Config!$G$12,Config!$G$24)))</f>
        <v/>
      </c>
      <c r="AD616">
        <f>IF(OR(R616=0,R616=""),"",ABS((R616-IF($C616="LT",Config!$F$13,Config!$F$25))/IF($C616="LT",Config!$G$13,Config!$G$25)))</f>
        <v/>
      </c>
    </row>
    <row r="617">
      <c r="A617" t="inlineStr">
        <is>
          <t>04D0926121290</t>
        </is>
      </c>
      <c r="B617" t="inlineStr">
        <is>
          <t>CRS0000675</t>
        </is>
      </c>
      <c r="C617" t="inlineStr">
        <is>
          <t>LT</t>
        </is>
      </c>
      <c r="D617" t="inlineStr">
        <is>
          <t>ALX440U-DS3B01</t>
        </is>
      </c>
      <c r="E617" s="2" t="n">
        <v>46121</v>
      </c>
      <c r="F617" t="inlineStr">
        <is>
          <t>Pass</t>
        </is>
      </c>
      <c r="G617" t="n">
        <v>158</v>
      </c>
      <c r="H617" t="n">
        <v>101</v>
      </c>
      <c r="I617" t="n">
        <v>-1957.8</v>
      </c>
      <c r="J617" t="n">
        <v>70.40000000000001</v>
      </c>
      <c r="K617" t="n">
        <v>0</v>
      </c>
      <c r="L617" t="n">
        <v>1.9</v>
      </c>
      <c r="M617" t="n">
        <v>0</v>
      </c>
      <c r="N617" t="n">
        <v>72.3</v>
      </c>
      <c r="O617" t="n">
        <v>110.98</v>
      </c>
      <c r="P617" t="n">
        <v>117.73</v>
      </c>
      <c r="Q617" t="n">
        <v>8.640000000000001</v>
      </c>
      <c r="R617" t="n">
        <v>7.93</v>
      </c>
      <c r="S617">
        <f>IF(OR(G617=0,G617=""),"",ABS((G617-IF($C617="LT",Config!$F$2,Config!$F$14))/IF($C617="LT",Config!$G$2,Config!$G$14)))</f>
        <v/>
      </c>
      <c r="T617">
        <f>IF(OR(H617=0,H617=""),"",ABS((H617-IF($C617="LT",Config!$F$3,Config!$F$15))/IF($C617="LT",Config!$G$3,Config!$G$15)))</f>
        <v/>
      </c>
      <c r="U617">
        <f>IF(OR(I617=0,I617=""),"",ABS((I617-IF($C617="LT",Config!$F$4,Config!$F$16))/IF($C617="LT",Config!$G$4,Config!$G$16)))</f>
        <v/>
      </c>
      <c r="V617">
        <f>IF(OR(J617=0,J617=""),"",ABS((J617-IF($C617="LT",Config!$F$5,Config!$F$17))/IF($C617="LT",Config!$G$5,Config!$G$17)))</f>
        <v/>
      </c>
      <c r="W617">
        <f>IF(OR(K617=0,K617=""),"",ABS((K617-IF($C617="LT",Config!$F$6,Config!$F$18))/IF($C617="LT",Config!$G$6,Config!$G$18)))</f>
        <v/>
      </c>
      <c r="X617">
        <f>IF(OR(L617=0,L617=""),"",ABS((L617-IF($C617="LT",Config!$F$7,Config!$F$19))/IF($C617="LT",Config!$G$7,Config!$G$19)))</f>
        <v/>
      </c>
      <c r="Y617">
        <f>IF(OR(M617=0,M617=""),"",ABS((M617-IF($C617="LT",Config!$F$8,Config!$F$20))/IF($C617="LT",Config!$G$8,Config!$G$20)))</f>
        <v/>
      </c>
      <c r="Z617">
        <f>IF(OR(N617=0,N617=""),"",ABS((N617-IF($C617="LT",Config!$F$9,Config!$F$21))/IF($C617="LT",Config!$G$9,Config!$G$21)))</f>
        <v/>
      </c>
      <c r="AA617">
        <f>IF(OR(O617=0,O617=""),"",ABS((O617-IF($C617="LT",Config!$F$10,Config!$F$22))/IF($C617="LT",Config!$G$10,Config!$G$22)))</f>
        <v/>
      </c>
      <c r="AB617">
        <f>IF(OR(P617=0,P617=""),"",ABS((P617-IF($C617="LT",Config!$F$11,Config!$F$23))/IF($C617="LT",Config!$G$11,Config!$G$23)))</f>
        <v/>
      </c>
      <c r="AC617">
        <f>IF(OR(Q617=0,Q617=""),"",ABS((Q617-IF($C617="LT",Config!$F$12,Config!$F$24))/IF($C617="LT",Config!$G$12,Config!$G$24)))</f>
        <v/>
      </c>
      <c r="AD617">
        <f>IF(OR(R617=0,R617=""),"",ABS((R617-IF($C617="LT",Config!$F$13,Config!$F$25))/IF($C617="LT",Config!$G$13,Config!$G$25)))</f>
        <v/>
      </c>
    </row>
    <row r="618">
      <c r="A618" t="inlineStr">
        <is>
          <t>04D0926121291</t>
        </is>
      </c>
      <c r="B618" t="inlineStr">
        <is>
          <t>CRS0000675</t>
        </is>
      </c>
      <c r="C618" t="inlineStr">
        <is>
          <t>LT</t>
        </is>
      </c>
      <c r="D618" t="inlineStr">
        <is>
          <t>ALX440U-DS3B01</t>
        </is>
      </c>
      <c r="E618" s="2" t="n">
        <v>46121</v>
      </c>
      <c r="F618" t="inlineStr">
        <is>
          <t>Pass</t>
        </is>
      </c>
      <c r="G618" t="n">
        <v>158.9</v>
      </c>
      <c r="H618" t="n">
        <v>100.1</v>
      </c>
      <c r="I618" t="n">
        <v>-1957.8</v>
      </c>
      <c r="J618" t="n">
        <v>70.40000000000001</v>
      </c>
      <c r="K618" t="n">
        <v>0</v>
      </c>
      <c r="L618" t="n">
        <v>1.6</v>
      </c>
      <c r="M618" t="n">
        <v>0</v>
      </c>
      <c r="N618" t="n">
        <v>72</v>
      </c>
      <c r="O618" t="n">
        <v>110.84</v>
      </c>
      <c r="P618" t="n">
        <v>117.51</v>
      </c>
      <c r="Q618" t="n">
        <v>8.4</v>
      </c>
      <c r="R618" t="n">
        <v>7.69</v>
      </c>
      <c r="S618">
        <f>IF(OR(G618=0,G618=""),"",ABS((G618-IF($C618="LT",Config!$F$2,Config!$F$14))/IF($C618="LT",Config!$G$2,Config!$G$14)))</f>
        <v/>
      </c>
      <c r="T618">
        <f>IF(OR(H618=0,H618=""),"",ABS((H618-IF($C618="LT",Config!$F$3,Config!$F$15))/IF($C618="LT",Config!$G$3,Config!$G$15)))</f>
        <v/>
      </c>
      <c r="U618">
        <f>IF(OR(I618=0,I618=""),"",ABS((I618-IF($C618="LT",Config!$F$4,Config!$F$16))/IF($C618="LT",Config!$G$4,Config!$G$16)))</f>
        <v/>
      </c>
      <c r="V618">
        <f>IF(OR(J618=0,J618=""),"",ABS((J618-IF($C618="LT",Config!$F$5,Config!$F$17))/IF($C618="LT",Config!$G$5,Config!$G$17)))</f>
        <v/>
      </c>
      <c r="W618">
        <f>IF(OR(K618=0,K618=""),"",ABS((K618-IF($C618="LT",Config!$F$6,Config!$F$18))/IF($C618="LT",Config!$G$6,Config!$G$18)))</f>
        <v/>
      </c>
      <c r="X618">
        <f>IF(OR(L618=0,L618=""),"",ABS((L618-IF($C618="LT",Config!$F$7,Config!$F$19))/IF($C618="LT",Config!$G$7,Config!$G$19)))</f>
        <v/>
      </c>
      <c r="Y618">
        <f>IF(OR(M618=0,M618=""),"",ABS((M618-IF($C618="LT",Config!$F$8,Config!$F$20))/IF($C618="LT",Config!$G$8,Config!$G$20)))</f>
        <v/>
      </c>
      <c r="Z618">
        <f>IF(OR(N618=0,N618=""),"",ABS((N618-IF($C618="LT",Config!$F$9,Config!$F$21))/IF($C618="LT",Config!$G$9,Config!$G$21)))</f>
        <v/>
      </c>
      <c r="AA618">
        <f>IF(OR(O618=0,O618=""),"",ABS((O618-IF($C618="LT",Config!$F$10,Config!$F$22))/IF($C618="LT",Config!$G$10,Config!$G$22)))</f>
        <v/>
      </c>
      <c r="AB618">
        <f>IF(OR(P618=0,P618=""),"",ABS((P618-IF($C618="LT",Config!$F$11,Config!$F$23))/IF($C618="LT",Config!$G$11,Config!$G$23)))</f>
        <v/>
      </c>
      <c r="AC618">
        <f>IF(OR(Q618=0,Q618=""),"",ABS((Q618-IF($C618="LT",Config!$F$12,Config!$F$24))/IF($C618="LT",Config!$G$12,Config!$G$24)))</f>
        <v/>
      </c>
      <c r="AD618">
        <f>IF(OR(R618=0,R618=""),"",ABS((R618-IF($C618="LT",Config!$F$13,Config!$F$25))/IF($C618="LT",Config!$G$13,Config!$G$25)))</f>
        <v/>
      </c>
    </row>
    <row r="619">
      <c r="A619" t="inlineStr">
        <is>
          <t>04D0926121292</t>
        </is>
      </c>
      <c r="B619" t="inlineStr">
        <is>
          <t>CRS0000675</t>
        </is>
      </c>
      <c r="C619" t="inlineStr">
        <is>
          <t>LT</t>
        </is>
      </c>
      <c r="D619" t="inlineStr">
        <is>
          <t>ALX440U-DS3B01</t>
        </is>
      </c>
      <c r="E619" s="2" t="n">
        <v>46121</v>
      </c>
      <c r="F619" t="inlineStr">
        <is>
          <t>Pass</t>
        </is>
      </c>
      <c r="G619" t="n">
        <v>159.7</v>
      </c>
      <c r="H619" t="n">
        <v>101</v>
      </c>
      <c r="I619" t="n">
        <v>-1957.8</v>
      </c>
      <c r="J619" t="n">
        <v>71.3</v>
      </c>
      <c r="K619" t="n">
        <v>0</v>
      </c>
      <c r="L619" t="n">
        <v>2.2</v>
      </c>
      <c r="M619" t="n">
        <v>0</v>
      </c>
      <c r="N619" t="n">
        <v>73.5</v>
      </c>
      <c r="O619" t="n">
        <v>116.12</v>
      </c>
      <c r="P619" t="n">
        <v>117.73</v>
      </c>
      <c r="Q619" t="n">
        <v>8.199999999999999</v>
      </c>
      <c r="R619" t="n">
        <v>7.91</v>
      </c>
      <c r="S619">
        <f>IF(OR(G619=0,G619=""),"",ABS((G619-IF($C619="LT",Config!$F$2,Config!$F$14))/IF($C619="LT",Config!$G$2,Config!$G$14)))</f>
        <v/>
      </c>
      <c r="T619">
        <f>IF(OR(H619=0,H619=""),"",ABS((H619-IF($C619="LT",Config!$F$3,Config!$F$15))/IF($C619="LT",Config!$G$3,Config!$G$15)))</f>
        <v/>
      </c>
      <c r="U619">
        <f>IF(OR(I619=0,I619=""),"",ABS((I619-IF($C619="LT",Config!$F$4,Config!$F$16))/IF($C619="LT",Config!$G$4,Config!$G$16)))</f>
        <v/>
      </c>
      <c r="V619">
        <f>IF(OR(J619=0,J619=""),"",ABS((J619-IF($C619="LT",Config!$F$5,Config!$F$17))/IF($C619="LT",Config!$G$5,Config!$G$17)))</f>
        <v/>
      </c>
      <c r="W619">
        <f>IF(OR(K619=0,K619=""),"",ABS((K619-IF($C619="LT",Config!$F$6,Config!$F$18))/IF($C619="LT",Config!$G$6,Config!$G$18)))</f>
        <v/>
      </c>
      <c r="X619">
        <f>IF(OR(L619=0,L619=""),"",ABS((L619-IF($C619="LT",Config!$F$7,Config!$F$19))/IF($C619="LT",Config!$G$7,Config!$G$19)))</f>
        <v/>
      </c>
      <c r="Y619">
        <f>IF(OR(M619=0,M619=""),"",ABS((M619-IF($C619="LT",Config!$F$8,Config!$F$20))/IF($C619="LT",Config!$G$8,Config!$G$20)))</f>
        <v/>
      </c>
      <c r="Z619">
        <f>IF(OR(N619=0,N619=""),"",ABS((N619-IF($C619="LT",Config!$F$9,Config!$F$21))/IF($C619="LT",Config!$G$9,Config!$G$21)))</f>
        <v/>
      </c>
      <c r="AA619">
        <f>IF(OR(O619=0,O619=""),"",ABS((O619-IF($C619="LT",Config!$F$10,Config!$F$22))/IF($C619="LT",Config!$G$10,Config!$G$22)))</f>
        <v/>
      </c>
      <c r="AB619">
        <f>IF(OR(P619=0,P619=""),"",ABS((P619-IF($C619="LT",Config!$F$11,Config!$F$23))/IF($C619="LT",Config!$G$11,Config!$G$23)))</f>
        <v/>
      </c>
      <c r="AC619">
        <f>IF(OR(Q619=0,Q619=""),"",ABS((Q619-IF($C619="LT",Config!$F$12,Config!$F$24))/IF($C619="LT",Config!$G$12,Config!$G$24)))</f>
        <v/>
      </c>
      <c r="AD619">
        <f>IF(OR(R619=0,R619=""),"",ABS((R619-IF($C619="LT",Config!$F$13,Config!$F$25))/IF($C619="LT",Config!$G$13,Config!$G$25)))</f>
        <v/>
      </c>
    </row>
    <row r="620">
      <c r="A620" t="inlineStr">
        <is>
          <t>04D0926121294</t>
        </is>
      </c>
      <c r="B620" t="inlineStr">
        <is>
          <t>CRS0000675</t>
        </is>
      </c>
      <c r="C620" t="inlineStr">
        <is>
          <t>LT</t>
        </is>
      </c>
      <c r="D620" t="inlineStr">
        <is>
          <t>ALX440U-DS3B01</t>
        </is>
      </c>
      <c r="E620" s="2" t="n">
        <v>46121</v>
      </c>
      <c r="F620" t="inlineStr">
        <is>
          <t>Pass</t>
        </is>
      </c>
      <c r="G620" t="n">
        <v>161.5</v>
      </c>
      <c r="H620" t="n">
        <v>100.1</v>
      </c>
      <c r="I620" t="n">
        <v>-1957.8</v>
      </c>
      <c r="J620" t="n">
        <v>70.40000000000001</v>
      </c>
      <c r="K620" t="n">
        <v>0</v>
      </c>
      <c r="L620" t="n">
        <v>2.2</v>
      </c>
      <c r="M620" t="n">
        <v>0</v>
      </c>
      <c r="N620" t="n">
        <v>72.59999999999999</v>
      </c>
      <c r="O620" t="n">
        <v>111.5</v>
      </c>
      <c r="P620" t="n">
        <v>113.18</v>
      </c>
      <c r="Q620" t="n">
        <v>8.33</v>
      </c>
      <c r="R620" t="n">
        <v>8.06</v>
      </c>
      <c r="S620">
        <f>IF(OR(G620=0,G620=""),"",ABS((G620-IF($C620="LT",Config!$F$2,Config!$F$14))/IF($C620="LT",Config!$G$2,Config!$G$14)))</f>
        <v/>
      </c>
      <c r="T620">
        <f>IF(OR(H620=0,H620=""),"",ABS((H620-IF($C620="LT",Config!$F$3,Config!$F$15))/IF($C620="LT",Config!$G$3,Config!$G$15)))</f>
        <v/>
      </c>
      <c r="U620">
        <f>IF(OR(I620=0,I620=""),"",ABS((I620-IF($C620="LT",Config!$F$4,Config!$F$16))/IF($C620="LT",Config!$G$4,Config!$G$16)))</f>
        <v/>
      </c>
      <c r="V620">
        <f>IF(OR(J620=0,J620=""),"",ABS((J620-IF($C620="LT",Config!$F$5,Config!$F$17))/IF($C620="LT",Config!$G$5,Config!$G$17)))</f>
        <v/>
      </c>
      <c r="W620">
        <f>IF(OR(K620=0,K620=""),"",ABS((K620-IF($C620="LT",Config!$F$6,Config!$F$18))/IF($C620="LT",Config!$G$6,Config!$G$18)))</f>
        <v/>
      </c>
      <c r="X620">
        <f>IF(OR(L620=0,L620=""),"",ABS((L620-IF($C620="LT",Config!$F$7,Config!$F$19))/IF($C620="LT",Config!$G$7,Config!$G$19)))</f>
        <v/>
      </c>
      <c r="Y620">
        <f>IF(OR(M620=0,M620=""),"",ABS((M620-IF($C620="LT",Config!$F$8,Config!$F$20))/IF($C620="LT",Config!$G$8,Config!$G$20)))</f>
        <v/>
      </c>
      <c r="Z620">
        <f>IF(OR(N620=0,N620=""),"",ABS((N620-IF($C620="LT",Config!$F$9,Config!$F$21))/IF($C620="LT",Config!$G$9,Config!$G$21)))</f>
        <v/>
      </c>
      <c r="AA620">
        <f>IF(OR(O620=0,O620=""),"",ABS((O620-IF($C620="LT",Config!$F$10,Config!$F$22))/IF($C620="LT",Config!$G$10,Config!$G$22)))</f>
        <v/>
      </c>
      <c r="AB620">
        <f>IF(OR(P620=0,P620=""),"",ABS((P620-IF($C620="LT",Config!$F$11,Config!$F$23))/IF($C620="LT",Config!$G$11,Config!$G$23)))</f>
        <v/>
      </c>
      <c r="AC620">
        <f>IF(OR(Q620=0,Q620=""),"",ABS((Q620-IF($C620="LT",Config!$F$12,Config!$F$24))/IF($C620="LT",Config!$G$12,Config!$G$24)))</f>
        <v/>
      </c>
      <c r="AD620">
        <f>IF(OR(R620=0,R620=""),"",ABS((R620-IF($C620="LT",Config!$F$13,Config!$F$25))/IF($C620="LT",Config!$G$13,Config!$G$25)))</f>
        <v/>
      </c>
    </row>
    <row r="621">
      <c r="A621" t="inlineStr">
        <is>
          <t>04D0926121295</t>
        </is>
      </c>
      <c r="B621" t="inlineStr">
        <is>
          <t>CRS0000675</t>
        </is>
      </c>
      <c r="C621" t="inlineStr">
        <is>
          <t>LT</t>
        </is>
      </c>
      <c r="D621" t="inlineStr">
        <is>
          <t>ALX440U-DS3B01</t>
        </is>
      </c>
      <c r="E621" s="2" t="n">
        <v>46121</v>
      </c>
      <c r="F621" t="inlineStr">
        <is>
          <t>Pass</t>
        </is>
      </c>
      <c r="G621" t="n">
        <v>154.8</v>
      </c>
      <c r="H621" t="n">
        <v>102.8</v>
      </c>
      <c r="I621" t="n">
        <v>-1957.8</v>
      </c>
      <c r="J621" t="n">
        <v>70.8</v>
      </c>
      <c r="K621" t="n">
        <v>0</v>
      </c>
      <c r="L621" t="n">
        <v>1.7</v>
      </c>
      <c r="M621" t="n">
        <v>0</v>
      </c>
      <c r="N621" t="n">
        <v>72.5</v>
      </c>
      <c r="O621" t="n">
        <v>114.28</v>
      </c>
      <c r="P621" t="n">
        <v>117.66</v>
      </c>
      <c r="Q621" t="n">
        <v>8.470000000000001</v>
      </c>
      <c r="R621" t="n">
        <v>8.06</v>
      </c>
      <c r="S621">
        <f>IF(OR(G621=0,G621=""),"",ABS((G621-IF($C621="LT",Config!$F$2,Config!$F$14))/IF($C621="LT",Config!$G$2,Config!$G$14)))</f>
        <v/>
      </c>
      <c r="T621">
        <f>IF(OR(H621=0,H621=""),"",ABS((H621-IF($C621="LT",Config!$F$3,Config!$F$15))/IF($C621="LT",Config!$G$3,Config!$G$15)))</f>
        <v/>
      </c>
      <c r="U621">
        <f>IF(OR(I621=0,I621=""),"",ABS((I621-IF($C621="LT",Config!$F$4,Config!$F$16))/IF($C621="LT",Config!$G$4,Config!$G$16)))</f>
        <v/>
      </c>
      <c r="V621">
        <f>IF(OR(J621=0,J621=""),"",ABS((J621-IF($C621="LT",Config!$F$5,Config!$F$17))/IF($C621="LT",Config!$G$5,Config!$G$17)))</f>
        <v/>
      </c>
      <c r="W621">
        <f>IF(OR(K621=0,K621=""),"",ABS((K621-IF($C621="LT",Config!$F$6,Config!$F$18))/IF($C621="LT",Config!$G$6,Config!$G$18)))</f>
        <v/>
      </c>
      <c r="X621">
        <f>IF(OR(L621=0,L621=""),"",ABS((L621-IF($C621="LT",Config!$F$7,Config!$F$19))/IF($C621="LT",Config!$G$7,Config!$G$19)))</f>
        <v/>
      </c>
      <c r="Y621">
        <f>IF(OR(M621=0,M621=""),"",ABS((M621-IF($C621="LT",Config!$F$8,Config!$F$20))/IF($C621="LT",Config!$G$8,Config!$G$20)))</f>
        <v/>
      </c>
      <c r="Z621">
        <f>IF(OR(N621=0,N621=""),"",ABS((N621-IF($C621="LT",Config!$F$9,Config!$F$21))/IF($C621="LT",Config!$G$9,Config!$G$21)))</f>
        <v/>
      </c>
      <c r="AA621">
        <f>IF(OR(O621=0,O621=""),"",ABS((O621-IF($C621="LT",Config!$F$10,Config!$F$22))/IF($C621="LT",Config!$G$10,Config!$G$22)))</f>
        <v/>
      </c>
      <c r="AB621">
        <f>IF(OR(P621=0,P621=""),"",ABS((P621-IF($C621="LT",Config!$F$11,Config!$F$23))/IF($C621="LT",Config!$G$11,Config!$G$23)))</f>
        <v/>
      </c>
      <c r="AC621">
        <f>IF(OR(Q621=0,Q621=""),"",ABS((Q621-IF($C621="LT",Config!$F$12,Config!$F$24))/IF($C621="LT",Config!$G$12,Config!$G$24)))</f>
        <v/>
      </c>
      <c r="AD621">
        <f>IF(OR(R621=0,R621=""),"",ABS((R621-IF($C621="LT",Config!$F$13,Config!$F$25))/IF($C621="LT",Config!$G$13,Config!$G$25)))</f>
        <v/>
      </c>
    </row>
    <row r="622">
      <c r="A622" t="inlineStr">
        <is>
          <t>04D0926121296</t>
        </is>
      </c>
      <c r="B622" t="inlineStr">
        <is>
          <t>CRS0000675</t>
        </is>
      </c>
      <c r="C622" t="inlineStr">
        <is>
          <t>LT</t>
        </is>
      </c>
      <c r="D622" t="inlineStr">
        <is>
          <t>ALX440U-DS3B01</t>
        </is>
      </c>
      <c r="E622" s="2" t="n">
        <v>46121</v>
      </c>
      <c r="F622" t="inlineStr">
        <is>
          <t>Pass</t>
        </is>
      </c>
      <c r="G622" t="n">
        <v>146.4</v>
      </c>
      <c r="H622" t="n">
        <v>96.90000000000001</v>
      </c>
      <c r="I622" t="n">
        <v>-1957.8</v>
      </c>
      <c r="J622" t="n">
        <v>70.40000000000001</v>
      </c>
      <c r="K622" t="n">
        <v>0</v>
      </c>
      <c r="L622" t="n">
        <v>0</v>
      </c>
      <c r="M622" t="n">
        <v>0</v>
      </c>
      <c r="N622" t="n">
        <v>70.40000000000001</v>
      </c>
      <c r="O622" t="n">
        <v>111.5</v>
      </c>
      <c r="P622" t="n">
        <v>117.88</v>
      </c>
      <c r="Q622" t="n">
        <v>8.35</v>
      </c>
      <c r="R622" t="n">
        <v>7.84</v>
      </c>
      <c r="S622">
        <f>IF(OR(G622=0,G622=""),"",ABS((G622-IF($C622="LT",Config!$F$2,Config!$F$14))/IF($C622="LT",Config!$G$2,Config!$G$14)))</f>
        <v/>
      </c>
      <c r="T622">
        <f>IF(OR(H622=0,H622=""),"",ABS((H622-IF($C622="LT",Config!$F$3,Config!$F$15))/IF($C622="LT",Config!$G$3,Config!$G$15)))</f>
        <v/>
      </c>
      <c r="U622">
        <f>IF(OR(I622=0,I622=""),"",ABS((I622-IF($C622="LT",Config!$F$4,Config!$F$16))/IF($C622="LT",Config!$G$4,Config!$G$16)))</f>
        <v/>
      </c>
      <c r="V622">
        <f>IF(OR(J622=0,J622=""),"",ABS((J622-IF($C622="LT",Config!$F$5,Config!$F$17))/IF($C622="LT",Config!$G$5,Config!$G$17)))</f>
        <v/>
      </c>
      <c r="W622">
        <f>IF(OR(K622=0,K622=""),"",ABS((K622-IF($C622="LT",Config!$F$6,Config!$F$18))/IF($C622="LT",Config!$G$6,Config!$G$18)))</f>
        <v/>
      </c>
      <c r="X622">
        <f>IF(OR(L622=0,L622=""),"",ABS((L622-IF($C622="LT",Config!$F$7,Config!$F$19))/IF($C622="LT",Config!$G$7,Config!$G$19)))</f>
        <v/>
      </c>
      <c r="Y622">
        <f>IF(OR(M622=0,M622=""),"",ABS((M622-IF($C622="LT",Config!$F$8,Config!$F$20))/IF($C622="LT",Config!$G$8,Config!$G$20)))</f>
        <v/>
      </c>
      <c r="Z622">
        <f>IF(OR(N622=0,N622=""),"",ABS((N622-IF($C622="LT",Config!$F$9,Config!$F$21))/IF($C622="LT",Config!$G$9,Config!$G$21)))</f>
        <v/>
      </c>
      <c r="AA622">
        <f>IF(OR(O622=0,O622=""),"",ABS((O622-IF($C622="LT",Config!$F$10,Config!$F$22))/IF($C622="LT",Config!$G$10,Config!$G$22)))</f>
        <v/>
      </c>
      <c r="AB622">
        <f>IF(OR(P622=0,P622=""),"",ABS((P622-IF($C622="LT",Config!$F$11,Config!$F$23))/IF($C622="LT",Config!$G$11,Config!$G$23)))</f>
        <v/>
      </c>
      <c r="AC622">
        <f>IF(OR(Q622=0,Q622=""),"",ABS((Q622-IF($C622="LT",Config!$F$12,Config!$F$24))/IF($C622="LT",Config!$G$12,Config!$G$24)))</f>
        <v/>
      </c>
      <c r="AD622">
        <f>IF(OR(R622=0,R622=""),"",ABS((R622-IF($C622="LT",Config!$F$13,Config!$F$25))/IF($C622="LT",Config!$G$13,Config!$G$25)))</f>
        <v/>
      </c>
    </row>
    <row r="623">
      <c r="A623" t="inlineStr">
        <is>
          <t>04D0926121297</t>
        </is>
      </c>
      <c r="B623" t="inlineStr">
        <is>
          <t>CRS0000675</t>
        </is>
      </c>
      <c r="C623" t="inlineStr">
        <is>
          <t>LT</t>
        </is>
      </c>
      <c r="D623" t="inlineStr">
        <is>
          <t>ALX440U-DS3B01</t>
        </is>
      </c>
      <c r="E623" s="2" t="n">
        <v>46121</v>
      </c>
      <c r="F623" t="inlineStr">
        <is>
          <t>Pass</t>
        </is>
      </c>
      <c r="G623" t="n">
        <v>159.3</v>
      </c>
      <c r="H623" t="n">
        <v>91.90000000000001</v>
      </c>
      <c r="I623" t="n">
        <v>-1957.8</v>
      </c>
      <c r="J623" t="n">
        <v>70.8</v>
      </c>
      <c r="K623" t="n">
        <v>0</v>
      </c>
      <c r="L623" t="n">
        <v>1.7</v>
      </c>
      <c r="M623" t="n">
        <v>0</v>
      </c>
      <c r="N623" t="n">
        <v>72.5</v>
      </c>
      <c r="O623" t="n">
        <v>111.42</v>
      </c>
      <c r="P623" t="n">
        <v>117.73</v>
      </c>
      <c r="Q623" t="n">
        <v>8.52</v>
      </c>
      <c r="R623" t="n">
        <v>7.79</v>
      </c>
      <c r="S623">
        <f>IF(OR(G623=0,G623=""),"",ABS((G623-IF($C623="LT",Config!$F$2,Config!$F$14))/IF($C623="LT",Config!$G$2,Config!$G$14)))</f>
        <v/>
      </c>
      <c r="T623">
        <f>IF(OR(H623=0,H623=""),"",ABS((H623-IF($C623="LT",Config!$F$3,Config!$F$15))/IF($C623="LT",Config!$G$3,Config!$G$15)))</f>
        <v/>
      </c>
      <c r="U623">
        <f>IF(OR(I623=0,I623=""),"",ABS((I623-IF($C623="LT",Config!$F$4,Config!$F$16))/IF($C623="LT",Config!$G$4,Config!$G$16)))</f>
        <v/>
      </c>
      <c r="V623">
        <f>IF(OR(J623=0,J623=""),"",ABS((J623-IF($C623="LT",Config!$F$5,Config!$F$17))/IF($C623="LT",Config!$G$5,Config!$G$17)))</f>
        <v/>
      </c>
      <c r="W623">
        <f>IF(OR(K623=0,K623=""),"",ABS((K623-IF($C623="LT",Config!$F$6,Config!$F$18))/IF($C623="LT",Config!$G$6,Config!$G$18)))</f>
        <v/>
      </c>
      <c r="X623">
        <f>IF(OR(L623=0,L623=""),"",ABS((L623-IF($C623="LT",Config!$F$7,Config!$F$19))/IF($C623="LT",Config!$G$7,Config!$G$19)))</f>
        <v/>
      </c>
      <c r="Y623">
        <f>IF(OR(M623=0,M623=""),"",ABS((M623-IF($C623="LT",Config!$F$8,Config!$F$20))/IF($C623="LT",Config!$G$8,Config!$G$20)))</f>
        <v/>
      </c>
      <c r="Z623">
        <f>IF(OR(N623=0,N623=""),"",ABS((N623-IF($C623="LT",Config!$F$9,Config!$F$21))/IF($C623="LT",Config!$G$9,Config!$G$21)))</f>
        <v/>
      </c>
      <c r="AA623">
        <f>IF(OR(O623=0,O623=""),"",ABS((O623-IF($C623="LT",Config!$F$10,Config!$F$22))/IF($C623="LT",Config!$G$10,Config!$G$22)))</f>
        <v/>
      </c>
      <c r="AB623">
        <f>IF(OR(P623=0,P623=""),"",ABS((P623-IF($C623="LT",Config!$F$11,Config!$F$23))/IF($C623="LT",Config!$G$11,Config!$G$23)))</f>
        <v/>
      </c>
      <c r="AC623">
        <f>IF(OR(Q623=0,Q623=""),"",ABS((Q623-IF($C623="LT",Config!$F$12,Config!$F$24))/IF($C623="LT",Config!$G$12,Config!$G$24)))</f>
        <v/>
      </c>
      <c r="AD623">
        <f>IF(OR(R623=0,R623=""),"",ABS((R623-IF($C623="LT",Config!$F$13,Config!$F$25))/IF($C623="LT",Config!$G$13,Config!$G$25)))</f>
        <v/>
      </c>
    </row>
    <row r="624">
      <c r="A624" t="inlineStr">
        <is>
          <t>04D0926121298</t>
        </is>
      </c>
      <c r="B624" t="inlineStr">
        <is>
          <t>CRS0000675</t>
        </is>
      </c>
      <c r="C624" t="inlineStr">
        <is>
          <t>LT</t>
        </is>
      </c>
      <c r="D624" t="inlineStr">
        <is>
          <t>ALX440U-DS3B01</t>
        </is>
      </c>
      <c r="E624" s="2" t="n">
        <v>46121</v>
      </c>
      <c r="F624" t="inlineStr">
        <is>
          <t>Pass</t>
        </is>
      </c>
      <c r="G624" t="n">
        <v>151.7</v>
      </c>
      <c r="H624" t="n">
        <v>100.5</v>
      </c>
      <c r="I624" t="n">
        <v>-1957.8</v>
      </c>
      <c r="J624" t="n">
        <v>71.7</v>
      </c>
      <c r="K624" t="n">
        <v>0</v>
      </c>
      <c r="L624" t="n">
        <v>3</v>
      </c>
      <c r="M624" t="n">
        <v>0</v>
      </c>
      <c r="N624" t="n">
        <v>74.7</v>
      </c>
      <c r="O624" t="n">
        <v>111.06</v>
      </c>
      <c r="P624" t="n">
        <v>112.82</v>
      </c>
      <c r="Q624" t="n">
        <v>8.81</v>
      </c>
      <c r="R624" t="n">
        <v>8.57</v>
      </c>
      <c r="S624">
        <f>IF(OR(G624=0,G624=""),"",ABS((G624-IF($C624="LT",Config!$F$2,Config!$F$14))/IF($C624="LT",Config!$G$2,Config!$G$14)))</f>
        <v/>
      </c>
      <c r="T624">
        <f>IF(OR(H624=0,H624=""),"",ABS((H624-IF($C624="LT",Config!$F$3,Config!$F$15))/IF($C624="LT",Config!$G$3,Config!$G$15)))</f>
        <v/>
      </c>
      <c r="U624">
        <f>IF(OR(I624=0,I624=""),"",ABS((I624-IF($C624="LT",Config!$F$4,Config!$F$16))/IF($C624="LT",Config!$G$4,Config!$G$16)))</f>
        <v/>
      </c>
      <c r="V624">
        <f>IF(OR(J624=0,J624=""),"",ABS((J624-IF($C624="LT",Config!$F$5,Config!$F$17))/IF($C624="LT",Config!$G$5,Config!$G$17)))</f>
        <v/>
      </c>
      <c r="W624">
        <f>IF(OR(K624=0,K624=""),"",ABS((K624-IF($C624="LT",Config!$F$6,Config!$F$18))/IF($C624="LT",Config!$G$6,Config!$G$18)))</f>
        <v/>
      </c>
      <c r="X624">
        <f>IF(OR(L624=0,L624=""),"",ABS((L624-IF($C624="LT",Config!$F$7,Config!$F$19))/IF($C624="LT",Config!$G$7,Config!$G$19)))</f>
        <v/>
      </c>
      <c r="Y624">
        <f>IF(OR(M624=0,M624=""),"",ABS((M624-IF($C624="LT",Config!$F$8,Config!$F$20))/IF($C624="LT",Config!$G$8,Config!$G$20)))</f>
        <v/>
      </c>
      <c r="Z624">
        <f>IF(OR(N624=0,N624=""),"",ABS((N624-IF($C624="LT",Config!$F$9,Config!$F$21))/IF($C624="LT",Config!$G$9,Config!$G$21)))</f>
        <v/>
      </c>
      <c r="AA624">
        <f>IF(OR(O624=0,O624=""),"",ABS((O624-IF($C624="LT",Config!$F$10,Config!$F$22))/IF($C624="LT",Config!$G$10,Config!$G$22)))</f>
        <v/>
      </c>
      <c r="AB624">
        <f>IF(OR(P624=0,P624=""),"",ABS((P624-IF($C624="LT",Config!$F$11,Config!$F$23))/IF($C624="LT",Config!$G$11,Config!$G$23)))</f>
        <v/>
      </c>
      <c r="AC624">
        <f>IF(OR(Q624=0,Q624=""),"",ABS((Q624-IF($C624="LT",Config!$F$12,Config!$F$24))/IF($C624="LT",Config!$G$12,Config!$G$24)))</f>
        <v/>
      </c>
      <c r="AD624">
        <f>IF(OR(R624=0,R624=""),"",ABS((R624-IF($C624="LT",Config!$F$13,Config!$F$25))/IF($C624="LT",Config!$G$13,Config!$G$25)))</f>
        <v/>
      </c>
    </row>
    <row r="625">
      <c r="A625" t="inlineStr">
        <is>
          <t>04D0926121299</t>
        </is>
      </c>
      <c r="B625" t="inlineStr">
        <is>
          <t>CRS0000675</t>
        </is>
      </c>
      <c r="C625" t="inlineStr">
        <is>
          <t>LT</t>
        </is>
      </c>
      <c r="D625" t="inlineStr">
        <is>
          <t>ALX440U-DS3B01</t>
        </is>
      </c>
      <c r="E625" s="2" t="n">
        <v>46121</v>
      </c>
      <c r="F625" t="inlineStr">
        <is>
          <t>Fail</t>
        </is>
      </c>
      <c r="G625" t="n">
        <v>155.3</v>
      </c>
      <c r="H625" t="n">
        <v>89.7</v>
      </c>
      <c r="I625" t="n">
        <v>-1957.8</v>
      </c>
      <c r="J625" t="n">
        <v>72.59999999999999</v>
      </c>
      <c r="K625" t="n">
        <v>0</v>
      </c>
      <c r="L625" t="n">
        <v>2.5</v>
      </c>
      <c r="M625" t="n">
        <v>0</v>
      </c>
      <c r="N625" t="n">
        <v>75.09999999999999</v>
      </c>
      <c r="O625" t="n">
        <v>110.98</v>
      </c>
      <c r="P625" t="n">
        <v>117.73</v>
      </c>
      <c r="Q625" t="n">
        <v>8.94</v>
      </c>
      <c r="R625" t="n">
        <v>8.15</v>
      </c>
      <c r="S625">
        <f>IF(OR(G625=0,G625=""),"",ABS((G625-IF($C625="LT",Config!$F$2,Config!$F$14))/IF($C625="LT",Config!$G$2,Config!$G$14)))</f>
        <v/>
      </c>
      <c r="T625">
        <f>IF(OR(H625=0,H625=""),"",ABS((H625-IF($C625="LT",Config!$F$3,Config!$F$15))/IF($C625="LT",Config!$G$3,Config!$G$15)))</f>
        <v/>
      </c>
      <c r="U625">
        <f>IF(OR(I625=0,I625=""),"",ABS((I625-IF($C625="LT",Config!$F$4,Config!$F$16))/IF($C625="LT",Config!$G$4,Config!$G$16)))</f>
        <v/>
      </c>
      <c r="V625">
        <f>IF(OR(J625=0,J625=""),"",ABS((J625-IF($C625="LT",Config!$F$5,Config!$F$17))/IF($C625="LT",Config!$G$5,Config!$G$17)))</f>
        <v/>
      </c>
      <c r="W625">
        <f>IF(OR(K625=0,K625=""),"",ABS((K625-IF($C625="LT",Config!$F$6,Config!$F$18))/IF($C625="LT",Config!$G$6,Config!$G$18)))</f>
        <v/>
      </c>
      <c r="X625">
        <f>IF(OR(L625=0,L625=""),"",ABS((L625-IF($C625="LT",Config!$F$7,Config!$F$19))/IF($C625="LT",Config!$G$7,Config!$G$19)))</f>
        <v/>
      </c>
      <c r="Y625">
        <f>IF(OR(M625=0,M625=""),"",ABS((M625-IF($C625="LT",Config!$F$8,Config!$F$20))/IF($C625="LT",Config!$G$8,Config!$G$20)))</f>
        <v/>
      </c>
      <c r="Z625">
        <f>IF(OR(N625=0,N625=""),"",ABS((N625-IF($C625="LT",Config!$F$9,Config!$F$21))/IF($C625="LT",Config!$G$9,Config!$G$21)))</f>
        <v/>
      </c>
      <c r="AA625">
        <f>IF(OR(O625=0,O625=""),"",ABS((O625-IF($C625="LT",Config!$F$10,Config!$F$22))/IF($C625="LT",Config!$G$10,Config!$G$22)))</f>
        <v/>
      </c>
      <c r="AB625">
        <f>IF(OR(P625=0,P625=""),"",ABS((P625-IF($C625="LT",Config!$F$11,Config!$F$23))/IF($C625="LT",Config!$G$11,Config!$G$23)))</f>
        <v/>
      </c>
      <c r="AC625">
        <f>IF(OR(Q625=0,Q625=""),"",ABS((Q625-IF($C625="LT",Config!$F$12,Config!$F$24))/IF($C625="LT",Config!$G$12,Config!$G$24)))</f>
        <v/>
      </c>
      <c r="AD625">
        <f>IF(OR(R625=0,R625=""),"",ABS((R625-IF($C625="LT",Config!$F$13,Config!$F$25))/IF($C625="LT",Config!$G$13,Config!$G$25)))</f>
        <v/>
      </c>
    </row>
    <row r="626">
      <c r="A626" t="inlineStr">
        <is>
          <t>04D0926121299</t>
        </is>
      </c>
      <c r="B626" t="inlineStr">
        <is>
          <t>CRS0000675</t>
        </is>
      </c>
      <c r="C626" t="inlineStr">
        <is>
          <t>LT</t>
        </is>
      </c>
      <c r="D626" t="inlineStr">
        <is>
          <t>ALX440U-DS3B01</t>
        </is>
      </c>
      <c r="E626" s="2" t="n">
        <v>46121</v>
      </c>
      <c r="F626" t="inlineStr">
        <is>
          <t>Fail</t>
        </is>
      </c>
      <c r="G626" t="n">
        <v>166</v>
      </c>
      <c r="H626" t="n">
        <v>95.09999999999999</v>
      </c>
      <c r="I626" t="n">
        <v>-1957.8</v>
      </c>
      <c r="J626" t="n">
        <v>72.59999999999999</v>
      </c>
      <c r="K626" t="n">
        <v>0</v>
      </c>
      <c r="L626" t="n">
        <v>2.6</v>
      </c>
      <c r="M626" t="n">
        <v>0</v>
      </c>
      <c r="N626" t="n">
        <v>75.2</v>
      </c>
      <c r="O626" t="n">
        <v>111.28</v>
      </c>
      <c r="P626" t="n">
        <v>117.58</v>
      </c>
      <c r="Q626" t="n">
        <v>8.59</v>
      </c>
      <c r="R626" t="n">
        <v>8.279999999999999</v>
      </c>
      <c r="S626">
        <f>IF(OR(G626=0,G626=""),"",ABS((G626-IF($C626="LT",Config!$F$2,Config!$F$14))/IF($C626="LT",Config!$G$2,Config!$G$14)))</f>
        <v/>
      </c>
      <c r="T626">
        <f>IF(OR(H626=0,H626=""),"",ABS((H626-IF($C626="LT",Config!$F$3,Config!$F$15))/IF($C626="LT",Config!$G$3,Config!$G$15)))</f>
        <v/>
      </c>
      <c r="U626">
        <f>IF(OR(I626=0,I626=""),"",ABS((I626-IF($C626="LT",Config!$F$4,Config!$F$16))/IF($C626="LT",Config!$G$4,Config!$G$16)))</f>
        <v/>
      </c>
      <c r="V626">
        <f>IF(OR(J626=0,J626=""),"",ABS((J626-IF($C626="LT",Config!$F$5,Config!$F$17))/IF($C626="LT",Config!$G$5,Config!$G$17)))</f>
        <v/>
      </c>
      <c r="W626">
        <f>IF(OR(K626=0,K626=""),"",ABS((K626-IF($C626="LT",Config!$F$6,Config!$F$18))/IF($C626="LT",Config!$G$6,Config!$G$18)))</f>
        <v/>
      </c>
      <c r="X626">
        <f>IF(OR(L626=0,L626=""),"",ABS((L626-IF($C626="LT",Config!$F$7,Config!$F$19))/IF($C626="LT",Config!$G$7,Config!$G$19)))</f>
        <v/>
      </c>
      <c r="Y626">
        <f>IF(OR(M626=0,M626=""),"",ABS((M626-IF($C626="LT",Config!$F$8,Config!$F$20))/IF($C626="LT",Config!$G$8,Config!$G$20)))</f>
        <v/>
      </c>
      <c r="Z626">
        <f>IF(OR(N626=0,N626=""),"",ABS((N626-IF($C626="LT",Config!$F$9,Config!$F$21))/IF($C626="LT",Config!$G$9,Config!$G$21)))</f>
        <v/>
      </c>
      <c r="AA626">
        <f>IF(OR(O626=0,O626=""),"",ABS((O626-IF($C626="LT",Config!$F$10,Config!$F$22))/IF($C626="LT",Config!$G$10,Config!$G$22)))</f>
        <v/>
      </c>
      <c r="AB626">
        <f>IF(OR(P626=0,P626=""),"",ABS((P626-IF($C626="LT",Config!$F$11,Config!$F$23))/IF($C626="LT",Config!$G$11,Config!$G$23)))</f>
        <v/>
      </c>
      <c r="AC626">
        <f>IF(OR(Q626=0,Q626=""),"",ABS((Q626-IF($C626="LT",Config!$F$12,Config!$F$24))/IF($C626="LT",Config!$G$12,Config!$G$24)))</f>
        <v/>
      </c>
      <c r="AD626">
        <f>IF(OR(R626=0,R626=""),"",ABS((R626-IF($C626="LT",Config!$F$13,Config!$F$25))/IF($C626="LT",Config!$G$13,Config!$G$25)))</f>
        <v/>
      </c>
    </row>
    <row r="627">
      <c r="A627" t="inlineStr">
        <is>
          <t>04D0926121299</t>
        </is>
      </c>
      <c r="B627" t="inlineStr">
        <is>
          <t>CRS0000675</t>
        </is>
      </c>
      <c r="C627" t="inlineStr">
        <is>
          <t>LT</t>
        </is>
      </c>
      <c r="D627" t="inlineStr">
        <is>
          <t>ALX440U-DS3B01</t>
        </is>
      </c>
      <c r="E627" s="2" t="n">
        <v>46121</v>
      </c>
      <c r="F627" t="inlineStr">
        <is>
          <t>Fail</t>
        </is>
      </c>
      <c r="G627" t="n">
        <v>158.4</v>
      </c>
      <c r="H627" t="n">
        <v>94.59999999999999</v>
      </c>
      <c r="I627" t="n">
        <v>-1957.8</v>
      </c>
      <c r="J627" t="n">
        <v>73.5</v>
      </c>
      <c r="K627" t="n">
        <v>0</v>
      </c>
      <c r="L627" t="n">
        <v>2.6</v>
      </c>
      <c r="M627" t="n">
        <v>0</v>
      </c>
      <c r="N627" t="n">
        <v>76.09999999999999</v>
      </c>
      <c r="O627" t="n">
        <v>115.24</v>
      </c>
      <c r="P627" t="n">
        <v>115.16</v>
      </c>
      <c r="Q627" t="n">
        <v>8.300000000000001</v>
      </c>
      <c r="R627" t="n">
        <v>8.470000000000001</v>
      </c>
      <c r="S627">
        <f>IF(OR(G627=0,G627=""),"",ABS((G627-IF($C627="LT",Config!$F$2,Config!$F$14))/IF($C627="LT",Config!$G$2,Config!$G$14)))</f>
        <v/>
      </c>
      <c r="T627">
        <f>IF(OR(H627=0,H627=""),"",ABS((H627-IF($C627="LT",Config!$F$3,Config!$F$15))/IF($C627="LT",Config!$G$3,Config!$G$15)))</f>
        <v/>
      </c>
      <c r="U627">
        <f>IF(OR(I627=0,I627=""),"",ABS((I627-IF($C627="LT",Config!$F$4,Config!$F$16))/IF($C627="LT",Config!$G$4,Config!$G$16)))</f>
        <v/>
      </c>
      <c r="V627">
        <f>IF(OR(J627=0,J627=""),"",ABS((J627-IF($C627="LT",Config!$F$5,Config!$F$17))/IF($C627="LT",Config!$G$5,Config!$G$17)))</f>
        <v/>
      </c>
      <c r="W627">
        <f>IF(OR(K627=0,K627=""),"",ABS((K627-IF($C627="LT",Config!$F$6,Config!$F$18))/IF($C627="LT",Config!$G$6,Config!$G$18)))</f>
        <v/>
      </c>
      <c r="X627">
        <f>IF(OR(L627=0,L627=""),"",ABS((L627-IF($C627="LT",Config!$F$7,Config!$F$19))/IF($C627="LT",Config!$G$7,Config!$G$19)))</f>
        <v/>
      </c>
      <c r="Y627">
        <f>IF(OR(M627=0,M627=""),"",ABS((M627-IF($C627="LT",Config!$F$8,Config!$F$20))/IF($C627="LT",Config!$G$8,Config!$G$20)))</f>
        <v/>
      </c>
      <c r="Z627">
        <f>IF(OR(N627=0,N627=""),"",ABS((N627-IF($C627="LT",Config!$F$9,Config!$F$21))/IF($C627="LT",Config!$G$9,Config!$G$21)))</f>
        <v/>
      </c>
      <c r="AA627">
        <f>IF(OR(O627=0,O627=""),"",ABS((O627-IF($C627="LT",Config!$F$10,Config!$F$22))/IF($C627="LT",Config!$G$10,Config!$G$22)))</f>
        <v/>
      </c>
      <c r="AB627">
        <f>IF(OR(P627=0,P627=""),"",ABS((P627-IF($C627="LT",Config!$F$11,Config!$F$23))/IF($C627="LT",Config!$G$11,Config!$G$23)))</f>
        <v/>
      </c>
      <c r="AC627">
        <f>IF(OR(Q627=0,Q627=""),"",ABS((Q627-IF($C627="LT",Config!$F$12,Config!$F$24))/IF($C627="LT",Config!$G$12,Config!$G$24)))</f>
        <v/>
      </c>
      <c r="AD627">
        <f>IF(OR(R627=0,R627=""),"",ABS((R627-IF($C627="LT",Config!$F$13,Config!$F$25))/IF($C627="LT",Config!$G$13,Config!$G$25)))</f>
        <v/>
      </c>
    </row>
    <row r="628">
      <c r="A628" t="inlineStr">
        <is>
          <t>04D0926121299</t>
        </is>
      </c>
      <c r="B628" t="inlineStr">
        <is>
          <t>CRS0000675</t>
        </is>
      </c>
      <c r="C628" t="inlineStr">
        <is>
          <t>LT</t>
        </is>
      </c>
      <c r="D628" t="inlineStr">
        <is>
          <t>ALX440U-DS3B01</t>
        </is>
      </c>
      <c r="E628" s="2" t="n">
        <v>46121</v>
      </c>
      <c r="F628" t="inlineStr">
        <is>
          <t>Pass</t>
        </is>
      </c>
      <c r="G628" t="n">
        <v>163.8</v>
      </c>
      <c r="H628" t="n">
        <v>91.5</v>
      </c>
      <c r="I628" t="n">
        <v>-1957.8</v>
      </c>
      <c r="J628" t="n">
        <v>74</v>
      </c>
      <c r="K628" t="n">
        <v>0</v>
      </c>
      <c r="L628" t="n">
        <v>1.3</v>
      </c>
      <c r="M628" t="n">
        <v>0</v>
      </c>
      <c r="N628" t="n">
        <v>72.7</v>
      </c>
      <c r="O628" t="n">
        <v>111.79</v>
      </c>
      <c r="P628" t="n">
        <v>113.11</v>
      </c>
      <c r="Q628" t="n">
        <v>8.130000000000001</v>
      </c>
      <c r="R628" t="n">
        <v>8.33</v>
      </c>
      <c r="S628">
        <f>IF(OR(G628=0,G628=""),"",ABS((G628-IF($C628="LT",Config!$F$2,Config!$F$14))/IF($C628="LT",Config!$G$2,Config!$G$14)))</f>
        <v/>
      </c>
      <c r="T628">
        <f>IF(OR(H628=0,H628=""),"",ABS((H628-IF($C628="LT",Config!$F$3,Config!$F$15))/IF($C628="LT",Config!$G$3,Config!$G$15)))</f>
        <v/>
      </c>
      <c r="U628">
        <f>IF(OR(I628=0,I628=""),"",ABS((I628-IF($C628="LT",Config!$F$4,Config!$F$16))/IF($C628="LT",Config!$G$4,Config!$G$16)))</f>
        <v/>
      </c>
      <c r="V628">
        <f>IF(OR(J628=0,J628=""),"",ABS((J628-IF($C628="LT",Config!$F$5,Config!$F$17))/IF($C628="LT",Config!$G$5,Config!$G$17)))</f>
        <v/>
      </c>
      <c r="W628">
        <f>IF(OR(K628=0,K628=""),"",ABS((K628-IF($C628="LT",Config!$F$6,Config!$F$18))/IF($C628="LT",Config!$G$6,Config!$G$18)))</f>
        <v/>
      </c>
      <c r="X628">
        <f>IF(OR(L628=0,L628=""),"",ABS((L628-IF($C628="LT",Config!$F$7,Config!$F$19))/IF($C628="LT",Config!$G$7,Config!$G$19)))</f>
        <v/>
      </c>
      <c r="Y628">
        <f>IF(OR(M628=0,M628=""),"",ABS((M628-IF($C628="LT",Config!$F$8,Config!$F$20))/IF($C628="LT",Config!$G$8,Config!$G$20)))</f>
        <v/>
      </c>
      <c r="Z628">
        <f>IF(OR(N628=0,N628=""),"",ABS((N628-IF($C628="LT",Config!$F$9,Config!$F$21))/IF($C628="LT",Config!$G$9,Config!$G$21)))</f>
        <v/>
      </c>
      <c r="AA628">
        <f>IF(OR(O628=0,O628=""),"",ABS((O628-IF($C628="LT",Config!$F$10,Config!$F$22))/IF($C628="LT",Config!$G$10,Config!$G$22)))</f>
        <v/>
      </c>
      <c r="AB628">
        <f>IF(OR(P628=0,P628=""),"",ABS((P628-IF($C628="LT",Config!$F$11,Config!$F$23))/IF($C628="LT",Config!$G$11,Config!$G$23)))</f>
        <v/>
      </c>
      <c r="AC628">
        <f>IF(OR(Q628=0,Q628=""),"",ABS((Q628-IF($C628="LT",Config!$F$12,Config!$F$24))/IF($C628="LT",Config!$G$12,Config!$G$24)))</f>
        <v/>
      </c>
      <c r="AD628">
        <f>IF(OR(R628=0,R628=""),"",ABS((R628-IF($C628="LT",Config!$F$13,Config!$F$25))/IF($C628="LT",Config!$G$13,Config!$G$25)))</f>
        <v/>
      </c>
    </row>
    <row r="629">
      <c r="A629" t="inlineStr">
        <is>
          <t>04D0826121286</t>
        </is>
      </c>
      <c r="B629" t="inlineStr">
        <is>
          <t>CRS0000675</t>
        </is>
      </c>
      <c r="C629" t="inlineStr">
        <is>
          <t>LT</t>
        </is>
      </c>
      <c r="D629" t="inlineStr">
        <is>
          <t>ALX440U-DS3B01</t>
        </is>
      </c>
      <c r="E629" s="2" t="n">
        <v>46121</v>
      </c>
      <c r="F629" t="inlineStr">
        <is>
          <t>Pass</t>
        </is>
      </c>
      <c r="G629" t="n">
        <v>161.1</v>
      </c>
      <c r="H629" t="n">
        <v>102.8</v>
      </c>
      <c r="I629" t="n">
        <v>-1957.8</v>
      </c>
      <c r="J629" t="n">
        <v>72.59999999999999</v>
      </c>
      <c r="K629" t="n">
        <v>0</v>
      </c>
      <c r="L629" t="n">
        <v>1.9</v>
      </c>
      <c r="M629" t="n">
        <v>0</v>
      </c>
      <c r="N629" t="n">
        <v>70.7</v>
      </c>
      <c r="O629" t="n">
        <v>114.5</v>
      </c>
      <c r="P629" t="n">
        <v>114.58</v>
      </c>
      <c r="Q629" t="n">
        <v>8.42</v>
      </c>
      <c r="R629" t="n">
        <v>8.300000000000001</v>
      </c>
      <c r="S629">
        <f>IF(OR(G629=0,G629=""),"",ABS((G629-IF($C629="LT",Config!$F$2,Config!$F$14))/IF($C629="LT",Config!$G$2,Config!$G$14)))</f>
        <v/>
      </c>
      <c r="T629">
        <f>IF(OR(H629=0,H629=""),"",ABS((H629-IF($C629="LT",Config!$F$3,Config!$F$15))/IF($C629="LT",Config!$G$3,Config!$G$15)))</f>
        <v/>
      </c>
      <c r="U629">
        <f>IF(OR(I629=0,I629=""),"",ABS((I629-IF($C629="LT",Config!$F$4,Config!$F$16))/IF($C629="LT",Config!$G$4,Config!$G$16)))</f>
        <v/>
      </c>
      <c r="V629">
        <f>IF(OR(J629=0,J629=""),"",ABS((J629-IF($C629="LT",Config!$F$5,Config!$F$17))/IF($C629="LT",Config!$G$5,Config!$G$17)))</f>
        <v/>
      </c>
      <c r="W629">
        <f>IF(OR(K629=0,K629=""),"",ABS((K629-IF($C629="LT",Config!$F$6,Config!$F$18))/IF($C629="LT",Config!$G$6,Config!$G$18)))</f>
        <v/>
      </c>
      <c r="X629">
        <f>IF(OR(L629=0,L629=""),"",ABS((L629-IF($C629="LT",Config!$F$7,Config!$F$19))/IF($C629="LT",Config!$G$7,Config!$G$19)))</f>
        <v/>
      </c>
      <c r="Y629">
        <f>IF(OR(M629=0,M629=""),"",ABS((M629-IF($C629="LT",Config!$F$8,Config!$F$20))/IF($C629="LT",Config!$G$8,Config!$G$20)))</f>
        <v/>
      </c>
      <c r="Z629">
        <f>IF(OR(N629=0,N629=""),"",ABS((N629-IF($C629="LT",Config!$F$9,Config!$F$21))/IF($C629="LT",Config!$G$9,Config!$G$21)))</f>
        <v/>
      </c>
      <c r="AA629">
        <f>IF(OR(O629=0,O629=""),"",ABS((O629-IF($C629="LT",Config!$F$10,Config!$F$22))/IF($C629="LT",Config!$G$10,Config!$G$22)))</f>
        <v/>
      </c>
      <c r="AB629">
        <f>IF(OR(P629=0,P629=""),"",ABS((P629-IF($C629="LT",Config!$F$11,Config!$F$23))/IF($C629="LT",Config!$G$11,Config!$G$23)))</f>
        <v/>
      </c>
      <c r="AC629">
        <f>IF(OR(Q629=0,Q629=""),"",ABS((Q629-IF($C629="LT",Config!$F$12,Config!$F$24))/IF($C629="LT",Config!$G$12,Config!$G$24)))</f>
        <v/>
      </c>
      <c r="AD629">
        <f>IF(OR(R629=0,R629=""),"",ABS((R629-IF($C629="LT",Config!$F$13,Config!$F$25))/IF($C629="LT",Config!$G$13,Config!$G$25)))</f>
        <v/>
      </c>
    </row>
    <row r="630">
      <c r="A630" t="inlineStr">
        <is>
          <t>04C1026120889</t>
        </is>
      </c>
      <c r="B630" t="inlineStr">
        <is>
          <t>CRS0000675</t>
        </is>
      </c>
      <c r="C630" t="inlineStr">
        <is>
          <t>LT</t>
        </is>
      </c>
      <c r="D630" t="inlineStr">
        <is>
          <t>ALX440U-DS3B01</t>
        </is>
      </c>
      <c r="E630" s="2" t="n">
        <v>46122</v>
      </c>
      <c r="F630" t="inlineStr">
        <is>
          <t>Fail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>
        <f>IF(OR(G630=0,G630=""),"",ABS((G630-IF($C630="LT",Config!$F$2,Config!$F$14))/IF($C630="LT",Config!$G$2,Config!$G$14)))</f>
        <v/>
      </c>
      <c r="T630">
        <f>IF(OR(H630=0,H630=""),"",ABS((H630-IF($C630="LT",Config!$F$3,Config!$F$15))/IF($C630="LT",Config!$G$3,Config!$G$15)))</f>
        <v/>
      </c>
      <c r="U630">
        <f>IF(OR(I630=0,I630=""),"",ABS((I630-IF($C630="LT",Config!$F$4,Config!$F$16))/IF($C630="LT",Config!$G$4,Config!$G$16)))</f>
        <v/>
      </c>
      <c r="V630">
        <f>IF(OR(J630=0,J630=""),"",ABS((J630-IF($C630="LT",Config!$F$5,Config!$F$17))/IF($C630="LT",Config!$G$5,Config!$G$17)))</f>
        <v/>
      </c>
      <c r="W630">
        <f>IF(OR(K630=0,K630=""),"",ABS((K630-IF($C630="LT",Config!$F$6,Config!$F$18))/IF($C630="LT",Config!$G$6,Config!$G$18)))</f>
        <v/>
      </c>
      <c r="X630">
        <f>IF(OR(L630=0,L630=""),"",ABS((L630-IF($C630="LT",Config!$F$7,Config!$F$19))/IF($C630="LT",Config!$G$7,Config!$G$19)))</f>
        <v/>
      </c>
      <c r="Y630">
        <f>IF(OR(M630=0,M630=""),"",ABS((M630-IF($C630="LT",Config!$F$8,Config!$F$20))/IF($C630="LT",Config!$G$8,Config!$G$20)))</f>
        <v/>
      </c>
      <c r="Z630">
        <f>IF(OR(N630=0,N630=""),"",ABS((N630-IF($C630="LT",Config!$F$9,Config!$F$21))/IF($C630="LT",Config!$G$9,Config!$G$21)))</f>
        <v/>
      </c>
      <c r="AA630">
        <f>IF(OR(O630=0,O630=""),"",ABS((O630-IF($C630="LT",Config!$F$10,Config!$F$22))/IF($C630="LT",Config!$G$10,Config!$G$22)))</f>
        <v/>
      </c>
      <c r="AB630">
        <f>IF(OR(P630=0,P630=""),"",ABS((P630-IF($C630="LT",Config!$F$11,Config!$F$23))/IF($C630="LT",Config!$G$11,Config!$G$23)))</f>
        <v/>
      </c>
      <c r="AC630">
        <f>IF(OR(Q630=0,Q630=""),"",ABS((Q630-IF($C630="LT",Config!$F$12,Config!$F$24))/IF($C630="LT",Config!$G$12,Config!$G$24)))</f>
        <v/>
      </c>
      <c r="AD630">
        <f>IF(OR(R630=0,R630=""),"",ABS((R630-IF($C630="LT",Config!$F$13,Config!$F$25))/IF($C630="LT",Config!$G$13,Config!$G$25)))</f>
        <v/>
      </c>
    </row>
    <row r="631">
      <c r="A631" t="inlineStr">
        <is>
          <t>04D0926121300</t>
        </is>
      </c>
      <c r="B631" t="inlineStr">
        <is>
          <t>CRS0000675</t>
        </is>
      </c>
      <c r="C631" t="inlineStr">
        <is>
          <t>LT</t>
        </is>
      </c>
      <c r="D631" t="inlineStr">
        <is>
          <t>ALX440U-DS3B01</t>
        </is>
      </c>
      <c r="E631" s="2" t="n">
        <v>46122</v>
      </c>
      <c r="F631" t="inlineStr">
        <is>
          <t>Fail</t>
        </is>
      </c>
      <c r="G631" t="n">
        <v>70.40000000000001</v>
      </c>
      <c r="H631" t="n">
        <v>129.8</v>
      </c>
      <c r="I631" t="n">
        <v>-1957.8</v>
      </c>
      <c r="J631" t="n">
        <v>62.8</v>
      </c>
      <c r="K631" t="n">
        <v>0</v>
      </c>
      <c r="L631" t="n">
        <v>1</v>
      </c>
      <c r="M631" t="n">
        <v>0</v>
      </c>
      <c r="N631" t="n">
        <v>63.8</v>
      </c>
      <c r="O631" t="n">
        <v>112.3</v>
      </c>
      <c r="P631" t="n">
        <v>113.62</v>
      </c>
      <c r="Q631" t="n">
        <v>7.15</v>
      </c>
      <c r="R631" t="n">
        <v>7.25</v>
      </c>
      <c r="S631">
        <f>IF(OR(G631=0,G631=""),"",ABS((G631-IF($C631="LT",Config!$F$2,Config!$F$14))/IF($C631="LT",Config!$G$2,Config!$G$14)))</f>
        <v/>
      </c>
      <c r="T631">
        <f>IF(OR(H631=0,H631=""),"",ABS((H631-IF($C631="LT",Config!$F$3,Config!$F$15))/IF($C631="LT",Config!$G$3,Config!$G$15)))</f>
        <v/>
      </c>
      <c r="U631">
        <f>IF(OR(I631=0,I631=""),"",ABS((I631-IF($C631="LT",Config!$F$4,Config!$F$16))/IF($C631="LT",Config!$G$4,Config!$G$16)))</f>
        <v/>
      </c>
      <c r="V631">
        <f>IF(OR(J631=0,J631=""),"",ABS((J631-IF($C631="LT",Config!$F$5,Config!$F$17))/IF($C631="LT",Config!$G$5,Config!$G$17)))</f>
        <v/>
      </c>
      <c r="W631">
        <f>IF(OR(K631=0,K631=""),"",ABS((K631-IF($C631="LT",Config!$F$6,Config!$F$18))/IF($C631="LT",Config!$G$6,Config!$G$18)))</f>
        <v/>
      </c>
      <c r="X631">
        <f>IF(OR(L631=0,L631=""),"",ABS((L631-IF($C631="LT",Config!$F$7,Config!$F$19))/IF($C631="LT",Config!$G$7,Config!$G$19)))</f>
        <v/>
      </c>
      <c r="Y631">
        <f>IF(OR(M631=0,M631=""),"",ABS((M631-IF($C631="LT",Config!$F$8,Config!$F$20))/IF($C631="LT",Config!$G$8,Config!$G$20)))</f>
        <v/>
      </c>
      <c r="Z631">
        <f>IF(OR(N631=0,N631=""),"",ABS((N631-IF($C631="LT",Config!$F$9,Config!$F$21))/IF($C631="LT",Config!$G$9,Config!$G$21)))</f>
        <v/>
      </c>
      <c r="AA631">
        <f>IF(OR(O631=0,O631=""),"",ABS((O631-IF($C631="LT",Config!$F$10,Config!$F$22))/IF($C631="LT",Config!$G$10,Config!$G$22)))</f>
        <v/>
      </c>
      <c r="AB631">
        <f>IF(OR(P631=0,P631=""),"",ABS((P631-IF($C631="LT",Config!$F$11,Config!$F$23))/IF($C631="LT",Config!$G$11,Config!$G$23)))</f>
        <v/>
      </c>
      <c r="AC631">
        <f>IF(OR(Q631=0,Q631=""),"",ABS((Q631-IF($C631="LT",Config!$F$12,Config!$F$24))/IF($C631="LT",Config!$G$12,Config!$G$24)))</f>
        <v/>
      </c>
      <c r="AD631">
        <f>IF(OR(R631=0,R631=""),"",ABS((R631-IF($C631="LT",Config!$F$13,Config!$F$25))/IF($C631="LT",Config!$G$13,Config!$G$25)))</f>
        <v/>
      </c>
    </row>
    <row r="632">
      <c r="A632" t="inlineStr">
        <is>
          <t>04D0926121300</t>
        </is>
      </c>
      <c r="B632" t="inlineStr">
        <is>
          <t>CRS0000675</t>
        </is>
      </c>
      <c r="C632" t="inlineStr">
        <is>
          <t>LT</t>
        </is>
      </c>
      <c r="D632" t="inlineStr">
        <is>
          <t>ALX440U-DS3B01</t>
        </is>
      </c>
      <c r="E632" s="2" t="n">
        <v>46122</v>
      </c>
      <c r="F632" t="inlineStr">
        <is>
          <t>Fail</t>
        </is>
      </c>
      <c r="G632" t="n">
        <v>157.1</v>
      </c>
      <c r="H632" t="n">
        <v>86.09999999999999</v>
      </c>
      <c r="I632" t="n">
        <v>-1957.8</v>
      </c>
      <c r="J632" t="n">
        <v>62.8</v>
      </c>
      <c r="K632" t="n">
        <v>0</v>
      </c>
      <c r="L632" t="n">
        <v>1.5</v>
      </c>
      <c r="M632" t="n">
        <v>0</v>
      </c>
      <c r="N632" t="n">
        <v>64.3</v>
      </c>
      <c r="O632" t="n">
        <v>112.16</v>
      </c>
      <c r="P632" t="n">
        <v>113.62</v>
      </c>
      <c r="Q632" t="n">
        <v>7.28</v>
      </c>
      <c r="R632" t="n">
        <v>7.57</v>
      </c>
      <c r="S632">
        <f>IF(OR(G632=0,G632=""),"",ABS((G632-IF($C632="LT",Config!$F$2,Config!$F$14))/IF($C632="LT",Config!$G$2,Config!$G$14)))</f>
        <v/>
      </c>
      <c r="T632">
        <f>IF(OR(H632=0,H632=""),"",ABS((H632-IF($C632="LT",Config!$F$3,Config!$F$15))/IF($C632="LT",Config!$G$3,Config!$G$15)))</f>
        <v/>
      </c>
      <c r="U632">
        <f>IF(OR(I632=0,I632=""),"",ABS((I632-IF($C632="LT",Config!$F$4,Config!$F$16))/IF($C632="LT",Config!$G$4,Config!$G$16)))</f>
        <v/>
      </c>
      <c r="V632">
        <f>IF(OR(J632=0,J632=""),"",ABS((J632-IF($C632="LT",Config!$F$5,Config!$F$17))/IF($C632="LT",Config!$G$5,Config!$G$17)))</f>
        <v/>
      </c>
      <c r="W632">
        <f>IF(OR(K632=0,K632=""),"",ABS((K632-IF($C632="LT",Config!$F$6,Config!$F$18))/IF($C632="LT",Config!$G$6,Config!$G$18)))</f>
        <v/>
      </c>
      <c r="X632">
        <f>IF(OR(L632=0,L632=""),"",ABS((L632-IF($C632="LT",Config!$F$7,Config!$F$19))/IF($C632="LT",Config!$G$7,Config!$G$19)))</f>
        <v/>
      </c>
      <c r="Y632">
        <f>IF(OR(M632=0,M632=""),"",ABS((M632-IF($C632="LT",Config!$F$8,Config!$F$20))/IF($C632="LT",Config!$G$8,Config!$G$20)))</f>
        <v/>
      </c>
      <c r="Z632">
        <f>IF(OR(N632=0,N632=""),"",ABS((N632-IF($C632="LT",Config!$F$9,Config!$F$21))/IF($C632="LT",Config!$G$9,Config!$G$21)))</f>
        <v/>
      </c>
      <c r="AA632">
        <f>IF(OR(O632=0,O632=""),"",ABS((O632-IF($C632="LT",Config!$F$10,Config!$F$22))/IF($C632="LT",Config!$G$10,Config!$G$22)))</f>
        <v/>
      </c>
      <c r="AB632">
        <f>IF(OR(P632=0,P632=""),"",ABS((P632-IF($C632="LT",Config!$F$11,Config!$F$23))/IF($C632="LT",Config!$G$11,Config!$G$23)))</f>
        <v/>
      </c>
      <c r="AC632">
        <f>IF(OR(Q632=0,Q632=""),"",ABS((Q632-IF($C632="LT",Config!$F$12,Config!$F$24))/IF($C632="LT",Config!$G$12,Config!$G$24)))</f>
        <v/>
      </c>
      <c r="AD632">
        <f>IF(OR(R632=0,R632=""),"",ABS((R632-IF($C632="LT",Config!$F$13,Config!$F$25))/IF($C632="LT",Config!$G$13,Config!$G$25)))</f>
        <v/>
      </c>
    </row>
    <row r="633">
      <c r="A633" t="inlineStr">
        <is>
          <t>04D0926121300</t>
        </is>
      </c>
      <c r="B633" t="inlineStr">
        <is>
          <t>CRS0000675</t>
        </is>
      </c>
      <c r="C633" t="inlineStr">
        <is>
          <t>LT</t>
        </is>
      </c>
      <c r="D633" t="inlineStr">
        <is>
          <t>ALX440U-DS3B01</t>
        </is>
      </c>
      <c r="E633" s="2" t="n">
        <v>46122</v>
      </c>
      <c r="F633" t="inlineStr">
        <is>
          <t>Pass</t>
        </is>
      </c>
      <c r="G633" t="n">
        <v>158.9</v>
      </c>
      <c r="H633" t="n">
        <v>93.3</v>
      </c>
      <c r="I633" t="n">
        <v>-1957.8</v>
      </c>
      <c r="J633" t="n">
        <v>63.3</v>
      </c>
      <c r="K633" t="n">
        <v>0</v>
      </c>
      <c r="L633" t="n">
        <v>3.8</v>
      </c>
      <c r="M633" t="n">
        <v>0</v>
      </c>
      <c r="N633" t="n">
        <v>67.09999999999999</v>
      </c>
      <c r="O633" t="n">
        <v>114.72</v>
      </c>
      <c r="P633" t="n">
        <v>114.72</v>
      </c>
      <c r="Q633" t="n">
        <v>7.64</v>
      </c>
      <c r="R633" t="n">
        <v>8.06</v>
      </c>
      <c r="S633">
        <f>IF(OR(G633=0,G633=""),"",ABS((G633-IF($C633="LT",Config!$F$2,Config!$F$14))/IF($C633="LT",Config!$G$2,Config!$G$14)))</f>
        <v/>
      </c>
      <c r="T633">
        <f>IF(OR(H633=0,H633=""),"",ABS((H633-IF($C633="LT",Config!$F$3,Config!$F$15))/IF($C633="LT",Config!$G$3,Config!$G$15)))</f>
        <v/>
      </c>
      <c r="U633">
        <f>IF(OR(I633=0,I633=""),"",ABS((I633-IF($C633="LT",Config!$F$4,Config!$F$16))/IF($C633="LT",Config!$G$4,Config!$G$16)))</f>
        <v/>
      </c>
      <c r="V633">
        <f>IF(OR(J633=0,J633=""),"",ABS((J633-IF($C633="LT",Config!$F$5,Config!$F$17))/IF($C633="LT",Config!$G$5,Config!$G$17)))</f>
        <v/>
      </c>
      <c r="W633">
        <f>IF(OR(K633=0,K633=""),"",ABS((K633-IF($C633="LT",Config!$F$6,Config!$F$18))/IF($C633="LT",Config!$G$6,Config!$G$18)))</f>
        <v/>
      </c>
      <c r="X633">
        <f>IF(OR(L633=0,L633=""),"",ABS((L633-IF($C633="LT",Config!$F$7,Config!$F$19))/IF($C633="LT",Config!$G$7,Config!$G$19)))</f>
        <v/>
      </c>
      <c r="Y633">
        <f>IF(OR(M633=0,M633=""),"",ABS((M633-IF($C633="LT",Config!$F$8,Config!$F$20))/IF($C633="LT",Config!$G$8,Config!$G$20)))</f>
        <v/>
      </c>
      <c r="Z633">
        <f>IF(OR(N633=0,N633=""),"",ABS((N633-IF($C633="LT",Config!$F$9,Config!$F$21))/IF($C633="LT",Config!$G$9,Config!$G$21)))</f>
        <v/>
      </c>
      <c r="AA633">
        <f>IF(OR(O633=0,O633=""),"",ABS((O633-IF($C633="LT",Config!$F$10,Config!$F$22))/IF($C633="LT",Config!$G$10,Config!$G$22)))</f>
        <v/>
      </c>
      <c r="AB633">
        <f>IF(OR(P633=0,P633=""),"",ABS((P633-IF($C633="LT",Config!$F$11,Config!$F$23))/IF($C633="LT",Config!$G$11,Config!$G$23)))</f>
        <v/>
      </c>
      <c r="AC633">
        <f>IF(OR(Q633=0,Q633=""),"",ABS((Q633-IF($C633="LT",Config!$F$12,Config!$F$24))/IF($C633="LT",Config!$G$12,Config!$G$24)))</f>
        <v/>
      </c>
      <c r="AD633">
        <f>IF(OR(R633=0,R633=""),"",ABS((R633-IF($C633="LT",Config!$F$13,Config!$F$25))/IF($C633="LT",Config!$G$13,Config!$G$25)))</f>
        <v/>
      </c>
    </row>
    <row r="634">
      <c r="A634" t="inlineStr">
        <is>
          <t>04D1026121326</t>
        </is>
      </c>
      <c r="B634" t="inlineStr">
        <is>
          <t>CRS0000674</t>
        </is>
      </c>
      <c r="C634" t="inlineStr">
        <is>
          <t>MT</t>
        </is>
      </c>
      <c r="D634" t="inlineStr">
        <is>
          <t>TCX413U-DS1B01</t>
        </is>
      </c>
      <c r="E634" s="2" t="n">
        <v>46122</v>
      </c>
      <c r="F634" t="inlineStr">
        <is>
          <t>Pass</t>
        </is>
      </c>
      <c r="G634" t="n">
        <v>114.2</v>
      </c>
      <c r="H634" t="n">
        <v>77</v>
      </c>
      <c r="I634" t="n">
        <v>-1957.8</v>
      </c>
      <c r="J634" t="n">
        <v>67.3</v>
      </c>
      <c r="K634" t="n">
        <v>0</v>
      </c>
      <c r="L634" t="n">
        <v>1.1</v>
      </c>
      <c r="M634" t="n">
        <v>0</v>
      </c>
      <c r="N634" t="n">
        <v>68.40000000000001</v>
      </c>
      <c r="O634" t="n">
        <v>115.09</v>
      </c>
      <c r="P634" t="n">
        <v>115.16</v>
      </c>
      <c r="Q634" t="n">
        <v>3.91</v>
      </c>
      <c r="R634" t="n">
        <v>3.96</v>
      </c>
      <c r="S634">
        <f>IF(OR(G634=0,G634=""),"",ABS((G634-IF($C634="LT",Config!$F$2,Config!$F$14))/IF($C634="LT",Config!$G$2,Config!$G$14)))</f>
        <v/>
      </c>
      <c r="T634">
        <f>IF(OR(H634=0,H634=""),"",ABS((H634-IF($C634="LT",Config!$F$3,Config!$F$15))/IF($C634="LT",Config!$G$3,Config!$G$15)))</f>
        <v/>
      </c>
      <c r="U634">
        <f>IF(OR(I634=0,I634=""),"",ABS((I634-IF($C634="LT",Config!$F$4,Config!$F$16))/IF($C634="LT",Config!$G$4,Config!$G$16)))</f>
        <v/>
      </c>
      <c r="V634">
        <f>IF(OR(J634=0,J634=""),"",ABS((J634-IF($C634="LT",Config!$F$5,Config!$F$17))/IF($C634="LT",Config!$G$5,Config!$G$17)))</f>
        <v/>
      </c>
      <c r="W634">
        <f>IF(OR(K634=0,K634=""),"",ABS((K634-IF($C634="LT",Config!$F$6,Config!$F$18))/IF($C634="LT",Config!$G$6,Config!$G$18)))</f>
        <v/>
      </c>
      <c r="X634">
        <f>IF(OR(L634=0,L634=""),"",ABS((L634-IF($C634="LT",Config!$F$7,Config!$F$19))/IF($C634="LT",Config!$G$7,Config!$G$19)))</f>
        <v/>
      </c>
      <c r="Y634">
        <f>IF(OR(M634=0,M634=""),"",ABS((M634-IF($C634="LT",Config!$F$8,Config!$F$20))/IF($C634="LT",Config!$G$8,Config!$G$20)))</f>
        <v/>
      </c>
      <c r="Z634">
        <f>IF(OR(N634=0,N634=""),"",ABS((N634-IF($C634="LT",Config!$F$9,Config!$F$21))/IF($C634="LT",Config!$G$9,Config!$G$21)))</f>
        <v/>
      </c>
      <c r="AA634">
        <f>IF(OR(O634=0,O634=""),"",ABS((O634-IF($C634="LT",Config!$F$10,Config!$F$22))/IF($C634="LT",Config!$G$10,Config!$G$22)))</f>
        <v/>
      </c>
      <c r="AB634">
        <f>IF(OR(P634=0,P634=""),"",ABS((P634-IF($C634="LT",Config!$F$11,Config!$F$23))/IF($C634="LT",Config!$G$11,Config!$G$23)))</f>
        <v/>
      </c>
      <c r="AC634">
        <f>IF(OR(Q634=0,Q634=""),"",ABS((Q634-IF($C634="LT",Config!$F$12,Config!$F$24))/IF($C634="LT",Config!$G$12,Config!$G$24)))</f>
        <v/>
      </c>
      <c r="AD634">
        <f>IF(OR(R634=0,R634=""),"",ABS((R634-IF($C634="LT",Config!$F$13,Config!$F$25))/IF($C634="LT",Config!$G$13,Config!$G$25)))</f>
        <v/>
      </c>
    </row>
    <row r="635">
      <c r="A635" t="inlineStr">
        <is>
          <t>04D1026121327</t>
        </is>
      </c>
      <c r="B635" t="inlineStr">
        <is>
          <t>CRS0000674</t>
        </is>
      </c>
      <c r="C635" t="inlineStr">
        <is>
          <t>MT</t>
        </is>
      </c>
      <c r="D635" t="inlineStr">
        <is>
          <t>TCX413U-DS1B01</t>
        </is>
      </c>
      <c r="E635" s="2" t="n">
        <v>46122</v>
      </c>
      <c r="F635" t="inlineStr">
        <is>
          <t>Pass</t>
        </is>
      </c>
      <c r="G635" t="n">
        <v>114.6</v>
      </c>
      <c r="H635" t="n">
        <v>78.40000000000001</v>
      </c>
      <c r="I635" t="n">
        <v>-1957.8</v>
      </c>
      <c r="J635" t="n">
        <v>67.3</v>
      </c>
      <c r="K635" t="n">
        <v>0</v>
      </c>
      <c r="L635" t="n">
        <v>0.7</v>
      </c>
      <c r="M635" t="n">
        <v>0</v>
      </c>
      <c r="N635" t="n">
        <v>68</v>
      </c>
      <c r="O635" t="n">
        <v>115.09</v>
      </c>
      <c r="P635" t="n">
        <v>114.8</v>
      </c>
      <c r="Q635" t="n">
        <v>3.88</v>
      </c>
      <c r="R635" t="n">
        <v>3.98</v>
      </c>
      <c r="S635">
        <f>IF(OR(G635=0,G635=""),"",ABS((G635-IF($C635="LT",Config!$F$2,Config!$F$14))/IF($C635="LT",Config!$G$2,Config!$G$14)))</f>
        <v/>
      </c>
      <c r="T635">
        <f>IF(OR(H635=0,H635=""),"",ABS((H635-IF($C635="LT",Config!$F$3,Config!$F$15))/IF($C635="LT",Config!$G$3,Config!$G$15)))</f>
        <v/>
      </c>
      <c r="U635">
        <f>IF(OR(I635=0,I635=""),"",ABS((I635-IF($C635="LT",Config!$F$4,Config!$F$16))/IF($C635="LT",Config!$G$4,Config!$G$16)))</f>
        <v/>
      </c>
      <c r="V635">
        <f>IF(OR(J635=0,J635=""),"",ABS((J635-IF($C635="LT",Config!$F$5,Config!$F$17))/IF($C635="LT",Config!$G$5,Config!$G$17)))</f>
        <v/>
      </c>
      <c r="W635">
        <f>IF(OR(K635=0,K635=""),"",ABS((K635-IF($C635="LT",Config!$F$6,Config!$F$18))/IF($C635="LT",Config!$G$6,Config!$G$18)))</f>
        <v/>
      </c>
      <c r="X635">
        <f>IF(OR(L635=0,L635=""),"",ABS((L635-IF($C635="LT",Config!$F$7,Config!$F$19))/IF($C635="LT",Config!$G$7,Config!$G$19)))</f>
        <v/>
      </c>
      <c r="Y635">
        <f>IF(OR(M635=0,M635=""),"",ABS((M635-IF($C635="LT",Config!$F$8,Config!$F$20))/IF($C635="LT",Config!$G$8,Config!$G$20)))</f>
        <v/>
      </c>
      <c r="Z635">
        <f>IF(OR(N635=0,N635=""),"",ABS((N635-IF($C635="LT",Config!$F$9,Config!$F$21))/IF($C635="LT",Config!$G$9,Config!$G$21)))</f>
        <v/>
      </c>
      <c r="AA635">
        <f>IF(OR(O635=0,O635=""),"",ABS((O635-IF($C635="LT",Config!$F$10,Config!$F$22))/IF($C635="LT",Config!$G$10,Config!$G$22)))</f>
        <v/>
      </c>
      <c r="AB635">
        <f>IF(OR(P635=0,P635=""),"",ABS((P635-IF($C635="LT",Config!$F$11,Config!$F$23))/IF($C635="LT",Config!$G$11,Config!$G$23)))</f>
        <v/>
      </c>
      <c r="AC635">
        <f>IF(OR(Q635=0,Q635=""),"",ABS((Q635-IF($C635="LT",Config!$F$12,Config!$F$24))/IF($C635="LT",Config!$G$12,Config!$G$24)))</f>
        <v/>
      </c>
      <c r="AD635">
        <f>IF(OR(R635=0,R635=""),"",ABS((R635-IF($C635="LT",Config!$F$13,Config!$F$25))/IF($C635="LT",Config!$G$13,Config!$G$25)))</f>
        <v/>
      </c>
    </row>
    <row r="636">
      <c r="A636" t="inlineStr">
        <is>
          <t>04C1026120889</t>
        </is>
      </c>
      <c r="B636" t="inlineStr">
        <is>
          <t>CRS0000675</t>
        </is>
      </c>
      <c r="C636" t="inlineStr">
        <is>
          <t>LT</t>
        </is>
      </c>
      <c r="D636" t="inlineStr">
        <is>
          <t>ALX440U-DS3B01</t>
        </is>
      </c>
      <c r="E636" s="2" t="n">
        <v>46123</v>
      </c>
      <c r="F636" t="inlineStr">
        <is>
          <t>Fail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>
        <f>IF(OR(G636=0,G636=""),"",ABS((G636-IF($C636="LT",Config!$F$2,Config!$F$14))/IF($C636="LT",Config!$G$2,Config!$G$14)))</f>
        <v/>
      </c>
      <c r="T636">
        <f>IF(OR(H636=0,H636=""),"",ABS((H636-IF($C636="LT",Config!$F$3,Config!$F$15))/IF($C636="LT",Config!$G$3,Config!$G$15)))</f>
        <v/>
      </c>
      <c r="U636">
        <f>IF(OR(I636=0,I636=""),"",ABS((I636-IF($C636="LT",Config!$F$4,Config!$F$16))/IF($C636="LT",Config!$G$4,Config!$G$16)))</f>
        <v/>
      </c>
      <c r="V636">
        <f>IF(OR(J636=0,J636=""),"",ABS((J636-IF($C636="LT",Config!$F$5,Config!$F$17))/IF($C636="LT",Config!$G$5,Config!$G$17)))</f>
        <v/>
      </c>
      <c r="W636">
        <f>IF(OR(K636=0,K636=""),"",ABS((K636-IF($C636="LT",Config!$F$6,Config!$F$18))/IF($C636="LT",Config!$G$6,Config!$G$18)))</f>
        <v/>
      </c>
      <c r="X636">
        <f>IF(OR(L636=0,L636=""),"",ABS((L636-IF($C636="LT",Config!$F$7,Config!$F$19))/IF($C636="LT",Config!$G$7,Config!$G$19)))</f>
        <v/>
      </c>
      <c r="Y636">
        <f>IF(OR(M636=0,M636=""),"",ABS((M636-IF($C636="LT",Config!$F$8,Config!$F$20))/IF($C636="LT",Config!$G$8,Config!$G$20)))</f>
        <v/>
      </c>
      <c r="Z636">
        <f>IF(OR(N636=0,N636=""),"",ABS((N636-IF($C636="LT",Config!$F$9,Config!$F$21))/IF($C636="LT",Config!$G$9,Config!$G$21)))</f>
        <v/>
      </c>
      <c r="AA636">
        <f>IF(OR(O636=0,O636=""),"",ABS((O636-IF($C636="LT",Config!$F$10,Config!$F$22))/IF($C636="LT",Config!$G$10,Config!$G$22)))</f>
        <v/>
      </c>
      <c r="AB636">
        <f>IF(OR(P636=0,P636=""),"",ABS((P636-IF($C636="LT",Config!$F$11,Config!$F$23))/IF($C636="LT",Config!$G$11,Config!$G$23)))</f>
        <v/>
      </c>
      <c r="AC636">
        <f>IF(OR(Q636=0,Q636=""),"",ABS((Q636-IF($C636="LT",Config!$F$12,Config!$F$24))/IF($C636="LT",Config!$G$12,Config!$G$24)))</f>
        <v/>
      </c>
      <c r="AD636">
        <f>IF(OR(R636=0,R636=""),"",ABS((R636-IF($C636="LT",Config!$F$13,Config!$F$25))/IF($C636="LT",Config!$G$13,Config!$G$25)))</f>
        <v/>
      </c>
    </row>
    <row r="637">
      <c r="A637" t="inlineStr">
        <is>
          <t>04D1026121328</t>
        </is>
      </c>
      <c r="B637" t="inlineStr">
        <is>
          <t>CRS0000675</t>
        </is>
      </c>
      <c r="C637" t="inlineStr">
        <is>
          <t>LT</t>
        </is>
      </c>
      <c r="D637" t="inlineStr">
        <is>
          <t>ALX440U-DS3B01</t>
        </is>
      </c>
      <c r="E637" s="2" t="n">
        <v>46123</v>
      </c>
      <c r="F637" t="inlineStr">
        <is>
          <t>Fail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>
        <f>IF(OR(G637=0,G637=""),"",ABS((G637-IF($C637="LT",Config!$F$2,Config!$F$14))/IF($C637="LT",Config!$G$2,Config!$G$14)))</f>
        <v/>
      </c>
      <c r="T637">
        <f>IF(OR(H637=0,H637=""),"",ABS((H637-IF($C637="LT",Config!$F$3,Config!$F$15))/IF($C637="LT",Config!$G$3,Config!$G$15)))</f>
        <v/>
      </c>
      <c r="U637">
        <f>IF(OR(I637=0,I637=""),"",ABS((I637-IF($C637="LT",Config!$F$4,Config!$F$16))/IF($C637="LT",Config!$G$4,Config!$G$16)))</f>
        <v/>
      </c>
      <c r="V637">
        <f>IF(OR(J637=0,J637=""),"",ABS((J637-IF($C637="LT",Config!$F$5,Config!$F$17))/IF($C637="LT",Config!$G$5,Config!$G$17)))</f>
        <v/>
      </c>
      <c r="W637">
        <f>IF(OR(K637=0,K637=""),"",ABS((K637-IF($C637="LT",Config!$F$6,Config!$F$18))/IF($C637="LT",Config!$G$6,Config!$G$18)))</f>
        <v/>
      </c>
      <c r="X637">
        <f>IF(OR(L637=0,L637=""),"",ABS((L637-IF($C637="LT",Config!$F$7,Config!$F$19))/IF($C637="LT",Config!$G$7,Config!$G$19)))</f>
        <v/>
      </c>
      <c r="Y637">
        <f>IF(OR(M637=0,M637=""),"",ABS((M637-IF($C637="LT",Config!$F$8,Config!$F$20))/IF($C637="LT",Config!$G$8,Config!$G$20)))</f>
        <v/>
      </c>
      <c r="Z637">
        <f>IF(OR(N637=0,N637=""),"",ABS((N637-IF($C637="LT",Config!$F$9,Config!$F$21))/IF($C637="LT",Config!$G$9,Config!$G$21)))</f>
        <v/>
      </c>
      <c r="AA637">
        <f>IF(OR(O637=0,O637=""),"",ABS((O637-IF($C637="LT",Config!$F$10,Config!$F$22))/IF($C637="LT",Config!$G$10,Config!$G$22)))</f>
        <v/>
      </c>
      <c r="AB637">
        <f>IF(OR(P637=0,P637=""),"",ABS((P637-IF($C637="LT",Config!$F$11,Config!$F$23))/IF($C637="LT",Config!$G$11,Config!$G$23)))</f>
        <v/>
      </c>
      <c r="AC637">
        <f>IF(OR(Q637=0,Q637=""),"",ABS((Q637-IF($C637="LT",Config!$F$12,Config!$F$24))/IF($C637="LT",Config!$G$12,Config!$G$24)))</f>
        <v/>
      </c>
      <c r="AD637">
        <f>IF(OR(R637=0,R637=""),"",ABS((R637-IF($C637="LT",Config!$F$13,Config!$F$25))/IF($C637="LT",Config!$G$13,Config!$G$25)))</f>
        <v/>
      </c>
    </row>
    <row r="638">
      <c r="A638" t="inlineStr">
        <is>
          <t>04D1026121329</t>
        </is>
      </c>
      <c r="B638" t="inlineStr">
        <is>
          <t>CRS0000674</t>
        </is>
      </c>
      <c r="C638" t="inlineStr">
        <is>
          <t>MT</t>
        </is>
      </c>
      <c r="D638" t="inlineStr">
        <is>
          <t>TCX413U-DS1B01</t>
        </is>
      </c>
      <c r="E638" s="2" t="n">
        <v>46123</v>
      </c>
      <c r="F638" t="inlineStr">
        <is>
          <t>Pass</t>
        </is>
      </c>
      <c r="G638" t="n">
        <v>108.8</v>
      </c>
      <c r="H638" t="n">
        <v>76.59999999999999</v>
      </c>
      <c r="I638" t="n">
        <v>-1957.8</v>
      </c>
      <c r="J638" t="n">
        <v>69.5</v>
      </c>
      <c r="K638" t="n">
        <v>0</v>
      </c>
      <c r="L638" t="n">
        <v>0.5</v>
      </c>
      <c r="M638" t="n">
        <v>0</v>
      </c>
      <c r="N638" t="n">
        <v>70</v>
      </c>
      <c r="O638" t="n">
        <v>115.16</v>
      </c>
      <c r="P638" t="n">
        <v>115.09</v>
      </c>
      <c r="Q638" t="n">
        <v>3.86</v>
      </c>
      <c r="R638" t="n">
        <v>3.93</v>
      </c>
      <c r="S638">
        <f>IF(OR(G638=0,G638=""),"",ABS((G638-IF($C638="LT",Config!$F$2,Config!$F$14))/IF($C638="LT",Config!$G$2,Config!$G$14)))</f>
        <v/>
      </c>
      <c r="T638">
        <f>IF(OR(H638=0,H638=""),"",ABS((H638-IF($C638="LT",Config!$F$3,Config!$F$15))/IF($C638="LT",Config!$G$3,Config!$G$15)))</f>
        <v/>
      </c>
      <c r="U638">
        <f>IF(OR(I638=0,I638=""),"",ABS((I638-IF($C638="LT",Config!$F$4,Config!$F$16))/IF($C638="LT",Config!$G$4,Config!$G$16)))</f>
        <v/>
      </c>
      <c r="V638">
        <f>IF(OR(J638=0,J638=""),"",ABS((J638-IF($C638="LT",Config!$F$5,Config!$F$17))/IF($C638="LT",Config!$G$5,Config!$G$17)))</f>
        <v/>
      </c>
      <c r="W638">
        <f>IF(OR(K638=0,K638=""),"",ABS((K638-IF($C638="LT",Config!$F$6,Config!$F$18))/IF($C638="LT",Config!$G$6,Config!$G$18)))</f>
        <v/>
      </c>
      <c r="X638">
        <f>IF(OR(L638=0,L638=""),"",ABS((L638-IF($C638="LT",Config!$F$7,Config!$F$19))/IF($C638="LT",Config!$G$7,Config!$G$19)))</f>
        <v/>
      </c>
      <c r="Y638">
        <f>IF(OR(M638=0,M638=""),"",ABS((M638-IF($C638="LT",Config!$F$8,Config!$F$20))/IF($C638="LT",Config!$G$8,Config!$G$20)))</f>
        <v/>
      </c>
      <c r="Z638">
        <f>IF(OR(N638=0,N638=""),"",ABS((N638-IF($C638="LT",Config!$F$9,Config!$F$21))/IF($C638="LT",Config!$G$9,Config!$G$21)))</f>
        <v/>
      </c>
      <c r="AA638">
        <f>IF(OR(O638=0,O638=""),"",ABS((O638-IF($C638="LT",Config!$F$10,Config!$F$22))/IF($C638="LT",Config!$G$10,Config!$G$22)))</f>
        <v/>
      </c>
      <c r="AB638">
        <f>IF(OR(P638=0,P638=""),"",ABS((P638-IF($C638="LT",Config!$F$11,Config!$F$23))/IF($C638="LT",Config!$G$11,Config!$G$23)))</f>
        <v/>
      </c>
      <c r="AC638">
        <f>IF(OR(Q638=0,Q638=""),"",ABS((Q638-IF($C638="LT",Config!$F$12,Config!$F$24))/IF($C638="LT",Config!$G$12,Config!$G$24)))</f>
        <v/>
      </c>
      <c r="AD638">
        <f>IF(OR(R638=0,R638=""),"",ABS((R638-IF($C638="LT",Config!$F$13,Config!$F$25))/IF($C638="LT",Config!$G$13,Config!$G$25)))</f>
        <v/>
      </c>
    </row>
    <row r="639">
      <c r="A639" t="inlineStr">
        <is>
          <t>04D1026121328</t>
        </is>
      </c>
      <c r="B639" t="inlineStr">
        <is>
          <t>CRS0000675</t>
        </is>
      </c>
      <c r="C639" t="inlineStr">
        <is>
          <t>LT</t>
        </is>
      </c>
      <c r="D639" t="inlineStr">
        <is>
          <t>ALX440U-DS3B01</t>
        </is>
      </c>
      <c r="E639" s="2" t="n">
        <v>46123</v>
      </c>
      <c r="F639" t="inlineStr">
        <is>
          <t>Fail</t>
        </is>
      </c>
      <c r="G639" t="n">
        <v>139.2</v>
      </c>
      <c r="H639" t="n">
        <v>83.8</v>
      </c>
      <c r="I639" t="n">
        <v>-1957.8</v>
      </c>
      <c r="J639" t="n">
        <v>70.8</v>
      </c>
      <c r="K639" t="n">
        <v>0</v>
      </c>
      <c r="L639" t="n">
        <v>3.5</v>
      </c>
      <c r="M639" t="n">
        <v>0</v>
      </c>
      <c r="N639" t="n">
        <v>74.3</v>
      </c>
      <c r="O639" t="n">
        <v>115.16</v>
      </c>
      <c r="P639" t="n">
        <v>115.02</v>
      </c>
      <c r="Q639" t="n">
        <v>7.18</v>
      </c>
      <c r="R639" t="n">
        <v>7.59</v>
      </c>
      <c r="S639">
        <f>IF(OR(G639=0,G639=""),"",ABS((G639-IF($C639="LT",Config!$F$2,Config!$F$14))/IF($C639="LT",Config!$G$2,Config!$G$14)))</f>
        <v/>
      </c>
      <c r="T639">
        <f>IF(OR(H639=0,H639=""),"",ABS((H639-IF($C639="LT",Config!$F$3,Config!$F$15))/IF($C639="LT",Config!$G$3,Config!$G$15)))</f>
        <v/>
      </c>
      <c r="U639">
        <f>IF(OR(I639=0,I639=""),"",ABS((I639-IF($C639="LT",Config!$F$4,Config!$F$16))/IF($C639="LT",Config!$G$4,Config!$G$16)))</f>
        <v/>
      </c>
      <c r="V639">
        <f>IF(OR(J639=0,J639=""),"",ABS((J639-IF($C639="LT",Config!$F$5,Config!$F$17))/IF($C639="LT",Config!$G$5,Config!$G$17)))</f>
        <v/>
      </c>
      <c r="W639">
        <f>IF(OR(K639=0,K639=""),"",ABS((K639-IF($C639="LT",Config!$F$6,Config!$F$18))/IF($C639="LT",Config!$G$6,Config!$G$18)))</f>
        <v/>
      </c>
      <c r="X639">
        <f>IF(OR(L639=0,L639=""),"",ABS((L639-IF($C639="LT",Config!$F$7,Config!$F$19))/IF($C639="LT",Config!$G$7,Config!$G$19)))</f>
        <v/>
      </c>
      <c r="Y639">
        <f>IF(OR(M639=0,M639=""),"",ABS((M639-IF($C639="LT",Config!$F$8,Config!$F$20))/IF($C639="LT",Config!$G$8,Config!$G$20)))</f>
        <v/>
      </c>
      <c r="Z639">
        <f>IF(OR(N639=0,N639=""),"",ABS((N639-IF($C639="LT",Config!$F$9,Config!$F$21))/IF($C639="LT",Config!$G$9,Config!$G$21)))</f>
        <v/>
      </c>
      <c r="AA639">
        <f>IF(OR(O639=0,O639=""),"",ABS((O639-IF($C639="LT",Config!$F$10,Config!$F$22))/IF($C639="LT",Config!$G$10,Config!$G$22)))</f>
        <v/>
      </c>
      <c r="AB639">
        <f>IF(OR(P639=0,P639=""),"",ABS((P639-IF($C639="LT",Config!$F$11,Config!$F$23))/IF($C639="LT",Config!$G$11,Config!$G$23)))</f>
        <v/>
      </c>
      <c r="AC639">
        <f>IF(OR(Q639=0,Q639=""),"",ABS((Q639-IF($C639="LT",Config!$F$12,Config!$F$24))/IF($C639="LT",Config!$G$12,Config!$G$24)))</f>
        <v/>
      </c>
      <c r="AD639">
        <f>IF(OR(R639=0,R639=""),"",ABS((R639-IF($C639="LT",Config!$F$13,Config!$F$25))/IF($C639="LT",Config!$G$13,Config!$G$25)))</f>
        <v/>
      </c>
    </row>
    <row r="640">
      <c r="A640" t="inlineStr">
        <is>
          <t>04D1026121328</t>
        </is>
      </c>
      <c r="B640" t="inlineStr">
        <is>
          <t>CRS0000675</t>
        </is>
      </c>
      <c r="C640" t="inlineStr">
        <is>
          <t>LT</t>
        </is>
      </c>
      <c r="D640" t="inlineStr">
        <is>
          <t>ALX440U-DS3B01</t>
        </is>
      </c>
      <c r="E640" s="2" t="n">
        <v>46123</v>
      </c>
      <c r="F640" t="inlineStr">
        <is>
          <t>Pass</t>
        </is>
      </c>
      <c r="G640" t="n">
        <v>149.5</v>
      </c>
      <c r="H640" t="n">
        <v>87.90000000000001</v>
      </c>
      <c r="I640" t="n">
        <v>-1957.8</v>
      </c>
      <c r="J640" t="n">
        <v>71.3</v>
      </c>
      <c r="K640" t="n">
        <v>0</v>
      </c>
      <c r="L640" t="n">
        <v>3.1</v>
      </c>
      <c r="M640" t="n">
        <v>0</v>
      </c>
      <c r="N640" t="n">
        <v>74.40000000000001</v>
      </c>
      <c r="O640" t="n">
        <v>115.09</v>
      </c>
      <c r="P640" t="n">
        <v>115.09</v>
      </c>
      <c r="Q640" t="n">
        <v>7.4</v>
      </c>
      <c r="R640" t="n">
        <v>7.59</v>
      </c>
      <c r="S640">
        <f>IF(OR(G640=0,G640=""),"",ABS((G640-IF($C640="LT",Config!$F$2,Config!$F$14))/IF($C640="LT",Config!$G$2,Config!$G$14)))</f>
        <v/>
      </c>
      <c r="T640">
        <f>IF(OR(H640=0,H640=""),"",ABS((H640-IF($C640="LT",Config!$F$3,Config!$F$15))/IF($C640="LT",Config!$G$3,Config!$G$15)))</f>
        <v/>
      </c>
      <c r="U640">
        <f>IF(OR(I640=0,I640=""),"",ABS((I640-IF($C640="LT",Config!$F$4,Config!$F$16))/IF($C640="LT",Config!$G$4,Config!$G$16)))</f>
        <v/>
      </c>
      <c r="V640">
        <f>IF(OR(J640=0,J640=""),"",ABS((J640-IF($C640="LT",Config!$F$5,Config!$F$17))/IF($C640="LT",Config!$G$5,Config!$G$17)))</f>
        <v/>
      </c>
      <c r="W640">
        <f>IF(OR(K640=0,K640=""),"",ABS((K640-IF($C640="LT",Config!$F$6,Config!$F$18))/IF($C640="LT",Config!$G$6,Config!$G$18)))</f>
        <v/>
      </c>
      <c r="X640">
        <f>IF(OR(L640=0,L640=""),"",ABS((L640-IF($C640="LT",Config!$F$7,Config!$F$19))/IF($C640="LT",Config!$G$7,Config!$G$19)))</f>
        <v/>
      </c>
      <c r="Y640">
        <f>IF(OR(M640=0,M640=""),"",ABS((M640-IF($C640="LT",Config!$F$8,Config!$F$20))/IF($C640="LT",Config!$G$8,Config!$G$20)))</f>
        <v/>
      </c>
      <c r="Z640">
        <f>IF(OR(N640=0,N640=""),"",ABS((N640-IF($C640="LT",Config!$F$9,Config!$F$21))/IF($C640="LT",Config!$G$9,Config!$G$21)))</f>
        <v/>
      </c>
      <c r="AA640">
        <f>IF(OR(O640=0,O640=""),"",ABS((O640-IF($C640="LT",Config!$F$10,Config!$F$22))/IF($C640="LT",Config!$G$10,Config!$G$22)))</f>
        <v/>
      </c>
      <c r="AB640">
        <f>IF(OR(P640=0,P640=""),"",ABS((P640-IF($C640="LT",Config!$F$11,Config!$F$23))/IF($C640="LT",Config!$G$11,Config!$G$23)))</f>
        <v/>
      </c>
      <c r="AC640">
        <f>IF(OR(Q640=0,Q640=""),"",ABS((Q640-IF($C640="LT",Config!$F$12,Config!$F$24))/IF($C640="LT",Config!$G$12,Config!$G$24)))</f>
        <v/>
      </c>
      <c r="AD640">
        <f>IF(OR(R640=0,R640=""),"",ABS((R640-IF($C640="LT",Config!$F$13,Config!$F$25))/IF($C640="LT",Config!$G$13,Config!$G$25)))</f>
        <v/>
      </c>
    </row>
    <row r="641">
      <c r="A641" t="inlineStr">
        <is>
          <t>04D1026121330</t>
        </is>
      </c>
      <c r="B641" t="inlineStr">
        <is>
          <t>CRS0000674</t>
        </is>
      </c>
      <c r="C641" t="inlineStr">
        <is>
          <t>MT</t>
        </is>
      </c>
      <c r="D641" t="inlineStr">
        <is>
          <t>TCX413U-DS1B01</t>
        </is>
      </c>
      <c r="E641" s="2" t="n">
        <v>46123</v>
      </c>
      <c r="F641" t="inlineStr">
        <is>
          <t>Pass</t>
        </is>
      </c>
      <c r="G641" t="n">
        <v>112.4</v>
      </c>
      <c r="H641" t="n">
        <v>79.8</v>
      </c>
      <c r="I641" t="n">
        <v>-1957.8</v>
      </c>
      <c r="J641" t="n">
        <v>71.3</v>
      </c>
      <c r="K641" t="n">
        <v>0</v>
      </c>
      <c r="L641" t="n">
        <v>1.3</v>
      </c>
      <c r="M641" t="n">
        <v>0</v>
      </c>
      <c r="N641" t="n">
        <v>70</v>
      </c>
      <c r="O641" t="n">
        <v>115.46</v>
      </c>
      <c r="P641" t="n">
        <v>115.46</v>
      </c>
      <c r="Q641" t="n">
        <v>3.96</v>
      </c>
      <c r="R641" t="n">
        <v>3.98</v>
      </c>
      <c r="S641">
        <f>IF(OR(G641=0,G641=""),"",ABS((G641-IF($C641="LT",Config!$F$2,Config!$F$14))/IF($C641="LT",Config!$G$2,Config!$G$14)))</f>
        <v/>
      </c>
      <c r="T641">
        <f>IF(OR(H641=0,H641=""),"",ABS((H641-IF($C641="LT",Config!$F$3,Config!$F$15))/IF($C641="LT",Config!$G$3,Config!$G$15)))</f>
        <v/>
      </c>
      <c r="U641">
        <f>IF(OR(I641=0,I641=""),"",ABS((I641-IF($C641="LT",Config!$F$4,Config!$F$16))/IF($C641="LT",Config!$G$4,Config!$G$16)))</f>
        <v/>
      </c>
      <c r="V641">
        <f>IF(OR(J641=0,J641=""),"",ABS((J641-IF($C641="LT",Config!$F$5,Config!$F$17))/IF($C641="LT",Config!$G$5,Config!$G$17)))</f>
        <v/>
      </c>
      <c r="W641">
        <f>IF(OR(K641=0,K641=""),"",ABS((K641-IF($C641="LT",Config!$F$6,Config!$F$18))/IF($C641="LT",Config!$G$6,Config!$G$18)))</f>
        <v/>
      </c>
      <c r="X641">
        <f>IF(OR(L641=0,L641=""),"",ABS((L641-IF($C641="LT",Config!$F$7,Config!$F$19))/IF($C641="LT",Config!$G$7,Config!$G$19)))</f>
        <v/>
      </c>
      <c r="Y641">
        <f>IF(OR(M641=0,M641=""),"",ABS((M641-IF($C641="LT",Config!$F$8,Config!$F$20))/IF($C641="LT",Config!$G$8,Config!$G$20)))</f>
        <v/>
      </c>
      <c r="Z641">
        <f>IF(OR(N641=0,N641=""),"",ABS((N641-IF($C641="LT",Config!$F$9,Config!$F$21))/IF($C641="LT",Config!$G$9,Config!$G$21)))</f>
        <v/>
      </c>
      <c r="AA641">
        <f>IF(OR(O641=0,O641=""),"",ABS((O641-IF($C641="LT",Config!$F$10,Config!$F$22))/IF($C641="LT",Config!$G$10,Config!$G$22)))</f>
        <v/>
      </c>
      <c r="AB641">
        <f>IF(OR(P641=0,P641=""),"",ABS((P641-IF($C641="LT",Config!$F$11,Config!$F$23))/IF($C641="LT",Config!$G$11,Config!$G$23)))</f>
        <v/>
      </c>
      <c r="AC641">
        <f>IF(OR(Q641=0,Q641=""),"",ABS((Q641-IF($C641="LT",Config!$F$12,Config!$F$24))/IF($C641="LT",Config!$G$12,Config!$G$24)))</f>
        <v/>
      </c>
      <c r="AD641">
        <f>IF(OR(R641=0,R641=""),"",ABS((R641-IF($C641="LT",Config!$F$13,Config!$F$25))/IF($C641="LT",Config!$G$13,Config!$G$25)))</f>
        <v/>
      </c>
    </row>
    <row r="642">
      <c r="A642" t="inlineStr">
        <is>
          <t>04D1126121331</t>
        </is>
      </c>
      <c r="B642" t="inlineStr">
        <is>
          <t>CRS0000674</t>
        </is>
      </c>
      <c r="C642" t="inlineStr">
        <is>
          <t>MT</t>
        </is>
      </c>
      <c r="D642" t="inlineStr">
        <is>
          <t>TCX413U-DS1B01</t>
        </is>
      </c>
      <c r="E642" s="2" t="n">
        <v>46123</v>
      </c>
      <c r="F642" t="inlineStr">
        <is>
          <t>Pass</t>
        </is>
      </c>
      <c r="G642" t="n">
        <v>116.9</v>
      </c>
      <c r="H642" t="n">
        <v>79.3</v>
      </c>
      <c r="I642" t="n">
        <v>-1957.8</v>
      </c>
      <c r="J642" t="n">
        <v>69.5</v>
      </c>
      <c r="K642" t="n">
        <v>0</v>
      </c>
      <c r="L642" t="n">
        <v>0.8</v>
      </c>
      <c r="M642" t="n">
        <v>0</v>
      </c>
      <c r="N642" t="n">
        <v>68.7</v>
      </c>
      <c r="O642" t="n">
        <v>112.23</v>
      </c>
      <c r="P642" t="n">
        <v>117</v>
      </c>
      <c r="Q642" t="n">
        <v>3.78</v>
      </c>
      <c r="R642" t="n">
        <v>3.81</v>
      </c>
      <c r="S642">
        <f>IF(OR(G642=0,G642=""),"",ABS((G642-IF($C642="LT",Config!$F$2,Config!$F$14))/IF($C642="LT",Config!$G$2,Config!$G$14)))</f>
        <v/>
      </c>
      <c r="T642">
        <f>IF(OR(H642=0,H642=""),"",ABS((H642-IF($C642="LT",Config!$F$3,Config!$F$15))/IF($C642="LT",Config!$G$3,Config!$G$15)))</f>
        <v/>
      </c>
      <c r="U642">
        <f>IF(OR(I642=0,I642=""),"",ABS((I642-IF($C642="LT",Config!$F$4,Config!$F$16))/IF($C642="LT",Config!$G$4,Config!$G$16)))</f>
        <v/>
      </c>
      <c r="V642">
        <f>IF(OR(J642=0,J642=""),"",ABS((J642-IF($C642="LT",Config!$F$5,Config!$F$17))/IF($C642="LT",Config!$G$5,Config!$G$17)))</f>
        <v/>
      </c>
      <c r="W642">
        <f>IF(OR(K642=0,K642=""),"",ABS((K642-IF($C642="LT",Config!$F$6,Config!$F$18))/IF($C642="LT",Config!$G$6,Config!$G$18)))</f>
        <v/>
      </c>
      <c r="X642">
        <f>IF(OR(L642=0,L642=""),"",ABS((L642-IF($C642="LT",Config!$F$7,Config!$F$19))/IF($C642="LT",Config!$G$7,Config!$G$19)))</f>
        <v/>
      </c>
      <c r="Y642">
        <f>IF(OR(M642=0,M642=""),"",ABS((M642-IF($C642="LT",Config!$F$8,Config!$F$20))/IF($C642="LT",Config!$G$8,Config!$G$20)))</f>
        <v/>
      </c>
      <c r="Z642">
        <f>IF(OR(N642=0,N642=""),"",ABS((N642-IF($C642="LT",Config!$F$9,Config!$F$21))/IF($C642="LT",Config!$G$9,Config!$G$21)))</f>
        <v/>
      </c>
      <c r="AA642">
        <f>IF(OR(O642=0,O642=""),"",ABS((O642-IF($C642="LT",Config!$F$10,Config!$F$22))/IF($C642="LT",Config!$G$10,Config!$G$22)))</f>
        <v/>
      </c>
      <c r="AB642">
        <f>IF(OR(P642=0,P642=""),"",ABS((P642-IF($C642="LT",Config!$F$11,Config!$F$23))/IF($C642="LT",Config!$G$11,Config!$G$23)))</f>
        <v/>
      </c>
      <c r="AC642">
        <f>IF(OR(Q642=0,Q642=""),"",ABS((Q642-IF($C642="LT",Config!$F$12,Config!$F$24))/IF($C642="LT",Config!$G$12,Config!$G$24)))</f>
        <v/>
      </c>
      <c r="AD642">
        <f>IF(OR(R642=0,R642=""),"",ABS((R642-IF($C642="LT",Config!$F$13,Config!$F$25))/IF($C642="LT",Config!$G$13,Config!$G$25)))</f>
        <v/>
      </c>
    </row>
    <row r="643">
      <c r="A643" t="inlineStr">
        <is>
          <t>04D1126121332</t>
        </is>
      </c>
      <c r="B643" t="inlineStr">
        <is>
          <t>CRS0000674</t>
        </is>
      </c>
      <c r="C643" t="inlineStr">
        <is>
          <t>MT</t>
        </is>
      </c>
      <c r="D643" t="inlineStr">
        <is>
          <t>TCX413U-DS1B01</t>
        </is>
      </c>
      <c r="E643" s="2" t="n">
        <v>46123</v>
      </c>
      <c r="F643" t="inlineStr">
        <is>
          <t>Pass</t>
        </is>
      </c>
      <c r="G643" t="n">
        <v>111.1</v>
      </c>
      <c r="H643" t="n">
        <v>77.90000000000001</v>
      </c>
      <c r="I643" t="n">
        <v>-1957.8</v>
      </c>
      <c r="J643" t="n">
        <v>67.7</v>
      </c>
      <c r="K643" t="n">
        <v>0</v>
      </c>
      <c r="L643" t="n">
        <v>0.5</v>
      </c>
      <c r="M643" t="n">
        <v>0</v>
      </c>
      <c r="N643" t="n">
        <v>67.2</v>
      </c>
      <c r="O643" t="n">
        <v>112.01</v>
      </c>
      <c r="P643" t="n">
        <v>113.48</v>
      </c>
      <c r="Q643" t="n">
        <v>3.93</v>
      </c>
      <c r="R643" t="n">
        <v>3.96</v>
      </c>
      <c r="S643">
        <f>IF(OR(G643=0,G643=""),"",ABS((G643-IF($C643="LT",Config!$F$2,Config!$F$14))/IF($C643="LT",Config!$G$2,Config!$G$14)))</f>
        <v/>
      </c>
      <c r="T643">
        <f>IF(OR(H643=0,H643=""),"",ABS((H643-IF($C643="LT",Config!$F$3,Config!$F$15))/IF($C643="LT",Config!$G$3,Config!$G$15)))</f>
        <v/>
      </c>
      <c r="U643">
        <f>IF(OR(I643=0,I643=""),"",ABS((I643-IF($C643="LT",Config!$F$4,Config!$F$16))/IF($C643="LT",Config!$G$4,Config!$G$16)))</f>
        <v/>
      </c>
      <c r="V643">
        <f>IF(OR(J643=0,J643=""),"",ABS((J643-IF($C643="LT",Config!$F$5,Config!$F$17))/IF($C643="LT",Config!$G$5,Config!$G$17)))</f>
        <v/>
      </c>
      <c r="W643">
        <f>IF(OR(K643=0,K643=""),"",ABS((K643-IF($C643="LT",Config!$F$6,Config!$F$18))/IF($C643="LT",Config!$G$6,Config!$G$18)))</f>
        <v/>
      </c>
      <c r="X643">
        <f>IF(OR(L643=0,L643=""),"",ABS((L643-IF($C643="LT",Config!$F$7,Config!$F$19))/IF($C643="LT",Config!$G$7,Config!$G$19)))</f>
        <v/>
      </c>
      <c r="Y643">
        <f>IF(OR(M643=0,M643=""),"",ABS((M643-IF($C643="LT",Config!$F$8,Config!$F$20))/IF($C643="LT",Config!$G$8,Config!$G$20)))</f>
        <v/>
      </c>
      <c r="Z643">
        <f>IF(OR(N643=0,N643=""),"",ABS((N643-IF($C643="LT",Config!$F$9,Config!$F$21))/IF($C643="LT",Config!$G$9,Config!$G$21)))</f>
        <v/>
      </c>
      <c r="AA643">
        <f>IF(OR(O643=0,O643=""),"",ABS((O643-IF($C643="LT",Config!$F$10,Config!$F$22))/IF($C643="LT",Config!$G$10,Config!$G$22)))</f>
        <v/>
      </c>
      <c r="AB643">
        <f>IF(OR(P643=0,P643=""),"",ABS((P643-IF($C643="LT",Config!$F$11,Config!$F$23))/IF($C643="LT",Config!$G$11,Config!$G$23)))</f>
        <v/>
      </c>
      <c r="AC643">
        <f>IF(OR(Q643=0,Q643=""),"",ABS((Q643-IF($C643="LT",Config!$F$12,Config!$F$24))/IF($C643="LT",Config!$G$12,Config!$G$24)))</f>
        <v/>
      </c>
      <c r="AD643">
        <f>IF(OR(R643=0,R643=""),"",ABS((R643-IF($C643="LT",Config!$F$13,Config!$F$25))/IF($C643="LT",Config!$G$13,Config!$G$25)))</f>
        <v/>
      </c>
    </row>
    <row r="644">
      <c r="A644" t="inlineStr">
        <is>
          <t>04D1126121333</t>
        </is>
      </c>
      <c r="B644" t="inlineStr">
        <is>
          <t>CRS0000674</t>
        </is>
      </c>
      <c r="C644" t="inlineStr">
        <is>
          <t>MT</t>
        </is>
      </c>
      <c r="D644" t="inlineStr">
        <is>
          <t>TCX413U-DS1B01</t>
        </is>
      </c>
      <c r="E644" s="2" t="n">
        <v>46123</v>
      </c>
      <c r="F644" t="inlineStr">
        <is>
          <t>Pass</t>
        </is>
      </c>
      <c r="G644" t="n">
        <v>113.7</v>
      </c>
      <c r="H644" t="n">
        <v>76.09999999999999</v>
      </c>
      <c r="I644" t="n">
        <v>-1957.8</v>
      </c>
      <c r="J644" t="n">
        <v>67.7</v>
      </c>
      <c r="K644" t="n">
        <v>0</v>
      </c>
      <c r="L644" t="n">
        <v>0.4</v>
      </c>
      <c r="M644" t="n">
        <v>0</v>
      </c>
      <c r="N644" t="n">
        <v>68.09999999999999</v>
      </c>
      <c r="O644" t="n">
        <v>111.94</v>
      </c>
      <c r="P644" t="n">
        <v>116.7</v>
      </c>
      <c r="Q644" t="n">
        <v>3.66</v>
      </c>
      <c r="R644" t="n">
        <v>3.66</v>
      </c>
      <c r="S644">
        <f>IF(OR(G644=0,G644=""),"",ABS((G644-IF($C644="LT",Config!$F$2,Config!$F$14))/IF($C644="LT",Config!$G$2,Config!$G$14)))</f>
        <v/>
      </c>
      <c r="T644">
        <f>IF(OR(H644=0,H644=""),"",ABS((H644-IF($C644="LT",Config!$F$3,Config!$F$15))/IF($C644="LT",Config!$G$3,Config!$G$15)))</f>
        <v/>
      </c>
      <c r="U644">
        <f>IF(OR(I644=0,I644=""),"",ABS((I644-IF($C644="LT",Config!$F$4,Config!$F$16))/IF($C644="LT",Config!$G$4,Config!$G$16)))</f>
        <v/>
      </c>
      <c r="V644">
        <f>IF(OR(J644=0,J644=""),"",ABS((J644-IF($C644="LT",Config!$F$5,Config!$F$17))/IF($C644="LT",Config!$G$5,Config!$G$17)))</f>
        <v/>
      </c>
      <c r="W644">
        <f>IF(OR(K644=0,K644=""),"",ABS((K644-IF($C644="LT",Config!$F$6,Config!$F$18))/IF($C644="LT",Config!$G$6,Config!$G$18)))</f>
        <v/>
      </c>
      <c r="X644">
        <f>IF(OR(L644=0,L644=""),"",ABS((L644-IF($C644="LT",Config!$F$7,Config!$F$19))/IF($C644="LT",Config!$G$7,Config!$G$19)))</f>
        <v/>
      </c>
      <c r="Y644">
        <f>IF(OR(M644=0,M644=""),"",ABS((M644-IF($C644="LT",Config!$F$8,Config!$F$20))/IF($C644="LT",Config!$G$8,Config!$G$20)))</f>
        <v/>
      </c>
      <c r="Z644">
        <f>IF(OR(N644=0,N644=""),"",ABS((N644-IF($C644="LT",Config!$F$9,Config!$F$21))/IF($C644="LT",Config!$G$9,Config!$G$21)))</f>
        <v/>
      </c>
      <c r="AA644">
        <f>IF(OR(O644=0,O644=""),"",ABS((O644-IF($C644="LT",Config!$F$10,Config!$F$22))/IF($C644="LT",Config!$G$10,Config!$G$22)))</f>
        <v/>
      </c>
      <c r="AB644">
        <f>IF(OR(P644=0,P644=""),"",ABS((P644-IF($C644="LT",Config!$F$11,Config!$F$23))/IF($C644="LT",Config!$G$11,Config!$G$23)))</f>
        <v/>
      </c>
      <c r="AC644">
        <f>IF(OR(Q644=0,Q644=""),"",ABS((Q644-IF($C644="LT",Config!$F$12,Config!$F$24))/IF($C644="LT",Config!$G$12,Config!$G$24)))</f>
        <v/>
      </c>
      <c r="AD644">
        <f>IF(OR(R644=0,R644=""),"",ABS((R644-IF($C644="LT",Config!$F$13,Config!$F$25))/IF($C644="LT",Config!$G$13,Config!$G$25)))</f>
        <v/>
      </c>
    </row>
    <row r="645">
      <c r="A645" t="inlineStr">
        <is>
          <t>04D1126121334</t>
        </is>
      </c>
      <c r="B645" t="inlineStr">
        <is>
          <t>CRS0000674</t>
        </is>
      </c>
      <c r="C645" t="inlineStr">
        <is>
          <t>MT</t>
        </is>
      </c>
      <c r="D645" t="inlineStr">
        <is>
          <t>TCX413U-DS1B01</t>
        </is>
      </c>
      <c r="E645" s="2" t="n">
        <v>46123</v>
      </c>
      <c r="F645" t="inlineStr">
        <is>
          <t>Pass</t>
        </is>
      </c>
      <c r="G645" t="n">
        <v>113.7</v>
      </c>
      <c r="H645" t="n">
        <v>78.40000000000001</v>
      </c>
      <c r="I645" t="n">
        <v>-1957.8</v>
      </c>
      <c r="J645" t="n">
        <v>67.7</v>
      </c>
      <c r="K645" t="n">
        <v>0</v>
      </c>
      <c r="L645" t="n">
        <v>0.9</v>
      </c>
      <c r="M645" t="n">
        <v>0</v>
      </c>
      <c r="N645" t="n">
        <v>68.59999999999999</v>
      </c>
      <c r="O645" t="n">
        <v>111.5</v>
      </c>
      <c r="P645" t="n">
        <v>112.96</v>
      </c>
      <c r="Q645" t="n">
        <v>3.88</v>
      </c>
      <c r="R645" t="n">
        <v>3.98</v>
      </c>
      <c r="S645">
        <f>IF(OR(G645=0,G645=""),"",ABS((G645-IF($C645="LT",Config!$F$2,Config!$F$14))/IF($C645="LT",Config!$G$2,Config!$G$14)))</f>
        <v/>
      </c>
      <c r="T645">
        <f>IF(OR(H645=0,H645=""),"",ABS((H645-IF($C645="LT",Config!$F$3,Config!$F$15))/IF($C645="LT",Config!$G$3,Config!$G$15)))</f>
        <v/>
      </c>
      <c r="U645">
        <f>IF(OR(I645=0,I645=""),"",ABS((I645-IF($C645="LT",Config!$F$4,Config!$F$16))/IF($C645="LT",Config!$G$4,Config!$G$16)))</f>
        <v/>
      </c>
      <c r="V645">
        <f>IF(OR(J645=0,J645=""),"",ABS((J645-IF($C645="LT",Config!$F$5,Config!$F$17))/IF($C645="LT",Config!$G$5,Config!$G$17)))</f>
        <v/>
      </c>
      <c r="W645">
        <f>IF(OR(K645=0,K645=""),"",ABS((K645-IF($C645="LT",Config!$F$6,Config!$F$18))/IF($C645="LT",Config!$G$6,Config!$G$18)))</f>
        <v/>
      </c>
      <c r="X645">
        <f>IF(OR(L645=0,L645=""),"",ABS((L645-IF($C645="LT",Config!$F$7,Config!$F$19))/IF($C645="LT",Config!$G$7,Config!$G$19)))</f>
        <v/>
      </c>
      <c r="Y645">
        <f>IF(OR(M645=0,M645=""),"",ABS((M645-IF($C645="LT",Config!$F$8,Config!$F$20))/IF($C645="LT",Config!$G$8,Config!$G$20)))</f>
        <v/>
      </c>
      <c r="Z645">
        <f>IF(OR(N645=0,N645=""),"",ABS((N645-IF($C645="LT",Config!$F$9,Config!$F$21))/IF($C645="LT",Config!$G$9,Config!$G$21)))</f>
        <v/>
      </c>
      <c r="AA645">
        <f>IF(OR(O645=0,O645=""),"",ABS((O645-IF($C645="LT",Config!$F$10,Config!$F$22))/IF($C645="LT",Config!$G$10,Config!$G$22)))</f>
        <v/>
      </c>
      <c r="AB645">
        <f>IF(OR(P645=0,P645=""),"",ABS((P645-IF($C645="LT",Config!$F$11,Config!$F$23))/IF($C645="LT",Config!$G$11,Config!$G$23)))</f>
        <v/>
      </c>
      <c r="AC645">
        <f>IF(OR(Q645=0,Q645=""),"",ABS((Q645-IF($C645="LT",Config!$F$12,Config!$F$24))/IF($C645="LT",Config!$G$12,Config!$G$24)))</f>
        <v/>
      </c>
      <c r="AD645">
        <f>IF(OR(R645=0,R645=""),"",ABS((R645-IF($C645="LT",Config!$F$13,Config!$F$25))/IF($C645="LT",Config!$G$13,Config!$G$25)))</f>
        <v/>
      </c>
    </row>
    <row r="646">
      <c r="A646" t="inlineStr">
        <is>
          <t>04D1126121335</t>
        </is>
      </c>
      <c r="B646" t="inlineStr">
        <is>
          <t>CRS0000674</t>
        </is>
      </c>
      <c r="C646" t="inlineStr">
        <is>
          <t>MT</t>
        </is>
      </c>
      <c r="D646" t="inlineStr">
        <is>
          <t>TCX413U-DS1B01</t>
        </is>
      </c>
      <c r="E646" s="2" t="n">
        <v>46123</v>
      </c>
      <c r="F646" t="inlineStr">
        <is>
          <t>Pass</t>
        </is>
      </c>
      <c r="G646" t="n">
        <v>115.1</v>
      </c>
      <c r="H646" t="n">
        <v>76.59999999999999</v>
      </c>
      <c r="I646" t="n">
        <v>-1957.8</v>
      </c>
      <c r="J646" t="n">
        <v>67.7</v>
      </c>
      <c r="K646" t="n">
        <v>0</v>
      </c>
      <c r="L646" t="n">
        <v>0.8</v>
      </c>
      <c r="M646" t="n">
        <v>0</v>
      </c>
      <c r="N646" t="n">
        <v>68.5</v>
      </c>
      <c r="O646" t="n">
        <v>112.08</v>
      </c>
      <c r="P646" t="n">
        <v>113.4</v>
      </c>
      <c r="Q646" t="n">
        <v>4</v>
      </c>
      <c r="R646" t="n">
        <v>4.03</v>
      </c>
      <c r="S646">
        <f>IF(OR(G646=0,G646=""),"",ABS((G646-IF($C646="LT",Config!$F$2,Config!$F$14))/IF($C646="LT",Config!$G$2,Config!$G$14)))</f>
        <v/>
      </c>
      <c r="T646">
        <f>IF(OR(H646=0,H646=""),"",ABS((H646-IF($C646="LT",Config!$F$3,Config!$F$15))/IF($C646="LT",Config!$G$3,Config!$G$15)))</f>
        <v/>
      </c>
      <c r="U646">
        <f>IF(OR(I646=0,I646=""),"",ABS((I646-IF($C646="LT",Config!$F$4,Config!$F$16))/IF($C646="LT",Config!$G$4,Config!$G$16)))</f>
        <v/>
      </c>
      <c r="V646">
        <f>IF(OR(J646=0,J646=""),"",ABS((J646-IF($C646="LT",Config!$F$5,Config!$F$17))/IF($C646="LT",Config!$G$5,Config!$G$17)))</f>
        <v/>
      </c>
      <c r="W646">
        <f>IF(OR(K646=0,K646=""),"",ABS((K646-IF($C646="LT",Config!$F$6,Config!$F$18))/IF($C646="LT",Config!$G$6,Config!$G$18)))</f>
        <v/>
      </c>
      <c r="X646">
        <f>IF(OR(L646=0,L646=""),"",ABS((L646-IF($C646="LT",Config!$F$7,Config!$F$19))/IF($C646="LT",Config!$G$7,Config!$G$19)))</f>
        <v/>
      </c>
      <c r="Y646">
        <f>IF(OR(M646=0,M646=""),"",ABS((M646-IF($C646="LT",Config!$F$8,Config!$F$20))/IF($C646="LT",Config!$G$8,Config!$G$20)))</f>
        <v/>
      </c>
      <c r="Z646">
        <f>IF(OR(N646=0,N646=""),"",ABS((N646-IF($C646="LT",Config!$F$9,Config!$F$21))/IF($C646="LT",Config!$G$9,Config!$G$21)))</f>
        <v/>
      </c>
      <c r="AA646">
        <f>IF(OR(O646=0,O646=""),"",ABS((O646-IF($C646="LT",Config!$F$10,Config!$F$22))/IF($C646="LT",Config!$G$10,Config!$G$22)))</f>
        <v/>
      </c>
      <c r="AB646">
        <f>IF(OR(P646=0,P646=""),"",ABS((P646-IF($C646="LT",Config!$F$11,Config!$F$23))/IF($C646="LT",Config!$G$11,Config!$G$23)))</f>
        <v/>
      </c>
      <c r="AC646">
        <f>IF(OR(Q646=0,Q646=""),"",ABS((Q646-IF($C646="LT",Config!$F$12,Config!$F$24))/IF($C646="LT",Config!$G$12,Config!$G$24)))</f>
        <v/>
      </c>
      <c r="AD646">
        <f>IF(OR(R646=0,R646=""),"",ABS((R646-IF($C646="LT",Config!$F$13,Config!$F$25))/IF($C646="LT",Config!$G$13,Config!$G$25)))</f>
        <v/>
      </c>
    </row>
    <row r="647">
      <c r="A647" t="inlineStr">
        <is>
          <t>04D1126121336</t>
        </is>
      </c>
      <c r="B647" t="inlineStr">
        <is>
          <t>CRS0000674</t>
        </is>
      </c>
      <c r="C647" t="inlineStr">
        <is>
          <t>MT</t>
        </is>
      </c>
      <c r="D647" t="inlineStr">
        <is>
          <t>TCX413U-DS1B01</t>
        </is>
      </c>
      <c r="E647" s="2" t="n">
        <v>46123</v>
      </c>
      <c r="F647" t="inlineStr">
        <is>
          <t>Fail</t>
        </is>
      </c>
      <c r="G647" t="n">
        <v>112.4</v>
      </c>
      <c r="H647" t="n">
        <v>68.90000000000001</v>
      </c>
      <c r="I647" t="n">
        <v>-1957.8</v>
      </c>
      <c r="J647" t="n">
        <v>67.7</v>
      </c>
      <c r="K647" t="n">
        <v>0</v>
      </c>
      <c r="L647" t="n">
        <v>0.1</v>
      </c>
      <c r="M647" t="n">
        <v>0</v>
      </c>
      <c r="N647" t="n">
        <v>67.8</v>
      </c>
      <c r="O647" t="n">
        <v>111.79</v>
      </c>
      <c r="P647" t="n">
        <v>117.07</v>
      </c>
      <c r="Q647" t="n">
        <v>3.98</v>
      </c>
      <c r="R647" t="n">
        <v>3.98</v>
      </c>
      <c r="S647">
        <f>IF(OR(G647=0,G647=""),"",ABS((G647-IF($C647="LT",Config!$F$2,Config!$F$14))/IF($C647="LT",Config!$G$2,Config!$G$14)))</f>
        <v/>
      </c>
      <c r="T647">
        <f>IF(OR(H647=0,H647=""),"",ABS((H647-IF($C647="LT",Config!$F$3,Config!$F$15))/IF($C647="LT",Config!$G$3,Config!$G$15)))</f>
        <v/>
      </c>
      <c r="U647">
        <f>IF(OR(I647=0,I647=""),"",ABS((I647-IF($C647="LT",Config!$F$4,Config!$F$16))/IF($C647="LT",Config!$G$4,Config!$G$16)))</f>
        <v/>
      </c>
      <c r="V647">
        <f>IF(OR(J647=0,J647=""),"",ABS((J647-IF($C647="LT",Config!$F$5,Config!$F$17))/IF($C647="LT",Config!$G$5,Config!$G$17)))</f>
        <v/>
      </c>
      <c r="W647">
        <f>IF(OR(K647=0,K647=""),"",ABS((K647-IF($C647="LT",Config!$F$6,Config!$F$18))/IF($C647="LT",Config!$G$6,Config!$G$18)))</f>
        <v/>
      </c>
      <c r="X647">
        <f>IF(OR(L647=0,L647=""),"",ABS((L647-IF($C647="LT",Config!$F$7,Config!$F$19))/IF($C647="LT",Config!$G$7,Config!$G$19)))</f>
        <v/>
      </c>
      <c r="Y647">
        <f>IF(OR(M647=0,M647=""),"",ABS((M647-IF($C647="LT",Config!$F$8,Config!$F$20))/IF($C647="LT",Config!$G$8,Config!$G$20)))</f>
        <v/>
      </c>
      <c r="Z647">
        <f>IF(OR(N647=0,N647=""),"",ABS((N647-IF($C647="LT",Config!$F$9,Config!$F$21))/IF($C647="LT",Config!$G$9,Config!$G$21)))</f>
        <v/>
      </c>
      <c r="AA647">
        <f>IF(OR(O647=0,O647=""),"",ABS((O647-IF($C647="LT",Config!$F$10,Config!$F$22))/IF($C647="LT",Config!$G$10,Config!$G$22)))</f>
        <v/>
      </c>
      <c r="AB647">
        <f>IF(OR(P647=0,P647=""),"",ABS((P647-IF($C647="LT",Config!$F$11,Config!$F$23))/IF($C647="LT",Config!$G$11,Config!$G$23)))</f>
        <v/>
      </c>
      <c r="AC647">
        <f>IF(OR(Q647=0,Q647=""),"",ABS((Q647-IF($C647="LT",Config!$F$12,Config!$F$24))/IF($C647="LT",Config!$G$12,Config!$G$24)))</f>
        <v/>
      </c>
      <c r="AD647">
        <f>IF(OR(R647=0,R647=""),"",ABS((R647-IF($C647="LT",Config!$F$13,Config!$F$25))/IF($C647="LT",Config!$G$13,Config!$G$25)))</f>
        <v/>
      </c>
    </row>
    <row r="648">
      <c r="A648" t="inlineStr">
        <is>
          <t>04D1126121336</t>
        </is>
      </c>
      <c r="B648" t="inlineStr">
        <is>
          <t>CRS0000674</t>
        </is>
      </c>
      <c r="C648" t="inlineStr">
        <is>
          <t>MT</t>
        </is>
      </c>
      <c r="D648" t="inlineStr">
        <is>
          <t>TCX413U-DS1B01</t>
        </is>
      </c>
      <c r="E648" s="2" t="n">
        <v>46123</v>
      </c>
      <c r="F648" t="inlineStr">
        <is>
          <t>Pass</t>
        </is>
      </c>
      <c r="G648" t="n">
        <v>117.3</v>
      </c>
      <c r="H648" t="n">
        <v>76.09999999999999</v>
      </c>
      <c r="I648" t="n">
        <v>-1957.8</v>
      </c>
      <c r="J648" t="n">
        <v>67.7</v>
      </c>
      <c r="K648" t="n">
        <v>0</v>
      </c>
      <c r="L648" t="n">
        <v>0.8</v>
      </c>
      <c r="M648" t="n">
        <v>0</v>
      </c>
      <c r="N648" t="n">
        <v>68.5</v>
      </c>
      <c r="O648" t="n">
        <v>115.38</v>
      </c>
      <c r="P648" t="n">
        <v>115.6</v>
      </c>
      <c r="Q648" t="n">
        <v>4</v>
      </c>
      <c r="R648" t="n">
        <v>3.93</v>
      </c>
      <c r="S648">
        <f>IF(OR(G648=0,G648=""),"",ABS((G648-IF($C648="LT",Config!$F$2,Config!$F$14))/IF($C648="LT",Config!$G$2,Config!$G$14)))</f>
        <v/>
      </c>
      <c r="T648">
        <f>IF(OR(H648=0,H648=""),"",ABS((H648-IF($C648="LT",Config!$F$3,Config!$F$15))/IF($C648="LT",Config!$G$3,Config!$G$15)))</f>
        <v/>
      </c>
      <c r="U648">
        <f>IF(OR(I648=0,I648=""),"",ABS((I648-IF($C648="LT",Config!$F$4,Config!$F$16))/IF($C648="LT",Config!$G$4,Config!$G$16)))</f>
        <v/>
      </c>
      <c r="V648">
        <f>IF(OR(J648=0,J648=""),"",ABS((J648-IF($C648="LT",Config!$F$5,Config!$F$17))/IF($C648="LT",Config!$G$5,Config!$G$17)))</f>
        <v/>
      </c>
      <c r="W648">
        <f>IF(OR(K648=0,K648=""),"",ABS((K648-IF($C648="LT",Config!$F$6,Config!$F$18))/IF($C648="LT",Config!$G$6,Config!$G$18)))</f>
        <v/>
      </c>
      <c r="X648">
        <f>IF(OR(L648=0,L648=""),"",ABS((L648-IF($C648="LT",Config!$F$7,Config!$F$19))/IF($C648="LT",Config!$G$7,Config!$G$19)))</f>
        <v/>
      </c>
      <c r="Y648">
        <f>IF(OR(M648=0,M648=""),"",ABS((M648-IF($C648="LT",Config!$F$8,Config!$F$20))/IF($C648="LT",Config!$G$8,Config!$G$20)))</f>
        <v/>
      </c>
      <c r="Z648">
        <f>IF(OR(N648=0,N648=""),"",ABS((N648-IF($C648="LT",Config!$F$9,Config!$F$21))/IF($C648="LT",Config!$G$9,Config!$G$21)))</f>
        <v/>
      </c>
      <c r="AA648">
        <f>IF(OR(O648=0,O648=""),"",ABS((O648-IF($C648="LT",Config!$F$10,Config!$F$22))/IF($C648="LT",Config!$G$10,Config!$G$22)))</f>
        <v/>
      </c>
      <c r="AB648">
        <f>IF(OR(P648=0,P648=""),"",ABS((P648-IF($C648="LT",Config!$F$11,Config!$F$23))/IF($C648="LT",Config!$G$11,Config!$G$23)))</f>
        <v/>
      </c>
      <c r="AC648">
        <f>IF(OR(Q648=0,Q648=""),"",ABS((Q648-IF($C648="LT",Config!$F$12,Config!$F$24))/IF($C648="LT",Config!$G$12,Config!$G$24)))</f>
        <v/>
      </c>
      <c r="AD648">
        <f>IF(OR(R648=0,R648=""),"",ABS((R648-IF($C648="LT",Config!$F$13,Config!$F$25))/IF($C648="LT",Config!$G$13,Config!$G$25)))</f>
        <v/>
      </c>
    </row>
    <row r="649">
      <c r="A649" t="inlineStr">
        <is>
          <t>04D1126121337</t>
        </is>
      </c>
      <c r="B649" t="inlineStr">
        <is>
          <t>CRS0000674</t>
        </is>
      </c>
      <c r="C649" t="inlineStr">
        <is>
          <t>MT</t>
        </is>
      </c>
      <c r="D649" t="inlineStr">
        <is>
          <t>TCX413U-DS1B01</t>
        </is>
      </c>
      <c r="E649" s="2" t="n">
        <v>46123</v>
      </c>
      <c r="F649" t="inlineStr">
        <is>
          <t>Pass</t>
        </is>
      </c>
      <c r="G649" t="n">
        <v>115.5</v>
      </c>
      <c r="H649" t="n">
        <v>79.8</v>
      </c>
      <c r="I649" t="n">
        <v>-1957.8</v>
      </c>
      <c r="J649" t="n">
        <v>67.7</v>
      </c>
      <c r="K649" t="n">
        <v>0</v>
      </c>
      <c r="L649" t="n">
        <v>0.1</v>
      </c>
      <c r="M649" t="n">
        <v>0</v>
      </c>
      <c r="N649" t="n">
        <v>67.8</v>
      </c>
      <c r="O649" t="n">
        <v>115.09</v>
      </c>
      <c r="P649" t="n">
        <v>115.16</v>
      </c>
      <c r="Q649" t="n">
        <v>3.86</v>
      </c>
      <c r="R649" t="n">
        <v>3.98</v>
      </c>
      <c r="S649">
        <f>IF(OR(G649=0,G649=""),"",ABS((G649-IF($C649="LT",Config!$F$2,Config!$F$14))/IF($C649="LT",Config!$G$2,Config!$G$14)))</f>
        <v/>
      </c>
      <c r="T649">
        <f>IF(OR(H649=0,H649=""),"",ABS((H649-IF($C649="LT",Config!$F$3,Config!$F$15))/IF($C649="LT",Config!$G$3,Config!$G$15)))</f>
        <v/>
      </c>
      <c r="U649">
        <f>IF(OR(I649=0,I649=""),"",ABS((I649-IF($C649="LT",Config!$F$4,Config!$F$16))/IF($C649="LT",Config!$G$4,Config!$G$16)))</f>
        <v/>
      </c>
      <c r="V649">
        <f>IF(OR(J649=0,J649=""),"",ABS((J649-IF($C649="LT",Config!$F$5,Config!$F$17))/IF($C649="LT",Config!$G$5,Config!$G$17)))</f>
        <v/>
      </c>
      <c r="W649">
        <f>IF(OR(K649=0,K649=""),"",ABS((K649-IF($C649="LT",Config!$F$6,Config!$F$18))/IF($C649="LT",Config!$G$6,Config!$G$18)))</f>
        <v/>
      </c>
      <c r="X649">
        <f>IF(OR(L649=0,L649=""),"",ABS((L649-IF($C649="LT",Config!$F$7,Config!$F$19))/IF($C649="LT",Config!$G$7,Config!$G$19)))</f>
        <v/>
      </c>
      <c r="Y649">
        <f>IF(OR(M649=0,M649=""),"",ABS((M649-IF($C649="LT",Config!$F$8,Config!$F$20))/IF($C649="LT",Config!$G$8,Config!$G$20)))</f>
        <v/>
      </c>
      <c r="Z649">
        <f>IF(OR(N649=0,N649=""),"",ABS((N649-IF($C649="LT",Config!$F$9,Config!$F$21))/IF($C649="LT",Config!$G$9,Config!$G$21)))</f>
        <v/>
      </c>
      <c r="AA649">
        <f>IF(OR(O649=0,O649=""),"",ABS((O649-IF($C649="LT",Config!$F$10,Config!$F$22))/IF($C649="LT",Config!$G$10,Config!$G$22)))</f>
        <v/>
      </c>
      <c r="AB649">
        <f>IF(OR(P649=0,P649=""),"",ABS((P649-IF($C649="LT",Config!$F$11,Config!$F$23))/IF($C649="LT",Config!$G$11,Config!$G$23)))</f>
        <v/>
      </c>
      <c r="AC649">
        <f>IF(OR(Q649=0,Q649=""),"",ABS((Q649-IF($C649="LT",Config!$F$12,Config!$F$24))/IF($C649="LT",Config!$G$12,Config!$G$24)))</f>
        <v/>
      </c>
      <c r="AD649">
        <f>IF(OR(R649=0,R649=""),"",ABS((R649-IF($C649="LT",Config!$F$13,Config!$F$25))/IF($C649="LT",Config!$G$13,Config!$G$25)))</f>
        <v/>
      </c>
    </row>
    <row r="650">
      <c r="A650" t="inlineStr">
        <is>
          <t>04D1126121338</t>
        </is>
      </c>
      <c r="B650" t="inlineStr">
        <is>
          <t>CRS0000675</t>
        </is>
      </c>
      <c r="C650" t="inlineStr">
        <is>
          <t>LT</t>
        </is>
      </c>
      <c r="D650" t="inlineStr">
        <is>
          <t>ALX440U-DS3B01</t>
        </is>
      </c>
      <c r="E650" s="2" t="n">
        <v>46123</v>
      </c>
      <c r="F650" t="inlineStr">
        <is>
          <t>Pass</t>
        </is>
      </c>
      <c r="G650" t="n">
        <v>145.5</v>
      </c>
      <c r="H650" t="n">
        <v>97.8</v>
      </c>
      <c r="I650" t="n">
        <v>-1957.8</v>
      </c>
      <c r="J650" t="n">
        <v>67.7</v>
      </c>
      <c r="K650" t="n">
        <v>0</v>
      </c>
      <c r="L650" t="n">
        <v>0.6</v>
      </c>
      <c r="M650" t="n">
        <v>0</v>
      </c>
      <c r="N650" t="n">
        <v>68.3</v>
      </c>
      <c r="O650" t="n">
        <v>111.72</v>
      </c>
      <c r="P650" t="n">
        <v>117.8</v>
      </c>
      <c r="Q650" t="n">
        <v>8.06</v>
      </c>
      <c r="R650" t="n">
        <v>7.57</v>
      </c>
      <c r="S650">
        <f>IF(OR(G650=0,G650=""),"",ABS((G650-IF($C650="LT",Config!$F$2,Config!$F$14))/IF($C650="LT",Config!$G$2,Config!$G$14)))</f>
        <v/>
      </c>
      <c r="T650">
        <f>IF(OR(H650=0,H650=""),"",ABS((H650-IF($C650="LT",Config!$F$3,Config!$F$15))/IF($C650="LT",Config!$G$3,Config!$G$15)))</f>
        <v/>
      </c>
      <c r="U650">
        <f>IF(OR(I650=0,I650=""),"",ABS((I650-IF($C650="LT",Config!$F$4,Config!$F$16))/IF($C650="LT",Config!$G$4,Config!$G$16)))</f>
        <v/>
      </c>
      <c r="V650">
        <f>IF(OR(J650=0,J650=""),"",ABS((J650-IF($C650="LT",Config!$F$5,Config!$F$17))/IF($C650="LT",Config!$G$5,Config!$G$17)))</f>
        <v/>
      </c>
      <c r="W650">
        <f>IF(OR(K650=0,K650=""),"",ABS((K650-IF($C650="LT",Config!$F$6,Config!$F$18))/IF($C650="LT",Config!$G$6,Config!$G$18)))</f>
        <v/>
      </c>
      <c r="X650">
        <f>IF(OR(L650=0,L650=""),"",ABS((L650-IF($C650="LT",Config!$F$7,Config!$F$19))/IF($C650="LT",Config!$G$7,Config!$G$19)))</f>
        <v/>
      </c>
      <c r="Y650">
        <f>IF(OR(M650=0,M650=""),"",ABS((M650-IF($C650="LT",Config!$F$8,Config!$F$20))/IF($C650="LT",Config!$G$8,Config!$G$20)))</f>
        <v/>
      </c>
      <c r="Z650">
        <f>IF(OR(N650=0,N650=""),"",ABS((N650-IF($C650="LT",Config!$F$9,Config!$F$21))/IF($C650="LT",Config!$G$9,Config!$G$21)))</f>
        <v/>
      </c>
      <c r="AA650">
        <f>IF(OR(O650=0,O650=""),"",ABS((O650-IF($C650="LT",Config!$F$10,Config!$F$22))/IF($C650="LT",Config!$G$10,Config!$G$22)))</f>
        <v/>
      </c>
      <c r="AB650">
        <f>IF(OR(P650=0,P650=""),"",ABS((P650-IF($C650="LT",Config!$F$11,Config!$F$23))/IF($C650="LT",Config!$G$11,Config!$G$23)))</f>
        <v/>
      </c>
      <c r="AC650">
        <f>IF(OR(Q650=0,Q650=""),"",ABS((Q650-IF($C650="LT",Config!$F$12,Config!$F$24))/IF($C650="LT",Config!$G$12,Config!$G$24)))</f>
        <v/>
      </c>
      <c r="AD650">
        <f>IF(OR(R650=0,R650=""),"",ABS((R650-IF($C650="LT",Config!$F$13,Config!$F$25))/IF($C650="LT",Config!$G$13,Config!$G$25)))</f>
        <v/>
      </c>
    </row>
    <row r="651">
      <c r="A651" t="inlineStr">
        <is>
          <t>04C1026120889</t>
        </is>
      </c>
      <c r="B651" t="inlineStr">
        <is>
          <t>CRS0000675</t>
        </is>
      </c>
      <c r="C651" t="inlineStr">
        <is>
          <t>LT</t>
        </is>
      </c>
      <c r="D651" t="inlineStr">
        <is>
          <t>ALX440U-DS3B01</t>
        </is>
      </c>
      <c r="E651" s="2" t="n">
        <v>46125</v>
      </c>
      <c r="F651" t="inlineStr">
        <is>
          <t>Fail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>
        <f>IF(OR(G651=0,G651=""),"",ABS((G651-IF($C651="LT",Config!$F$2,Config!$F$14))/IF($C651="LT",Config!$G$2,Config!$G$14)))</f>
        <v/>
      </c>
      <c r="T651">
        <f>IF(OR(H651=0,H651=""),"",ABS((H651-IF($C651="LT",Config!$F$3,Config!$F$15))/IF($C651="LT",Config!$G$3,Config!$G$15)))</f>
        <v/>
      </c>
      <c r="U651">
        <f>IF(OR(I651=0,I651=""),"",ABS((I651-IF($C651="LT",Config!$F$4,Config!$F$16))/IF($C651="LT",Config!$G$4,Config!$G$16)))</f>
        <v/>
      </c>
      <c r="V651">
        <f>IF(OR(J651=0,J651=""),"",ABS((J651-IF($C651="LT",Config!$F$5,Config!$F$17))/IF($C651="LT",Config!$G$5,Config!$G$17)))</f>
        <v/>
      </c>
      <c r="W651">
        <f>IF(OR(K651=0,K651=""),"",ABS((K651-IF($C651="LT",Config!$F$6,Config!$F$18))/IF($C651="LT",Config!$G$6,Config!$G$18)))</f>
        <v/>
      </c>
      <c r="X651">
        <f>IF(OR(L651=0,L651=""),"",ABS((L651-IF($C651="LT",Config!$F$7,Config!$F$19))/IF($C651="LT",Config!$G$7,Config!$G$19)))</f>
        <v/>
      </c>
      <c r="Y651">
        <f>IF(OR(M651=0,M651=""),"",ABS((M651-IF($C651="LT",Config!$F$8,Config!$F$20))/IF($C651="LT",Config!$G$8,Config!$G$20)))</f>
        <v/>
      </c>
      <c r="Z651">
        <f>IF(OR(N651=0,N651=""),"",ABS((N651-IF($C651="LT",Config!$F$9,Config!$F$21))/IF($C651="LT",Config!$G$9,Config!$G$21)))</f>
        <v/>
      </c>
      <c r="AA651">
        <f>IF(OR(O651=0,O651=""),"",ABS((O651-IF($C651="LT",Config!$F$10,Config!$F$22))/IF($C651="LT",Config!$G$10,Config!$G$22)))</f>
        <v/>
      </c>
      <c r="AB651">
        <f>IF(OR(P651=0,P651=""),"",ABS((P651-IF($C651="LT",Config!$F$11,Config!$F$23))/IF($C651="LT",Config!$G$11,Config!$G$23)))</f>
        <v/>
      </c>
      <c r="AC651">
        <f>IF(OR(Q651=0,Q651=""),"",ABS((Q651-IF($C651="LT",Config!$F$12,Config!$F$24))/IF($C651="LT",Config!$G$12,Config!$G$24)))</f>
        <v/>
      </c>
      <c r="AD651">
        <f>IF(OR(R651=0,R651=""),"",ABS((R651-IF($C651="LT",Config!$F$13,Config!$F$25))/IF($C651="LT",Config!$G$13,Config!$G$25)))</f>
        <v/>
      </c>
    </row>
    <row r="652">
      <c r="A652" t="inlineStr">
        <is>
          <t>04D1126121339</t>
        </is>
      </c>
      <c r="B652" t="inlineStr">
        <is>
          <t>CRS0000675</t>
        </is>
      </c>
      <c r="C652" t="inlineStr">
        <is>
          <t>LT</t>
        </is>
      </c>
      <c r="D652" t="inlineStr">
        <is>
          <t>ALX440U-DS3B01</t>
        </is>
      </c>
      <c r="E652" s="2" t="n">
        <v>46125</v>
      </c>
      <c r="F652" t="inlineStr">
        <is>
          <t>Pass</t>
        </is>
      </c>
      <c r="G652" t="n">
        <v>158</v>
      </c>
      <c r="H652" t="n">
        <v>93.3</v>
      </c>
      <c r="I652" t="n">
        <v>-1957.8</v>
      </c>
      <c r="J652" t="n">
        <v>67.3</v>
      </c>
      <c r="K652" t="n">
        <v>0</v>
      </c>
      <c r="L652" t="n">
        <v>0.6</v>
      </c>
      <c r="M652" t="n">
        <v>0</v>
      </c>
      <c r="N652" t="n">
        <v>67.90000000000001</v>
      </c>
      <c r="O652" t="n">
        <v>112.01</v>
      </c>
      <c r="P652" t="n">
        <v>113.26</v>
      </c>
      <c r="Q652" t="n">
        <v>7.15</v>
      </c>
      <c r="R652" t="n">
        <v>7.62</v>
      </c>
      <c r="S652">
        <f>IF(OR(G652=0,G652=""),"",ABS((G652-IF($C652="LT",Config!$F$2,Config!$F$14))/IF($C652="LT",Config!$G$2,Config!$G$14)))</f>
        <v/>
      </c>
      <c r="T652">
        <f>IF(OR(H652=0,H652=""),"",ABS((H652-IF($C652="LT",Config!$F$3,Config!$F$15))/IF($C652="LT",Config!$G$3,Config!$G$15)))</f>
        <v/>
      </c>
      <c r="U652">
        <f>IF(OR(I652=0,I652=""),"",ABS((I652-IF($C652="LT",Config!$F$4,Config!$F$16))/IF($C652="LT",Config!$G$4,Config!$G$16)))</f>
        <v/>
      </c>
      <c r="V652">
        <f>IF(OR(J652=0,J652=""),"",ABS((J652-IF($C652="LT",Config!$F$5,Config!$F$17))/IF($C652="LT",Config!$G$5,Config!$G$17)))</f>
        <v/>
      </c>
      <c r="W652">
        <f>IF(OR(K652=0,K652=""),"",ABS((K652-IF($C652="LT",Config!$F$6,Config!$F$18))/IF($C652="LT",Config!$G$6,Config!$G$18)))</f>
        <v/>
      </c>
      <c r="X652">
        <f>IF(OR(L652=0,L652=""),"",ABS((L652-IF($C652="LT",Config!$F$7,Config!$F$19))/IF($C652="LT",Config!$G$7,Config!$G$19)))</f>
        <v/>
      </c>
      <c r="Y652">
        <f>IF(OR(M652=0,M652=""),"",ABS((M652-IF($C652="LT",Config!$F$8,Config!$F$20))/IF($C652="LT",Config!$G$8,Config!$G$20)))</f>
        <v/>
      </c>
      <c r="Z652">
        <f>IF(OR(N652=0,N652=""),"",ABS((N652-IF($C652="LT",Config!$F$9,Config!$F$21))/IF($C652="LT",Config!$G$9,Config!$G$21)))</f>
        <v/>
      </c>
      <c r="AA652">
        <f>IF(OR(O652=0,O652=""),"",ABS((O652-IF($C652="LT",Config!$F$10,Config!$F$22))/IF($C652="LT",Config!$G$10,Config!$G$22)))</f>
        <v/>
      </c>
      <c r="AB652">
        <f>IF(OR(P652=0,P652=""),"",ABS((P652-IF($C652="LT",Config!$F$11,Config!$F$23))/IF($C652="LT",Config!$G$11,Config!$G$23)))</f>
        <v/>
      </c>
      <c r="AC652">
        <f>IF(OR(Q652=0,Q652=""),"",ABS((Q652-IF($C652="LT",Config!$F$12,Config!$F$24))/IF($C652="LT",Config!$G$12,Config!$G$24)))</f>
        <v/>
      </c>
      <c r="AD652">
        <f>IF(OR(R652=0,R652=""),"",ABS((R652-IF($C652="LT",Config!$F$13,Config!$F$25))/IF($C652="LT",Config!$G$13,Config!$G$25)))</f>
        <v/>
      </c>
    </row>
    <row r="653">
      <c r="A653" t="inlineStr">
        <is>
          <t>04D1126121340</t>
        </is>
      </c>
      <c r="B653" t="inlineStr">
        <is>
          <t>CRS0000675</t>
        </is>
      </c>
      <c r="C653" t="inlineStr">
        <is>
          <t>LT</t>
        </is>
      </c>
      <c r="D653" t="inlineStr">
        <is>
          <t>ALX440U-DS3B01</t>
        </is>
      </c>
      <c r="E653" s="2" t="n">
        <v>46125</v>
      </c>
      <c r="F653" t="inlineStr">
        <is>
          <t>Pass</t>
        </is>
      </c>
      <c r="G653" t="n">
        <v>153.9</v>
      </c>
      <c r="H653" t="n">
        <v>94.2</v>
      </c>
      <c r="I653" t="n">
        <v>-1957.8</v>
      </c>
      <c r="J653" t="n">
        <v>67.7</v>
      </c>
      <c r="K653" t="n">
        <v>0</v>
      </c>
      <c r="L653" t="n">
        <v>0.6</v>
      </c>
      <c r="M653" t="n">
        <v>0</v>
      </c>
      <c r="N653" t="n">
        <v>68.3</v>
      </c>
      <c r="O653" t="n">
        <v>115.09</v>
      </c>
      <c r="P653" t="n">
        <v>115.16</v>
      </c>
      <c r="Q653" t="n">
        <v>8.369999999999999</v>
      </c>
      <c r="R653" t="n">
        <v>8.06</v>
      </c>
      <c r="S653">
        <f>IF(OR(G653=0,G653=""),"",ABS((G653-IF($C653="LT",Config!$F$2,Config!$F$14))/IF($C653="LT",Config!$G$2,Config!$G$14)))</f>
        <v/>
      </c>
      <c r="T653">
        <f>IF(OR(H653=0,H653=""),"",ABS((H653-IF($C653="LT",Config!$F$3,Config!$F$15))/IF($C653="LT",Config!$G$3,Config!$G$15)))</f>
        <v/>
      </c>
      <c r="U653">
        <f>IF(OR(I653=0,I653=""),"",ABS((I653-IF($C653="LT",Config!$F$4,Config!$F$16))/IF($C653="LT",Config!$G$4,Config!$G$16)))</f>
        <v/>
      </c>
      <c r="V653">
        <f>IF(OR(J653=0,J653=""),"",ABS((J653-IF($C653="LT",Config!$F$5,Config!$F$17))/IF($C653="LT",Config!$G$5,Config!$G$17)))</f>
        <v/>
      </c>
      <c r="W653">
        <f>IF(OR(K653=0,K653=""),"",ABS((K653-IF($C653="LT",Config!$F$6,Config!$F$18))/IF($C653="LT",Config!$G$6,Config!$G$18)))</f>
        <v/>
      </c>
      <c r="X653">
        <f>IF(OR(L653=0,L653=""),"",ABS((L653-IF($C653="LT",Config!$F$7,Config!$F$19))/IF($C653="LT",Config!$G$7,Config!$G$19)))</f>
        <v/>
      </c>
      <c r="Y653">
        <f>IF(OR(M653=0,M653=""),"",ABS((M653-IF($C653="LT",Config!$F$8,Config!$F$20))/IF($C653="LT",Config!$G$8,Config!$G$20)))</f>
        <v/>
      </c>
      <c r="Z653">
        <f>IF(OR(N653=0,N653=""),"",ABS((N653-IF($C653="LT",Config!$F$9,Config!$F$21))/IF($C653="LT",Config!$G$9,Config!$G$21)))</f>
        <v/>
      </c>
      <c r="AA653">
        <f>IF(OR(O653=0,O653=""),"",ABS((O653-IF($C653="LT",Config!$F$10,Config!$F$22))/IF($C653="LT",Config!$G$10,Config!$G$22)))</f>
        <v/>
      </c>
      <c r="AB653">
        <f>IF(OR(P653=0,P653=""),"",ABS((P653-IF($C653="LT",Config!$F$11,Config!$F$23))/IF($C653="LT",Config!$G$11,Config!$G$23)))</f>
        <v/>
      </c>
      <c r="AC653">
        <f>IF(OR(Q653=0,Q653=""),"",ABS((Q653-IF($C653="LT",Config!$F$12,Config!$F$24))/IF($C653="LT",Config!$G$12,Config!$G$24)))</f>
        <v/>
      </c>
      <c r="AD653">
        <f>IF(OR(R653=0,R653=""),"",ABS((R653-IF($C653="LT",Config!$F$13,Config!$F$25))/IF($C653="LT",Config!$G$13,Config!$G$25)))</f>
        <v/>
      </c>
    </row>
    <row r="654">
      <c r="A654" t="inlineStr">
        <is>
          <t>04D1126121342</t>
        </is>
      </c>
      <c r="B654" t="inlineStr">
        <is>
          <t>CRS0000675</t>
        </is>
      </c>
      <c r="C654" t="inlineStr">
        <is>
          <t>LT</t>
        </is>
      </c>
      <c r="D654" t="inlineStr">
        <is>
          <t>ALX440U-DS3B01</t>
        </is>
      </c>
      <c r="E654" s="2" t="n">
        <v>46125</v>
      </c>
      <c r="F654" t="inlineStr">
        <is>
          <t>Fail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>
        <f>IF(OR(G654=0,G654=""),"",ABS((G654-IF($C654="LT",Config!$F$2,Config!$F$14))/IF($C654="LT",Config!$G$2,Config!$G$14)))</f>
        <v/>
      </c>
      <c r="T654">
        <f>IF(OR(H654=0,H654=""),"",ABS((H654-IF($C654="LT",Config!$F$3,Config!$F$15))/IF($C654="LT",Config!$G$3,Config!$G$15)))</f>
        <v/>
      </c>
      <c r="U654">
        <f>IF(OR(I654=0,I654=""),"",ABS((I654-IF($C654="LT",Config!$F$4,Config!$F$16))/IF($C654="LT",Config!$G$4,Config!$G$16)))</f>
        <v/>
      </c>
      <c r="V654">
        <f>IF(OR(J654=0,J654=""),"",ABS((J654-IF($C654="LT",Config!$F$5,Config!$F$17))/IF($C654="LT",Config!$G$5,Config!$G$17)))</f>
        <v/>
      </c>
      <c r="W654">
        <f>IF(OR(K654=0,K654=""),"",ABS((K654-IF($C654="LT",Config!$F$6,Config!$F$18))/IF($C654="LT",Config!$G$6,Config!$G$18)))</f>
        <v/>
      </c>
      <c r="X654">
        <f>IF(OR(L654=0,L654=""),"",ABS((L654-IF($C654="LT",Config!$F$7,Config!$F$19))/IF($C654="LT",Config!$G$7,Config!$G$19)))</f>
        <v/>
      </c>
      <c r="Y654">
        <f>IF(OR(M654=0,M654=""),"",ABS((M654-IF($C654="LT",Config!$F$8,Config!$F$20))/IF($C654="LT",Config!$G$8,Config!$G$20)))</f>
        <v/>
      </c>
      <c r="Z654">
        <f>IF(OR(N654=0,N654=""),"",ABS((N654-IF($C654="LT",Config!$F$9,Config!$F$21))/IF($C654="LT",Config!$G$9,Config!$G$21)))</f>
        <v/>
      </c>
      <c r="AA654">
        <f>IF(OR(O654=0,O654=""),"",ABS((O654-IF($C654="LT",Config!$F$10,Config!$F$22))/IF($C654="LT",Config!$G$10,Config!$G$22)))</f>
        <v/>
      </c>
      <c r="AB654">
        <f>IF(OR(P654=0,P654=""),"",ABS((P654-IF($C654="LT",Config!$F$11,Config!$F$23))/IF($C654="LT",Config!$G$11,Config!$G$23)))</f>
        <v/>
      </c>
      <c r="AC654">
        <f>IF(OR(Q654=0,Q654=""),"",ABS((Q654-IF($C654="LT",Config!$F$12,Config!$F$24))/IF($C654="LT",Config!$G$12,Config!$G$24)))</f>
        <v/>
      </c>
      <c r="AD654">
        <f>IF(OR(R654=0,R654=""),"",ABS((R654-IF($C654="LT",Config!$F$13,Config!$F$25))/IF($C654="LT",Config!$G$13,Config!$G$25)))</f>
        <v/>
      </c>
    </row>
    <row r="655">
      <c r="A655" t="inlineStr">
        <is>
          <t>04D1126121342</t>
        </is>
      </c>
      <c r="B655" t="inlineStr">
        <is>
          <t>CRS0000675</t>
        </is>
      </c>
      <c r="C655" t="inlineStr">
        <is>
          <t>LT</t>
        </is>
      </c>
      <c r="D655" t="inlineStr">
        <is>
          <t>ALX440U-DS3B01</t>
        </is>
      </c>
      <c r="E655" s="2" t="n">
        <v>46125</v>
      </c>
      <c r="F655" t="inlineStr">
        <is>
          <t>Fail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>
        <f>IF(OR(G655=0,G655=""),"",ABS((G655-IF($C655="LT",Config!$F$2,Config!$F$14))/IF($C655="LT",Config!$G$2,Config!$G$14)))</f>
        <v/>
      </c>
      <c r="T655">
        <f>IF(OR(H655=0,H655=""),"",ABS((H655-IF($C655="LT",Config!$F$3,Config!$F$15))/IF($C655="LT",Config!$G$3,Config!$G$15)))</f>
        <v/>
      </c>
      <c r="U655">
        <f>IF(OR(I655=0,I655=""),"",ABS((I655-IF($C655="LT",Config!$F$4,Config!$F$16))/IF($C655="LT",Config!$G$4,Config!$G$16)))</f>
        <v/>
      </c>
      <c r="V655">
        <f>IF(OR(J655=0,J655=""),"",ABS((J655-IF($C655="LT",Config!$F$5,Config!$F$17))/IF($C655="LT",Config!$G$5,Config!$G$17)))</f>
        <v/>
      </c>
      <c r="W655">
        <f>IF(OR(K655=0,K655=""),"",ABS((K655-IF($C655="LT",Config!$F$6,Config!$F$18))/IF($C655="LT",Config!$G$6,Config!$G$18)))</f>
        <v/>
      </c>
      <c r="X655">
        <f>IF(OR(L655=0,L655=""),"",ABS((L655-IF($C655="LT",Config!$F$7,Config!$F$19))/IF($C655="LT",Config!$G$7,Config!$G$19)))</f>
        <v/>
      </c>
      <c r="Y655">
        <f>IF(OR(M655=0,M655=""),"",ABS((M655-IF($C655="LT",Config!$F$8,Config!$F$20))/IF($C655="LT",Config!$G$8,Config!$G$20)))</f>
        <v/>
      </c>
      <c r="Z655">
        <f>IF(OR(N655=0,N655=""),"",ABS((N655-IF($C655="LT",Config!$F$9,Config!$F$21))/IF($C655="LT",Config!$G$9,Config!$G$21)))</f>
        <v/>
      </c>
      <c r="AA655">
        <f>IF(OR(O655=0,O655=""),"",ABS((O655-IF($C655="LT",Config!$F$10,Config!$F$22))/IF($C655="LT",Config!$G$10,Config!$G$22)))</f>
        <v/>
      </c>
      <c r="AB655">
        <f>IF(OR(P655=0,P655=""),"",ABS((P655-IF($C655="LT",Config!$F$11,Config!$F$23))/IF($C655="LT",Config!$G$11,Config!$G$23)))</f>
        <v/>
      </c>
      <c r="AC655">
        <f>IF(OR(Q655=0,Q655=""),"",ABS((Q655-IF($C655="LT",Config!$F$12,Config!$F$24))/IF($C655="LT",Config!$G$12,Config!$G$24)))</f>
        <v/>
      </c>
      <c r="AD655">
        <f>IF(OR(R655=0,R655=""),"",ABS((R655-IF($C655="LT",Config!$F$13,Config!$F$25))/IF($C655="LT",Config!$G$13,Config!$G$25)))</f>
        <v/>
      </c>
    </row>
    <row r="656">
      <c r="A656" t="inlineStr">
        <is>
          <t>04D1126121342</t>
        </is>
      </c>
      <c r="B656" t="inlineStr">
        <is>
          <t>CRS0000675</t>
        </is>
      </c>
      <c r="C656" t="inlineStr">
        <is>
          <t>LT</t>
        </is>
      </c>
      <c r="D656" t="inlineStr">
        <is>
          <t>ALX440U-DS3B01</t>
        </is>
      </c>
      <c r="E656" s="2" t="n">
        <v>46125</v>
      </c>
      <c r="F656" t="inlineStr">
        <is>
          <t>Fail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>
        <f>IF(OR(G656=0,G656=""),"",ABS((G656-IF($C656="LT",Config!$F$2,Config!$F$14))/IF($C656="LT",Config!$G$2,Config!$G$14)))</f>
        <v/>
      </c>
      <c r="T656">
        <f>IF(OR(H656=0,H656=""),"",ABS((H656-IF($C656="LT",Config!$F$3,Config!$F$15))/IF($C656="LT",Config!$G$3,Config!$G$15)))</f>
        <v/>
      </c>
      <c r="U656">
        <f>IF(OR(I656=0,I656=""),"",ABS((I656-IF($C656="LT",Config!$F$4,Config!$F$16))/IF($C656="LT",Config!$G$4,Config!$G$16)))</f>
        <v/>
      </c>
      <c r="V656">
        <f>IF(OR(J656=0,J656=""),"",ABS((J656-IF($C656="LT",Config!$F$5,Config!$F$17))/IF($C656="LT",Config!$G$5,Config!$G$17)))</f>
        <v/>
      </c>
      <c r="W656">
        <f>IF(OR(K656=0,K656=""),"",ABS((K656-IF($C656="LT",Config!$F$6,Config!$F$18))/IF($C656="LT",Config!$G$6,Config!$G$18)))</f>
        <v/>
      </c>
      <c r="X656">
        <f>IF(OR(L656=0,L656=""),"",ABS((L656-IF($C656="LT",Config!$F$7,Config!$F$19))/IF($C656="LT",Config!$G$7,Config!$G$19)))</f>
        <v/>
      </c>
      <c r="Y656">
        <f>IF(OR(M656=0,M656=""),"",ABS((M656-IF($C656="LT",Config!$F$8,Config!$F$20))/IF($C656="LT",Config!$G$8,Config!$G$20)))</f>
        <v/>
      </c>
      <c r="Z656">
        <f>IF(OR(N656=0,N656=""),"",ABS((N656-IF($C656="LT",Config!$F$9,Config!$F$21))/IF($C656="LT",Config!$G$9,Config!$G$21)))</f>
        <v/>
      </c>
      <c r="AA656">
        <f>IF(OR(O656=0,O656=""),"",ABS((O656-IF($C656="LT",Config!$F$10,Config!$F$22))/IF($C656="LT",Config!$G$10,Config!$G$22)))</f>
        <v/>
      </c>
      <c r="AB656">
        <f>IF(OR(P656=0,P656=""),"",ABS((P656-IF($C656="LT",Config!$F$11,Config!$F$23))/IF($C656="LT",Config!$G$11,Config!$G$23)))</f>
        <v/>
      </c>
      <c r="AC656">
        <f>IF(OR(Q656=0,Q656=""),"",ABS((Q656-IF($C656="LT",Config!$F$12,Config!$F$24))/IF($C656="LT",Config!$G$12,Config!$G$24)))</f>
        <v/>
      </c>
      <c r="AD656">
        <f>IF(OR(R656=0,R656=""),"",ABS((R656-IF($C656="LT",Config!$F$13,Config!$F$25))/IF($C656="LT",Config!$G$13,Config!$G$25)))</f>
        <v/>
      </c>
    </row>
    <row r="657">
      <c r="A657" t="inlineStr">
        <is>
          <t>04D1126121342</t>
        </is>
      </c>
      <c r="B657" t="inlineStr">
        <is>
          <t>CRS0000675</t>
        </is>
      </c>
      <c r="C657" t="inlineStr">
        <is>
          <t>LT</t>
        </is>
      </c>
      <c r="D657" t="inlineStr">
        <is>
          <t>ALX440U-DS3B01</t>
        </is>
      </c>
      <c r="E657" s="2" t="n">
        <v>46125</v>
      </c>
      <c r="F657" t="inlineStr">
        <is>
          <t>Fail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>
        <f>IF(OR(G657=0,G657=""),"",ABS((G657-IF($C657="LT",Config!$F$2,Config!$F$14))/IF($C657="LT",Config!$G$2,Config!$G$14)))</f>
        <v/>
      </c>
      <c r="T657">
        <f>IF(OR(H657=0,H657=""),"",ABS((H657-IF($C657="LT",Config!$F$3,Config!$F$15))/IF($C657="LT",Config!$G$3,Config!$G$15)))</f>
        <v/>
      </c>
      <c r="U657">
        <f>IF(OR(I657=0,I657=""),"",ABS((I657-IF($C657="LT",Config!$F$4,Config!$F$16))/IF($C657="LT",Config!$G$4,Config!$G$16)))</f>
        <v/>
      </c>
      <c r="V657">
        <f>IF(OR(J657=0,J657=""),"",ABS((J657-IF($C657="LT",Config!$F$5,Config!$F$17))/IF($C657="LT",Config!$G$5,Config!$G$17)))</f>
        <v/>
      </c>
      <c r="W657">
        <f>IF(OR(K657=0,K657=""),"",ABS((K657-IF($C657="LT",Config!$F$6,Config!$F$18))/IF($C657="LT",Config!$G$6,Config!$G$18)))</f>
        <v/>
      </c>
      <c r="X657">
        <f>IF(OR(L657=0,L657=""),"",ABS((L657-IF($C657="LT",Config!$F$7,Config!$F$19))/IF($C657="LT",Config!$G$7,Config!$G$19)))</f>
        <v/>
      </c>
      <c r="Y657">
        <f>IF(OR(M657=0,M657=""),"",ABS((M657-IF($C657="LT",Config!$F$8,Config!$F$20))/IF($C657="LT",Config!$G$8,Config!$G$20)))</f>
        <v/>
      </c>
      <c r="Z657">
        <f>IF(OR(N657=0,N657=""),"",ABS((N657-IF($C657="LT",Config!$F$9,Config!$F$21))/IF($C657="LT",Config!$G$9,Config!$G$21)))</f>
        <v/>
      </c>
      <c r="AA657">
        <f>IF(OR(O657=0,O657=""),"",ABS((O657-IF($C657="LT",Config!$F$10,Config!$F$22))/IF($C657="LT",Config!$G$10,Config!$G$22)))</f>
        <v/>
      </c>
      <c r="AB657">
        <f>IF(OR(P657=0,P657=""),"",ABS((P657-IF($C657="LT",Config!$F$11,Config!$F$23))/IF($C657="LT",Config!$G$11,Config!$G$23)))</f>
        <v/>
      </c>
      <c r="AC657">
        <f>IF(OR(Q657=0,Q657=""),"",ABS((Q657-IF($C657="LT",Config!$F$12,Config!$F$24))/IF($C657="LT",Config!$G$12,Config!$G$24)))</f>
        <v/>
      </c>
      <c r="AD657">
        <f>IF(OR(R657=0,R657=""),"",ABS((R657-IF($C657="LT",Config!$F$13,Config!$F$25))/IF($C657="LT",Config!$G$13,Config!$G$25)))</f>
        <v/>
      </c>
    </row>
    <row r="658">
      <c r="A658" t="inlineStr">
        <is>
          <t>04D1126121342</t>
        </is>
      </c>
      <c r="B658" t="inlineStr">
        <is>
          <t>CRS0000675</t>
        </is>
      </c>
      <c r="C658" t="inlineStr">
        <is>
          <t>LT</t>
        </is>
      </c>
      <c r="D658" t="inlineStr">
        <is>
          <t>ALX440U-DS3B01</t>
        </is>
      </c>
      <c r="E658" s="2" t="n">
        <v>46125</v>
      </c>
      <c r="F658" t="inlineStr">
        <is>
          <t>Fail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>
        <f>IF(OR(G658=0,G658=""),"",ABS((G658-IF($C658="LT",Config!$F$2,Config!$F$14))/IF($C658="LT",Config!$G$2,Config!$G$14)))</f>
        <v/>
      </c>
      <c r="T658">
        <f>IF(OR(H658=0,H658=""),"",ABS((H658-IF($C658="LT",Config!$F$3,Config!$F$15))/IF($C658="LT",Config!$G$3,Config!$G$15)))</f>
        <v/>
      </c>
      <c r="U658">
        <f>IF(OR(I658=0,I658=""),"",ABS((I658-IF($C658="LT",Config!$F$4,Config!$F$16))/IF($C658="LT",Config!$G$4,Config!$G$16)))</f>
        <v/>
      </c>
      <c r="V658">
        <f>IF(OR(J658=0,J658=""),"",ABS((J658-IF($C658="LT",Config!$F$5,Config!$F$17))/IF($C658="LT",Config!$G$5,Config!$G$17)))</f>
        <v/>
      </c>
      <c r="W658">
        <f>IF(OR(K658=0,K658=""),"",ABS((K658-IF($C658="LT",Config!$F$6,Config!$F$18))/IF($C658="LT",Config!$G$6,Config!$G$18)))</f>
        <v/>
      </c>
      <c r="X658">
        <f>IF(OR(L658=0,L658=""),"",ABS((L658-IF($C658="LT",Config!$F$7,Config!$F$19))/IF($C658="LT",Config!$G$7,Config!$G$19)))</f>
        <v/>
      </c>
      <c r="Y658">
        <f>IF(OR(M658=0,M658=""),"",ABS((M658-IF($C658="LT",Config!$F$8,Config!$F$20))/IF($C658="LT",Config!$G$8,Config!$G$20)))</f>
        <v/>
      </c>
      <c r="Z658">
        <f>IF(OR(N658=0,N658=""),"",ABS((N658-IF($C658="LT",Config!$F$9,Config!$F$21))/IF($C658="LT",Config!$G$9,Config!$G$21)))</f>
        <v/>
      </c>
      <c r="AA658">
        <f>IF(OR(O658=0,O658=""),"",ABS((O658-IF($C658="LT",Config!$F$10,Config!$F$22))/IF($C658="LT",Config!$G$10,Config!$G$22)))</f>
        <v/>
      </c>
      <c r="AB658">
        <f>IF(OR(P658=0,P658=""),"",ABS((P658-IF($C658="LT",Config!$F$11,Config!$F$23))/IF($C658="LT",Config!$G$11,Config!$G$23)))</f>
        <v/>
      </c>
      <c r="AC658">
        <f>IF(OR(Q658=0,Q658=""),"",ABS((Q658-IF($C658="LT",Config!$F$12,Config!$F$24))/IF($C658="LT",Config!$G$12,Config!$G$24)))</f>
        <v/>
      </c>
      <c r="AD658">
        <f>IF(OR(R658=0,R658=""),"",ABS((R658-IF($C658="LT",Config!$F$13,Config!$F$25))/IF($C658="LT",Config!$G$13,Config!$G$25)))</f>
        <v/>
      </c>
    </row>
    <row r="659">
      <c r="A659" t="inlineStr">
        <is>
          <t>04D1126121343</t>
        </is>
      </c>
      <c r="B659" t="inlineStr">
        <is>
          <t>CRS0000675</t>
        </is>
      </c>
      <c r="C659" t="inlineStr">
        <is>
          <t>LT</t>
        </is>
      </c>
      <c r="D659" t="inlineStr">
        <is>
          <t>ALX440U-DS3B01</t>
        </is>
      </c>
      <c r="E659" s="2" t="n">
        <v>46125</v>
      </c>
      <c r="F659" t="inlineStr">
        <is>
          <t>Fail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>
        <f>IF(OR(G659=0,G659=""),"",ABS((G659-IF($C659="LT",Config!$F$2,Config!$F$14))/IF($C659="LT",Config!$G$2,Config!$G$14)))</f>
        <v/>
      </c>
      <c r="T659">
        <f>IF(OR(H659=0,H659=""),"",ABS((H659-IF($C659="LT",Config!$F$3,Config!$F$15))/IF($C659="LT",Config!$G$3,Config!$G$15)))</f>
        <v/>
      </c>
      <c r="U659">
        <f>IF(OR(I659=0,I659=""),"",ABS((I659-IF($C659="LT",Config!$F$4,Config!$F$16))/IF($C659="LT",Config!$G$4,Config!$G$16)))</f>
        <v/>
      </c>
      <c r="V659">
        <f>IF(OR(J659=0,J659=""),"",ABS((J659-IF($C659="LT",Config!$F$5,Config!$F$17))/IF($C659="LT",Config!$G$5,Config!$G$17)))</f>
        <v/>
      </c>
      <c r="W659">
        <f>IF(OR(K659=0,K659=""),"",ABS((K659-IF($C659="LT",Config!$F$6,Config!$F$18))/IF($C659="LT",Config!$G$6,Config!$G$18)))</f>
        <v/>
      </c>
      <c r="X659">
        <f>IF(OR(L659=0,L659=""),"",ABS((L659-IF($C659="LT",Config!$F$7,Config!$F$19))/IF($C659="LT",Config!$G$7,Config!$G$19)))</f>
        <v/>
      </c>
      <c r="Y659">
        <f>IF(OR(M659=0,M659=""),"",ABS((M659-IF($C659="LT",Config!$F$8,Config!$F$20))/IF($C659="LT",Config!$G$8,Config!$G$20)))</f>
        <v/>
      </c>
      <c r="Z659">
        <f>IF(OR(N659=0,N659=""),"",ABS((N659-IF($C659="LT",Config!$F$9,Config!$F$21))/IF($C659="LT",Config!$G$9,Config!$G$21)))</f>
        <v/>
      </c>
      <c r="AA659">
        <f>IF(OR(O659=0,O659=""),"",ABS((O659-IF($C659="LT",Config!$F$10,Config!$F$22))/IF($C659="LT",Config!$G$10,Config!$G$22)))</f>
        <v/>
      </c>
      <c r="AB659">
        <f>IF(OR(P659=0,P659=""),"",ABS((P659-IF($C659="LT",Config!$F$11,Config!$F$23))/IF($C659="LT",Config!$G$11,Config!$G$23)))</f>
        <v/>
      </c>
      <c r="AC659">
        <f>IF(OR(Q659=0,Q659=""),"",ABS((Q659-IF($C659="LT",Config!$F$12,Config!$F$24))/IF($C659="LT",Config!$G$12,Config!$G$24)))</f>
        <v/>
      </c>
      <c r="AD659">
        <f>IF(OR(R659=0,R659=""),"",ABS((R659-IF($C659="LT",Config!$F$13,Config!$F$25))/IF($C659="LT",Config!$G$13,Config!$G$25)))</f>
        <v/>
      </c>
    </row>
    <row r="660">
      <c r="A660" t="inlineStr">
        <is>
          <t>04D1126121343</t>
        </is>
      </c>
      <c r="B660" t="inlineStr">
        <is>
          <t>CRS0000675</t>
        </is>
      </c>
      <c r="C660" t="inlineStr">
        <is>
          <t>LT</t>
        </is>
      </c>
      <c r="D660" t="inlineStr">
        <is>
          <t>ALX440U-DS3B01</t>
        </is>
      </c>
      <c r="E660" s="2" t="n">
        <v>46125</v>
      </c>
      <c r="F660" t="inlineStr">
        <is>
          <t>Pass</t>
        </is>
      </c>
      <c r="G660" t="n">
        <v>157.5</v>
      </c>
      <c r="H660" t="n">
        <v>95.5</v>
      </c>
      <c r="I660" t="n">
        <v>-1957.8</v>
      </c>
      <c r="J660" t="n">
        <v>70</v>
      </c>
      <c r="K660" t="n">
        <v>0</v>
      </c>
      <c r="L660" t="n">
        <v>0.1</v>
      </c>
      <c r="M660" t="n">
        <v>0</v>
      </c>
      <c r="N660" t="n">
        <v>69.90000000000001</v>
      </c>
      <c r="O660" t="n">
        <v>111.72</v>
      </c>
      <c r="P660" t="n">
        <v>113.18</v>
      </c>
      <c r="Q660" t="n">
        <v>8.18</v>
      </c>
      <c r="R660" t="n">
        <v>8.109999999999999</v>
      </c>
      <c r="S660">
        <f>IF(OR(G660=0,G660=""),"",ABS((G660-IF($C660="LT",Config!$F$2,Config!$F$14))/IF($C660="LT",Config!$G$2,Config!$G$14)))</f>
        <v/>
      </c>
      <c r="T660">
        <f>IF(OR(H660=0,H660=""),"",ABS((H660-IF($C660="LT",Config!$F$3,Config!$F$15))/IF($C660="LT",Config!$G$3,Config!$G$15)))</f>
        <v/>
      </c>
      <c r="U660">
        <f>IF(OR(I660=0,I660=""),"",ABS((I660-IF($C660="LT",Config!$F$4,Config!$F$16))/IF($C660="LT",Config!$G$4,Config!$G$16)))</f>
        <v/>
      </c>
      <c r="V660">
        <f>IF(OR(J660=0,J660=""),"",ABS((J660-IF($C660="LT",Config!$F$5,Config!$F$17))/IF($C660="LT",Config!$G$5,Config!$G$17)))</f>
        <v/>
      </c>
      <c r="W660">
        <f>IF(OR(K660=0,K660=""),"",ABS((K660-IF($C660="LT",Config!$F$6,Config!$F$18))/IF($C660="LT",Config!$G$6,Config!$G$18)))</f>
        <v/>
      </c>
      <c r="X660">
        <f>IF(OR(L660=0,L660=""),"",ABS((L660-IF($C660="LT",Config!$F$7,Config!$F$19))/IF($C660="LT",Config!$G$7,Config!$G$19)))</f>
        <v/>
      </c>
      <c r="Y660">
        <f>IF(OR(M660=0,M660=""),"",ABS((M660-IF($C660="LT",Config!$F$8,Config!$F$20))/IF($C660="LT",Config!$G$8,Config!$G$20)))</f>
        <v/>
      </c>
      <c r="Z660">
        <f>IF(OR(N660=0,N660=""),"",ABS((N660-IF($C660="LT",Config!$F$9,Config!$F$21))/IF($C660="LT",Config!$G$9,Config!$G$21)))</f>
        <v/>
      </c>
      <c r="AA660">
        <f>IF(OR(O660=0,O660=""),"",ABS((O660-IF($C660="LT",Config!$F$10,Config!$F$22))/IF($C660="LT",Config!$G$10,Config!$G$22)))</f>
        <v/>
      </c>
      <c r="AB660">
        <f>IF(OR(P660=0,P660=""),"",ABS((P660-IF($C660="LT",Config!$F$11,Config!$F$23))/IF($C660="LT",Config!$G$11,Config!$G$23)))</f>
        <v/>
      </c>
      <c r="AC660">
        <f>IF(OR(Q660=0,Q660=""),"",ABS((Q660-IF($C660="LT",Config!$F$12,Config!$F$24))/IF($C660="LT",Config!$G$12,Config!$G$24)))</f>
        <v/>
      </c>
      <c r="AD660">
        <f>IF(OR(R660=0,R660=""),"",ABS((R660-IF($C660="LT",Config!$F$13,Config!$F$25))/IF($C660="LT",Config!$G$13,Config!$G$25)))</f>
        <v/>
      </c>
    </row>
    <row r="661">
      <c r="A661" t="inlineStr">
        <is>
          <t>04D1326121344</t>
        </is>
      </c>
      <c r="B661" t="inlineStr">
        <is>
          <t>CRS0000675</t>
        </is>
      </c>
      <c r="C661" t="inlineStr">
        <is>
          <t>LT</t>
        </is>
      </c>
      <c r="D661" t="inlineStr">
        <is>
          <t>ALX440U-DS3B01</t>
        </is>
      </c>
      <c r="E661" s="2" t="n">
        <v>46125</v>
      </c>
      <c r="F661" t="inlineStr">
        <is>
          <t>Pass</t>
        </is>
      </c>
      <c r="G661" t="n">
        <v>162.9</v>
      </c>
      <c r="H661" t="n">
        <v>95.09999999999999</v>
      </c>
      <c r="I661" t="n">
        <v>-1957.8</v>
      </c>
      <c r="J661" t="n">
        <v>70</v>
      </c>
      <c r="K661" t="n">
        <v>0</v>
      </c>
      <c r="L661" t="n">
        <v>0.4</v>
      </c>
      <c r="M661" t="n">
        <v>0</v>
      </c>
      <c r="N661" t="n">
        <v>69.59999999999999</v>
      </c>
      <c r="O661" t="n">
        <v>111.42</v>
      </c>
      <c r="P661" t="n">
        <v>113.04</v>
      </c>
      <c r="Q661" t="n">
        <v>8.42</v>
      </c>
      <c r="R661" t="n">
        <v>8.130000000000001</v>
      </c>
      <c r="S661">
        <f>IF(OR(G661=0,G661=""),"",ABS((G661-IF($C661="LT",Config!$F$2,Config!$F$14))/IF($C661="LT",Config!$G$2,Config!$G$14)))</f>
        <v/>
      </c>
      <c r="T661">
        <f>IF(OR(H661=0,H661=""),"",ABS((H661-IF($C661="LT",Config!$F$3,Config!$F$15))/IF($C661="LT",Config!$G$3,Config!$G$15)))</f>
        <v/>
      </c>
      <c r="U661">
        <f>IF(OR(I661=0,I661=""),"",ABS((I661-IF($C661="LT",Config!$F$4,Config!$F$16))/IF($C661="LT",Config!$G$4,Config!$G$16)))</f>
        <v/>
      </c>
      <c r="V661">
        <f>IF(OR(J661=0,J661=""),"",ABS((J661-IF($C661="LT",Config!$F$5,Config!$F$17))/IF($C661="LT",Config!$G$5,Config!$G$17)))</f>
        <v/>
      </c>
      <c r="W661">
        <f>IF(OR(K661=0,K661=""),"",ABS((K661-IF($C661="LT",Config!$F$6,Config!$F$18))/IF($C661="LT",Config!$G$6,Config!$G$18)))</f>
        <v/>
      </c>
      <c r="X661">
        <f>IF(OR(L661=0,L661=""),"",ABS((L661-IF($C661="LT",Config!$F$7,Config!$F$19))/IF($C661="LT",Config!$G$7,Config!$G$19)))</f>
        <v/>
      </c>
      <c r="Y661">
        <f>IF(OR(M661=0,M661=""),"",ABS((M661-IF($C661="LT",Config!$F$8,Config!$F$20))/IF($C661="LT",Config!$G$8,Config!$G$20)))</f>
        <v/>
      </c>
      <c r="Z661">
        <f>IF(OR(N661=0,N661=""),"",ABS((N661-IF($C661="LT",Config!$F$9,Config!$F$21))/IF($C661="LT",Config!$G$9,Config!$G$21)))</f>
        <v/>
      </c>
      <c r="AA661">
        <f>IF(OR(O661=0,O661=""),"",ABS((O661-IF($C661="LT",Config!$F$10,Config!$F$22))/IF($C661="LT",Config!$G$10,Config!$G$22)))</f>
        <v/>
      </c>
      <c r="AB661">
        <f>IF(OR(P661=0,P661=""),"",ABS((P661-IF($C661="LT",Config!$F$11,Config!$F$23))/IF($C661="LT",Config!$G$11,Config!$G$23)))</f>
        <v/>
      </c>
      <c r="AC661">
        <f>IF(OR(Q661=0,Q661=""),"",ABS((Q661-IF($C661="LT",Config!$F$12,Config!$F$24))/IF($C661="LT",Config!$G$12,Config!$G$24)))</f>
        <v/>
      </c>
      <c r="AD661">
        <f>IF(OR(R661=0,R661=""),"",ABS((R661-IF($C661="LT",Config!$F$13,Config!$F$25))/IF($C661="LT",Config!$G$13,Config!$G$25)))</f>
        <v/>
      </c>
    </row>
    <row r="662">
      <c r="A662" t="inlineStr">
        <is>
          <t>04D1326121345</t>
        </is>
      </c>
      <c r="B662" t="inlineStr">
        <is>
          <t>CRS0000675</t>
        </is>
      </c>
      <c r="C662" t="inlineStr">
        <is>
          <t>LT</t>
        </is>
      </c>
      <c r="D662" t="inlineStr">
        <is>
          <t>ALX440U-DS3B01</t>
        </is>
      </c>
      <c r="E662" s="2" t="n">
        <v>46125</v>
      </c>
      <c r="F662" t="inlineStr">
        <is>
          <t>Pass</t>
        </is>
      </c>
      <c r="G662" t="n">
        <v>154.8</v>
      </c>
      <c r="H662" t="n">
        <v>95.09999999999999</v>
      </c>
      <c r="I662" t="n">
        <v>-1957.8</v>
      </c>
      <c r="J662" t="n">
        <v>70</v>
      </c>
      <c r="K662" t="n">
        <v>0</v>
      </c>
      <c r="L662" t="n">
        <v>0.4</v>
      </c>
      <c r="M662" t="n">
        <v>0</v>
      </c>
      <c r="N662" t="n">
        <v>69.59999999999999</v>
      </c>
      <c r="O662" t="n">
        <v>114.58</v>
      </c>
      <c r="P662" t="n">
        <v>114.36</v>
      </c>
      <c r="Q662" t="n">
        <v>8.08</v>
      </c>
      <c r="R662" t="n">
        <v>7.93</v>
      </c>
      <c r="S662">
        <f>IF(OR(G662=0,G662=""),"",ABS((G662-IF($C662="LT",Config!$F$2,Config!$F$14))/IF($C662="LT",Config!$G$2,Config!$G$14)))</f>
        <v/>
      </c>
      <c r="T662">
        <f>IF(OR(H662=0,H662=""),"",ABS((H662-IF($C662="LT",Config!$F$3,Config!$F$15))/IF($C662="LT",Config!$G$3,Config!$G$15)))</f>
        <v/>
      </c>
      <c r="U662">
        <f>IF(OR(I662=0,I662=""),"",ABS((I662-IF($C662="LT",Config!$F$4,Config!$F$16))/IF($C662="LT",Config!$G$4,Config!$G$16)))</f>
        <v/>
      </c>
      <c r="V662">
        <f>IF(OR(J662=0,J662=""),"",ABS((J662-IF($C662="LT",Config!$F$5,Config!$F$17))/IF($C662="LT",Config!$G$5,Config!$G$17)))</f>
        <v/>
      </c>
      <c r="W662">
        <f>IF(OR(K662=0,K662=""),"",ABS((K662-IF($C662="LT",Config!$F$6,Config!$F$18))/IF($C662="LT",Config!$G$6,Config!$G$18)))</f>
        <v/>
      </c>
      <c r="X662">
        <f>IF(OR(L662=0,L662=""),"",ABS((L662-IF($C662="LT",Config!$F$7,Config!$F$19))/IF($C662="LT",Config!$G$7,Config!$G$19)))</f>
        <v/>
      </c>
      <c r="Y662">
        <f>IF(OR(M662=0,M662=""),"",ABS((M662-IF($C662="LT",Config!$F$8,Config!$F$20))/IF($C662="LT",Config!$G$8,Config!$G$20)))</f>
        <v/>
      </c>
      <c r="Z662">
        <f>IF(OR(N662=0,N662=""),"",ABS((N662-IF($C662="LT",Config!$F$9,Config!$F$21))/IF($C662="LT",Config!$G$9,Config!$G$21)))</f>
        <v/>
      </c>
      <c r="AA662">
        <f>IF(OR(O662=0,O662=""),"",ABS((O662-IF($C662="LT",Config!$F$10,Config!$F$22))/IF($C662="LT",Config!$G$10,Config!$G$22)))</f>
        <v/>
      </c>
      <c r="AB662">
        <f>IF(OR(P662=0,P662=""),"",ABS((P662-IF($C662="LT",Config!$F$11,Config!$F$23))/IF($C662="LT",Config!$G$11,Config!$G$23)))</f>
        <v/>
      </c>
      <c r="AC662">
        <f>IF(OR(Q662=0,Q662=""),"",ABS((Q662-IF($C662="LT",Config!$F$12,Config!$F$24))/IF($C662="LT",Config!$G$12,Config!$G$24)))</f>
        <v/>
      </c>
      <c r="AD662">
        <f>IF(OR(R662=0,R662=""),"",ABS((R662-IF($C662="LT",Config!$F$13,Config!$F$25))/IF($C662="LT",Config!$G$13,Config!$G$25)))</f>
        <v/>
      </c>
    </row>
    <row r="663">
      <c r="A663" t="inlineStr">
        <is>
          <t>04D1326121346</t>
        </is>
      </c>
      <c r="B663" t="inlineStr">
        <is>
          <t>CRS0000675</t>
        </is>
      </c>
      <c r="C663" t="inlineStr">
        <is>
          <t>LT</t>
        </is>
      </c>
      <c r="D663" t="inlineStr">
        <is>
          <t>ALX440U-DS3B01</t>
        </is>
      </c>
      <c r="E663" s="2" t="n">
        <v>46125</v>
      </c>
      <c r="F663" t="inlineStr">
        <is>
          <t>Pass</t>
        </is>
      </c>
      <c r="G663" t="n">
        <v>163.8</v>
      </c>
      <c r="H663" t="n">
        <v>91.5</v>
      </c>
      <c r="I663" t="n">
        <v>-1957.8</v>
      </c>
      <c r="J663" t="n">
        <v>69.5</v>
      </c>
      <c r="K663" t="n">
        <v>0</v>
      </c>
      <c r="L663" t="n">
        <v>0.4</v>
      </c>
      <c r="M663" t="n">
        <v>0</v>
      </c>
      <c r="N663" t="n">
        <v>69.90000000000001</v>
      </c>
      <c r="O663" t="n">
        <v>111.57</v>
      </c>
      <c r="P663" t="n">
        <v>113.11</v>
      </c>
      <c r="Q663" t="n">
        <v>8.470000000000001</v>
      </c>
      <c r="R663" t="n">
        <v>8.130000000000001</v>
      </c>
      <c r="S663">
        <f>IF(OR(G663=0,G663=""),"",ABS((G663-IF($C663="LT",Config!$F$2,Config!$F$14))/IF($C663="LT",Config!$G$2,Config!$G$14)))</f>
        <v/>
      </c>
      <c r="T663">
        <f>IF(OR(H663=0,H663=""),"",ABS((H663-IF($C663="LT",Config!$F$3,Config!$F$15))/IF($C663="LT",Config!$G$3,Config!$G$15)))</f>
        <v/>
      </c>
      <c r="U663">
        <f>IF(OR(I663=0,I663=""),"",ABS((I663-IF($C663="LT",Config!$F$4,Config!$F$16))/IF($C663="LT",Config!$G$4,Config!$G$16)))</f>
        <v/>
      </c>
      <c r="V663">
        <f>IF(OR(J663=0,J663=""),"",ABS((J663-IF($C663="LT",Config!$F$5,Config!$F$17))/IF($C663="LT",Config!$G$5,Config!$G$17)))</f>
        <v/>
      </c>
      <c r="W663">
        <f>IF(OR(K663=0,K663=""),"",ABS((K663-IF($C663="LT",Config!$F$6,Config!$F$18))/IF($C663="LT",Config!$G$6,Config!$G$18)))</f>
        <v/>
      </c>
      <c r="X663">
        <f>IF(OR(L663=0,L663=""),"",ABS((L663-IF($C663="LT",Config!$F$7,Config!$F$19))/IF($C663="LT",Config!$G$7,Config!$G$19)))</f>
        <v/>
      </c>
      <c r="Y663">
        <f>IF(OR(M663=0,M663=""),"",ABS((M663-IF($C663="LT",Config!$F$8,Config!$F$20))/IF($C663="LT",Config!$G$8,Config!$G$20)))</f>
        <v/>
      </c>
      <c r="Z663">
        <f>IF(OR(N663=0,N663=""),"",ABS((N663-IF($C663="LT",Config!$F$9,Config!$F$21))/IF($C663="LT",Config!$G$9,Config!$G$21)))</f>
        <v/>
      </c>
      <c r="AA663">
        <f>IF(OR(O663=0,O663=""),"",ABS((O663-IF($C663="LT",Config!$F$10,Config!$F$22))/IF($C663="LT",Config!$G$10,Config!$G$22)))</f>
        <v/>
      </c>
      <c r="AB663">
        <f>IF(OR(P663=0,P663=""),"",ABS((P663-IF($C663="LT",Config!$F$11,Config!$F$23))/IF($C663="LT",Config!$G$11,Config!$G$23)))</f>
        <v/>
      </c>
      <c r="AC663">
        <f>IF(OR(Q663=0,Q663=""),"",ABS((Q663-IF($C663="LT",Config!$F$12,Config!$F$24))/IF($C663="LT",Config!$G$12,Config!$G$24)))</f>
        <v/>
      </c>
      <c r="AD663">
        <f>IF(OR(R663=0,R663=""),"",ABS((R663-IF($C663="LT",Config!$F$13,Config!$F$25))/IF($C663="LT",Config!$G$13,Config!$G$25)))</f>
        <v/>
      </c>
    </row>
    <row r="664">
      <c r="A664" t="inlineStr">
        <is>
          <t>04D1326121347</t>
        </is>
      </c>
      <c r="B664" t="inlineStr">
        <is>
          <t>CRS0000675</t>
        </is>
      </c>
      <c r="C664" t="inlineStr">
        <is>
          <t>LT</t>
        </is>
      </c>
      <c r="D664" t="inlineStr">
        <is>
          <t>ALX440U-DS3B01</t>
        </is>
      </c>
      <c r="E664" s="2" t="n">
        <v>46125</v>
      </c>
      <c r="F664" t="inlineStr">
        <is>
          <t>Pass</t>
        </is>
      </c>
      <c r="G664" t="n">
        <v>149.5</v>
      </c>
      <c r="H664" t="n">
        <v>101.4</v>
      </c>
      <c r="I664" t="n">
        <v>-1957.8</v>
      </c>
      <c r="J664" t="n">
        <v>69.5</v>
      </c>
      <c r="K664" t="n">
        <v>0</v>
      </c>
      <c r="L664" t="n">
        <v>0.2</v>
      </c>
      <c r="M664" t="n">
        <v>0</v>
      </c>
      <c r="N664" t="n">
        <v>69.3</v>
      </c>
      <c r="O664" t="n">
        <v>114.87</v>
      </c>
      <c r="P664" t="n">
        <v>114.87</v>
      </c>
      <c r="Q664" t="n">
        <v>8.42</v>
      </c>
      <c r="R664" t="n">
        <v>8.35</v>
      </c>
      <c r="S664">
        <f>IF(OR(G664=0,G664=""),"",ABS((G664-IF($C664="LT",Config!$F$2,Config!$F$14))/IF($C664="LT",Config!$G$2,Config!$G$14)))</f>
        <v/>
      </c>
      <c r="T664">
        <f>IF(OR(H664=0,H664=""),"",ABS((H664-IF($C664="LT",Config!$F$3,Config!$F$15))/IF($C664="LT",Config!$G$3,Config!$G$15)))</f>
        <v/>
      </c>
      <c r="U664">
        <f>IF(OR(I664=0,I664=""),"",ABS((I664-IF($C664="LT",Config!$F$4,Config!$F$16))/IF($C664="LT",Config!$G$4,Config!$G$16)))</f>
        <v/>
      </c>
      <c r="V664">
        <f>IF(OR(J664=0,J664=""),"",ABS((J664-IF($C664="LT",Config!$F$5,Config!$F$17))/IF($C664="LT",Config!$G$5,Config!$G$17)))</f>
        <v/>
      </c>
      <c r="W664">
        <f>IF(OR(K664=0,K664=""),"",ABS((K664-IF($C664="LT",Config!$F$6,Config!$F$18))/IF($C664="LT",Config!$G$6,Config!$G$18)))</f>
        <v/>
      </c>
      <c r="X664">
        <f>IF(OR(L664=0,L664=""),"",ABS((L664-IF($C664="LT",Config!$F$7,Config!$F$19))/IF($C664="LT",Config!$G$7,Config!$G$19)))</f>
        <v/>
      </c>
      <c r="Y664">
        <f>IF(OR(M664=0,M664=""),"",ABS((M664-IF($C664="LT",Config!$F$8,Config!$F$20))/IF($C664="LT",Config!$G$8,Config!$G$20)))</f>
        <v/>
      </c>
      <c r="Z664">
        <f>IF(OR(N664=0,N664=""),"",ABS((N664-IF($C664="LT",Config!$F$9,Config!$F$21))/IF($C664="LT",Config!$G$9,Config!$G$21)))</f>
        <v/>
      </c>
      <c r="AA664">
        <f>IF(OR(O664=0,O664=""),"",ABS((O664-IF($C664="LT",Config!$F$10,Config!$F$22))/IF($C664="LT",Config!$G$10,Config!$G$22)))</f>
        <v/>
      </c>
      <c r="AB664">
        <f>IF(OR(P664=0,P664=""),"",ABS((P664-IF($C664="LT",Config!$F$11,Config!$F$23))/IF($C664="LT",Config!$G$11,Config!$G$23)))</f>
        <v/>
      </c>
      <c r="AC664">
        <f>IF(OR(Q664=0,Q664=""),"",ABS((Q664-IF($C664="LT",Config!$F$12,Config!$F$24))/IF($C664="LT",Config!$G$12,Config!$G$24)))</f>
        <v/>
      </c>
      <c r="AD664">
        <f>IF(OR(R664=0,R664=""),"",ABS((R664-IF($C664="LT",Config!$F$13,Config!$F$25))/IF($C664="LT",Config!$G$13,Config!$G$25)))</f>
        <v/>
      </c>
    </row>
    <row r="665">
      <c r="A665" t="inlineStr">
        <is>
          <t>04D1326121348</t>
        </is>
      </c>
      <c r="B665" t="inlineStr">
        <is>
          <t>CRS0000675</t>
        </is>
      </c>
      <c r="C665" t="inlineStr">
        <is>
          <t>LT</t>
        </is>
      </c>
      <c r="D665" t="inlineStr">
        <is>
          <t>ALX440U-DS3B01</t>
        </is>
      </c>
      <c r="E665" s="2" t="n">
        <v>46125</v>
      </c>
      <c r="F665" t="inlineStr">
        <is>
          <t>Fail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>
        <f>IF(OR(G665=0,G665=""),"",ABS((G665-IF($C665="LT",Config!$F$2,Config!$F$14))/IF($C665="LT",Config!$G$2,Config!$G$14)))</f>
        <v/>
      </c>
      <c r="T665">
        <f>IF(OR(H665=0,H665=""),"",ABS((H665-IF($C665="LT",Config!$F$3,Config!$F$15))/IF($C665="LT",Config!$G$3,Config!$G$15)))</f>
        <v/>
      </c>
      <c r="U665">
        <f>IF(OR(I665=0,I665=""),"",ABS((I665-IF($C665="LT",Config!$F$4,Config!$F$16))/IF($C665="LT",Config!$G$4,Config!$G$16)))</f>
        <v/>
      </c>
      <c r="V665">
        <f>IF(OR(J665=0,J665=""),"",ABS((J665-IF($C665="LT",Config!$F$5,Config!$F$17))/IF($C665="LT",Config!$G$5,Config!$G$17)))</f>
        <v/>
      </c>
      <c r="W665">
        <f>IF(OR(K665=0,K665=""),"",ABS((K665-IF($C665="LT",Config!$F$6,Config!$F$18))/IF($C665="LT",Config!$G$6,Config!$G$18)))</f>
        <v/>
      </c>
      <c r="X665">
        <f>IF(OR(L665=0,L665=""),"",ABS((L665-IF($C665="LT",Config!$F$7,Config!$F$19))/IF($C665="LT",Config!$G$7,Config!$G$19)))</f>
        <v/>
      </c>
      <c r="Y665">
        <f>IF(OR(M665=0,M665=""),"",ABS((M665-IF($C665="LT",Config!$F$8,Config!$F$20))/IF($C665="LT",Config!$G$8,Config!$G$20)))</f>
        <v/>
      </c>
      <c r="Z665">
        <f>IF(OR(N665=0,N665=""),"",ABS((N665-IF($C665="LT",Config!$F$9,Config!$F$21))/IF($C665="LT",Config!$G$9,Config!$G$21)))</f>
        <v/>
      </c>
      <c r="AA665">
        <f>IF(OR(O665=0,O665=""),"",ABS((O665-IF($C665="LT",Config!$F$10,Config!$F$22))/IF($C665="LT",Config!$G$10,Config!$G$22)))</f>
        <v/>
      </c>
      <c r="AB665">
        <f>IF(OR(P665=0,P665=""),"",ABS((P665-IF($C665="LT",Config!$F$11,Config!$F$23))/IF($C665="LT",Config!$G$11,Config!$G$23)))</f>
        <v/>
      </c>
      <c r="AC665">
        <f>IF(OR(Q665=0,Q665=""),"",ABS((Q665-IF($C665="LT",Config!$F$12,Config!$F$24))/IF($C665="LT",Config!$G$12,Config!$G$24)))</f>
        <v/>
      </c>
      <c r="AD665">
        <f>IF(OR(R665=0,R665=""),"",ABS((R665-IF($C665="LT",Config!$F$13,Config!$F$25))/IF($C665="LT",Config!$G$13,Config!$G$25)))</f>
        <v/>
      </c>
    </row>
    <row r="666">
      <c r="A666" t="inlineStr">
        <is>
          <t>04D1326121348</t>
        </is>
      </c>
      <c r="B666" t="inlineStr">
        <is>
          <t>CRS0000675</t>
        </is>
      </c>
      <c r="C666" t="inlineStr">
        <is>
          <t>LT</t>
        </is>
      </c>
      <c r="D666" t="inlineStr">
        <is>
          <t>ALX440U-DS3B01</t>
        </is>
      </c>
      <c r="E666" s="2" t="n">
        <v>46125</v>
      </c>
      <c r="F666" t="inlineStr">
        <is>
          <t>Pass</t>
        </is>
      </c>
      <c r="G666" t="n">
        <v>164.7</v>
      </c>
      <c r="H666" t="n">
        <v>96.40000000000001</v>
      </c>
      <c r="I666" t="n">
        <v>-1957.8</v>
      </c>
      <c r="J666" t="n">
        <v>70.40000000000001</v>
      </c>
      <c r="K666" t="n">
        <v>0</v>
      </c>
      <c r="L666" t="n">
        <v>1</v>
      </c>
      <c r="M666" t="n">
        <v>0</v>
      </c>
      <c r="N666" t="n">
        <v>71.40000000000001</v>
      </c>
      <c r="O666" t="n">
        <v>114.72</v>
      </c>
      <c r="P666" t="n">
        <v>114.65</v>
      </c>
      <c r="Q666" t="n">
        <v>8.23</v>
      </c>
      <c r="R666" t="n">
        <v>8.130000000000001</v>
      </c>
      <c r="S666">
        <f>IF(OR(G666=0,G666=""),"",ABS((G666-IF($C666="LT",Config!$F$2,Config!$F$14))/IF($C666="LT",Config!$G$2,Config!$G$14)))</f>
        <v/>
      </c>
      <c r="T666">
        <f>IF(OR(H666=0,H666=""),"",ABS((H666-IF($C666="LT",Config!$F$3,Config!$F$15))/IF($C666="LT",Config!$G$3,Config!$G$15)))</f>
        <v/>
      </c>
      <c r="U666">
        <f>IF(OR(I666=0,I666=""),"",ABS((I666-IF($C666="LT",Config!$F$4,Config!$F$16))/IF($C666="LT",Config!$G$4,Config!$G$16)))</f>
        <v/>
      </c>
      <c r="V666">
        <f>IF(OR(J666=0,J666=""),"",ABS((J666-IF($C666="LT",Config!$F$5,Config!$F$17))/IF($C666="LT",Config!$G$5,Config!$G$17)))</f>
        <v/>
      </c>
      <c r="W666">
        <f>IF(OR(K666=0,K666=""),"",ABS((K666-IF($C666="LT",Config!$F$6,Config!$F$18))/IF($C666="LT",Config!$G$6,Config!$G$18)))</f>
        <v/>
      </c>
      <c r="X666">
        <f>IF(OR(L666=0,L666=""),"",ABS((L666-IF($C666="LT",Config!$F$7,Config!$F$19))/IF($C666="LT",Config!$G$7,Config!$G$19)))</f>
        <v/>
      </c>
      <c r="Y666">
        <f>IF(OR(M666=0,M666=""),"",ABS((M666-IF($C666="LT",Config!$F$8,Config!$F$20))/IF($C666="LT",Config!$G$8,Config!$G$20)))</f>
        <v/>
      </c>
      <c r="Z666">
        <f>IF(OR(N666=0,N666=""),"",ABS((N666-IF($C666="LT",Config!$F$9,Config!$F$21))/IF($C666="LT",Config!$G$9,Config!$G$21)))</f>
        <v/>
      </c>
      <c r="AA666">
        <f>IF(OR(O666=0,O666=""),"",ABS((O666-IF($C666="LT",Config!$F$10,Config!$F$22))/IF($C666="LT",Config!$G$10,Config!$G$22)))</f>
        <v/>
      </c>
      <c r="AB666">
        <f>IF(OR(P666=0,P666=""),"",ABS((P666-IF($C666="LT",Config!$F$11,Config!$F$23))/IF($C666="LT",Config!$G$11,Config!$G$23)))</f>
        <v/>
      </c>
      <c r="AC666">
        <f>IF(OR(Q666=0,Q666=""),"",ABS((Q666-IF($C666="LT",Config!$F$12,Config!$F$24))/IF($C666="LT",Config!$G$12,Config!$G$24)))</f>
        <v/>
      </c>
      <c r="AD666">
        <f>IF(OR(R666=0,R666=""),"",ABS((R666-IF($C666="LT",Config!$F$13,Config!$F$25))/IF($C666="LT",Config!$G$13,Config!$G$25)))</f>
        <v/>
      </c>
    </row>
    <row r="667">
      <c r="A667" t="inlineStr">
        <is>
          <t>04D1326121349</t>
        </is>
      </c>
      <c r="B667" t="inlineStr">
        <is>
          <t>CRS0000675</t>
        </is>
      </c>
      <c r="C667" t="inlineStr">
        <is>
          <t>LT</t>
        </is>
      </c>
      <c r="D667" t="inlineStr">
        <is>
          <t>ALX440U-DS3B01</t>
        </is>
      </c>
      <c r="E667" s="2" t="n">
        <v>46125</v>
      </c>
      <c r="F667" t="inlineStr">
        <is>
          <t>Pass</t>
        </is>
      </c>
      <c r="G667" t="n">
        <v>161.1</v>
      </c>
      <c r="H667" t="n">
        <v>96.90000000000001</v>
      </c>
      <c r="I667" t="n">
        <v>-1957.8</v>
      </c>
      <c r="J667" t="n">
        <v>70.40000000000001</v>
      </c>
      <c r="K667" t="n">
        <v>0</v>
      </c>
      <c r="L667" t="n">
        <v>0.1</v>
      </c>
      <c r="M667" t="n">
        <v>0</v>
      </c>
      <c r="N667" t="n">
        <v>70.5</v>
      </c>
      <c r="O667" t="n">
        <v>114.5</v>
      </c>
      <c r="P667" t="n">
        <v>114.5</v>
      </c>
      <c r="Q667" t="n">
        <v>8.15</v>
      </c>
      <c r="R667" t="n">
        <v>8.08</v>
      </c>
      <c r="S667">
        <f>IF(OR(G667=0,G667=""),"",ABS((G667-IF($C667="LT",Config!$F$2,Config!$F$14))/IF($C667="LT",Config!$G$2,Config!$G$14)))</f>
        <v/>
      </c>
      <c r="T667">
        <f>IF(OR(H667=0,H667=""),"",ABS((H667-IF($C667="LT",Config!$F$3,Config!$F$15))/IF($C667="LT",Config!$G$3,Config!$G$15)))</f>
        <v/>
      </c>
      <c r="U667">
        <f>IF(OR(I667=0,I667=""),"",ABS((I667-IF($C667="LT",Config!$F$4,Config!$F$16))/IF($C667="LT",Config!$G$4,Config!$G$16)))</f>
        <v/>
      </c>
      <c r="V667">
        <f>IF(OR(J667=0,J667=""),"",ABS((J667-IF($C667="LT",Config!$F$5,Config!$F$17))/IF($C667="LT",Config!$G$5,Config!$G$17)))</f>
        <v/>
      </c>
      <c r="W667">
        <f>IF(OR(K667=0,K667=""),"",ABS((K667-IF($C667="LT",Config!$F$6,Config!$F$18))/IF($C667="LT",Config!$G$6,Config!$G$18)))</f>
        <v/>
      </c>
      <c r="X667">
        <f>IF(OR(L667=0,L667=""),"",ABS((L667-IF($C667="LT",Config!$F$7,Config!$F$19))/IF($C667="LT",Config!$G$7,Config!$G$19)))</f>
        <v/>
      </c>
      <c r="Y667">
        <f>IF(OR(M667=0,M667=""),"",ABS((M667-IF($C667="LT",Config!$F$8,Config!$F$20))/IF($C667="LT",Config!$G$8,Config!$G$20)))</f>
        <v/>
      </c>
      <c r="Z667">
        <f>IF(OR(N667=0,N667=""),"",ABS((N667-IF($C667="LT",Config!$F$9,Config!$F$21))/IF($C667="LT",Config!$G$9,Config!$G$21)))</f>
        <v/>
      </c>
      <c r="AA667">
        <f>IF(OR(O667=0,O667=""),"",ABS((O667-IF($C667="LT",Config!$F$10,Config!$F$22))/IF($C667="LT",Config!$G$10,Config!$G$22)))</f>
        <v/>
      </c>
      <c r="AB667">
        <f>IF(OR(P667=0,P667=""),"",ABS((P667-IF($C667="LT",Config!$F$11,Config!$F$23))/IF($C667="LT",Config!$G$11,Config!$G$23)))</f>
        <v/>
      </c>
      <c r="AC667">
        <f>IF(OR(Q667=0,Q667=""),"",ABS((Q667-IF($C667="LT",Config!$F$12,Config!$F$24))/IF($C667="LT",Config!$G$12,Config!$G$24)))</f>
        <v/>
      </c>
      <c r="AD667">
        <f>IF(OR(R667=0,R667=""),"",ABS((R667-IF($C667="LT",Config!$F$13,Config!$F$25))/IF($C667="LT",Config!$G$13,Config!$G$25)))</f>
        <v/>
      </c>
    </row>
    <row r="668">
      <c r="A668" t="inlineStr">
        <is>
          <t>04D1326121350</t>
        </is>
      </c>
      <c r="B668" t="inlineStr">
        <is>
          <t>CRS0000675</t>
        </is>
      </c>
      <c r="C668" t="inlineStr">
        <is>
          <t>LT</t>
        </is>
      </c>
      <c r="D668" t="inlineStr">
        <is>
          <t>ALX440U-DS3B01</t>
        </is>
      </c>
      <c r="E668" s="2" t="n">
        <v>46125</v>
      </c>
      <c r="F668" t="inlineStr">
        <is>
          <t>Fail</t>
        </is>
      </c>
      <c r="G668" t="n">
        <v>70.40000000000001</v>
      </c>
      <c r="H668" t="n">
        <v>68.90000000000001</v>
      </c>
      <c r="I668" t="n">
        <v>-1957.8</v>
      </c>
      <c r="J668" t="n">
        <v>69.09999999999999</v>
      </c>
      <c r="K668" t="n">
        <v>0</v>
      </c>
      <c r="L668" t="n">
        <v>0</v>
      </c>
      <c r="M668" t="n">
        <v>0</v>
      </c>
      <c r="N668" t="n">
        <v>69.09999999999999</v>
      </c>
      <c r="O668" t="n">
        <v>112.08</v>
      </c>
      <c r="P668" t="n">
        <v>113.48</v>
      </c>
      <c r="Q668" t="n">
        <v>2.32</v>
      </c>
      <c r="R668" t="n">
        <v>2.1</v>
      </c>
      <c r="S668">
        <f>IF(OR(G668=0,G668=""),"",ABS((G668-IF($C668="LT",Config!$F$2,Config!$F$14))/IF($C668="LT",Config!$G$2,Config!$G$14)))</f>
        <v/>
      </c>
      <c r="T668">
        <f>IF(OR(H668=0,H668=""),"",ABS((H668-IF($C668="LT",Config!$F$3,Config!$F$15))/IF($C668="LT",Config!$G$3,Config!$G$15)))</f>
        <v/>
      </c>
      <c r="U668">
        <f>IF(OR(I668=0,I668=""),"",ABS((I668-IF($C668="LT",Config!$F$4,Config!$F$16))/IF($C668="LT",Config!$G$4,Config!$G$16)))</f>
        <v/>
      </c>
      <c r="V668">
        <f>IF(OR(J668=0,J668=""),"",ABS((J668-IF($C668="LT",Config!$F$5,Config!$F$17))/IF($C668="LT",Config!$G$5,Config!$G$17)))</f>
        <v/>
      </c>
      <c r="W668">
        <f>IF(OR(K668=0,K668=""),"",ABS((K668-IF($C668="LT",Config!$F$6,Config!$F$18))/IF($C668="LT",Config!$G$6,Config!$G$18)))</f>
        <v/>
      </c>
      <c r="X668">
        <f>IF(OR(L668=0,L668=""),"",ABS((L668-IF($C668="LT",Config!$F$7,Config!$F$19))/IF($C668="LT",Config!$G$7,Config!$G$19)))</f>
        <v/>
      </c>
      <c r="Y668">
        <f>IF(OR(M668=0,M668=""),"",ABS((M668-IF($C668="LT",Config!$F$8,Config!$F$20))/IF($C668="LT",Config!$G$8,Config!$G$20)))</f>
        <v/>
      </c>
      <c r="Z668">
        <f>IF(OR(N668=0,N668=""),"",ABS((N668-IF($C668="LT",Config!$F$9,Config!$F$21))/IF($C668="LT",Config!$G$9,Config!$G$21)))</f>
        <v/>
      </c>
      <c r="AA668">
        <f>IF(OR(O668=0,O668=""),"",ABS((O668-IF($C668="LT",Config!$F$10,Config!$F$22))/IF($C668="LT",Config!$G$10,Config!$G$22)))</f>
        <v/>
      </c>
      <c r="AB668">
        <f>IF(OR(P668=0,P668=""),"",ABS((P668-IF($C668="LT",Config!$F$11,Config!$F$23))/IF($C668="LT",Config!$G$11,Config!$G$23)))</f>
        <v/>
      </c>
      <c r="AC668">
        <f>IF(OR(Q668=0,Q668=""),"",ABS((Q668-IF($C668="LT",Config!$F$12,Config!$F$24))/IF($C668="LT",Config!$G$12,Config!$G$24)))</f>
        <v/>
      </c>
      <c r="AD668">
        <f>IF(OR(R668=0,R668=""),"",ABS((R668-IF($C668="LT",Config!$F$13,Config!$F$25))/IF($C668="LT",Config!$G$13,Config!$G$25)))</f>
        <v/>
      </c>
    </row>
    <row r="669">
      <c r="A669" t="inlineStr">
        <is>
          <t>04D1326121350</t>
        </is>
      </c>
      <c r="B669" t="inlineStr">
        <is>
          <t>CRS0000675</t>
        </is>
      </c>
      <c r="C669" t="inlineStr">
        <is>
          <t>LT</t>
        </is>
      </c>
      <c r="D669" t="inlineStr">
        <is>
          <t>ALX440U-DS3B01</t>
        </is>
      </c>
      <c r="E669" s="2" t="n">
        <v>46125</v>
      </c>
      <c r="F669" t="inlineStr">
        <is>
          <t>Fail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>
        <f>IF(OR(G669=0,G669=""),"",ABS((G669-IF($C669="LT",Config!$F$2,Config!$F$14))/IF($C669="LT",Config!$G$2,Config!$G$14)))</f>
        <v/>
      </c>
      <c r="T669">
        <f>IF(OR(H669=0,H669=""),"",ABS((H669-IF($C669="LT",Config!$F$3,Config!$F$15))/IF($C669="LT",Config!$G$3,Config!$G$15)))</f>
        <v/>
      </c>
      <c r="U669">
        <f>IF(OR(I669=0,I669=""),"",ABS((I669-IF($C669="LT",Config!$F$4,Config!$F$16))/IF($C669="LT",Config!$G$4,Config!$G$16)))</f>
        <v/>
      </c>
      <c r="V669">
        <f>IF(OR(J669=0,J669=""),"",ABS((J669-IF($C669="LT",Config!$F$5,Config!$F$17))/IF($C669="LT",Config!$G$5,Config!$G$17)))</f>
        <v/>
      </c>
      <c r="W669">
        <f>IF(OR(K669=0,K669=""),"",ABS((K669-IF($C669="LT",Config!$F$6,Config!$F$18))/IF($C669="LT",Config!$G$6,Config!$G$18)))</f>
        <v/>
      </c>
      <c r="X669">
        <f>IF(OR(L669=0,L669=""),"",ABS((L669-IF($C669="LT",Config!$F$7,Config!$F$19))/IF($C669="LT",Config!$G$7,Config!$G$19)))</f>
        <v/>
      </c>
      <c r="Y669">
        <f>IF(OR(M669=0,M669=""),"",ABS((M669-IF($C669="LT",Config!$F$8,Config!$F$20))/IF($C669="LT",Config!$G$8,Config!$G$20)))</f>
        <v/>
      </c>
      <c r="Z669">
        <f>IF(OR(N669=0,N669=""),"",ABS((N669-IF($C669="LT",Config!$F$9,Config!$F$21))/IF($C669="LT",Config!$G$9,Config!$G$21)))</f>
        <v/>
      </c>
      <c r="AA669">
        <f>IF(OR(O669=0,O669=""),"",ABS((O669-IF($C669="LT",Config!$F$10,Config!$F$22))/IF($C669="LT",Config!$G$10,Config!$G$22)))</f>
        <v/>
      </c>
      <c r="AB669">
        <f>IF(OR(P669=0,P669=""),"",ABS((P669-IF($C669="LT",Config!$F$11,Config!$F$23))/IF($C669="LT",Config!$G$11,Config!$G$23)))</f>
        <v/>
      </c>
      <c r="AC669">
        <f>IF(OR(Q669=0,Q669=""),"",ABS((Q669-IF($C669="LT",Config!$F$12,Config!$F$24))/IF($C669="LT",Config!$G$12,Config!$G$24)))</f>
        <v/>
      </c>
      <c r="AD669">
        <f>IF(OR(R669=0,R669=""),"",ABS((R669-IF($C669="LT",Config!$F$13,Config!$F$25))/IF($C669="LT",Config!$G$13,Config!$G$25)))</f>
        <v/>
      </c>
    </row>
    <row r="670">
      <c r="A670" t="inlineStr">
        <is>
          <t>04D1326121350</t>
        </is>
      </c>
      <c r="B670" t="inlineStr">
        <is>
          <t>CRS0000675</t>
        </is>
      </c>
      <c r="C670" t="inlineStr">
        <is>
          <t>LT</t>
        </is>
      </c>
      <c r="D670" t="inlineStr">
        <is>
          <t>ALX440U-DS3B01</t>
        </is>
      </c>
      <c r="E670" s="2" t="n">
        <v>46125</v>
      </c>
      <c r="F670" t="inlineStr">
        <is>
          <t>Fail</t>
        </is>
      </c>
      <c r="G670" t="n">
        <v>71.3</v>
      </c>
      <c r="H670" t="n">
        <v>70.3</v>
      </c>
      <c r="I670" t="n">
        <v>-1957.8</v>
      </c>
      <c r="J670" t="n">
        <v>70.8</v>
      </c>
      <c r="K670" t="n">
        <v>0</v>
      </c>
      <c r="L670" t="n">
        <v>0.3</v>
      </c>
      <c r="M670" t="n">
        <v>0</v>
      </c>
      <c r="N670" t="n">
        <v>70.5</v>
      </c>
      <c r="O670" t="n">
        <v>116.48</v>
      </c>
      <c r="P670" t="n">
        <v>113.4</v>
      </c>
      <c r="Q670" t="n">
        <v>2.17</v>
      </c>
      <c r="R670" t="n">
        <v>2.1</v>
      </c>
      <c r="S670">
        <f>IF(OR(G670=0,G670=""),"",ABS((G670-IF($C670="LT",Config!$F$2,Config!$F$14))/IF($C670="LT",Config!$G$2,Config!$G$14)))</f>
        <v/>
      </c>
      <c r="T670">
        <f>IF(OR(H670=0,H670=""),"",ABS((H670-IF($C670="LT",Config!$F$3,Config!$F$15))/IF($C670="LT",Config!$G$3,Config!$G$15)))</f>
        <v/>
      </c>
      <c r="U670">
        <f>IF(OR(I670=0,I670=""),"",ABS((I670-IF($C670="LT",Config!$F$4,Config!$F$16))/IF($C670="LT",Config!$G$4,Config!$G$16)))</f>
        <v/>
      </c>
      <c r="V670">
        <f>IF(OR(J670=0,J670=""),"",ABS((J670-IF($C670="LT",Config!$F$5,Config!$F$17))/IF($C670="LT",Config!$G$5,Config!$G$17)))</f>
        <v/>
      </c>
      <c r="W670">
        <f>IF(OR(K670=0,K670=""),"",ABS((K670-IF($C670="LT",Config!$F$6,Config!$F$18))/IF($C670="LT",Config!$G$6,Config!$G$18)))</f>
        <v/>
      </c>
      <c r="X670">
        <f>IF(OR(L670=0,L670=""),"",ABS((L670-IF($C670="LT",Config!$F$7,Config!$F$19))/IF($C670="LT",Config!$G$7,Config!$G$19)))</f>
        <v/>
      </c>
      <c r="Y670">
        <f>IF(OR(M670=0,M670=""),"",ABS((M670-IF($C670="LT",Config!$F$8,Config!$F$20))/IF($C670="LT",Config!$G$8,Config!$G$20)))</f>
        <v/>
      </c>
      <c r="Z670">
        <f>IF(OR(N670=0,N670=""),"",ABS((N670-IF($C670="LT",Config!$F$9,Config!$F$21))/IF($C670="LT",Config!$G$9,Config!$G$21)))</f>
        <v/>
      </c>
      <c r="AA670">
        <f>IF(OR(O670=0,O670=""),"",ABS((O670-IF($C670="LT",Config!$F$10,Config!$F$22))/IF($C670="LT",Config!$G$10,Config!$G$22)))</f>
        <v/>
      </c>
      <c r="AB670">
        <f>IF(OR(P670=0,P670=""),"",ABS((P670-IF($C670="LT",Config!$F$11,Config!$F$23))/IF($C670="LT",Config!$G$11,Config!$G$23)))</f>
        <v/>
      </c>
      <c r="AC670">
        <f>IF(OR(Q670=0,Q670=""),"",ABS((Q670-IF($C670="LT",Config!$F$12,Config!$F$24))/IF($C670="LT",Config!$G$12,Config!$G$24)))</f>
        <v/>
      </c>
      <c r="AD670">
        <f>IF(OR(R670=0,R670=""),"",ABS((R670-IF($C670="LT",Config!$F$13,Config!$F$25))/IF($C670="LT",Config!$G$13,Config!$G$25)))</f>
        <v/>
      </c>
    </row>
    <row r="671">
      <c r="A671" t="inlineStr">
        <is>
          <t>04D1326121351</t>
        </is>
      </c>
      <c r="B671" t="inlineStr">
        <is>
          <t>CRS0000674</t>
        </is>
      </c>
      <c r="C671" t="inlineStr">
        <is>
          <t>MT</t>
        </is>
      </c>
      <c r="D671" t="inlineStr">
        <is>
          <t>TCX413U-DS1B01</t>
        </is>
      </c>
      <c r="E671" s="2" t="n">
        <v>46125</v>
      </c>
      <c r="F671" t="inlineStr">
        <is>
          <t>Pass</t>
        </is>
      </c>
      <c r="G671" t="n">
        <v>113.3</v>
      </c>
      <c r="H671" t="n">
        <v>76.09999999999999</v>
      </c>
      <c r="I671" t="n">
        <v>-1957.8</v>
      </c>
      <c r="J671" t="n">
        <v>70.8</v>
      </c>
      <c r="K671" t="n">
        <v>0</v>
      </c>
      <c r="L671" t="n">
        <v>0.8</v>
      </c>
      <c r="M671" t="n">
        <v>0</v>
      </c>
      <c r="N671" t="n">
        <v>71.59999999999999</v>
      </c>
      <c r="O671" t="n">
        <v>115.24</v>
      </c>
      <c r="P671" t="n">
        <v>115.46</v>
      </c>
      <c r="Q671" t="n">
        <v>4.05</v>
      </c>
      <c r="R671" t="n">
        <v>4.08</v>
      </c>
      <c r="S671">
        <f>IF(OR(G671=0,G671=""),"",ABS((G671-IF($C671="LT",Config!$F$2,Config!$F$14))/IF($C671="LT",Config!$G$2,Config!$G$14)))</f>
        <v/>
      </c>
      <c r="T671">
        <f>IF(OR(H671=0,H671=""),"",ABS((H671-IF($C671="LT",Config!$F$3,Config!$F$15))/IF($C671="LT",Config!$G$3,Config!$G$15)))</f>
        <v/>
      </c>
      <c r="U671">
        <f>IF(OR(I671=0,I671=""),"",ABS((I671-IF($C671="LT",Config!$F$4,Config!$F$16))/IF($C671="LT",Config!$G$4,Config!$G$16)))</f>
        <v/>
      </c>
      <c r="V671">
        <f>IF(OR(J671=0,J671=""),"",ABS((J671-IF($C671="LT",Config!$F$5,Config!$F$17))/IF($C671="LT",Config!$G$5,Config!$G$17)))</f>
        <v/>
      </c>
      <c r="W671">
        <f>IF(OR(K671=0,K671=""),"",ABS((K671-IF($C671="LT",Config!$F$6,Config!$F$18))/IF($C671="LT",Config!$G$6,Config!$G$18)))</f>
        <v/>
      </c>
      <c r="X671">
        <f>IF(OR(L671=0,L671=""),"",ABS((L671-IF($C671="LT",Config!$F$7,Config!$F$19))/IF($C671="LT",Config!$G$7,Config!$G$19)))</f>
        <v/>
      </c>
      <c r="Y671">
        <f>IF(OR(M671=0,M671=""),"",ABS((M671-IF($C671="LT",Config!$F$8,Config!$F$20))/IF($C671="LT",Config!$G$8,Config!$G$20)))</f>
        <v/>
      </c>
      <c r="Z671">
        <f>IF(OR(N671=0,N671=""),"",ABS((N671-IF($C671="LT",Config!$F$9,Config!$F$21))/IF($C671="LT",Config!$G$9,Config!$G$21)))</f>
        <v/>
      </c>
      <c r="AA671">
        <f>IF(OR(O671=0,O671=""),"",ABS((O671-IF($C671="LT",Config!$F$10,Config!$F$22))/IF($C671="LT",Config!$G$10,Config!$G$22)))</f>
        <v/>
      </c>
      <c r="AB671">
        <f>IF(OR(P671=0,P671=""),"",ABS((P671-IF($C671="LT",Config!$F$11,Config!$F$23))/IF($C671="LT",Config!$G$11,Config!$G$23)))</f>
        <v/>
      </c>
      <c r="AC671">
        <f>IF(OR(Q671=0,Q671=""),"",ABS((Q671-IF($C671="LT",Config!$F$12,Config!$F$24))/IF($C671="LT",Config!$G$12,Config!$G$24)))</f>
        <v/>
      </c>
      <c r="AD671">
        <f>IF(OR(R671=0,R671=""),"",ABS((R671-IF($C671="LT",Config!$F$13,Config!$F$25))/IF($C671="LT",Config!$G$13,Config!$G$25)))</f>
        <v/>
      </c>
    </row>
    <row r="672">
      <c r="A672" t="inlineStr">
        <is>
          <t>04D1326121352</t>
        </is>
      </c>
      <c r="B672" t="inlineStr">
        <is>
          <t>CRS0000674</t>
        </is>
      </c>
      <c r="C672" t="inlineStr">
        <is>
          <t>MT</t>
        </is>
      </c>
      <c r="D672" t="inlineStr">
        <is>
          <t>TCX413U-DS1B01</t>
        </is>
      </c>
      <c r="E672" s="2" t="n">
        <v>46125</v>
      </c>
      <c r="F672" t="inlineStr">
        <is>
          <t>Pass</t>
        </is>
      </c>
      <c r="G672" t="n">
        <v>110.6</v>
      </c>
      <c r="H672" t="n">
        <v>82</v>
      </c>
      <c r="I672" t="n">
        <v>-1957.8</v>
      </c>
      <c r="J672" t="n">
        <v>70.8</v>
      </c>
      <c r="K672" t="n">
        <v>0</v>
      </c>
      <c r="L672" t="n">
        <v>0.1</v>
      </c>
      <c r="M672" t="n">
        <v>0</v>
      </c>
      <c r="N672" t="n">
        <v>70.7</v>
      </c>
      <c r="O672" t="n">
        <v>115.75</v>
      </c>
      <c r="P672" t="n">
        <v>117.29</v>
      </c>
      <c r="Q672" t="n">
        <v>3.83</v>
      </c>
      <c r="R672" t="n">
        <v>3.91</v>
      </c>
      <c r="S672">
        <f>IF(OR(G672=0,G672=""),"",ABS((G672-IF($C672="LT",Config!$F$2,Config!$F$14))/IF($C672="LT",Config!$G$2,Config!$G$14)))</f>
        <v/>
      </c>
      <c r="T672">
        <f>IF(OR(H672=0,H672=""),"",ABS((H672-IF($C672="LT",Config!$F$3,Config!$F$15))/IF($C672="LT",Config!$G$3,Config!$G$15)))</f>
        <v/>
      </c>
      <c r="U672">
        <f>IF(OR(I672=0,I672=""),"",ABS((I672-IF($C672="LT",Config!$F$4,Config!$F$16))/IF($C672="LT",Config!$G$4,Config!$G$16)))</f>
        <v/>
      </c>
      <c r="V672">
        <f>IF(OR(J672=0,J672=""),"",ABS((J672-IF($C672="LT",Config!$F$5,Config!$F$17))/IF($C672="LT",Config!$G$5,Config!$G$17)))</f>
        <v/>
      </c>
      <c r="W672">
        <f>IF(OR(K672=0,K672=""),"",ABS((K672-IF($C672="LT",Config!$F$6,Config!$F$18))/IF($C672="LT",Config!$G$6,Config!$G$18)))</f>
        <v/>
      </c>
      <c r="X672">
        <f>IF(OR(L672=0,L672=""),"",ABS((L672-IF($C672="LT",Config!$F$7,Config!$F$19))/IF($C672="LT",Config!$G$7,Config!$G$19)))</f>
        <v/>
      </c>
      <c r="Y672">
        <f>IF(OR(M672=0,M672=""),"",ABS((M672-IF($C672="LT",Config!$F$8,Config!$F$20))/IF($C672="LT",Config!$G$8,Config!$G$20)))</f>
        <v/>
      </c>
      <c r="Z672">
        <f>IF(OR(N672=0,N672=""),"",ABS((N672-IF($C672="LT",Config!$F$9,Config!$F$21))/IF($C672="LT",Config!$G$9,Config!$G$21)))</f>
        <v/>
      </c>
      <c r="AA672">
        <f>IF(OR(O672=0,O672=""),"",ABS((O672-IF($C672="LT",Config!$F$10,Config!$F$22))/IF($C672="LT",Config!$G$10,Config!$G$22)))</f>
        <v/>
      </c>
      <c r="AB672">
        <f>IF(OR(P672=0,P672=""),"",ABS((P672-IF($C672="LT",Config!$F$11,Config!$F$23))/IF($C672="LT",Config!$G$11,Config!$G$23)))</f>
        <v/>
      </c>
      <c r="AC672">
        <f>IF(OR(Q672=0,Q672=""),"",ABS((Q672-IF($C672="LT",Config!$F$12,Config!$F$24))/IF($C672="LT",Config!$G$12,Config!$G$24)))</f>
        <v/>
      </c>
      <c r="AD672">
        <f>IF(OR(R672=0,R672=""),"",ABS((R672-IF($C672="LT",Config!$F$13,Config!$F$25))/IF($C672="LT",Config!$G$13,Config!$G$25)))</f>
        <v/>
      </c>
    </row>
    <row r="673">
      <c r="A673" t="inlineStr">
        <is>
          <t>04D1326121353</t>
        </is>
      </c>
      <c r="B673" t="inlineStr">
        <is>
          <t>CRS0000674</t>
        </is>
      </c>
      <c r="C673" t="inlineStr">
        <is>
          <t>MT</t>
        </is>
      </c>
      <c r="D673" t="inlineStr">
        <is>
          <t>TCX413U-DS1B01</t>
        </is>
      </c>
      <c r="E673" s="2" t="n">
        <v>46125</v>
      </c>
      <c r="F673" t="inlineStr">
        <is>
          <t>Pass</t>
        </is>
      </c>
      <c r="G673" t="n">
        <v>113.7</v>
      </c>
      <c r="H673" t="n">
        <v>79.3</v>
      </c>
      <c r="I673" t="n">
        <v>-1957.8</v>
      </c>
      <c r="J673" t="n">
        <v>70.40000000000001</v>
      </c>
      <c r="K673" t="n">
        <v>0</v>
      </c>
      <c r="L673" t="n">
        <v>0.4</v>
      </c>
      <c r="M673" t="n">
        <v>0</v>
      </c>
      <c r="N673" t="n">
        <v>70</v>
      </c>
      <c r="O673" t="n">
        <v>115.75</v>
      </c>
      <c r="P673" t="n">
        <v>117.22</v>
      </c>
      <c r="Q673" t="n">
        <v>4.1</v>
      </c>
      <c r="R673" t="n">
        <v>4.13</v>
      </c>
      <c r="S673">
        <f>IF(OR(G673=0,G673=""),"",ABS((G673-IF($C673="LT",Config!$F$2,Config!$F$14))/IF($C673="LT",Config!$G$2,Config!$G$14)))</f>
        <v/>
      </c>
      <c r="T673">
        <f>IF(OR(H673=0,H673=""),"",ABS((H673-IF($C673="LT",Config!$F$3,Config!$F$15))/IF($C673="LT",Config!$G$3,Config!$G$15)))</f>
        <v/>
      </c>
      <c r="U673">
        <f>IF(OR(I673=0,I673=""),"",ABS((I673-IF($C673="LT",Config!$F$4,Config!$F$16))/IF($C673="LT",Config!$G$4,Config!$G$16)))</f>
        <v/>
      </c>
      <c r="V673">
        <f>IF(OR(J673=0,J673=""),"",ABS((J673-IF($C673="LT",Config!$F$5,Config!$F$17))/IF($C673="LT",Config!$G$5,Config!$G$17)))</f>
        <v/>
      </c>
      <c r="W673">
        <f>IF(OR(K673=0,K673=""),"",ABS((K673-IF($C673="LT",Config!$F$6,Config!$F$18))/IF($C673="LT",Config!$G$6,Config!$G$18)))</f>
        <v/>
      </c>
      <c r="X673">
        <f>IF(OR(L673=0,L673=""),"",ABS((L673-IF($C673="LT",Config!$F$7,Config!$F$19))/IF($C673="LT",Config!$G$7,Config!$G$19)))</f>
        <v/>
      </c>
      <c r="Y673">
        <f>IF(OR(M673=0,M673=""),"",ABS((M673-IF($C673="LT",Config!$F$8,Config!$F$20))/IF($C673="LT",Config!$G$8,Config!$G$20)))</f>
        <v/>
      </c>
      <c r="Z673">
        <f>IF(OR(N673=0,N673=""),"",ABS((N673-IF($C673="LT",Config!$F$9,Config!$F$21))/IF($C673="LT",Config!$G$9,Config!$G$21)))</f>
        <v/>
      </c>
      <c r="AA673">
        <f>IF(OR(O673=0,O673=""),"",ABS((O673-IF($C673="LT",Config!$F$10,Config!$F$22))/IF($C673="LT",Config!$G$10,Config!$G$22)))</f>
        <v/>
      </c>
      <c r="AB673">
        <f>IF(OR(P673=0,P673=""),"",ABS((P673-IF($C673="LT",Config!$F$11,Config!$F$23))/IF($C673="LT",Config!$G$11,Config!$G$23)))</f>
        <v/>
      </c>
      <c r="AC673">
        <f>IF(OR(Q673=0,Q673=""),"",ABS((Q673-IF($C673="LT",Config!$F$12,Config!$F$24))/IF($C673="LT",Config!$G$12,Config!$G$24)))</f>
        <v/>
      </c>
      <c r="AD673">
        <f>IF(OR(R673=0,R673=""),"",ABS((R673-IF($C673="LT",Config!$F$13,Config!$F$25))/IF($C673="LT",Config!$G$13,Config!$G$25)))</f>
        <v/>
      </c>
    </row>
    <row r="674">
      <c r="A674" t="inlineStr">
        <is>
          <t>04D1326121354</t>
        </is>
      </c>
      <c r="B674" t="inlineStr">
        <is>
          <t>CRS0000674</t>
        </is>
      </c>
      <c r="C674" t="inlineStr">
        <is>
          <t>MT</t>
        </is>
      </c>
      <c r="D674" t="inlineStr">
        <is>
          <t>TCX413U-DS1B01</t>
        </is>
      </c>
      <c r="E674" s="2" t="n">
        <v>46125</v>
      </c>
      <c r="F674" t="inlineStr">
        <is>
          <t>Pass</t>
        </is>
      </c>
      <c r="G674" t="n">
        <v>110.2</v>
      </c>
      <c r="H674" t="n">
        <v>82.5</v>
      </c>
      <c r="I674" t="n">
        <v>-1957.8</v>
      </c>
      <c r="J674" t="n">
        <v>70.40000000000001</v>
      </c>
      <c r="K674" t="n">
        <v>0</v>
      </c>
      <c r="L674" t="n">
        <v>0.4</v>
      </c>
      <c r="M674" t="n">
        <v>0</v>
      </c>
      <c r="N674" t="n">
        <v>70</v>
      </c>
      <c r="O674" t="n">
        <v>112.01</v>
      </c>
      <c r="P674" t="n">
        <v>116.78</v>
      </c>
      <c r="Q674" t="n">
        <v>4.1</v>
      </c>
      <c r="R674" t="n">
        <v>4.03</v>
      </c>
      <c r="S674">
        <f>IF(OR(G674=0,G674=""),"",ABS((G674-IF($C674="LT",Config!$F$2,Config!$F$14))/IF($C674="LT",Config!$G$2,Config!$G$14)))</f>
        <v/>
      </c>
      <c r="T674">
        <f>IF(OR(H674=0,H674=""),"",ABS((H674-IF($C674="LT",Config!$F$3,Config!$F$15))/IF($C674="LT",Config!$G$3,Config!$G$15)))</f>
        <v/>
      </c>
      <c r="U674">
        <f>IF(OR(I674=0,I674=""),"",ABS((I674-IF($C674="LT",Config!$F$4,Config!$F$16))/IF($C674="LT",Config!$G$4,Config!$G$16)))</f>
        <v/>
      </c>
      <c r="V674">
        <f>IF(OR(J674=0,J674=""),"",ABS((J674-IF($C674="LT",Config!$F$5,Config!$F$17))/IF($C674="LT",Config!$G$5,Config!$G$17)))</f>
        <v/>
      </c>
      <c r="W674">
        <f>IF(OR(K674=0,K674=""),"",ABS((K674-IF($C674="LT",Config!$F$6,Config!$F$18))/IF($C674="LT",Config!$G$6,Config!$G$18)))</f>
        <v/>
      </c>
      <c r="X674">
        <f>IF(OR(L674=0,L674=""),"",ABS((L674-IF($C674="LT",Config!$F$7,Config!$F$19))/IF($C674="LT",Config!$G$7,Config!$G$19)))</f>
        <v/>
      </c>
      <c r="Y674">
        <f>IF(OR(M674=0,M674=""),"",ABS((M674-IF($C674="LT",Config!$F$8,Config!$F$20))/IF($C674="LT",Config!$G$8,Config!$G$20)))</f>
        <v/>
      </c>
      <c r="Z674">
        <f>IF(OR(N674=0,N674=""),"",ABS((N674-IF($C674="LT",Config!$F$9,Config!$F$21))/IF($C674="LT",Config!$G$9,Config!$G$21)))</f>
        <v/>
      </c>
      <c r="AA674">
        <f>IF(OR(O674=0,O674=""),"",ABS((O674-IF($C674="LT",Config!$F$10,Config!$F$22))/IF($C674="LT",Config!$G$10,Config!$G$22)))</f>
        <v/>
      </c>
      <c r="AB674">
        <f>IF(OR(P674=0,P674=""),"",ABS((P674-IF($C674="LT",Config!$F$11,Config!$F$23))/IF($C674="LT",Config!$G$11,Config!$G$23)))</f>
        <v/>
      </c>
      <c r="AC674">
        <f>IF(OR(Q674=0,Q674=""),"",ABS((Q674-IF($C674="LT",Config!$F$12,Config!$F$24))/IF($C674="LT",Config!$G$12,Config!$G$24)))</f>
        <v/>
      </c>
      <c r="AD674">
        <f>IF(OR(R674=0,R674=""),"",ABS((R674-IF($C674="LT",Config!$F$13,Config!$F$25))/IF($C674="LT",Config!$G$13,Config!$G$25)))</f>
        <v/>
      </c>
    </row>
    <row r="675">
      <c r="A675" t="inlineStr">
        <is>
          <t>04D1326121355</t>
        </is>
      </c>
      <c r="B675" t="inlineStr">
        <is>
          <t>CRS0000674</t>
        </is>
      </c>
      <c r="C675" t="inlineStr">
        <is>
          <t>MT</t>
        </is>
      </c>
      <c r="D675" t="inlineStr">
        <is>
          <t>TCX413U-DS1B01</t>
        </is>
      </c>
      <c r="E675" s="2" t="n">
        <v>46125</v>
      </c>
      <c r="F675" t="inlineStr">
        <is>
          <t>Pass</t>
        </is>
      </c>
      <c r="G675" t="n">
        <v>112.4</v>
      </c>
      <c r="H675" t="n">
        <v>83.8</v>
      </c>
      <c r="I675" t="n">
        <v>-1957.8</v>
      </c>
      <c r="J675" t="n">
        <v>70.40000000000001</v>
      </c>
      <c r="K675" t="n">
        <v>0</v>
      </c>
      <c r="L675" t="n">
        <v>0.3</v>
      </c>
      <c r="M675" t="n">
        <v>0</v>
      </c>
      <c r="N675" t="n">
        <v>70.7</v>
      </c>
      <c r="O675" t="n">
        <v>111.94</v>
      </c>
      <c r="P675" t="n">
        <v>113.62</v>
      </c>
      <c r="Q675" t="n">
        <v>3.98</v>
      </c>
      <c r="R675" t="n">
        <v>4</v>
      </c>
      <c r="S675">
        <f>IF(OR(G675=0,G675=""),"",ABS((G675-IF($C675="LT",Config!$F$2,Config!$F$14))/IF($C675="LT",Config!$G$2,Config!$G$14)))</f>
        <v/>
      </c>
      <c r="T675">
        <f>IF(OR(H675=0,H675=""),"",ABS((H675-IF($C675="LT",Config!$F$3,Config!$F$15))/IF($C675="LT",Config!$G$3,Config!$G$15)))</f>
        <v/>
      </c>
      <c r="U675">
        <f>IF(OR(I675=0,I675=""),"",ABS((I675-IF($C675="LT",Config!$F$4,Config!$F$16))/IF($C675="LT",Config!$G$4,Config!$G$16)))</f>
        <v/>
      </c>
      <c r="V675">
        <f>IF(OR(J675=0,J675=""),"",ABS((J675-IF($C675="LT",Config!$F$5,Config!$F$17))/IF($C675="LT",Config!$G$5,Config!$G$17)))</f>
        <v/>
      </c>
      <c r="W675">
        <f>IF(OR(K675=0,K675=""),"",ABS((K675-IF($C675="LT",Config!$F$6,Config!$F$18))/IF($C675="LT",Config!$G$6,Config!$G$18)))</f>
        <v/>
      </c>
      <c r="X675">
        <f>IF(OR(L675=0,L675=""),"",ABS((L675-IF($C675="LT",Config!$F$7,Config!$F$19))/IF($C675="LT",Config!$G$7,Config!$G$19)))</f>
        <v/>
      </c>
      <c r="Y675">
        <f>IF(OR(M675=0,M675=""),"",ABS((M675-IF($C675="LT",Config!$F$8,Config!$F$20))/IF($C675="LT",Config!$G$8,Config!$G$20)))</f>
        <v/>
      </c>
      <c r="Z675">
        <f>IF(OR(N675=0,N675=""),"",ABS((N675-IF($C675="LT",Config!$F$9,Config!$F$21))/IF($C675="LT",Config!$G$9,Config!$G$21)))</f>
        <v/>
      </c>
      <c r="AA675">
        <f>IF(OR(O675=0,O675=""),"",ABS((O675-IF($C675="LT",Config!$F$10,Config!$F$22))/IF($C675="LT",Config!$G$10,Config!$G$22)))</f>
        <v/>
      </c>
      <c r="AB675">
        <f>IF(OR(P675=0,P675=""),"",ABS((P675-IF($C675="LT",Config!$F$11,Config!$F$23))/IF($C675="LT",Config!$G$11,Config!$G$23)))</f>
        <v/>
      </c>
      <c r="AC675">
        <f>IF(OR(Q675=0,Q675=""),"",ABS((Q675-IF($C675="LT",Config!$F$12,Config!$F$24))/IF($C675="LT",Config!$G$12,Config!$G$24)))</f>
        <v/>
      </c>
      <c r="AD675">
        <f>IF(OR(R675=0,R675=""),"",ABS((R675-IF($C675="LT",Config!$F$13,Config!$F$25))/IF($C675="LT",Config!$G$13,Config!$G$25)))</f>
        <v/>
      </c>
    </row>
    <row r="676">
      <c r="A676" t="inlineStr">
        <is>
          <t>04D1326121356</t>
        </is>
      </c>
      <c r="B676" t="inlineStr">
        <is>
          <t>CRS0000674</t>
        </is>
      </c>
      <c r="C676" t="inlineStr">
        <is>
          <t>MT</t>
        </is>
      </c>
      <c r="D676" t="inlineStr">
        <is>
          <t>TCX413U-DS1B01</t>
        </is>
      </c>
      <c r="E676" s="2" t="n">
        <v>46125</v>
      </c>
      <c r="F676" t="inlineStr">
        <is>
          <t>Pass</t>
        </is>
      </c>
      <c r="G676" t="n">
        <v>115.1</v>
      </c>
      <c r="H676" t="n">
        <v>80.7</v>
      </c>
      <c r="I676" t="n">
        <v>-1957.8</v>
      </c>
      <c r="J676" t="n">
        <v>70.40000000000001</v>
      </c>
      <c r="K676" t="n">
        <v>0</v>
      </c>
      <c r="L676" t="n">
        <v>0.2</v>
      </c>
      <c r="M676" t="n">
        <v>0</v>
      </c>
      <c r="N676" t="n">
        <v>70.59999999999999</v>
      </c>
      <c r="O676" t="n">
        <v>115.68</v>
      </c>
      <c r="P676" t="n">
        <v>117.22</v>
      </c>
      <c r="Q676" t="n">
        <v>3.86</v>
      </c>
      <c r="R676" t="n">
        <v>3.93</v>
      </c>
      <c r="S676">
        <f>IF(OR(G676=0,G676=""),"",ABS((G676-IF($C676="LT",Config!$F$2,Config!$F$14))/IF($C676="LT",Config!$G$2,Config!$G$14)))</f>
        <v/>
      </c>
      <c r="T676">
        <f>IF(OR(H676=0,H676=""),"",ABS((H676-IF($C676="LT",Config!$F$3,Config!$F$15))/IF($C676="LT",Config!$G$3,Config!$G$15)))</f>
        <v/>
      </c>
      <c r="U676">
        <f>IF(OR(I676=0,I676=""),"",ABS((I676-IF($C676="LT",Config!$F$4,Config!$F$16))/IF($C676="LT",Config!$G$4,Config!$G$16)))</f>
        <v/>
      </c>
      <c r="V676">
        <f>IF(OR(J676=0,J676=""),"",ABS((J676-IF($C676="LT",Config!$F$5,Config!$F$17))/IF($C676="LT",Config!$G$5,Config!$G$17)))</f>
        <v/>
      </c>
      <c r="W676">
        <f>IF(OR(K676=0,K676=""),"",ABS((K676-IF($C676="LT",Config!$F$6,Config!$F$18))/IF($C676="LT",Config!$G$6,Config!$G$18)))</f>
        <v/>
      </c>
      <c r="X676">
        <f>IF(OR(L676=0,L676=""),"",ABS((L676-IF($C676="LT",Config!$F$7,Config!$F$19))/IF($C676="LT",Config!$G$7,Config!$G$19)))</f>
        <v/>
      </c>
      <c r="Y676">
        <f>IF(OR(M676=0,M676=""),"",ABS((M676-IF($C676="LT",Config!$F$8,Config!$F$20))/IF($C676="LT",Config!$G$8,Config!$G$20)))</f>
        <v/>
      </c>
      <c r="Z676">
        <f>IF(OR(N676=0,N676=""),"",ABS((N676-IF($C676="LT",Config!$F$9,Config!$F$21))/IF($C676="LT",Config!$G$9,Config!$G$21)))</f>
        <v/>
      </c>
      <c r="AA676">
        <f>IF(OR(O676=0,O676=""),"",ABS((O676-IF($C676="LT",Config!$F$10,Config!$F$22))/IF($C676="LT",Config!$G$10,Config!$G$22)))</f>
        <v/>
      </c>
      <c r="AB676">
        <f>IF(OR(P676=0,P676=""),"",ABS((P676-IF($C676="LT",Config!$F$11,Config!$F$23))/IF($C676="LT",Config!$G$11,Config!$G$23)))</f>
        <v/>
      </c>
      <c r="AC676">
        <f>IF(OR(Q676=0,Q676=""),"",ABS((Q676-IF($C676="LT",Config!$F$12,Config!$F$24))/IF($C676="LT",Config!$G$12,Config!$G$24)))</f>
        <v/>
      </c>
      <c r="AD676">
        <f>IF(OR(R676=0,R676=""),"",ABS((R676-IF($C676="LT",Config!$F$13,Config!$F$25))/IF($C676="LT",Config!$G$13,Config!$G$25)))</f>
        <v/>
      </c>
    </row>
    <row r="677">
      <c r="A677" t="inlineStr">
        <is>
          <t>04D1326121357</t>
        </is>
      </c>
      <c r="B677" t="inlineStr">
        <is>
          <t>CRS0000674</t>
        </is>
      </c>
      <c r="C677" t="inlineStr">
        <is>
          <t>MT</t>
        </is>
      </c>
      <c r="D677" t="inlineStr">
        <is>
          <t>TCX413U-DS1B01</t>
        </is>
      </c>
      <c r="E677" s="2" t="n">
        <v>46125</v>
      </c>
      <c r="F677" t="inlineStr">
        <is>
          <t>Pass</t>
        </is>
      </c>
      <c r="G677" t="n">
        <v>113.3</v>
      </c>
      <c r="H677" t="n">
        <v>81.09999999999999</v>
      </c>
      <c r="I677" t="n">
        <v>-1957.8</v>
      </c>
      <c r="J677" t="n">
        <v>70.40000000000001</v>
      </c>
      <c r="K677" t="n">
        <v>0</v>
      </c>
      <c r="L677" t="n">
        <v>0.1</v>
      </c>
      <c r="M677" t="n">
        <v>0</v>
      </c>
      <c r="N677" t="n">
        <v>70.5</v>
      </c>
      <c r="O677" t="n">
        <v>112.08</v>
      </c>
      <c r="P677" t="n">
        <v>116.92</v>
      </c>
      <c r="Q677" t="n">
        <v>4.13</v>
      </c>
      <c r="R677" t="n">
        <v>4.08</v>
      </c>
      <c r="S677">
        <f>IF(OR(G677=0,G677=""),"",ABS((G677-IF($C677="LT",Config!$F$2,Config!$F$14))/IF($C677="LT",Config!$G$2,Config!$G$14)))</f>
        <v/>
      </c>
      <c r="T677">
        <f>IF(OR(H677=0,H677=""),"",ABS((H677-IF($C677="LT",Config!$F$3,Config!$F$15))/IF($C677="LT",Config!$G$3,Config!$G$15)))</f>
        <v/>
      </c>
      <c r="U677">
        <f>IF(OR(I677=0,I677=""),"",ABS((I677-IF($C677="LT",Config!$F$4,Config!$F$16))/IF($C677="LT",Config!$G$4,Config!$G$16)))</f>
        <v/>
      </c>
      <c r="V677">
        <f>IF(OR(J677=0,J677=""),"",ABS((J677-IF($C677="LT",Config!$F$5,Config!$F$17))/IF($C677="LT",Config!$G$5,Config!$G$17)))</f>
        <v/>
      </c>
      <c r="W677">
        <f>IF(OR(K677=0,K677=""),"",ABS((K677-IF($C677="LT",Config!$F$6,Config!$F$18))/IF($C677="LT",Config!$G$6,Config!$G$18)))</f>
        <v/>
      </c>
      <c r="X677">
        <f>IF(OR(L677=0,L677=""),"",ABS((L677-IF($C677="LT",Config!$F$7,Config!$F$19))/IF($C677="LT",Config!$G$7,Config!$G$19)))</f>
        <v/>
      </c>
      <c r="Y677">
        <f>IF(OR(M677=0,M677=""),"",ABS((M677-IF($C677="LT",Config!$F$8,Config!$F$20))/IF($C677="LT",Config!$G$8,Config!$G$20)))</f>
        <v/>
      </c>
      <c r="Z677">
        <f>IF(OR(N677=0,N677=""),"",ABS((N677-IF($C677="LT",Config!$F$9,Config!$F$21))/IF($C677="LT",Config!$G$9,Config!$G$21)))</f>
        <v/>
      </c>
      <c r="AA677">
        <f>IF(OR(O677=0,O677=""),"",ABS((O677-IF($C677="LT",Config!$F$10,Config!$F$22))/IF($C677="LT",Config!$G$10,Config!$G$22)))</f>
        <v/>
      </c>
      <c r="AB677">
        <f>IF(OR(P677=0,P677=""),"",ABS((P677-IF($C677="LT",Config!$F$11,Config!$F$23))/IF($C677="LT",Config!$G$11,Config!$G$23)))</f>
        <v/>
      </c>
      <c r="AC677">
        <f>IF(OR(Q677=0,Q677=""),"",ABS((Q677-IF($C677="LT",Config!$F$12,Config!$F$24))/IF($C677="LT",Config!$G$12,Config!$G$24)))</f>
        <v/>
      </c>
      <c r="AD677">
        <f>IF(OR(R677=0,R677=""),"",ABS((R677-IF($C677="LT",Config!$F$13,Config!$F$25))/IF($C677="LT",Config!$G$13,Config!$G$25)))</f>
        <v/>
      </c>
    </row>
    <row r="678">
      <c r="A678" t="inlineStr">
        <is>
          <t>04D1326121358</t>
        </is>
      </c>
      <c r="B678" t="inlineStr">
        <is>
          <t>CRS0000674</t>
        </is>
      </c>
      <c r="C678" t="inlineStr">
        <is>
          <t>MT</t>
        </is>
      </c>
      <c r="D678" t="inlineStr">
        <is>
          <t>TCX413U-DS1B01</t>
        </is>
      </c>
      <c r="E678" s="2" t="n">
        <v>46125</v>
      </c>
      <c r="F678" t="inlineStr">
        <is>
          <t>Fail</t>
        </is>
      </c>
      <c r="G678" t="n">
        <v>70.90000000000001</v>
      </c>
      <c r="H678" t="n">
        <v>69.40000000000001</v>
      </c>
      <c r="I678" t="n">
        <v>-1957.8</v>
      </c>
      <c r="J678" t="n">
        <v>70.8</v>
      </c>
      <c r="K678" t="n">
        <v>0</v>
      </c>
      <c r="L678" t="n">
        <v>0.4</v>
      </c>
      <c r="M678" t="n">
        <v>0</v>
      </c>
      <c r="N678" t="n">
        <v>71.2</v>
      </c>
      <c r="O678" t="n">
        <v>115.38</v>
      </c>
      <c r="P678" t="n">
        <v>115.38</v>
      </c>
      <c r="Q678" t="n">
        <v>3.98</v>
      </c>
      <c r="R678" t="n">
        <v>4.03</v>
      </c>
      <c r="S678">
        <f>IF(OR(G678=0,G678=""),"",ABS((G678-IF($C678="LT",Config!$F$2,Config!$F$14))/IF($C678="LT",Config!$G$2,Config!$G$14)))</f>
        <v/>
      </c>
      <c r="T678">
        <f>IF(OR(H678=0,H678=""),"",ABS((H678-IF($C678="LT",Config!$F$3,Config!$F$15))/IF($C678="LT",Config!$G$3,Config!$G$15)))</f>
        <v/>
      </c>
      <c r="U678">
        <f>IF(OR(I678=0,I678=""),"",ABS((I678-IF($C678="LT",Config!$F$4,Config!$F$16))/IF($C678="LT",Config!$G$4,Config!$G$16)))</f>
        <v/>
      </c>
      <c r="V678">
        <f>IF(OR(J678=0,J678=""),"",ABS((J678-IF($C678="LT",Config!$F$5,Config!$F$17))/IF($C678="LT",Config!$G$5,Config!$G$17)))</f>
        <v/>
      </c>
      <c r="W678">
        <f>IF(OR(K678=0,K678=""),"",ABS((K678-IF($C678="LT",Config!$F$6,Config!$F$18))/IF($C678="LT",Config!$G$6,Config!$G$18)))</f>
        <v/>
      </c>
      <c r="X678">
        <f>IF(OR(L678=0,L678=""),"",ABS((L678-IF($C678="LT",Config!$F$7,Config!$F$19))/IF($C678="LT",Config!$G$7,Config!$G$19)))</f>
        <v/>
      </c>
      <c r="Y678">
        <f>IF(OR(M678=0,M678=""),"",ABS((M678-IF($C678="LT",Config!$F$8,Config!$F$20))/IF($C678="LT",Config!$G$8,Config!$G$20)))</f>
        <v/>
      </c>
      <c r="Z678">
        <f>IF(OR(N678=0,N678=""),"",ABS((N678-IF($C678="LT",Config!$F$9,Config!$F$21))/IF($C678="LT",Config!$G$9,Config!$G$21)))</f>
        <v/>
      </c>
      <c r="AA678">
        <f>IF(OR(O678=0,O678=""),"",ABS((O678-IF($C678="LT",Config!$F$10,Config!$F$22))/IF($C678="LT",Config!$G$10,Config!$G$22)))</f>
        <v/>
      </c>
      <c r="AB678">
        <f>IF(OR(P678=0,P678=""),"",ABS((P678-IF($C678="LT",Config!$F$11,Config!$F$23))/IF($C678="LT",Config!$G$11,Config!$G$23)))</f>
        <v/>
      </c>
      <c r="AC678">
        <f>IF(OR(Q678=0,Q678=""),"",ABS((Q678-IF($C678="LT",Config!$F$12,Config!$F$24))/IF($C678="LT",Config!$G$12,Config!$G$24)))</f>
        <v/>
      </c>
      <c r="AD678">
        <f>IF(OR(R678=0,R678=""),"",ABS((R678-IF($C678="LT",Config!$F$13,Config!$F$25))/IF($C678="LT",Config!$G$13,Config!$G$25)))</f>
        <v/>
      </c>
    </row>
    <row r="679">
      <c r="A679" t="inlineStr">
        <is>
          <t>04D1326121358</t>
        </is>
      </c>
      <c r="B679" t="inlineStr">
        <is>
          <t>CRS0000674</t>
        </is>
      </c>
      <c r="C679" t="inlineStr">
        <is>
          <t>MT</t>
        </is>
      </c>
      <c r="D679" t="inlineStr">
        <is>
          <t>TCX413U-DS1B01</t>
        </is>
      </c>
      <c r="E679" s="2" t="n">
        <v>46125</v>
      </c>
      <c r="F679" t="inlineStr">
        <is>
          <t>Pass</t>
        </is>
      </c>
      <c r="G679" t="n">
        <v>113.3</v>
      </c>
      <c r="H679" t="n">
        <v>82.5</v>
      </c>
      <c r="I679" t="n">
        <v>-1957.8</v>
      </c>
      <c r="J679" t="n">
        <v>70.40000000000001</v>
      </c>
      <c r="K679" t="n">
        <v>0</v>
      </c>
      <c r="L679" t="n">
        <v>0.3</v>
      </c>
      <c r="M679" t="n">
        <v>0</v>
      </c>
      <c r="N679" t="n">
        <v>70.7</v>
      </c>
      <c r="O679" t="n">
        <v>112.08</v>
      </c>
      <c r="P679" t="n">
        <v>116.85</v>
      </c>
      <c r="Q679" t="n">
        <v>4.08</v>
      </c>
      <c r="R679" t="n">
        <v>4.05</v>
      </c>
      <c r="S679">
        <f>IF(OR(G679=0,G679=""),"",ABS((G679-IF($C679="LT",Config!$F$2,Config!$F$14))/IF($C679="LT",Config!$G$2,Config!$G$14)))</f>
        <v/>
      </c>
      <c r="T679">
        <f>IF(OR(H679=0,H679=""),"",ABS((H679-IF($C679="LT",Config!$F$3,Config!$F$15))/IF($C679="LT",Config!$G$3,Config!$G$15)))</f>
        <v/>
      </c>
      <c r="U679">
        <f>IF(OR(I679=0,I679=""),"",ABS((I679-IF($C679="LT",Config!$F$4,Config!$F$16))/IF($C679="LT",Config!$G$4,Config!$G$16)))</f>
        <v/>
      </c>
      <c r="V679">
        <f>IF(OR(J679=0,J679=""),"",ABS((J679-IF($C679="LT",Config!$F$5,Config!$F$17))/IF($C679="LT",Config!$G$5,Config!$G$17)))</f>
        <v/>
      </c>
      <c r="W679">
        <f>IF(OR(K679=0,K679=""),"",ABS((K679-IF($C679="LT",Config!$F$6,Config!$F$18))/IF($C679="LT",Config!$G$6,Config!$G$18)))</f>
        <v/>
      </c>
      <c r="X679">
        <f>IF(OR(L679=0,L679=""),"",ABS((L679-IF($C679="LT",Config!$F$7,Config!$F$19))/IF($C679="LT",Config!$G$7,Config!$G$19)))</f>
        <v/>
      </c>
      <c r="Y679">
        <f>IF(OR(M679=0,M679=""),"",ABS((M679-IF($C679="LT",Config!$F$8,Config!$F$20))/IF($C679="LT",Config!$G$8,Config!$G$20)))</f>
        <v/>
      </c>
      <c r="Z679">
        <f>IF(OR(N679=0,N679=""),"",ABS((N679-IF($C679="LT",Config!$F$9,Config!$F$21))/IF($C679="LT",Config!$G$9,Config!$G$21)))</f>
        <v/>
      </c>
      <c r="AA679">
        <f>IF(OR(O679=0,O679=""),"",ABS((O679-IF($C679="LT",Config!$F$10,Config!$F$22))/IF($C679="LT",Config!$G$10,Config!$G$22)))</f>
        <v/>
      </c>
      <c r="AB679">
        <f>IF(OR(P679=0,P679=""),"",ABS((P679-IF($C679="LT",Config!$F$11,Config!$F$23))/IF($C679="LT",Config!$G$11,Config!$G$23)))</f>
        <v/>
      </c>
      <c r="AC679">
        <f>IF(OR(Q679=0,Q679=""),"",ABS((Q679-IF($C679="LT",Config!$F$12,Config!$F$24))/IF($C679="LT",Config!$G$12,Config!$G$24)))</f>
        <v/>
      </c>
      <c r="AD679">
        <f>IF(OR(R679=0,R679=""),"",ABS((R679-IF($C679="LT",Config!$F$13,Config!$F$25))/IF($C679="LT",Config!$G$13,Config!$G$25)))</f>
        <v/>
      </c>
    </row>
    <row r="680">
      <c r="A680" t="inlineStr">
        <is>
          <t>04D1326121359</t>
        </is>
      </c>
      <c r="B680" t="inlineStr">
        <is>
          <t>CRS0000674</t>
        </is>
      </c>
      <c r="C680" t="inlineStr">
        <is>
          <t>MT</t>
        </is>
      </c>
      <c r="D680" t="inlineStr">
        <is>
          <t>TCX413U-DS1B01</t>
        </is>
      </c>
      <c r="E680" s="2" t="n">
        <v>46125</v>
      </c>
      <c r="F680" t="inlineStr">
        <is>
          <t>Pass</t>
        </is>
      </c>
      <c r="G680" t="n">
        <v>114.2</v>
      </c>
      <c r="H680" t="n">
        <v>82</v>
      </c>
      <c r="I680" t="n">
        <v>-1957.8</v>
      </c>
      <c r="J680" t="n">
        <v>71.3</v>
      </c>
      <c r="K680" t="n">
        <v>0</v>
      </c>
      <c r="L680" t="n">
        <v>0.5</v>
      </c>
      <c r="M680" t="n">
        <v>0</v>
      </c>
      <c r="N680" t="n">
        <v>70.8</v>
      </c>
      <c r="O680" t="n">
        <v>112.01</v>
      </c>
      <c r="P680" t="n">
        <v>113.48</v>
      </c>
      <c r="Q680" t="n">
        <v>3.96</v>
      </c>
      <c r="R680" t="n">
        <v>3.98</v>
      </c>
      <c r="S680">
        <f>IF(OR(G680=0,G680=""),"",ABS((G680-IF($C680="LT",Config!$F$2,Config!$F$14))/IF($C680="LT",Config!$G$2,Config!$G$14)))</f>
        <v/>
      </c>
      <c r="T680">
        <f>IF(OR(H680=0,H680=""),"",ABS((H680-IF($C680="LT",Config!$F$3,Config!$F$15))/IF($C680="LT",Config!$G$3,Config!$G$15)))</f>
        <v/>
      </c>
      <c r="U680">
        <f>IF(OR(I680=0,I680=""),"",ABS((I680-IF($C680="LT",Config!$F$4,Config!$F$16))/IF($C680="LT",Config!$G$4,Config!$G$16)))</f>
        <v/>
      </c>
      <c r="V680">
        <f>IF(OR(J680=0,J680=""),"",ABS((J680-IF($C680="LT",Config!$F$5,Config!$F$17))/IF($C680="LT",Config!$G$5,Config!$G$17)))</f>
        <v/>
      </c>
      <c r="W680">
        <f>IF(OR(K680=0,K680=""),"",ABS((K680-IF($C680="LT",Config!$F$6,Config!$F$18))/IF($C680="LT",Config!$G$6,Config!$G$18)))</f>
        <v/>
      </c>
      <c r="X680">
        <f>IF(OR(L680=0,L680=""),"",ABS((L680-IF($C680="LT",Config!$F$7,Config!$F$19))/IF($C680="LT",Config!$G$7,Config!$G$19)))</f>
        <v/>
      </c>
      <c r="Y680">
        <f>IF(OR(M680=0,M680=""),"",ABS((M680-IF($C680="LT",Config!$F$8,Config!$F$20))/IF($C680="LT",Config!$G$8,Config!$G$20)))</f>
        <v/>
      </c>
      <c r="Z680">
        <f>IF(OR(N680=0,N680=""),"",ABS((N680-IF($C680="LT",Config!$F$9,Config!$F$21))/IF($C680="LT",Config!$G$9,Config!$G$21)))</f>
        <v/>
      </c>
      <c r="AA680">
        <f>IF(OR(O680=0,O680=""),"",ABS((O680-IF($C680="LT",Config!$F$10,Config!$F$22))/IF($C680="LT",Config!$G$10,Config!$G$22)))</f>
        <v/>
      </c>
      <c r="AB680">
        <f>IF(OR(P680=0,P680=""),"",ABS((P680-IF($C680="LT",Config!$F$11,Config!$F$23))/IF($C680="LT",Config!$G$11,Config!$G$23)))</f>
        <v/>
      </c>
      <c r="AC680">
        <f>IF(OR(Q680=0,Q680=""),"",ABS((Q680-IF($C680="LT",Config!$F$12,Config!$F$24))/IF($C680="LT",Config!$G$12,Config!$G$24)))</f>
        <v/>
      </c>
      <c r="AD680">
        <f>IF(OR(R680=0,R680=""),"",ABS((R680-IF($C680="LT",Config!$F$13,Config!$F$25))/IF($C680="LT",Config!$G$13,Config!$G$25)))</f>
        <v/>
      </c>
    </row>
    <row r="681">
      <c r="A681" t="inlineStr">
        <is>
          <t>04D1326121360</t>
        </is>
      </c>
      <c r="B681" t="inlineStr">
        <is>
          <t>CRS0000674</t>
        </is>
      </c>
      <c r="C681" t="inlineStr">
        <is>
          <t>MT</t>
        </is>
      </c>
      <c r="D681" t="inlineStr">
        <is>
          <t>TCX413U-DS1B01</t>
        </is>
      </c>
      <c r="E681" s="2" t="n">
        <v>46126</v>
      </c>
      <c r="F681" t="inlineStr">
        <is>
          <t>Pass</t>
        </is>
      </c>
      <c r="G681" t="n">
        <v>105.7</v>
      </c>
      <c r="H681" t="n">
        <v>77.5</v>
      </c>
      <c r="I681" t="n">
        <v>-1957.8</v>
      </c>
      <c r="J681" t="n">
        <v>68.2</v>
      </c>
      <c r="K681" t="n">
        <v>0</v>
      </c>
      <c r="L681" t="n">
        <v>1.1</v>
      </c>
      <c r="M681" t="n">
        <v>0</v>
      </c>
      <c r="N681" t="n">
        <v>69.3</v>
      </c>
      <c r="O681" t="n">
        <v>115.09</v>
      </c>
      <c r="P681" t="n">
        <v>114.87</v>
      </c>
      <c r="Q681" t="n">
        <v>3.64</v>
      </c>
      <c r="R681" t="n">
        <v>3.78</v>
      </c>
      <c r="S681">
        <f>IF(OR(G681=0,G681=""),"",ABS((G681-IF($C681="LT",Config!$F$2,Config!$F$14))/IF($C681="LT",Config!$G$2,Config!$G$14)))</f>
        <v/>
      </c>
      <c r="T681">
        <f>IF(OR(H681=0,H681=""),"",ABS((H681-IF($C681="LT",Config!$F$3,Config!$F$15))/IF($C681="LT",Config!$G$3,Config!$G$15)))</f>
        <v/>
      </c>
      <c r="U681">
        <f>IF(OR(I681=0,I681=""),"",ABS((I681-IF($C681="LT",Config!$F$4,Config!$F$16))/IF($C681="LT",Config!$G$4,Config!$G$16)))</f>
        <v/>
      </c>
      <c r="V681">
        <f>IF(OR(J681=0,J681=""),"",ABS((J681-IF($C681="LT",Config!$F$5,Config!$F$17))/IF($C681="LT",Config!$G$5,Config!$G$17)))</f>
        <v/>
      </c>
      <c r="W681">
        <f>IF(OR(K681=0,K681=""),"",ABS((K681-IF($C681="LT",Config!$F$6,Config!$F$18))/IF($C681="LT",Config!$G$6,Config!$G$18)))</f>
        <v/>
      </c>
      <c r="X681">
        <f>IF(OR(L681=0,L681=""),"",ABS((L681-IF($C681="LT",Config!$F$7,Config!$F$19))/IF($C681="LT",Config!$G$7,Config!$G$19)))</f>
        <v/>
      </c>
      <c r="Y681">
        <f>IF(OR(M681=0,M681=""),"",ABS((M681-IF($C681="LT",Config!$F$8,Config!$F$20))/IF($C681="LT",Config!$G$8,Config!$G$20)))</f>
        <v/>
      </c>
      <c r="Z681">
        <f>IF(OR(N681=0,N681=""),"",ABS((N681-IF($C681="LT",Config!$F$9,Config!$F$21))/IF($C681="LT",Config!$G$9,Config!$G$21)))</f>
        <v/>
      </c>
      <c r="AA681">
        <f>IF(OR(O681=0,O681=""),"",ABS((O681-IF($C681="LT",Config!$F$10,Config!$F$22))/IF($C681="LT",Config!$G$10,Config!$G$22)))</f>
        <v/>
      </c>
      <c r="AB681">
        <f>IF(OR(P681=0,P681=""),"",ABS((P681-IF($C681="LT",Config!$F$11,Config!$F$23))/IF($C681="LT",Config!$G$11,Config!$G$23)))</f>
        <v/>
      </c>
      <c r="AC681">
        <f>IF(OR(Q681=0,Q681=""),"",ABS((Q681-IF($C681="LT",Config!$F$12,Config!$F$24))/IF($C681="LT",Config!$G$12,Config!$G$24)))</f>
        <v/>
      </c>
      <c r="AD681">
        <f>IF(OR(R681=0,R681=""),"",ABS((R681-IF($C681="LT",Config!$F$13,Config!$F$25))/IF($C681="LT",Config!$G$13,Config!$G$25)))</f>
        <v/>
      </c>
    </row>
    <row r="682">
      <c r="A682" t="inlineStr">
        <is>
          <t>04D1326121361</t>
        </is>
      </c>
      <c r="B682" t="inlineStr">
        <is>
          <t>CRS0000674</t>
        </is>
      </c>
      <c r="C682" t="inlineStr">
        <is>
          <t>MT</t>
        </is>
      </c>
      <c r="D682" t="inlineStr">
        <is>
          <t>TCX413U-DS1B01</t>
        </is>
      </c>
      <c r="E682" s="2" t="n">
        <v>46126</v>
      </c>
      <c r="F682" t="inlineStr">
        <is>
          <t>Pass</t>
        </is>
      </c>
      <c r="G682" t="n">
        <v>102.1</v>
      </c>
      <c r="H682" t="n">
        <v>80.2</v>
      </c>
      <c r="I682" t="n">
        <v>-1957.8</v>
      </c>
      <c r="J682" t="n">
        <v>69.5</v>
      </c>
      <c r="K682" t="n">
        <v>0</v>
      </c>
      <c r="L682" t="n">
        <v>1.2</v>
      </c>
      <c r="M682" t="n">
        <v>0</v>
      </c>
      <c r="N682" t="n">
        <v>70.7</v>
      </c>
      <c r="O682" t="n">
        <v>112.16</v>
      </c>
      <c r="P682" t="n">
        <v>113.48</v>
      </c>
      <c r="Q682" t="n">
        <v>3.74</v>
      </c>
      <c r="R682" t="n">
        <v>3.83</v>
      </c>
      <c r="S682">
        <f>IF(OR(G682=0,G682=""),"",ABS((G682-IF($C682="LT",Config!$F$2,Config!$F$14))/IF($C682="LT",Config!$G$2,Config!$G$14)))</f>
        <v/>
      </c>
      <c r="T682">
        <f>IF(OR(H682=0,H682=""),"",ABS((H682-IF($C682="LT",Config!$F$3,Config!$F$15))/IF($C682="LT",Config!$G$3,Config!$G$15)))</f>
        <v/>
      </c>
      <c r="U682">
        <f>IF(OR(I682=0,I682=""),"",ABS((I682-IF($C682="LT",Config!$F$4,Config!$F$16))/IF($C682="LT",Config!$G$4,Config!$G$16)))</f>
        <v/>
      </c>
      <c r="V682">
        <f>IF(OR(J682=0,J682=""),"",ABS((J682-IF($C682="LT",Config!$F$5,Config!$F$17))/IF($C682="LT",Config!$G$5,Config!$G$17)))</f>
        <v/>
      </c>
      <c r="W682">
        <f>IF(OR(K682=0,K682=""),"",ABS((K682-IF($C682="LT",Config!$F$6,Config!$F$18))/IF($C682="LT",Config!$G$6,Config!$G$18)))</f>
        <v/>
      </c>
      <c r="X682">
        <f>IF(OR(L682=0,L682=""),"",ABS((L682-IF($C682="LT",Config!$F$7,Config!$F$19))/IF($C682="LT",Config!$G$7,Config!$G$19)))</f>
        <v/>
      </c>
      <c r="Y682">
        <f>IF(OR(M682=0,M682=""),"",ABS((M682-IF($C682="LT",Config!$F$8,Config!$F$20))/IF($C682="LT",Config!$G$8,Config!$G$20)))</f>
        <v/>
      </c>
      <c r="Z682">
        <f>IF(OR(N682=0,N682=""),"",ABS((N682-IF($C682="LT",Config!$F$9,Config!$F$21))/IF($C682="LT",Config!$G$9,Config!$G$21)))</f>
        <v/>
      </c>
      <c r="AA682">
        <f>IF(OR(O682=0,O682=""),"",ABS((O682-IF($C682="LT",Config!$F$10,Config!$F$22))/IF($C682="LT",Config!$G$10,Config!$G$22)))</f>
        <v/>
      </c>
      <c r="AB682">
        <f>IF(OR(P682=0,P682=""),"",ABS((P682-IF($C682="LT",Config!$F$11,Config!$F$23))/IF($C682="LT",Config!$G$11,Config!$G$23)))</f>
        <v/>
      </c>
      <c r="AC682">
        <f>IF(OR(Q682=0,Q682=""),"",ABS((Q682-IF($C682="LT",Config!$F$12,Config!$F$24))/IF($C682="LT",Config!$G$12,Config!$G$24)))</f>
        <v/>
      </c>
      <c r="AD682">
        <f>IF(OR(R682=0,R682=""),"",ABS((R682-IF($C682="LT",Config!$F$13,Config!$F$25))/IF($C682="LT",Config!$G$13,Config!$G$25)))</f>
        <v/>
      </c>
    </row>
    <row r="683">
      <c r="A683" t="inlineStr">
        <is>
          <t>04D1326121362</t>
        </is>
      </c>
      <c r="B683" t="inlineStr">
        <is>
          <t>CRS0000674</t>
        </is>
      </c>
      <c r="C683" t="inlineStr">
        <is>
          <t>MT</t>
        </is>
      </c>
      <c r="D683" t="inlineStr">
        <is>
          <t>TCX413U-DS1B01</t>
        </is>
      </c>
      <c r="E683" s="2" t="n">
        <v>46126</v>
      </c>
      <c r="F683" t="inlineStr">
        <is>
          <t>Pass</t>
        </is>
      </c>
      <c r="G683" t="n">
        <v>115.1</v>
      </c>
      <c r="H683" t="n">
        <v>76.09999999999999</v>
      </c>
      <c r="I683" t="n">
        <v>-1957.8</v>
      </c>
      <c r="J683" t="n">
        <v>69.5</v>
      </c>
      <c r="K683" t="n">
        <v>0</v>
      </c>
      <c r="L683" t="n">
        <v>0.3</v>
      </c>
      <c r="M683" t="n">
        <v>0</v>
      </c>
      <c r="N683" t="n">
        <v>69.2</v>
      </c>
      <c r="O683" t="n">
        <v>112.23</v>
      </c>
      <c r="P683" t="n">
        <v>116.56</v>
      </c>
      <c r="Q683" t="n">
        <v>3.93</v>
      </c>
      <c r="R683" t="n">
        <v>3.98</v>
      </c>
      <c r="S683">
        <f>IF(OR(G683=0,G683=""),"",ABS((G683-IF($C683="LT",Config!$F$2,Config!$F$14))/IF($C683="LT",Config!$G$2,Config!$G$14)))</f>
        <v/>
      </c>
      <c r="T683">
        <f>IF(OR(H683=0,H683=""),"",ABS((H683-IF($C683="LT",Config!$F$3,Config!$F$15))/IF($C683="LT",Config!$G$3,Config!$G$15)))</f>
        <v/>
      </c>
      <c r="U683">
        <f>IF(OR(I683=0,I683=""),"",ABS((I683-IF($C683="LT",Config!$F$4,Config!$F$16))/IF($C683="LT",Config!$G$4,Config!$G$16)))</f>
        <v/>
      </c>
      <c r="V683">
        <f>IF(OR(J683=0,J683=""),"",ABS((J683-IF($C683="LT",Config!$F$5,Config!$F$17))/IF($C683="LT",Config!$G$5,Config!$G$17)))</f>
        <v/>
      </c>
      <c r="W683">
        <f>IF(OR(K683=0,K683=""),"",ABS((K683-IF($C683="LT",Config!$F$6,Config!$F$18))/IF($C683="LT",Config!$G$6,Config!$G$18)))</f>
        <v/>
      </c>
      <c r="X683">
        <f>IF(OR(L683=0,L683=""),"",ABS((L683-IF($C683="LT",Config!$F$7,Config!$F$19))/IF($C683="LT",Config!$G$7,Config!$G$19)))</f>
        <v/>
      </c>
      <c r="Y683">
        <f>IF(OR(M683=0,M683=""),"",ABS((M683-IF($C683="LT",Config!$F$8,Config!$F$20))/IF($C683="LT",Config!$G$8,Config!$G$20)))</f>
        <v/>
      </c>
      <c r="Z683">
        <f>IF(OR(N683=0,N683=""),"",ABS((N683-IF($C683="LT",Config!$F$9,Config!$F$21))/IF($C683="LT",Config!$G$9,Config!$G$21)))</f>
        <v/>
      </c>
      <c r="AA683">
        <f>IF(OR(O683=0,O683=""),"",ABS((O683-IF($C683="LT",Config!$F$10,Config!$F$22))/IF($C683="LT",Config!$G$10,Config!$G$22)))</f>
        <v/>
      </c>
      <c r="AB683">
        <f>IF(OR(P683=0,P683=""),"",ABS((P683-IF($C683="LT",Config!$F$11,Config!$F$23))/IF($C683="LT",Config!$G$11,Config!$G$23)))</f>
        <v/>
      </c>
      <c r="AC683">
        <f>IF(OR(Q683=0,Q683=""),"",ABS((Q683-IF($C683="LT",Config!$F$12,Config!$F$24))/IF($C683="LT",Config!$G$12,Config!$G$24)))</f>
        <v/>
      </c>
      <c r="AD683">
        <f>IF(OR(R683=0,R683=""),"",ABS((R683-IF($C683="LT",Config!$F$13,Config!$F$25))/IF($C683="LT",Config!$G$13,Config!$G$25)))</f>
        <v/>
      </c>
    </row>
    <row r="684">
      <c r="A684" t="inlineStr">
        <is>
          <t>04D1326121363</t>
        </is>
      </c>
      <c r="B684" t="inlineStr">
        <is>
          <t>CRS0000674</t>
        </is>
      </c>
      <c r="C684" t="inlineStr">
        <is>
          <t>MT</t>
        </is>
      </c>
      <c r="D684" t="inlineStr">
        <is>
          <t>TCX413U-DS1B01</t>
        </is>
      </c>
      <c r="E684" s="2" t="n">
        <v>46126</v>
      </c>
      <c r="F684" t="inlineStr">
        <is>
          <t>Pass</t>
        </is>
      </c>
      <c r="G684" t="n">
        <v>112.9</v>
      </c>
      <c r="H684" t="n">
        <v>81.59999999999999</v>
      </c>
      <c r="I684" t="n">
        <v>-1957.8</v>
      </c>
      <c r="J684" t="n">
        <v>69.5</v>
      </c>
      <c r="K684" t="n">
        <v>0</v>
      </c>
      <c r="L684" t="n">
        <v>0.5</v>
      </c>
      <c r="M684" t="n">
        <v>0</v>
      </c>
      <c r="N684" t="n">
        <v>70</v>
      </c>
      <c r="O684" t="n">
        <v>112.23</v>
      </c>
      <c r="P684" t="n">
        <v>116.78</v>
      </c>
      <c r="Q684" t="n">
        <v>3.88</v>
      </c>
      <c r="R684" t="n">
        <v>3.93</v>
      </c>
      <c r="S684">
        <f>IF(OR(G684=0,G684=""),"",ABS((G684-IF($C684="LT",Config!$F$2,Config!$F$14))/IF($C684="LT",Config!$G$2,Config!$G$14)))</f>
        <v/>
      </c>
      <c r="T684">
        <f>IF(OR(H684=0,H684=""),"",ABS((H684-IF($C684="LT",Config!$F$3,Config!$F$15))/IF($C684="LT",Config!$G$3,Config!$G$15)))</f>
        <v/>
      </c>
      <c r="U684">
        <f>IF(OR(I684=0,I684=""),"",ABS((I684-IF($C684="LT",Config!$F$4,Config!$F$16))/IF($C684="LT",Config!$G$4,Config!$G$16)))</f>
        <v/>
      </c>
      <c r="V684">
        <f>IF(OR(J684=0,J684=""),"",ABS((J684-IF($C684="LT",Config!$F$5,Config!$F$17))/IF($C684="LT",Config!$G$5,Config!$G$17)))</f>
        <v/>
      </c>
      <c r="W684">
        <f>IF(OR(K684=0,K684=""),"",ABS((K684-IF($C684="LT",Config!$F$6,Config!$F$18))/IF($C684="LT",Config!$G$6,Config!$G$18)))</f>
        <v/>
      </c>
      <c r="X684">
        <f>IF(OR(L684=0,L684=""),"",ABS((L684-IF($C684="LT",Config!$F$7,Config!$F$19))/IF($C684="LT",Config!$G$7,Config!$G$19)))</f>
        <v/>
      </c>
      <c r="Y684">
        <f>IF(OR(M684=0,M684=""),"",ABS((M684-IF($C684="LT",Config!$F$8,Config!$F$20))/IF($C684="LT",Config!$G$8,Config!$G$20)))</f>
        <v/>
      </c>
      <c r="Z684">
        <f>IF(OR(N684=0,N684=""),"",ABS((N684-IF($C684="LT",Config!$F$9,Config!$F$21))/IF($C684="LT",Config!$G$9,Config!$G$21)))</f>
        <v/>
      </c>
      <c r="AA684">
        <f>IF(OR(O684=0,O684=""),"",ABS((O684-IF($C684="LT",Config!$F$10,Config!$F$22))/IF($C684="LT",Config!$G$10,Config!$G$22)))</f>
        <v/>
      </c>
      <c r="AB684">
        <f>IF(OR(P684=0,P684=""),"",ABS((P684-IF($C684="LT",Config!$F$11,Config!$F$23))/IF($C684="LT",Config!$G$11,Config!$G$23)))</f>
        <v/>
      </c>
      <c r="AC684">
        <f>IF(OR(Q684=0,Q684=""),"",ABS((Q684-IF($C684="LT",Config!$F$12,Config!$F$24))/IF($C684="LT",Config!$G$12,Config!$G$24)))</f>
        <v/>
      </c>
      <c r="AD684">
        <f>IF(OR(R684=0,R684=""),"",ABS((R684-IF($C684="LT",Config!$F$13,Config!$F$25))/IF($C684="LT",Config!$G$13,Config!$G$25)))</f>
        <v/>
      </c>
    </row>
    <row r="685">
      <c r="A685" t="inlineStr">
        <is>
          <t>04D1326121364</t>
        </is>
      </c>
      <c r="B685" t="inlineStr">
        <is>
          <t>CRS0000674</t>
        </is>
      </c>
      <c r="C685" t="inlineStr">
        <is>
          <t>MT</t>
        </is>
      </c>
      <c r="D685" t="inlineStr">
        <is>
          <t>TCX413U-DS1B01</t>
        </is>
      </c>
      <c r="E685" s="2" t="n">
        <v>46126</v>
      </c>
      <c r="F685" t="inlineStr">
        <is>
          <t>Pass</t>
        </is>
      </c>
      <c r="G685" t="n">
        <v>112.9</v>
      </c>
      <c r="H685" t="n">
        <v>80.7</v>
      </c>
      <c r="I685" t="n">
        <v>-1957.8</v>
      </c>
      <c r="J685" t="n">
        <v>70</v>
      </c>
      <c r="K685" t="n">
        <v>0</v>
      </c>
      <c r="L685" t="n">
        <v>0.1</v>
      </c>
      <c r="M685" t="n">
        <v>0</v>
      </c>
      <c r="N685" t="n">
        <v>70.09999999999999</v>
      </c>
      <c r="O685" t="n">
        <v>115.09</v>
      </c>
      <c r="P685" t="n">
        <v>115.09</v>
      </c>
      <c r="Q685" t="n">
        <v>3.93</v>
      </c>
      <c r="R685" t="n">
        <v>3.98</v>
      </c>
      <c r="S685">
        <f>IF(OR(G685=0,G685=""),"",ABS((G685-IF($C685="LT",Config!$F$2,Config!$F$14))/IF($C685="LT",Config!$G$2,Config!$G$14)))</f>
        <v/>
      </c>
      <c r="T685">
        <f>IF(OR(H685=0,H685=""),"",ABS((H685-IF($C685="LT",Config!$F$3,Config!$F$15))/IF($C685="LT",Config!$G$3,Config!$G$15)))</f>
        <v/>
      </c>
      <c r="U685">
        <f>IF(OR(I685=0,I685=""),"",ABS((I685-IF($C685="LT",Config!$F$4,Config!$F$16))/IF($C685="LT",Config!$G$4,Config!$G$16)))</f>
        <v/>
      </c>
      <c r="V685">
        <f>IF(OR(J685=0,J685=""),"",ABS((J685-IF($C685="LT",Config!$F$5,Config!$F$17))/IF($C685="LT",Config!$G$5,Config!$G$17)))</f>
        <v/>
      </c>
      <c r="W685">
        <f>IF(OR(K685=0,K685=""),"",ABS((K685-IF($C685="LT",Config!$F$6,Config!$F$18))/IF($C685="LT",Config!$G$6,Config!$G$18)))</f>
        <v/>
      </c>
      <c r="X685">
        <f>IF(OR(L685=0,L685=""),"",ABS((L685-IF($C685="LT",Config!$F$7,Config!$F$19))/IF($C685="LT",Config!$G$7,Config!$G$19)))</f>
        <v/>
      </c>
      <c r="Y685">
        <f>IF(OR(M685=0,M685=""),"",ABS((M685-IF($C685="LT",Config!$F$8,Config!$F$20))/IF($C685="LT",Config!$G$8,Config!$G$20)))</f>
        <v/>
      </c>
      <c r="Z685">
        <f>IF(OR(N685=0,N685=""),"",ABS((N685-IF($C685="LT",Config!$F$9,Config!$F$21))/IF($C685="LT",Config!$G$9,Config!$G$21)))</f>
        <v/>
      </c>
      <c r="AA685">
        <f>IF(OR(O685=0,O685=""),"",ABS((O685-IF($C685="LT",Config!$F$10,Config!$F$22))/IF($C685="LT",Config!$G$10,Config!$G$22)))</f>
        <v/>
      </c>
      <c r="AB685">
        <f>IF(OR(P685=0,P685=""),"",ABS((P685-IF($C685="LT",Config!$F$11,Config!$F$23))/IF($C685="LT",Config!$G$11,Config!$G$23)))</f>
        <v/>
      </c>
      <c r="AC685">
        <f>IF(OR(Q685=0,Q685=""),"",ABS((Q685-IF($C685="LT",Config!$F$12,Config!$F$24))/IF($C685="LT",Config!$G$12,Config!$G$24)))</f>
        <v/>
      </c>
      <c r="AD685">
        <f>IF(OR(R685=0,R685=""),"",ABS((R685-IF($C685="LT",Config!$F$13,Config!$F$25))/IF($C685="LT",Config!$G$13,Config!$G$25)))</f>
        <v/>
      </c>
    </row>
    <row r="686">
      <c r="A686" t="inlineStr">
        <is>
          <t>04D1326121365</t>
        </is>
      </c>
      <c r="B686" t="inlineStr">
        <is>
          <t>CRS0000674</t>
        </is>
      </c>
      <c r="C686" t="inlineStr">
        <is>
          <t>MT</t>
        </is>
      </c>
      <c r="D686" t="inlineStr">
        <is>
          <t>TCX413U-DS1B01</t>
        </is>
      </c>
      <c r="E686" s="2" t="n">
        <v>46126</v>
      </c>
      <c r="F686" t="inlineStr">
        <is>
          <t>Pass</t>
        </is>
      </c>
      <c r="G686" t="n">
        <v>115.1</v>
      </c>
      <c r="H686" t="n">
        <v>80.7</v>
      </c>
      <c r="I686" t="n">
        <v>-1957.8</v>
      </c>
      <c r="J686" t="n">
        <v>70</v>
      </c>
      <c r="K686" t="n">
        <v>0</v>
      </c>
      <c r="L686" t="n">
        <v>0.3</v>
      </c>
      <c r="M686" t="n">
        <v>0</v>
      </c>
      <c r="N686" t="n">
        <v>69.7</v>
      </c>
      <c r="O686" t="n">
        <v>115.16</v>
      </c>
      <c r="P686" t="n">
        <v>115.09</v>
      </c>
      <c r="Q686" t="n">
        <v>3.64</v>
      </c>
      <c r="R686" t="n">
        <v>3.71</v>
      </c>
      <c r="S686">
        <f>IF(OR(G686=0,G686=""),"",ABS((G686-IF($C686="LT",Config!$F$2,Config!$F$14))/IF($C686="LT",Config!$G$2,Config!$G$14)))</f>
        <v/>
      </c>
      <c r="T686">
        <f>IF(OR(H686=0,H686=""),"",ABS((H686-IF($C686="LT",Config!$F$3,Config!$F$15))/IF($C686="LT",Config!$G$3,Config!$G$15)))</f>
        <v/>
      </c>
      <c r="U686">
        <f>IF(OR(I686=0,I686=""),"",ABS((I686-IF($C686="LT",Config!$F$4,Config!$F$16))/IF($C686="LT",Config!$G$4,Config!$G$16)))</f>
        <v/>
      </c>
      <c r="V686">
        <f>IF(OR(J686=0,J686=""),"",ABS((J686-IF($C686="LT",Config!$F$5,Config!$F$17))/IF($C686="LT",Config!$G$5,Config!$G$17)))</f>
        <v/>
      </c>
      <c r="W686">
        <f>IF(OR(K686=0,K686=""),"",ABS((K686-IF($C686="LT",Config!$F$6,Config!$F$18))/IF($C686="LT",Config!$G$6,Config!$G$18)))</f>
        <v/>
      </c>
      <c r="X686">
        <f>IF(OR(L686=0,L686=""),"",ABS((L686-IF($C686="LT",Config!$F$7,Config!$F$19))/IF($C686="LT",Config!$G$7,Config!$G$19)))</f>
        <v/>
      </c>
      <c r="Y686">
        <f>IF(OR(M686=0,M686=""),"",ABS((M686-IF($C686="LT",Config!$F$8,Config!$F$20))/IF($C686="LT",Config!$G$8,Config!$G$20)))</f>
        <v/>
      </c>
      <c r="Z686">
        <f>IF(OR(N686=0,N686=""),"",ABS((N686-IF($C686="LT",Config!$F$9,Config!$F$21))/IF($C686="LT",Config!$G$9,Config!$G$21)))</f>
        <v/>
      </c>
      <c r="AA686">
        <f>IF(OR(O686=0,O686=""),"",ABS((O686-IF($C686="LT",Config!$F$10,Config!$F$22))/IF($C686="LT",Config!$G$10,Config!$G$22)))</f>
        <v/>
      </c>
      <c r="AB686">
        <f>IF(OR(P686=0,P686=""),"",ABS((P686-IF($C686="LT",Config!$F$11,Config!$F$23))/IF($C686="LT",Config!$G$11,Config!$G$23)))</f>
        <v/>
      </c>
      <c r="AC686">
        <f>IF(OR(Q686=0,Q686=""),"",ABS((Q686-IF($C686="LT",Config!$F$12,Config!$F$24))/IF($C686="LT",Config!$G$12,Config!$G$24)))</f>
        <v/>
      </c>
      <c r="AD686">
        <f>IF(OR(R686=0,R686=""),"",ABS((R686-IF($C686="LT",Config!$F$13,Config!$F$25))/IF($C686="LT",Config!$G$13,Config!$G$25)))</f>
        <v/>
      </c>
    </row>
    <row r="687">
      <c r="A687" t="inlineStr">
        <is>
          <t>04D1326121366</t>
        </is>
      </c>
      <c r="B687" t="inlineStr">
        <is>
          <t>CRS0000674</t>
        </is>
      </c>
      <c r="C687" t="inlineStr">
        <is>
          <t>MT</t>
        </is>
      </c>
      <c r="D687" t="inlineStr">
        <is>
          <t>TCX413U-DS1B01</t>
        </is>
      </c>
      <c r="E687" s="2" t="n">
        <v>46126</v>
      </c>
      <c r="F687" t="inlineStr">
        <is>
          <t>Pass</t>
        </is>
      </c>
      <c r="G687" t="n">
        <v>101.7</v>
      </c>
      <c r="H687" t="n">
        <v>80.7</v>
      </c>
      <c r="I687" t="n">
        <v>-1957.8</v>
      </c>
      <c r="J687" t="n">
        <v>70</v>
      </c>
      <c r="K687" t="n">
        <v>0</v>
      </c>
      <c r="L687" t="n">
        <v>0.6</v>
      </c>
      <c r="M687" t="n">
        <v>0</v>
      </c>
      <c r="N687" t="n">
        <v>70.59999999999999</v>
      </c>
      <c r="O687" t="n">
        <v>115.24</v>
      </c>
      <c r="P687" t="n">
        <v>115.24</v>
      </c>
      <c r="Q687" t="n">
        <v>3.78</v>
      </c>
      <c r="R687" t="n">
        <v>3.86</v>
      </c>
      <c r="S687">
        <f>IF(OR(G687=0,G687=""),"",ABS((G687-IF($C687="LT",Config!$F$2,Config!$F$14))/IF($C687="LT",Config!$G$2,Config!$G$14)))</f>
        <v/>
      </c>
      <c r="T687">
        <f>IF(OR(H687=0,H687=""),"",ABS((H687-IF($C687="LT",Config!$F$3,Config!$F$15))/IF($C687="LT",Config!$G$3,Config!$G$15)))</f>
        <v/>
      </c>
      <c r="U687">
        <f>IF(OR(I687=0,I687=""),"",ABS((I687-IF($C687="LT",Config!$F$4,Config!$F$16))/IF($C687="LT",Config!$G$4,Config!$G$16)))</f>
        <v/>
      </c>
      <c r="V687">
        <f>IF(OR(J687=0,J687=""),"",ABS((J687-IF($C687="LT",Config!$F$5,Config!$F$17))/IF($C687="LT",Config!$G$5,Config!$G$17)))</f>
        <v/>
      </c>
      <c r="W687">
        <f>IF(OR(K687=0,K687=""),"",ABS((K687-IF($C687="LT",Config!$F$6,Config!$F$18))/IF($C687="LT",Config!$G$6,Config!$G$18)))</f>
        <v/>
      </c>
      <c r="X687">
        <f>IF(OR(L687=0,L687=""),"",ABS((L687-IF($C687="LT",Config!$F$7,Config!$F$19))/IF($C687="LT",Config!$G$7,Config!$G$19)))</f>
        <v/>
      </c>
      <c r="Y687">
        <f>IF(OR(M687=0,M687=""),"",ABS((M687-IF($C687="LT",Config!$F$8,Config!$F$20))/IF($C687="LT",Config!$G$8,Config!$G$20)))</f>
        <v/>
      </c>
      <c r="Z687">
        <f>IF(OR(N687=0,N687=""),"",ABS((N687-IF($C687="LT",Config!$F$9,Config!$F$21))/IF($C687="LT",Config!$G$9,Config!$G$21)))</f>
        <v/>
      </c>
      <c r="AA687">
        <f>IF(OR(O687=0,O687=""),"",ABS((O687-IF($C687="LT",Config!$F$10,Config!$F$22))/IF($C687="LT",Config!$G$10,Config!$G$22)))</f>
        <v/>
      </c>
      <c r="AB687">
        <f>IF(OR(P687=0,P687=""),"",ABS((P687-IF($C687="LT",Config!$F$11,Config!$F$23))/IF($C687="LT",Config!$G$11,Config!$G$23)))</f>
        <v/>
      </c>
      <c r="AC687">
        <f>IF(OR(Q687=0,Q687=""),"",ABS((Q687-IF($C687="LT",Config!$F$12,Config!$F$24))/IF($C687="LT",Config!$G$12,Config!$G$24)))</f>
        <v/>
      </c>
      <c r="AD687">
        <f>IF(OR(R687=0,R687=""),"",ABS((R687-IF($C687="LT",Config!$F$13,Config!$F$25))/IF($C687="LT",Config!$G$13,Config!$G$25)))</f>
        <v/>
      </c>
    </row>
    <row r="688">
      <c r="A688" t="inlineStr">
        <is>
          <t>04D1426121367</t>
        </is>
      </c>
      <c r="B688" t="inlineStr">
        <is>
          <t>CRS0000674</t>
        </is>
      </c>
      <c r="C688" t="inlineStr">
        <is>
          <t>MT</t>
        </is>
      </c>
      <c r="D688" t="inlineStr">
        <is>
          <t>TCX413U-DS1B01</t>
        </is>
      </c>
      <c r="E688" s="2" t="n">
        <v>46126</v>
      </c>
      <c r="F688" t="inlineStr">
        <is>
          <t>Pass</t>
        </is>
      </c>
      <c r="G688" t="n">
        <v>118.7</v>
      </c>
      <c r="H688" t="n">
        <v>83.40000000000001</v>
      </c>
      <c r="I688" t="n">
        <v>-1957.8</v>
      </c>
      <c r="J688" t="n">
        <v>70.40000000000001</v>
      </c>
      <c r="K688" t="n">
        <v>0</v>
      </c>
      <c r="L688" t="n">
        <v>1.7</v>
      </c>
      <c r="M688" t="n">
        <v>0</v>
      </c>
      <c r="N688" t="n">
        <v>72.09999999999999</v>
      </c>
      <c r="O688" t="n">
        <v>115.09</v>
      </c>
      <c r="P688" t="n">
        <v>115.09</v>
      </c>
      <c r="Q688" t="n">
        <v>3.96</v>
      </c>
      <c r="R688" t="n">
        <v>4.03</v>
      </c>
      <c r="S688">
        <f>IF(OR(G688=0,G688=""),"",ABS((G688-IF($C688="LT",Config!$F$2,Config!$F$14))/IF($C688="LT",Config!$G$2,Config!$G$14)))</f>
        <v/>
      </c>
      <c r="T688">
        <f>IF(OR(H688=0,H688=""),"",ABS((H688-IF($C688="LT",Config!$F$3,Config!$F$15))/IF($C688="LT",Config!$G$3,Config!$G$15)))</f>
        <v/>
      </c>
      <c r="U688">
        <f>IF(OR(I688=0,I688=""),"",ABS((I688-IF($C688="LT",Config!$F$4,Config!$F$16))/IF($C688="LT",Config!$G$4,Config!$G$16)))</f>
        <v/>
      </c>
      <c r="V688">
        <f>IF(OR(J688=0,J688=""),"",ABS((J688-IF($C688="LT",Config!$F$5,Config!$F$17))/IF($C688="LT",Config!$G$5,Config!$G$17)))</f>
        <v/>
      </c>
      <c r="W688">
        <f>IF(OR(K688=0,K688=""),"",ABS((K688-IF($C688="LT",Config!$F$6,Config!$F$18))/IF($C688="LT",Config!$G$6,Config!$G$18)))</f>
        <v/>
      </c>
      <c r="X688">
        <f>IF(OR(L688=0,L688=""),"",ABS((L688-IF($C688="LT",Config!$F$7,Config!$F$19))/IF($C688="LT",Config!$G$7,Config!$G$19)))</f>
        <v/>
      </c>
      <c r="Y688">
        <f>IF(OR(M688=0,M688=""),"",ABS((M688-IF($C688="LT",Config!$F$8,Config!$F$20))/IF($C688="LT",Config!$G$8,Config!$G$20)))</f>
        <v/>
      </c>
      <c r="Z688">
        <f>IF(OR(N688=0,N688=""),"",ABS((N688-IF($C688="LT",Config!$F$9,Config!$F$21))/IF($C688="LT",Config!$G$9,Config!$G$21)))</f>
        <v/>
      </c>
      <c r="AA688">
        <f>IF(OR(O688=0,O688=""),"",ABS((O688-IF($C688="LT",Config!$F$10,Config!$F$22))/IF($C688="LT",Config!$G$10,Config!$G$22)))</f>
        <v/>
      </c>
      <c r="AB688">
        <f>IF(OR(P688=0,P688=""),"",ABS((P688-IF($C688="LT",Config!$F$11,Config!$F$23))/IF($C688="LT",Config!$G$11,Config!$G$23)))</f>
        <v/>
      </c>
      <c r="AC688">
        <f>IF(OR(Q688=0,Q688=""),"",ABS((Q688-IF($C688="LT",Config!$F$12,Config!$F$24))/IF($C688="LT",Config!$G$12,Config!$G$24)))</f>
        <v/>
      </c>
      <c r="AD688">
        <f>IF(OR(R688=0,R688=""),"",ABS((R688-IF($C688="LT",Config!$F$13,Config!$F$25))/IF($C688="LT",Config!$G$13,Config!$G$25)))</f>
        <v/>
      </c>
    </row>
    <row r="689">
      <c r="A689" t="inlineStr">
        <is>
          <t>04D1426121368</t>
        </is>
      </c>
      <c r="B689" t="inlineStr">
        <is>
          <t>CRS0000674</t>
        </is>
      </c>
      <c r="C689" t="inlineStr">
        <is>
          <t>MT</t>
        </is>
      </c>
      <c r="D689" t="inlineStr">
        <is>
          <t>TCX413U-DS1B01</t>
        </is>
      </c>
      <c r="E689" s="2" t="n">
        <v>46126</v>
      </c>
      <c r="F689" t="inlineStr">
        <is>
          <t>Pass</t>
        </is>
      </c>
      <c r="G689" t="n">
        <v>115.5</v>
      </c>
      <c r="H689" t="n">
        <v>78.40000000000001</v>
      </c>
      <c r="I689" t="n">
        <v>-1957.8</v>
      </c>
      <c r="J689" t="n">
        <v>70.40000000000001</v>
      </c>
      <c r="K689" t="n">
        <v>0</v>
      </c>
      <c r="L689" t="n">
        <v>0.6</v>
      </c>
      <c r="M689" t="n">
        <v>0</v>
      </c>
      <c r="N689" t="n">
        <v>71</v>
      </c>
      <c r="O689" t="n">
        <v>112.3</v>
      </c>
      <c r="P689" t="n">
        <v>116.48</v>
      </c>
      <c r="Q689" t="n">
        <v>3.61</v>
      </c>
      <c r="R689" t="n">
        <v>3.66</v>
      </c>
      <c r="S689">
        <f>IF(OR(G689=0,G689=""),"",ABS((G689-IF($C689="LT",Config!$F$2,Config!$F$14))/IF($C689="LT",Config!$G$2,Config!$G$14)))</f>
        <v/>
      </c>
      <c r="T689">
        <f>IF(OR(H689=0,H689=""),"",ABS((H689-IF($C689="LT",Config!$F$3,Config!$F$15))/IF($C689="LT",Config!$G$3,Config!$G$15)))</f>
        <v/>
      </c>
      <c r="U689">
        <f>IF(OR(I689=0,I689=""),"",ABS((I689-IF($C689="LT",Config!$F$4,Config!$F$16))/IF($C689="LT",Config!$G$4,Config!$G$16)))</f>
        <v/>
      </c>
      <c r="V689">
        <f>IF(OR(J689=0,J689=""),"",ABS((J689-IF($C689="LT",Config!$F$5,Config!$F$17))/IF($C689="LT",Config!$G$5,Config!$G$17)))</f>
        <v/>
      </c>
      <c r="W689">
        <f>IF(OR(K689=0,K689=""),"",ABS((K689-IF($C689="LT",Config!$F$6,Config!$F$18))/IF($C689="LT",Config!$G$6,Config!$G$18)))</f>
        <v/>
      </c>
      <c r="X689">
        <f>IF(OR(L689=0,L689=""),"",ABS((L689-IF($C689="LT",Config!$F$7,Config!$F$19))/IF($C689="LT",Config!$G$7,Config!$G$19)))</f>
        <v/>
      </c>
      <c r="Y689">
        <f>IF(OR(M689=0,M689=""),"",ABS((M689-IF($C689="LT",Config!$F$8,Config!$F$20))/IF($C689="LT",Config!$G$8,Config!$G$20)))</f>
        <v/>
      </c>
      <c r="Z689">
        <f>IF(OR(N689=0,N689=""),"",ABS((N689-IF($C689="LT",Config!$F$9,Config!$F$21))/IF($C689="LT",Config!$G$9,Config!$G$21)))</f>
        <v/>
      </c>
      <c r="AA689">
        <f>IF(OR(O689=0,O689=""),"",ABS((O689-IF($C689="LT",Config!$F$10,Config!$F$22))/IF($C689="LT",Config!$G$10,Config!$G$22)))</f>
        <v/>
      </c>
      <c r="AB689">
        <f>IF(OR(P689=0,P689=""),"",ABS((P689-IF($C689="LT",Config!$F$11,Config!$F$23))/IF($C689="LT",Config!$G$11,Config!$G$23)))</f>
        <v/>
      </c>
      <c r="AC689">
        <f>IF(OR(Q689=0,Q689=""),"",ABS((Q689-IF($C689="LT",Config!$F$12,Config!$F$24))/IF($C689="LT",Config!$G$12,Config!$G$24)))</f>
        <v/>
      </c>
      <c r="AD689">
        <f>IF(OR(R689=0,R689=""),"",ABS((R689-IF($C689="LT",Config!$F$13,Config!$F$25))/IF($C689="LT",Config!$G$13,Config!$G$25)))</f>
        <v/>
      </c>
    </row>
    <row r="690">
      <c r="A690" t="inlineStr">
        <is>
          <t>04D1426121369</t>
        </is>
      </c>
      <c r="B690" t="inlineStr">
        <is>
          <t>CRS0000674</t>
        </is>
      </c>
      <c r="C690" t="inlineStr">
        <is>
          <t>MT</t>
        </is>
      </c>
      <c r="D690" t="inlineStr">
        <is>
          <t>TCX413U-DS1B01</t>
        </is>
      </c>
      <c r="E690" s="2" t="n">
        <v>46126</v>
      </c>
      <c r="F690" t="inlineStr">
        <is>
          <t>Pass</t>
        </is>
      </c>
      <c r="G690" t="n">
        <v>116</v>
      </c>
      <c r="H690" t="n">
        <v>77</v>
      </c>
      <c r="I690" t="n">
        <v>-1957.8</v>
      </c>
      <c r="J690" t="n">
        <v>70.40000000000001</v>
      </c>
      <c r="K690" t="n">
        <v>0</v>
      </c>
      <c r="L690" t="n">
        <v>0.9</v>
      </c>
      <c r="M690" t="n">
        <v>0</v>
      </c>
      <c r="N690" t="n">
        <v>69.5</v>
      </c>
      <c r="O690" t="n">
        <v>112.16</v>
      </c>
      <c r="P690" t="n">
        <v>113.55</v>
      </c>
      <c r="Q690" t="n">
        <v>3.86</v>
      </c>
      <c r="R690" t="n">
        <v>3.93</v>
      </c>
      <c r="S690">
        <f>IF(OR(G690=0,G690=""),"",ABS((G690-IF($C690="LT",Config!$F$2,Config!$F$14))/IF($C690="LT",Config!$G$2,Config!$G$14)))</f>
        <v/>
      </c>
      <c r="T690">
        <f>IF(OR(H690=0,H690=""),"",ABS((H690-IF($C690="LT",Config!$F$3,Config!$F$15))/IF($C690="LT",Config!$G$3,Config!$G$15)))</f>
        <v/>
      </c>
      <c r="U690">
        <f>IF(OR(I690=0,I690=""),"",ABS((I690-IF($C690="LT",Config!$F$4,Config!$F$16))/IF($C690="LT",Config!$G$4,Config!$G$16)))</f>
        <v/>
      </c>
      <c r="V690">
        <f>IF(OR(J690=0,J690=""),"",ABS((J690-IF($C690="LT",Config!$F$5,Config!$F$17))/IF($C690="LT",Config!$G$5,Config!$G$17)))</f>
        <v/>
      </c>
      <c r="W690">
        <f>IF(OR(K690=0,K690=""),"",ABS((K690-IF($C690="LT",Config!$F$6,Config!$F$18))/IF($C690="LT",Config!$G$6,Config!$G$18)))</f>
        <v/>
      </c>
      <c r="X690">
        <f>IF(OR(L690=0,L690=""),"",ABS((L690-IF($C690="LT",Config!$F$7,Config!$F$19))/IF($C690="LT",Config!$G$7,Config!$G$19)))</f>
        <v/>
      </c>
      <c r="Y690">
        <f>IF(OR(M690=0,M690=""),"",ABS((M690-IF($C690="LT",Config!$F$8,Config!$F$20))/IF($C690="LT",Config!$G$8,Config!$G$20)))</f>
        <v/>
      </c>
      <c r="Z690">
        <f>IF(OR(N690=0,N690=""),"",ABS((N690-IF($C690="LT",Config!$F$9,Config!$F$21))/IF($C690="LT",Config!$G$9,Config!$G$21)))</f>
        <v/>
      </c>
      <c r="AA690">
        <f>IF(OR(O690=0,O690=""),"",ABS((O690-IF($C690="LT",Config!$F$10,Config!$F$22))/IF($C690="LT",Config!$G$10,Config!$G$22)))</f>
        <v/>
      </c>
      <c r="AB690">
        <f>IF(OR(P690=0,P690=""),"",ABS((P690-IF($C690="LT",Config!$F$11,Config!$F$23))/IF($C690="LT",Config!$G$11,Config!$G$23)))</f>
        <v/>
      </c>
      <c r="AC690">
        <f>IF(OR(Q690=0,Q690=""),"",ABS((Q690-IF($C690="LT",Config!$F$12,Config!$F$24))/IF($C690="LT",Config!$G$12,Config!$G$24)))</f>
        <v/>
      </c>
      <c r="AD690">
        <f>IF(OR(R690=0,R690=""),"",ABS((R690-IF($C690="LT",Config!$F$13,Config!$F$25))/IF($C690="LT",Config!$G$13,Config!$G$25)))</f>
        <v/>
      </c>
    </row>
    <row r="691">
      <c r="A691" t="inlineStr">
        <is>
          <t>04D1426121370</t>
        </is>
      </c>
      <c r="B691" t="inlineStr">
        <is>
          <t>CRS0000674</t>
        </is>
      </c>
      <c r="C691" t="inlineStr">
        <is>
          <t>MT</t>
        </is>
      </c>
      <c r="D691" t="inlineStr">
        <is>
          <t>TCX413U-DS1B01</t>
        </is>
      </c>
      <c r="E691" s="2" t="n">
        <v>46126</v>
      </c>
      <c r="F691" t="inlineStr">
        <is>
          <t>Pass</t>
        </is>
      </c>
      <c r="G691" t="n">
        <v>121.3</v>
      </c>
      <c r="H691" t="n">
        <v>84.7</v>
      </c>
      <c r="I691" t="n">
        <v>-1957.8</v>
      </c>
      <c r="J691" t="n">
        <v>70.8</v>
      </c>
      <c r="K691" t="n">
        <v>0</v>
      </c>
      <c r="L691" t="n">
        <v>0.1</v>
      </c>
      <c r="M691" t="n">
        <v>0</v>
      </c>
      <c r="N691" t="n">
        <v>70.7</v>
      </c>
      <c r="O691" t="n">
        <v>111.2</v>
      </c>
      <c r="P691" t="n">
        <v>117.36</v>
      </c>
      <c r="Q691" t="n">
        <v>4.1</v>
      </c>
      <c r="R691" t="n">
        <v>4.03</v>
      </c>
      <c r="S691">
        <f>IF(OR(G691=0,G691=""),"",ABS((G691-IF($C691="LT",Config!$F$2,Config!$F$14))/IF($C691="LT",Config!$G$2,Config!$G$14)))</f>
        <v/>
      </c>
      <c r="T691">
        <f>IF(OR(H691=0,H691=""),"",ABS((H691-IF($C691="LT",Config!$F$3,Config!$F$15))/IF($C691="LT",Config!$G$3,Config!$G$15)))</f>
        <v/>
      </c>
      <c r="U691">
        <f>IF(OR(I691=0,I691=""),"",ABS((I691-IF($C691="LT",Config!$F$4,Config!$F$16))/IF($C691="LT",Config!$G$4,Config!$G$16)))</f>
        <v/>
      </c>
      <c r="V691">
        <f>IF(OR(J691=0,J691=""),"",ABS((J691-IF($C691="LT",Config!$F$5,Config!$F$17))/IF($C691="LT",Config!$G$5,Config!$G$17)))</f>
        <v/>
      </c>
      <c r="W691">
        <f>IF(OR(K691=0,K691=""),"",ABS((K691-IF($C691="LT",Config!$F$6,Config!$F$18))/IF($C691="LT",Config!$G$6,Config!$G$18)))</f>
        <v/>
      </c>
      <c r="X691">
        <f>IF(OR(L691=0,L691=""),"",ABS((L691-IF($C691="LT",Config!$F$7,Config!$F$19))/IF($C691="LT",Config!$G$7,Config!$G$19)))</f>
        <v/>
      </c>
      <c r="Y691">
        <f>IF(OR(M691=0,M691=""),"",ABS((M691-IF($C691="LT",Config!$F$8,Config!$F$20))/IF($C691="LT",Config!$G$8,Config!$G$20)))</f>
        <v/>
      </c>
      <c r="Z691">
        <f>IF(OR(N691=0,N691=""),"",ABS((N691-IF($C691="LT",Config!$F$9,Config!$F$21))/IF($C691="LT",Config!$G$9,Config!$G$21)))</f>
        <v/>
      </c>
      <c r="AA691">
        <f>IF(OR(O691=0,O691=""),"",ABS((O691-IF($C691="LT",Config!$F$10,Config!$F$22))/IF($C691="LT",Config!$G$10,Config!$G$22)))</f>
        <v/>
      </c>
      <c r="AB691">
        <f>IF(OR(P691=0,P691=""),"",ABS((P691-IF($C691="LT",Config!$F$11,Config!$F$23))/IF($C691="LT",Config!$G$11,Config!$G$23)))</f>
        <v/>
      </c>
      <c r="AC691">
        <f>IF(OR(Q691=0,Q691=""),"",ABS((Q691-IF($C691="LT",Config!$F$12,Config!$F$24))/IF($C691="LT",Config!$G$12,Config!$G$24)))</f>
        <v/>
      </c>
      <c r="AD691">
        <f>IF(OR(R691=0,R691=""),"",ABS((R691-IF($C691="LT",Config!$F$13,Config!$F$25))/IF($C691="LT",Config!$G$13,Config!$G$25)))</f>
        <v/>
      </c>
    </row>
    <row r="692">
      <c r="A692" t="inlineStr">
        <is>
          <t>04D1426121371</t>
        </is>
      </c>
      <c r="B692" t="inlineStr">
        <is>
          <t>CRS0000674</t>
        </is>
      </c>
      <c r="C692" t="inlineStr">
        <is>
          <t>MT</t>
        </is>
      </c>
      <c r="D692" t="inlineStr">
        <is>
          <t>TCX413U-DS1B01</t>
        </is>
      </c>
      <c r="E692" s="2" t="n">
        <v>46126</v>
      </c>
      <c r="F692" t="inlineStr">
        <is>
          <t>Fail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>
        <f>IF(OR(G692=0,G692=""),"",ABS((G692-IF($C692="LT",Config!$F$2,Config!$F$14))/IF($C692="LT",Config!$G$2,Config!$G$14)))</f>
        <v/>
      </c>
      <c r="T692">
        <f>IF(OR(H692=0,H692=""),"",ABS((H692-IF($C692="LT",Config!$F$3,Config!$F$15))/IF($C692="LT",Config!$G$3,Config!$G$15)))</f>
        <v/>
      </c>
      <c r="U692">
        <f>IF(OR(I692=0,I692=""),"",ABS((I692-IF($C692="LT",Config!$F$4,Config!$F$16))/IF($C692="LT",Config!$G$4,Config!$G$16)))</f>
        <v/>
      </c>
      <c r="V692">
        <f>IF(OR(J692=0,J692=""),"",ABS((J692-IF($C692="LT",Config!$F$5,Config!$F$17))/IF($C692="LT",Config!$G$5,Config!$G$17)))</f>
        <v/>
      </c>
      <c r="W692">
        <f>IF(OR(K692=0,K692=""),"",ABS((K692-IF($C692="LT",Config!$F$6,Config!$F$18))/IF($C692="LT",Config!$G$6,Config!$G$18)))</f>
        <v/>
      </c>
      <c r="X692">
        <f>IF(OR(L692=0,L692=""),"",ABS((L692-IF($C692="LT",Config!$F$7,Config!$F$19))/IF($C692="LT",Config!$G$7,Config!$G$19)))</f>
        <v/>
      </c>
      <c r="Y692">
        <f>IF(OR(M692=0,M692=""),"",ABS((M692-IF($C692="LT",Config!$F$8,Config!$F$20))/IF($C692="LT",Config!$G$8,Config!$G$20)))</f>
        <v/>
      </c>
      <c r="Z692">
        <f>IF(OR(N692=0,N692=""),"",ABS((N692-IF($C692="LT",Config!$F$9,Config!$F$21))/IF($C692="LT",Config!$G$9,Config!$G$21)))</f>
        <v/>
      </c>
      <c r="AA692">
        <f>IF(OR(O692=0,O692=""),"",ABS((O692-IF($C692="LT",Config!$F$10,Config!$F$22))/IF($C692="LT",Config!$G$10,Config!$G$22)))</f>
        <v/>
      </c>
      <c r="AB692">
        <f>IF(OR(P692=0,P692=""),"",ABS((P692-IF($C692="LT",Config!$F$11,Config!$F$23))/IF($C692="LT",Config!$G$11,Config!$G$23)))</f>
        <v/>
      </c>
      <c r="AC692">
        <f>IF(OR(Q692=0,Q692=""),"",ABS((Q692-IF($C692="LT",Config!$F$12,Config!$F$24))/IF($C692="LT",Config!$G$12,Config!$G$24)))</f>
        <v/>
      </c>
      <c r="AD692">
        <f>IF(OR(R692=0,R692=""),"",ABS((R692-IF($C692="LT",Config!$F$13,Config!$F$25))/IF($C692="LT",Config!$G$13,Config!$G$25)))</f>
        <v/>
      </c>
    </row>
    <row r="693">
      <c r="A693" t="inlineStr">
        <is>
          <t>04D1426121371</t>
        </is>
      </c>
      <c r="B693" t="inlineStr">
        <is>
          <t>CRS0000674</t>
        </is>
      </c>
      <c r="C693" t="inlineStr">
        <is>
          <t>MT</t>
        </is>
      </c>
      <c r="D693" t="inlineStr">
        <is>
          <t>TCX413U-DS1B01</t>
        </is>
      </c>
      <c r="E693" s="2" t="n">
        <v>46126</v>
      </c>
      <c r="F693" t="inlineStr">
        <is>
          <t>Fail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>
        <f>IF(OR(G693=0,G693=""),"",ABS((G693-IF($C693="LT",Config!$F$2,Config!$F$14))/IF($C693="LT",Config!$G$2,Config!$G$14)))</f>
        <v/>
      </c>
      <c r="T693">
        <f>IF(OR(H693=0,H693=""),"",ABS((H693-IF($C693="LT",Config!$F$3,Config!$F$15))/IF($C693="LT",Config!$G$3,Config!$G$15)))</f>
        <v/>
      </c>
      <c r="U693">
        <f>IF(OR(I693=0,I693=""),"",ABS((I693-IF($C693="LT",Config!$F$4,Config!$F$16))/IF($C693="LT",Config!$G$4,Config!$G$16)))</f>
        <v/>
      </c>
      <c r="V693">
        <f>IF(OR(J693=0,J693=""),"",ABS((J693-IF($C693="LT",Config!$F$5,Config!$F$17))/IF($C693="LT",Config!$G$5,Config!$G$17)))</f>
        <v/>
      </c>
      <c r="W693">
        <f>IF(OR(K693=0,K693=""),"",ABS((K693-IF($C693="LT",Config!$F$6,Config!$F$18))/IF($C693="LT",Config!$G$6,Config!$G$18)))</f>
        <v/>
      </c>
      <c r="X693">
        <f>IF(OR(L693=0,L693=""),"",ABS((L693-IF($C693="LT",Config!$F$7,Config!$F$19))/IF($C693="LT",Config!$G$7,Config!$G$19)))</f>
        <v/>
      </c>
      <c r="Y693">
        <f>IF(OR(M693=0,M693=""),"",ABS((M693-IF($C693="LT",Config!$F$8,Config!$F$20))/IF($C693="LT",Config!$G$8,Config!$G$20)))</f>
        <v/>
      </c>
      <c r="Z693">
        <f>IF(OR(N693=0,N693=""),"",ABS((N693-IF($C693="LT",Config!$F$9,Config!$F$21))/IF($C693="LT",Config!$G$9,Config!$G$21)))</f>
        <v/>
      </c>
      <c r="AA693">
        <f>IF(OR(O693=0,O693=""),"",ABS((O693-IF($C693="LT",Config!$F$10,Config!$F$22))/IF($C693="LT",Config!$G$10,Config!$G$22)))</f>
        <v/>
      </c>
      <c r="AB693">
        <f>IF(OR(P693=0,P693=""),"",ABS((P693-IF($C693="LT",Config!$F$11,Config!$F$23))/IF($C693="LT",Config!$G$11,Config!$G$23)))</f>
        <v/>
      </c>
      <c r="AC693">
        <f>IF(OR(Q693=0,Q693=""),"",ABS((Q693-IF($C693="LT",Config!$F$12,Config!$F$24))/IF($C693="LT",Config!$G$12,Config!$G$24)))</f>
        <v/>
      </c>
      <c r="AD693">
        <f>IF(OR(R693=0,R693=""),"",ABS((R693-IF($C693="LT",Config!$F$13,Config!$F$25))/IF($C693="LT",Config!$G$13,Config!$G$25)))</f>
        <v/>
      </c>
    </row>
    <row r="694">
      <c r="A694" t="inlineStr">
        <is>
          <t>04D1426121372</t>
        </is>
      </c>
      <c r="B694" t="inlineStr">
        <is>
          <t>CRS0000674</t>
        </is>
      </c>
      <c r="C694" t="inlineStr">
        <is>
          <t>MT</t>
        </is>
      </c>
      <c r="D694" t="inlineStr">
        <is>
          <t>TCX413U-DS1B01</t>
        </is>
      </c>
      <c r="E694" s="2" t="n">
        <v>46126</v>
      </c>
      <c r="F694" t="inlineStr">
        <is>
          <t>Pass</t>
        </is>
      </c>
      <c r="G694" t="n">
        <v>116</v>
      </c>
      <c r="H694" t="n">
        <v>78.90000000000001</v>
      </c>
      <c r="I694" t="n">
        <v>-1957.8</v>
      </c>
      <c r="J694" t="n">
        <v>71.3</v>
      </c>
      <c r="K694" t="n">
        <v>0</v>
      </c>
      <c r="L694" t="n">
        <v>0.4</v>
      </c>
      <c r="M694" t="n">
        <v>0</v>
      </c>
      <c r="N694" t="n">
        <v>70.90000000000001</v>
      </c>
      <c r="O694" t="n">
        <v>115.24</v>
      </c>
      <c r="P694" t="n">
        <v>115.09</v>
      </c>
      <c r="Q694" t="n">
        <v>4.13</v>
      </c>
      <c r="R694" t="n">
        <v>4.2</v>
      </c>
      <c r="S694">
        <f>IF(OR(G694=0,G694=""),"",ABS((G694-IF($C694="LT",Config!$F$2,Config!$F$14))/IF($C694="LT",Config!$G$2,Config!$G$14)))</f>
        <v/>
      </c>
      <c r="T694">
        <f>IF(OR(H694=0,H694=""),"",ABS((H694-IF($C694="LT",Config!$F$3,Config!$F$15))/IF($C694="LT",Config!$G$3,Config!$G$15)))</f>
        <v/>
      </c>
      <c r="U694">
        <f>IF(OR(I694=0,I694=""),"",ABS((I694-IF($C694="LT",Config!$F$4,Config!$F$16))/IF($C694="LT",Config!$G$4,Config!$G$16)))</f>
        <v/>
      </c>
      <c r="V694">
        <f>IF(OR(J694=0,J694=""),"",ABS((J694-IF($C694="LT",Config!$F$5,Config!$F$17))/IF($C694="LT",Config!$G$5,Config!$G$17)))</f>
        <v/>
      </c>
      <c r="W694">
        <f>IF(OR(K694=0,K694=""),"",ABS((K694-IF($C694="LT",Config!$F$6,Config!$F$18))/IF($C694="LT",Config!$G$6,Config!$G$18)))</f>
        <v/>
      </c>
      <c r="X694">
        <f>IF(OR(L694=0,L694=""),"",ABS((L694-IF($C694="LT",Config!$F$7,Config!$F$19))/IF($C694="LT",Config!$G$7,Config!$G$19)))</f>
        <v/>
      </c>
      <c r="Y694">
        <f>IF(OR(M694=0,M694=""),"",ABS((M694-IF($C694="LT",Config!$F$8,Config!$F$20))/IF($C694="LT",Config!$G$8,Config!$G$20)))</f>
        <v/>
      </c>
      <c r="Z694">
        <f>IF(OR(N694=0,N694=""),"",ABS((N694-IF($C694="LT",Config!$F$9,Config!$F$21))/IF($C694="LT",Config!$G$9,Config!$G$21)))</f>
        <v/>
      </c>
      <c r="AA694">
        <f>IF(OR(O694=0,O694=""),"",ABS((O694-IF($C694="LT",Config!$F$10,Config!$F$22))/IF($C694="LT",Config!$G$10,Config!$G$22)))</f>
        <v/>
      </c>
      <c r="AB694">
        <f>IF(OR(P694=0,P694=""),"",ABS((P694-IF($C694="LT",Config!$F$11,Config!$F$23))/IF($C694="LT",Config!$G$11,Config!$G$23)))</f>
        <v/>
      </c>
      <c r="AC694">
        <f>IF(OR(Q694=0,Q694=""),"",ABS((Q694-IF($C694="LT",Config!$F$12,Config!$F$24))/IF($C694="LT",Config!$G$12,Config!$G$24)))</f>
        <v/>
      </c>
      <c r="AD694">
        <f>IF(OR(R694=0,R694=""),"",ABS((R694-IF($C694="LT",Config!$F$13,Config!$F$25))/IF($C694="LT",Config!$G$13,Config!$G$25)))</f>
        <v/>
      </c>
    </row>
    <row r="695">
      <c r="A695" t="inlineStr">
        <is>
          <t>04D1426121373</t>
        </is>
      </c>
      <c r="B695" t="inlineStr">
        <is>
          <t>CRS0000674</t>
        </is>
      </c>
      <c r="C695" t="inlineStr">
        <is>
          <t>MT</t>
        </is>
      </c>
      <c r="D695" t="inlineStr">
        <is>
          <t>TCX413U-DS1B01</t>
        </is>
      </c>
      <c r="E695" s="2" t="n">
        <v>46126</v>
      </c>
      <c r="F695" t="inlineStr">
        <is>
          <t>Pass</t>
        </is>
      </c>
      <c r="G695" t="n">
        <v>119.1</v>
      </c>
      <c r="H695" t="n">
        <v>85.2</v>
      </c>
      <c r="I695" t="n">
        <v>-1957.8</v>
      </c>
      <c r="J695" t="n">
        <v>71.3</v>
      </c>
      <c r="K695" t="n">
        <v>0</v>
      </c>
      <c r="L695" t="n">
        <v>0.5</v>
      </c>
      <c r="M695" t="n">
        <v>0</v>
      </c>
      <c r="N695" t="n">
        <v>70.8</v>
      </c>
      <c r="O695" t="n">
        <v>112.16</v>
      </c>
      <c r="P695" t="n">
        <v>116.78</v>
      </c>
      <c r="Q695" t="n">
        <v>4</v>
      </c>
      <c r="R695" t="n">
        <v>3.96</v>
      </c>
      <c r="S695">
        <f>IF(OR(G695=0,G695=""),"",ABS((G695-IF($C695="LT",Config!$F$2,Config!$F$14))/IF($C695="LT",Config!$G$2,Config!$G$14)))</f>
        <v/>
      </c>
      <c r="T695">
        <f>IF(OR(H695=0,H695=""),"",ABS((H695-IF($C695="LT",Config!$F$3,Config!$F$15))/IF($C695="LT",Config!$G$3,Config!$G$15)))</f>
        <v/>
      </c>
      <c r="U695">
        <f>IF(OR(I695=0,I695=""),"",ABS((I695-IF($C695="LT",Config!$F$4,Config!$F$16))/IF($C695="LT",Config!$G$4,Config!$G$16)))</f>
        <v/>
      </c>
      <c r="V695">
        <f>IF(OR(J695=0,J695=""),"",ABS((J695-IF($C695="LT",Config!$F$5,Config!$F$17))/IF($C695="LT",Config!$G$5,Config!$G$17)))</f>
        <v/>
      </c>
      <c r="W695">
        <f>IF(OR(K695=0,K695=""),"",ABS((K695-IF($C695="LT",Config!$F$6,Config!$F$18))/IF($C695="LT",Config!$G$6,Config!$G$18)))</f>
        <v/>
      </c>
      <c r="X695">
        <f>IF(OR(L695=0,L695=""),"",ABS((L695-IF($C695="LT",Config!$F$7,Config!$F$19))/IF($C695="LT",Config!$G$7,Config!$G$19)))</f>
        <v/>
      </c>
      <c r="Y695">
        <f>IF(OR(M695=0,M695=""),"",ABS((M695-IF($C695="LT",Config!$F$8,Config!$F$20))/IF($C695="LT",Config!$G$8,Config!$G$20)))</f>
        <v/>
      </c>
      <c r="Z695">
        <f>IF(OR(N695=0,N695=""),"",ABS((N695-IF($C695="LT",Config!$F$9,Config!$F$21))/IF($C695="LT",Config!$G$9,Config!$G$21)))</f>
        <v/>
      </c>
      <c r="AA695">
        <f>IF(OR(O695=0,O695=""),"",ABS((O695-IF($C695="LT",Config!$F$10,Config!$F$22))/IF($C695="LT",Config!$G$10,Config!$G$22)))</f>
        <v/>
      </c>
      <c r="AB695">
        <f>IF(OR(P695=0,P695=""),"",ABS((P695-IF($C695="LT",Config!$F$11,Config!$F$23))/IF($C695="LT",Config!$G$11,Config!$G$23)))</f>
        <v/>
      </c>
      <c r="AC695">
        <f>IF(OR(Q695=0,Q695=""),"",ABS((Q695-IF($C695="LT",Config!$F$12,Config!$F$24))/IF($C695="LT",Config!$G$12,Config!$G$24)))</f>
        <v/>
      </c>
      <c r="AD695">
        <f>IF(OR(R695=0,R695=""),"",ABS((R695-IF($C695="LT",Config!$F$13,Config!$F$25))/IF($C695="LT",Config!$G$13,Config!$G$25)))</f>
        <v/>
      </c>
    </row>
    <row r="696">
      <c r="A696" t="inlineStr">
        <is>
          <t>04D1426121374</t>
        </is>
      </c>
      <c r="B696" t="inlineStr">
        <is>
          <t>CRS0000674</t>
        </is>
      </c>
      <c r="C696" t="inlineStr">
        <is>
          <t>MT</t>
        </is>
      </c>
      <c r="D696" t="inlineStr">
        <is>
          <t>TCX413U-DS1B01</t>
        </is>
      </c>
      <c r="E696" s="2" t="n">
        <v>46126</v>
      </c>
      <c r="F696" t="inlineStr">
        <is>
          <t>Pass</t>
        </is>
      </c>
      <c r="G696" t="n">
        <v>117.8</v>
      </c>
      <c r="H696" t="n">
        <v>82.90000000000001</v>
      </c>
      <c r="I696" t="n">
        <v>-1957.8</v>
      </c>
      <c r="J696" t="n">
        <v>70.8</v>
      </c>
      <c r="K696" t="n">
        <v>0</v>
      </c>
      <c r="L696" t="n">
        <v>0.7</v>
      </c>
      <c r="M696" t="n">
        <v>0</v>
      </c>
      <c r="N696" t="n">
        <v>71.5</v>
      </c>
      <c r="O696" t="n">
        <v>111.94</v>
      </c>
      <c r="P696" t="n">
        <v>113.33</v>
      </c>
      <c r="Q696" t="n">
        <v>4</v>
      </c>
      <c r="R696" t="n">
        <v>4.05</v>
      </c>
      <c r="S696">
        <f>IF(OR(G696=0,G696=""),"",ABS((G696-IF($C696="LT",Config!$F$2,Config!$F$14))/IF($C696="LT",Config!$G$2,Config!$G$14)))</f>
        <v/>
      </c>
      <c r="T696">
        <f>IF(OR(H696=0,H696=""),"",ABS((H696-IF($C696="LT",Config!$F$3,Config!$F$15))/IF($C696="LT",Config!$G$3,Config!$G$15)))</f>
        <v/>
      </c>
      <c r="U696">
        <f>IF(OR(I696=0,I696=""),"",ABS((I696-IF($C696="LT",Config!$F$4,Config!$F$16))/IF($C696="LT",Config!$G$4,Config!$G$16)))</f>
        <v/>
      </c>
      <c r="V696">
        <f>IF(OR(J696=0,J696=""),"",ABS((J696-IF($C696="LT",Config!$F$5,Config!$F$17))/IF($C696="LT",Config!$G$5,Config!$G$17)))</f>
        <v/>
      </c>
      <c r="W696">
        <f>IF(OR(K696=0,K696=""),"",ABS((K696-IF($C696="LT",Config!$F$6,Config!$F$18))/IF($C696="LT",Config!$G$6,Config!$G$18)))</f>
        <v/>
      </c>
      <c r="X696">
        <f>IF(OR(L696=0,L696=""),"",ABS((L696-IF($C696="LT",Config!$F$7,Config!$F$19))/IF($C696="LT",Config!$G$7,Config!$G$19)))</f>
        <v/>
      </c>
      <c r="Y696">
        <f>IF(OR(M696=0,M696=""),"",ABS((M696-IF($C696="LT",Config!$F$8,Config!$F$20))/IF($C696="LT",Config!$G$8,Config!$G$20)))</f>
        <v/>
      </c>
      <c r="Z696">
        <f>IF(OR(N696=0,N696=""),"",ABS((N696-IF($C696="LT",Config!$F$9,Config!$F$21))/IF($C696="LT",Config!$G$9,Config!$G$21)))</f>
        <v/>
      </c>
      <c r="AA696">
        <f>IF(OR(O696=0,O696=""),"",ABS((O696-IF($C696="LT",Config!$F$10,Config!$F$22))/IF($C696="LT",Config!$G$10,Config!$G$22)))</f>
        <v/>
      </c>
      <c r="AB696">
        <f>IF(OR(P696=0,P696=""),"",ABS((P696-IF($C696="LT",Config!$F$11,Config!$F$23))/IF($C696="LT",Config!$G$11,Config!$G$23)))</f>
        <v/>
      </c>
      <c r="AC696">
        <f>IF(OR(Q696=0,Q696=""),"",ABS((Q696-IF($C696="LT",Config!$F$12,Config!$F$24))/IF($C696="LT",Config!$G$12,Config!$G$24)))</f>
        <v/>
      </c>
      <c r="AD696">
        <f>IF(OR(R696=0,R696=""),"",ABS((R696-IF($C696="LT",Config!$F$13,Config!$F$25))/IF($C696="LT",Config!$G$13,Config!$G$25)))</f>
        <v/>
      </c>
    </row>
    <row r="697">
      <c r="A697" t="inlineStr">
        <is>
          <t>04D1426121375</t>
        </is>
      </c>
      <c r="B697" t="inlineStr">
        <is>
          <t>CRS0000674</t>
        </is>
      </c>
      <c r="C697" t="inlineStr">
        <is>
          <t>MT</t>
        </is>
      </c>
      <c r="D697" t="inlineStr">
        <is>
          <t>TCX413U-DS1B01</t>
        </is>
      </c>
      <c r="E697" s="2" t="n">
        <v>46126</v>
      </c>
      <c r="F697" t="inlineStr">
        <is>
          <t>Pass</t>
        </is>
      </c>
      <c r="G697" t="n">
        <v>100.8</v>
      </c>
      <c r="H697" t="n">
        <v>83.40000000000001</v>
      </c>
      <c r="I697" t="n">
        <v>-1957.8</v>
      </c>
      <c r="J697" t="n">
        <v>71.3</v>
      </c>
      <c r="K697" t="n">
        <v>0</v>
      </c>
      <c r="L697" t="n">
        <v>0.1</v>
      </c>
      <c r="M697" t="n">
        <v>0</v>
      </c>
      <c r="N697" t="n">
        <v>71.2</v>
      </c>
      <c r="O697" t="n">
        <v>111.35</v>
      </c>
      <c r="P697" t="n">
        <v>112.89</v>
      </c>
      <c r="Q697" t="n">
        <v>3.98</v>
      </c>
      <c r="R697" t="n">
        <v>4</v>
      </c>
      <c r="S697">
        <f>IF(OR(G697=0,G697=""),"",ABS((G697-IF($C697="LT",Config!$F$2,Config!$F$14))/IF($C697="LT",Config!$G$2,Config!$G$14)))</f>
        <v/>
      </c>
      <c r="T697">
        <f>IF(OR(H697=0,H697=""),"",ABS((H697-IF($C697="LT",Config!$F$3,Config!$F$15))/IF($C697="LT",Config!$G$3,Config!$G$15)))</f>
        <v/>
      </c>
      <c r="U697">
        <f>IF(OR(I697=0,I697=""),"",ABS((I697-IF($C697="LT",Config!$F$4,Config!$F$16))/IF($C697="LT",Config!$G$4,Config!$G$16)))</f>
        <v/>
      </c>
      <c r="V697">
        <f>IF(OR(J697=0,J697=""),"",ABS((J697-IF($C697="LT",Config!$F$5,Config!$F$17))/IF($C697="LT",Config!$G$5,Config!$G$17)))</f>
        <v/>
      </c>
      <c r="W697">
        <f>IF(OR(K697=0,K697=""),"",ABS((K697-IF($C697="LT",Config!$F$6,Config!$F$18))/IF($C697="LT",Config!$G$6,Config!$G$18)))</f>
        <v/>
      </c>
      <c r="X697">
        <f>IF(OR(L697=0,L697=""),"",ABS((L697-IF($C697="LT",Config!$F$7,Config!$F$19))/IF($C697="LT",Config!$G$7,Config!$G$19)))</f>
        <v/>
      </c>
      <c r="Y697">
        <f>IF(OR(M697=0,M697=""),"",ABS((M697-IF($C697="LT",Config!$F$8,Config!$F$20))/IF($C697="LT",Config!$G$8,Config!$G$20)))</f>
        <v/>
      </c>
      <c r="Z697">
        <f>IF(OR(N697=0,N697=""),"",ABS((N697-IF($C697="LT",Config!$F$9,Config!$F$21))/IF($C697="LT",Config!$G$9,Config!$G$21)))</f>
        <v/>
      </c>
      <c r="AA697">
        <f>IF(OR(O697=0,O697=""),"",ABS((O697-IF($C697="LT",Config!$F$10,Config!$F$22))/IF($C697="LT",Config!$G$10,Config!$G$22)))</f>
        <v/>
      </c>
      <c r="AB697">
        <f>IF(OR(P697=0,P697=""),"",ABS((P697-IF($C697="LT",Config!$F$11,Config!$F$23))/IF($C697="LT",Config!$G$11,Config!$G$23)))</f>
        <v/>
      </c>
      <c r="AC697">
        <f>IF(OR(Q697=0,Q697=""),"",ABS((Q697-IF($C697="LT",Config!$F$12,Config!$F$24))/IF($C697="LT",Config!$G$12,Config!$G$24)))</f>
        <v/>
      </c>
      <c r="AD697">
        <f>IF(OR(R697=0,R697=""),"",ABS((R697-IF($C697="LT",Config!$F$13,Config!$F$25))/IF($C697="LT",Config!$G$13,Config!$G$25)))</f>
        <v/>
      </c>
    </row>
    <row r="698">
      <c r="A698" t="inlineStr">
        <is>
          <t>04D1426121376</t>
        </is>
      </c>
      <c r="B698" t="inlineStr">
        <is>
          <t>CRS0000674</t>
        </is>
      </c>
      <c r="C698" t="inlineStr">
        <is>
          <t>MT</t>
        </is>
      </c>
      <c r="D698" t="inlineStr">
        <is>
          <t>TCX413U-DS1B01</t>
        </is>
      </c>
      <c r="E698" s="2" t="n">
        <v>46126</v>
      </c>
      <c r="F698" t="inlineStr">
        <is>
          <t>Pass</t>
        </is>
      </c>
      <c r="G698" t="n">
        <v>116.9</v>
      </c>
      <c r="H698" t="n">
        <v>83.8</v>
      </c>
      <c r="I698" t="n">
        <v>-1957.8</v>
      </c>
      <c r="J698" t="n">
        <v>71.7</v>
      </c>
      <c r="K698" t="n">
        <v>0</v>
      </c>
      <c r="L698" t="n">
        <v>0.8</v>
      </c>
      <c r="M698" t="n">
        <v>0</v>
      </c>
      <c r="N698" t="n">
        <v>72.5</v>
      </c>
      <c r="O698" t="n">
        <v>111.64</v>
      </c>
      <c r="P698" t="n">
        <v>113.04</v>
      </c>
      <c r="Q698" t="n">
        <v>4.25</v>
      </c>
      <c r="R698" t="n">
        <v>4.27</v>
      </c>
      <c r="S698">
        <f>IF(OR(G698=0,G698=""),"",ABS((G698-IF($C698="LT",Config!$F$2,Config!$F$14))/IF($C698="LT",Config!$G$2,Config!$G$14)))</f>
        <v/>
      </c>
      <c r="T698">
        <f>IF(OR(H698=0,H698=""),"",ABS((H698-IF($C698="LT",Config!$F$3,Config!$F$15))/IF($C698="LT",Config!$G$3,Config!$G$15)))</f>
        <v/>
      </c>
      <c r="U698">
        <f>IF(OR(I698=0,I698=""),"",ABS((I698-IF($C698="LT",Config!$F$4,Config!$F$16))/IF($C698="LT",Config!$G$4,Config!$G$16)))</f>
        <v/>
      </c>
      <c r="V698">
        <f>IF(OR(J698=0,J698=""),"",ABS((J698-IF($C698="LT",Config!$F$5,Config!$F$17))/IF($C698="LT",Config!$G$5,Config!$G$17)))</f>
        <v/>
      </c>
      <c r="W698">
        <f>IF(OR(K698=0,K698=""),"",ABS((K698-IF($C698="LT",Config!$F$6,Config!$F$18))/IF($C698="LT",Config!$G$6,Config!$G$18)))</f>
        <v/>
      </c>
      <c r="X698">
        <f>IF(OR(L698=0,L698=""),"",ABS((L698-IF($C698="LT",Config!$F$7,Config!$F$19))/IF($C698="LT",Config!$G$7,Config!$G$19)))</f>
        <v/>
      </c>
      <c r="Y698">
        <f>IF(OR(M698=0,M698=""),"",ABS((M698-IF($C698="LT",Config!$F$8,Config!$F$20))/IF($C698="LT",Config!$G$8,Config!$G$20)))</f>
        <v/>
      </c>
      <c r="Z698">
        <f>IF(OR(N698=0,N698=""),"",ABS((N698-IF($C698="LT",Config!$F$9,Config!$F$21))/IF($C698="LT",Config!$G$9,Config!$G$21)))</f>
        <v/>
      </c>
      <c r="AA698">
        <f>IF(OR(O698=0,O698=""),"",ABS((O698-IF($C698="LT",Config!$F$10,Config!$F$22))/IF($C698="LT",Config!$G$10,Config!$G$22)))</f>
        <v/>
      </c>
      <c r="AB698">
        <f>IF(OR(P698=0,P698=""),"",ABS((P698-IF($C698="LT",Config!$F$11,Config!$F$23))/IF($C698="LT",Config!$G$11,Config!$G$23)))</f>
        <v/>
      </c>
      <c r="AC698">
        <f>IF(OR(Q698=0,Q698=""),"",ABS((Q698-IF($C698="LT",Config!$F$12,Config!$F$24))/IF($C698="LT",Config!$G$12,Config!$G$24)))</f>
        <v/>
      </c>
      <c r="AD698">
        <f>IF(OR(R698=0,R698=""),"",ABS((R698-IF($C698="LT",Config!$F$13,Config!$F$25))/IF($C698="LT",Config!$G$13,Config!$G$25)))</f>
        <v/>
      </c>
    </row>
    <row r="699">
      <c r="A699" t="inlineStr">
        <is>
          <t>04C2326121061</t>
        </is>
      </c>
      <c r="B699" t="inlineStr">
        <is>
          <t>CRS0000674</t>
        </is>
      </c>
      <c r="C699" t="inlineStr">
        <is>
          <t>MT</t>
        </is>
      </c>
      <c r="D699" t="inlineStr">
        <is>
          <t>TCX413U-DS1B01</t>
        </is>
      </c>
      <c r="E699" s="2" t="n">
        <v>46126</v>
      </c>
      <c r="F699" t="inlineStr">
        <is>
          <t>Fail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>
        <f>IF(OR(G699=0,G699=""),"",ABS((G699-IF($C699="LT",Config!$F$2,Config!$F$14))/IF($C699="LT",Config!$G$2,Config!$G$14)))</f>
        <v/>
      </c>
      <c r="T699">
        <f>IF(OR(H699=0,H699=""),"",ABS((H699-IF($C699="LT",Config!$F$3,Config!$F$15))/IF($C699="LT",Config!$G$3,Config!$G$15)))</f>
        <v/>
      </c>
      <c r="U699">
        <f>IF(OR(I699=0,I699=""),"",ABS((I699-IF($C699="LT",Config!$F$4,Config!$F$16))/IF($C699="LT",Config!$G$4,Config!$G$16)))</f>
        <v/>
      </c>
      <c r="V699">
        <f>IF(OR(J699=0,J699=""),"",ABS((J699-IF($C699="LT",Config!$F$5,Config!$F$17))/IF($C699="LT",Config!$G$5,Config!$G$17)))</f>
        <v/>
      </c>
      <c r="W699">
        <f>IF(OR(K699=0,K699=""),"",ABS((K699-IF($C699="LT",Config!$F$6,Config!$F$18))/IF($C699="LT",Config!$G$6,Config!$G$18)))</f>
        <v/>
      </c>
      <c r="X699">
        <f>IF(OR(L699=0,L699=""),"",ABS((L699-IF($C699="LT",Config!$F$7,Config!$F$19))/IF($C699="LT",Config!$G$7,Config!$G$19)))</f>
        <v/>
      </c>
      <c r="Y699">
        <f>IF(OR(M699=0,M699=""),"",ABS((M699-IF($C699="LT",Config!$F$8,Config!$F$20))/IF($C699="LT",Config!$G$8,Config!$G$20)))</f>
        <v/>
      </c>
      <c r="Z699">
        <f>IF(OR(N699=0,N699=""),"",ABS((N699-IF($C699="LT",Config!$F$9,Config!$F$21))/IF($C699="LT",Config!$G$9,Config!$G$21)))</f>
        <v/>
      </c>
      <c r="AA699">
        <f>IF(OR(O699=0,O699=""),"",ABS((O699-IF($C699="LT",Config!$F$10,Config!$F$22))/IF($C699="LT",Config!$G$10,Config!$G$22)))</f>
        <v/>
      </c>
      <c r="AB699">
        <f>IF(OR(P699=0,P699=""),"",ABS((P699-IF($C699="LT",Config!$F$11,Config!$F$23))/IF($C699="LT",Config!$G$11,Config!$G$23)))</f>
        <v/>
      </c>
      <c r="AC699">
        <f>IF(OR(Q699=0,Q699=""),"",ABS((Q699-IF($C699="LT",Config!$F$12,Config!$F$24))/IF($C699="LT",Config!$G$12,Config!$G$24)))</f>
        <v/>
      </c>
      <c r="AD699">
        <f>IF(OR(R699=0,R699=""),"",ABS((R699-IF($C699="LT",Config!$F$13,Config!$F$25))/IF($C699="LT",Config!$G$13,Config!$G$25)))</f>
        <v/>
      </c>
    </row>
    <row r="700">
      <c r="A700" t="inlineStr">
        <is>
          <t>04C2526121094</t>
        </is>
      </c>
      <c r="B700" t="inlineStr">
        <is>
          <t>CRS0000675</t>
        </is>
      </c>
      <c r="C700" t="inlineStr">
        <is>
          <t>LT</t>
        </is>
      </c>
      <c r="D700" t="inlineStr">
        <is>
          <t>ALX440U-DS3B01</t>
        </is>
      </c>
      <c r="E700" s="2" t="n">
        <v>46126</v>
      </c>
      <c r="F700" t="inlineStr">
        <is>
          <t>Fail</t>
        </is>
      </c>
      <c r="G700" t="n">
        <v>100.3</v>
      </c>
      <c r="H700" t="n">
        <v>73.90000000000001</v>
      </c>
      <c r="I700" t="n">
        <v>-1957.8</v>
      </c>
      <c r="J700" t="n">
        <v>73.5</v>
      </c>
      <c r="K700" t="n">
        <v>0</v>
      </c>
      <c r="L700" t="n">
        <v>1.4</v>
      </c>
      <c r="M700" t="n">
        <v>0</v>
      </c>
      <c r="N700" t="n">
        <v>74.90000000000001</v>
      </c>
      <c r="O700" t="n">
        <v>112.6</v>
      </c>
      <c r="P700" t="n">
        <v>117.36</v>
      </c>
      <c r="Q700" t="n">
        <v>3.64</v>
      </c>
      <c r="R700" t="n">
        <v>3.32</v>
      </c>
      <c r="S700">
        <f>IF(OR(G700=0,G700=""),"",ABS((G700-IF($C700="LT",Config!$F$2,Config!$F$14))/IF($C700="LT",Config!$G$2,Config!$G$14)))</f>
        <v/>
      </c>
      <c r="T700">
        <f>IF(OR(H700=0,H700=""),"",ABS((H700-IF($C700="LT",Config!$F$3,Config!$F$15))/IF($C700="LT",Config!$G$3,Config!$G$15)))</f>
        <v/>
      </c>
      <c r="U700">
        <f>IF(OR(I700=0,I700=""),"",ABS((I700-IF($C700="LT",Config!$F$4,Config!$F$16))/IF($C700="LT",Config!$G$4,Config!$G$16)))</f>
        <v/>
      </c>
      <c r="V700">
        <f>IF(OR(J700=0,J700=""),"",ABS((J700-IF($C700="LT",Config!$F$5,Config!$F$17))/IF($C700="LT",Config!$G$5,Config!$G$17)))</f>
        <v/>
      </c>
      <c r="W700">
        <f>IF(OR(K700=0,K700=""),"",ABS((K700-IF($C700="LT",Config!$F$6,Config!$F$18))/IF($C700="LT",Config!$G$6,Config!$G$18)))</f>
        <v/>
      </c>
      <c r="X700">
        <f>IF(OR(L700=0,L700=""),"",ABS((L700-IF($C700="LT",Config!$F$7,Config!$F$19))/IF($C700="LT",Config!$G$7,Config!$G$19)))</f>
        <v/>
      </c>
      <c r="Y700">
        <f>IF(OR(M700=0,M700=""),"",ABS((M700-IF($C700="LT",Config!$F$8,Config!$F$20))/IF($C700="LT",Config!$G$8,Config!$G$20)))</f>
        <v/>
      </c>
      <c r="Z700">
        <f>IF(OR(N700=0,N700=""),"",ABS((N700-IF($C700="LT",Config!$F$9,Config!$F$21))/IF($C700="LT",Config!$G$9,Config!$G$21)))</f>
        <v/>
      </c>
      <c r="AA700">
        <f>IF(OR(O700=0,O700=""),"",ABS((O700-IF($C700="LT",Config!$F$10,Config!$F$22))/IF($C700="LT",Config!$G$10,Config!$G$22)))</f>
        <v/>
      </c>
      <c r="AB700">
        <f>IF(OR(P700=0,P700=""),"",ABS((P700-IF($C700="LT",Config!$F$11,Config!$F$23))/IF($C700="LT",Config!$G$11,Config!$G$23)))</f>
        <v/>
      </c>
      <c r="AC700">
        <f>IF(OR(Q700=0,Q700=""),"",ABS((Q700-IF($C700="LT",Config!$F$12,Config!$F$24))/IF($C700="LT",Config!$G$12,Config!$G$24)))</f>
        <v/>
      </c>
      <c r="AD700">
        <f>IF(OR(R700=0,R700=""),"",ABS((R700-IF($C700="LT",Config!$F$13,Config!$F$25))/IF($C700="LT",Config!$G$13,Config!$G$25)))</f>
        <v/>
      </c>
    </row>
    <row r="701">
      <c r="A701" t="inlineStr">
        <is>
          <t>04C2526121093</t>
        </is>
      </c>
      <c r="B701" t="inlineStr">
        <is>
          <t>CRS0000675</t>
        </is>
      </c>
      <c r="C701" t="inlineStr">
        <is>
          <t>LT</t>
        </is>
      </c>
      <c r="D701" t="inlineStr">
        <is>
          <t>ALX440U-DS3B01</t>
        </is>
      </c>
      <c r="E701" s="2" t="n">
        <v>46126</v>
      </c>
      <c r="F701" t="inlineStr">
        <is>
          <t>Fail</t>
        </is>
      </c>
      <c r="G701" t="n">
        <v>103.9</v>
      </c>
      <c r="H701" t="n">
        <v>73</v>
      </c>
      <c r="I701" t="n">
        <v>-1957.8</v>
      </c>
      <c r="J701" t="n">
        <v>73.5</v>
      </c>
      <c r="K701" t="n">
        <v>0</v>
      </c>
      <c r="L701" t="n">
        <v>0.6</v>
      </c>
      <c r="M701" t="n">
        <v>0</v>
      </c>
      <c r="N701" t="n">
        <v>72.90000000000001</v>
      </c>
      <c r="O701" t="n">
        <v>116.48</v>
      </c>
      <c r="P701" t="n">
        <v>112.6</v>
      </c>
      <c r="Q701" t="n">
        <v>3.66</v>
      </c>
      <c r="R701" t="n">
        <v>3.56</v>
      </c>
      <c r="S701">
        <f>IF(OR(G701=0,G701=""),"",ABS((G701-IF($C701="LT",Config!$F$2,Config!$F$14))/IF($C701="LT",Config!$G$2,Config!$G$14)))</f>
        <v/>
      </c>
      <c r="T701">
        <f>IF(OR(H701=0,H701=""),"",ABS((H701-IF($C701="LT",Config!$F$3,Config!$F$15))/IF($C701="LT",Config!$G$3,Config!$G$15)))</f>
        <v/>
      </c>
      <c r="U701">
        <f>IF(OR(I701=0,I701=""),"",ABS((I701-IF($C701="LT",Config!$F$4,Config!$F$16))/IF($C701="LT",Config!$G$4,Config!$G$16)))</f>
        <v/>
      </c>
      <c r="V701">
        <f>IF(OR(J701=0,J701=""),"",ABS((J701-IF($C701="LT",Config!$F$5,Config!$F$17))/IF($C701="LT",Config!$G$5,Config!$G$17)))</f>
        <v/>
      </c>
      <c r="W701">
        <f>IF(OR(K701=0,K701=""),"",ABS((K701-IF($C701="LT",Config!$F$6,Config!$F$18))/IF($C701="LT",Config!$G$6,Config!$G$18)))</f>
        <v/>
      </c>
      <c r="X701">
        <f>IF(OR(L701=0,L701=""),"",ABS((L701-IF($C701="LT",Config!$F$7,Config!$F$19))/IF($C701="LT",Config!$G$7,Config!$G$19)))</f>
        <v/>
      </c>
      <c r="Y701">
        <f>IF(OR(M701=0,M701=""),"",ABS((M701-IF($C701="LT",Config!$F$8,Config!$F$20))/IF($C701="LT",Config!$G$8,Config!$G$20)))</f>
        <v/>
      </c>
      <c r="Z701">
        <f>IF(OR(N701=0,N701=""),"",ABS((N701-IF($C701="LT",Config!$F$9,Config!$F$21))/IF($C701="LT",Config!$G$9,Config!$G$21)))</f>
        <v/>
      </c>
      <c r="AA701">
        <f>IF(OR(O701=0,O701=""),"",ABS((O701-IF($C701="LT",Config!$F$10,Config!$F$22))/IF($C701="LT",Config!$G$10,Config!$G$22)))</f>
        <v/>
      </c>
      <c r="AB701">
        <f>IF(OR(P701=0,P701=""),"",ABS((P701-IF($C701="LT",Config!$F$11,Config!$F$23))/IF($C701="LT",Config!$G$11,Config!$G$23)))</f>
        <v/>
      </c>
      <c r="AC701">
        <f>IF(OR(Q701=0,Q701=""),"",ABS((Q701-IF($C701="LT",Config!$F$12,Config!$F$24))/IF($C701="LT",Config!$G$12,Config!$G$24)))</f>
        <v/>
      </c>
      <c r="AD701">
        <f>IF(OR(R701=0,R701=""),"",ABS((R701-IF($C701="LT",Config!$F$13,Config!$F$25))/IF($C701="LT",Config!$G$13,Config!$G$25)))</f>
        <v/>
      </c>
    </row>
    <row r="702">
      <c r="A702" t="inlineStr">
        <is>
          <t>04C2626121105</t>
        </is>
      </c>
      <c r="B702" t="inlineStr">
        <is>
          <t>CRS0000674</t>
        </is>
      </c>
      <c r="C702" t="inlineStr">
        <is>
          <t>MT</t>
        </is>
      </c>
      <c r="D702" t="inlineStr">
        <is>
          <t>TCX413U-DS1B01</t>
        </is>
      </c>
      <c r="E702" s="2" t="n">
        <v>46126</v>
      </c>
      <c r="F702" t="inlineStr">
        <is>
          <t>Fail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>
        <f>IF(OR(G702=0,G702=""),"",ABS((G702-IF($C702="LT",Config!$F$2,Config!$F$14))/IF($C702="LT",Config!$G$2,Config!$G$14)))</f>
        <v/>
      </c>
      <c r="T702">
        <f>IF(OR(H702=0,H702=""),"",ABS((H702-IF($C702="LT",Config!$F$3,Config!$F$15))/IF($C702="LT",Config!$G$3,Config!$G$15)))</f>
        <v/>
      </c>
      <c r="U702">
        <f>IF(OR(I702=0,I702=""),"",ABS((I702-IF($C702="LT",Config!$F$4,Config!$F$16))/IF($C702="LT",Config!$G$4,Config!$G$16)))</f>
        <v/>
      </c>
      <c r="V702">
        <f>IF(OR(J702=0,J702=""),"",ABS((J702-IF($C702="LT",Config!$F$5,Config!$F$17))/IF($C702="LT",Config!$G$5,Config!$G$17)))</f>
        <v/>
      </c>
      <c r="W702">
        <f>IF(OR(K702=0,K702=""),"",ABS((K702-IF($C702="LT",Config!$F$6,Config!$F$18))/IF($C702="LT",Config!$G$6,Config!$G$18)))</f>
        <v/>
      </c>
      <c r="X702">
        <f>IF(OR(L702=0,L702=""),"",ABS((L702-IF($C702="LT",Config!$F$7,Config!$F$19))/IF($C702="LT",Config!$G$7,Config!$G$19)))</f>
        <v/>
      </c>
      <c r="Y702">
        <f>IF(OR(M702=0,M702=""),"",ABS((M702-IF($C702="LT",Config!$F$8,Config!$F$20))/IF($C702="LT",Config!$G$8,Config!$G$20)))</f>
        <v/>
      </c>
      <c r="Z702">
        <f>IF(OR(N702=0,N702=""),"",ABS((N702-IF($C702="LT",Config!$F$9,Config!$F$21))/IF($C702="LT",Config!$G$9,Config!$G$21)))</f>
        <v/>
      </c>
      <c r="AA702">
        <f>IF(OR(O702=0,O702=""),"",ABS((O702-IF($C702="LT",Config!$F$10,Config!$F$22))/IF($C702="LT",Config!$G$10,Config!$G$22)))</f>
        <v/>
      </c>
      <c r="AB702">
        <f>IF(OR(P702=0,P702=""),"",ABS((P702-IF($C702="LT",Config!$F$11,Config!$F$23))/IF($C702="LT",Config!$G$11,Config!$G$23)))</f>
        <v/>
      </c>
      <c r="AC702">
        <f>IF(OR(Q702=0,Q702=""),"",ABS((Q702-IF($C702="LT",Config!$F$12,Config!$F$24))/IF($C702="LT",Config!$G$12,Config!$G$24)))</f>
        <v/>
      </c>
      <c r="AD702">
        <f>IF(OR(R702=0,R702=""),"",ABS((R702-IF($C702="LT",Config!$F$13,Config!$F$25))/IF($C702="LT",Config!$G$13,Config!$G$25)))</f>
        <v/>
      </c>
    </row>
    <row r="703">
      <c r="A703" t="inlineStr">
        <is>
          <t>04D1426121377</t>
        </is>
      </c>
      <c r="B703" t="inlineStr">
        <is>
          <t>CRS0000674</t>
        </is>
      </c>
      <c r="C703" t="inlineStr">
        <is>
          <t>MT</t>
        </is>
      </c>
      <c r="D703" t="inlineStr">
        <is>
          <t>TCX413U-DS1B01</t>
        </is>
      </c>
      <c r="E703" s="2" t="n">
        <v>46126</v>
      </c>
      <c r="F703" t="inlineStr">
        <is>
          <t>Pass</t>
        </is>
      </c>
      <c r="G703" t="n">
        <v>113.7</v>
      </c>
      <c r="H703" t="n">
        <v>83.8</v>
      </c>
      <c r="I703" t="n">
        <v>-1957.8</v>
      </c>
      <c r="J703" t="n">
        <v>73.5</v>
      </c>
      <c r="K703" t="n">
        <v>0</v>
      </c>
      <c r="L703" t="n">
        <v>0.5</v>
      </c>
      <c r="M703" t="n">
        <v>0</v>
      </c>
      <c r="N703" t="n">
        <v>74</v>
      </c>
      <c r="O703" t="n">
        <v>115.38</v>
      </c>
      <c r="P703" t="n">
        <v>115.38</v>
      </c>
      <c r="Q703" t="n">
        <v>3.98</v>
      </c>
      <c r="R703" t="n">
        <v>4.13</v>
      </c>
      <c r="S703">
        <f>IF(OR(G703=0,G703=""),"",ABS((G703-IF($C703="LT",Config!$F$2,Config!$F$14))/IF($C703="LT",Config!$G$2,Config!$G$14)))</f>
        <v/>
      </c>
      <c r="T703">
        <f>IF(OR(H703=0,H703=""),"",ABS((H703-IF($C703="LT",Config!$F$3,Config!$F$15))/IF($C703="LT",Config!$G$3,Config!$G$15)))</f>
        <v/>
      </c>
      <c r="U703">
        <f>IF(OR(I703=0,I703=""),"",ABS((I703-IF($C703="LT",Config!$F$4,Config!$F$16))/IF($C703="LT",Config!$G$4,Config!$G$16)))</f>
        <v/>
      </c>
      <c r="V703">
        <f>IF(OR(J703=0,J703=""),"",ABS((J703-IF($C703="LT",Config!$F$5,Config!$F$17))/IF($C703="LT",Config!$G$5,Config!$G$17)))</f>
        <v/>
      </c>
      <c r="W703">
        <f>IF(OR(K703=0,K703=""),"",ABS((K703-IF($C703="LT",Config!$F$6,Config!$F$18))/IF($C703="LT",Config!$G$6,Config!$G$18)))</f>
        <v/>
      </c>
      <c r="X703">
        <f>IF(OR(L703=0,L703=""),"",ABS((L703-IF($C703="LT",Config!$F$7,Config!$F$19))/IF($C703="LT",Config!$G$7,Config!$G$19)))</f>
        <v/>
      </c>
      <c r="Y703">
        <f>IF(OR(M703=0,M703=""),"",ABS((M703-IF($C703="LT",Config!$F$8,Config!$F$20))/IF($C703="LT",Config!$G$8,Config!$G$20)))</f>
        <v/>
      </c>
      <c r="Z703">
        <f>IF(OR(N703=0,N703=""),"",ABS((N703-IF($C703="LT",Config!$F$9,Config!$F$21))/IF($C703="LT",Config!$G$9,Config!$G$21)))</f>
        <v/>
      </c>
      <c r="AA703">
        <f>IF(OR(O703=0,O703=""),"",ABS((O703-IF($C703="LT",Config!$F$10,Config!$F$22))/IF($C703="LT",Config!$G$10,Config!$G$22)))</f>
        <v/>
      </c>
      <c r="AB703">
        <f>IF(OR(P703=0,P703=""),"",ABS((P703-IF($C703="LT",Config!$F$11,Config!$F$23))/IF($C703="LT",Config!$G$11,Config!$G$23)))</f>
        <v/>
      </c>
      <c r="AC703">
        <f>IF(OR(Q703=0,Q703=""),"",ABS((Q703-IF($C703="LT",Config!$F$12,Config!$F$24))/IF($C703="LT",Config!$G$12,Config!$G$24)))</f>
        <v/>
      </c>
      <c r="AD703">
        <f>IF(OR(R703=0,R703=""),"",ABS((R703-IF($C703="LT",Config!$F$13,Config!$F$25))/IF($C703="LT",Config!$G$13,Config!$G$25)))</f>
        <v/>
      </c>
    </row>
    <row r="704">
      <c r="A704" t="inlineStr">
        <is>
          <t>04D1426121378</t>
        </is>
      </c>
      <c r="B704" t="inlineStr">
        <is>
          <t>CRS0000674</t>
        </is>
      </c>
      <c r="C704" t="inlineStr">
        <is>
          <t>MT</t>
        </is>
      </c>
      <c r="D704" t="inlineStr">
        <is>
          <t>TCX413U-DS1B01</t>
        </is>
      </c>
      <c r="E704" s="2" t="n">
        <v>46126</v>
      </c>
      <c r="F704" t="inlineStr">
        <is>
          <t>Pass</t>
        </is>
      </c>
      <c r="G704" t="n">
        <v>116.4</v>
      </c>
      <c r="H704" t="n">
        <v>84.3</v>
      </c>
      <c r="I704" t="n">
        <v>-1957.8</v>
      </c>
      <c r="J704" t="n">
        <v>73.5</v>
      </c>
      <c r="K704" t="n">
        <v>0</v>
      </c>
      <c r="L704" t="n">
        <v>1.1</v>
      </c>
      <c r="M704" t="n">
        <v>0</v>
      </c>
      <c r="N704" t="n">
        <v>72.40000000000001</v>
      </c>
      <c r="O704" t="n">
        <v>115.24</v>
      </c>
      <c r="P704" t="n">
        <v>115.31</v>
      </c>
      <c r="Q704" t="n">
        <v>3.93</v>
      </c>
      <c r="R704" t="n">
        <v>4.05</v>
      </c>
      <c r="S704">
        <f>IF(OR(G704=0,G704=""),"",ABS((G704-IF($C704="LT",Config!$F$2,Config!$F$14))/IF($C704="LT",Config!$G$2,Config!$G$14)))</f>
        <v/>
      </c>
      <c r="T704">
        <f>IF(OR(H704=0,H704=""),"",ABS((H704-IF($C704="LT",Config!$F$3,Config!$F$15))/IF($C704="LT",Config!$G$3,Config!$G$15)))</f>
        <v/>
      </c>
      <c r="U704">
        <f>IF(OR(I704=0,I704=""),"",ABS((I704-IF($C704="LT",Config!$F$4,Config!$F$16))/IF($C704="LT",Config!$G$4,Config!$G$16)))</f>
        <v/>
      </c>
      <c r="V704">
        <f>IF(OR(J704=0,J704=""),"",ABS((J704-IF($C704="LT",Config!$F$5,Config!$F$17))/IF($C704="LT",Config!$G$5,Config!$G$17)))</f>
        <v/>
      </c>
      <c r="W704">
        <f>IF(OR(K704=0,K704=""),"",ABS((K704-IF($C704="LT",Config!$F$6,Config!$F$18))/IF($C704="LT",Config!$G$6,Config!$G$18)))</f>
        <v/>
      </c>
      <c r="X704">
        <f>IF(OR(L704=0,L704=""),"",ABS((L704-IF($C704="LT",Config!$F$7,Config!$F$19))/IF($C704="LT",Config!$G$7,Config!$G$19)))</f>
        <v/>
      </c>
      <c r="Y704">
        <f>IF(OR(M704=0,M704=""),"",ABS((M704-IF($C704="LT",Config!$F$8,Config!$F$20))/IF($C704="LT",Config!$G$8,Config!$G$20)))</f>
        <v/>
      </c>
      <c r="Z704">
        <f>IF(OR(N704=0,N704=""),"",ABS((N704-IF($C704="LT",Config!$F$9,Config!$F$21))/IF($C704="LT",Config!$G$9,Config!$G$21)))</f>
        <v/>
      </c>
      <c r="AA704">
        <f>IF(OR(O704=0,O704=""),"",ABS((O704-IF($C704="LT",Config!$F$10,Config!$F$22))/IF($C704="LT",Config!$G$10,Config!$G$22)))</f>
        <v/>
      </c>
      <c r="AB704">
        <f>IF(OR(P704=0,P704=""),"",ABS((P704-IF($C704="LT",Config!$F$11,Config!$F$23))/IF($C704="LT",Config!$G$11,Config!$G$23)))</f>
        <v/>
      </c>
      <c r="AC704">
        <f>IF(OR(Q704=0,Q704=""),"",ABS((Q704-IF($C704="LT",Config!$F$12,Config!$F$24))/IF($C704="LT",Config!$G$12,Config!$G$24)))</f>
        <v/>
      </c>
      <c r="AD704">
        <f>IF(OR(R704=0,R704=""),"",ABS((R704-IF($C704="LT",Config!$F$13,Config!$F$25))/IF($C704="LT",Config!$G$13,Config!$G$25)))</f>
        <v/>
      </c>
    </row>
    <row r="705">
      <c r="A705" t="inlineStr">
        <is>
          <t>04D1426121379</t>
        </is>
      </c>
      <c r="B705" t="inlineStr">
        <is>
          <t>CRS0000674</t>
        </is>
      </c>
      <c r="C705" t="inlineStr">
        <is>
          <t>MT</t>
        </is>
      </c>
      <c r="D705" t="inlineStr">
        <is>
          <t>TCX413U-DS1B01</t>
        </is>
      </c>
      <c r="E705" s="2" t="n">
        <v>46126</v>
      </c>
      <c r="F705" t="inlineStr">
        <is>
          <t>Pass</t>
        </is>
      </c>
      <c r="G705" t="n">
        <v>120</v>
      </c>
      <c r="H705" t="n">
        <v>84.3</v>
      </c>
      <c r="I705" t="n">
        <v>-1957.8</v>
      </c>
      <c r="J705" t="n">
        <v>73.09999999999999</v>
      </c>
      <c r="K705" t="n">
        <v>0</v>
      </c>
      <c r="L705" t="n">
        <v>0</v>
      </c>
      <c r="M705" t="n">
        <v>0</v>
      </c>
      <c r="N705" t="n">
        <v>73.09999999999999</v>
      </c>
      <c r="O705" t="n">
        <v>111.79</v>
      </c>
      <c r="P705" t="n">
        <v>113.4</v>
      </c>
      <c r="Q705" t="n">
        <v>4.13</v>
      </c>
      <c r="R705" t="n">
        <v>4.17</v>
      </c>
      <c r="S705">
        <f>IF(OR(G705=0,G705=""),"",ABS((G705-IF($C705="LT",Config!$F$2,Config!$F$14))/IF($C705="LT",Config!$G$2,Config!$G$14)))</f>
        <v/>
      </c>
      <c r="T705">
        <f>IF(OR(H705=0,H705=""),"",ABS((H705-IF($C705="LT",Config!$F$3,Config!$F$15))/IF($C705="LT",Config!$G$3,Config!$G$15)))</f>
        <v/>
      </c>
      <c r="U705">
        <f>IF(OR(I705=0,I705=""),"",ABS((I705-IF($C705="LT",Config!$F$4,Config!$F$16))/IF($C705="LT",Config!$G$4,Config!$G$16)))</f>
        <v/>
      </c>
      <c r="V705">
        <f>IF(OR(J705=0,J705=""),"",ABS((J705-IF($C705="LT",Config!$F$5,Config!$F$17))/IF($C705="LT",Config!$G$5,Config!$G$17)))</f>
        <v/>
      </c>
      <c r="W705">
        <f>IF(OR(K705=0,K705=""),"",ABS((K705-IF($C705="LT",Config!$F$6,Config!$F$18))/IF($C705="LT",Config!$G$6,Config!$G$18)))</f>
        <v/>
      </c>
      <c r="X705">
        <f>IF(OR(L705=0,L705=""),"",ABS((L705-IF($C705="LT",Config!$F$7,Config!$F$19))/IF($C705="LT",Config!$G$7,Config!$G$19)))</f>
        <v/>
      </c>
      <c r="Y705">
        <f>IF(OR(M705=0,M705=""),"",ABS((M705-IF($C705="LT",Config!$F$8,Config!$F$20))/IF($C705="LT",Config!$G$8,Config!$G$20)))</f>
        <v/>
      </c>
      <c r="Z705">
        <f>IF(OR(N705=0,N705=""),"",ABS((N705-IF($C705="LT",Config!$F$9,Config!$F$21))/IF($C705="LT",Config!$G$9,Config!$G$21)))</f>
        <v/>
      </c>
      <c r="AA705">
        <f>IF(OR(O705=0,O705=""),"",ABS((O705-IF($C705="LT",Config!$F$10,Config!$F$22))/IF($C705="LT",Config!$G$10,Config!$G$22)))</f>
        <v/>
      </c>
      <c r="AB705">
        <f>IF(OR(P705=0,P705=""),"",ABS((P705-IF($C705="LT",Config!$F$11,Config!$F$23))/IF($C705="LT",Config!$G$11,Config!$G$23)))</f>
        <v/>
      </c>
      <c r="AC705">
        <f>IF(OR(Q705=0,Q705=""),"",ABS((Q705-IF($C705="LT",Config!$F$12,Config!$F$24))/IF($C705="LT",Config!$G$12,Config!$G$24)))</f>
        <v/>
      </c>
      <c r="AD705">
        <f>IF(OR(R705=0,R705=""),"",ABS((R705-IF($C705="LT",Config!$F$13,Config!$F$25))/IF($C705="LT",Config!$G$13,Config!$G$25)))</f>
        <v/>
      </c>
    </row>
    <row r="706">
      <c r="A706" t="inlineStr">
        <is>
          <t>04D1426121380</t>
        </is>
      </c>
      <c r="B706" t="inlineStr">
        <is>
          <t>CRS0000674</t>
        </is>
      </c>
      <c r="C706" t="inlineStr">
        <is>
          <t>MT</t>
        </is>
      </c>
      <c r="D706" t="inlineStr">
        <is>
          <t>TCX413U-DS1B01</t>
        </is>
      </c>
      <c r="E706" s="2" t="n">
        <v>46127</v>
      </c>
      <c r="F706" t="inlineStr">
        <is>
          <t>Pass</t>
        </is>
      </c>
      <c r="G706" t="n">
        <v>103.9</v>
      </c>
      <c r="H706" t="n">
        <v>77.90000000000001</v>
      </c>
      <c r="I706" t="n">
        <v>-1957.8</v>
      </c>
      <c r="J706" t="n">
        <v>68.59999999999999</v>
      </c>
      <c r="K706" t="n">
        <v>0</v>
      </c>
      <c r="L706" t="n">
        <v>0.4</v>
      </c>
      <c r="M706" t="n">
        <v>0</v>
      </c>
      <c r="N706" t="n">
        <v>69</v>
      </c>
      <c r="O706" t="n">
        <v>112.45</v>
      </c>
      <c r="P706" t="n">
        <v>116.56</v>
      </c>
      <c r="Q706" t="n">
        <v>3.74</v>
      </c>
      <c r="R706" t="n">
        <v>3.81</v>
      </c>
      <c r="S706">
        <f>IF(OR(G706=0,G706=""),"",ABS((G706-IF($C706="LT",Config!$F$2,Config!$F$14))/IF($C706="LT",Config!$G$2,Config!$G$14)))</f>
        <v/>
      </c>
      <c r="T706">
        <f>IF(OR(H706=0,H706=""),"",ABS((H706-IF($C706="LT",Config!$F$3,Config!$F$15))/IF($C706="LT",Config!$G$3,Config!$G$15)))</f>
        <v/>
      </c>
      <c r="U706">
        <f>IF(OR(I706=0,I706=""),"",ABS((I706-IF($C706="LT",Config!$F$4,Config!$F$16))/IF($C706="LT",Config!$G$4,Config!$G$16)))</f>
        <v/>
      </c>
      <c r="V706">
        <f>IF(OR(J706=0,J706=""),"",ABS((J706-IF($C706="LT",Config!$F$5,Config!$F$17))/IF($C706="LT",Config!$G$5,Config!$G$17)))</f>
        <v/>
      </c>
      <c r="W706">
        <f>IF(OR(K706=0,K706=""),"",ABS((K706-IF($C706="LT",Config!$F$6,Config!$F$18))/IF($C706="LT",Config!$G$6,Config!$G$18)))</f>
        <v/>
      </c>
      <c r="X706">
        <f>IF(OR(L706=0,L706=""),"",ABS((L706-IF($C706="LT",Config!$F$7,Config!$F$19))/IF($C706="LT",Config!$G$7,Config!$G$19)))</f>
        <v/>
      </c>
      <c r="Y706">
        <f>IF(OR(M706=0,M706=""),"",ABS((M706-IF($C706="LT",Config!$F$8,Config!$F$20))/IF($C706="LT",Config!$G$8,Config!$G$20)))</f>
        <v/>
      </c>
      <c r="Z706">
        <f>IF(OR(N706=0,N706=""),"",ABS((N706-IF($C706="LT",Config!$F$9,Config!$F$21))/IF($C706="LT",Config!$G$9,Config!$G$21)))</f>
        <v/>
      </c>
      <c r="AA706">
        <f>IF(OR(O706=0,O706=""),"",ABS((O706-IF($C706="LT",Config!$F$10,Config!$F$22))/IF($C706="LT",Config!$G$10,Config!$G$22)))</f>
        <v/>
      </c>
      <c r="AB706">
        <f>IF(OR(P706=0,P706=""),"",ABS((P706-IF($C706="LT",Config!$F$11,Config!$F$23))/IF($C706="LT",Config!$G$11,Config!$G$23)))</f>
        <v/>
      </c>
      <c r="AC706">
        <f>IF(OR(Q706=0,Q706=""),"",ABS((Q706-IF($C706="LT",Config!$F$12,Config!$F$24))/IF($C706="LT",Config!$G$12,Config!$G$24)))</f>
        <v/>
      </c>
      <c r="AD706">
        <f>IF(OR(R706=0,R706=""),"",ABS((R706-IF($C706="LT",Config!$F$13,Config!$F$25))/IF($C706="LT",Config!$G$13,Config!$G$25)))</f>
        <v/>
      </c>
    </row>
    <row r="707">
      <c r="A707" t="inlineStr">
        <is>
          <t>04D1426121381</t>
        </is>
      </c>
      <c r="B707" t="inlineStr">
        <is>
          <t>CRS0000674</t>
        </is>
      </c>
      <c r="C707" t="inlineStr">
        <is>
          <t>MT</t>
        </is>
      </c>
      <c r="D707" t="inlineStr">
        <is>
          <t>TCX413U-DS1B01</t>
        </is>
      </c>
      <c r="E707" s="2" t="n">
        <v>46127</v>
      </c>
      <c r="F707" t="inlineStr">
        <is>
          <t>Fail</t>
        </is>
      </c>
      <c r="G707" t="n">
        <v>103</v>
      </c>
      <c r="H707" t="n">
        <v>69.40000000000001</v>
      </c>
      <c r="I707" t="n">
        <v>-1957.8</v>
      </c>
      <c r="J707" t="n">
        <v>69.09999999999999</v>
      </c>
      <c r="K707" t="n">
        <v>0</v>
      </c>
      <c r="L707" t="n">
        <v>1</v>
      </c>
      <c r="M707" t="n">
        <v>0</v>
      </c>
      <c r="N707" t="n">
        <v>68.09999999999999</v>
      </c>
      <c r="O707" t="n">
        <v>112.38</v>
      </c>
      <c r="P707" t="n">
        <v>116.63</v>
      </c>
      <c r="Q707" t="n">
        <v>2.86</v>
      </c>
      <c r="R707" t="n">
        <v>2.93</v>
      </c>
      <c r="S707">
        <f>IF(OR(G707=0,G707=""),"",ABS((G707-IF($C707="LT",Config!$F$2,Config!$F$14))/IF($C707="LT",Config!$G$2,Config!$G$14)))</f>
        <v/>
      </c>
      <c r="T707">
        <f>IF(OR(H707=0,H707=""),"",ABS((H707-IF($C707="LT",Config!$F$3,Config!$F$15))/IF($C707="LT",Config!$G$3,Config!$G$15)))</f>
        <v/>
      </c>
      <c r="U707">
        <f>IF(OR(I707=0,I707=""),"",ABS((I707-IF($C707="LT",Config!$F$4,Config!$F$16))/IF($C707="LT",Config!$G$4,Config!$G$16)))</f>
        <v/>
      </c>
      <c r="V707">
        <f>IF(OR(J707=0,J707=""),"",ABS((J707-IF($C707="LT",Config!$F$5,Config!$F$17))/IF($C707="LT",Config!$G$5,Config!$G$17)))</f>
        <v/>
      </c>
      <c r="W707">
        <f>IF(OR(K707=0,K707=""),"",ABS((K707-IF($C707="LT",Config!$F$6,Config!$F$18))/IF($C707="LT",Config!$G$6,Config!$G$18)))</f>
        <v/>
      </c>
      <c r="X707">
        <f>IF(OR(L707=0,L707=""),"",ABS((L707-IF($C707="LT",Config!$F$7,Config!$F$19))/IF($C707="LT",Config!$G$7,Config!$G$19)))</f>
        <v/>
      </c>
      <c r="Y707">
        <f>IF(OR(M707=0,M707=""),"",ABS((M707-IF($C707="LT",Config!$F$8,Config!$F$20))/IF($C707="LT",Config!$G$8,Config!$G$20)))</f>
        <v/>
      </c>
      <c r="Z707">
        <f>IF(OR(N707=0,N707=""),"",ABS((N707-IF($C707="LT",Config!$F$9,Config!$F$21))/IF($C707="LT",Config!$G$9,Config!$G$21)))</f>
        <v/>
      </c>
      <c r="AA707">
        <f>IF(OR(O707=0,O707=""),"",ABS((O707-IF($C707="LT",Config!$F$10,Config!$F$22))/IF($C707="LT",Config!$G$10,Config!$G$22)))</f>
        <v/>
      </c>
      <c r="AB707">
        <f>IF(OR(P707=0,P707=""),"",ABS((P707-IF($C707="LT",Config!$F$11,Config!$F$23))/IF($C707="LT",Config!$G$11,Config!$G$23)))</f>
        <v/>
      </c>
      <c r="AC707">
        <f>IF(OR(Q707=0,Q707=""),"",ABS((Q707-IF($C707="LT",Config!$F$12,Config!$F$24))/IF($C707="LT",Config!$G$12,Config!$G$24)))</f>
        <v/>
      </c>
      <c r="AD707">
        <f>IF(OR(R707=0,R707=""),"",ABS((R707-IF($C707="LT",Config!$F$13,Config!$F$25))/IF($C707="LT",Config!$G$13,Config!$G$25)))</f>
        <v/>
      </c>
    </row>
    <row r="708">
      <c r="A708" t="inlineStr">
        <is>
          <t>04D1426121381</t>
        </is>
      </c>
      <c r="B708" t="inlineStr">
        <is>
          <t>CRS0000674</t>
        </is>
      </c>
      <c r="C708" t="inlineStr">
        <is>
          <t>MT</t>
        </is>
      </c>
      <c r="D708" t="inlineStr">
        <is>
          <t>TCX413U-DS1B01</t>
        </is>
      </c>
      <c r="E708" s="2" t="n">
        <v>46127</v>
      </c>
      <c r="F708" t="inlineStr">
        <is>
          <t>Fail</t>
        </is>
      </c>
      <c r="G708" t="n">
        <v>109.3</v>
      </c>
      <c r="H708" t="n">
        <v>70.3</v>
      </c>
      <c r="I708" t="n">
        <v>-1957.8</v>
      </c>
      <c r="J708" t="n">
        <v>69.5</v>
      </c>
      <c r="K708" t="n">
        <v>0</v>
      </c>
      <c r="L708" t="n">
        <v>0.1</v>
      </c>
      <c r="M708" t="n">
        <v>0</v>
      </c>
      <c r="N708" t="n">
        <v>69.40000000000001</v>
      </c>
      <c r="O708" t="n">
        <v>112.45</v>
      </c>
      <c r="P708" t="n">
        <v>116.7</v>
      </c>
      <c r="Q708" t="n">
        <v>2.91</v>
      </c>
      <c r="R708" t="n">
        <v>2.95</v>
      </c>
      <c r="S708">
        <f>IF(OR(G708=0,G708=""),"",ABS((G708-IF($C708="LT",Config!$F$2,Config!$F$14))/IF($C708="LT",Config!$G$2,Config!$G$14)))</f>
        <v/>
      </c>
      <c r="T708">
        <f>IF(OR(H708=0,H708=""),"",ABS((H708-IF($C708="LT",Config!$F$3,Config!$F$15))/IF($C708="LT",Config!$G$3,Config!$G$15)))</f>
        <v/>
      </c>
      <c r="U708">
        <f>IF(OR(I708=0,I708=""),"",ABS((I708-IF($C708="LT",Config!$F$4,Config!$F$16))/IF($C708="LT",Config!$G$4,Config!$G$16)))</f>
        <v/>
      </c>
      <c r="V708">
        <f>IF(OR(J708=0,J708=""),"",ABS((J708-IF($C708="LT",Config!$F$5,Config!$F$17))/IF($C708="LT",Config!$G$5,Config!$G$17)))</f>
        <v/>
      </c>
      <c r="W708">
        <f>IF(OR(K708=0,K708=""),"",ABS((K708-IF($C708="LT",Config!$F$6,Config!$F$18))/IF($C708="LT",Config!$G$6,Config!$G$18)))</f>
        <v/>
      </c>
      <c r="X708">
        <f>IF(OR(L708=0,L708=""),"",ABS((L708-IF($C708="LT",Config!$F$7,Config!$F$19))/IF($C708="LT",Config!$G$7,Config!$G$19)))</f>
        <v/>
      </c>
      <c r="Y708">
        <f>IF(OR(M708=0,M708=""),"",ABS((M708-IF($C708="LT",Config!$F$8,Config!$F$20))/IF($C708="LT",Config!$G$8,Config!$G$20)))</f>
        <v/>
      </c>
      <c r="Z708">
        <f>IF(OR(N708=0,N708=""),"",ABS((N708-IF($C708="LT",Config!$F$9,Config!$F$21))/IF($C708="LT",Config!$G$9,Config!$G$21)))</f>
        <v/>
      </c>
      <c r="AA708">
        <f>IF(OR(O708=0,O708=""),"",ABS((O708-IF($C708="LT",Config!$F$10,Config!$F$22))/IF($C708="LT",Config!$G$10,Config!$G$22)))</f>
        <v/>
      </c>
      <c r="AB708">
        <f>IF(OR(P708=0,P708=""),"",ABS((P708-IF($C708="LT",Config!$F$11,Config!$F$23))/IF($C708="LT",Config!$G$11,Config!$G$23)))</f>
        <v/>
      </c>
      <c r="AC708">
        <f>IF(OR(Q708=0,Q708=""),"",ABS((Q708-IF($C708="LT",Config!$F$12,Config!$F$24))/IF($C708="LT",Config!$G$12,Config!$G$24)))</f>
        <v/>
      </c>
      <c r="AD708">
        <f>IF(OR(R708=0,R708=""),"",ABS((R708-IF($C708="LT",Config!$F$13,Config!$F$25))/IF($C708="LT",Config!$G$13,Config!$G$25)))</f>
        <v/>
      </c>
    </row>
    <row r="709">
      <c r="A709" t="inlineStr">
        <is>
          <t>04D1426121382</t>
        </is>
      </c>
      <c r="B709" t="inlineStr">
        <is>
          <t>CRS0000674</t>
        </is>
      </c>
      <c r="C709" t="inlineStr">
        <is>
          <t>MT</t>
        </is>
      </c>
      <c r="D709" t="inlineStr">
        <is>
          <t>TCX413U-DS1B01</t>
        </is>
      </c>
      <c r="E709" s="2" t="n">
        <v>46127</v>
      </c>
      <c r="F709" t="inlineStr">
        <is>
          <t>Pass</t>
        </is>
      </c>
      <c r="G709" t="n">
        <v>106.6</v>
      </c>
      <c r="H709" t="n">
        <v>79.8</v>
      </c>
      <c r="I709" t="n">
        <v>-1957.8</v>
      </c>
      <c r="J709" t="n">
        <v>70</v>
      </c>
      <c r="K709" t="n">
        <v>0</v>
      </c>
      <c r="L709" t="n">
        <v>0.3</v>
      </c>
      <c r="M709" t="n">
        <v>0</v>
      </c>
      <c r="N709" t="n">
        <v>69.7</v>
      </c>
      <c r="O709" t="n">
        <v>112.08</v>
      </c>
      <c r="P709" t="n">
        <v>113.4</v>
      </c>
      <c r="Q709" t="n">
        <v>3.83</v>
      </c>
      <c r="R709" t="n">
        <v>3.93</v>
      </c>
      <c r="S709">
        <f>IF(OR(G709=0,G709=""),"",ABS((G709-IF($C709="LT",Config!$F$2,Config!$F$14))/IF($C709="LT",Config!$G$2,Config!$G$14)))</f>
        <v/>
      </c>
      <c r="T709">
        <f>IF(OR(H709=0,H709=""),"",ABS((H709-IF($C709="LT",Config!$F$3,Config!$F$15))/IF($C709="LT",Config!$G$3,Config!$G$15)))</f>
        <v/>
      </c>
      <c r="U709">
        <f>IF(OR(I709=0,I709=""),"",ABS((I709-IF($C709="LT",Config!$F$4,Config!$F$16))/IF($C709="LT",Config!$G$4,Config!$G$16)))</f>
        <v/>
      </c>
      <c r="V709">
        <f>IF(OR(J709=0,J709=""),"",ABS((J709-IF($C709="LT",Config!$F$5,Config!$F$17))/IF($C709="LT",Config!$G$5,Config!$G$17)))</f>
        <v/>
      </c>
      <c r="W709">
        <f>IF(OR(K709=0,K709=""),"",ABS((K709-IF($C709="LT",Config!$F$6,Config!$F$18))/IF($C709="LT",Config!$G$6,Config!$G$18)))</f>
        <v/>
      </c>
      <c r="X709">
        <f>IF(OR(L709=0,L709=""),"",ABS((L709-IF($C709="LT",Config!$F$7,Config!$F$19))/IF($C709="LT",Config!$G$7,Config!$G$19)))</f>
        <v/>
      </c>
      <c r="Y709">
        <f>IF(OR(M709=0,M709=""),"",ABS((M709-IF($C709="LT",Config!$F$8,Config!$F$20))/IF($C709="LT",Config!$G$8,Config!$G$20)))</f>
        <v/>
      </c>
      <c r="Z709">
        <f>IF(OR(N709=0,N709=""),"",ABS((N709-IF($C709="LT",Config!$F$9,Config!$F$21))/IF($C709="LT",Config!$G$9,Config!$G$21)))</f>
        <v/>
      </c>
      <c r="AA709">
        <f>IF(OR(O709=0,O709=""),"",ABS((O709-IF($C709="LT",Config!$F$10,Config!$F$22))/IF($C709="LT",Config!$G$10,Config!$G$22)))</f>
        <v/>
      </c>
      <c r="AB709">
        <f>IF(OR(P709=0,P709=""),"",ABS((P709-IF($C709="LT",Config!$F$11,Config!$F$23))/IF($C709="LT",Config!$G$11,Config!$G$23)))</f>
        <v/>
      </c>
      <c r="AC709">
        <f>IF(OR(Q709=0,Q709=""),"",ABS((Q709-IF($C709="LT",Config!$F$12,Config!$F$24))/IF($C709="LT",Config!$G$12,Config!$G$24)))</f>
        <v/>
      </c>
      <c r="AD709">
        <f>IF(OR(R709=0,R709=""),"",ABS((R709-IF($C709="LT",Config!$F$13,Config!$F$25))/IF($C709="LT",Config!$G$13,Config!$G$25)))</f>
        <v/>
      </c>
    </row>
    <row r="710">
      <c r="A710" t="inlineStr">
        <is>
          <t>04D1426121383</t>
        </is>
      </c>
      <c r="B710" t="inlineStr">
        <is>
          <t>CRS0000674</t>
        </is>
      </c>
      <c r="C710" t="inlineStr">
        <is>
          <t>MT</t>
        </is>
      </c>
      <c r="D710" t="inlineStr">
        <is>
          <t>TCX413U-DS1B01</t>
        </is>
      </c>
      <c r="E710" s="2" t="n">
        <v>46127</v>
      </c>
      <c r="F710" t="inlineStr">
        <is>
          <t>Pass</t>
        </is>
      </c>
      <c r="G710" t="n">
        <v>105.7</v>
      </c>
      <c r="H710" t="n">
        <v>78.90000000000001</v>
      </c>
      <c r="I710" t="n">
        <v>-1957.8</v>
      </c>
      <c r="J710" t="n">
        <v>70.40000000000001</v>
      </c>
      <c r="K710" t="n">
        <v>0</v>
      </c>
      <c r="L710" t="n">
        <v>0.1</v>
      </c>
      <c r="M710" t="n">
        <v>0</v>
      </c>
      <c r="N710" t="n">
        <v>70.3</v>
      </c>
      <c r="O710" t="n">
        <v>111.86</v>
      </c>
      <c r="P710" t="n">
        <v>112.89</v>
      </c>
      <c r="Q710" t="n">
        <v>4.08</v>
      </c>
      <c r="R710" t="n">
        <v>4.13</v>
      </c>
      <c r="S710">
        <f>IF(OR(G710=0,G710=""),"",ABS((G710-IF($C710="LT",Config!$F$2,Config!$F$14))/IF($C710="LT",Config!$G$2,Config!$G$14)))</f>
        <v/>
      </c>
      <c r="T710">
        <f>IF(OR(H710=0,H710=""),"",ABS((H710-IF($C710="LT",Config!$F$3,Config!$F$15))/IF($C710="LT",Config!$G$3,Config!$G$15)))</f>
        <v/>
      </c>
      <c r="U710">
        <f>IF(OR(I710=0,I710=""),"",ABS((I710-IF($C710="LT",Config!$F$4,Config!$F$16))/IF($C710="LT",Config!$G$4,Config!$G$16)))</f>
        <v/>
      </c>
      <c r="V710">
        <f>IF(OR(J710=0,J710=""),"",ABS((J710-IF($C710="LT",Config!$F$5,Config!$F$17))/IF($C710="LT",Config!$G$5,Config!$G$17)))</f>
        <v/>
      </c>
      <c r="W710">
        <f>IF(OR(K710=0,K710=""),"",ABS((K710-IF($C710="LT",Config!$F$6,Config!$F$18))/IF($C710="LT",Config!$G$6,Config!$G$18)))</f>
        <v/>
      </c>
      <c r="X710">
        <f>IF(OR(L710=0,L710=""),"",ABS((L710-IF($C710="LT",Config!$F$7,Config!$F$19))/IF($C710="LT",Config!$G$7,Config!$G$19)))</f>
        <v/>
      </c>
      <c r="Y710">
        <f>IF(OR(M710=0,M710=""),"",ABS((M710-IF($C710="LT",Config!$F$8,Config!$F$20))/IF($C710="LT",Config!$G$8,Config!$G$20)))</f>
        <v/>
      </c>
      <c r="Z710">
        <f>IF(OR(N710=0,N710=""),"",ABS((N710-IF($C710="LT",Config!$F$9,Config!$F$21))/IF($C710="LT",Config!$G$9,Config!$G$21)))</f>
        <v/>
      </c>
      <c r="AA710">
        <f>IF(OR(O710=0,O710=""),"",ABS((O710-IF($C710="LT",Config!$F$10,Config!$F$22))/IF($C710="LT",Config!$G$10,Config!$G$22)))</f>
        <v/>
      </c>
      <c r="AB710">
        <f>IF(OR(P710=0,P710=""),"",ABS((P710-IF($C710="LT",Config!$F$11,Config!$F$23))/IF($C710="LT",Config!$G$11,Config!$G$23)))</f>
        <v/>
      </c>
      <c r="AC710">
        <f>IF(OR(Q710=0,Q710=""),"",ABS((Q710-IF($C710="LT",Config!$F$12,Config!$F$24))/IF($C710="LT",Config!$G$12,Config!$G$24)))</f>
        <v/>
      </c>
      <c r="AD710">
        <f>IF(OR(R710=0,R710=""),"",ABS((R710-IF($C710="LT",Config!$F$13,Config!$F$25))/IF($C710="LT",Config!$G$13,Config!$G$25)))</f>
        <v/>
      </c>
    </row>
    <row r="711">
      <c r="A711" t="inlineStr">
        <is>
          <t>04D1426121384</t>
        </is>
      </c>
      <c r="B711" t="inlineStr">
        <is>
          <t>CRS0000674</t>
        </is>
      </c>
      <c r="C711" t="inlineStr">
        <is>
          <t>MT</t>
        </is>
      </c>
      <c r="D711" t="inlineStr">
        <is>
          <t>TCX413U-DS1B01</t>
        </is>
      </c>
      <c r="E711" s="2" t="n">
        <v>46127</v>
      </c>
      <c r="F711" t="inlineStr">
        <is>
          <t>Pass</t>
        </is>
      </c>
      <c r="G711" t="n">
        <v>114.2</v>
      </c>
      <c r="H711" t="n">
        <v>80.7</v>
      </c>
      <c r="I711" t="n">
        <v>-1957.8</v>
      </c>
      <c r="J711" t="n">
        <v>70.40000000000001</v>
      </c>
      <c r="K711" t="n">
        <v>0</v>
      </c>
      <c r="L711" t="n">
        <v>0.2</v>
      </c>
      <c r="M711" t="n">
        <v>0</v>
      </c>
      <c r="N711" t="n">
        <v>70.2</v>
      </c>
      <c r="O711" t="n">
        <v>112.08</v>
      </c>
      <c r="P711" t="n">
        <v>116.26</v>
      </c>
      <c r="Q711" t="n">
        <v>3.93</v>
      </c>
      <c r="R711" t="n">
        <v>3.86</v>
      </c>
      <c r="S711">
        <f>IF(OR(G711=0,G711=""),"",ABS((G711-IF($C711="LT",Config!$F$2,Config!$F$14))/IF($C711="LT",Config!$G$2,Config!$G$14)))</f>
        <v/>
      </c>
      <c r="T711">
        <f>IF(OR(H711=0,H711=""),"",ABS((H711-IF($C711="LT",Config!$F$3,Config!$F$15))/IF($C711="LT",Config!$G$3,Config!$G$15)))</f>
        <v/>
      </c>
      <c r="U711">
        <f>IF(OR(I711=0,I711=""),"",ABS((I711-IF($C711="LT",Config!$F$4,Config!$F$16))/IF($C711="LT",Config!$G$4,Config!$G$16)))</f>
        <v/>
      </c>
      <c r="V711">
        <f>IF(OR(J711=0,J711=""),"",ABS((J711-IF($C711="LT",Config!$F$5,Config!$F$17))/IF($C711="LT",Config!$G$5,Config!$G$17)))</f>
        <v/>
      </c>
      <c r="W711">
        <f>IF(OR(K711=0,K711=""),"",ABS((K711-IF($C711="LT",Config!$F$6,Config!$F$18))/IF($C711="LT",Config!$G$6,Config!$G$18)))</f>
        <v/>
      </c>
      <c r="X711">
        <f>IF(OR(L711=0,L711=""),"",ABS((L711-IF($C711="LT",Config!$F$7,Config!$F$19))/IF($C711="LT",Config!$G$7,Config!$G$19)))</f>
        <v/>
      </c>
      <c r="Y711">
        <f>IF(OR(M711=0,M711=""),"",ABS((M711-IF($C711="LT",Config!$F$8,Config!$F$20))/IF($C711="LT",Config!$G$8,Config!$G$20)))</f>
        <v/>
      </c>
      <c r="Z711">
        <f>IF(OR(N711=0,N711=""),"",ABS((N711-IF($C711="LT",Config!$F$9,Config!$F$21))/IF($C711="LT",Config!$G$9,Config!$G$21)))</f>
        <v/>
      </c>
      <c r="AA711">
        <f>IF(OR(O711=0,O711=""),"",ABS((O711-IF($C711="LT",Config!$F$10,Config!$F$22))/IF($C711="LT",Config!$G$10,Config!$G$22)))</f>
        <v/>
      </c>
      <c r="AB711">
        <f>IF(OR(P711=0,P711=""),"",ABS((P711-IF($C711="LT",Config!$F$11,Config!$F$23))/IF($C711="LT",Config!$G$11,Config!$G$23)))</f>
        <v/>
      </c>
      <c r="AC711">
        <f>IF(OR(Q711=0,Q711=""),"",ABS((Q711-IF($C711="LT",Config!$F$12,Config!$F$24))/IF($C711="LT",Config!$G$12,Config!$G$24)))</f>
        <v/>
      </c>
      <c r="AD711">
        <f>IF(OR(R711=0,R711=""),"",ABS((R711-IF($C711="LT",Config!$F$13,Config!$F$25))/IF($C711="LT",Config!$G$13,Config!$G$25)))</f>
        <v/>
      </c>
    </row>
    <row r="712">
      <c r="A712" t="inlineStr">
        <is>
          <t>04D1426121385</t>
        </is>
      </c>
      <c r="B712" t="inlineStr">
        <is>
          <t>CRS0000674</t>
        </is>
      </c>
      <c r="C712" t="inlineStr">
        <is>
          <t>MT</t>
        </is>
      </c>
      <c r="D712" t="inlineStr">
        <is>
          <t>TCX413U-DS1B01</t>
        </is>
      </c>
      <c r="E712" s="2" t="n">
        <v>46127</v>
      </c>
      <c r="F712" t="inlineStr">
        <is>
          <t>Pass</t>
        </is>
      </c>
      <c r="G712" t="n">
        <v>107</v>
      </c>
      <c r="H712" t="n">
        <v>78.90000000000001</v>
      </c>
      <c r="I712" t="n">
        <v>-1957.8</v>
      </c>
      <c r="J712" t="n">
        <v>70</v>
      </c>
      <c r="K712" t="n">
        <v>0</v>
      </c>
      <c r="L712" t="n">
        <v>0.1</v>
      </c>
      <c r="M712" t="n">
        <v>0</v>
      </c>
      <c r="N712" t="n">
        <v>70.09999999999999</v>
      </c>
      <c r="O712" t="n">
        <v>110.47</v>
      </c>
      <c r="P712" t="n">
        <v>117.36</v>
      </c>
      <c r="Q712" t="n">
        <v>4.05</v>
      </c>
      <c r="R712" t="n">
        <v>3.93</v>
      </c>
      <c r="S712">
        <f>IF(OR(G712=0,G712=""),"",ABS((G712-IF($C712="LT",Config!$F$2,Config!$F$14))/IF($C712="LT",Config!$G$2,Config!$G$14)))</f>
        <v/>
      </c>
      <c r="T712">
        <f>IF(OR(H712=0,H712=""),"",ABS((H712-IF($C712="LT",Config!$F$3,Config!$F$15))/IF($C712="LT",Config!$G$3,Config!$G$15)))</f>
        <v/>
      </c>
      <c r="U712">
        <f>IF(OR(I712=0,I712=""),"",ABS((I712-IF($C712="LT",Config!$F$4,Config!$F$16))/IF($C712="LT",Config!$G$4,Config!$G$16)))</f>
        <v/>
      </c>
      <c r="V712">
        <f>IF(OR(J712=0,J712=""),"",ABS((J712-IF($C712="LT",Config!$F$5,Config!$F$17))/IF($C712="LT",Config!$G$5,Config!$G$17)))</f>
        <v/>
      </c>
      <c r="W712">
        <f>IF(OR(K712=0,K712=""),"",ABS((K712-IF($C712="LT",Config!$F$6,Config!$F$18))/IF($C712="LT",Config!$G$6,Config!$G$18)))</f>
        <v/>
      </c>
      <c r="X712">
        <f>IF(OR(L712=0,L712=""),"",ABS((L712-IF($C712="LT",Config!$F$7,Config!$F$19))/IF($C712="LT",Config!$G$7,Config!$G$19)))</f>
        <v/>
      </c>
      <c r="Y712">
        <f>IF(OR(M712=0,M712=""),"",ABS((M712-IF($C712="LT",Config!$F$8,Config!$F$20))/IF($C712="LT",Config!$G$8,Config!$G$20)))</f>
        <v/>
      </c>
      <c r="Z712">
        <f>IF(OR(N712=0,N712=""),"",ABS((N712-IF($C712="LT",Config!$F$9,Config!$F$21))/IF($C712="LT",Config!$G$9,Config!$G$21)))</f>
        <v/>
      </c>
      <c r="AA712">
        <f>IF(OR(O712=0,O712=""),"",ABS((O712-IF($C712="LT",Config!$F$10,Config!$F$22))/IF($C712="LT",Config!$G$10,Config!$G$22)))</f>
        <v/>
      </c>
      <c r="AB712">
        <f>IF(OR(P712=0,P712=""),"",ABS((P712-IF($C712="LT",Config!$F$11,Config!$F$23))/IF($C712="LT",Config!$G$11,Config!$G$23)))</f>
        <v/>
      </c>
      <c r="AC712">
        <f>IF(OR(Q712=0,Q712=""),"",ABS((Q712-IF($C712="LT",Config!$F$12,Config!$F$24))/IF($C712="LT",Config!$G$12,Config!$G$24)))</f>
        <v/>
      </c>
      <c r="AD712">
        <f>IF(OR(R712=0,R712=""),"",ABS((R712-IF($C712="LT",Config!$F$13,Config!$F$25))/IF($C712="LT",Config!$G$13,Config!$G$25)))</f>
        <v/>
      </c>
    </row>
    <row r="713">
      <c r="A713" t="inlineStr">
        <is>
          <t>04D1426121385</t>
        </is>
      </c>
      <c r="B713" t="inlineStr">
        <is>
          <t>CRS0000674</t>
        </is>
      </c>
      <c r="C713" t="inlineStr">
        <is>
          <t>MT</t>
        </is>
      </c>
      <c r="D713" t="inlineStr">
        <is>
          <t>TCX413U-DS1B01</t>
        </is>
      </c>
      <c r="E713" s="2" t="n">
        <v>46127</v>
      </c>
      <c r="F713" t="inlineStr">
        <is>
          <t>Fail</t>
        </is>
      </c>
      <c r="G713" t="n">
        <v>113.3</v>
      </c>
      <c r="H713" t="n">
        <v>71.2</v>
      </c>
      <c r="I713" t="n">
        <v>-1957.8</v>
      </c>
      <c r="J713" t="n">
        <v>70.40000000000001</v>
      </c>
      <c r="K713" t="n">
        <v>0</v>
      </c>
      <c r="L713" t="n">
        <v>0.5</v>
      </c>
      <c r="M713" t="n">
        <v>0</v>
      </c>
      <c r="N713" t="n">
        <v>69.90000000000001</v>
      </c>
      <c r="O713" t="n">
        <v>115.68</v>
      </c>
      <c r="P713" t="n">
        <v>112.6</v>
      </c>
      <c r="Q713" t="n">
        <v>3.08</v>
      </c>
      <c r="R713" t="n">
        <v>3.15</v>
      </c>
      <c r="S713">
        <f>IF(OR(G713=0,G713=""),"",ABS((G713-IF($C713="LT",Config!$F$2,Config!$F$14))/IF($C713="LT",Config!$G$2,Config!$G$14)))</f>
        <v/>
      </c>
      <c r="T713">
        <f>IF(OR(H713=0,H713=""),"",ABS((H713-IF($C713="LT",Config!$F$3,Config!$F$15))/IF($C713="LT",Config!$G$3,Config!$G$15)))</f>
        <v/>
      </c>
      <c r="U713">
        <f>IF(OR(I713=0,I713=""),"",ABS((I713-IF($C713="LT",Config!$F$4,Config!$F$16))/IF($C713="LT",Config!$G$4,Config!$G$16)))</f>
        <v/>
      </c>
      <c r="V713">
        <f>IF(OR(J713=0,J713=""),"",ABS((J713-IF($C713="LT",Config!$F$5,Config!$F$17))/IF($C713="LT",Config!$G$5,Config!$G$17)))</f>
        <v/>
      </c>
      <c r="W713">
        <f>IF(OR(K713=0,K713=""),"",ABS((K713-IF($C713="LT",Config!$F$6,Config!$F$18))/IF($C713="LT",Config!$G$6,Config!$G$18)))</f>
        <v/>
      </c>
      <c r="X713">
        <f>IF(OR(L713=0,L713=""),"",ABS((L713-IF($C713="LT",Config!$F$7,Config!$F$19))/IF($C713="LT",Config!$G$7,Config!$G$19)))</f>
        <v/>
      </c>
      <c r="Y713">
        <f>IF(OR(M713=0,M713=""),"",ABS((M713-IF($C713="LT",Config!$F$8,Config!$F$20))/IF($C713="LT",Config!$G$8,Config!$G$20)))</f>
        <v/>
      </c>
      <c r="Z713">
        <f>IF(OR(N713=0,N713=""),"",ABS((N713-IF($C713="LT",Config!$F$9,Config!$F$21))/IF($C713="LT",Config!$G$9,Config!$G$21)))</f>
        <v/>
      </c>
      <c r="AA713">
        <f>IF(OR(O713=0,O713=""),"",ABS((O713-IF($C713="LT",Config!$F$10,Config!$F$22))/IF($C713="LT",Config!$G$10,Config!$G$22)))</f>
        <v/>
      </c>
      <c r="AB713">
        <f>IF(OR(P713=0,P713=""),"",ABS((P713-IF($C713="LT",Config!$F$11,Config!$F$23))/IF($C713="LT",Config!$G$11,Config!$G$23)))</f>
        <v/>
      </c>
      <c r="AC713">
        <f>IF(OR(Q713=0,Q713=""),"",ABS((Q713-IF($C713="LT",Config!$F$12,Config!$F$24))/IF($C713="LT",Config!$G$12,Config!$G$24)))</f>
        <v/>
      </c>
      <c r="AD713">
        <f>IF(OR(R713=0,R713=""),"",ABS((R713-IF($C713="LT",Config!$F$13,Config!$F$25))/IF($C713="LT",Config!$G$13,Config!$G$25)))</f>
        <v/>
      </c>
    </row>
    <row r="714">
      <c r="A714" t="inlineStr">
        <is>
          <t>04D1426121387</t>
        </is>
      </c>
      <c r="B714" t="inlineStr">
        <is>
          <t>CRS0000674</t>
        </is>
      </c>
      <c r="C714" t="inlineStr">
        <is>
          <t>MT</t>
        </is>
      </c>
      <c r="D714" t="inlineStr">
        <is>
          <t>TCX413U-DS1B01</t>
        </is>
      </c>
      <c r="E714" s="2" t="n">
        <v>46127</v>
      </c>
      <c r="F714" t="inlineStr">
        <is>
          <t>Pass</t>
        </is>
      </c>
      <c r="G714" t="n">
        <v>107</v>
      </c>
      <c r="H714" t="n">
        <v>79.3</v>
      </c>
      <c r="I714" t="n">
        <v>-1957.8</v>
      </c>
      <c r="J714" t="n">
        <v>70</v>
      </c>
      <c r="K714" t="n">
        <v>0</v>
      </c>
      <c r="L714" t="n">
        <v>1.1</v>
      </c>
      <c r="M714" t="n">
        <v>0</v>
      </c>
      <c r="N714" t="n">
        <v>68.90000000000001</v>
      </c>
      <c r="O714" t="n">
        <v>115.24</v>
      </c>
      <c r="P714" t="n">
        <v>115.24</v>
      </c>
      <c r="Q714" t="n">
        <v>3.86</v>
      </c>
      <c r="R714" t="n">
        <v>3.93</v>
      </c>
      <c r="S714">
        <f>IF(OR(G714=0,G714=""),"",ABS((G714-IF($C714="LT",Config!$F$2,Config!$F$14))/IF($C714="LT",Config!$G$2,Config!$G$14)))</f>
        <v/>
      </c>
      <c r="T714">
        <f>IF(OR(H714=0,H714=""),"",ABS((H714-IF($C714="LT",Config!$F$3,Config!$F$15))/IF($C714="LT",Config!$G$3,Config!$G$15)))</f>
        <v/>
      </c>
      <c r="U714">
        <f>IF(OR(I714=0,I714=""),"",ABS((I714-IF($C714="LT",Config!$F$4,Config!$F$16))/IF($C714="LT",Config!$G$4,Config!$G$16)))</f>
        <v/>
      </c>
      <c r="V714">
        <f>IF(OR(J714=0,J714=""),"",ABS((J714-IF($C714="LT",Config!$F$5,Config!$F$17))/IF($C714="LT",Config!$G$5,Config!$G$17)))</f>
        <v/>
      </c>
      <c r="W714">
        <f>IF(OR(K714=0,K714=""),"",ABS((K714-IF($C714="LT",Config!$F$6,Config!$F$18))/IF($C714="LT",Config!$G$6,Config!$G$18)))</f>
        <v/>
      </c>
      <c r="X714">
        <f>IF(OR(L714=0,L714=""),"",ABS((L714-IF($C714="LT",Config!$F$7,Config!$F$19))/IF($C714="LT",Config!$G$7,Config!$G$19)))</f>
        <v/>
      </c>
      <c r="Y714">
        <f>IF(OR(M714=0,M714=""),"",ABS((M714-IF($C714="LT",Config!$F$8,Config!$F$20))/IF($C714="LT",Config!$G$8,Config!$G$20)))</f>
        <v/>
      </c>
      <c r="Z714">
        <f>IF(OR(N714=0,N714=""),"",ABS((N714-IF($C714="LT",Config!$F$9,Config!$F$21))/IF($C714="LT",Config!$G$9,Config!$G$21)))</f>
        <v/>
      </c>
      <c r="AA714">
        <f>IF(OR(O714=0,O714=""),"",ABS((O714-IF($C714="LT",Config!$F$10,Config!$F$22))/IF($C714="LT",Config!$G$10,Config!$G$22)))</f>
        <v/>
      </c>
      <c r="AB714">
        <f>IF(OR(P714=0,P714=""),"",ABS((P714-IF($C714="LT",Config!$F$11,Config!$F$23))/IF($C714="LT",Config!$G$11,Config!$G$23)))</f>
        <v/>
      </c>
      <c r="AC714">
        <f>IF(OR(Q714=0,Q714=""),"",ABS((Q714-IF($C714="LT",Config!$F$12,Config!$F$24))/IF($C714="LT",Config!$G$12,Config!$G$24)))</f>
        <v/>
      </c>
      <c r="AD714">
        <f>IF(OR(R714=0,R714=""),"",ABS((R714-IF($C714="LT",Config!$F$13,Config!$F$25))/IF($C714="LT",Config!$G$13,Config!$G$25)))</f>
        <v/>
      </c>
    </row>
    <row r="715">
      <c r="A715" t="inlineStr">
        <is>
          <t>04D1526121388</t>
        </is>
      </c>
      <c r="B715" t="inlineStr">
        <is>
          <t>CRS0000674</t>
        </is>
      </c>
      <c r="C715" t="inlineStr">
        <is>
          <t>MT</t>
        </is>
      </c>
      <c r="D715" t="inlineStr">
        <is>
          <t>TCX413U-DS1B01</t>
        </is>
      </c>
      <c r="E715" s="2" t="n">
        <v>46127</v>
      </c>
      <c r="F715" t="inlineStr">
        <is>
          <t>Pass</t>
        </is>
      </c>
      <c r="G715" t="n">
        <v>119.1</v>
      </c>
      <c r="H715" t="n">
        <v>81.59999999999999</v>
      </c>
      <c r="I715" t="n">
        <v>-1957.8</v>
      </c>
      <c r="J715" t="n">
        <v>70</v>
      </c>
      <c r="K715" t="n">
        <v>0</v>
      </c>
      <c r="L715" t="n">
        <v>0.5</v>
      </c>
      <c r="M715" t="n">
        <v>0</v>
      </c>
      <c r="N715" t="n">
        <v>69.5</v>
      </c>
      <c r="O715" t="n">
        <v>112.08</v>
      </c>
      <c r="P715" t="n">
        <v>113.55</v>
      </c>
      <c r="Q715" t="n">
        <v>4</v>
      </c>
      <c r="R715" t="n">
        <v>4</v>
      </c>
      <c r="S715">
        <f>IF(OR(G715=0,G715=""),"",ABS((G715-IF($C715="LT",Config!$F$2,Config!$F$14))/IF($C715="LT",Config!$G$2,Config!$G$14)))</f>
        <v/>
      </c>
      <c r="T715">
        <f>IF(OR(H715=0,H715=""),"",ABS((H715-IF($C715="LT",Config!$F$3,Config!$F$15))/IF($C715="LT",Config!$G$3,Config!$G$15)))</f>
        <v/>
      </c>
      <c r="U715">
        <f>IF(OR(I715=0,I715=""),"",ABS((I715-IF($C715="LT",Config!$F$4,Config!$F$16))/IF($C715="LT",Config!$G$4,Config!$G$16)))</f>
        <v/>
      </c>
      <c r="V715">
        <f>IF(OR(J715=0,J715=""),"",ABS((J715-IF($C715="LT",Config!$F$5,Config!$F$17))/IF($C715="LT",Config!$G$5,Config!$G$17)))</f>
        <v/>
      </c>
      <c r="W715">
        <f>IF(OR(K715=0,K715=""),"",ABS((K715-IF($C715="LT",Config!$F$6,Config!$F$18))/IF($C715="LT",Config!$G$6,Config!$G$18)))</f>
        <v/>
      </c>
      <c r="X715">
        <f>IF(OR(L715=0,L715=""),"",ABS((L715-IF($C715="LT",Config!$F$7,Config!$F$19))/IF($C715="LT",Config!$G$7,Config!$G$19)))</f>
        <v/>
      </c>
      <c r="Y715">
        <f>IF(OR(M715=0,M715=""),"",ABS((M715-IF($C715="LT",Config!$F$8,Config!$F$20))/IF($C715="LT",Config!$G$8,Config!$G$20)))</f>
        <v/>
      </c>
      <c r="Z715">
        <f>IF(OR(N715=0,N715=""),"",ABS((N715-IF($C715="LT",Config!$F$9,Config!$F$21))/IF($C715="LT",Config!$G$9,Config!$G$21)))</f>
        <v/>
      </c>
      <c r="AA715">
        <f>IF(OR(O715=0,O715=""),"",ABS((O715-IF($C715="LT",Config!$F$10,Config!$F$22))/IF($C715="LT",Config!$G$10,Config!$G$22)))</f>
        <v/>
      </c>
      <c r="AB715">
        <f>IF(OR(P715=0,P715=""),"",ABS((P715-IF($C715="LT",Config!$F$11,Config!$F$23))/IF($C715="LT",Config!$G$11,Config!$G$23)))</f>
        <v/>
      </c>
      <c r="AC715">
        <f>IF(OR(Q715=0,Q715=""),"",ABS((Q715-IF($C715="LT",Config!$F$12,Config!$F$24))/IF($C715="LT",Config!$G$12,Config!$G$24)))</f>
        <v/>
      </c>
      <c r="AD715">
        <f>IF(OR(R715=0,R715=""),"",ABS((R715-IF($C715="LT",Config!$F$13,Config!$F$25))/IF($C715="LT",Config!$G$13,Config!$G$25)))</f>
        <v/>
      </c>
    </row>
    <row r="716">
      <c r="A716" t="inlineStr">
        <is>
          <t>04D1526121389</t>
        </is>
      </c>
      <c r="B716" t="inlineStr">
        <is>
          <t>CRS0000674</t>
        </is>
      </c>
      <c r="C716" t="inlineStr">
        <is>
          <t>MT</t>
        </is>
      </c>
      <c r="D716" t="inlineStr">
        <is>
          <t>TCX413U-DS1B01</t>
        </is>
      </c>
      <c r="E716" s="2" t="n">
        <v>46127</v>
      </c>
      <c r="F716" t="inlineStr">
        <is>
          <t>Pass</t>
        </is>
      </c>
      <c r="G716" t="n">
        <v>114.2</v>
      </c>
      <c r="H716" t="n">
        <v>82.5</v>
      </c>
      <c r="I716" t="n">
        <v>-1957.8</v>
      </c>
      <c r="J716" t="n">
        <v>70</v>
      </c>
      <c r="K716" t="n">
        <v>0</v>
      </c>
      <c r="L716" t="n">
        <v>1.3</v>
      </c>
      <c r="M716" t="n">
        <v>0</v>
      </c>
      <c r="N716" t="n">
        <v>68.7</v>
      </c>
      <c r="O716" t="n">
        <v>115.09</v>
      </c>
      <c r="P716" t="n">
        <v>115.02</v>
      </c>
      <c r="Q716" t="n">
        <v>3.83</v>
      </c>
      <c r="R716" t="n">
        <v>4.03</v>
      </c>
      <c r="S716">
        <f>IF(OR(G716=0,G716=""),"",ABS((G716-IF($C716="LT",Config!$F$2,Config!$F$14))/IF($C716="LT",Config!$G$2,Config!$G$14)))</f>
        <v/>
      </c>
      <c r="T716">
        <f>IF(OR(H716=0,H716=""),"",ABS((H716-IF($C716="LT",Config!$F$3,Config!$F$15))/IF($C716="LT",Config!$G$3,Config!$G$15)))</f>
        <v/>
      </c>
      <c r="U716">
        <f>IF(OR(I716=0,I716=""),"",ABS((I716-IF($C716="LT",Config!$F$4,Config!$F$16))/IF($C716="LT",Config!$G$4,Config!$G$16)))</f>
        <v/>
      </c>
      <c r="V716">
        <f>IF(OR(J716=0,J716=""),"",ABS((J716-IF($C716="LT",Config!$F$5,Config!$F$17))/IF($C716="LT",Config!$G$5,Config!$G$17)))</f>
        <v/>
      </c>
      <c r="W716">
        <f>IF(OR(K716=0,K716=""),"",ABS((K716-IF($C716="LT",Config!$F$6,Config!$F$18))/IF($C716="LT",Config!$G$6,Config!$G$18)))</f>
        <v/>
      </c>
      <c r="X716">
        <f>IF(OR(L716=0,L716=""),"",ABS((L716-IF($C716="LT",Config!$F$7,Config!$F$19))/IF($C716="LT",Config!$G$7,Config!$G$19)))</f>
        <v/>
      </c>
      <c r="Y716">
        <f>IF(OR(M716=0,M716=""),"",ABS((M716-IF($C716="LT",Config!$F$8,Config!$F$20))/IF($C716="LT",Config!$G$8,Config!$G$20)))</f>
        <v/>
      </c>
      <c r="Z716">
        <f>IF(OR(N716=0,N716=""),"",ABS((N716-IF($C716="LT",Config!$F$9,Config!$F$21))/IF($C716="LT",Config!$G$9,Config!$G$21)))</f>
        <v/>
      </c>
      <c r="AA716">
        <f>IF(OR(O716=0,O716=""),"",ABS((O716-IF($C716="LT",Config!$F$10,Config!$F$22))/IF($C716="LT",Config!$G$10,Config!$G$22)))</f>
        <v/>
      </c>
      <c r="AB716">
        <f>IF(OR(P716=0,P716=""),"",ABS((P716-IF($C716="LT",Config!$F$11,Config!$F$23))/IF($C716="LT",Config!$G$11,Config!$G$23)))</f>
        <v/>
      </c>
      <c r="AC716">
        <f>IF(OR(Q716=0,Q716=""),"",ABS((Q716-IF($C716="LT",Config!$F$12,Config!$F$24))/IF($C716="LT",Config!$G$12,Config!$G$24)))</f>
        <v/>
      </c>
      <c r="AD716">
        <f>IF(OR(R716=0,R716=""),"",ABS((R716-IF($C716="LT",Config!$F$13,Config!$F$25))/IF($C716="LT",Config!$G$13,Config!$G$25)))</f>
        <v/>
      </c>
    </row>
    <row r="717">
      <c r="A717" t="inlineStr">
        <is>
          <t>04D1526121390</t>
        </is>
      </c>
      <c r="B717" t="inlineStr">
        <is>
          <t>CRS0000674</t>
        </is>
      </c>
      <c r="C717" t="inlineStr">
        <is>
          <t>MT</t>
        </is>
      </c>
      <c r="D717" t="inlineStr">
        <is>
          <t>TCX413U-DS1B01</t>
        </is>
      </c>
      <c r="E717" s="2" t="n">
        <v>46127</v>
      </c>
      <c r="F717" t="inlineStr">
        <is>
          <t>Pass</t>
        </is>
      </c>
      <c r="G717" t="n">
        <v>99.90000000000001</v>
      </c>
      <c r="H717" t="n">
        <v>84.7</v>
      </c>
      <c r="I717" t="n">
        <v>-1957.8</v>
      </c>
      <c r="J717" t="n">
        <v>70.40000000000001</v>
      </c>
      <c r="K717" t="n">
        <v>0</v>
      </c>
      <c r="L717" t="n">
        <v>0.2</v>
      </c>
      <c r="M717" t="n">
        <v>0</v>
      </c>
      <c r="N717" t="n">
        <v>70.59999999999999</v>
      </c>
      <c r="O717" t="n">
        <v>115.02</v>
      </c>
      <c r="P717" t="n">
        <v>115.09</v>
      </c>
      <c r="Q717" t="n">
        <v>4.08</v>
      </c>
      <c r="R717" t="n">
        <v>4.15</v>
      </c>
      <c r="S717">
        <f>IF(OR(G717=0,G717=""),"",ABS((G717-IF($C717="LT",Config!$F$2,Config!$F$14))/IF($C717="LT",Config!$G$2,Config!$G$14)))</f>
        <v/>
      </c>
      <c r="T717">
        <f>IF(OR(H717=0,H717=""),"",ABS((H717-IF($C717="LT",Config!$F$3,Config!$F$15))/IF($C717="LT",Config!$G$3,Config!$G$15)))</f>
        <v/>
      </c>
      <c r="U717">
        <f>IF(OR(I717=0,I717=""),"",ABS((I717-IF($C717="LT",Config!$F$4,Config!$F$16))/IF($C717="LT",Config!$G$4,Config!$G$16)))</f>
        <v/>
      </c>
      <c r="V717">
        <f>IF(OR(J717=0,J717=""),"",ABS((J717-IF($C717="LT",Config!$F$5,Config!$F$17))/IF($C717="LT",Config!$G$5,Config!$G$17)))</f>
        <v/>
      </c>
      <c r="W717">
        <f>IF(OR(K717=0,K717=""),"",ABS((K717-IF($C717="LT",Config!$F$6,Config!$F$18))/IF($C717="LT",Config!$G$6,Config!$G$18)))</f>
        <v/>
      </c>
      <c r="X717">
        <f>IF(OR(L717=0,L717=""),"",ABS((L717-IF($C717="LT",Config!$F$7,Config!$F$19))/IF($C717="LT",Config!$G$7,Config!$G$19)))</f>
        <v/>
      </c>
      <c r="Y717">
        <f>IF(OR(M717=0,M717=""),"",ABS((M717-IF($C717="LT",Config!$F$8,Config!$F$20))/IF($C717="LT",Config!$G$8,Config!$G$20)))</f>
        <v/>
      </c>
      <c r="Z717">
        <f>IF(OR(N717=0,N717=""),"",ABS((N717-IF($C717="LT",Config!$F$9,Config!$F$21))/IF($C717="LT",Config!$G$9,Config!$G$21)))</f>
        <v/>
      </c>
      <c r="AA717">
        <f>IF(OR(O717=0,O717=""),"",ABS((O717-IF($C717="LT",Config!$F$10,Config!$F$22))/IF($C717="LT",Config!$G$10,Config!$G$22)))</f>
        <v/>
      </c>
      <c r="AB717">
        <f>IF(OR(P717=0,P717=""),"",ABS((P717-IF($C717="LT",Config!$F$11,Config!$F$23))/IF($C717="LT",Config!$G$11,Config!$G$23)))</f>
        <v/>
      </c>
      <c r="AC717">
        <f>IF(OR(Q717=0,Q717=""),"",ABS((Q717-IF($C717="LT",Config!$F$12,Config!$F$24))/IF($C717="LT",Config!$G$12,Config!$G$24)))</f>
        <v/>
      </c>
      <c r="AD717">
        <f>IF(OR(R717=0,R717=""),"",ABS((R717-IF($C717="LT",Config!$F$13,Config!$F$25))/IF($C717="LT",Config!$G$13,Config!$G$25)))</f>
        <v/>
      </c>
    </row>
    <row r="718">
      <c r="A718" t="inlineStr">
        <is>
          <t>04D1526121391</t>
        </is>
      </c>
      <c r="B718" t="inlineStr">
        <is>
          <t>CRS0000674</t>
        </is>
      </c>
      <c r="C718" t="inlineStr">
        <is>
          <t>MT</t>
        </is>
      </c>
      <c r="D718" t="inlineStr">
        <is>
          <t>TCX413U-DS1B01</t>
        </is>
      </c>
      <c r="E718" s="2" t="n">
        <v>46127</v>
      </c>
      <c r="F718" t="inlineStr">
        <is>
          <t>Pass</t>
        </is>
      </c>
      <c r="G718" t="n">
        <v>117.8</v>
      </c>
      <c r="H718" t="n">
        <v>82.90000000000001</v>
      </c>
      <c r="I718" t="n">
        <v>-1957.8</v>
      </c>
      <c r="J718" t="n">
        <v>70.40000000000001</v>
      </c>
      <c r="K718" t="n">
        <v>0</v>
      </c>
      <c r="L718" t="n">
        <v>0.1</v>
      </c>
      <c r="M718" t="n">
        <v>0</v>
      </c>
      <c r="N718" t="n">
        <v>70.5</v>
      </c>
      <c r="O718" t="n">
        <v>110.91</v>
      </c>
      <c r="P718" t="n">
        <v>117.51</v>
      </c>
      <c r="Q718" t="n">
        <v>3.96</v>
      </c>
      <c r="R718" t="n">
        <v>3.86</v>
      </c>
      <c r="S718">
        <f>IF(OR(G718=0,G718=""),"",ABS((G718-IF($C718="LT",Config!$F$2,Config!$F$14))/IF($C718="LT",Config!$G$2,Config!$G$14)))</f>
        <v/>
      </c>
      <c r="T718">
        <f>IF(OR(H718=0,H718=""),"",ABS((H718-IF($C718="LT",Config!$F$3,Config!$F$15))/IF($C718="LT",Config!$G$3,Config!$G$15)))</f>
        <v/>
      </c>
      <c r="U718">
        <f>IF(OR(I718=0,I718=""),"",ABS((I718-IF($C718="LT",Config!$F$4,Config!$F$16))/IF($C718="LT",Config!$G$4,Config!$G$16)))</f>
        <v/>
      </c>
      <c r="V718">
        <f>IF(OR(J718=0,J718=""),"",ABS((J718-IF($C718="LT",Config!$F$5,Config!$F$17))/IF($C718="LT",Config!$G$5,Config!$G$17)))</f>
        <v/>
      </c>
      <c r="W718">
        <f>IF(OR(K718=0,K718=""),"",ABS((K718-IF($C718="LT",Config!$F$6,Config!$F$18))/IF($C718="LT",Config!$G$6,Config!$G$18)))</f>
        <v/>
      </c>
      <c r="X718">
        <f>IF(OR(L718=0,L718=""),"",ABS((L718-IF($C718="LT",Config!$F$7,Config!$F$19))/IF($C718="LT",Config!$G$7,Config!$G$19)))</f>
        <v/>
      </c>
      <c r="Y718">
        <f>IF(OR(M718=0,M718=""),"",ABS((M718-IF($C718="LT",Config!$F$8,Config!$F$20))/IF($C718="LT",Config!$G$8,Config!$G$20)))</f>
        <v/>
      </c>
      <c r="Z718">
        <f>IF(OR(N718=0,N718=""),"",ABS((N718-IF($C718="LT",Config!$F$9,Config!$F$21))/IF($C718="LT",Config!$G$9,Config!$G$21)))</f>
        <v/>
      </c>
      <c r="AA718">
        <f>IF(OR(O718=0,O718=""),"",ABS((O718-IF($C718="LT",Config!$F$10,Config!$F$22))/IF($C718="LT",Config!$G$10,Config!$G$22)))</f>
        <v/>
      </c>
      <c r="AB718">
        <f>IF(OR(P718=0,P718=""),"",ABS((P718-IF($C718="LT",Config!$F$11,Config!$F$23))/IF($C718="LT",Config!$G$11,Config!$G$23)))</f>
        <v/>
      </c>
      <c r="AC718">
        <f>IF(OR(Q718=0,Q718=""),"",ABS((Q718-IF($C718="LT",Config!$F$12,Config!$F$24))/IF($C718="LT",Config!$G$12,Config!$G$24)))</f>
        <v/>
      </c>
      <c r="AD718">
        <f>IF(OR(R718=0,R718=""),"",ABS((R718-IF($C718="LT",Config!$F$13,Config!$F$25))/IF($C718="LT",Config!$G$13,Config!$G$25)))</f>
        <v/>
      </c>
    </row>
    <row r="719">
      <c r="A719" t="inlineStr">
        <is>
          <t>04D1526121392</t>
        </is>
      </c>
      <c r="B719" t="inlineStr">
        <is>
          <t>CRS0000674</t>
        </is>
      </c>
      <c r="C719" t="inlineStr">
        <is>
          <t>MT</t>
        </is>
      </c>
      <c r="D719" t="inlineStr">
        <is>
          <t>TCX413U-DS1B01</t>
        </is>
      </c>
      <c r="E719" s="2" t="n">
        <v>46127</v>
      </c>
      <c r="F719" t="inlineStr">
        <is>
          <t>Pass</t>
        </is>
      </c>
      <c r="G719" t="n">
        <v>99</v>
      </c>
      <c r="H719" t="n">
        <v>83.40000000000001</v>
      </c>
      <c r="I719" t="n">
        <v>-1957.8</v>
      </c>
      <c r="J719" t="n">
        <v>70.40000000000001</v>
      </c>
      <c r="K719" t="n">
        <v>0</v>
      </c>
      <c r="L719" t="n">
        <v>0.4</v>
      </c>
      <c r="M719" t="n">
        <v>0</v>
      </c>
      <c r="N719" t="n">
        <v>70</v>
      </c>
      <c r="O719" t="n">
        <v>115.75</v>
      </c>
      <c r="P719" t="n">
        <v>117.36</v>
      </c>
      <c r="Q719" t="n">
        <v>3.91</v>
      </c>
      <c r="R719" t="n">
        <v>3.98</v>
      </c>
      <c r="S719">
        <f>IF(OR(G719=0,G719=""),"",ABS((G719-IF($C719="LT",Config!$F$2,Config!$F$14))/IF($C719="LT",Config!$G$2,Config!$G$14)))</f>
        <v/>
      </c>
      <c r="T719">
        <f>IF(OR(H719=0,H719=""),"",ABS((H719-IF($C719="LT",Config!$F$3,Config!$F$15))/IF($C719="LT",Config!$G$3,Config!$G$15)))</f>
        <v/>
      </c>
      <c r="U719">
        <f>IF(OR(I719=0,I719=""),"",ABS((I719-IF($C719="LT",Config!$F$4,Config!$F$16))/IF($C719="LT",Config!$G$4,Config!$G$16)))</f>
        <v/>
      </c>
      <c r="V719">
        <f>IF(OR(J719=0,J719=""),"",ABS((J719-IF($C719="LT",Config!$F$5,Config!$F$17))/IF($C719="LT",Config!$G$5,Config!$G$17)))</f>
        <v/>
      </c>
      <c r="W719">
        <f>IF(OR(K719=0,K719=""),"",ABS((K719-IF($C719="LT",Config!$F$6,Config!$F$18))/IF($C719="LT",Config!$G$6,Config!$G$18)))</f>
        <v/>
      </c>
      <c r="X719">
        <f>IF(OR(L719=0,L719=""),"",ABS((L719-IF($C719="LT",Config!$F$7,Config!$F$19))/IF($C719="LT",Config!$G$7,Config!$G$19)))</f>
        <v/>
      </c>
      <c r="Y719">
        <f>IF(OR(M719=0,M719=""),"",ABS((M719-IF($C719="LT",Config!$F$8,Config!$F$20))/IF($C719="LT",Config!$G$8,Config!$G$20)))</f>
        <v/>
      </c>
      <c r="Z719">
        <f>IF(OR(N719=0,N719=""),"",ABS((N719-IF($C719="LT",Config!$F$9,Config!$F$21))/IF($C719="LT",Config!$G$9,Config!$G$21)))</f>
        <v/>
      </c>
      <c r="AA719">
        <f>IF(OR(O719=0,O719=""),"",ABS((O719-IF($C719="LT",Config!$F$10,Config!$F$22))/IF($C719="LT",Config!$G$10,Config!$G$22)))</f>
        <v/>
      </c>
      <c r="AB719">
        <f>IF(OR(P719=0,P719=""),"",ABS((P719-IF($C719="LT",Config!$F$11,Config!$F$23))/IF($C719="LT",Config!$G$11,Config!$G$23)))</f>
        <v/>
      </c>
      <c r="AC719">
        <f>IF(OR(Q719=0,Q719=""),"",ABS((Q719-IF($C719="LT",Config!$F$12,Config!$F$24))/IF($C719="LT",Config!$G$12,Config!$G$24)))</f>
        <v/>
      </c>
      <c r="AD719">
        <f>IF(OR(R719=0,R719=""),"",ABS((R719-IF($C719="LT",Config!$F$13,Config!$F$25))/IF($C719="LT",Config!$G$13,Config!$G$25)))</f>
        <v/>
      </c>
    </row>
    <row r="720">
      <c r="A720" t="inlineStr">
        <is>
          <t>04D1526121393</t>
        </is>
      </c>
      <c r="B720" t="inlineStr">
        <is>
          <t>CRS0000674</t>
        </is>
      </c>
      <c r="C720" t="inlineStr">
        <is>
          <t>MT</t>
        </is>
      </c>
      <c r="D720" t="inlineStr">
        <is>
          <t>TCX413U-DS1B01</t>
        </is>
      </c>
      <c r="E720" s="2" t="n">
        <v>46127</v>
      </c>
      <c r="F720" t="inlineStr">
        <is>
          <t>Fail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>
        <f>IF(OR(G720=0,G720=""),"",ABS((G720-IF($C720="LT",Config!$F$2,Config!$F$14))/IF($C720="LT",Config!$G$2,Config!$G$14)))</f>
        <v/>
      </c>
      <c r="T720">
        <f>IF(OR(H720=0,H720=""),"",ABS((H720-IF($C720="LT",Config!$F$3,Config!$F$15))/IF($C720="LT",Config!$G$3,Config!$G$15)))</f>
        <v/>
      </c>
      <c r="U720">
        <f>IF(OR(I720=0,I720=""),"",ABS((I720-IF($C720="LT",Config!$F$4,Config!$F$16))/IF($C720="LT",Config!$G$4,Config!$G$16)))</f>
        <v/>
      </c>
      <c r="V720">
        <f>IF(OR(J720=0,J720=""),"",ABS((J720-IF($C720="LT",Config!$F$5,Config!$F$17))/IF($C720="LT",Config!$G$5,Config!$G$17)))</f>
        <v/>
      </c>
      <c r="W720">
        <f>IF(OR(K720=0,K720=""),"",ABS((K720-IF($C720="LT",Config!$F$6,Config!$F$18))/IF($C720="LT",Config!$G$6,Config!$G$18)))</f>
        <v/>
      </c>
      <c r="X720">
        <f>IF(OR(L720=0,L720=""),"",ABS((L720-IF($C720="LT",Config!$F$7,Config!$F$19))/IF($C720="LT",Config!$G$7,Config!$G$19)))</f>
        <v/>
      </c>
      <c r="Y720">
        <f>IF(OR(M720=0,M720=""),"",ABS((M720-IF($C720="LT",Config!$F$8,Config!$F$20))/IF($C720="LT",Config!$G$8,Config!$G$20)))</f>
        <v/>
      </c>
      <c r="Z720">
        <f>IF(OR(N720=0,N720=""),"",ABS((N720-IF($C720="LT",Config!$F$9,Config!$F$21))/IF($C720="LT",Config!$G$9,Config!$G$21)))</f>
        <v/>
      </c>
      <c r="AA720">
        <f>IF(OR(O720=0,O720=""),"",ABS((O720-IF($C720="LT",Config!$F$10,Config!$F$22))/IF($C720="LT",Config!$G$10,Config!$G$22)))</f>
        <v/>
      </c>
      <c r="AB720">
        <f>IF(OR(P720=0,P720=""),"",ABS((P720-IF($C720="LT",Config!$F$11,Config!$F$23))/IF($C720="LT",Config!$G$11,Config!$G$23)))</f>
        <v/>
      </c>
      <c r="AC720">
        <f>IF(OR(Q720=0,Q720=""),"",ABS((Q720-IF($C720="LT",Config!$F$12,Config!$F$24))/IF($C720="LT",Config!$G$12,Config!$G$24)))</f>
        <v/>
      </c>
      <c r="AD720">
        <f>IF(OR(R720=0,R720=""),"",ABS((R720-IF($C720="LT",Config!$F$13,Config!$F$25))/IF($C720="LT",Config!$G$13,Config!$G$25)))</f>
        <v/>
      </c>
    </row>
    <row r="721">
      <c r="A721" t="inlineStr">
        <is>
          <t>04D1526121393</t>
        </is>
      </c>
      <c r="B721" t="inlineStr">
        <is>
          <t>CRS0000674</t>
        </is>
      </c>
      <c r="C721" t="inlineStr">
        <is>
          <t>MT</t>
        </is>
      </c>
      <c r="D721" t="inlineStr">
        <is>
          <t>TCX413U-DS1B01</t>
        </is>
      </c>
      <c r="E721" s="2" t="n">
        <v>46127</v>
      </c>
      <c r="F721" t="inlineStr">
        <is>
          <t>Fail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>
        <f>IF(OR(G721=0,G721=""),"",ABS((G721-IF($C721="LT",Config!$F$2,Config!$F$14))/IF($C721="LT",Config!$G$2,Config!$G$14)))</f>
        <v/>
      </c>
      <c r="T721">
        <f>IF(OR(H721=0,H721=""),"",ABS((H721-IF($C721="LT",Config!$F$3,Config!$F$15))/IF($C721="LT",Config!$G$3,Config!$G$15)))</f>
        <v/>
      </c>
      <c r="U721">
        <f>IF(OR(I721=0,I721=""),"",ABS((I721-IF($C721="LT",Config!$F$4,Config!$F$16))/IF($C721="LT",Config!$G$4,Config!$G$16)))</f>
        <v/>
      </c>
      <c r="V721">
        <f>IF(OR(J721=0,J721=""),"",ABS((J721-IF($C721="LT",Config!$F$5,Config!$F$17))/IF($C721="LT",Config!$G$5,Config!$G$17)))</f>
        <v/>
      </c>
      <c r="W721">
        <f>IF(OR(K721=0,K721=""),"",ABS((K721-IF($C721="LT",Config!$F$6,Config!$F$18))/IF($C721="LT",Config!$G$6,Config!$G$18)))</f>
        <v/>
      </c>
      <c r="X721">
        <f>IF(OR(L721=0,L721=""),"",ABS((L721-IF($C721="LT",Config!$F$7,Config!$F$19))/IF($C721="LT",Config!$G$7,Config!$G$19)))</f>
        <v/>
      </c>
      <c r="Y721">
        <f>IF(OR(M721=0,M721=""),"",ABS((M721-IF($C721="LT",Config!$F$8,Config!$F$20))/IF($C721="LT",Config!$G$8,Config!$G$20)))</f>
        <v/>
      </c>
      <c r="Z721">
        <f>IF(OR(N721=0,N721=""),"",ABS((N721-IF($C721="LT",Config!$F$9,Config!$F$21))/IF($C721="LT",Config!$G$9,Config!$G$21)))</f>
        <v/>
      </c>
      <c r="AA721">
        <f>IF(OR(O721=0,O721=""),"",ABS((O721-IF($C721="LT",Config!$F$10,Config!$F$22))/IF($C721="LT",Config!$G$10,Config!$G$22)))</f>
        <v/>
      </c>
      <c r="AB721">
        <f>IF(OR(P721=0,P721=""),"",ABS((P721-IF($C721="LT",Config!$F$11,Config!$F$23))/IF($C721="LT",Config!$G$11,Config!$G$23)))</f>
        <v/>
      </c>
      <c r="AC721">
        <f>IF(OR(Q721=0,Q721=""),"",ABS((Q721-IF($C721="LT",Config!$F$12,Config!$F$24))/IF($C721="LT",Config!$G$12,Config!$G$24)))</f>
        <v/>
      </c>
      <c r="AD721">
        <f>IF(OR(R721=0,R721=""),"",ABS((R721-IF($C721="LT",Config!$F$13,Config!$F$25))/IF($C721="LT",Config!$G$13,Config!$G$25)))</f>
        <v/>
      </c>
    </row>
    <row r="722">
      <c r="A722" t="inlineStr">
        <is>
          <t>04D1526121393</t>
        </is>
      </c>
      <c r="B722" t="inlineStr">
        <is>
          <t>CRS0000674</t>
        </is>
      </c>
      <c r="C722" t="inlineStr">
        <is>
          <t>MT</t>
        </is>
      </c>
      <c r="D722" t="inlineStr">
        <is>
          <t>TCX413U-DS1B01</t>
        </is>
      </c>
      <c r="E722" s="2" t="n">
        <v>46127</v>
      </c>
      <c r="F722" t="inlineStr">
        <is>
          <t>Fail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>
        <f>IF(OR(G722=0,G722=""),"",ABS((G722-IF($C722="LT",Config!$F$2,Config!$F$14))/IF($C722="LT",Config!$G$2,Config!$G$14)))</f>
        <v/>
      </c>
      <c r="T722">
        <f>IF(OR(H722=0,H722=""),"",ABS((H722-IF($C722="LT",Config!$F$3,Config!$F$15))/IF($C722="LT",Config!$G$3,Config!$G$15)))</f>
        <v/>
      </c>
      <c r="U722">
        <f>IF(OR(I722=0,I722=""),"",ABS((I722-IF($C722="LT",Config!$F$4,Config!$F$16))/IF($C722="LT",Config!$G$4,Config!$G$16)))</f>
        <v/>
      </c>
      <c r="V722">
        <f>IF(OR(J722=0,J722=""),"",ABS((J722-IF($C722="LT",Config!$F$5,Config!$F$17))/IF($C722="LT",Config!$G$5,Config!$G$17)))</f>
        <v/>
      </c>
      <c r="W722">
        <f>IF(OR(K722=0,K722=""),"",ABS((K722-IF($C722="LT",Config!$F$6,Config!$F$18))/IF($C722="LT",Config!$G$6,Config!$G$18)))</f>
        <v/>
      </c>
      <c r="X722">
        <f>IF(OR(L722=0,L722=""),"",ABS((L722-IF($C722="LT",Config!$F$7,Config!$F$19))/IF($C722="LT",Config!$G$7,Config!$G$19)))</f>
        <v/>
      </c>
      <c r="Y722">
        <f>IF(OR(M722=0,M722=""),"",ABS((M722-IF($C722="LT",Config!$F$8,Config!$F$20))/IF($C722="LT",Config!$G$8,Config!$G$20)))</f>
        <v/>
      </c>
      <c r="Z722">
        <f>IF(OR(N722=0,N722=""),"",ABS((N722-IF($C722="LT",Config!$F$9,Config!$F$21))/IF($C722="LT",Config!$G$9,Config!$G$21)))</f>
        <v/>
      </c>
      <c r="AA722">
        <f>IF(OR(O722=0,O722=""),"",ABS((O722-IF($C722="LT",Config!$F$10,Config!$F$22))/IF($C722="LT",Config!$G$10,Config!$G$22)))</f>
        <v/>
      </c>
      <c r="AB722">
        <f>IF(OR(P722=0,P722=""),"",ABS((P722-IF($C722="LT",Config!$F$11,Config!$F$23))/IF($C722="LT",Config!$G$11,Config!$G$23)))</f>
        <v/>
      </c>
      <c r="AC722">
        <f>IF(OR(Q722=0,Q722=""),"",ABS((Q722-IF($C722="LT",Config!$F$12,Config!$F$24))/IF($C722="LT",Config!$G$12,Config!$G$24)))</f>
        <v/>
      </c>
      <c r="AD722">
        <f>IF(OR(R722=0,R722=""),"",ABS((R722-IF($C722="LT",Config!$F$13,Config!$F$25))/IF($C722="LT",Config!$G$13,Config!$G$25)))</f>
        <v/>
      </c>
    </row>
    <row r="723">
      <c r="A723" t="inlineStr">
        <is>
          <t>04D1526121393</t>
        </is>
      </c>
      <c r="B723" t="inlineStr">
        <is>
          <t>CRS0000674</t>
        </is>
      </c>
      <c r="C723" t="inlineStr">
        <is>
          <t>MT</t>
        </is>
      </c>
      <c r="D723" t="inlineStr">
        <is>
          <t>TCX413U-DS1B01</t>
        </is>
      </c>
      <c r="E723" s="2" t="n">
        <v>46127</v>
      </c>
      <c r="F723" t="inlineStr">
        <is>
          <t>Fail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>
        <f>IF(OR(G723=0,G723=""),"",ABS((G723-IF($C723="LT",Config!$F$2,Config!$F$14))/IF($C723="LT",Config!$G$2,Config!$G$14)))</f>
        <v/>
      </c>
      <c r="T723">
        <f>IF(OR(H723=0,H723=""),"",ABS((H723-IF($C723="LT",Config!$F$3,Config!$F$15))/IF($C723="LT",Config!$G$3,Config!$G$15)))</f>
        <v/>
      </c>
      <c r="U723">
        <f>IF(OR(I723=0,I723=""),"",ABS((I723-IF($C723="LT",Config!$F$4,Config!$F$16))/IF($C723="LT",Config!$G$4,Config!$G$16)))</f>
        <v/>
      </c>
      <c r="V723">
        <f>IF(OR(J723=0,J723=""),"",ABS((J723-IF($C723="LT",Config!$F$5,Config!$F$17))/IF($C723="LT",Config!$G$5,Config!$G$17)))</f>
        <v/>
      </c>
      <c r="W723">
        <f>IF(OR(K723=0,K723=""),"",ABS((K723-IF($C723="LT",Config!$F$6,Config!$F$18))/IF($C723="LT",Config!$G$6,Config!$G$18)))</f>
        <v/>
      </c>
      <c r="X723">
        <f>IF(OR(L723=0,L723=""),"",ABS((L723-IF($C723="LT",Config!$F$7,Config!$F$19))/IF($C723="LT",Config!$G$7,Config!$G$19)))</f>
        <v/>
      </c>
      <c r="Y723">
        <f>IF(OR(M723=0,M723=""),"",ABS((M723-IF($C723="LT",Config!$F$8,Config!$F$20))/IF($C723="LT",Config!$G$8,Config!$G$20)))</f>
        <v/>
      </c>
      <c r="Z723">
        <f>IF(OR(N723=0,N723=""),"",ABS((N723-IF($C723="LT",Config!$F$9,Config!$F$21))/IF($C723="LT",Config!$G$9,Config!$G$21)))</f>
        <v/>
      </c>
      <c r="AA723">
        <f>IF(OR(O723=0,O723=""),"",ABS((O723-IF($C723="LT",Config!$F$10,Config!$F$22))/IF($C723="LT",Config!$G$10,Config!$G$22)))</f>
        <v/>
      </c>
      <c r="AB723">
        <f>IF(OR(P723=0,P723=""),"",ABS((P723-IF($C723="LT",Config!$F$11,Config!$F$23))/IF($C723="LT",Config!$G$11,Config!$G$23)))</f>
        <v/>
      </c>
      <c r="AC723">
        <f>IF(OR(Q723=0,Q723=""),"",ABS((Q723-IF($C723="LT",Config!$F$12,Config!$F$24))/IF($C723="LT",Config!$G$12,Config!$G$24)))</f>
        <v/>
      </c>
      <c r="AD723">
        <f>IF(OR(R723=0,R723=""),"",ABS((R723-IF($C723="LT",Config!$F$13,Config!$F$25))/IF($C723="LT",Config!$G$13,Config!$G$25)))</f>
        <v/>
      </c>
    </row>
    <row r="724">
      <c r="A724" t="inlineStr">
        <is>
          <t>04D1526121393</t>
        </is>
      </c>
      <c r="B724" t="inlineStr">
        <is>
          <t>CRS0000674</t>
        </is>
      </c>
      <c r="C724" t="inlineStr">
        <is>
          <t>MT</t>
        </is>
      </c>
      <c r="D724" t="inlineStr">
        <is>
          <t>TCX413U-DS1B01</t>
        </is>
      </c>
      <c r="E724" s="2" t="n">
        <v>46127</v>
      </c>
      <c r="F724" t="inlineStr">
        <is>
          <t>Pass</t>
        </is>
      </c>
      <c r="G724" t="n">
        <v>116.9</v>
      </c>
      <c r="H724" t="n">
        <v>84.3</v>
      </c>
      <c r="I724" t="n">
        <v>-1957.8</v>
      </c>
      <c r="J724" t="n">
        <v>71.7</v>
      </c>
      <c r="K724" t="n">
        <v>0</v>
      </c>
      <c r="L724" t="n">
        <v>0.2</v>
      </c>
      <c r="M724" t="n">
        <v>0</v>
      </c>
      <c r="N724" t="n">
        <v>71.90000000000001</v>
      </c>
      <c r="O724" t="n">
        <v>110.76</v>
      </c>
      <c r="P724" t="n">
        <v>117.22</v>
      </c>
      <c r="Q724" t="n">
        <v>4.13</v>
      </c>
      <c r="R724" t="n">
        <v>4.05</v>
      </c>
      <c r="S724">
        <f>IF(OR(G724=0,G724=""),"",ABS((G724-IF($C724="LT",Config!$F$2,Config!$F$14))/IF($C724="LT",Config!$G$2,Config!$G$14)))</f>
        <v/>
      </c>
      <c r="T724">
        <f>IF(OR(H724=0,H724=""),"",ABS((H724-IF($C724="LT",Config!$F$3,Config!$F$15))/IF($C724="LT",Config!$G$3,Config!$G$15)))</f>
        <v/>
      </c>
      <c r="U724">
        <f>IF(OR(I724=0,I724=""),"",ABS((I724-IF($C724="LT",Config!$F$4,Config!$F$16))/IF($C724="LT",Config!$G$4,Config!$G$16)))</f>
        <v/>
      </c>
      <c r="V724">
        <f>IF(OR(J724=0,J724=""),"",ABS((J724-IF($C724="LT",Config!$F$5,Config!$F$17))/IF($C724="LT",Config!$G$5,Config!$G$17)))</f>
        <v/>
      </c>
      <c r="W724">
        <f>IF(OR(K724=0,K724=""),"",ABS((K724-IF($C724="LT",Config!$F$6,Config!$F$18))/IF($C724="LT",Config!$G$6,Config!$G$18)))</f>
        <v/>
      </c>
      <c r="X724">
        <f>IF(OR(L724=0,L724=""),"",ABS((L724-IF($C724="LT",Config!$F$7,Config!$F$19))/IF($C724="LT",Config!$G$7,Config!$G$19)))</f>
        <v/>
      </c>
      <c r="Y724">
        <f>IF(OR(M724=0,M724=""),"",ABS((M724-IF($C724="LT",Config!$F$8,Config!$F$20))/IF($C724="LT",Config!$G$8,Config!$G$20)))</f>
        <v/>
      </c>
      <c r="Z724">
        <f>IF(OR(N724=0,N724=""),"",ABS((N724-IF($C724="LT",Config!$F$9,Config!$F$21))/IF($C724="LT",Config!$G$9,Config!$G$21)))</f>
        <v/>
      </c>
      <c r="AA724">
        <f>IF(OR(O724=0,O724=""),"",ABS((O724-IF($C724="LT",Config!$F$10,Config!$F$22))/IF($C724="LT",Config!$G$10,Config!$G$22)))</f>
        <v/>
      </c>
      <c r="AB724">
        <f>IF(OR(P724=0,P724=""),"",ABS((P724-IF($C724="LT",Config!$F$11,Config!$F$23))/IF($C724="LT",Config!$G$11,Config!$G$23)))</f>
        <v/>
      </c>
      <c r="AC724">
        <f>IF(OR(Q724=0,Q724=""),"",ABS((Q724-IF($C724="LT",Config!$F$12,Config!$F$24))/IF($C724="LT",Config!$G$12,Config!$G$24)))</f>
        <v/>
      </c>
      <c r="AD724">
        <f>IF(OR(R724=0,R724=""),"",ABS((R724-IF($C724="LT",Config!$F$13,Config!$F$25))/IF($C724="LT",Config!$G$13,Config!$G$25)))</f>
        <v/>
      </c>
    </row>
    <row r="725">
      <c r="A725" t="inlineStr">
        <is>
          <t>04D1526121394</t>
        </is>
      </c>
      <c r="B725" t="inlineStr">
        <is>
          <t>CRS0000674</t>
        </is>
      </c>
      <c r="C725" t="inlineStr">
        <is>
          <t>MT</t>
        </is>
      </c>
      <c r="D725" t="inlineStr">
        <is>
          <t>TCX413U-DS1B01</t>
        </is>
      </c>
      <c r="E725" s="2" t="n">
        <v>46127</v>
      </c>
      <c r="F725" t="inlineStr">
        <is>
          <t>Pass</t>
        </is>
      </c>
      <c r="G725" t="n">
        <v>114.6</v>
      </c>
      <c r="H725" t="n">
        <v>80.7</v>
      </c>
      <c r="I725" t="n">
        <v>-1957.8</v>
      </c>
      <c r="J725" t="n">
        <v>70.8</v>
      </c>
      <c r="K725" t="n">
        <v>0</v>
      </c>
      <c r="L725" t="n">
        <v>0.2</v>
      </c>
      <c r="M725" t="n">
        <v>0</v>
      </c>
      <c r="N725" t="n">
        <v>71</v>
      </c>
      <c r="O725" t="n">
        <v>115.46</v>
      </c>
      <c r="P725" t="n">
        <v>115.24</v>
      </c>
      <c r="Q725" t="n">
        <v>3.98</v>
      </c>
      <c r="R725" t="n">
        <v>4.05</v>
      </c>
      <c r="S725">
        <f>IF(OR(G725=0,G725=""),"",ABS((G725-IF($C725="LT",Config!$F$2,Config!$F$14))/IF($C725="LT",Config!$G$2,Config!$G$14)))</f>
        <v/>
      </c>
      <c r="T725">
        <f>IF(OR(H725=0,H725=""),"",ABS((H725-IF($C725="LT",Config!$F$3,Config!$F$15))/IF($C725="LT",Config!$G$3,Config!$G$15)))</f>
        <v/>
      </c>
      <c r="U725">
        <f>IF(OR(I725=0,I725=""),"",ABS((I725-IF($C725="LT",Config!$F$4,Config!$F$16))/IF($C725="LT",Config!$G$4,Config!$G$16)))</f>
        <v/>
      </c>
      <c r="V725">
        <f>IF(OR(J725=0,J725=""),"",ABS((J725-IF($C725="LT",Config!$F$5,Config!$F$17))/IF($C725="LT",Config!$G$5,Config!$G$17)))</f>
        <v/>
      </c>
      <c r="W725">
        <f>IF(OR(K725=0,K725=""),"",ABS((K725-IF($C725="LT",Config!$F$6,Config!$F$18))/IF($C725="LT",Config!$G$6,Config!$G$18)))</f>
        <v/>
      </c>
      <c r="X725">
        <f>IF(OR(L725=0,L725=""),"",ABS((L725-IF($C725="LT",Config!$F$7,Config!$F$19))/IF($C725="LT",Config!$G$7,Config!$G$19)))</f>
        <v/>
      </c>
      <c r="Y725">
        <f>IF(OR(M725=0,M725=""),"",ABS((M725-IF($C725="LT",Config!$F$8,Config!$F$20))/IF($C725="LT",Config!$G$8,Config!$G$20)))</f>
        <v/>
      </c>
      <c r="Z725">
        <f>IF(OR(N725=0,N725=""),"",ABS((N725-IF($C725="LT",Config!$F$9,Config!$F$21))/IF($C725="LT",Config!$G$9,Config!$G$21)))</f>
        <v/>
      </c>
      <c r="AA725">
        <f>IF(OR(O725=0,O725=""),"",ABS((O725-IF($C725="LT",Config!$F$10,Config!$F$22))/IF($C725="LT",Config!$G$10,Config!$G$22)))</f>
        <v/>
      </c>
      <c r="AB725">
        <f>IF(OR(P725=0,P725=""),"",ABS((P725-IF($C725="LT",Config!$F$11,Config!$F$23))/IF($C725="LT",Config!$G$11,Config!$G$23)))</f>
        <v/>
      </c>
      <c r="AC725">
        <f>IF(OR(Q725=0,Q725=""),"",ABS((Q725-IF($C725="LT",Config!$F$12,Config!$F$24))/IF($C725="LT",Config!$G$12,Config!$G$24)))</f>
        <v/>
      </c>
      <c r="AD725">
        <f>IF(OR(R725=0,R725=""),"",ABS((R725-IF($C725="LT",Config!$F$13,Config!$F$25))/IF($C725="LT",Config!$G$13,Config!$G$25)))</f>
        <v/>
      </c>
    </row>
    <row r="726">
      <c r="A726" t="inlineStr">
        <is>
          <t>04D1526121395</t>
        </is>
      </c>
      <c r="B726" t="inlineStr">
        <is>
          <t>CRS0000674</t>
        </is>
      </c>
      <c r="C726" t="inlineStr">
        <is>
          <t>MT</t>
        </is>
      </c>
      <c r="D726" t="inlineStr">
        <is>
          <t>TCX413U-DS1B01</t>
        </is>
      </c>
      <c r="E726" s="2" t="n">
        <v>46127</v>
      </c>
      <c r="F726" t="inlineStr">
        <is>
          <t>Pass</t>
        </is>
      </c>
      <c r="G726" t="n">
        <v>117.8</v>
      </c>
      <c r="H726" t="n">
        <v>83.8</v>
      </c>
      <c r="I726" t="n">
        <v>-1957.8</v>
      </c>
      <c r="J726" t="n">
        <v>70.8</v>
      </c>
      <c r="K726" t="n">
        <v>0</v>
      </c>
      <c r="L726" t="n">
        <v>0.1</v>
      </c>
      <c r="M726" t="n">
        <v>0</v>
      </c>
      <c r="N726" t="n">
        <v>70.90000000000001</v>
      </c>
      <c r="O726" t="n">
        <v>112.3</v>
      </c>
      <c r="P726" t="n">
        <v>116.85</v>
      </c>
      <c r="Q726" t="n">
        <v>3.96</v>
      </c>
      <c r="R726" t="n">
        <v>3.98</v>
      </c>
      <c r="S726">
        <f>IF(OR(G726=0,G726=""),"",ABS((G726-IF($C726="LT",Config!$F$2,Config!$F$14))/IF($C726="LT",Config!$G$2,Config!$G$14)))</f>
        <v/>
      </c>
      <c r="T726">
        <f>IF(OR(H726=0,H726=""),"",ABS((H726-IF($C726="LT",Config!$F$3,Config!$F$15))/IF($C726="LT",Config!$G$3,Config!$G$15)))</f>
        <v/>
      </c>
      <c r="U726">
        <f>IF(OR(I726=0,I726=""),"",ABS((I726-IF($C726="LT",Config!$F$4,Config!$F$16))/IF($C726="LT",Config!$G$4,Config!$G$16)))</f>
        <v/>
      </c>
      <c r="V726">
        <f>IF(OR(J726=0,J726=""),"",ABS((J726-IF($C726="LT",Config!$F$5,Config!$F$17))/IF($C726="LT",Config!$G$5,Config!$G$17)))</f>
        <v/>
      </c>
      <c r="W726">
        <f>IF(OR(K726=0,K726=""),"",ABS((K726-IF($C726="LT",Config!$F$6,Config!$F$18))/IF($C726="LT",Config!$G$6,Config!$G$18)))</f>
        <v/>
      </c>
      <c r="X726">
        <f>IF(OR(L726=0,L726=""),"",ABS((L726-IF($C726="LT",Config!$F$7,Config!$F$19))/IF($C726="LT",Config!$G$7,Config!$G$19)))</f>
        <v/>
      </c>
      <c r="Y726">
        <f>IF(OR(M726=0,M726=""),"",ABS((M726-IF($C726="LT",Config!$F$8,Config!$F$20))/IF($C726="LT",Config!$G$8,Config!$G$20)))</f>
        <v/>
      </c>
      <c r="Z726">
        <f>IF(OR(N726=0,N726=""),"",ABS((N726-IF($C726="LT",Config!$F$9,Config!$F$21))/IF($C726="LT",Config!$G$9,Config!$G$21)))</f>
        <v/>
      </c>
      <c r="AA726">
        <f>IF(OR(O726=0,O726=""),"",ABS((O726-IF($C726="LT",Config!$F$10,Config!$F$22))/IF($C726="LT",Config!$G$10,Config!$G$22)))</f>
        <v/>
      </c>
      <c r="AB726">
        <f>IF(OR(P726=0,P726=""),"",ABS((P726-IF($C726="LT",Config!$F$11,Config!$F$23))/IF($C726="LT",Config!$G$11,Config!$G$23)))</f>
        <v/>
      </c>
      <c r="AC726">
        <f>IF(OR(Q726=0,Q726=""),"",ABS((Q726-IF($C726="LT",Config!$F$12,Config!$F$24))/IF($C726="LT",Config!$G$12,Config!$G$24)))</f>
        <v/>
      </c>
      <c r="AD726">
        <f>IF(OR(R726=0,R726=""),"",ABS((R726-IF($C726="LT",Config!$F$13,Config!$F$25))/IF($C726="LT",Config!$G$13,Config!$G$25)))</f>
        <v/>
      </c>
    </row>
    <row r="727">
      <c r="A727" t="inlineStr">
        <is>
          <t>04D1526121396</t>
        </is>
      </c>
      <c r="B727" t="inlineStr">
        <is>
          <t>CRS0000674</t>
        </is>
      </c>
      <c r="C727" t="inlineStr">
        <is>
          <t>MT</t>
        </is>
      </c>
      <c r="D727" t="inlineStr">
        <is>
          <t>TCX413U-DS1B01</t>
        </is>
      </c>
      <c r="E727" s="2" t="n">
        <v>46127</v>
      </c>
      <c r="F727" t="inlineStr">
        <is>
          <t>Pass</t>
        </is>
      </c>
      <c r="G727" t="n">
        <v>115.1</v>
      </c>
      <c r="H727" t="n">
        <v>82.5</v>
      </c>
      <c r="I727" t="n">
        <v>-1957.8</v>
      </c>
      <c r="J727" t="n">
        <v>71.3</v>
      </c>
      <c r="K727" t="n">
        <v>0</v>
      </c>
      <c r="L727" t="n">
        <v>1.1</v>
      </c>
      <c r="M727" t="n">
        <v>0</v>
      </c>
      <c r="N727" t="n">
        <v>70.2</v>
      </c>
      <c r="O727" t="n">
        <v>112.23</v>
      </c>
      <c r="P727" t="n">
        <v>116.34</v>
      </c>
      <c r="Q727" t="n">
        <v>3.93</v>
      </c>
      <c r="R727" t="n">
        <v>3.98</v>
      </c>
      <c r="S727">
        <f>IF(OR(G727=0,G727=""),"",ABS((G727-IF($C727="LT",Config!$F$2,Config!$F$14))/IF($C727="LT",Config!$G$2,Config!$G$14)))</f>
        <v/>
      </c>
      <c r="T727">
        <f>IF(OR(H727=0,H727=""),"",ABS((H727-IF($C727="LT",Config!$F$3,Config!$F$15))/IF($C727="LT",Config!$G$3,Config!$G$15)))</f>
        <v/>
      </c>
      <c r="U727">
        <f>IF(OR(I727=0,I727=""),"",ABS((I727-IF($C727="LT",Config!$F$4,Config!$F$16))/IF($C727="LT",Config!$G$4,Config!$G$16)))</f>
        <v/>
      </c>
      <c r="V727">
        <f>IF(OR(J727=0,J727=""),"",ABS((J727-IF($C727="LT",Config!$F$5,Config!$F$17))/IF($C727="LT",Config!$G$5,Config!$G$17)))</f>
        <v/>
      </c>
      <c r="W727">
        <f>IF(OR(K727=0,K727=""),"",ABS((K727-IF($C727="LT",Config!$F$6,Config!$F$18))/IF($C727="LT",Config!$G$6,Config!$G$18)))</f>
        <v/>
      </c>
      <c r="X727">
        <f>IF(OR(L727=0,L727=""),"",ABS((L727-IF($C727="LT",Config!$F$7,Config!$F$19))/IF($C727="LT",Config!$G$7,Config!$G$19)))</f>
        <v/>
      </c>
      <c r="Y727">
        <f>IF(OR(M727=0,M727=""),"",ABS((M727-IF($C727="LT",Config!$F$8,Config!$F$20))/IF($C727="LT",Config!$G$8,Config!$G$20)))</f>
        <v/>
      </c>
      <c r="Z727">
        <f>IF(OR(N727=0,N727=""),"",ABS((N727-IF($C727="LT",Config!$F$9,Config!$F$21))/IF($C727="LT",Config!$G$9,Config!$G$21)))</f>
        <v/>
      </c>
      <c r="AA727">
        <f>IF(OR(O727=0,O727=""),"",ABS((O727-IF($C727="LT",Config!$F$10,Config!$F$22))/IF($C727="LT",Config!$G$10,Config!$G$22)))</f>
        <v/>
      </c>
      <c r="AB727">
        <f>IF(OR(P727=0,P727=""),"",ABS((P727-IF($C727="LT",Config!$F$11,Config!$F$23))/IF($C727="LT",Config!$G$11,Config!$G$23)))</f>
        <v/>
      </c>
      <c r="AC727">
        <f>IF(OR(Q727=0,Q727=""),"",ABS((Q727-IF($C727="LT",Config!$F$12,Config!$F$24))/IF($C727="LT",Config!$G$12,Config!$G$24)))</f>
        <v/>
      </c>
      <c r="AD727">
        <f>IF(OR(R727=0,R727=""),"",ABS((R727-IF($C727="LT",Config!$F$13,Config!$F$25))/IF($C727="LT",Config!$G$13,Config!$G$25)))</f>
        <v/>
      </c>
    </row>
    <row r="728">
      <c r="A728" t="inlineStr">
        <is>
          <t>04D1526121397</t>
        </is>
      </c>
      <c r="B728" t="inlineStr">
        <is>
          <t>CRS0000674</t>
        </is>
      </c>
      <c r="C728" t="inlineStr">
        <is>
          <t>MT</t>
        </is>
      </c>
      <c r="D728" t="inlineStr">
        <is>
          <t>TCX413U-DS1B01</t>
        </is>
      </c>
      <c r="E728" s="2" t="n">
        <v>46127</v>
      </c>
      <c r="F728" t="inlineStr">
        <is>
          <t>Pass</t>
        </is>
      </c>
      <c r="G728" t="n">
        <v>117.3</v>
      </c>
      <c r="H728" t="n">
        <v>85.59999999999999</v>
      </c>
      <c r="I728" t="n">
        <v>-1957.8</v>
      </c>
      <c r="J728" t="n">
        <v>71.3</v>
      </c>
      <c r="K728" t="n">
        <v>0</v>
      </c>
      <c r="L728" t="n">
        <v>0.3</v>
      </c>
      <c r="M728" t="n">
        <v>0</v>
      </c>
      <c r="N728" t="n">
        <v>71</v>
      </c>
      <c r="O728" t="n">
        <v>111.57</v>
      </c>
      <c r="P728" t="n">
        <v>113.4</v>
      </c>
      <c r="Q728" t="n">
        <v>4.03</v>
      </c>
      <c r="R728" t="n">
        <v>4.08</v>
      </c>
      <c r="S728">
        <f>IF(OR(G728=0,G728=""),"",ABS((G728-IF($C728="LT",Config!$F$2,Config!$F$14))/IF($C728="LT",Config!$G$2,Config!$G$14)))</f>
        <v/>
      </c>
      <c r="T728">
        <f>IF(OR(H728=0,H728=""),"",ABS((H728-IF($C728="LT",Config!$F$3,Config!$F$15))/IF($C728="LT",Config!$G$3,Config!$G$15)))</f>
        <v/>
      </c>
      <c r="U728">
        <f>IF(OR(I728=0,I728=""),"",ABS((I728-IF($C728="LT",Config!$F$4,Config!$F$16))/IF($C728="LT",Config!$G$4,Config!$G$16)))</f>
        <v/>
      </c>
      <c r="V728">
        <f>IF(OR(J728=0,J728=""),"",ABS((J728-IF($C728="LT",Config!$F$5,Config!$F$17))/IF($C728="LT",Config!$G$5,Config!$G$17)))</f>
        <v/>
      </c>
      <c r="W728">
        <f>IF(OR(K728=0,K728=""),"",ABS((K728-IF($C728="LT",Config!$F$6,Config!$F$18))/IF($C728="LT",Config!$G$6,Config!$G$18)))</f>
        <v/>
      </c>
      <c r="X728">
        <f>IF(OR(L728=0,L728=""),"",ABS((L728-IF($C728="LT",Config!$F$7,Config!$F$19))/IF($C728="LT",Config!$G$7,Config!$G$19)))</f>
        <v/>
      </c>
      <c r="Y728">
        <f>IF(OR(M728=0,M728=""),"",ABS((M728-IF($C728="LT",Config!$F$8,Config!$F$20))/IF($C728="LT",Config!$G$8,Config!$G$20)))</f>
        <v/>
      </c>
      <c r="Z728">
        <f>IF(OR(N728=0,N728=""),"",ABS((N728-IF($C728="LT",Config!$F$9,Config!$F$21))/IF($C728="LT",Config!$G$9,Config!$G$21)))</f>
        <v/>
      </c>
      <c r="AA728">
        <f>IF(OR(O728=0,O728=""),"",ABS((O728-IF($C728="LT",Config!$F$10,Config!$F$22))/IF($C728="LT",Config!$G$10,Config!$G$22)))</f>
        <v/>
      </c>
      <c r="AB728">
        <f>IF(OR(P728=0,P728=""),"",ABS((P728-IF($C728="LT",Config!$F$11,Config!$F$23))/IF($C728="LT",Config!$G$11,Config!$G$23)))</f>
        <v/>
      </c>
      <c r="AC728">
        <f>IF(OR(Q728=0,Q728=""),"",ABS((Q728-IF($C728="LT",Config!$F$12,Config!$F$24))/IF($C728="LT",Config!$G$12,Config!$G$24)))</f>
        <v/>
      </c>
      <c r="AD728">
        <f>IF(OR(R728=0,R728=""),"",ABS((R728-IF($C728="LT",Config!$F$13,Config!$F$25))/IF($C728="LT",Config!$G$13,Config!$G$25)))</f>
        <v/>
      </c>
    </row>
    <row r="729">
      <c r="A729" t="inlineStr">
        <is>
          <t>04D1526121398</t>
        </is>
      </c>
      <c r="B729" t="inlineStr">
        <is>
          <t>CRS0000674</t>
        </is>
      </c>
      <c r="C729" t="inlineStr">
        <is>
          <t>MT</t>
        </is>
      </c>
      <c r="D729" t="inlineStr">
        <is>
          <t>TCX413U-DS1B01</t>
        </is>
      </c>
      <c r="E729" s="2" t="n">
        <v>46127</v>
      </c>
      <c r="F729" t="inlineStr">
        <is>
          <t>Fail</t>
        </is>
      </c>
      <c r="G729" t="n">
        <v>71.8</v>
      </c>
      <c r="H729" t="n">
        <v>84.3</v>
      </c>
      <c r="I729" t="n">
        <v>-1957.8</v>
      </c>
      <c r="J729" t="n">
        <v>71.7</v>
      </c>
      <c r="K729" t="n">
        <v>0</v>
      </c>
      <c r="L729" t="n">
        <v>0.3</v>
      </c>
      <c r="M729" t="n">
        <v>0</v>
      </c>
      <c r="N729" t="n">
        <v>71.40000000000001</v>
      </c>
      <c r="O729" t="n">
        <v>111.94</v>
      </c>
      <c r="P729" t="n">
        <v>113.33</v>
      </c>
      <c r="Q729" t="n">
        <v>3.96</v>
      </c>
      <c r="R729" t="n">
        <v>3.96</v>
      </c>
      <c r="S729">
        <f>IF(OR(G729=0,G729=""),"",ABS((G729-IF($C729="LT",Config!$F$2,Config!$F$14))/IF($C729="LT",Config!$G$2,Config!$G$14)))</f>
        <v/>
      </c>
      <c r="T729">
        <f>IF(OR(H729=0,H729=""),"",ABS((H729-IF($C729="LT",Config!$F$3,Config!$F$15))/IF($C729="LT",Config!$G$3,Config!$G$15)))</f>
        <v/>
      </c>
      <c r="U729">
        <f>IF(OR(I729=0,I729=""),"",ABS((I729-IF($C729="LT",Config!$F$4,Config!$F$16))/IF($C729="LT",Config!$G$4,Config!$G$16)))</f>
        <v/>
      </c>
      <c r="V729">
        <f>IF(OR(J729=0,J729=""),"",ABS((J729-IF($C729="LT",Config!$F$5,Config!$F$17))/IF($C729="LT",Config!$G$5,Config!$G$17)))</f>
        <v/>
      </c>
      <c r="W729">
        <f>IF(OR(K729=0,K729=""),"",ABS((K729-IF($C729="LT",Config!$F$6,Config!$F$18))/IF($C729="LT",Config!$G$6,Config!$G$18)))</f>
        <v/>
      </c>
      <c r="X729">
        <f>IF(OR(L729=0,L729=""),"",ABS((L729-IF($C729="LT",Config!$F$7,Config!$F$19))/IF($C729="LT",Config!$G$7,Config!$G$19)))</f>
        <v/>
      </c>
      <c r="Y729">
        <f>IF(OR(M729=0,M729=""),"",ABS((M729-IF($C729="LT",Config!$F$8,Config!$F$20))/IF($C729="LT",Config!$G$8,Config!$G$20)))</f>
        <v/>
      </c>
      <c r="Z729">
        <f>IF(OR(N729=0,N729=""),"",ABS((N729-IF($C729="LT",Config!$F$9,Config!$F$21))/IF($C729="LT",Config!$G$9,Config!$G$21)))</f>
        <v/>
      </c>
      <c r="AA729">
        <f>IF(OR(O729=0,O729=""),"",ABS((O729-IF($C729="LT",Config!$F$10,Config!$F$22))/IF($C729="LT",Config!$G$10,Config!$G$22)))</f>
        <v/>
      </c>
      <c r="AB729">
        <f>IF(OR(P729=0,P729=""),"",ABS((P729-IF($C729="LT",Config!$F$11,Config!$F$23))/IF($C729="LT",Config!$G$11,Config!$G$23)))</f>
        <v/>
      </c>
      <c r="AC729">
        <f>IF(OR(Q729=0,Q729=""),"",ABS((Q729-IF($C729="LT",Config!$F$12,Config!$F$24))/IF($C729="LT",Config!$G$12,Config!$G$24)))</f>
        <v/>
      </c>
      <c r="AD729">
        <f>IF(OR(R729=0,R729=""),"",ABS((R729-IF($C729="LT",Config!$F$13,Config!$F$25))/IF($C729="LT",Config!$G$13,Config!$G$25)))</f>
        <v/>
      </c>
    </row>
    <row r="730">
      <c r="A730" t="inlineStr">
        <is>
          <t>04D1526121398</t>
        </is>
      </c>
      <c r="B730" t="inlineStr">
        <is>
          <t>CRS0000674</t>
        </is>
      </c>
      <c r="C730" t="inlineStr">
        <is>
          <t>MT</t>
        </is>
      </c>
      <c r="D730" t="inlineStr">
        <is>
          <t>TCX413U-DS1B01</t>
        </is>
      </c>
      <c r="E730" s="2" t="n">
        <v>46127</v>
      </c>
      <c r="F730" t="inlineStr">
        <is>
          <t>Pass</t>
        </is>
      </c>
      <c r="G730" t="n">
        <v>120</v>
      </c>
      <c r="H730" t="n">
        <v>83.8</v>
      </c>
      <c r="I730" t="n">
        <v>-1957.8</v>
      </c>
      <c r="J730" t="n">
        <v>71.7</v>
      </c>
      <c r="K730" t="n">
        <v>0</v>
      </c>
      <c r="L730" t="n">
        <v>0.8</v>
      </c>
      <c r="M730" t="n">
        <v>0</v>
      </c>
      <c r="N730" t="n">
        <v>70.90000000000001</v>
      </c>
      <c r="O730" t="n">
        <v>111.94</v>
      </c>
      <c r="P730" t="n">
        <v>113.4</v>
      </c>
      <c r="Q730" t="n">
        <v>3.98</v>
      </c>
      <c r="R730" t="n">
        <v>3.98</v>
      </c>
      <c r="S730">
        <f>IF(OR(G730=0,G730=""),"",ABS((G730-IF($C730="LT",Config!$F$2,Config!$F$14))/IF($C730="LT",Config!$G$2,Config!$G$14)))</f>
        <v/>
      </c>
      <c r="T730">
        <f>IF(OR(H730=0,H730=""),"",ABS((H730-IF($C730="LT",Config!$F$3,Config!$F$15))/IF($C730="LT",Config!$G$3,Config!$G$15)))</f>
        <v/>
      </c>
      <c r="U730">
        <f>IF(OR(I730=0,I730=""),"",ABS((I730-IF($C730="LT",Config!$F$4,Config!$F$16))/IF($C730="LT",Config!$G$4,Config!$G$16)))</f>
        <v/>
      </c>
      <c r="V730">
        <f>IF(OR(J730=0,J730=""),"",ABS((J730-IF($C730="LT",Config!$F$5,Config!$F$17))/IF($C730="LT",Config!$G$5,Config!$G$17)))</f>
        <v/>
      </c>
      <c r="W730">
        <f>IF(OR(K730=0,K730=""),"",ABS((K730-IF($C730="LT",Config!$F$6,Config!$F$18))/IF($C730="LT",Config!$G$6,Config!$G$18)))</f>
        <v/>
      </c>
      <c r="X730">
        <f>IF(OR(L730=0,L730=""),"",ABS((L730-IF($C730="LT",Config!$F$7,Config!$F$19))/IF($C730="LT",Config!$G$7,Config!$G$19)))</f>
        <v/>
      </c>
      <c r="Y730">
        <f>IF(OR(M730=0,M730=""),"",ABS((M730-IF($C730="LT",Config!$F$8,Config!$F$20))/IF($C730="LT",Config!$G$8,Config!$G$20)))</f>
        <v/>
      </c>
      <c r="Z730">
        <f>IF(OR(N730=0,N730=""),"",ABS((N730-IF($C730="LT",Config!$F$9,Config!$F$21))/IF($C730="LT",Config!$G$9,Config!$G$21)))</f>
        <v/>
      </c>
      <c r="AA730">
        <f>IF(OR(O730=0,O730=""),"",ABS((O730-IF($C730="LT",Config!$F$10,Config!$F$22))/IF($C730="LT",Config!$G$10,Config!$G$22)))</f>
        <v/>
      </c>
      <c r="AB730">
        <f>IF(OR(P730=0,P730=""),"",ABS((P730-IF($C730="LT",Config!$F$11,Config!$F$23))/IF($C730="LT",Config!$G$11,Config!$G$23)))</f>
        <v/>
      </c>
      <c r="AC730">
        <f>IF(OR(Q730=0,Q730=""),"",ABS((Q730-IF($C730="LT",Config!$F$12,Config!$F$24))/IF($C730="LT",Config!$G$12,Config!$G$24)))</f>
        <v/>
      </c>
      <c r="AD730">
        <f>IF(OR(R730=0,R730=""),"",ABS((R730-IF($C730="LT",Config!$F$13,Config!$F$25))/IF($C730="LT",Config!$G$13,Config!$G$25)))</f>
        <v/>
      </c>
    </row>
    <row r="731">
      <c r="A731" t="inlineStr">
        <is>
          <t>04D1526121399</t>
        </is>
      </c>
      <c r="B731" t="inlineStr">
        <is>
          <t>CRS0000674</t>
        </is>
      </c>
      <c r="C731" t="inlineStr">
        <is>
          <t>MT</t>
        </is>
      </c>
      <c r="D731" t="inlineStr">
        <is>
          <t>TCX413U-DS1B01</t>
        </is>
      </c>
      <c r="E731" s="2" t="n">
        <v>46127</v>
      </c>
      <c r="F731" t="inlineStr">
        <is>
          <t>Pass</t>
        </is>
      </c>
      <c r="G731" t="n">
        <v>113.3</v>
      </c>
      <c r="H731" t="n">
        <v>82.5</v>
      </c>
      <c r="I731" t="n">
        <v>-1957.8</v>
      </c>
      <c r="J731" t="n">
        <v>72.2</v>
      </c>
      <c r="K731" t="n">
        <v>0</v>
      </c>
      <c r="L731" t="n">
        <v>0.8</v>
      </c>
      <c r="M731" t="n">
        <v>0</v>
      </c>
      <c r="N731" t="n">
        <v>71.40000000000001</v>
      </c>
      <c r="O731" t="n">
        <v>111.94</v>
      </c>
      <c r="P731" t="n">
        <v>113.55</v>
      </c>
      <c r="Q731" t="n">
        <v>4.1</v>
      </c>
      <c r="R731" t="n">
        <v>4.13</v>
      </c>
      <c r="S731">
        <f>IF(OR(G731=0,G731=""),"",ABS((G731-IF($C731="LT",Config!$F$2,Config!$F$14))/IF($C731="LT",Config!$G$2,Config!$G$14)))</f>
        <v/>
      </c>
      <c r="T731">
        <f>IF(OR(H731=0,H731=""),"",ABS((H731-IF($C731="LT",Config!$F$3,Config!$F$15))/IF($C731="LT",Config!$G$3,Config!$G$15)))</f>
        <v/>
      </c>
      <c r="U731">
        <f>IF(OR(I731=0,I731=""),"",ABS((I731-IF($C731="LT",Config!$F$4,Config!$F$16))/IF($C731="LT",Config!$G$4,Config!$G$16)))</f>
        <v/>
      </c>
      <c r="V731">
        <f>IF(OR(J731=0,J731=""),"",ABS((J731-IF($C731="LT",Config!$F$5,Config!$F$17))/IF($C731="LT",Config!$G$5,Config!$G$17)))</f>
        <v/>
      </c>
      <c r="W731">
        <f>IF(OR(K731=0,K731=""),"",ABS((K731-IF($C731="LT",Config!$F$6,Config!$F$18))/IF($C731="LT",Config!$G$6,Config!$G$18)))</f>
        <v/>
      </c>
      <c r="X731">
        <f>IF(OR(L731=0,L731=""),"",ABS((L731-IF($C731="LT",Config!$F$7,Config!$F$19))/IF($C731="LT",Config!$G$7,Config!$G$19)))</f>
        <v/>
      </c>
      <c r="Y731">
        <f>IF(OR(M731=0,M731=""),"",ABS((M731-IF($C731="LT",Config!$F$8,Config!$F$20))/IF($C731="LT",Config!$G$8,Config!$G$20)))</f>
        <v/>
      </c>
      <c r="Z731">
        <f>IF(OR(N731=0,N731=""),"",ABS((N731-IF($C731="LT",Config!$F$9,Config!$F$21))/IF($C731="LT",Config!$G$9,Config!$G$21)))</f>
        <v/>
      </c>
      <c r="AA731">
        <f>IF(OR(O731=0,O731=""),"",ABS((O731-IF($C731="LT",Config!$F$10,Config!$F$22))/IF($C731="LT",Config!$G$10,Config!$G$22)))</f>
        <v/>
      </c>
      <c r="AB731">
        <f>IF(OR(P731=0,P731=""),"",ABS((P731-IF($C731="LT",Config!$F$11,Config!$F$23))/IF($C731="LT",Config!$G$11,Config!$G$23)))</f>
        <v/>
      </c>
      <c r="AC731">
        <f>IF(OR(Q731=0,Q731=""),"",ABS((Q731-IF($C731="LT",Config!$F$12,Config!$F$24))/IF($C731="LT",Config!$G$12,Config!$G$24)))</f>
        <v/>
      </c>
      <c r="AD731">
        <f>IF(OR(R731=0,R731=""),"",ABS((R731-IF($C731="LT",Config!$F$13,Config!$F$25))/IF($C731="LT",Config!$G$13,Config!$G$25)))</f>
        <v/>
      </c>
    </row>
    <row r="732">
      <c r="A732" t="inlineStr">
        <is>
          <t>04D1526121400</t>
        </is>
      </c>
      <c r="B732" t="inlineStr">
        <is>
          <t>CRS0000674</t>
        </is>
      </c>
      <c r="C732" t="inlineStr">
        <is>
          <t>MT</t>
        </is>
      </c>
      <c r="D732" t="inlineStr">
        <is>
          <t>TCX413U-DS1B01</t>
        </is>
      </c>
      <c r="E732" s="2" t="n">
        <v>46127</v>
      </c>
      <c r="F732" t="inlineStr">
        <is>
          <t>Pass</t>
        </is>
      </c>
      <c r="G732" t="n">
        <v>109.3</v>
      </c>
      <c r="H732" t="n">
        <v>82.90000000000001</v>
      </c>
      <c r="I732" t="n">
        <v>-1957.8</v>
      </c>
      <c r="J732" t="n">
        <v>72.2</v>
      </c>
      <c r="K732" t="n">
        <v>0</v>
      </c>
      <c r="L732" t="n">
        <v>0.4</v>
      </c>
      <c r="M732" t="n">
        <v>0</v>
      </c>
      <c r="N732" t="n">
        <v>71.8</v>
      </c>
      <c r="O732" t="n">
        <v>115.09</v>
      </c>
      <c r="P732" t="n">
        <v>115.16</v>
      </c>
      <c r="Q732" t="n">
        <v>4.05</v>
      </c>
      <c r="R732" t="n">
        <v>4.1</v>
      </c>
      <c r="S732">
        <f>IF(OR(G732=0,G732=""),"",ABS((G732-IF($C732="LT",Config!$F$2,Config!$F$14))/IF($C732="LT",Config!$G$2,Config!$G$14)))</f>
        <v/>
      </c>
      <c r="T732">
        <f>IF(OR(H732=0,H732=""),"",ABS((H732-IF($C732="LT",Config!$F$3,Config!$F$15))/IF($C732="LT",Config!$G$3,Config!$G$15)))</f>
        <v/>
      </c>
      <c r="U732">
        <f>IF(OR(I732=0,I732=""),"",ABS((I732-IF($C732="LT",Config!$F$4,Config!$F$16))/IF($C732="LT",Config!$G$4,Config!$G$16)))</f>
        <v/>
      </c>
      <c r="V732">
        <f>IF(OR(J732=0,J732=""),"",ABS((J732-IF($C732="LT",Config!$F$5,Config!$F$17))/IF($C732="LT",Config!$G$5,Config!$G$17)))</f>
        <v/>
      </c>
      <c r="W732">
        <f>IF(OR(K732=0,K732=""),"",ABS((K732-IF($C732="LT",Config!$F$6,Config!$F$18))/IF($C732="LT",Config!$G$6,Config!$G$18)))</f>
        <v/>
      </c>
      <c r="X732">
        <f>IF(OR(L732=0,L732=""),"",ABS((L732-IF($C732="LT",Config!$F$7,Config!$F$19))/IF($C732="LT",Config!$G$7,Config!$G$19)))</f>
        <v/>
      </c>
      <c r="Y732">
        <f>IF(OR(M732=0,M732=""),"",ABS((M732-IF($C732="LT",Config!$F$8,Config!$F$20))/IF($C732="LT",Config!$G$8,Config!$G$20)))</f>
        <v/>
      </c>
      <c r="Z732">
        <f>IF(OR(N732=0,N732=""),"",ABS((N732-IF($C732="LT",Config!$F$9,Config!$F$21))/IF($C732="LT",Config!$G$9,Config!$G$21)))</f>
        <v/>
      </c>
      <c r="AA732">
        <f>IF(OR(O732=0,O732=""),"",ABS((O732-IF($C732="LT",Config!$F$10,Config!$F$22))/IF($C732="LT",Config!$G$10,Config!$G$22)))</f>
        <v/>
      </c>
      <c r="AB732">
        <f>IF(OR(P732=0,P732=""),"",ABS((P732-IF($C732="LT",Config!$F$11,Config!$F$23))/IF($C732="LT",Config!$G$11,Config!$G$23)))</f>
        <v/>
      </c>
      <c r="AC732">
        <f>IF(OR(Q732=0,Q732=""),"",ABS((Q732-IF($C732="LT",Config!$F$12,Config!$F$24))/IF($C732="LT",Config!$G$12,Config!$G$24)))</f>
        <v/>
      </c>
      <c r="AD732">
        <f>IF(OR(R732=0,R732=""),"",ABS((R732-IF($C732="LT",Config!$F$13,Config!$F$25))/IF($C732="LT",Config!$G$13,Config!$G$25)))</f>
        <v/>
      </c>
    </row>
    <row r="733">
      <c r="A733" t="inlineStr">
        <is>
          <t>04D1526121401</t>
        </is>
      </c>
      <c r="B733" t="inlineStr">
        <is>
          <t>CRS0000674</t>
        </is>
      </c>
      <c r="C733" t="inlineStr">
        <is>
          <t>MT</t>
        </is>
      </c>
      <c r="D733" t="inlineStr">
        <is>
          <t>TCX413U-DS1B01</t>
        </is>
      </c>
      <c r="E733" s="2" t="n">
        <v>46127</v>
      </c>
      <c r="F733" t="inlineStr">
        <is>
          <t>Fail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>
        <f>IF(OR(G733=0,G733=""),"",ABS((G733-IF($C733="LT",Config!$F$2,Config!$F$14))/IF($C733="LT",Config!$G$2,Config!$G$14)))</f>
        <v/>
      </c>
      <c r="T733">
        <f>IF(OR(H733=0,H733=""),"",ABS((H733-IF($C733="LT",Config!$F$3,Config!$F$15))/IF($C733="LT",Config!$G$3,Config!$G$15)))</f>
        <v/>
      </c>
      <c r="U733">
        <f>IF(OR(I733=0,I733=""),"",ABS((I733-IF($C733="LT",Config!$F$4,Config!$F$16))/IF($C733="LT",Config!$G$4,Config!$G$16)))</f>
        <v/>
      </c>
      <c r="V733">
        <f>IF(OR(J733=0,J733=""),"",ABS((J733-IF($C733="LT",Config!$F$5,Config!$F$17))/IF($C733="LT",Config!$G$5,Config!$G$17)))</f>
        <v/>
      </c>
      <c r="W733">
        <f>IF(OR(K733=0,K733=""),"",ABS((K733-IF($C733="LT",Config!$F$6,Config!$F$18))/IF($C733="LT",Config!$G$6,Config!$G$18)))</f>
        <v/>
      </c>
      <c r="X733">
        <f>IF(OR(L733=0,L733=""),"",ABS((L733-IF($C733="LT",Config!$F$7,Config!$F$19))/IF($C733="LT",Config!$G$7,Config!$G$19)))</f>
        <v/>
      </c>
      <c r="Y733">
        <f>IF(OR(M733=0,M733=""),"",ABS((M733-IF($C733="LT",Config!$F$8,Config!$F$20))/IF($C733="LT",Config!$G$8,Config!$G$20)))</f>
        <v/>
      </c>
      <c r="Z733">
        <f>IF(OR(N733=0,N733=""),"",ABS((N733-IF($C733="LT",Config!$F$9,Config!$F$21))/IF($C733="LT",Config!$G$9,Config!$G$21)))</f>
        <v/>
      </c>
      <c r="AA733">
        <f>IF(OR(O733=0,O733=""),"",ABS((O733-IF($C733="LT",Config!$F$10,Config!$F$22))/IF($C733="LT",Config!$G$10,Config!$G$22)))</f>
        <v/>
      </c>
      <c r="AB733">
        <f>IF(OR(P733=0,P733=""),"",ABS((P733-IF($C733="LT",Config!$F$11,Config!$F$23))/IF($C733="LT",Config!$G$11,Config!$G$23)))</f>
        <v/>
      </c>
      <c r="AC733">
        <f>IF(OR(Q733=0,Q733=""),"",ABS((Q733-IF($C733="LT",Config!$F$12,Config!$F$24))/IF($C733="LT",Config!$G$12,Config!$G$24)))</f>
        <v/>
      </c>
      <c r="AD733">
        <f>IF(OR(R733=0,R733=""),"",ABS((R733-IF($C733="LT",Config!$F$13,Config!$F$25))/IF($C733="LT",Config!$G$13,Config!$G$25)))</f>
        <v/>
      </c>
    </row>
    <row r="734">
      <c r="A734" t="inlineStr">
        <is>
          <t>04D1526121401</t>
        </is>
      </c>
      <c r="B734" t="inlineStr">
        <is>
          <t>CRS0000674</t>
        </is>
      </c>
      <c r="C734" t="inlineStr">
        <is>
          <t>MT</t>
        </is>
      </c>
      <c r="D734" t="inlineStr">
        <is>
          <t>TCX413U-DS1B01</t>
        </is>
      </c>
      <c r="E734" s="2" t="n">
        <v>46127</v>
      </c>
      <c r="F734" t="inlineStr">
        <is>
          <t>Fail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>
        <f>IF(OR(G734=0,G734=""),"",ABS((G734-IF($C734="LT",Config!$F$2,Config!$F$14))/IF($C734="LT",Config!$G$2,Config!$G$14)))</f>
        <v/>
      </c>
      <c r="T734">
        <f>IF(OR(H734=0,H734=""),"",ABS((H734-IF($C734="LT",Config!$F$3,Config!$F$15))/IF($C734="LT",Config!$G$3,Config!$G$15)))</f>
        <v/>
      </c>
      <c r="U734">
        <f>IF(OR(I734=0,I734=""),"",ABS((I734-IF($C734="LT",Config!$F$4,Config!$F$16))/IF($C734="LT",Config!$G$4,Config!$G$16)))</f>
        <v/>
      </c>
      <c r="V734">
        <f>IF(OR(J734=0,J734=""),"",ABS((J734-IF($C734="LT",Config!$F$5,Config!$F$17))/IF($C734="LT",Config!$G$5,Config!$G$17)))</f>
        <v/>
      </c>
      <c r="W734">
        <f>IF(OR(K734=0,K734=""),"",ABS((K734-IF($C734="LT",Config!$F$6,Config!$F$18))/IF($C734="LT",Config!$G$6,Config!$G$18)))</f>
        <v/>
      </c>
      <c r="X734">
        <f>IF(OR(L734=0,L734=""),"",ABS((L734-IF($C734="LT",Config!$F$7,Config!$F$19))/IF($C734="LT",Config!$G$7,Config!$G$19)))</f>
        <v/>
      </c>
      <c r="Y734">
        <f>IF(OR(M734=0,M734=""),"",ABS((M734-IF($C734="LT",Config!$F$8,Config!$F$20))/IF($C734="LT",Config!$G$8,Config!$G$20)))</f>
        <v/>
      </c>
      <c r="Z734">
        <f>IF(OR(N734=0,N734=""),"",ABS((N734-IF($C734="LT",Config!$F$9,Config!$F$21))/IF($C734="LT",Config!$G$9,Config!$G$21)))</f>
        <v/>
      </c>
      <c r="AA734">
        <f>IF(OR(O734=0,O734=""),"",ABS((O734-IF($C734="LT",Config!$F$10,Config!$F$22))/IF($C734="LT",Config!$G$10,Config!$G$22)))</f>
        <v/>
      </c>
      <c r="AB734">
        <f>IF(OR(P734=0,P734=""),"",ABS((P734-IF($C734="LT",Config!$F$11,Config!$F$23))/IF($C734="LT",Config!$G$11,Config!$G$23)))</f>
        <v/>
      </c>
      <c r="AC734">
        <f>IF(OR(Q734=0,Q734=""),"",ABS((Q734-IF($C734="LT",Config!$F$12,Config!$F$24))/IF($C734="LT",Config!$G$12,Config!$G$24)))</f>
        <v/>
      </c>
      <c r="AD734">
        <f>IF(OR(R734=0,R734=""),"",ABS((R734-IF($C734="LT",Config!$F$13,Config!$F$25))/IF($C734="LT",Config!$G$13,Config!$G$25)))</f>
        <v/>
      </c>
    </row>
    <row r="735">
      <c r="A735" t="inlineStr">
        <is>
          <t>04D1526121401</t>
        </is>
      </c>
      <c r="B735" t="inlineStr">
        <is>
          <t>CRS0000674</t>
        </is>
      </c>
      <c r="C735" t="inlineStr">
        <is>
          <t>MT</t>
        </is>
      </c>
      <c r="D735" t="inlineStr">
        <is>
          <t>TCX413U-DS1B01</t>
        </is>
      </c>
      <c r="E735" s="2" t="n">
        <v>46127</v>
      </c>
      <c r="F735" t="inlineStr">
        <is>
          <t>Fail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>
        <f>IF(OR(G735=0,G735=""),"",ABS((G735-IF($C735="LT",Config!$F$2,Config!$F$14))/IF($C735="LT",Config!$G$2,Config!$G$14)))</f>
        <v/>
      </c>
      <c r="T735">
        <f>IF(OR(H735=0,H735=""),"",ABS((H735-IF($C735="LT",Config!$F$3,Config!$F$15))/IF($C735="LT",Config!$G$3,Config!$G$15)))</f>
        <v/>
      </c>
      <c r="U735">
        <f>IF(OR(I735=0,I735=""),"",ABS((I735-IF($C735="LT",Config!$F$4,Config!$F$16))/IF($C735="LT",Config!$G$4,Config!$G$16)))</f>
        <v/>
      </c>
      <c r="V735">
        <f>IF(OR(J735=0,J735=""),"",ABS((J735-IF($C735="LT",Config!$F$5,Config!$F$17))/IF($C735="LT",Config!$G$5,Config!$G$17)))</f>
        <v/>
      </c>
      <c r="W735">
        <f>IF(OR(K735=0,K735=""),"",ABS((K735-IF($C735="LT",Config!$F$6,Config!$F$18))/IF($C735="LT",Config!$G$6,Config!$G$18)))</f>
        <v/>
      </c>
      <c r="X735">
        <f>IF(OR(L735=0,L735=""),"",ABS((L735-IF($C735="LT",Config!$F$7,Config!$F$19))/IF($C735="LT",Config!$G$7,Config!$G$19)))</f>
        <v/>
      </c>
      <c r="Y735">
        <f>IF(OR(M735=0,M735=""),"",ABS((M735-IF($C735="LT",Config!$F$8,Config!$F$20))/IF($C735="LT",Config!$G$8,Config!$G$20)))</f>
        <v/>
      </c>
      <c r="Z735">
        <f>IF(OR(N735=0,N735=""),"",ABS((N735-IF($C735="LT",Config!$F$9,Config!$F$21))/IF($C735="LT",Config!$G$9,Config!$G$21)))</f>
        <v/>
      </c>
      <c r="AA735">
        <f>IF(OR(O735=0,O735=""),"",ABS((O735-IF($C735="LT",Config!$F$10,Config!$F$22))/IF($C735="LT",Config!$G$10,Config!$G$22)))</f>
        <v/>
      </c>
      <c r="AB735">
        <f>IF(OR(P735=0,P735=""),"",ABS((P735-IF($C735="LT",Config!$F$11,Config!$F$23))/IF($C735="LT",Config!$G$11,Config!$G$23)))</f>
        <v/>
      </c>
      <c r="AC735">
        <f>IF(OR(Q735=0,Q735=""),"",ABS((Q735-IF($C735="LT",Config!$F$12,Config!$F$24))/IF($C735="LT",Config!$G$12,Config!$G$24)))</f>
        <v/>
      </c>
      <c r="AD735">
        <f>IF(OR(R735=0,R735=""),"",ABS((R735-IF($C735="LT",Config!$F$13,Config!$F$25))/IF($C735="LT",Config!$G$13,Config!$G$25)))</f>
        <v/>
      </c>
    </row>
    <row r="736">
      <c r="A736" t="inlineStr">
        <is>
          <t>04D1526121402</t>
        </is>
      </c>
      <c r="B736" t="inlineStr">
        <is>
          <t>CRS0000674</t>
        </is>
      </c>
      <c r="C736" t="inlineStr">
        <is>
          <t>MT</t>
        </is>
      </c>
      <c r="D736" t="inlineStr">
        <is>
          <t>TCX413U-DS1B01</t>
        </is>
      </c>
      <c r="E736" s="2" t="n">
        <v>46127</v>
      </c>
      <c r="F736" t="inlineStr">
        <is>
          <t>Fail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>
        <f>IF(OR(G736=0,G736=""),"",ABS((G736-IF($C736="LT",Config!$F$2,Config!$F$14))/IF($C736="LT",Config!$G$2,Config!$G$14)))</f>
        <v/>
      </c>
      <c r="T736">
        <f>IF(OR(H736=0,H736=""),"",ABS((H736-IF($C736="LT",Config!$F$3,Config!$F$15))/IF($C736="LT",Config!$G$3,Config!$G$15)))</f>
        <v/>
      </c>
      <c r="U736">
        <f>IF(OR(I736=0,I736=""),"",ABS((I736-IF($C736="LT",Config!$F$4,Config!$F$16))/IF($C736="LT",Config!$G$4,Config!$G$16)))</f>
        <v/>
      </c>
      <c r="V736">
        <f>IF(OR(J736=0,J736=""),"",ABS((J736-IF($C736="LT",Config!$F$5,Config!$F$17))/IF($C736="LT",Config!$G$5,Config!$G$17)))</f>
        <v/>
      </c>
      <c r="W736">
        <f>IF(OR(K736=0,K736=""),"",ABS((K736-IF($C736="LT",Config!$F$6,Config!$F$18))/IF($C736="LT",Config!$G$6,Config!$G$18)))</f>
        <v/>
      </c>
      <c r="X736">
        <f>IF(OR(L736=0,L736=""),"",ABS((L736-IF($C736="LT",Config!$F$7,Config!$F$19))/IF($C736="LT",Config!$G$7,Config!$G$19)))</f>
        <v/>
      </c>
      <c r="Y736">
        <f>IF(OR(M736=0,M736=""),"",ABS((M736-IF($C736="LT",Config!$F$8,Config!$F$20))/IF($C736="LT",Config!$G$8,Config!$G$20)))</f>
        <v/>
      </c>
      <c r="Z736">
        <f>IF(OR(N736=0,N736=""),"",ABS((N736-IF($C736="LT",Config!$F$9,Config!$F$21))/IF($C736="LT",Config!$G$9,Config!$G$21)))</f>
        <v/>
      </c>
      <c r="AA736">
        <f>IF(OR(O736=0,O736=""),"",ABS((O736-IF($C736="LT",Config!$F$10,Config!$F$22))/IF($C736="LT",Config!$G$10,Config!$G$22)))</f>
        <v/>
      </c>
      <c r="AB736">
        <f>IF(OR(P736=0,P736=""),"",ABS((P736-IF($C736="LT",Config!$F$11,Config!$F$23))/IF($C736="LT",Config!$G$11,Config!$G$23)))</f>
        <v/>
      </c>
      <c r="AC736">
        <f>IF(OR(Q736=0,Q736=""),"",ABS((Q736-IF($C736="LT",Config!$F$12,Config!$F$24))/IF($C736="LT",Config!$G$12,Config!$G$24)))</f>
        <v/>
      </c>
      <c r="AD736">
        <f>IF(OR(R736=0,R736=""),"",ABS((R736-IF($C736="LT",Config!$F$13,Config!$F$25))/IF($C736="LT",Config!$G$13,Config!$G$25)))</f>
        <v/>
      </c>
    </row>
    <row r="737">
      <c r="A737" t="inlineStr">
        <is>
          <t>04D1526121402</t>
        </is>
      </c>
      <c r="B737" t="inlineStr">
        <is>
          <t>CRS0000674</t>
        </is>
      </c>
      <c r="C737" t="inlineStr">
        <is>
          <t>MT</t>
        </is>
      </c>
      <c r="D737" t="inlineStr">
        <is>
          <t>TCX413U-DS1B01</t>
        </is>
      </c>
      <c r="E737" s="2" t="n">
        <v>46127</v>
      </c>
      <c r="F737" t="inlineStr">
        <is>
          <t>Fail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>
        <f>IF(OR(G737=0,G737=""),"",ABS((G737-IF($C737="LT",Config!$F$2,Config!$F$14))/IF($C737="LT",Config!$G$2,Config!$G$14)))</f>
        <v/>
      </c>
      <c r="T737">
        <f>IF(OR(H737=0,H737=""),"",ABS((H737-IF($C737="LT",Config!$F$3,Config!$F$15))/IF($C737="LT",Config!$G$3,Config!$G$15)))</f>
        <v/>
      </c>
      <c r="U737">
        <f>IF(OR(I737=0,I737=""),"",ABS((I737-IF($C737="LT",Config!$F$4,Config!$F$16))/IF($C737="LT",Config!$G$4,Config!$G$16)))</f>
        <v/>
      </c>
      <c r="V737">
        <f>IF(OR(J737=0,J737=""),"",ABS((J737-IF($C737="LT",Config!$F$5,Config!$F$17))/IF($C737="LT",Config!$G$5,Config!$G$17)))</f>
        <v/>
      </c>
      <c r="W737">
        <f>IF(OR(K737=0,K737=""),"",ABS((K737-IF($C737="LT",Config!$F$6,Config!$F$18))/IF($C737="LT",Config!$G$6,Config!$G$18)))</f>
        <v/>
      </c>
      <c r="X737">
        <f>IF(OR(L737=0,L737=""),"",ABS((L737-IF($C737="LT",Config!$F$7,Config!$F$19))/IF($C737="LT",Config!$G$7,Config!$G$19)))</f>
        <v/>
      </c>
      <c r="Y737">
        <f>IF(OR(M737=0,M737=""),"",ABS((M737-IF($C737="LT",Config!$F$8,Config!$F$20))/IF($C737="LT",Config!$G$8,Config!$G$20)))</f>
        <v/>
      </c>
      <c r="Z737">
        <f>IF(OR(N737=0,N737=""),"",ABS((N737-IF($C737="LT",Config!$F$9,Config!$F$21))/IF($C737="LT",Config!$G$9,Config!$G$21)))</f>
        <v/>
      </c>
      <c r="AA737">
        <f>IF(OR(O737=0,O737=""),"",ABS((O737-IF($C737="LT",Config!$F$10,Config!$F$22))/IF($C737="LT",Config!$G$10,Config!$G$22)))</f>
        <v/>
      </c>
      <c r="AB737">
        <f>IF(OR(P737=0,P737=""),"",ABS((P737-IF($C737="LT",Config!$F$11,Config!$F$23))/IF($C737="LT",Config!$G$11,Config!$G$23)))</f>
        <v/>
      </c>
      <c r="AC737">
        <f>IF(OR(Q737=0,Q737=""),"",ABS((Q737-IF($C737="LT",Config!$F$12,Config!$F$24))/IF($C737="LT",Config!$G$12,Config!$G$24)))</f>
        <v/>
      </c>
      <c r="AD737">
        <f>IF(OR(R737=0,R737=""),"",ABS((R737-IF($C737="LT",Config!$F$13,Config!$F$25))/IF($C737="LT",Config!$G$13,Config!$G$25)))</f>
        <v/>
      </c>
    </row>
    <row r="738">
      <c r="A738" t="inlineStr">
        <is>
          <t>04D1526121402</t>
        </is>
      </c>
      <c r="B738" t="inlineStr">
        <is>
          <t>CRS0000674</t>
        </is>
      </c>
      <c r="C738" t="inlineStr">
        <is>
          <t>MT</t>
        </is>
      </c>
      <c r="D738" t="inlineStr">
        <is>
          <t>TCX413U-DS1B01</t>
        </is>
      </c>
      <c r="E738" s="2" t="n">
        <v>46127</v>
      </c>
      <c r="F738" t="inlineStr">
        <is>
          <t>Fail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>
        <f>IF(OR(G738=0,G738=""),"",ABS((G738-IF($C738="LT",Config!$F$2,Config!$F$14))/IF($C738="LT",Config!$G$2,Config!$G$14)))</f>
        <v/>
      </c>
      <c r="T738">
        <f>IF(OR(H738=0,H738=""),"",ABS((H738-IF($C738="LT",Config!$F$3,Config!$F$15))/IF($C738="LT",Config!$G$3,Config!$G$15)))</f>
        <v/>
      </c>
      <c r="U738">
        <f>IF(OR(I738=0,I738=""),"",ABS((I738-IF($C738="LT",Config!$F$4,Config!$F$16))/IF($C738="LT",Config!$G$4,Config!$G$16)))</f>
        <v/>
      </c>
      <c r="V738">
        <f>IF(OR(J738=0,J738=""),"",ABS((J738-IF($C738="LT",Config!$F$5,Config!$F$17))/IF($C738="LT",Config!$G$5,Config!$G$17)))</f>
        <v/>
      </c>
      <c r="W738">
        <f>IF(OR(K738=0,K738=""),"",ABS((K738-IF($C738="LT",Config!$F$6,Config!$F$18))/IF($C738="LT",Config!$G$6,Config!$G$18)))</f>
        <v/>
      </c>
      <c r="X738">
        <f>IF(OR(L738=0,L738=""),"",ABS((L738-IF($C738="LT",Config!$F$7,Config!$F$19))/IF($C738="LT",Config!$G$7,Config!$G$19)))</f>
        <v/>
      </c>
      <c r="Y738">
        <f>IF(OR(M738=0,M738=""),"",ABS((M738-IF($C738="LT",Config!$F$8,Config!$F$20))/IF($C738="LT",Config!$G$8,Config!$G$20)))</f>
        <v/>
      </c>
      <c r="Z738">
        <f>IF(OR(N738=0,N738=""),"",ABS((N738-IF($C738="LT",Config!$F$9,Config!$F$21))/IF($C738="LT",Config!$G$9,Config!$G$21)))</f>
        <v/>
      </c>
      <c r="AA738">
        <f>IF(OR(O738=0,O738=""),"",ABS((O738-IF($C738="LT",Config!$F$10,Config!$F$22))/IF($C738="LT",Config!$G$10,Config!$G$22)))</f>
        <v/>
      </c>
      <c r="AB738">
        <f>IF(OR(P738=0,P738=""),"",ABS((P738-IF($C738="LT",Config!$F$11,Config!$F$23))/IF($C738="LT",Config!$G$11,Config!$G$23)))</f>
        <v/>
      </c>
      <c r="AC738">
        <f>IF(OR(Q738=0,Q738=""),"",ABS((Q738-IF($C738="LT",Config!$F$12,Config!$F$24))/IF($C738="LT",Config!$G$12,Config!$G$24)))</f>
        <v/>
      </c>
      <c r="AD738">
        <f>IF(OR(R738=0,R738=""),"",ABS((R738-IF($C738="LT",Config!$F$13,Config!$F$25))/IF($C738="LT",Config!$G$13,Config!$G$25)))</f>
        <v/>
      </c>
    </row>
    <row r="739">
      <c r="A739" t="inlineStr">
        <is>
          <t>04D1526121401</t>
        </is>
      </c>
      <c r="B739" t="inlineStr">
        <is>
          <t>CRS0000674</t>
        </is>
      </c>
      <c r="C739" t="inlineStr">
        <is>
          <t>MT</t>
        </is>
      </c>
      <c r="D739" t="inlineStr">
        <is>
          <t>TCX413U-DS1B01</t>
        </is>
      </c>
      <c r="E739" s="2" t="n">
        <v>46128</v>
      </c>
      <c r="F739" t="inlineStr">
        <is>
          <t>Fail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>
        <f>IF(OR(G739=0,G739=""),"",ABS((G739-IF($C739="LT",Config!$F$2,Config!$F$14))/IF($C739="LT",Config!$G$2,Config!$G$14)))</f>
        <v/>
      </c>
      <c r="T739">
        <f>IF(OR(H739=0,H739=""),"",ABS((H739-IF($C739="LT",Config!$F$3,Config!$F$15))/IF($C739="LT",Config!$G$3,Config!$G$15)))</f>
        <v/>
      </c>
      <c r="U739">
        <f>IF(OR(I739=0,I739=""),"",ABS((I739-IF($C739="LT",Config!$F$4,Config!$F$16))/IF($C739="LT",Config!$G$4,Config!$G$16)))</f>
        <v/>
      </c>
      <c r="V739">
        <f>IF(OR(J739=0,J739=""),"",ABS((J739-IF($C739="LT",Config!$F$5,Config!$F$17))/IF($C739="LT",Config!$G$5,Config!$G$17)))</f>
        <v/>
      </c>
      <c r="W739">
        <f>IF(OR(K739=0,K739=""),"",ABS((K739-IF($C739="LT",Config!$F$6,Config!$F$18))/IF($C739="LT",Config!$G$6,Config!$G$18)))</f>
        <v/>
      </c>
      <c r="X739">
        <f>IF(OR(L739=0,L739=""),"",ABS((L739-IF($C739="LT",Config!$F$7,Config!$F$19))/IF($C739="LT",Config!$G$7,Config!$G$19)))</f>
        <v/>
      </c>
      <c r="Y739">
        <f>IF(OR(M739=0,M739=""),"",ABS((M739-IF($C739="LT",Config!$F$8,Config!$F$20))/IF($C739="LT",Config!$G$8,Config!$G$20)))</f>
        <v/>
      </c>
      <c r="Z739">
        <f>IF(OR(N739=0,N739=""),"",ABS((N739-IF($C739="LT",Config!$F$9,Config!$F$21))/IF($C739="LT",Config!$G$9,Config!$G$21)))</f>
        <v/>
      </c>
      <c r="AA739">
        <f>IF(OR(O739=0,O739=""),"",ABS((O739-IF($C739="LT",Config!$F$10,Config!$F$22))/IF($C739="LT",Config!$G$10,Config!$G$22)))</f>
        <v/>
      </c>
      <c r="AB739">
        <f>IF(OR(P739=0,P739=""),"",ABS((P739-IF($C739="LT",Config!$F$11,Config!$F$23))/IF($C739="LT",Config!$G$11,Config!$G$23)))</f>
        <v/>
      </c>
      <c r="AC739">
        <f>IF(OR(Q739=0,Q739=""),"",ABS((Q739-IF($C739="LT",Config!$F$12,Config!$F$24))/IF($C739="LT",Config!$G$12,Config!$G$24)))</f>
        <v/>
      </c>
      <c r="AD739">
        <f>IF(OR(R739=0,R739=""),"",ABS((R739-IF($C739="LT",Config!$F$13,Config!$F$25))/IF($C739="LT",Config!$G$13,Config!$G$25)))</f>
        <v/>
      </c>
    </row>
    <row r="740">
      <c r="A740" t="inlineStr">
        <is>
          <t>04D1526121401</t>
        </is>
      </c>
      <c r="B740" t="inlineStr">
        <is>
          <t>CRS0000674</t>
        </is>
      </c>
      <c r="C740" t="inlineStr">
        <is>
          <t>MT</t>
        </is>
      </c>
      <c r="D740" t="inlineStr">
        <is>
          <t>TCX413U-DS1B01</t>
        </is>
      </c>
      <c r="E740" s="2" t="n">
        <v>46128</v>
      </c>
      <c r="F740" t="inlineStr">
        <is>
          <t>Fail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>
        <f>IF(OR(G740=0,G740=""),"",ABS((G740-IF($C740="LT",Config!$F$2,Config!$F$14))/IF($C740="LT",Config!$G$2,Config!$G$14)))</f>
        <v/>
      </c>
      <c r="T740">
        <f>IF(OR(H740=0,H740=""),"",ABS((H740-IF($C740="LT",Config!$F$3,Config!$F$15))/IF($C740="LT",Config!$G$3,Config!$G$15)))</f>
        <v/>
      </c>
      <c r="U740">
        <f>IF(OR(I740=0,I740=""),"",ABS((I740-IF($C740="LT",Config!$F$4,Config!$F$16))/IF($C740="LT",Config!$G$4,Config!$G$16)))</f>
        <v/>
      </c>
      <c r="V740">
        <f>IF(OR(J740=0,J740=""),"",ABS((J740-IF($C740="LT",Config!$F$5,Config!$F$17))/IF($C740="LT",Config!$G$5,Config!$G$17)))</f>
        <v/>
      </c>
      <c r="W740">
        <f>IF(OR(K740=0,K740=""),"",ABS((K740-IF($C740="LT",Config!$F$6,Config!$F$18))/IF($C740="LT",Config!$G$6,Config!$G$18)))</f>
        <v/>
      </c>
      <c r="X740">
        <f>IF(OR(L740=0,L740=""),"",ABS((L740-IF($C740="LT",Config!$F$7,Config!$F$19))/IF($C740="LT",Config!$G$7,Config!$G$19)))</f>
        <v/>
      </c>
      <c r="Y740">
        <f>IF(OR(M740=0,M740=""),"",ABS((M740-IF($C740="LT",Config!$F$8,Config!$F$20))/IF($C740="LT",Config!$G$8,Config!$G$20)))</f>
        <v/>
      </c>
      <c r="Z740">
        <f>IF(OR(N740=0,N740=""),"",ABS((N740-IF($C740="LT",Config!$F$9,Config!$F$21))/IF($C740="LT",Config!$G$9,Config!$G$21)))</f>
        <v/>
      </c>
      <c r="AA740">
        <f>IF(OR(O740=0,O740=""),"",ABS((O740-IF($C740="LT",Config!$F$10,Config!$F$22))/IF($C740="LT",Config!$G$10,Config!$G$22)))</f>
        <v/>
      </c>
      <c r="AB740">
        <f>IF(OR(P740=0,P740=""),"",ABS((P740-IF($C740="LT",Config!$F$11,Config!$F$23))/IF($C740="LT",Config!$G$11,Config!$G$23)))</f>
        <v/>
      </c>
      <c r="AC740">
        <f>IF(OR(Q740=0,Q740=""),"",ABS((Q740-IF($C740="LT",Config!$F$12,Config!$F$24))/IF($C740="LT",Config!$G$12,Config!$G$24)))</f>
        <v/>
      </c>
      <c r="AD740">
        <f>IF(OR(R740=0,R740=""),"",ABS((R740-IF($C740="LT",Config!$F$13,Config!$F$25))/IF($C740="LT",Config!$G$13,Config!$G$25)))</f>
        <v/>
      </c>
    </row>
    <row r="741">
      <c r="A741" t="inlineStr">
        <is>
          <t>04D1526121401</t>
        </is>
      </c>
      <c r="B741" t="inlineStr">
        <is>
          <t>CRS0000674</t>
        </is>
      </c>
      <c r="C741" t="inlineStr">
        <is>
          <t>MT</t>
        </is>
      </c>
      <c r="D741" t="inlineStr">
        <is>
          <t>TCX413U-DS1B01</t>
        </is>
      </c>
      <c r="E741" s="2" t="n">
        <v>46128</v>
      </c>
      <c r="F741" t="inlineStr">
        <is>
          <t>Pass</t>
        </is>
      </c>
      <c r="G741" t="n">
        <v>106.2</v>
      </c>
      <c r="H741" t="n">
        <v>79.3</v>
      </c>
      <c r="I741" t="n">
        <v>-1957.8</v>
      </c>
      <c r="J741" t="n">
        <v>70.40000000000001</v>
      </c>
      <c r="K741" t="n">
        <v>0</v>
      </c>
      <c r="L741" t="n">
        <v>0.4</v>
      </c>
      <c r="M741" t="n">
        <v>0</v>
      </c>
      <c r="N741" t="n">
        <v>70</v>
      </c>
      <c r="O741" t="n">
        <v>111.72</v>
      </c>
      <c r="P741" t="n">
        <v>113.26</v>
      </c>
      <c r="Q741" t="n">
        <v>3.78</v>
      </c>
      <c r="R741" t="n">
        <v>3.93</v>
      </c>
      <c r="S741">
        <f>IF(OR(G741=0,G741=""),"",ABS((G741-IF($C741="LT",Config!$F$2,Config!$F$14))/IF($C741="LT",Config!$G$2,Config!$G$14)))</f>
        <v/>
      </c>
      <c r="T741">
        <f>IF(OR(H741=0,H741=""),"",ABS((H741-IF($C741="LT",Config!$F$3,Config!$F$15))/IF($C741="LT",Config!$G$3,Config!$G$15)))</f>
        <v/>
      </c>
      <c r="U741">
        <f>IF(OR(I741=0,I741=""),"",ABS((I741-IF($C741="LT",Config!$F$4,Config!$F$16))/IF($C741="LT",Config!$G$4,Config!$G$16)))</f>
        <v/>
      </c>
      <c r="V741">
        <f>IF(OR(J741=0,J741=""),"",ABS((J741-IF($C741="LT",Config!$F$5,Config!$F$17))/IF($C741="LT",Config!$G$5,Config!$G$17)))</f>
        <v/>
      </c>
      <c r="W741">
        <f>IF(OR(K741=0,K741=""),"",ABS((K741-IF($C741="LT",Config!$F$6,Config!$F$18))/IF($C741="LT",Config!$G$6,Config!$G$18)))</f>
        <v/>
      </c>
      <c r="X741">
        <f>IF(OR(L741=0,L741=""),"",ABS((L741-IF($C741="LT",Config!$F$7,Config!$F$19))/IF($C741="LT",Config!$G$7,Config!$G$19)))</f>
        <v/>
      </c>
      <c r="Y741">
        <f>IF(OR(M741=0,M741=""),"",ABS((M741-IF($C741="LT",Config!$F$8,Config!$F$20))/IF($C741="LT",Config!$G$8,Config!$G$20)))</f>
        <v/>
      </c>
      <c r="Z741">
        <f>IF(OR(N741=0,N741=""),"",ABS((N741-IF($C741="LT",Config!$F$9,Config!$F$21))/IF($C741="LT",Config!$G$9,Config!$G$21)))</f>
        <v/>
      </c>
      <c r="AA741">
        <f>IF(OR(O741=0,O741=""),"",ABS((O741-IF($C741="LT",Config!$F$10,Config!$F$22))/IF($C741="LT",Config!$G$10,Config!$G$22)))</f>
        <v/>
      </c>
      <c r="AB741">
        <f>IF(OR(P741=0,P741=""),"",ABS((P741-IF($C741="LT",Config!$F$11,Config!$F$23))/IF($C741="LT",Config!$G$11,Config!$G$23)))</f>
        <v/>
      </c>
      <c r="AC741">
        <f>IF(OR(Q741=0,Q741=""),"",ABS((Q741-IF($C741="LT",Config!$F$12,Config!$F$24))/IF($C741="LT",Config!$G$12,Config!$G$24)))</f>
        <v/>
      </c>
      <c r="AD741">
        <f>IF(OR(R741=0,R741=""),"",ABS((R741-IF($C741="LT",Config!$F$13,Config!$F$25))/IF($C741="LT",Config!$G$13,Config!$G$25)))</f>
        <v/>
      </c>
    </row>
    <row r="742">
      <c r="A742" t="inlineStr">
        <is>
          <t>04D1526121402</t>
        </is>
      </c>
      <c r="B742" t="inlineStr">
        <is>
          <t>CRS0000674</t>
        </is>
      </c>
      <c r="C742" t="inlineStr">
        <is>
          <t>MT</t>
        </is>
      </c>
      <c r="D742" t="inlineStr">
        <is>
          <t>TCX413U-DS1B01</t>
        </is>
      </c>
      <c r="E742" s="2" t="n">
        <v>46128</v>
      </c>
      <c r="F742" t="inlineStr">
        <is>
          <t>Pass</t>
        </is>
      </c>
      <c r="G742" t="n">
        <v>107</v>
      </c>
      <c r="H742" t="n">
        <v>81.09999999999999</v>
      </c>
      <c r="I742" t="n">
        <v>-1957.8</v>
      </c>
      <c r="J742" t="n">
        <v>70.8</v>
      </c>
      <c r="K742" t="n">
        <v>0</v>
      </c>
      <c r="L742" t="n">
        <v>0.1</v>
      </c>
      <c r="M742" t="n">
        <v>0</v>
      </c>
      <c r="N742" t="n">
        <v>70.90000000000001</v>
      </c>
      <c r="O742" t="n">
        <v>111.86</v>
      </c>
      <c r="P742" t="n">
        <v>112.82</v>
      </c>
      <c r="Q742" t="n">
        <v>3.74</v>
      </c>
      <c r="R742" t="n">
        <v>3.83</v>
      </c>
      <c r="S742">
        <f>IF(OR(G742=0,G742=""),"",ABS((G742-IF($C742="LT",Config!$F$2,Config!$F$14))/IF($C742="LT",Config!$G$2,Config!$G$14)))</f>
        <v/>
      </c>
      <c r="T742">
        <f>IF(OR(H742=0,H742=""),"",ABS((H742-IF($C742="LT",Config!$F$3,Config!$F$15))/IF($C742="LT",Config!$G$3,Config!$G$15)))</f>
        <v/>
      </c>
      <c r="U742">
        <f>IF(OR(I742=0,I742=""),"",ABS((I742-IF($C742="LT",Config!$F$4,Config!$F$16))/IF($C742="LT",Config!$G$4,Config!$G$16)))</f>
        <v/>
      </c>
      <c r="V742">
        <f>IF(OR(J742=0,J742=""),"",ABS((J742-IF($C742="LT",Config!$F$5,Config!$F$17))/IF($C742="LT",Config!$G$5,Config!$G$17)))</f>
        <v/>
      </c>
      <c r="W742">
        <f>IF(OR(K742=0,K742=""),"",ABS((K742-IF($C742="LT",Config!$F$6,Config!$F$18))/IF($C742="LT",Config!$G$6,Config!$G$18)))</f>
        <v/>
      </c>
      <c r="X742">
        <f>IF(OR(L742=0,L742=""),"",ABS((L742-IF($C742="LT",Config!$F$7,Config!$F$19))/IF($C742="LT",Config!$G$7,Config!$G$19)))</f>
        <v/>
      </c>
      <c r="Y742">
        <f>IF(OR(M742=0,M742=""),"",ABS((M742-IF($C742="LT",Config!$F$8,Config!$F$20))/IF($C742="LT",Config!$G$8,Config!$G$20)))</f>
        <v/>
      </c>
      <c r="Z742">
        <f>IF(OR(N742=0,N742=""),"",ABS((N742-IF($C742="LT",Config!$F$9,Config!$F$21))/IF($C742="LT",Config!$G$9,Config!$G$21)))</f>
        <v/>
      </c>
      <c r="AA742">
        <f>IF(OR(O742=0,O742=""),"",ABS((O742-IF($C742="LT",Config!$F$10,Config!$F$22))/IF($C742="LT",Config!$G$10,Config!$G$22)))</f>
        <v/>
      </c>
      <c r="AB742">
        <f>IF(OR(P742=0,P742=""),"",ABS((P742-IF($C742="LT",Config!$F$11,Config!$F$23))/IF($C742="LT",Config!$G$11,Config!$G$23)))</f>
        <v/>
      </c>
      <c r="AC742">
        <f>IF(OR(Q742=0,Q742=""),"",ABS((Q742-IF($C742="LT",Config!$F$12,Config!$F$24))/IF($C742="LT",Config!$G$12,Config!$G$24)))</f>
        <v/>
      </c>
      <c r="AD742">
        <f>IF(OR(R742=0,R742=""),"",ABS((R742-IF($C742="LT",Config!$F$13,Config!$F$25))/IF($C742="LT",Config!$G$13,Config!$G$25)))</f>
        <v/>
      </c>
    </row>
    <row r="743">
      <c r="A743" t="inlineStr">
        <is>
          <t>04D1526121403</t>
        </is>
      </c>
      <c r="B743" t="inlineStr">
        <is>
          <t>CRS0000674</t>
        </is>
      </c>
      <c r="C743" t="inlineStr">
        <is>
          <t>MT</t>
        </is>
      </c>
      <c r="D743" t="inlineStr">
        <is>
          <t>TCX413U-DS1B01</t>
        </is>
      </c>
      <c r="E743" s="2" t="n">
        <v>46128</v>
      </c>
      <c r="F743" t="inlineStr">
        <is>
          <t>Pass</t>
        </is>
      </c>
      <c r="G743" t="n">
        <v>101.2</v>
      </c>
      <c r="H743" t="n">
        <v>81.09999999999999</v>
      </c>
      <c r="I743" t="n">
        <v>-1957.8</v>
      </c>
      <c r="J743" t="n">
        <v>71.3</v>
      </c>
      <c r="K743" t="n">
        <v>0</v>
      </c>
      <c r="L743" t="n">
        <v>0</v>
      </c>
      <c r="M743" t="n">
        <v>0</v>
      </c>
      <c r="N743" t="n">
        <v>71.3</v>
      </c>
      <c r="O743" t="n">
        <v>115.31</v>
      </c>
      <c r="P743" t="n">
        <v>115.24</v>
      </c>
      <c r="Q743" t="n">
        <v>3.83</v>
      </c>
      <c r="R743" t="n">
        <v>3.88</v>
      </c>
      <c r="S743">
        <f>IF(OR(G743=0,G743=""),"",ABS((G743-IF($C743="LT",Config!$F$2,Config!$F$14))/IF($C743="LT",Config!$G$2,Config!$G$14)))</f>
        <v/>
      </c>
      <c r="T743">
        <f>IF(OR(H743=0,H743=""),"",ABS((H743-IF($C743="LT",Config!$F$3,Config!$F$15))/IF($C743="LT",Config!$G$3,Config!$G$15)))</f>
        <v/>
      </c>
      <c r="U743">
        <f>IF(OR(I743=0,I743=""),"",ABS((I743-IF($C743="LT",Config!$F$4,Config!$F$16))/IF($C743="LT",Config!$G$4,Config!$G$16)))</f>
        <v/>
      </c>
      <c r="V743">
        <f>IF(OR(J743=0,J743=""),"",ABS((J743-IF($C743="LT",Config!$F$5,Config!$F$17))/IF($C743="LT",Config!$G$5,Config!$G$17)))</f>
        <v/>
      </c>
      <c r="W743">
        <f>IF(OR(K743=0,K743=""),"",ABS((K743-IF($C743="LT",Config!$F$6,Config!$F$18))/IF($C743="LT",Config!$G$6,Config!$G$18)))</f>
        <v/>
      </c>
      <c r="X743">
        <f>IF(OR(L743=0,L743=""),"",ABS((L743-IF($C743="LT",Config!$F$7,Config!$F$19))/IF($C743="LT",Config!$G$7,Config!$G$19)))</f>
        <v/>
      </c>
      <c r="Y743">
        <f>IF(OR(M743=0,M743=""),"",ABS((M743-IF($C743="LT",Config!$F$8,Config!$F$20))/IF($C743="LT",Config!$G$8,Config!$G$20)))</f>
        <v/>
      </c>
      <c r="Z743">
        <f>IF(OR(N743=0,N743=""),"",ABS((N743-IF($C743="LT",Config!$F$9,Config!$F$21))/IF($C743="LT",Config!$G$9,Config!$G$21)))</f>
        <v/>
      </c>
      <c r="AA743">
        <f>IF(OR(O743=0,O743=""),"",ABS((O743-IF($C743="LT",Config!$F$10,Config!$F$22))/IF($C743="LT",Config!$G$10,Config!$G$22)))</f>
        <v/>
      </c>
      <c r="AB743">
        <f>IF(OR(P743=0,P743=""),"",ABS((P743-IF($C743="LT",Config!$F$11,Config!$F$23))/IF($C743="LT",Config!$G$11,Config!$G$23)))</f>
        <v/>
      </c>
      <c r="AC743">
        <f>IF(OR(Q743=0,Q743=""),"",ABS((Q743-IF($C743="LT",Config!$F$12,Config!$F$24))/IF($C743="LT",Config!$G$12,Config!$G$24)))</f>
        <v/>
      </c>
      <c r="AD743">
        <f>IF(OR(R743=0,R743=""),"",ABS((R743-IF($C743="LT",Config!$F$13,Config!$F$25))/IF($C743="LT",Config!$G$13,Config!$G$25)))</f>
        <v/>
      </c>
    </row>
    <row r="744">
      <c r="A744" t="inlineStr">
        <is>
          <t>04D1526121404</t>
        </is>
      </c>
      <c r="B744" t="inlineStr">
        <is>
          <t>CRS0000674</t>
        </is>
      </c>
      <c r="C744" t="inlineStr">
        <is>
          <t>MT</t>
        </is>
      </c>
      <c r="D744" t="inlineStr">
        <is>
          <t>TCX413U-DS1B01</t>
        </is>
      </c>
      <c r="E744" s="2" t="n">
        <v>46128</v>
      </c>
      <c r="F744" t="inlineStr">
        <is>
          <t>Pass</t>
        </is>
      </c>
      <c r="G744" t="n">
        <v>107.9</v>
      </c>
      <c r="H744" t="n">
        <v>83.40000000000001</v>
      </c>
      <c r="I744" t="n">
        <v>-1957.8</v>
      </c>
      <c r="J744" t="n">
        <v>71.3</v>
      </c>
      <c r="K744" t="n">
        <v>0</v>
      </c>
      <c r="L744" t="n">
        <v>0.8</v>
      </c>
      <c r="M744" t="n">
        <v>0</v>
      </c>
      <c r="N744" t="n">
        <v>70.5</v>
      </c>
      <c r="O744" t="n">
        <v>115.46</v>
      </c>
      <c r="P744" t="n">
        <v>115.24</v>
      </c>
      <c r="Q744" t="n">
        <v>3.74</v>
      </c>
      <c r="R744" t="n">
        <v>3.88</v>
      </c>
      <c r="S744">
        <f>IF(OR(G744=0,G744=""),"",ABS((G744-IF($C744="LT",Config!$F$2,Config!$F$14))/IF($C744="LT",Config!$G$2,Config!$G$14)))</f>
        <v/>
      </c>
      <c r="T744">
        <f>IF(OR(H744=0,H744=""),"",ABS((H744-IF($C744="LT",Config!$F$3,Config!$F$15))/IF($C744="LT",Config!$G$3,Config!$G$15)))</f>
        <v/>
      </c>
      <c r="U744">
        <f>IF(OR(I744=0,I744=""),"",ABS((I744-IF($C744="LT",Config!$F$4,Config!$F$16))/IF($C744="LT",Config!$G$4,Config!$G$16)))</f>
        <v/>
      </c>
      <c r="V744">
        <f>IF(OR(J744=0,J744=""),"",ABS((J744-IF($C744="LT",Config!$F$5,Config!$F$17))/IF($C744="LT",Config!$G$5,Config!$G$17)))</f>
        <v/>
      </c>
      <c r="W744">
        <f>IF(OR(K744=0,K744=""),"",ABS((K744-IF($C744="LT",Config!$F$6,Config!$F$18))/IF($C744="LT",Config!$G$6,Config!$G$18)))</f>
        <v/>
      </c>
      <c r="X744">
        <f>IF(OR(L744=0,L744=""),"",ABS((L744-IF($C744="LT",Config!$F$7,Config!$F$19))/IF($C744="LT",Config!$G$7,Config!$G$19)))</f>
        <v/>
      </c>
      <c r="Y744">
        <f>IF(OR(M744=0,M744=""),"",ABS((M744-IF($C744="LT",Config!$F$8,Config!$F$20))/IF($C744="LT",Config!$G$8,Config!$G$20)))</f>
        <v/>
      </c>
      <c r="Z744">
        <f>IF(OR(N744=0,N744=""),"",ABS((N744-IF($C744="LT",Config!$F$9,Config!$F$21))/IF($C744="LT",Config!$G$9,Config!$G$21)))</f>
        <v/>
      </c>
      <c r="AA744">
        <f>IF(OR(O744=0,O744=""),"",ABS((O744-IF($C744="LT",Config!$F$10,Config!$F$22))/IF($C744="LT",Config!$G$10,Config!$G$22)))</f>
        <v/>
      </c>
      <c r="AB744">
        <f>IF(OR(P744=0,P744=""),"",ABS((P744-IF($C744="LT",Config!$F$11,Config!$F$23))/IF($C744="LT",Config!$G$11,Config!$G$23)))</f>
        <v/>
      </c>
      <c r="AC744">
        <f>IF(OR(Q744=0,Q744=""),"",ABS((Q744-IF($C744="LT",Config!$F$12,Config!$F$24))/IF($C744="LT",Config!$G$12,Config!$G$24)))</f>
        <v/>
      </c>
      <c r="AD744">
        <f>IF(OR(R744=0,R744=""),"",ABS((R744-IF($C744="LT",Config!$F$13,Config!$F$25))/IF($C744="LT",Config!$G$13,Config!$G$25)))</f>
        <v/>
      </c>
    </row>
    <row r="745">
      <c r="A745" t="inlineStr">
        <is>
          <t>04D1526121405</t>
        </is>
      </c>
      <c r="B745" t="inlineStr">
        <is>
          <t>CRS0000674</t>
        </is>
      </c>
      <c r="C745" t="inlineStr">
        <is>
          <t>MT</t>
        </is>
      </c>
      <c r="D745" t="inlineStr">
        <is>
          <t>TCX413U-DS1B01</t>
        </is>
      </c>
      <c r="E745" s="2" t="n">
        <v>46128</v>
      </c>
      <c r="F745" t="inlineStr">
        <is>
          <t>Pass</t>
        </is>
      </c>
      <c r="G745" t="n">
        <v>114.6</v>
      </c>
      <c r="H745" t="n">
        <v>82.90000000000001</v>
      </c>
      <c r="I745" t="n">
        <v>-1957.8</v>
      </c>
      <c r="J745" t="n">
        <v>71.3</v>
      </c>
      <c r="K745" t="n">
        <v>0</v>
      </c>
      <c r="L745" t="n">
        <v>1</v>
      </c>
      <c r="M745" t="n">
        <v>0</v>
      </c>
      <c r="N745" t="n">
        <v>70.3</v>
      </c>
      <c r="O745" t="n">
        <v>112.08</v>
      </c>
      <c r="P745" t="n">
        <v>113.77</v>
      </c>
      <c r="Q745" t="n">
        <v>4.08</v>
      </c>
      <c r="R745" t="n">
        <v>4.15</v>
      </c>
      <c r="S745">
        <f>IF(OR(G745=0,G745=""),"",ABS((G745-IF($C745="LT",Config!$F$2,Config!$F$14))/IF($C745="LT",Config!$G$2,Config!$G$14)))</f>
        <v/>
      </c>
      <c r="T745">
        <f>IF(OR(H745=0,H745=""),"",ABS((H745-IF($C745="LT",Config!$F$3,Config!$F$15))/IF($C745="LT",Config!$G$3,Config!$G$15)))</f>
        <v/>
      </c>
      <c r="U745">
        <f>IF(OR(I745=0,I745=""),"",ABS((I745-IF($C745="LT",Config!$F$4,Config!$F$16))/IF($C745="LT",Config!$G$4,Config!$G$16)))</f>
        <v/>
      </c>
      <c r="V745">
        <f>IF(OR(J745=0,J745=""),"",ABS((J745-IF($C745="LT",Config!$F$5,Config!$F$17))/IF($C745="LT",Config!$G$5,Config!$G$17)))</f>
        <v/>
      </c>
      <c r="W745">
        <f>IF(OR(K745=0,K745=""),"",ABS((K745-IF($C745="LT",Config!$F$6,Config!$F$18))/IF($C745="LT",Config!$G$6,Config!$G$18)))</f>
        <v/>
      </c>
      <c r="X745">
        <f>IF(OR(L745=0,L745=""),"",ABS((L745-IF($C745="LT",Config!$F$7,Config!$F$19))/IF($C745="LT",Config!$G$7,Config!$G$19)))</f>
        <v/>
      </c>
      <c r="Y745">
        <f>IF(OR(M745=0,M745=""),"",ABS((M745-IF($C745="LT",Config!$F$8,Config!$F$20))/IF($C745="LT",Config!$G$8,Config!$G$20)))</f>
        <v/>
      </c>
      <c r="Z745">
        <f>IF(OR(N745=0,N745=""),"",ABS((N745-IF($C745="LT",Config!$F$9,Config!$F$21))/IF($C745="LT",Config!$G$9,Config!$G$21)))</f>
        <v/>
      </c>
      <c r="AA745">
        <f>IF(OR(O745=0,O745=""),"",ABS((O745-IF($C745="LT",Config!$F$10,Config!$F$22))/IF($C745="LT",Config!$G$10,Config!$G$22)))</f>
        <v/>
      </c>
      <c r="AB745">
        <f>IF(OR(P745=0,P745=""),"",ABS((P745-IF($C745="LT",Config!$F$11,Config!$F$23))/IF($C745="LT",Config!$G$11,Config!$G$23)))</f>
        <v/>
      </c>
      <c r="AC745">
        <f>IF(OR(Q745=0,Q745=""),"",ABS((Q745-IF($C745="LT",Config!$F$12,Config!$F$24))/IF($C745="LT",Config!$G$12,Config!$G$24)))</f>
        <v/>
      </c>
      <c r="AD745">
        <f>IF(OR(R745=0,R745=""),"",ABS((R745-IF($C745="LT",Config!$F$13,Config!$F$25))/IF($C745="LT",Config!$G$13,Config!$G$25)))</f>
        <v/>
      </c>
    </row>
    <row r="746">
      <c r="A746" t="inlineStr">
        <is>
          <t>04D1526121406</t>
        </is>
      </c>
      <c r="B746" t="inlineStr">
        <is>
          <t>CRS0000674</t>
        </is>
      </c>
      <c r="C746" t="inlineStr">
        <is>
          <t>MT</t>
        </is>
      </c>
      <c r="D746" t="inlineStr">
        <is>
          <t>TCX413U-DS1B01</t>
        </is>
      </c>
      <c r="E746" s="2" t="n">
        <v>46128</v>
      </c>
      <c r="F746" t="inlineStr">
        <is>
          <t>Pass</t>
        </is>
      </c>
      <c r="G746" t="n">
        <v>103</v>
      </c>
      <c r="H746" t="n">
        <v>86.09999999999999</v>
      </c>
      <c r="I746" t="n">
        <v>-1957.8</v>
      </c>
      <c r="J746" t="n">
        <v>71.3</v>
      </c>
      <c r="K746" t="n">
        <v>0</v>
      </c>
      <c r="L746" t="n">
        <v>0.1</v>
      </c>
      <c r="M746" t="n">
        <v>0</v>
      </c>
      <c r="N746" t="n">
        <v>71.40000000000001</v>
      </c>
      <c r="O746" t="n">
        <v>113.62</v>
      </c>
      <c r="P746" t="n">
        <v>116.41</v>
      </c>
      <c r="Q746" t="n">
        <v>3.83</v>
      </c>
      <c r="R746" t="n">
        <v>3.86</v>
      </c>
      <c r="S746">
        <f>IF(OR(G746=0,G746=""),"",ABS((G746-IF($C746="LT",Config!$F$2,Config!$F$14))/IF($C746="LT",Config!$G$2,Config!$G$14)))</f>
        <v/>
      </c>
      <c r="T746">
        <f>IF(OR(H746=0,H746=""),"",ABS((H746-IF($C746="LT",Config!$F$3,Config!$F$15))/IF($C746="LT",Config!$G$3,Config!$G$15)))</f>
        <v/>
      </c>
      <c r="U746">
        <f>IF(OR(I746=0,I746=""),"",ABS((I746-IF($C746="LT",Config!$F$4,Config!$F$16))/IF($C746="LT",Config!$G$4,Config!$G$16)))</f>
        <v/>
      </c>
      <c r="V746">
        <f>IF(OR(J746=0,J746=""),"",ABS((J746-IF($C746="LT",Config!$F$5,Config!$F$17))/IF($C746="LT",Config!$G$5,Config!$G$17)))</f>
        <v/>
      </c>
      <c r="W746">
        <f>IF(OR(K746=0,K746=""),"",ABS((K746-IF($C746="LT",Config!$F$6,Config!$F$18))/IF($C746="LT",Config!$G$6,Config!$G$18)))</f>
        <v/>
      </c>
      <c r="X746">
        <f>IF(OR(L746=0,L746=""),"",ABS((L746-IF($C746="LT",Config!$F$7,Config!$F$19))/IF($C746="LT",Config!$G$7,Config!$G$19)))</f>
        <v/>
      </c>
      <c r="Y746">
        <f>IF(OR(M746=0,M746=""),"",ABS((M746-IF($C746="LT",Config!$F$8,Config!$F$20))/IF($C746="LT",Config!$G$8,Config!$G$20)))</f>
        <v/>
      </c>
      <c r="Z746">
        <f>IF(OR(N746=0,N746=""),"",ABS((N746-IF($C746="LT",Config!$F$9,Config!$F$21))/IF($C746="LT",Config!$G$9,Config!$G$21)))</f>
        <v/>
      </c>
      <c r="AA746">
        <f>IF(OR(O746=0,O746=""),"",ABS((O746-IF($C746="LT",Config!$F$10,Config!$F$22))/IF($C746="LT",Config!$G$10,Config!$G$22)))</f>
        <v/>
      </c>
      <c r="AB746">
        <f>IF(OR(P746=0,P746=""),"",ABS((P746-IF($C746="LT",Config!$F$11,Config!$F$23))/IF($C746="LT",Config!$G$11,Config!$G$23)))</f>
        <v/>
      </c>
      <c r="AC746">
        <f>IF(OR(Q746=0,Q746=""),"",ABS((Q746-IF($C746="LT",Config!$F$12,Config!$F$24))/IF($C746="LT",Config!$G$12,Config!$G$24)))</f>
        <v/>
      </c>
      <c r="AD746">
        <f>IF(OR(R746=0,R746=""),"",ABS((R746-IF($C746="LT",Config!$F$13,Config!$F$25))/IF($C746="LT",Config!$G$13,Config!$G$25)))</f>
        <v/>
      </c>
    </row>
    <row r="747">
      <c r="A747" t="inlineStr">
        <is>
          <t>04D1526121407</t>
        </is>
      </c>
      <c r="B747" t="inlineStr">
        <is>
          <t>CRS0000674</t>
        </is>
      </c>
      <c r="C747" t="inlineStr">
        <is>
          <t>MT</t>
        </is>
      </c>
      <c r="D747" t="inlineStr">
        <is>
          <t>TCX413U-DS1B01</t>
        </is>
      </c>
      <c r="E747" s="2" t="n">
        <v>46128</v>
      </c>
      <c r="F747" t="inlineStr">
        <is>
          <t>Pass</t>
        </is>
      </c>
      <c r="G747" t="n">
        <v>113.7</v>
      </c>
      <c r="H747" t="n">
        <v>83.8</v>
      </c>
      <c r="I747" t="n">
        <v>-1957.8</v>
      </c>
      <c r="J747" t="n">
        <v>71.7</v>
      </c>
      <c r="K747" t="n">
        <v>0</v>
      </c>
      <c r="L747" t="n">
        <v>0.1</v>
      </c>
      <c r="M747" t="n">
        <v>0</v>
      </c>
      <c r="N747" t="n">
        <v>71.59999999999999</v>
      </c>
      <c r="O747" t="n">
        <v>114.72</v>
      </c>
      <c r="P747" t="n">
        <v>114.72</v>
      </c>
      <c r="Q747" t="n">
        <v>3.96</v>
      </c>
      <c r="R747" t="n">
        <v>4.03</v>
      </c>
      <c r="S747">
        <f>IF(OR(G747=0,G747=""),"",ABS((G747-IF($C747="LT",Config!$F$2,Config!$F$14))/IF($C747="LT",Config!$G$2,Config!$G$14)))</f>
        <v/>
      </c>
      <c r="T747">
        <f>IF(OR(H747=0,H747=""),"",ABS((H747-IF($C747="LT",Config!$F$3,Config!$F$15))/IF($C747="LT",Config!$G$3,Config!$G$15)))</f>
        <v/>
      </c>
      <c r="U747">
        <f>IF(OR(I747=0,I747=""),"",ABS((I747-IF($C747="LT",Config!$F$4,Config!$F$16))/IF($C747="LT",Config!$G$4,Config!$G$16)))</f>
        <v/>
      </c>
      <c r="V747">
        <f>IF(OR(J747=0,J747=""),"",ABS((J747-IF($C747="LT",Config!$F$5,Config!$F$17))/IF($C747="LT",Config!$G$5,Config!$G$17)))</f>
        <v/>
      </c>
      <c r="W747">
        <f>IF(OR(K747=0,K747=""),"",ABS((K747-IF($C747="LT",Config!$F$6,Config!$F$18))/IF($C747="LT",Config!$G$6,Config!$G$18)))</f>
        <v/>
      </c>
      <c r="X747">
        <f>IF(OR(L747=0,L747=""),"",ABS((L747-IF($C747="LT",Config!$F$7,Config!$F$19))/IF($C747="LT",Config!$G$7,Config!$G$19)))</f>
        <v/>
      </c>
      <c r="Y747">
        <f>IF(OR(M747=0,M747=""),"",ABS((M747-IF($C747="LT",Config!$F$8,Config!$F$20))/IF($C747="LT",Config!$G$8,Config!$G$20)))</f>
        <v/>
      </c>
      <c r="Z747">
        <f>IF(OR(N747=0,N747=""),"",ABS((N747-IF($C747="LT",Config!$F$9,Config!$F$21))/IF($C747="LT",Config!$G$9,Config!$G$21)))</f>
        <v/>
      </c>
      <c r="AA747">
        <f>IF(OR(O747=0,O747=""),"",ABS((O747-IF($C747="LT",Config!$F$10,Config!$F$22))/IF($C747="LT",Config!$G$10,Config!$G$22)))</f>
        <v/>
      </c>
      <c r="AB747">
        <f>IF(OR(P747=0,P747=""),"",ABS((P747-IF($C747="LT",Config!$F$11,Config!$F$23))/IF($C747="LT",Config!$G$11,Config!$G$23)))</f>
        <v/>
      </c>
      <c r="AC747">
        <f>IF(OR(Q747=0,Q747=""),"",ABS((Q747-IF($C747="LT",Config!$F$12,Config!$F$24))/IF($C747="LT",Config!$G$12,Config!$G$24)))</f>
        <v/>
      </c>
      <c r="AD747">
        <f>IF(OR(R747=0,R747=""),"",ABS((R747-IF($C747="LT",Config!$F$13,Config!$F$25))/IF($C747="LT",Config!$G$13,Config!$G$25)))</f>
        <v/>
      </c>
    </row>
    <row r="748">
      <c r="A748" t="inlineStr">
        <is>
          <t>04D1626121408</t>
        </is>
      </c>
      <c r="B748" t="inlineStr">
        <is>
          <t>CRS0000674</t>
        </is>
      </c>
      <c r="C748" t="inlineStr">
        <is>
          <t>MT</t>
        </is>
      </c>
      <c r="D748" t="inlineStr">
        <is>
          <t>TCX413U-DS1B01</t>
        </is>
      </c>
      <c r="E748" s="2" t="n">
        <v>46128</v>
      </c>
      <c r="F748" t="inlineStr">
        <is>
          <t>Pass</t>
        </is>
      </c>
      <c r="G748" t="n">
        <v>113.7</v>
      </c>
      <c r="H748" t="n">
        <v>83.8</v>
      </c>
      <c r="I748" t="n">
        <v>-1957.8</v>
      </c>
      <c r="J748" t="n">
        <v>71.3</v>
      </c>
      <c r="K748" t="n">
        <v>0</v>
      </c>
      <c r="L748" t="n">
        <v>0.2</v>
      </c>
      <c r="M748" t="n">
        <v>0</v>
      </c>
      <c r="N748" t="n">
        <v>71.09999999999999</v>
      </c>
      <c r="O748" t="n">
        <v>112.3</v>
      </c>
      <c r="P748" t="n">
        <v>113.62</v>
      </c>
      <c r="Q748" t="n">
        <v>4.3</v>
      </c>
      <c r="R748" t="n">
        <v>4.32</v>
      </c>
      <c r="S748">
        <f>IF(OR(G748=0,G748=""),"",ABS((G748-IF($C748="LT",Config!$F$2,Config!$F$14))/IF($C748="LT",Config!$G$2,Config!$G$14)))</f>
        <v/>
      </c>
      <c r="T748">
        <f>IF(OR(H748=0,H748=""),"",ABS((H748-IF($C748="LT",Config!$F$3,Config!$F$15))/IF($C748="LT",Config!$G$3,Config!$G$15)))</f>
        <v/>
      </c>
      <c r="U748">
        <f>IF(OR(I748=0,I748=""),"",ABS((I748-IF($C748="LT",Config!$F$4,Config!$F$16))/IF($C748="LT",Config!$G$4,Config!$G$16)))</f>
        <v/>
      </c>
      <c r="V748">
        <f>IF(OR(J748=0,J748=""),"",ABS((J748-IF($C748="LT",Config!$F$5,Config!$F$17))/IF($C748="LT",Config!$G$5,Config!$G$17)))</f>
        <v/>
      </c>
      <c r="W748">
        <f>IF(OR(K748=0,K748=""),"",ABS((K748-IF($C748="LT",Config!$F$6,Config!$F$18))/IF($C748="LT",Config!$G$6,Config!$G$18)))</f>
        <v/>
      </c>
      <c r="X748">
        <f>IF(OR(L748=0,L748=""),"",ABS((L748-IF($C748="LT",Config!$F$7,Config!$F$19))/IF($C748="LT",Config!$G$7,Config!$G$19)))</f>
        <v/>
      </c>
      <c r="Y748">
        <f>IF(OR(M748=0,M748=""),"",ABS((M748-IF($C748="LT",Config!$F$8,Config!$F$20))/IF($C748="LT",Config!$G$8,Config!$G$20)))</f>
        <v/>
      </c>
      <c r="Z748">
        <f>IF(OR(N748=0,N748=""),"",ABS((N748-IF($C748="LT",Config!$F$9,Config!$F$21))/IF($C748="LT",Config!$G$9,Config!$G$21)))</f>
        <v/>
      </c>
      <c r="AA748">
        <f>IF(OR(O748=0,O748=""),"",ABS((O748-IF($C748="LT",Config!$F$10,Config!$F$22))/IF($C748="LT",Config!$G$10,Config!$G$22)))</f>
        <v/>
      </c>
      <c r="AB748">
        <f>IF(OR(P748=0,P748=""),"",ABS((P748-IF($C748="LT",Config!$F$11,Config!$F$23))/IF($C748="LT",Config!$G$11,Config!$G$23)))</f>
        <v/>
      </c>
      <c r="AC748">
        <f>IF(OR(Q748=0,Q748=""),"",ABS((Q748-IF($C748="LT",Config!$F$12,Config!$F$24))/IF($C748="LT",Config!$G$12,Config!$G$24)))</f>
        <v/>
      </c>
      <c r="AD748">
        <f>IF(OR(R748=0,R748=""),"",ABS((R748-IF($C748="LT",Config!$F$13,Config!$F$25))/IF($C748="LT",Config!$G$13,Config!$G$25)))</f>
        <v/>
      </c>
    </row>
    <row r="749">
      <c r="A749" t="inlineStr">
        <is>
          <t>04D1626121409</t>
        </is>
      </c>
      <c r="B749" t="inlineStr">
        <is>
          <t>CRS0000674</t>
        </is>
      </c>
      <c r="C749" t="inlineStr">
        <is>
          <t>MT</t>
        </is>
      </c>
      <c r="D749" t="inlineStr">
        <is>
          <t>TCX413U-DS1B01</t>
        </is>
      </c>
      <c r="E749" s="2" t="n">
        <v>46128</v>
      </c>
      <c r="F749" t="inlineStr">
        <is>
          <t>Fail</t>
        </is>
      </c>
      <c r="G749" t="n">
        <v>80.7</v>
      </c>
      <c r="H749" t="n">
        <v>124.4</v>
      </c>
      <c r="I749" t="n">
        <v>-1957.8</v>
      </c>
      <c r="J749" t="n">
        <v>71.3</v>
      </c>
      <c r="K749" t="n">
        <v>0</v>
      </c>
      <c r="L749" t="n">
        <v>0.7</v>
      </c>
      <c r="M749" t="n">
        <v>0</v>
      </c>
      <c r="N749" t="n">
        <v>70.59999999999999</v>
      </c>
      <c r="O749" t="n">
        <v>115.31</v>
      </c>
      <c r="P749" t="n">
        <v>115.09</v>
      </c>
      <c r="Q749" t="n">
        <v>3.96</v>
      </c>
      <c r="R749" t="n">
        <v>4.1</v>
      </c>
      <c r="S749">
        <f>IF(OR(G749=0,G749=""),"",ABS((G749-IF($C749="LT",Config!$F$2,Config!$F$14))/IF($C749="LT",Config!$G$2,Config!$G$14)))</f>
        <v/>
      </c>
      <c r="T749">
        <f>IF(OR(H749=0,H749=""),"",ABS((H749-IF($C749="LT",Config!$F$3,Config!$F$15))/IF($C749="LT",Config!$G$3,Config!$G$15)))</f>
        <v/>
      </c>
      <c r="U749">
        <f>IF(OR(I749=0,I749=""),"",ABS((I749-IF($C749="LT",Config!$F$4,Config!$F$16))/IF($C749="LT",Config!$G$4,Config!$G$16)))</f>
        <v/>
      </c>
      <c r="V749">
        <f>IF(OR(J749=0,J749=""),"",ABS((J749-IF($C749="LT",Config!$F$5,Config!$F$17))/IF($C749="LT",Config!$G$5,Config!$G$17)))</f>
        <v/>
      </c>
      <c r="W749">
        <f>IF(OR(K749=0,K749=""),"",ABS((K749-IF($C749="LT",Config!$F$6,Config!$F$18))/IF($C749="LT",Config!$G$6,Config!$G$18)))</f>
        <v/>
      </c>
      <c r="X749">
        <f>IF(OR(L749=0,L749=""),"",ABS((L749-IF($C749="LT",Config!$F$7,Config!$F$19))/IF($C749="LT",Config!$G$7,Config!$G$19)))</f>
        <v/>
      </c>
      <c r="Y749">
        <f>IF(OR(M749=0,M749=""),"",ABS((M749-IF($C749="LT",Config!$F$8,Config!$F$20))/IF($C749="LT",Config!$G$8,Config!$G$20)))</f>
        <v/>
      </c>
      <c r="Z749">
        <f>IF(OR(N749=0,N749=""),"",ABS((N749-IF($C749="LT",Config!$F$9,Config!$F$21))/IF($C749="LT",Config!$G$9,Config!$G$21)))</f>
        <v/>
      </c>
      <c r="AA749">
        <f>IF(OR(O749=0,O749=""),"",ABS((O749-IF($C749="LT",Config!$F$10,Config!$F$22))/IF($C749="LT",Config!$G$10,Config!$G$22)))</f>
        <v/>
      </c>
      <c r="AB749">
        <f>IF(OR(P749=0,P749=""),"",ABS((P749-IF($C749="LT",Config!$F$11,Config!$F$23))/IF($C749="LT",Config!$G$11,Config!$G$23)))</f>
        <v/>
      </c>
      <c r="AC749">
        <f>IF(OR(Q749=0,Q749=""),"",ABS((Q749-IF($C749="LT",Config!$F$12,Config!$F$24))/IF($C749="LT",Config!$G$12,Config!$G$24)))</f>
        <v/>
      </c>
      <c r="AD749">
        <f>IF(OR(R749=0,R749=""),"",ABS((R749-IF($C749="LT",Config!$F$13,Config!$F$25))/IF($C749="LT",Config!$G$13,Config!$G$25)))</f>
        <v/>
      </c>
    </row>
    <row r="750">
      <c r="A750" t="inlineStr">
        <is>
          <t>04D1626121409</t>
        </is>
      </c>
      <c r="B750" t="inlineStr">
        <is>
          <t>CRS0000674</t>
        </is>
      </c>
      <c r="C750" t="inlineStr">
        <is>
          <t>MT</t>
        </is>
      </c>
      <c r="D750" t="inlineStr">
        <is>
          <t>TCX413U-DS1B01</t>
        </is>
      </c>
      <c r="E750" s="2" t="n">
        <v>46128</v>
      </c>
      <c r="F750" t="inlineStr">
        <is>
          <t>Fail</t>
        </is>
      </c>
      <c r="G750" t="n">
        <v>101.2</v>
      </c>
      <c r="H750" t="n">
        <v>66.7</v>
      </c>
      <c r="I750" t="n">
        <v>-1957.8</v>
      </c>
      <c r="J750" t="n">
        <v>71.7</v>
      </c>
      <c r="K750" t="n">
        <v>0</v>
      </c>
      <c r="L750" t="n">
        <v>0.4</v>
      </c>
      <c r="M750" t="n">
        <v>0</v>
      </c>
      <c r="N750" t="n">
        <v>71.3</v>
      </c>
      <c r="O750" t="n">
        <v>112.38</v>
      </c>
      <c r="P750" t="n">
        <v>118.46</v>
      </c>
      <c r="Q750" t="n">
        <v>4.13</v>
      </c>
      <c r="R750" t="n">
        <v>0</v>
      </c>
      <c r="S750">
        <f>IF(OR(G750=0,G750=""),"",ABS((G750-IF($C750="LT",Config!$F$2,Config!$F$14))/IF($C750="LT",Config!$G$2,Config!$G$14)))</f>
        <v/>
      </c>
      <c r="T750">
        <f>IF(OR(H750=0,H750=""),"",ABS((H750-IF($C750="LT",Config!$F$3,Config!$F$15))/IF($C750="LT",Config!$G$3,Config!$G$15)))</f>
        <v/>
      </c>
      <c r="U750">
        <f>IF(OR(I750=0,I750=""),"",ABS((I750-IF($C750="LT",Config!$F$4,Config!$F$16))/IF($C750="LT",Config!$G$4,Config!$G$16)))</f>
        <v/>
      </c>
      <c r="V750">
        <f>IF(OR(J750=0,J750=""),"",ABS((J750-IF($C750="LT",Config!$F$5,Config!$F$17))/IF($C750="LT",Config!$G$5,Config!$G$17)))</f>
        <v/>
      </c>
      <c r="W750">
        <f>IF(OR(K750=0,K750=""),"",ABS((K750-IF($C750="LT",Config!$F$6,Config!$F$18))/IF($C750="LT",Config!$G$6,Config!$G$18)))</f>
        <v/>
      </c>
      <c r="X750">
        <f>IF(OR(L750=0,L750=""),"",ABS((L750-IF($C750="LT",Config!$F$7,Config!$F$19))/IF($C750="LT",Config!$G$7,Config!$G$19)))</f>
        <v/>
      </c>
      <c r="Y750">
        <f>IF(OR(M750=0,M750=""),"",ABS((M750-IF($C750="LT",Config!$F$8,Config!$F$20))/IF($C750="LT",Config!$G$8,Config!$G$20)))</f>
        <v/>
      </c>
      <c r="Z750">
        <f>IF(OR(N750=0,N750=""),"",ABS((N750-IF($C750="LT",Config!$F$9,Config!$F$21))/IF($C750="LT",Config!$G$9,Config!$G$21)))</f>
        <v/>
      </c>
      <c r="AA750">
        <f>IF(OR(O750=0,O750=""),"",ABS((O750-IF($C750="LT",Config!$F$10,Config!$F$22))/IF($C750="LT",Config!$G$10,Config!$G$22)))</f>
        <v/>
      </c>
      <c r="AB750">
        <f>IF(OR(P750=0,P750=""),"",ABS((P750-IF($C750="LT",Config!$F$11,Config!$F$23))/IF($C750="LT",Config!$G$11,Config!$G$23)))</f>
        <v/>
      </c>
      <c r="AC750">
        <f>IF(OR(Q750=0,Q750=""),"",ABS((Q750-IF($C750="LT",Config!$F$12,Config!$F$24))/IF($C750="LT",Config!$G$12,Config!$G$24)))</f>
        <v/>
      </c>
      <c r="AD750">
        <f>IF(OR(R750=0,R750=""),"",ABS((R750-IF($C750="LT",Config!$F$13,Config!$F$25))/IF($C750="LT",Config!$G$13,Config!$G$25)))</f>
        <v/>
      </c>
    </row>
    <row r="751">
      <c r="A751" t="inlineStr">
        <is>
          <t>04D1626121409</t>
        </is>
      </c>
      <c r="B751" t="inlineStr">
        <is>
          <t>CRS0000674</t>
        </is>
      </c>
      <c r="C751" t="inlineStr">
        <is>
          <t>MT</t>
        </is>
      </c>
      <c r="D751" t="inlineStr">
        <is>
          <t>TCX413U-DS1B01</t>
        </is>
      </c>
      <c r="E751" s="2" t="n">
        <v>46128</v>
      </c>
      <c r="F751" t="inlineStr">
        <is>
          <t>Fail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>
        <f>IF(OR(G751=0,G751=""),"",ABS((G751-IF($C751="LT",Config!$F$2,Config!$F$14))/IF($C751="LT",Config!$G$2,Config!$G$14)))</f>
        <v/>
      </c>
      <c r="T751">
        <f>IF(OR(H751=0,H751=""),"",ABS((H751-IF($C751="LT",Config!$F$3,Config!$F$15))/IF($C751="LT",Config!$G$3,Config!$G$15)))</f>
        <v/>
      </c>
      <c r="U751">
        <f>IF(OR(I751=0,I751=""),"",ABS((I751-IF($C751="LT",Config!$F$4,Config!$F$16))/IF($C751="LT",Config!$G$4,Config!$G$16)))</f>
        <v/>
      </c>
      <c r="V751">
        <f>IF(OR(J751=0,J751=""),"",ABS((J751-IF($C751="LT",Config!$F$5,Config!$F$17))/IF($C751="LT",Config!$G$5,Config!$G$17)))</f>
        <v/>
      </c>
      <c r="W751">
        <f>IF(OR(K751=0,K751=""),"",ABS((K751-IF($C751="LT",Config!$F$6,Config!$F$18))/IF($C751="LT",Config!$G$6,Config!$G$18)))</f>
        <v/>
      </c>
      <c r="X751">
        <f>IF(OR(L751=0,L751=""),"",ABS((L751-IF($C751="LT",Config!$F$7,Config!$F$19))/IF($C751="LT",Config!$G$7,Config!$G$19)))</f>
        <v/>
      </c>
      <c r="Y751">
        <f>IF(OR(M751=0,M751=""),"",ABS((M751-IF($C751="LT",Config!$F$8,Config!$F$20))/IF($C751="LT",Config!$G$8,Config!$G$20)))</f>
        <v/>
      </c>
      <c r="Z751">
        <f>IF(OR(N751=0,N751=""),"",ABS((N751-IF($C751="LT",Config!$F$9,Config!$F$21))/IF($C751="LT",Config!$G$9,Config!$G$21)))</f>
        <v/>
      </c>
      <c r="AA751">
        <f>IF(OR(O751=0,O751=""),"",ABS((O751-IF($C751="LT",Config!$F$10,Config!$F$22))/IF($C751="LT",Config!$G$10,Config!$G$22)))</f>
        <v/>
      </c>
      <c r="AB751">
        <f>IF(OR(P751=0,P751=""),"",ABS((P751-IF($C751="LT",Config!$F$11,Config!$F$23))/IF($C751="LT",Config!$G$11,Config!$G$23)))</f>
        <v/>
      </c>
      <c r="AC751">
        <f>IF(OR(Q751=0,Q751=""),"",ABS((Q751-IF($C751="LT",Config!$F$12,Config!$F$24))/IF($C751="LT",Config!$G$12,Config!$G$24)))</f>
        <v/>
      </c>
      <c r="AD751">
        <f>IF(OR(R751=0,R751=""),"",ABS((R751-IF($C751="LT",Config!$F$13,Config!$F$25))/IF($C751="LT",Config!$G$13,Config!$G$25)))</f>
        <v/>
      </c>
    </row>
    <row r="752">
      <c r="A752" t="inlineStr">
        <is>
          <t>04D1626121410</t>
        </is>
      </c>
      <c r="B752" t="inlineStr">
        <is>
          <t>CRS0000674</t>
        </is>
      </c>
      <c r="C752" t="inlineStr">
        <is>
          <t>MT</t>
        </is>
      </c>
      <c r="D752" t="inlineStr">
        <is>
          <t>TCX413U-DS1B01</t>
        </is>
      </c>
      <c r="E752" s="2" t="n">
        <v>46128</v>
      </c>
      <c r="F752" t="inlineStr">
        <is>
          <t>Pass</t>
        </is>
      </c>
      <c r="G752" t="n">
        <v>111.1</v>
      </c>
      <c r="H752" t="n">
        <v>81.09999999999999</v>
      </c>
      <c r="I752" t="n">
        <v>-1957.8</v>
      </c>
      <c r="J752" t="n">
        <v>71.3</v>
      </c>
      <c r="K752" t="n">
        <v>0</v>
      </c>
      <c r="L752" t="n">
        <v>0</v>
      </c>
      <c r="M752" t="n">
        <v>0</v>
      </c>
      <c r="N752" t="n">
        <v>71.3</v>
      </c>
      <c r="O752" t="n">
        <v>114.87</v>
      </c>
      <c r="P752" t="n">
        <v>114.8</v>
      </c>
      <c r="Q752" t="n">
        <v>3.88</v>
      </c>
      <c r="R752" t="n">
        <v>4.03</v>
      </c>
      <c r="S752">
        <f>IF(OR(G752=0,G752=""),"",ABS((G752-IF($C752="LT",Config!$F$2,Config!$F$14))/IF($C752="LT",Config!$G$2,Config!$G$14)))</f>
        <v/>
      </c>
      <c r="T752">
        <f>IF(OR(H752=0,H752=""),"",ABS((H752-IF($C752="LT",Config!$F$3,Config!$F$15))/IF($C752="LT",Config!$G$3,Config!$G$15)))</f>
        <v/>
      </c>
      <c r="U752">
        <f>IF(OR(I752=0,I752=""),"",ABS((I752-IF($C752="LT",Config!$F$4,Config!$F$16))/IF($C752="LT",Config!$G$4,Config!$G$16)))</f>
        <v/>
      </c>
      <c r="V752">
        <f>IF(OR(J752=0,J752=""),"",ABS((J752-IF($C752="LT",Config!$F$5,Config!$F$17))/IF($C752="LT",Config!$G$5,Config!$G$17)))</f>
        <v/>
      </c>
      <c r="W752">
        <f>IF(OR(K752=0,K752=""),"",ABS((K752-IF($C752="LT",Config!$F$6,Config!$F$18))/IF($C752="LT",Config!$G$6,Config!$G$18)))</f>
        <v/>
      </c>
      <c r="X752">
        <f>IF(OR(L752=0,L752=""),"",ABS((L752-IF($C752="LT",Config!$F$7,Config!$F$19))/IF($C752="LT",Config!$G$7,Config!$G$19)))</f>
        <v/>
      </c>
      <c r="Y752">
        <f>IF(OR(M752=0,M752=""),"",ABS((M752-IF($C752="LT",Config!$F$8,Config!$F$20))/IF($C752="LT",Config!$G$8,Config!$G$20)))</f>
        <v/>
      </c>
      <c r="Z752">
        <f>IF(OR(N752=0,N752=""),"",ABS((N752-IF($C752="LT",Config!$F$9,Config!$F$21))/IF($C752="LT",Config!$G$9,Config!$G$21)))</f>
        <v/>
      </c>
      <c r="AA752">
        <f>IF(OR(O752=0,O752=""),"",ABS((O752-IF($C752="LT",Config!$F$10,Config!$F$22))/IF($C752="LT",Config!$G$10,Config!$G$22)))</f>
        <v/>
      </c>
      <c r="AB752">
        <f>IF(OR(P752=0,P752=""),"",ABS((P752-IF($C752="LT",Config!$F$11,Config!$F$23))/IF($C752="LT",Config!$G$11,Config!$G$23)))</f>
        <v/>
      </c>
      <c r="AC752">
        <f>IF(OR(Q752=0,Q752=""),"",ABS((Q752-IF($C752="LT",Config!$F$12,Config!$F$24))/IF($C752="LT",Config!$G$12,Config!$G$24)))</f>
        <v/>
      </c>
      <c r="AD752">
        <f>IF(OR(R752=0,R752=""),"",ABS((R752-IF($C752="LT",Config!$F$13,Config!$F$25))/IF($C752="LT",Config!$G$13,Config!$G$25)))</f>
        <v/>
      </c>
    </row>
    <row r="753">
      <c r="A753" t="inlineStr">
        <is>
          <t>04D1626121411</t>
        </is>
      </c>
      <c r="B753" t="inlineStr">
        <is>
          <t>CRS0000674</t>
        </is>
      </c>
      <c r="C753" t="inlineStr">
        <is>
          <t>MT</t>
        </is>
      </c>
      <c r="D753" t="inlineStr">
        <is>
          <t>TCX413U-DS1B01</t>
        </is>
      </c>
      <c r="E753" s="2" t="n">
        <v>46128</v>
      </c>
      <c r="F753" t="inlineStr">
        <is>
          <t>Pass</t>
        </is>
      </c>
      <c r="G753" t="n">
        <v>117.3</v>
      </c>
      <c r="H753" t="n">
        <v>85.2</v>
      </c>
      <c r="I753" t="n">
        <v>-1957.8</v>
      </c>
      <c r="J753" t="n">
        <v>71.3</v>
      </c>
      <c r="K753" t="n">
        <v>0</v>
      </c>
      <c r="L753" t="n">
        <v>1</v>
      </c>
      <c r="M753" t="n">
        <v>0</v>
      </c>
      <c r="N753" t="n">
        <v>70.3</v>
      </c>
      <c r="O753" t="n">
        <v>111.57</v>
      </c>
      <c r="P753" t="n">
        <v>113.7</v>
      </c>
      <c r="Q753" t="n">
        <v>4.13</v>
      </c>
      <c r="R753" t="n">
        <v>4.17</v>
      </c>
      <c r="S753">
        <f>IF(OR(G753=0,G753=""),"",ABS((G753-IF($C753="LT",Config!$F$2,Config!$F$14))/IF($C753="LT",Config!$G$2,Config!$G$14)))</f>
        <v/>
      </c>
      <c r="T753">
        <f>IF(OR(H753=0,H753=""),"",ABS((H753-IF($C753="LT",Config!$F$3,Config!$F$15))/IF($C753="LT",Config!$G$3,Config!$G$15)))</f>
        <v/>
      </c>
      <c r="U753">
        <f>IF(OR(I753=0,I753=""),"",ABS((I753-IF($C753="LT",Config!$F$4,Config!$F$16))/IF($C753="LT",Config!$G$4,Config!$G$16)))</f>
        <v/>
      </c>
      <c r="V753">
        <f>IF(OR(J753=0,J753=""),"",ABS((J753-IF($C753="LT",Config!$F$5,Config!$F$17))/IF($C753="LT",Config!$G$5,Config!$G$17)))</f>
        <v/>
      </c>
      <c r="W753">
        <f>IF(OR(K753=0,K753=""),"",ABS((K753-IF($C753="LT",Config!$F$6,Config!$F$18))/IF($C753="LT",Config!$G$6,Config!$G$18)))</f>
        <v/>
      </c>
      <c r="X753">
        <f>IF(OR(L753=0,L753=""),"",ABS((L753-IF($C753="LT",Config!$F$7,Config!$F$19))/IF($C753="LT",Config!$G$7,Config!$G$19)))</f>
        <v/>
      </c>
      <c r="Y753">
        <f>IF(OR(M753=0,M753=""),"",ABS((M753-IF($C753="LT",Config!$F$8,Config!$F$20))/IF($C753="LT",Config!$G$8,Config!$G$20)))</f>
        <v/>
      </c>
      <c r="Z753">
        <f>IF(OR(N753=0,N753=""),"",ABS((N753-IF($C753="LT",Config!$F$9,Config!$F$21))/IF($C753="LT",Config!$G$9,Config!$G$21)))</f>
        <v/>
      </c>
      <c r="AA753">
        <f>IF(OR(O753=0,O753=""),"",ABS((O753-IF($C753="LT",Config!$F$10,Config!$F$22))/IF($C753="LT",Config!$G$10,Config!$G$22)))</f>
        <v/>
      </c>
      <c r="AB753">
        <f>IF(OR(P753=0,P753=""),"",ABS((P753-IF($C753="LT",Config!$F$11,Config!$F$23))/IF($C753="LT",Config!$G$11,Config!$G$23)))</f>
        <v/>
      </c>
      <c r="AC753">
        <f>IF(OR(Q753=0,Q753=""),"",ABS((Q753-IF($C753="LT",Config!$F$12,Config!$F$24))/IF($C753="LT",Config!$G$12,Config!$G$24)))</f>
        <v/>
      </c>
      <c r="AD753">
        <f>IF(OR(R753=0,R753=""),"",ABS((R753-IF($C753="LT",Config!$F$13,Config!$F$25))/IF($C753="LT",Config!$G$13,Config!$G$25)))</f>
        <v/>
      </c>
    </row>
    <row r="754">
      <c r="A754" t="inlineStr">
        <is>
          <t>04D1626121412</t>
        </is>
      </c>
      <c r="B754" t="inlineStr">
        <is>
          <t>CRS0000674</t>
        </is>
      </c>
      <c r="C754" t="inlineStr">
        <is>
          <t>MT</t>
        </is>
      </c>
      <c r="D754" t="inlineStr">
        <is>
          <t>TCX413U-DS1B01</t>
        </is>
      </c>
      <c r="E754" s="2" t="n">
        <v>46128</v>
      </c>
      <c r="F754" t="inlineStr">
        <is>
          <t>Pass</t>
        </is>
      </c>
      <c r="G754" t="n">
        <v>107.9</v>
      </c>
      <c r="H754" t="n">
        <v>83.8</v>
      </c>
      <c r="I754" t="n">
        <v>-1957.8</v>
      </c>
      <c r="J754" t="n">
        <v>71.3</v>
      </c>
      <c r="K754" t="n">
        <v>0</v>
      </c>
      <c r="L754" t="n">
        <v>0.3</v>
      </c>
      <c r="M754" t="n">
        <v>0</v>
      </c>
      <c r="N754" t="n">
        <v>71.59999999999999</v>
      </c>
      <c r="O754" t="n">
        <v>115.38</v>
      </c>
      <c r="P754" t="n">
        <v>115.68</v>
      </c>
      <c r="Q754" t="n">
        <v>4.03</v>
      </c>
      <c r="R754" t="n">
        <v>4.1</v>
      </c>
      <c r="S754">
        <f>IF(OR(G754=0,G754=""),"",ABS((G754-IF($C754="LT",Config!$F$2,Config!$F$14))/IF($C754="LT",Config!$G$2,Config!$G$14)))</f>
        <v/>
      </c>
      <c r="T754">
        <f>IF(OR(H754=0,H754=""),"",ABS((H754-IF($C754="LT",Config!$F$3,Config!$F$15))/IF($C754="LT",Config!$G$3,Config!$G$15)))</f>
        <v/>
      </c>
      <c r="U754">
        <f>IF(OR(I754=0,I754=""),"",ABS((I754-IF($C754="LT",Config!$F$4,Config!$F$16))/IF($C754="LT",Config!$G$4,Config!$G$16)))</f>
        <v/>
      </c>
      <c r="V754">
        <f>IF(OR(J754=0,J754=""),"",ABS((J754-IF($C754="LT",Config!$F$5,Config!$F$17))/IF($C754="LT",Config!$G$5,Config!$G$17)))</f>
        <v/>
      </c>
      <c r="W754">
        <f>IF(OR(K754=0,K754=""),"",ABS((K754-IF($C754="LT",Config!$F$6,Config!$F$18))/IF($C754="LT",Config!$G$6,Config!$G$18)))</f>
        <v/>
      </c>
      <c r="X754">
        <f>IF(OR(L754=0,L754=""),"",ABS((L754-IF($C754="LT",Config!$F$7,Config!$F$19))/IF($C754="LT",Config!$G$7,Config!$G$19)))</f>
        <v/>
      </c>
      <c r="Y754">
        <f>IF(OR(M754=0,M754=""),"",ABS((M754-IF($C754="LT",Config!$F$8,Config!$F$20))/IF($C754="LT",Config!$G$8,Config!$G$20)))</f>
        <v/>
      </c>
      <c r="Z754">
        <f>IF(OR(N754=0,N754=""),"",ABS((N754-IF($C754="LT",Config!$F$9,Config!$F$21))/IF($C754="LT",Config!$G$9,Config!$G$21)))</f>
        <v/>
      </c>
      <c r="AA754">
        <f>IF(OR(O754=0,O754=""),"",ABS((O754-IF($C754="LT",Config!$F$10,Config!$F$22))/IF($C754="LT",Config!$G$10,Config!$G$22)))</f>
        <v/>
      </c>
      <c r="AB754">
        <f>IF(OR(P754=0,P754=""),"",ABS((P754-IF($C754="LT",Config!$F$11,Config!$F$23))/IF($C754="LT",Config!$G$11,Config!$G$23)))</f>
        <v/>
      </c>
      <c r="AC754">
        <f>IF(OR(Q754=0,Q754=""),"",ABS((Q754-IF($C754="LT",Config!$F$12,Config!$F$24))/IF($C754="LT",Config!$G$12,Config!$G$24)))</f>
        <v/>
      </c>
      <c r="AD754">
        <f>IF(OR(R754=0,R754=""),"",ABS((R754-IF($C754="LT",Config!$F$13,Config!$F$25))/IF($C754="LT",Config!$G$13,Config!$G$25)))</f>
        <v/>
      </c>
    </row>
    <row r="755">
      <c r="A755" t="inlineStr">
        <is>
          <t>04D1626121413</t>
        </is>
      </c>
      <c r="B755" t="inlineStr">
        <is>
          <t>CRS0000674</t>
        </is>
      </c>
      <c r="C755" t="inlineStr">
        <is>
          <t>MT</t>
        </is>
      </c>
      <c r="D755" t="inlineStr">
        <is>
          <t>TCX413U-DS1B01</t>
        </is>
      </c>
      <c r="E755" s="2" t="n">
        <v>46128</v>
      </c>
      <c r="F755" t="inlineStr">
        <is>
          <t>Pass</t>
        </is>
      </c>
      <c r="G755" t="n">
        <v>115.1</v>
      </c>
      <c r="H755" t="n">
        <v>84.3</v>
      </c>
      <c r="I755" t="n">
        <v>-1957.8</v>
      </c>
      <c r="J755" t="n">
        <v>71.7</v>
      </c>
      <c r="K755" t="n">
        <v>0</v>
      </c>
      <c r="L755" t="n">
        <v>0.3</v>
      </c>
      <c r="M755" t="n">
        <v>0</v>
      </c>
      <c r="N755" t="n">
        <v>71.40000000000001</v>
      </c>
      <c r="O755" t="n">
        <v>115.75</v>
      </c>
      <c r="P755" t="n">
        <v>117</v>
      </c>
      <c r="Q755" t="n">
        <v>3.93</v>
      </c>
      <c r="R755" t="n">
        <v>4</v>
      </c>
      <c r="S755">
        <f>IF(OR(G755=0,G755=""),"",ABS((G755-IF($C755="LT",Config!$F$2,Config!$F$14))/IF($C755="LT",Config!$G$2,Config!$G$14)))</f>
        <v/>
      </c>
      <c r="T755">
        <f>IF(OR(H755=0,H755=""),"",ABS((H755-IF($C755="LT",Config!$F$3,Config!$F$15))/IF($C755="LT",Config!$G$3,Config!$G$15)))</f>
        <v/>
      </c>
      <c r="U755">
        <f>IF(OR(I755=0,I755=""),"",ABS((I755-IF($C755="LT",Config!$F$4,Config!$F$16))/IF($C755="LT",Config!$G$4,Config!$G$16)))</f>
        <v/>
      </c>
      <c r="V755">
        <f>IF(OR(J755=0,J755=""),"",ABS((J755-IF($C755="LT",Config!$F$5,Config!$F$17))/IF($C755="LT",Config!$G$5,Config!$G$17)))</f>
        <v/>
      </c>
      <c r="W755">
        <f>IF(OR(K755=0,K755=""),"",ABS((K755-IF($C755="LT",Config!$F$6,Config!$F$18))/IF($C755="LT",Config!$G$6,Config!$G$18)))</f>
        <v/>
      </c>
      <c r="X755">
        <f>IF(OR(L755=0,L755=""),"",ABS((L755-IF($C755="LT",Config!$F$7,Config!$F$19))/IF($C755="LT",Config!$G$7,Config!$G$19)))</f>
        <v/>
      </c>
      <c r="Y755">
        <f>IF(OR(M755=0,M755=""),"",ABS((M755-IF($C755="LT",Config!$F$8,Config!$F$20))/IF($C755="LT",Config!$G$8,Config!$G$20)))</f>
        <v/>
      </c>
      <c r="Z755">
        <f>IF(OR(N755=0,N755=""),"",ABS((N755-IF($C755="LT",Config!$F$9,Config!$F$21))/IF($C755="LT",Config!$G$9,Config!$G$21)))</f>
        <v/>
      </c>
      <c r="AA755">
        <f>IF(OR(O755=0,O755=""),"",ABS((O755-IF($C755="LT",Config!$F$10,Config!$F$22))/IF($C755="LT",Config!$G$10,Config!$G$22)))</f>
        <v/>
      </c>
      <c r="AB755">
        <f>IF(OR(P755=0,P755=""),"",ABS((P755-IF($C755="LT",Config!$F$11,Config!$F$23))/IF($C755="LT",Config!$G$11,Config!$G$23)))</f>
        <v/>
      </c>
      <c r="AC755">
        <f>IF(OR(Q755=0,Q755=""),"",ABS((Q755-IF($C755="LT",Config!$F$12,Config!$F$24))/IF($C755="LT",Config!$G$12,Config!$G$24)))</f>
        <v/>
      </c>
      <c r="AD755">
        <f>IF(OR(R755=0,R755=""),"",ABS((R755-IF($C755="LT",Config!$F$13,Config!$F$25))/IF($C755="LT",Config!$G$13,Config!$G$25)))</f>
        <v/>
      </c>
    </row>
    <row r="756">
      <c r="A756" t="inlineStr">
        <is>
          <t>04D1626121414</t>
        </is>
      </c>
      <c r="B756" t="inlineStr">
        <is>
          <t>CRS0000674</t>
        </is>
      </c>
      <c r="C756" t="inlineStr">
        <is>
          <t>MT</t>
        </is>
      </c>
      <c r="D756" t="inlineStr">
        <is>
          <t>TCX413U-DS1B01</t>
        </is>
      </c>
      <c r="E756" s="2" t="n">
        <v>46128</v>
      </c>
      <c r="F756" t="inlineStr">
        <is>
          <t>Pass</t>
        </is>
      </c>
      <c r="G756" t="n">
        <v>120.4</v>
      </c>
      <c r="H756" t="n">
        <v>84.3</v>
      </c>
      <c r="I756" t="n">
        <v>-1957.8</v>
      </c>
      <c r="J756" t="n">
        <v>71.7</v>
      </c>
      <c r="K756" t="n">
        <v>0</v>
      </c>
      <c r="L756" t="n">
        <v>0.2</v>
      </c>
      <c r="M756" t="n">
        <v>0</v>
      </c>
      <c r="N756" t="n">
        <v>71.90000000000001</v>
      </c>
      <c r="O756" t="n">
        <v>112.3</v>
      </c>
      <c r="P756" t="n">
        <v>116.85</v>
      </c>
      <c r="Q756" t="n">
        <v>3.96</v>
      </c>
      <c r="R756" t="n">
        <v>3.96</v>
      </c>
      <c r="S756">
        <f>IF(OR(G756=0,G756=""),"",ABS((G756-IF($C756="LT",Config!$F$2,Config!$F$14))/IF($C756="LT",Config!$G$2,Config!$G$14)))</f>
        <v/>
      </c>
      <c r="T756">
        <f>IF(OR(H756=0,H756=""),"",ABS((H756-IF($C756="LT",Config!$F$3,Config!$F$15))/IF($C756="LT",Config!$G$3,Config!$G$15)))</f>
        <v/>
      </c>
      <c r="U756">
        <f>IF(OR(I756=0,I756=""),"",ABS((I756-IF($C756="LT",Config!$F$4,Config!$F$16))/IF($C756="LT",Config!$G$4,Config!$G$16)))</f>
        <v/>
      </c>
      <c r="V756">
        <f>IF(OR(J756=0,J756=""),"",ABS((J756-IF($C756="LT",Config!$F$5,Config!$F$17))/IF($C756="LT",Config!$G$5,Config!$G$17)))</f>
        <v/>
      </c>
      <c r="W756">
        <f>IF(OR(K756=0,K756=""),"",ABS((K756-IF($C756="LT",Config!$F$6,Config!$F$18))/IF($C756="LT",Config!$G$6,Config!$G$18)))</f>
        <v/>
      </c>
      <c r="X756">
        <f>IF(OR(L756=0,L756=""),"",ABS((L756-IF($C756="LT",Config!$F$7,Config!$F$19))/IF($C756="LT",Config!$G$7,Config!$G$19)))</f>
        <v/>
      </c>
      <c r="Y756">
        <f>IF(OR(M756=0,M756=""),"",ABS((M756-IF($C756="LT",Config!$F$8,Config!$F$20))/IF($C756="LT",Config!$G$8,Config!$G$20)))</f>
        <v/>
      </c>
      <c r="Z756">
        <f>IF(OR(N756=0,N756=""),"",ABS((N756-IF($C756="LT",Config!$F$9,Config!$F$21))/IF($C756="LT",Config!$G$9,Config!$G$21)))</f>
        <v/>
      </c>
      <c r="AA756">
        <f>IF(OR(O756=0,O756=""),"",ABS((O756-IF($C756="LT",Config!$F$10,Config!$F$22))/IF($C756="LT",Config!$G$10,Config!$G$22)))</f>
        <v/>
      </c>
      <c r="AB756">
        <f>IF(OR(P756=0,P756=""),"",ABS((P756-IF($C756="LT",Config!$F$11,Config!$F$23))/IF($C756="LT",Config!$G$11,Config!$G$23)))</f>
        <v/>
      </c>
      <c r="AC756">
        <f>IF(OR(Q756=0,Q756=""),"",ABS((Q756-IF($C756="LT",Config!$F$12,Config!$F$24))/IF($C756="LT",Config!$G$12,Config!$G$24)))</f>
        <v/>
      </c>
      <c r="AD756">
        <f>IF(OR(R756=0,R756=""),"",ABS((R756-IF($C756="LT",Config!$F$13,Config!$F$25))/IF($C756="LT",Config!$G$13,Config!$G$25)))</f>
        <v/>
      </c>
    </row>
    <row r="757">
      <c r="A757" t="inlineStr">
        <is>
          <t>04D1626121415</t>
        </is>
      </c>
      <c r="B757" t="inlineStr">
        <is>
          <t>CRS0000674</t>
        </is>
      </c>
      <c r="C757" t="inlineStr">
        <is>
          <t>MT</t>
        </is>
      </c>
      <c r="D757" t="inlineStr">
        <is>
          <t>TCX413U-DS1B01</t>
        </is>
      </c>
      <c r="E757" s="2" t="n">
        <v>46128</v>
      </c>
      <c r="F757" t="inlineStr">
        <is>
          <t>Fail</t>
        </is>
      </c>
      <c r="G757" t="n">
        <v>82.90000000000001</v>
      </c>
      <c r="H757" t="n">
        <v>72.5</v>
      </c>
      <c r="I757" t="n">
        <v>-1957.8</v>
      </c>
      <c r="J757" t="n">
        <v>71.7</v>
      </c>
      <c r="K757" t="n">
        <v>0</v>
      </c>
      <c r="L757" t="n">
        <v>1</v>
      </c>
      <c r="M757" t="n">
        <v>0</v>
      </c>
      <c r="N757" t="n">
        <v>70.7</v>
      </c>
      <c r="O757" t="n">
        <v>112.38</v>
      </c>
      <c r="P757" t="n">
        <v>116.56</v>
      </c>
      <c r="Q757" t="n">
        <v>4.05</v>
      </c>
      <c r="R757" t="n">
        <v>4.1</v>
      </c>
      <c r="S757">
        <f>IF(OR(G757=0,G757=""),"",ABS((G757-IF($C757="LT",Config!$F$2,Config!$F$14))/IF($C757="LT",Config!$G$2,Config!$G$14)))</f>
        <v/>
      </c>
      <c r="T757">
        <f>IF(OR(H757=0,H757=""),"",ABS((H757-IF($C757="LT",Config!$F$3,Config!$F$15))/IF($C757="LT",Config!$G$3,Config!$G$15)))</f>
        <v/>
      </c>
      <c r="U757">
        <f>IF(OR(I757=0,I757=""),"",ABS((I757-IF($C757="LT",Config!$F$4,Config!$F$16))/IF($C757="LT",Config!$G$4,Config!$G$16)))</f>
        <v/>
      </c>
      <c r="V757">
        <f>IF(OR(J757=0,J757=""),"",ABS((J757-IF($C757="LT",Config!$F$5,Config!$F$17))/IF($C757="LT",Config!$G$5,Config!$G$17)))</f>
        <v/>
      </c>
      <c r="W757">
        <f>IF(OR(K757=0,K757=""),"",ABS((K757-IF($C757="LT",Config!$F$6,Config!$F$18))/IF($C757="LT",Config!$G$6,Config!$G$18)))</f>
        <v/>
      </c>
      <c r="X757">
        <f>IF(OR(L757=0,L757=""),"",ABS((L757-IF($C757="LT",Config!$F$7,Config!$F$19))/IF($C757="LT",Config!$G$7,Config!$G$19)))</f>
        <v/>
      </c>
      <c r="Y757">
        <f>IF(OR(M757=0,M757=""),"",ABS((M757-IF($C757="LT",Config!$F$8,Config!$F$20))/IF($C757="LT",Config!$G$8,Config!$G$20)))</f>
        <v/>
      </c>
      <c r="Z757">
        <f>IF(OR(N757=0,N757=""),"",ABS((N757-IF($C757="LT",Config!$F$9,Config!$F$21))/IF($C757="LT",Config!$G$9,Config!$G$21)))</f>
        <v/>
      </c>
      <c r="AA757">
        <f>IF(OR(O757=0,O757=""),"",ABS((O757-IF($C757="LT",Config!$F$10,Config!$F$22))/IF($C757="LT",Config!$G$10,Config!$G$22)))</f>
        <v/>
      </c>
      <c r="AB757">
        <f>IF(OR(P757=0,P757=""),"",ABS((P757-IF($C757="LT",Config!$F$11,Config!$F$23))/IF($C757="LT",Config!$G$11,Config!$G$23)))</f>
        <v/>
      </c>
      <c r="AC757">
        <f>IF(OR(Q757=0,Q757=""),"",ABS((Q757-IF($C757="LT",Config!$F$12,Config!$F$24))/IF($C757="LT",Config!$G$12,Config!$G$24)))</f>
        <v/>
      </c>
      <c r="AD757">
        <f>IF(OR(R757=0,R757=""),"",ABS((R757-IF($C757="LT",Config!$F$13,Config!$F$25))/IF($C757="LT",Config!$G$13,Config!$G$25)))</f>
        <v/>
      </c>
    </row>
    <row r="758">
      <c r="A758" t="inlineStr">
        <is>
          <t>04D1626121415</t>
        </is>
      </c>
      <c r="B758" t="inlineStr">
        <is>
          <t>CRS0000674</t>
        </is>
      </c>
      <c r="C758" t="inlineStr">
        <is>
          <t>MT</t>
        </is>
      </c>
      <c r="D758" t="inlineStr">
        <is>
          <t>TCX413U-DS1B01</t>
        </is>
      </c>
      <c r="E758" s="2" t="n">
        <v>46128</v>
      </c>
      <c r="F758" t="inlineStr">
        <is>
          <t>Pass</t>
        </is>
      </c>
      <c r="G758" t="n">
        <v>110.6</v>
      </c>
      <c r="H758" t="n">
        <v>85.2</v>
      </c>
      <c r="I758" t="n">
        <v>-1957.8</v>
      </c>
      <c r="J758" t="n">
        <v>71.7</v>
      </c>
      <c r="K758" t="n">
        <v>0</v>
      </c>
      <c r="L758" t="n">
        <v>0.1</v>
      </c>
      <c r="M758" t="n">
        <v>0</v>
      </c>
      <c r="N758" t="n">
        <v>71.8</v>
      </c>
      <c r="O758" t="n">
        <v>115.16</v>
      </c>
      <c r="P758" t="n">
        <v>114.8</v>
      </c>
      <c r="Q758" t="n">
        <v>4.13</v>
      </c>
      <c r="R758" t="n">
        <v>4.13</v>
      </c>
      <c r="S758">
        <f>IF(OR(G758=0,G758=""),"",ABS((G758-IF($C758="LT",Config!$F$2,Config!$F$14))/IF($C758="LT",Config!$G$2,Config!$G$14)))</f>
        <v/>
      </c>
      <c r="T758">
        <f>IF(OR(H758=0,H758=""),"",ABS((H758-IF($C758="LT",Config!$F$3,Config!$F$15))/IF($C758="LT",Config!$G$3,Config!$G$15)))</f>
        <v/>
      </c>
      <c r="U758">
        <f>IF(OR(I758=0,I758=""),"",ABS((I758-IF($C758="LT",Config!$F$4,Config!$F$16))/IF($C758="LT",Config!$G$4,Config!$G$16)))</f>
        <v/>
      </c>
      <c r="V758">
        <f>IF(OR(J758=0,J758=""),"",ABS((J758-IF($C758="LT",Config!$F$5,Config!$F$17))/IF($C758="LT",Config!$G$5,Config!$G$17)))</f>
        <v/>
      </c>
      <c r="W758">
        <f>IF(OR(K758=0,K758=""),"",ABS((K758-IF($C758="LT",Config!$F$6,Config!$F$18))/IF($C758="LT",Config!$G$6,Config!$G$18)))</f>
        <v/>
      </c>
      <c r="X758">
        <f>IF(OR(L758=0,L758=""),"",ABS((L758-IF($C758="LT",Config!$F$7,Config!$F$19))/IF($C758="LT",Config!$G$7,Config!$G$19)))</f>
        <v/>
      </c>
      <c r="Y758">
        <f>IF(OR(M758=0,M758=""),"",ABS((M758-IF($C758="LT",Config!$F$8,Config!$F$20))/IF($C758="LT",Config!$G$8,Config!$G$20)))</f>
        <v/>
      </c>
      <c r="Z758">
        <f>IF(OR(N758=0,N758=""),"",ABS((N758-IF($C758="LT",Config!$F$9,Config!$F$21))/IF($C758="LT",Config!$G$9,Config!$G$21)))</f>
        <v/>
      </c>
      <c r="AA758">
        <f>IF(OR(O758=0,O758=""),"",ABS((O758-IF($C758="LT",Config!$F$10,Config!$F$22))/IF($C758="LT",Config!$G$10,Config!$G$22)))</f>
        <v/>
      </c>
      <c r="AB758">
        <f>IF(OR(P758=0,P758=""),"",ABS((P758-IF($C758="LT",Config!$F$11,Config!$F$23))/IF($C758="LT",Config!$G$11,Config!$G$23)))</f>
        <v/>
      </c>
      <c r="AC758">
        <f>IF(OR(Q758=0,Q758=""),"",ABS((Q758-IF($C758="LT",Config!$F$12,Config!$F$24))/IF($C758="LT",Config!$G$12,Config!$G$24)))</f>
        <v/>
      </c>
      <c r="AD758">
        <f>IF(OR(R758=0,R758=""),"",ABS((R758-IF($C758="LT",Config!$F$13,Config!$F$25))/IF($C758="LT",Config!$G$13,Config!$G$25)))</f>
        <v/>
      </c>
    </row>
    <row r="759">
      <c r="A759" t="inlineStr">
        <is>
          <t>04D1626121416</t>
        </is>
      </c>
      <c r="B759" t="inlineStr">
        <is>
          <t>CRS0000674</t>
        </is>
      </c>
      <c r="C759" t="inlineStr">
        <is>
          <t>MT</t>
        </is>
      </c>
      <c r="D759" t="inlineStr">
        <is>
          <t>TCX413U-DS1B01</t>
        </is>
      </c>
      <c r="E759" s="2" t="n">
        <v>46128</v>
      </c>
      <c r="F759" t="inlineStr">
        <is>
          <t>Pass</t>
        </is>
      </c>
      <c r="G759" t="n">
        <v>109.7</v>
      </c>
      <c r="H759" t="n">
        <v>85.59999999999999</v>
      </c>
      <c r="I759" t="n">
        <v>-1957.8</v>
      </c>
      <c r="J759" t="n">
        <v>71.7</v>
      </c>
      <c r="K759" t="n">
        <v>0</v>
      </c>
      <c r="L759" t="n">
        <v>0.7</v>
      </c>
      <c r="M759" t="n">
        <v>0</v>
      </c>
      <c r="N759" t="n">
        <v>71</v>
      </c>
      <c r="O759" t="n">
        <v>111.72</v>
      </c>
      <c r="P759" t="n">
        <v>113.55</v>
      </c>
      <c r="Q759" t="n">
        <v>4.08</v>
      </c>
      <c r="R759" t="n">
        <v>4.13</v>
      </c>
      <c r="S759">
        <f>IF(OR(G759=0,G759=""),"",ABS((G759-IF($C759="LT",Config!$F$2,Config!$F$14))/IF($C759="LT",Config!$G$2,Config!$G$14)))</f>
        <v/>
      </c>
      <c r="T759">
        <f>IF(OR(H759=0,H759=""),"",ABS((H759-IF($C759="LT",Config!$F$3,Config!$F$15))/IF($C759="LT",Config!$G$3,Config!$G$15)))</f>
        <v/>
      </c>
      <c r="U759">
        <f>IF(OR(I759=0,I759=""),"",ABS((I759-IF($C759="LT",Config!$F$4,Config!$F$16))/IF($C759="LT",Config!$G$4,Config!$G$16)))</f>
        <v/>
      </c>
      <c r="V759">
        <f>IF(OR(J759=0,J759=""),"",ABS((J759-IF($C759="LT",Config!$F$5,Config!$F$17))/IF($C759="LT",Config!$G$5,Config!$G$17)))</f>
        <v/>
      </c>
      <c r="W759">
        <f>IF(OR(K759=0,K759=""),"",ABS((K759-IF($C759="LT",Config!$F$6,Config!$F$18))/IF($C759="LT",Config!$G$6,Config!$G$18)))</f>
        <v/>
      </c>
      <c r="X759">
        <f>IF(OR(L759=0,L759=""),"",ABS((L759-IF($C759="LT",Config!$F$7,Config!$F$19))/IF($C759="LT",Config!$G$7,Config!$G$19)))</f>
        <v/>
      </c>
      <c r="Y759">
        <f>IF(OR(M759=0,M759=""),"",ABS((M759-IF($C759="LT",Config!$F$8,Config!$F$20))/IF($C759="LT",Config!$G$8,Config!$G$20)))</f>
        <v/>
      </c>
      <c r="Z759">
        <f>IF(OR(N759=0,N759=""),"",ABS((N759-IF($C759="LT",Config!$F$9,Config!$F$21))/IF($C759="LT",Config!$G$9,Config!$G$21)))</f>
        <v/>
      </c>
      <c r="AA759">
        <f>IF(OR(O759=0,O759=""),"",ABS((O759-IF($C759="LT",Config!$F$10,Config!$F$22))/IF($C759="LT",Config!$G$10,Config!$G$22)))</f>
        <v/>
      </c>
      <c r="AB759">
        <f>IF(OR(P759=0,P759=""),"",ABS((P759-IF($C759="LT",Config!$F$11,Config!$F$23))/IF($C759="LT",Config!$G$11,Config!$G$23)))</f>
        <v/>
      </c>
      <c r="AC759">
        <f>IF(OR(Q759=0,Q759=""),"",ABS((Q759-IF($C759="LT",Config!$F$12,Config!$F$24))/IF($C759="LT",Config!$G$12,Config!$G$24)))</f>
        <v/>
      </c>
      <c r="AD759">
        <f>IF(OR(R759=0,R759=""),"",ABS((R759-IF($C759="LT",Config!$F$13,Config!$F$25))/IF($C759="LT",Config!$G$13,Config!$G$25)))</f>
        <v/>
      </c>
    </row>
    <row r="760">
      <c r="A760" t="inlineStr">
        <is>
          <t>04D1626121417</t>
        </is>
      </c>
      <c r="B760" t="inlineStr">
        <is>
          <t>CRS0000674</t>
        </is>
      </c>
      <c r="C760" t="inlineStr">
        <is>
          <t>MT</t>
        </is>
      </c>
      <c r="D760" t="inlineStr">
        <is>
          <t>TCX413U-DS1B01</t>
        </is>
      </c>
      <c r="E760" s="2" t="n">
        <v>46128</v>
      </c>
      <c r="F760" t="inlineStr">
        <is>
          <t>Pass</t>
        </is>
      </c>
      <c r="G760" t="n">
        <v>119.6</v>
      </c>
      <c r="H760" t="n">
        <v>85.2</v>
      </c>
      <c r="I760" t="n">
        <v>-1957.8</v>
      </c>
      <c r="J760" t="n">
        <v>72.2</v>
      </c>
      <c r="K760" t="n">
        <v>0</v>
      </c>
      <c r="L760" t="n">
        <v>0.8</v>
      </c>
      <c r="M760" t="n">
        <v>0</v>
      </c>
      <c r="N760" t="n">
        <v>71.40000000000001</v>
      </c>
      <c r="O760" t="n">
        <v>111.94</v>
      </c>
      <c r="P760" t="n">
        <v>113.11</v>
      </c>
      <c r="Q760" t="n">
        <v>4.05</v>
      </c>
      <c r="R760" t="n">
        <v>4.05</v>
      </c>
      <c r="S760">
        <f>IF(OR(G760=0,G760=""),"",ABS((G760-IF($C760="LT",Config!$F$2,Config!$F$14))/IF($C760="LT",Config!$G$2,Config!$G$14)))</f>
        <v/>
      </c>
      <c r="T760">
        <f>IF(OR(H760=0,H760=""),"",ABS((H760-IF($C760="LT",Config!$F$3,Config!$F$15))/IF($C760="LT",Config!$G$3,Config!$G$15)))</f>
        <v/>
      </c>
      <c r="U760">
        <f>IF(OR(I760=0,I760=""),"",ABS((I760-IF($C760="LT",Config!$F$4,Config!$F$16))/IF($C760="LT",Config!$G$4,Config!$G$16)))</f>
        <v/>
      </c>
      <c r="V760">
        <f>IF(OR(J760=0,J760=""),"",ABS((J760-IF($C760="LT",Config!$F$5,Config!$F$17))/IF($C760="LT",Config!$G$5,Config!$G$17)))</f>
        <v/>
      </c>
      <c r="W760">
        <f>IF(OR(K760=0,K760=""),"",ABS((K760-IF($C760="LT",Config!$F$6,Config!$F$18))/IF($C760="LT",Config!$G$6,Config!$G$18)))</f>
        <v/>
      </c>
      <c r="X760">
        <f>IF(OR(L760=0,L760=""),"",ABS((L760-IF($C760="LT",Config!$F$7,Config!$F$19))/IF($C760="LT",Config!$G$7,Config!$G$19)))</f>
        <v/>
      </c>
      <c r="Y760">
        <f>IF(OR(M760=0,M760=""),"",ABS((M760-IF($C760="LT",Config!$F$8,Config!$F$20))/IF($C760="LT",Config!$G$8,Config!$G$20)))</f>
        <v/>
      </c>
      <c r="Z760">
        <f>IF(OR(N760=0,N760=""),"",ABS((N760-IF($C760="LT",Config!$F$9,Config!$F$21))/IF($C760="LT",Config!$G$9,Config!$G$21)))</f>
        <v/>
      </c>
      <c r="AA760">
        <f>IF(OR(O760=0,O760=""),"",ABS((O760-IF($C760="LT",Config!$F$10,Config!$F$22))/IF($C760="LT",Config!$G$10,Config!$G$22)))</f>
        <v/>
      </c>
      <c r="AB760">
        <f>IF(OR(P760=0,P760=""),"",ABS((P760-IF($C760="LT",Config!$F$11,Config!$F$23))/IF($C760="LT",Config!$G$11,Config!$G$23)))</f>
        <v/>
      </c>
      <c r="AC760">
        <f>IF(OR(Q760=0,Q760=""),"",ABS((Q760-IF($C760="LT",Config!$F$12,Config!$F$24))/IF($C760="LT",Config!$G$12,Config!$G$24)))</f>
        <v/>
      </c>
      <c r="AD760">
        <f>IF(OR(R760=0,R760=""),"",ABS((R760-IF($C760="LT",Config!$F$13,Config!$F$25))/IF($C760="LT",Config!$G$13,Config!$G$25)))</f>
        <v/>
      </c>
    </row>
    <row r="761">
      <c r="A761" t="inlineStr">
        <is>
          <t>04D1626121418</t>
        </is>
      </c>
      <c r="B761" t="inlineStr">
        <is>
          <t>CRS0000674</t>
        </is>
      </c>
      <c r="C761" t="inlineStr">
        <is>
          <t>MT</t>
        </is>
      </c>
      <c r="D761" t="inlineStr">
        <is>
          <t>TCX413U-DS1B01</t>
        </is>
      </c>
      <c r="E761" s="2" t="n">
        <v>46128</v>
      </c>
      <c r="F761" t="inlineStr">
        <is>
          <t>Fail</t>
        </is>
      </c>
      <c r="G761" t="n">
        <v>118.7</v>
      </c>
      <c r="H761" t="n">
        <v>87.40000000000001</v>
      </c>
      <c r="I761" t="n">
        <v>-1957.8</v>
      </c>
      <c r="J761" t="n">
        <v>72.59999999999999</v>
      </c>
      <c r="K761" t="n">
        <v>0</v>
      </c>
      <c r="L761" t="n">
        <v>0.6</v>
      </c>
      <c r="M761" t="n">
        <v>0</v>
      </c>
      <c r="N761" t="n">
        <v>72</v>
      </c>
      <c r="O761" t="n">
        <v>115.09</v>
      </c>
      <c r="P761" t="n">
        <v>114.94</v>
      </c>
      <c r="Q761" t="n">
        <v>3.96</v>
      </c>
      <c r="R761" t="n">
        <v>4.03</v>
      </c>
      <c r="S761">
        <f>IF(OR(G761=0,G761=""),"",ABS((G761-IF($C761="LT",Config!$F$2,Config!$F$14))/IF($C761="LT",Config!$G$2,Config!$G$14)))</f>
        <v/>
      </c>
      <c r="T761">
        <f>IF(OR(H761=0,H761=""),"",ABS((H761-IF($C761="LT",Config!$F$3,Config!$F$15))/IF($C761="LT",Config!$G$3,Config!$G$15)))</f>
        <v/>
      </c>
      <c r="U761">
        <f>IF(OR(I761=0,I761=""),"",ABS((I761-IF($C761="LT",Config!$F$4,Config!$F$16))/IF($C761="LT",Config!$G$4,Config!$G$16)))</f>
        <v/>
      </c>
      <c r="V761">
        <f>IF(OR(J761=0,J761=""),"",ABS((J761-IF($C761="LT",Config!$F$5,Config!$F$17))/IF($C761="LT",Config!$G$5,Config!$G$17)))</f>
        <v/>
      </c>
      <c r="W761">
        <f>IF(OR(K761=0,K761=""),"",ABS((K761-IF($C761="LT",Config!$F$6,Config!$F$18))/IF($C761="LT",Config!$G$6,Config!$G$18)))</f>
        <v/>
      </c>
      <c r="X761">
        <f>IF(OR(L761=0,L761=""),"",ABS((L761-IF($C761="LT",Config!$F$7,Config!$F$19))/IF($C761="LT",Config!$G$7,Config!$G$19)))</f>
        <v/>
      </c>
      <c r="Y761">
        <f>IF(OR(M761=0,M761=""),"",ABS((M761-IF($C761="LT",Config!$F$8,Config!$F$20))/IF($C761="LT",Config!$G$8,Config!$G$20)))</f>
        <v/>
      </c>
      <c r="Z761">
        <f>IF(OR(N761=0,N761=""),"",ABS((N761-IF($C761="LT",Config!$F$9,Config!$F$21))/IF($C761="LT",Config!$G$9,Config!$G$21)))</f>
        <v/>
      </c>
      <c r="AA761">
        <f>IF(OR(O761=0,O761=""),"",ABS((O761-IF($C761="LT",Config!$F$10,Config!$F$22))/IF($C761="LT",Config!$G$10,Config!$G$22)))</f>
        <v/>
      </c>
      <c r="AB761">
        <f>IF(OR(P761=0,P761=""),"",ABS((P761-IF($C761="LT",Config!$F$11,Config!$F$23))/IF($C761="LT",Config!$G$11,Config!$G$23)))</f>
        <v/>
      </c>
      <c r="AC761">
        <f>IF(OR(Q761=0,Q761=""),"",ABS((Q761-IF($C761="LT",Config!$F$12,Config!$F$24))/IF($C761="LT",Config!$G$12,Config!$G$24)))</f>
        <v/>
      </c>
      <c r="AD761">
        <f>IF(OR(R761=0,R761=""),"",ABS((R761-IF($C761="LT",Config!$F$13,Config!$F$25))/IF($C761="LT",Config!$G$13,Config!$G$25)))</f>
        <v/>
      </c>
    </row>
    <row r="762">
      <c r="A762" t="inlineStr">
        <is>
          <t>04D1626121418</t>
        </is>
      </c>
      <c r="B762" t="inlineStr">
        <is>
          <t>CRS0000674</t>
        </is>
      </c>
      <c r="C762" t="inlineStr">
        <is>
          <t>MT</t>
        </is>
      </c>
      <c r="D762" t="inlineStr">
        <is>
          <t>TCX413U-DS1B01</t>
        </is>
      </c>
      <c r="E762" s="2" t="n">
        <v>46128</v>
      </c>
      <c r="F762" t="inlineStr">
        <is>
          <t>Fail</t>
        </is>
      </c>
      <c r="G762" t="n">
        <v>102.1</v>
      </c>
      <c r="H762" t="n">
        <v>87.90000000000001</v>
      </c>
      <c r="I762" t="n">
        <v>-1957.8</v>
      </c>
      <c r="J762" t="n">
        <v>72.59999999999999</v>
      </c>
      <c r="K762" t="n">
        <v>0</v>
      </c>
      <c r="L762" t="n">
        <v>0.4</v>
      </c>
      <c r="M762" t="n">
        <v>0</v>
      </c>
      <c r="N762" t="n">
        <v>73</v>
      </c>
      <c r="O762" t="n">
        <v>111.94</v>
      </c>
      <c r="P762" t="n">
        <v>113.26</v>
      </c>
      <c r="Q762" t="n">
        <v>4.08</v>
      </c>
      <c r="R762" t="n">
        <v>4.1</v>
      </c>
      <c r="S762">
        <f>IF(OR(G762=0,G762=""),"",ABS((G762-IF($C762="LT",Config!$F$2,Config!$F$14))/IF($C762="LT",Config!$G$2,Config!$G$14)))</f>
        <v/>
      </c>
      <c r="T762">
        <f>IF(OR(H762=0,H762=""),"",ABS((H762-IF($C762="LT",Config!$F$3,Config!$F$15))/IF($C762="LT",Config!$G$3,Config!$G$15)))</f>
        <v/>
      </c>
      <c r="U762">
        <f>IF(OR(I762=0,I762=""),"",ABS((I762-IF($C762="LT",Config!$F$4,Config!$F$16))/IF($C762="LT",Config!$G$4,Config!$G$16)))</f>
        <v/>
      </c>
      <c r="V762">
        <f>IF(OR(J762=0,J762=""),"",ABS((J762-IF($C762="LT",Config!$F$5,Config!$F$17))/IF($C762="LT",Config!$G$5,Config!$G$17)))</f>
        <v/>
      </c>
      <c r="W762">
        <f>IF(OR(K762=0,K762=""),"",ABS((K762-IF($C762="LT",Config!$F$6,Config!$F$18))/IF($C762="LT",Config!$G$6,Config!$G$18)))</f>
        <v/>
      </c>
      <c r="X762">
        <f>IF(OR(L762=0,L762=""),"",ABS((L762-IF($C762="LT",Config!$F$7,Config!$F$19))/IF($C762="LT",Config!$G$7,Config!$G$19)))</f>
        <v/>
      </c>
      <c r="Y762">
        <f>IF(OR(M762=0,M762=""),"",ABS((M762-IF($C762="LT",Config!$F$8,Config!$F$20))/IF($C762="LT",Config!$G$8,Config!$G$20)))</f>
        <v/>
      </c>
      <c r="Z762">
        <f>IF(OR(N762=0,N762=""),"",ABS((N762-IF($C762="LT",Config!$F$9,Config!$F$21))/IF($C762="LT",Config!$G$9,Config!$G$21)))</f>
        <v/>
      </c>
      <c r="AA762">
        <f>IF(OR(O762=0,O762=""),"",ABS((O762-IF($C762="LT",Config!$F$10,Config!$F$22))/IF($C762="LT",Config!$G$10,Config!$G$22)))</f>
        <v/>
      </c>
      <c r="AB762">
        <f>IF(OR(P762=0,P762=""),"",ABS((P762-IF($C762="LT",Config!$F$11,Config!$F$23))/IF($C762="LT",Config!$G$11,Config!$G$23)))</f>
        <v/>
      </c>
      <c r="AC762">
        <f>IF(OR(Q762=0,Q762=""),"",ABS((Q762-IF($C762="LT",Config!$F$12,Config!$F$24))/IF($C762="LT",Config!$G$12,Config!$G$24)))</f>
        <v/>
      </c>
      <c r="AD762">
        <f>IF(OR(R762=0,R762=""),"",ABS((R762-IF($C762="LT",Config!$F$13,Config!$F$25))/IF($C762="LT",Config!$G$13,Config!$G$25)))</f>
        <v/>
      </c>
    </row>
    <row r="763">
      <c r="A763" t="inlineStr">
        <is>
          <t>04D1626121419</t>
        </is>
      </c>
      <c r="B763" t="inlineStr">
        <is>
          <t>CRS0000674</t>
        </is>
      </c>
      <c r="C763" t="inlineStr">
        <is>
          <t>MT</t>
        </is>
      </c>
      <c r="D763" t="inlineStr">
        <is>
          <t>TCX413U-DS1B01</t>
        </is>
      </c>
      <c r="E763" s="2" t="n">
        <v>46128</v>
      </c>
      <c r="F763" t="inlineStr">
        <is>
          <t>Pass</t>
        </is>
      </c>
      <c r="G763" t="n">
        <v>119.6</v>
      </c>
      <c r="H763" t="n">
        <v>85.59999999999999</v>
      </c>
      <c r="I763" t="n">
        <v>-1957.8</v>
      </c>
      <c r="J763" t="n">
        <v>73.09999999999999</v>
      </c>
      <c r="K763" t="n">
        <v>0</v>
      </c>
      <c r="L763" t="n">
        <v>0.7</v>
      </c>
      <c r="M763" t="n">
        <v>0</v>
      </c>
      <c r="N763" t="n">
        <v>72.40000000000001</v>
      </c>
      <c r="O763" t="n">
        <v>115.02</v>
      </c>
      <c r="P763" t="n">
        <v>114.87</v>
      </c>
      <c r="Q763" t="n">
        <v>3.98</v>
      </c>
      <c r="R763" t="n">
        <v>4.05</v>
      </c>
      <c r="S763">
        <f>IF(OR(G763=0,G763=""),"",ABS((G763-IF($C763="LT",Config!$F$2,Config!$F$14))/IF($C763="LT",Config!$G$2,Config!$G$14)))</f>
        <v/>
      </c>
      <c r="T763">
        <f>IF(OR(H763=0,H763=""),"",ABS((H763-IF($C763="LT",Config!$F$3,Config!$F$15))/IF($C763="LT",Config!$G$3,Config!$G$15)))</f>
        <v/>
      </c>
      <c r="U763">
        <f>IF(OR(I763=0,I763=""),"",ABS((I763-IF($C763="LT",Config!$F$4,Config!$F$16))/IF($C763="LT",Config!$G$4,Config!$G$16)))</f>
        <v/>
      </c>
      <c r="V763">
        <f>IF(OR(J763=0,J763=""),"",ABS((J763-IF($C763="LT",Config!$F$5,Config!$F$17))/IF($C763="LT",Config!$G$5,Config!$G$17)))</f>
        <v/>
      </c>
      <c r="W763">
        <f>IF(OR(K763=0,K763=""),"",ABS((K763-IF($C763="LT",Config!$F$6,Config!$F$18))/IF($C763="LT",Config!$G$6,Config!$G$18)))</f>
        <v/>
      </c>
      <c r="X763">
        <f>IF(OR(L763=0,L763=""),"",ABS((L763-IF($C763="LT",Config!$F$7,Config!$F$19))/IF($C763="LT",Config!$G$7,Config!$G$19)))</f>
        <v/>
      </c>
      <c r="Y763">
        <f>IF(OR(M763=0,M763=""),"",ABS((M763-IF($C763="LT",Config!$F$8,Config!$F$20))/IF($C763="LT",Config!$G$8,Config!$G$20)))</f>
        <v/>
      </c>
      <c r="Z763">
        <f>IF(OR(N763=0,N763=""),"",ABS((N763-IF($C763="LT",Config!$F$9,Config!$F$21))/IF($C763="LT",Config!$G$9,Config!$G$21)))</f>
        <v/>
      </c>
      <c r="AA763">
        <f>IF(OR(O763=0,O763=""),"",ABS((O763-IF($C763="LT",Config!$F$10,Config!$F$22))/IF($C763="LT",Config!$G$10,Config!$G$22)))</f>
        <v/>
      </c>
      <c r="AB763">
        <f>IF(OR(P763=0,P763=""),"",ABS((P763-IF($C763="LT",Config!$F$11,Config!$F$23))/IF($C763="LT",Config!$G$11,Config!$G$23)))</f>
        <v/>
      </c>
      <c r="AC763">
        <f>IF(OR(Q763=0,Q763=""),"",ABS((Q763-IF($C763="LT",Config!$F$12,Config!$F$24))/IF($C763="LT",Config!$G$12,Config!$G$24)))</f>
        <v/>
      </c>
      <c r="AD763">
        <f>IF(OR(R763=0,R763=""),"",ABS((R763-IF($C763="LT",Config!$F$13,Config!$F$25))/IF($C763="LT",Config!$G$13,Config!$G$25)))</f>
        <v/>
      </c>
    </row>
    <row r="764">
      <c r="A764" t="inlineStr">
        <is>
          <t>04D0926121293</t>
        </is>
      </c>
      <c r="B764" t="inlineStr">
        <is>
          <t>CRS0000675</t>
        </is>
      </c>
      <c r="C764" t="inlineStr">
        <is>
          <t>LT</t>
        </is>
      </c>
      <c r="D764" t="inlineStr">
        <is>
          <t>ALX440U-DS3B01</t>
        </is>
      </c>
      <c r="E764" s="2" t="n">
        <v>46129</v>
      </c>
      <c r="F764" t="inlineStr">
        <is>
          <t>Fail</t>
        </is>
      </c>
      <c r="G764" t="n">
        <v>134.7</v>
      </c>
      <c r="H764" t="n">
        <v>69.8</v>
      </c>
      <c r="I764" t="n">
        <v>-1957.8</v>
      </c>
      <c r="J764" t="n">
        <v>73.09999999999999</v>
      </c>
      <c r="K764" t="n">
        <v>0</v>
      </c>
      <c r="L764" t="n">
        <v>0.2</v>
      </c>
      <c r="M764" t="n">
        <v>0</v>
      </c>
      <c r="N764" t="n">
        <v>72.90000000000001</v>
      </c>
      <c r="O764" t="n">
        <v>110.69</v>
      </c>
      <c r="P764" t="n">
        <v>117</v>
      </c>
      <c r="Q764" t="n">
        <v>6.52</v>
      </c>
      <c r="R764" t="n">
        <v>6.42</v>
      </c>
      <c r="S764">
        <f>IF(OR(G764=0,G764=""),"",ABS((G764-IF($C764="LT",Config!$F$2,Config!$F$14))/IF($C764="LT",Config!$G$2,Config!$G$14)))</f>
        <v/>
      </c>
      <c r="T764">
        <f>IF(OR(H764=0,H764=""),"",ABS((H764-IF($C764="LT",Config!$F$3,Config!$F$15))/IF($C764="LT",Config!$G$3,Config!$G$15)))</f>
        <v/>
      </c>
      <c r="U764">
        <f>IF(OR(I764=0,I764=""),"",ABS((I764-IF($C764="LT",Config!$F$4,Config!$F$16))/IF($C764="LT",Config!$G$4,Config!$G$16)))</f>
        <v/>
      </c>
      <c r="V764">
        <f>IF(OR(J764=0,J764=""),"",ABS((J764-IF($C764="LT",Config!$F$5,Config!$F$17))/IF($C764="LT",Config!$G$5,Config!$G$17)))</f>
        <v/>
      </c>
      <c r="W764">
        <f>IF(OR(K764=0,K764=""),"",ABS((K764-IF($C764="LT",Config!$F$6,Config!$F$18))/IF($C764="LT",Config!$G$6,Config!$G$18)))</f>
        <v/>
      </c>
      <c r="X764">
        <f>IF(OR(L764=0,L764=""),"",ABS((L764-IF($C764="LT",Config!$F$7,Config!$F$19))/IF($C764="LT",Config!$G$7,Config!$G$19)))</f>
        <v/>
      </c>
      <c r="Y764">
        <f>IF(OR(M764=0,M764=""),"",ABS((M764-IF($C764="LT",Config!$F$8,Config!$F$20))/IF($C764="LT",Config!$G$8,Config!$G$20)))</f>
        <v/>
      </c>
      <c r="Z764">
        <f>IF(OR(N764=0,N764=""),"",ABS((N764-IF($C764="LT",Config!$F$9,Config!$F$21))/IF($C764="LT",Config!$G$9,Config!$G$21)))</f>
        <v/>
      </c>
      <c r="AA764">
        <f>IF(OR(O764=0,O764=""),"",ABS((O764-IF($C764="LT",Config!$F$10,Config!$F$22))/IF($C764="LT",Config!$G$10,Config!$G$22)))</f>
        <v/>
      </c>
      <c r="AB764">
        <f>IF(OR(P764=0,P764=""),"",ABS((P764-IF($C764="LT",Config!$F$11,Config!$F$23))/IF($C764="LT",Config!$G$11,Config!$G$23)))</f>
        <v/>
      </c>
      <c r="AC764">
        <f>IF(OR(Q764=0,Q764=""),"",ABS((Q764-IF($C764="LT",Config!$F$12,Config!$F$24))/IF($C764="LT",Config!$G$12,Config!$G$24)))</f>
        <v/>
      </c>
      <c r="AD764">
        <f>IF(OR(R764=0,R764=""),"",ABS((R764-IF($C764="LT",Config!$F$13,Config!$F$25))/IF($C764="LT",Config!$G$13,Config!$G$25)))</f>
        <v/>
      </c>
    </row>
    <row r="765">
      <c r="A765" t="inlineStr">
        <is>
          <t>04D0926121293</t>
        </is>
      </c>
      <c r="B765" t="inlineStr">
        <is>
          <t>CRS0000675</t>
        </is>
      </c>
      <c r="C765" t="inlineStr">
        <is>
          <t>LT</t>
        </is>
      </c>
      <c r="D765" t="inlineStr">
        <is>
          <t>ALX440U-DS3B01</t>
        </is>
      </c>
      <c r="E765" s="2" t="n">
        <v>46129</v>
      </c>
      <c r="F765" t="inlineStr">
        <is>
          <t>Fail</t>
        </is>
      </c>
      <c r="G765" t="n">
        <v>135.2</v>
      </c>
      <c r="H765" t="n">
        <v>69.40000000000001</v>
      </c>
      <c r="I765" t="n">
        <v>-1957.8</v>
      </c>
      <c r="J765" t="n">
        <v>74</v>
      </c>
      <c r="K765" t="n">
        <v>0</v>
      </c>
      <c r="L765" t="n">
        <v>0.3</v>
      </c>
      <c r="M765" t="n">
        <v>0</v>
      </c>
      <c r="N765" t="n">
        <v>73.7</v>
      </c>
      <c r="O765" t="n">
        <v>115.68</v>
      </c>
      <c r="P765" t="n">
        <v>116.78</v>
      </c>
      <c r="Q765" t="n">
        <v>6.42</v>
      </c>
      <c r="R765" t="n">
        <v>6.67</v>
      </c>
      <c r="S765">
        <f>IF(OR(G765=0,G765=""),"",ABS((G765-IF($C765="LT",Config!$F$2,Config!$F$14))/IF($C765="LT",Config!$G$2,Config!$G$14)))</f>
        <v/>
      </c>
      <c r="T765">
        <f>IF(OR(H765=0,H765=""),"",ABS((H765-IF($C765="LT",Config!$F$3,Config!$F$15))/IF($C765="LT",Config!$G$3,Config!$G$15)))</f>
        <v/>
      </c>
      <c r="U765">
        <f>IF(OR(I765=0,I765=""),"",ABS((I765-IF($C765="LT",Config!$F$4,Config!$F$16))/IF($C765="LT",Config!$G$4,Config!$G$16)))</f>
        <v/>
      </c>
      <c r="V765">
        <f>IF(OR(J765=0,J765=""),"",ABS((J765-IF($C765="LT",Config!$F$5,Config!$F$17))/IF($C765="LT",Config!$G$5,Config!$G$17)))</f>
        <v/>
      </c>
      <c r="W765">
        <f>IF(OR(K765=0,K765=""),"",ABS((K765-IF($C765="LT",Config!$F$6,Config!$F$18))/IF($C765="LT",Config!$G$6,Config!$G$18)))</f>
        <v/>
      </c>
      <c r="X765">
        <f>IF(OR(L765=0,L765=""),"",ABS((L765-IF($C765="LT",Config!$F$7,Config!$F$19))/IF($C765="LT",Config!$G$7,Config!$G$19)))</f>
        <v/>
      </c>
      <c r="Y765">
        <f>IF(OR(M765=0,M765=""),"",ABS((M765-IF($C765="LT",Config!$F$8,Config!$F$20))/IF($C765="LT",Config!$G$8,Config!$G$20)))</f>
        <v/>
      </c>
      <c r="Z765">
        <f>IF(OR(N765=0,N765=""),"",ABS((N765-IF($C765="LT",Config!$F$9,Config!$F$21))/IF($C765="LT",Config!$G$9,Config!$G$21)))</f>
        <v/>
      </c>
      <c r="AA765">
        <f>IF(OR(O765=0,O765=""),"",ABS((O765-IF($C765="LT",Config!$F$10,Config!$F$22))/IF($C765="LT",Config!$G$10,Config!$G$22)))</f>
        <v/>
      </c>
      <c r="AB765">
        <f>IF(OR(P765=0,P765=""),"",ABS((P765-IF($C765="LT",Config!$F$11,Config!$F$23))/IF($C765="LT",Config!$G$11,Config!$G$23)))</f>
        <v/>
      </c>
      <c r="AC765">
        <f>IF(OR(Q765=0,Q765=""),"",ABS((Q765-IF($C765="LT",Config!$F$12,Config!$F$24))/IF($C765="LT",Config!$G$12,Config!$G$24)))</f>
        <v/>
      </c>
      <c r="AD765">
        <f>IF(OR(R765=0,R765=""),"",ABS((R765-IF($C765="LT",Config!$F$13,Config!$F$25))/IF($C765="LT",Config!$G$13,Config!$G$25)))</f>
        <v/>
      </c>
    </row>
    <row r="766">
      <c r="A766" t="inlineStr">
        <is>
          <t>04D1126121342</t>
        </is>
      </c>
      <c r="B766" t="inlineStr">
        <is>
          <t>CRS0000675</t>
        </is>
      </c>
      <c r="C766" t="inlineStr">
        <is>
          <t>LT</t>
        </is>
      </c>
      <c r="D766" t="inlineStr">
        <is>
          <t>ALX440U-DS3B01</t>
        </is>
      </c>
      <c r="E766" s="2" t="n">
        <v>46129</v>
      </c>
      <c r="F766" t="inlineStr">
        <is>
          <t>Pass</t>
        </is>
      </c>
      <c r="G766" t="n">
        <v>158.4</v>
      </c>
      <c r="H766" t="n">
        <v>106.8</v>
      </c>
      <c r="I766" t="n">
        <v>-1957.8</v>
      </c>
      <c r="J766" t="n">
        <v>76.7</v>
      </c>
      <c r="K766" t="n">
        <v>0</v>
      </c>
      <c r="L766" t="n">
        <v>1.8</v>
      </c>
      <c r="M766" t="n">
        <v>0</v>
      </c>
      <c r="N766" t="n">
        <v>74.90000000000001</v>
      </c>
      <c r="O766" t="n">
        <v>115.09</v>
      </c>
      <c r="P766" t="n">
        <v>114.87</v>
      </c>
      <c r="Q766" t="n">
        <v>7.74</v>
      </c>
      <c r="R766" t="n">
        <v>8.279999999999999</v>
      </c>
      <c r="S766">
        <f>IF(OR(G766=0,G766=""),"",ABS((G766-IF($C766="LT",Config!$F$2,Config!$F$14))/IF($C766="LT",Config!$G$2,Config!$G$14)))</f>
        <v/>
      </c>
      <c r="T766">
        <f>IF(OR(H766=0,H766=""),"",ABS((H766-IF($C766="LT",Config!$F$3,Config!$F$15))/IF($C766="LT",Config!$G$3,Config!$G$15)))</f>
        <v/>
      </c>
      <c r="U766">
        <f>IF(OR(I766=0,I766=""),"",ABS((I766-IF($C766="LT",Config!$F$4,Config!$F$16))/IF($C766="LT",Config!$G$4,Config!$G$16)))</f>
        <v/>
      </c>
      <c r="V766">
        <f>IF(OR(J766=0,J766=""),"",ABS((J766-IF($C766="LT",Config!$F$5,Config!$F$17))/IF($C766="LT",Config!$G$5,Config!$G$17)))</f>
        <v/>
      </c>
      <c r="W766">
        <f>IF(OR(K766=0,K766=""),"",ABS((K766-IF($C766="LT",Config!$F$6,Config!$F$18))/IF($C766="LT",Config!$G$6,Config!$G$18)))</f>
        <v/>
      </c>
      <c r="X766">
        <f>IF(OR(L766=0,L766=""),"",ABS((L766-IF($C766="LT",Config!$F$7,Config!$F$19))/IF($C766="LT",Config!$G$7,Config!$G$19)))</f>
        <v/>
      </c>
      <c r="Y766">
        <f>IF(OR(M766=0,M766=""),"",ABS((M766-IF($C766="LT",Config!$F$8,Config!$F$20))/IF($C766="LT",Config!$G$8,Config!$G$20)))</f>
        <v/>
      </c>
      <c r="Z766">
        <f>IF(OR(N766=0,N766=""),"",ABS((N766-IF($C766="LT",Config!$F$9,Config!$F$21))/IF($C766="LT",Config!$G$9,Config!$G$21)))</f>
        <v/>
      </c>
      <c r="AA766">
        <f>IF(OR(O766=0,O766=""),"",ABS((O766-IF($C766="LT",Config!$F$10,Config!$F$22))/IF($C766="LT",Config!$G$10,Config!$G$22)))</f>
        <v/>
      </c>
      <c r="AB766">
        <f>IF(OR(P766=0,P766=""),"",ABS((P766-IF($C766="LT",Config!$F$11,Config!$F$23))/IF($C766="LT",Config!$G$11,Config!$G$23)))</f>
        <v/>
      </c>
      <c r="AC766">
        <f>IF(OR(Q766=0,Q766=""),"",ABS((Q766-IF($C766="LT",Config!$F$12,Config!$F$24))/IF($C766="LT",Config!$G$12,Config!$G$24)))</f>
        <v/>
      </c>
      <c r="AD766">
        <f>IF(OR(R766=0,R766=""),"",ABS((R766-IF($C766="LT",Config!$F$13,Config!$F$25))/IF($C766="LT",Config!$G$13,Config!$G$25)))</f>
        <v/>
      </c>
    </row>
    <row r="767">
      <c r="A767" t="inlineStr">
        <is>
          <t>04D0926121293</t>
        </is>
      </c>
      <c r="B767" t="inlineStr">
        <is>
          <t>CRS0000675</t>
        </is>
      </c>
      <c r="C767" t="inlineStr">
        <is>
          <t>LT</t>
        </is>
      </c>
      <c r="D767" t="inlineStr">
        <is>
          <t>ALX440U-DS3B01</t>
        </is>
      </c>
      <c r="E767" s="2" t="n">
        <v>46129</v>
      </c>
      <c r="F767" t="inlineStr">
        <is>
          <t>Pass</t>
        </is>
      </c>
      <c r="G767" t="n">
        <v>162.9</v>
      </c>
      <c r="H767" t="n">
        <v>102.8</v>
      </c>
      <c r="I767" t="n">
        <v>-1957.8</v>
      </c>
      <c r="J767" t="n">
        <v>77.09999999999999</v>
      </c>
      <c r="K767" t="n">
        <v>0</v>
      </c>
      <c r="L767" t="n">
        <v>2.1</v>
      </c>
      <c r="M767" t="n">
        <v>0</v>
      </c>
      <c r="N767" t="n">
        <v>75</v>
      </c>
      <c r="O767" t="n">
        <v>112.16</v>
      </c>
      <c r="P767" t="n">
        <v>113.62</v>
      </c>
      <c r="Q767" t="n">
        <v>6.64</v>
      </c>
      <c r="R767" t="n">
        <v>7.01</v>
      </c>
      <c r="S767">
        <f>IF(OR(G767=0,G767=""),"",ABS((G767-IF($C767="LT",Config!$F$2,Config!$F$14))/IF($C767="LT",Config!$G$2,Config!$G$14)))</f>
        <v/>
      </c>
      <c r="T767">
        <f>IF(OR(H767=0,H767=""),"",ABS((H767-IF($C767="LT",Config!$F$3,Config!$F$15))/IF($C767="LT",Config!$G$3,Config!$G$15)))</f>
        <v/>
      </c>
      <c r="U767">
        <f>IF(OR(I767=0,I767=""),"",ABS((I767-IF($C767="LT",Config!$F$4,Config!$F$16))/IF($C767="LT",Config!$G$4,Config!$G$16)))</f>
        <v/>
      </c>
      <c r="V767">
        <f>IF(OR(J767=0,J767=""),"",ABS((J767-IF($C767="LT",Config!$F$5,Config!$F$17))/IF($C767="LT",Config!$G$5,Config!$G$17)))</f>
        <v/>
      </c>
      <c r="W767">
        <f>IF(OR(K767=0,K767=""),"",ABS((K767-IF($C767="LT",Config!$F$6,Config!$F$18))/IF($C767="LT",Config!$G$6,Config!$G$18)))</f>
        <v/>
      </c>
      <c r="X767">
        <f>IF(OR(L767=0,L767=""),"",ABS((L767-IF($C767="LT",Config!$F$7,Config!$F$19))/IF($C767="LT",Config!$G$7,Config!$G$19)))</f>
        <v/>
      </c>
      <c r="Y767">
        <f>IF(OR(M767=0,M767=""),"",ABS((M767-IF($C767="LT",Config!$F$8,Config!$F$20))/IF($C767="LT",Config!$G$8,Config!$G$20)))</f>
        <v/>
      </c>
      <c r="Z767">
        <f>IF(OR(N767=0,N767=""),"",ABS((N767-IF($C767="LT",Config!$F$9,Config!$F$21))/IF($C767="LT",Config!$G$9,Config!$G$21)))</f>
        <v/>
      </c>
      <c r="AA767">
        <f>IF(OR(O767=0,O767=""),"",ABS((O767-IF($C767="LT",Config!$F$10,Config!$F$22))/IF($C767="LT",Config!$G$10,Config!$G$22)))</f>
        <v/>
      </c>
      <c r="AB767">
        <f>IF(OR(P767=0,P767=""),"",ABS((P767-IF($C767="LT",Config!$F$11,Config!$F$23))/IF($C767="LT",Config!$G$11,Config!$G$23)))</f>
        <v/>
      </c>
      <c r="AC767">
        <f>IF(OR(Q767=0,Q767=""),"",ABS((Q767-IF($C767="LT",Config!$F$12,Config!$F$24))/IF($C767="LT",Config!$G$12,Config!$G$24)))</f>
        <v/>
      </c>
      <c r="AD767">
        <f>IF(OR(R767=0,R767=""),"",ABS((R767-IF($C767="LT",Config!$F$13,Config!$F$25))/IF($C767="LT",Config!$G$13,Config!$G$25)))</f>
        <v/>
      </c>
    </row>
    <row r="768">
      <c r="A768" t="inlineStr">
        <is>
          <t>04C2426121075</t>
        </is>
      </c>
      <c r="B768" t="inlineStr">
        <is>
          <t>CRS0000675</t>
        </is>
      </c>
      <c r="C768" t="inlineStr">
        <is>
          <t>LT</t>
        </is>
      </c>
      <c r="D768" t="inlineStr">
        <is>
          <t>ALX440U-DS3B01</t>
        </is>
      </c>
      <c r="E768" s="2" t="n">
        <v>46129</v>
      </c>
      <c r="F768" t="inlineStr">
        <is>
          <t>Fail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>
        <f>IF(OR(G768=0,G768=""),"",ABS((G768-IF($C768="LT",Config!$F$2,Config!$F$14))/IF($C768="LT",Config!$G$2,Config!$G$14)))</f>
        <v/>
      </c>
      <c r="T768">
        <f>IF(OR(H768=0,H768=""),"",ABS((H768-IF($C768="LT",Config!$F$3,Config!$F$15))/IF($C768="LT",Config!$G$3,Config!$G$15)))</f>
        <v/>
      </c>
      <c r="U768">
        <f>IF(OR(I768=0,I768=""),"",ABS((I768-IF($C768="LT",Config!$F$4,Config!$F$16))/IF($C768="LT",Config!$G$4,Config!$G$16)))</f>
        <v/>
      </c>
      <c r="V768">
        <f>IF(OR(J768=0,J768=""),"",ABS((J768-IF($C768="LT",Config!$F$5,Config!$F$17))/IF($C768="LT",Config!$G$5,Config!$G$17)))</f>
        <v/>
      </c>
      <c r="W768">
        <f>IF(OR(K768=0,K768=""),"",ABS((K768-IF($C768="LT",Config!$F$6,Config!$F$18))/IF($C768="LT",Config!$G$6,Config!$G$18)))</f>
        <v/>
      </c>
      <c r="X768">
        <f>IF(OR(L768=0,L768=""),"",ABS((L768-IF($C768="LT",Config!$F$7,Config!$F$19))/IF($C768="LT",Config!$G$7,Config!$G$19)))</f>
        <v/>
      </c>
      <c r="Y768">
        <f>IF(OR(M768=0,M768=""),"",ABS((M768-IF($C768="LT",Config!$F$8,Config!$F$20))/IF($C768="LT",Config!$G$8,Config!$G$20)))</f>
        <v/>
      </c>
      <c r="Z768">
        <f>IF(OR(N768=0,N768=""),"",ABS((N768-IF($C768="LT",Config!$F$9,Config!$F$21))/IF($C768="LT",Config!$G$9,Config!$G$21)))</f>
        <v/>
      </c>
      <c r="AA768">
        <f>IF(OR(O768=0,O768=""),"",ABS((O768-IF($C768="LT",Config!$F$10,Config!$F$22))/IF($C768="LT",Config!$G$10,Config!$G$22)))</f>
        <v/>
      </c>
      <c r="AB768">
        <f>IF(OR(P768=0,P768=""),"",ABS((P768-IF($C768="LT",Config!$F$11,Config!$F$23))/IF($C768="LT",Config!$G$11,Config!$G$23)))</f>
        <v/>
      </c>
      <c r="AC768">
        <f>IF(OR(Q768=0,Q768=""),"",ABS((Q768-IF($C768="LT",Config!$F$12,Config!$F$24))/IF($C768="LT",Config!$G$12,Config!$G$24)))</f>
        <v/>
      </c>
      <c r="AD768">
        <f>IF(OR(R768=0,R768=""),"",ABS((R768-IF($C768="LT",Config!$F$13,Config!$F$25))/IF($C768="LT",Config!$G$13,Config!$G$25)))</f>
        <v/>
      </c>
    </row>
    <row r="769">
      <c r="A769" t="inlineStr">
        <is>
          <t>04C2426121075</t>
        </is>
      </c>
      <c r="B769" t="inlineStr">
        <is>
          <t>CRS0000675</t>
        </is>
      </c>
      <c r="C769" t="inlineStr">
        <is>
          <t>LT</t>
        </is>
      </c>
      <c r="D769" t="inlineStr">
        <is>
          <t>ALX440U-DS3B01</t>
        </is>
      </c>
      <c r="E769" s="2" t="n">
        <v>46129</v>
      </c>
      <c r="F769" t="inlineStr">
        <is>
          <t>Fail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>
        <f>IF(OR(G769=0,G769=""),"",ABS((G769-IF($C769="LT",Config!$F$2,Config!$F$14))/IF($C769="LT",Config!$G$2,Config!$G$14)))</f>
        <v/>
      </c>
      <c r="T769">
        <f>IF(OR(H769=0,H769=""),"",ABS((H769-IF($C769="LT",Config!$F$3,Config!$F$15))/IF($C769="LT",Config!$G$3,Config!$G$15)))</f>
        <v/>
      </c>
      <c r="U769">
        <f>IF(OR(I769=0,I769=""),"",ABS((I769-IF($C769="LT",Config!$F$4,Config!$F$16))/IF($C769="LT",Config!$G$4,Config!$G$16)))</f>
        <v/>
      </c>
      <c r="V769">
        <f>IF(OR(J769=0,J769=""),"",ABS((J769-IF($C769="LT",Config!$F$5,Config!$F$17))/IF($C769="LT",Config!$G$5,Config!$G$17)))</f>
        <v/>
      </c>
      <c r="W769">
        <f>IF(OR(K769=0,K769=""),"",ABS((K769-IF($C769="LT",Config!$F$6,Config!$F$18))/IF($C769="LT",Config!$G$6,Config!$G$18)))</f>
        <v/>
      </c>
      <c r="X769">
        <f>IF(OR(L769=0,L769=""),"",ABS((L769-IF($C769="LT",Config!$F$7,Config!$F$19))/IF($C769="LT",Config!$G$7,Config!$G$19)))</f>
        <v/>
      </c>
      <c r="Y769">
        <f>IF(OR(M769=0,M769=""),"",ABS((M769-IF($C769="LT",Config!$F$8,Config!$F$20))/IF($C769="LT",Config!$G$8,Config!$G$20)))</f>
        <v/>
      </c>
      <c r="Z769">
        <f>IF(OR(N769=0,N769=""),"",ABS((N769-IF($C769="LT",Config!$F$9,Config!$F$21))/IF($C769="LT",Config!$G$9,Config!$G$21)))</f>
        <v/>
      </c>
      <c r="AA769">
        <f>IF(OR(O769=0,O769=""),"",ABS((O769-IF($C769="LT",Config!$F$10,Config!$F$22))/IF($C769="LT",Config!$G$10,Config!$G$22)))</f>
        <v/>
      </c>
      <c r="AB769">
        <f>IF(OR(P769=0,P769=""),"",ABS((P769-IF($C769="LT",Config!$F$11,Config!$F$23))/IF($C769="LT",Config!$G$11,Config!$G$23)))</f>
        <v/>
      </c>
      <c r="AC769">
        <f>IF(OR(Q769=0,Q769=""),"",ABS((Q769-IF($C769="LT",Config!$F$12,Config!$F$24))/IF($C769="LT",Config!$G$12,Config!$G$24)))</f>
        <v/>
      </c>
      <c r="AD769">
        <f>IF(OR(R769=0,R769=""),"",ABS((R769-IF($C769="LT",Config!$F$13,Config!$F$25))/IF($C769="LT",Config!$G$13,Config!$G$25)))</f>
        <v/>
      </c>
    </row>
    <row r="770">
      <c r="A770" t="inlineStr">
        <is>
          <t>04C2426121075</t>
        </is>
      </c>
      <c r="B770" t="inlineStr">
        <is>
          <t>CRS0000675</t>
        </is>
      </c>
      <c r="C770" t="inlineStr">
        <is>
          <t>LT</t>
        </is>
      </c>
      <c r="D770" t="inlineStr">
        <is>
          <t>ALX440U-DS3B01</t>
        </is>
      </c>
      <c r="E770" s="2" t="n">
        <v>46129</v>
      </c>
      <c r="F770" t="inlineStr">
        <is>
          <t>Fail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>
        <f>IF(OR(G770=0,G770=""),"",ABS((G770-IF($C770="LT",Config!$F$2,Config!$F$14))/IF($C770="LT",Config!$G$2,Config!$G$14)))</f>
        <v/>
      </c>
      <c r="T770">
        <f>IF(OR(H770=0,H770=""),"",ABS((H770-IF($C770="LT",Config!$F$3,Config!$F$15))/IF($C770="LT",Config!$G$3,Config!$G$15)))</f>
        <v/>
      </c>
      <c r="U770">
        <f>IF(OR(I770=0,I770=""),"",ABS((I770-IF($C770="LT",Config!$F$4,Config!$F$16))/IF($C770="LT",Config!$G$4,Config!$G$16)))</f>
        <v/>
      </c>
      <c r="V770">
        <f>IF(OR(J770=0,J770=""),"",ABS((J770-IF($C770="LT",Config!$F$5,Config!$F$17))/IF($C770="LT",Config!$G$5,Config!$G$17)))</f>
        <v/>
      </c>
      <c r="W770">
        <f>IF(OR(K770=0,K770=""),"",ABS((K770-IF($C770="LT",Config!$F$6,Config!$F$18))/IF($C770="LT",Config!$G$6,Config!$G$18)))</f>
        <v/>
      </c>
      <c r="X770">
        <f>IF(OR(L770=0,L770=""),"",ABS((L770-IF($C770="LT",Config!$F$7,Config!$F$19))/IF($C770="LT",Config!$G$7,Config!$G$19)))</f>
        <v/>
      </c>
      <c r="Y770">
        <f>IF(OR(M770=0,M770=""),"",ABS((M770-IF($C770="LT",Config!$F$8,Config!$F$20))/IF($C770="LT",Config!$G$8,Config!$G$20)))</f>
        <v/>
      </c>
      <c r="Z770">
        <f>IF(OR(N770=0,N770=""),"",ABS((N770-IF($C770="LT",Config!$F$9,Config!$F$21))/IF($C770="LT",Config!$G$9,Config!$G$21)))</f>
        <v/>
      </c>
      <c r="AA770">
        <f>IF(OR(O770=0,O770=""),"",ABS((O770-IF($C770="LT",Config!$F$10,Config!$F$22))/IF($C770="LT",Config!$G$10,Config!$G$22)))</f>
        <v/>
      </c>
      <c r="AB770">
        <f>IF(OR(P770=0,P770=""),"",ABS((P770-IF($C770="LT",Config!$F$11,Config!$F$23))/IF($C770="LT",Config!$G$11,Config!$G$23)))</f>
        <v/>
      </c>
      <c r="AC770">
        <f>IF(OR(Q770=0,Q770=""),"",ABS((Q770-IF($C770="LT",Config!$F$12,Config!$F$24))/IF($C770="LT",Config!$G$12,Config!$G$24)))</f>
        <v/>
      </c>
      <c r="AD770">
        <f>IF(OR(R770=0,R770=""),"",ABS((R770-IF($C770="LT",Config!$F$13,Config!$F$25))/IF($C770="LT",Config!$G$13,Config!$G$25)))</f>
        <v/>
      </c>
    </row>
    <row r="771">
      <c r="A771" t="inlineStr">
        <is>
          <t>04C2426121075</t>
        </is>
      </c>
      <c r="B771" t="inlineStr">
        <is>
          <t>CRS0000675</t>
        </is>
      </c>
      <c r="C771" t="inlineStr">
        <is>
          <t>LT</t>
        </is>
      </c>
      <c r="D771" t="inlineStr">
        <is>
          <t>ALX440U-DS3B01</t>
        </is>
      </c>
      <c r="E771" s="2" t="n">
        <v>46130</v>
      </c>
      <c r="F771" t="inlineStr">
        <is>
          <t>Fail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>
        <f>IF(OR(G771=0,G771=""),"",ABS((G771-IF($C771="LT",Config!$F$2,Config!$F$14))/IF($C771="LT",Config!$G$2,Config!$G$14)))</f>
        <v/>
      </c>
      <c r="T771">
        <f>IF(OR(H771=0,H771=""),"",ABS((H771-IF($C771="LT",Config!$F$3,Config!$F$15))/IF($C771="LT",Config!$G$3,Config!$G$15)))</f>
        <v/>
      </c>
      <c r="U771">
        <f>IF(OR(I771=0,I771=""),"",ABS((I771-IF($C771="LT",Config!$F$4,Config!$F$16))/IF($C771="LT",Config!$G$4,Config!$G$16)))</f>
        <v/>
      </c>
      <c r="V771">
        <f>IF(OR(J771=0,J771=""),"",ABS((J771-IF($C771="LT",Config!$F$5,Config!$F$17))/IF($C771="LT",Config!$G$5,Config!$G$17)))</f>
        <v/>
      </c>
      <c r="W771">
        <f>IF(OR(K771=0,K771=""),"",ABS((K771-IF($C771="LT",Config!$F$6,Config!$F$18))/IF($C771="LT",Config!$G$6,Config!$G$18)))</f>
        <v/>
      </c>
      <c r="X771">
        <f>IF(OR(L771=0,L771=""),"",ABS((L771-IF($C771="LT",Config!$F$7,Config!$F$19))/IF($C771="LT",Config!$G$7,Config!$G$19)))</f>
        <v/>
      </c>
      <c r="Y771">
        <f>IF(OR(M771=0,M771=""),"",ABS((M771-IF($C771="LT",Config!$F$8,Config!$F$20))/IF($C771="LT",Config!$G$8,Config!$G$20)))</f>
        <v/>
      </c>
      <c r="Z771">
        <f>IF(OR(N771=0,N771=""),"",ABS((N771-IF($C771="LT",Config!$F$9,Config!$F$21))/IF($C771="LT",Config!$G$9,Config!$G$21)))</f>
        <v/>
      </c>
      <c r="AA771">
        <f>IF(OR(O771=0,O771=""),"",ABS((O771-IF($C771="LT",Config!$F$10,Config!$F$22))/IF($C771="LT",Config!$G$10,Config!$G$22)))</f>
        <v/>
      </c>
      <c r="AB771">
        <f>IF(OR(P771=0,P771=""),"",ABS((P771-IF($C771="LT",Config!$F$11,Config!$F$23))/IF($C771="LT",Config!$G$11,Config!$G$23)))</f>
        <v/>
      </c>
      <c r="AC771">
        <f>IF(OR(Q771=0,Q771=""),"",ABS((Q771-IF($C771="LT",Config!$F$12,Config!$F$24))/IF($C771="LT",Config!$G$12,Config!$G$24)))</f>
        <v/>
      </c>
      <c r="AD771">
        <f>IF(OR(R771=0,R771=""),"",ABS((R771-IF($C771="LT",Config!$F$13,Config!$F$25))/IF($C771="LT",Config!$G$13,Config!$G$25)))</f>
        <v/>
      </c>
    </row>
    <row r="772">
      <c r="A772" t="inlineStr">
        <is>
          <t>04C2426121075</t>
        </is>
      </c>
      <c r="B772" t="inlineStr">
        <is>
          <t>CRS0000675</t>
        </is>
      </c>
      <c r="C772" t="inlineStr">
        <is>
          <t>LT</t>
        </is>
      </c>
      <c r="D772" t="inlineStr">
        <is>
          <t>ALX440U-DS3B01</t>
        </is>
      </c>
      <c r="E772" s="2" t="n">
        <v>46130</v>
      </c>
      <c r="F772" t="inlineStr">
        <is>
          <t>Fail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>
        <f>IF(OR(G772=0,G772=""),"",ABS((G772-IF($C772="LT",Config!$F$2,Config!$F$14))/IF($C772="LT",Config!$G$2,Config!$G$14)))</f>
        <v/>
      </c>
      <c r="T772">
        <f>IF(OR(H772=0,H772=""),"",ABS((H772-IF($C772="LT",Config!$F$3,Config!$F$15))/IF($C772="LT",Config!$G$3,Config!$G$15)))</f>
        <v/>
      </c>
      <c r="U772">
        <f>IF(OR(I772=0,I772=""),"",ABS((I772-IF($C772="LT",Config!$F$4,Config!$F$16))/IF($C772="LT",Config!$G$4,Config!$G$16)))</f>
        <v/>
      </c>
      <c r="V772">
        <f>IF(OR(J772=0,J772=""),"",ABS((J772-IF($C772="LT",Config!$F$5,Config!$F$17))/IF($C772="LT",Config!$G$5,Config!$G$17)))</f>
        <v/>
      </c>
      <c r="W772">
        <f>IF(OR(K772=0,K772=""),"",ABS((K772-IF($C772="LT",Config!$F$6,Config!$F$18))/IF($C772="LT",Config!$G$6,Config!$G$18)))</f>
        <v/>
      </c>
      <c r="X772">
        <f>IF(OR(L772=0,L772=""),"",ABS((L772-IF($C772="LT",Config!$F$7,Config!$F$19))/IF($C772="LT",Config!$G$7,Config!$G$19)))</f>
        <v/>
      </c>
      <c r="Y772">
        <f>IF(OR(M772=0,M772=""),"",ABS((M772-IF($C772="LT",Config!$F$8,Config!$F$20))/IF($C772="LT",Config!$G$8,Config!$G$20)))</f>
        <v/>
      </c>
      <c r="Z772">
        <f>IF(OR(N772=0,N772=""),"",ABS((N772-IF($C772="LT",Config!$F$9,Config!$F$21))/IF($C772="LT",Config!$G$9,Config!$G$21)))</f>
        <v/>
      </c>
      <c r="AA772">
        <f>IF(OR(O772=0,O772=""),"",ABS((O772-IF($C772="LT",Config!$F$10,Config!$F$22))/IF($C772="LT",Config!$G$10,Config!$G$22)))</f>
        <v/>
      </c>
      <c r="AB772">
        <f>IF(OR(P772=0,P772=""),"",ABS((P772-IF($C772="LT",Config!$F$11,Config!$F$23))/IF($C772="LT",Config!$G$11,Config!$G$23)))</f>
        <v/>
      </c>
      <c r="AC772">
        <f>IF(OR(Q772=0,Q772=""),"",ABS((Q772-IF($C772="LT",Config!$F$12,Config!$F$24))/IF($C772="LT",Config!$G$12,Config!$G$24)))</f>
        <v/>
      </c>
      <c r="AD772">
        <f>IF(OR(R772=0,R772=""),"",ABS((R772-IF($C772="LT",Config!$F$13,Config!$F$25))/IF($C772="LT",Config!$G$13,Config!$G$25)))</f>
        <v/>
      </c>
    </row>
    <row r="773">
      <c r="A773" t="inlineStr">
        <is>
          <t>04C2426121082</t>
        </is>
      </c>
      <c r="B773" t="inlineStr">
        <is>
          <t>CRS0000675</t>
        </is>
      </c>
      <c r="C773" t="inlineStr">
        <is>
          <t>LT</t>
        </is>
      </c>
      <c r="D773" t="inlineStr">
        <is>
          <t>ALX440U-DS3B01</t>
        </is>
      </c>
      <c r="E773" s="2" t="n">
        <v>46130</v>
      </c>
      <c r="F773" t="inlineStr">
        <is>
          <t>Fail</t>
        </is>
      </c>
      <c r="G773" t="n">
        <v>73.5</v>
      </c>
      <c r="H773" t="n">
        <v>71.2</v>
      </c>
      <c r="I773" t="n">
        <v>-1957.8</v>
      </c>
      <c r="J773" t="n">
        <v>71.7</v>
      </c>
      <c r="K773" t="n">
        <v>0</v>
      </c>
      <c r="L773" t="n">
        <v>1.4</v>
      </c>
      <c r="M773" t="n">
        <v>0</v>
      </c>
      <c r="N773" t="n">
        <v>70.3</v>
      </c>
      <c r="O773" t="n">
        <v>117.88</v>
      </c>
      <c r="P773" t="n">
        <v>112.82</v>
      </c>
      <c r="Q773" t="n">
        <v>0</v>
      </c>
      <c r="R773" t="n">
        <v>0</v>
      </c>
      <c r="S773">
        <f>IF(OR(G773=0,G773=""),"",ABS((G773-IF($C773="LT",Config!$F$2,Config!$F$14))/IF($C773="LT",Config!$G$2,Config!$G$14)))</f>
        <v/>
      </c>
      <c r="T773">
        <f>IF(OR(H773=0,H773=""),"",ABS((H773-IF($C773="LT",Config!$F$3,Config!$F$15))/IF($C773="LT",Config!$G$3,Config!$G$15)))</f>
        <v/>
      </c>
      <c r="U773">
        <f>IF(OR(I773=0,I773=""),"",ABS((I773-IF($C773="LT",Config!$F$4,Config!$F$16))/IF($C773="LT",Config!$G$4,Config!$G$16)))</f>
        <v/>
      </c>
      <c r="V773">
        <f>IF(OR(J773=0,J773=""),"",ABS((J773-IF($C773="LT",Config!$F$5,Config!$F$17))/IF($C773="LT",Config!$G$5,Config!$G$17)))</f>
        <v/>
      </c>
      <c r="W773">
        <f>IF(OR(K773=0,K773=""),"",ABS((K773-IF($C773="LT",Config!$F$6,Config!$F$18))/IF($C773="LT",Config!$G$6,Config!$G$18)))</f>
        <v/>
      </c>
      <c r="X773">
        <f>IF(OR(L773=0,L773=""),"",ABS((L773-IF($C773="LT",Config!$F$7,Config!$F$19))/IF($C773="LT",Config!$G$7,Config!$G$19)))</f>
        <v/>
      </c>
      <c r="Y773">
        <f>IF(OR(M773=0,M773=""),"",ABS((M773-IF($C773="LT",Config!$F$8,Config!$F$20))/IF($C773="LT",Config!$G$8,Config!$G$20)))</f>
        <v/>
      </c>
      <c r="Z773">
        <f>IF(OR(N773=0,N773=""),"",ABS((N773-IF($C773="LT",Config!$F$9,Config!$F$21))/IF($C773="LT",Config!$G$9,Config!$G$21)))</f>
        <v/>
      </c>
      <c r="AA773">
        <f>IF(OR(O773=0,O773=""),"",ABS((O773-IF($C773="LT",Config!$F$10,Config!$F$22))/IF($C773="LT",Config!$G$10,Config!$G$22)))</f>
        <v/>
      </c>
      <c r="AB773">
        <f>IF(OR(P773=0,P773=""),"",ABS((P773-IF($C773="LT",Config!$F$11,Config!$F$23))/IF($C773="LT",Config!$G$11,Config!$G$23)))</f>
        <v/>
      </c>
      <c r="AC773">
        <f>IF(OR(Q773=0,Q773=""),"",ABS((Q773-IF($C773="LT",Config!$F$12,Config!$F$24))/IF($C773="LT",Config!$G$12,Config!$G$24)))</f>
        <v/>
      </c>
      <c r="AD773">
        <f>IF(OR(R773=0,R773=""),"",ABS((R773-IF($C773="LT",Config!$F$13,Config!$F$25))/IF($C773="LT",Config!$G$13,Config!$G$25)))</f>
        <v/>
      </c>
    </row>
    <row r="774">
      <c r="A774" t="inlineStr">
        <is>
          <t>04C2426121082</t>
        </is>
      </c>
      <c r="B774" t="inlineStr">
        <is>
          <t>CRS0000675</t>
        </is>
      </c>
      <c r="C774" t="inlineStr">
        <is>
          <t>LT</t>
        </is>
      </c>
      <c r="D774" t="inlineStr">
        <is>
          <t>ALX440U-DS3B01</t>
        </is>
      </c>
      <c r="E774" s="2" t="n">
        <v>46130</v>
      </c>
      <c r="F774" t="inlineStr">
        <is>
          <t>Fail</t>
        </is>
      </c>
      <c r="G774" t="n">
        <v>126.3</v>
      </c>
      <c r="H774" t="n">
        <v>77</v>
      </c>
      <c r="I774" t="n">
        <v>-1957.8</v>
      </c>
      <c r="J774" t="n">
        <v>72.2</v>
      </c>
      <c r="K774" t="n">
        <v>0</v>
      </c>
      <c r="L774" t="n">
        <v>0.3</v>
      </c>
      <c r="M774" t="n">
        <v>0</v>
      </c>
      <c r="N774" t="n">
        <v>71.90000000000001</v>
      </c>
      <c r="O774" t="n">
        <v>112.67</v>
      </c>
      <c r="P774" t="n">
        <v>117.29</v>
      </c>
      <c r="Q774" t="n">
        <v>4.76</v>
      </c>
      <c r="R774" t="n">
        <v>4.83</v>
      </c>
      <c r="S774">
        <f>IF(OR(G774=0,G774=""),"",ABS((G774-IF($C774="LT",Config!$F$2,Config!$F$14))/IF($C774="LT",Config!$G$2,Config!$G$14)))</f>
        <v/>
      </c>
      <c r="T774">
        <f>IF(OR(H774=0,H774=""),"",ABS((H774-IF($C774="LT",Config!$F$3,Config!$F$15))/IF($C774="LT",Config!$G$3,Config!$G$15)))</f>
        <v/>
      </c>
      <c r="U774">
        <f>IF(OR(I774=0,I774=""),"",ABS((I774-IF($C774="LT",Config!$F$4,Config!$F$16))/IF($C774="LT",Config!$G$4,Config!$G$16)))</f>
        <v/>
      </c>
      <c r="V774">
        <f>IF(OR(J774=0,J774=""),"",ABS((J774-IF($C774="LT",Config!$F$5,Config!$F$17))/IF($C774="LT",Config!$G$5,Config!$G$17)))</f>
        <v/>
      </c>
      <c r="W774">
        <f>IF(OR(K774=0,K774=""),"",ABS((K774-IF($C774="LT",Config!$F$6,Config!$F$18))/IF($C774="LT",Config!$G$6,Config!$G$18)))</f>
        <v/>
      </c>
      <c r="X774">
        <f>IF(OR(L774=0,L774=""),"",ABS((L774-IF($C774="LT",Config!$F$7,Config!$F$19))/IF($C774="LT",Config!$G$7,Config!$G$19)))</f>
        <v/>
      </c>
      <c r="Y774">
        <f>IF(OR(M774=0,M774=""),"",ABS((M774-IF($C774="LT",Config!$F$8,Config!$F$20))/IF($C774="LT",Config!$G$8,Config!$G$20)))</f>
        <v/>
      </c>
      <c r="Z774">
        <f>IF(OR(N774=0,N774=""),"",ABS((N774-IF($C774="LT",Config!$F$9,Config!$F$21))/IF($C774="LT",Config!$G$9,Config!$G$21)))</f>
        <v/>
      </c>
      <c r="AA774">
        <f>IF(OR(O774=0,O774=""),"",ABS((O774-IF($C774="LT",Config!$F$10,Config!$F$22))/IF($C774="LT",Config!$G$10,Config!$G$22)))</f>
        <v/>
      </c>
      <c r="AB774">
        <f>IF(OR(P774=0,P774=""),"",ABS((P774-IF($C774="LT",Config!$F$11,Config!$F$23))/IF($C774="LT",Config!$G$11,Config!$G$23)))</f>
        <v/>
      </c>
      <c r="AC774">
        <f>IF(OR(Q774=0,Q774=""),"",ABS((Q774-IF($C774="LT",Config!$F$12,Config!$F$24))/IF($C774="LT",Config!$G$12,Config!$G$24)))</f>
        <v/>
      </c>
      <c r="AD774">
        <f>IF(OR(R774=0,R774=""),"",ABS((R774-IF($C774="LT",Config!$F$13,Config!$F$25))/IF($C774="LT",Config!$G$13,Config!$G$25)))</f>
        <v/>
      </c>
    </row>
    <row r="775">
      <c r="A775" t="inlineStr">
        <is>
          <t>04C2426121082</t>
        </is>
      </c>
      <c r="B775" t="inlineStr">
        <is>
          <t>CRS0000675</t>
        </is>
      </c>
      <c r="C775" t="inlineStr">
        <is>
          <t>LT</t>
        </is>
      </c>
      <c r="D775" t="inlineStr">
        <is>
          <t>ALX440U-DS3B01</t>
        </is>
      </c>
      <c r="E775" s="2" t="n">
        <v>46130</v>
      </c>
      <c r="F775" t="inlineStr">
        <is>
          <t>Fail</t>
        </is>
      </c>
      <c r="G775" t="n">
        <v>128.5</v>
      </c>
      <c r="H775" t="n">
        <v>78.90000000000001</v>
      </c>
      <c r="I775" t="n">
        <v>-1957.8</v>
      </c>
      <c r="J775" t="n">
        <v>72.59999999999999</v>
      </c>
      <c r="K775" t="n">
        <v>0</v>
      </c>
      <c r="L775" t="n">
        <v>1.1</v>
      </c>
      <c r="M775" t="n">
        <v>0</v>
      </c>
      <c r="N775" t="n">
        <v>71.5</v>
      </c>
      <c r="O775" t="n">
        <v>115.6</v>
      </c>
      <c r="P775" t="n">
        <v>117</v>
      </c>
      <c r="Q775" t="n">
        <v>4.93</v>
      </c>
      <c r="R775" t="n">
        <v>4.98</v>
      </c>
      <c r="S775">
        <f>IF(OR(G775=0,G775=""),"",ABS((G775-IF($C775="LT",Config!$F$2,Config!$F$14))/IF($C775="LT",Config!$G$2,Config!$G$14)))</f>
        <v/>
      </c>
      <c r="T775">
        <f>IF(OR(H775=0,H775=""),"",ABS((H775-IF($C775="LT",Config!$F$3,Config!$F$15))/IF($C775="LT",Config!$G$3,Config!$G$15)))</f>
        <v/>
      </c>
      <c r="U775">
        <f>IF(OR(I775=0,I775=""),"",ABS((I775-IF($C775="LT",Config!$F$4,Config!$F$16))/IF($C775="LT",Config!$G$4,Config!$G$16)))</f>
        <v/>
      </c>
      <c r="V775">
        <f>IF(OR(J775=0,J775=""),"",ABS((J775-IF($C775="LT",Config!$F$5,Config!$F$17))/IF($C775="LT",Config!$G$5,Config!$G$17)))</f>
        <v/>
      </c>
      <c r="W775">
        <f>IF(OR(K775=0,K775=""),"",ABS((K775-IF($C775="LT",Config!$F$6,Config!$F$18))/IF($C775="LT",Config!$G$6,Config!$G$18)))</f>
        <v/>
      </c>
      <c r="X775">
        <f>IF(OR(L775=0,L775=""),"",ABS((L775-IF($C775="LT",Config!$F$7,Config!$F$19))/IF($C775="LT",Config!$G$7,Config!$G$19)))</f>
        <v/>
      </c>
      <c r="Y775">
        <f>IF(OR(M775=0,M775=""),"",ABS((M775-IF($C775="LT",Config!$F$8,Config!$F$20))/IF($C775="LT",Config!$G$8,Config!$G$20)))</f>
        <v/>
      </c>
      <c r="Z775">
        <f>IF(OR(N775=0,N775=""),"",ABS((N775-IF($C775="LT",Config!$F$9,Config!$F$21))/IF($C775="LT",Config!$G$9,Config!$G$21)))</f>
        <v/>
      </c>
      <c r="AA775">
        <f>IF(OR(O775=0,O775=""),"",ABS((O775-IF($C775="LT",Config!$F$10,Config!$F$22))/IF($C775="LT",Config!$G$10,Config!$G$22)))</f>
        <v/>
      </c>
      <c r="AB775">
        <f>IF(OR(P775=0,P775=""),"",ABS((P775-IF($C775="LT",Config!$F$11,Config!$F$23))/IF($C775="LT",Config!$G$11,Config!$G$23)))</f>
        <v/>
      </c>
      <c r="AC775">
        <f>IF(OR(Q775=0,Q775=""),"",ABS((Q775-IF($C775="LT",Config!$F$12,Config!$F$24))/IF($C775="LT",Config!$G$12,Config!$G$24)))</f>
        <v/>
      </c>
      <c r="AD775">
        <f>IF(OR(R775=0,R775=""),"",ABS((R775-IF($C775="LT",Config!$F$13,Config!$F$25))/IF($C775="LT",Config!$G$13,Config!$G$25)))</f>
        <v/>
      </c>
    </row>
    <row r="776">
      <c r="A776" t="inlineStr">
        <is>
          <t>04C2426121082</t>
        </is>
      </c>
      <c r="B776" t="inlineStr">
        <is>
          <t>CRS0000675</t>
        </is>
      </c>
      <c r="C776" t="inlineStr">
        <is>
          <t>LT</t>
        </is>
      </c>
      <c r="D776" t="inlineStr">
        <is>
          <t>ALX440U-DS3B01</t>
        </is>
      </c>
      <c r="E776" s="2" t="n">
        <v>46130</v>
      </c>
      <c r="F776" t="inlineStr">
        <is>
          <t>Fail</t>
        </is>
      </c>
      <c r="G776" t="n">
        <v>120.4</v>
      </c>
      <c r="H776" t="n">
        <v>77.90000000000001</v>
      </c>
      <c r="I776" t="n">
        <v>-1957.8</v>
      </c>
      <c r="J776" t="n">
        <v>71.3</v>
      </c>
      <c r="K776" t="n">
        <v>0</v>
      </c>
      <c r="L776" t="n">
        <v>0.9</v>
      </c>
      <c r="M776" t="n">
        <v>0</v>
      </c>
      <c r="N776" t="n">
        <v>70.40000000000001</v>
      </c>
      <c r="O776" t="n">
        <v>115.75</v>
      </c>
      <c r="P776" t="n">
        <v>117.29</v>
      </c>
      <c r="Q776" t="n">
        <v>4.91</v>
      </c>
      <c r="R776" t="n">
        <v>4.96</v>
      </c>
      <c r="S776">
        <f>IF(OR(G776=0,G776=""),"",ABS((G776-IF($C776="LT",Config!$F$2,Config!$F$14))/IF($C776="LT",Config!$G$2,Config!$G$14)))</f>
        <v/>
      </c>
      <c r="T776">
        <f>IF(OR(H776=0,H776=""),"",ABS((H776-IF($C776="LT",Config!$F$3,Config!$F$15))/IF($C776="LT",Config!$G$3,Config!$G$15)))</f>
        <v/>
      </c>
      <c r="U776">
        <f>IF(OR(I776=0,I776=""),"",ABS((I776-IF($C776="LT",Config!$F$4,Config!$F$16))/IF($C776="LT",Config!$G$4,Config!$G$16)))</f>
        <v/>
      </c>
      <c r="V776">
        <f>IF(OR(J776=0,J776=""),"",ABS((J776-IF($C776="LT",Config!$F$5,Config!$F$17))/IF($C776="LT",Config!$G$5,Config!$G$17)))</f>
        <v/>
      </c>
      <c r="W776">
        <f>IF(OR(K776=0,K776=""),"",ABS((K776-IF($C776="LT",Config!$F$6,Config!$F$18))/IF($C776="LT",Config!$G$6,Config!$G$18)))</f>
        <v/>
      </c>
      <c r="X776">
        <f>IF(OR(L776=0,L776=""),"",ABS((L776-IF($C776="LT",Config!$F$7,Config!$F$19))/IF($C776="LT",Config!$G$7,Config!$G$19)))</f>
        <v/>
      </c>
      <c r="Y776">
        <f>IF(OR(M776=0,M776=""),"",ABS((M776-IF($C776="LT",Config!$F$8,Config!$F$20))/IF($C776="LT",Config!$G$8,Config!$G$20)))</f>
        <v/>
      </c>
      <c r="Z776">
        <f>IF(OR(N776=0,N776=""),"",ABS((N776-IF($C776="LT",Config!$F$9,Config!$F$21))/IF($C776="LT",Config!$G$9,Config!$G$21)))</f>
        <v/>
      </c>
      <c r="AA776">
        <f>IF(OR(O776=0,O776=""),"",ABS((O776-IF($C776="LT",Config!$F$10,Config!$F$22))/IF($C776="LT",Config!$G$10,Config!$G$22)))</f>
        <v/>
      </c>
      <c r="AB776">
        <f>IF(OR(P776=0,P776=""),"",ABS((P776-IF($C776="LT",Config!$F$11,Config!$F$23))/IF($C776="LT",Config!$G$11,Config!$G$23)))</f>
        <v/>
      </c>
      <c r="AC776">
        <f>IF(OR(Q776=0,Q776=""),"",ABS((Q776-IF($C776="LT",Config!$F$12,Config!$F$24))/IF($C776="LT",Config!$G$12,Config!$G$24)))</f>
        <v/>
      </c>
      <c r="AD776">
        <f>IF(OR(R776=0,R776=""),"",ABS((R776-IF($C776="LT",Config!$F$13,Config!$F$25))/IF($C776="LT",Config!$G$13,Config!$G$25)))</f>
        <v/>
      </c>
    </row>
    <row r="777">
      <c r="A777" t="inlineStr">
        <is>
          <t>04D1726121461</t>
        </is>
      </c>
      <c r="B777" t="inlineStr">
        <is>
          <t>CRS0000675</t>
        </is>
      </c>
      <c r="C777" t="inlineStr">
        <is>
          <t>LT</t>
        </is>
      </c>
      <c r="D777" t="inlineStr">
        <is>
          <t>ALX440U-DS3B01</t>
        </is>
      </c>
      <c r="E777" s="2" t="n">
        <v>46130</v>
      </c>
      <c r="F777" t="inlineStr">
        <is>
          <t>Fail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>
        <f>IF(OR(G777=0,G777=""),"",ABS((G777-IF($C777="LT",Config!$F$2,Config!$F$14))/IF($C777="LT",Config!$G$2,Config!$G$14)))</f>
        <v/>
      </c>
      <c r="T777">
        <f>IF(OR(H777=0,H777=""),"",ABS((H777-IF($C777="LT",Config!$F$3,Config!$F$15))/IF($C777="LT",Config!$G$3,Config!$G$15)))</f>
        <v/>
      </c>
      <c r="U777">
        <f>IF(OR(I777=0,I777=""),"",ABS((I777-IF($C777="LT",Config!$F$4,Config!$F$16))/IF($C777="LT",Config!$G$4,Config!$G$16)))</f>
        <v/>
      </c>
      <c r="V777">
        <f>IF(OR(J777=0,J777=""),"",ABS((J777-IF($C777="LT",Config!$F$5,Config!$F$17))/IF($C777="LT",Config!$G$5,Config!$G$17)))</f>
        <v/>
      </c>
      <c r="W777">
        <f>IF(OR(K777=0,K777=""),"",ABS((K777-IF($C777="LT",Config!$F$6,Config!$F$18))/IF($C777="LT",Config!$G$6,Config!$G$18)))</f>
        <v/>
      </c>
      <c r="X777">
        <f>IF(OR(L777=0,L777=""),"",ABS((L777-IF($C777="LT",Config!$F$7,Config!$F$19))/IF($C777="LT",Config!$G$7,Config!$G$19)))</f>
        <v/>
      </c>
      <c r="Y777">
        <f>IF(OR(M777=0,M777=""),"",ABS((M777-IF($C777="LT",Config!$F$8,Config!$F$20))/IF($C777="LT",Config!$G$8,Config!$G$20)))</f>
        <v/>
      </c>
      <c r="Z777">
        <f>IF(OR(N777=0,N777=""),"",ABS((N777-IF($C777="LT",Config!$F$9,Config!$F$21))/IF($C777="LT",Config!$G$9,Config!$G$21)))</f>
        <v/>
      </c>
      <c r="AA777">
        <f>IF(OR(O777=0,O777=""),"",ABS((O777-IF($C777="LT",Config!$F$10,Config!$F$22))/IF($C777="LT",Config!$G$10,Config!$G$22)))</f>
        <v/>
      </c>
      <c r="AB777">
        <f>IF(OR(P777=0,P777=""),"",ABS((P777-IF($C777="LT",Config!$F$11,Config!$F$23))/IF($C777="LT",Config!$G$11,Config!$G$23)))</f>
        <v/>
      </c>
      <c r="AC777">
        <f>IF(OR(Q777=0,Q777=""),"",ABS((Q777-IF($C777="LT",Config!$F$12,Config!$F$24))/IF($C777="LT",Config!$G$12,Config!$G$24)))</f>
        <v/>
      </c>
      <c r="AD777">
        <f>IF(OR(R777=0,R777=""),"",ABS((R777-IF($C777="LT",Config!$F$13,Config!$F$25))/IF($C777="LT",Config!$G$13,Config!$G$25)))</f>
        <v/>
      </c>
    </row>
    <row r="778">
      <c r="A778" t="inlineStr">
        <is>
          <t>04D1726121461</t>
        </is>
      </c>
      <c r="B778" t="inlineStr">
        <is>
          <t>CRS0000675</t>
        </is>
      </c>
      <c r="C778" t="inlineStr">
        <is>
          <t>LT</t>
        </is>
      </c>
      <c r="D778" t="inlineStr">
        <is>
          <t>ALX440U-DS3B01</t>
        </is>
      </c>
      <c r="E778" s="2" t="n">
        <v>46130</v>
      </c>
      <c r="F778" t="inlineStr">
        <is>
          <t>Fail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>
        <f>IF(OR(G778=0,G778=""),"",ABS((G778-IF($C778="LT",Config!$F$2,Config!$F$14))/IF($C778="LT",Config!$G$2,Config!$G$14)))</f>
        <v/>
      </c>
      <c r="T778">
        <f>IF(OR(H778=0,H778=""),"",ABS((H778-IF($C778="LT",Config!$F$3,Config!$F$15))/IF($C778="LT",Config!$G$3,Config!$G$15)))</f>
        <v/>
      </c>
      <c r="U778">
        <f>IF(OR(I778=0,I778=""),"",ABS((I778-IF($C778="LT",Config!$F$4,Config!$F$16))/IF($C778="LT",Config!$G$4,Config!$G$16)))</f>
        <v/>
      </c>
      <c r="V778">
        <f>IF(OR(J778=0,J778=""),"",ABS((J778-IF($C778="LT",Config!$F$5,Config!$F$17))/IF($C778="LT",Config!$G$5,Config!$G$17)))</f>
        <v/>
      </c>
      <c r="W778">
        <f>IF(OR(K778=0,K778=""),"",ABS((K778-IF($C778="LT",Config!$F$6,Config!$F$18))/IF($C778="LT",Config!$G$6,Config!$G$18)))</f>
        <v/>
      </c>
      <c r="X778">
        <f>IF(OR(L778=0,L778=""),"",ABS((L778-IF($C778="LT",Config!$F$7,Config!$F$19))/IF($C778="LT",Config!$G$7,Config!$G$19)))</f>
        <v/>
      </c>
      <c r="Y778">
        <f>IF(OR(M778=0,M778=""),"",ABS((M778-IF($C778="LT",Config!$F$8,Config!$F$20))/IF($C778="LT",Config!$G$8,Config!$G$20)))</f>
        <v/>
      </c>
      <c r="Z778">
        <f>IF(OR(N778=0,N778=""),"",ABS((N778-IF($C778="LT",Config!$F$9,Config!$F$21))/IF($C778="LT",Config!$G$9,Config!$G$21)))</f>
        <v/>
      </c>
      <c r="AA778">
        <f>IF(OR(O778=0,O778=""),"",ABS((O778-IF($C778="LT",Config!$F$10,Config!$F$22))/IF($C778="LT",Config!$G$10,Config!$G$22)))</f>
        <v/>
      </c>
      <c r="AB778">
        <f>IF(OR(P778=0,P778=""),"",ABS((P778-IF($C778="LT",Config!$F$11,Config!$F$23))/IF($C778="LT",Config!$G$11,Config!$G$23)))</f>
        <v/>
      </c>
      <c r="AC778">
        <f>IF(OR(Q778=0,Q778=""),"",ABS((Q778-IF($C778="LT",Config!$F$12,Config!$F$24))/IF($C778="LT",Config!$G$12,Config!$G$24)))</f>
        <v/>
      </c>
      <c r="AD778">
        <f>IF(OR(R778=0,R778=""),"",ABS((R778-IF($C778="LT",Config!$F$13,Config!$F$25))/IF($C778="LT",Config!$G$13,Config!$G$25)))</f>
        <v/>
      </c>
    </row>
    <row r="779">
      <c r="A779" t="inlineStr">
        <is>
          <t>04D1726121461</t>
        </is>
      </c>
      <c r="B779" t="inlineStr">
        <is>
          <t>CRS0000675</t>
        </is>
      </c>
      <c r="C779" t="inlineStr">
        <is>
          <t>LT</t>
        </is>
      </c>
      <c r="D779" t="inlineStr">
        <is>
          <t>ALX440U-DS3B01</t>
        </is>
      </c>
      <c r="E779" s="2" t="n">
        <v>46130</v>
      </c>
      <c r="F779" t="inlineStr">
        <is>
          <t>Fail</t>
        </is>
      </c>
      <c r="G779" t="n">
        <v>126.7</v>
      </c>
      <c r="H779" t="n">
        <v>82.90000000000001</v>
      </c>
      <c r="I779" t="n">
        <v>-1957.8</v>
      </c>
      <c r="J779" t="n">
        <v>71.7</v>
      </c>
      <c r="K779" t="n">
        <v>0</v>
      </c>
      <c r="L779" t="n">
        <v>0.6</v>
      </c>
      <c r="M779" t="n">
        <v>0</v>
      </c>
      <c r="N779" t="n">
        <v>71.09999999999999</v>
      </c>
      <c r="O779" t="n">
        <v>114.72</v>
      </c>
      <c r="P779" t="n">
        <v>114.8</v>
      </c>
      <c r="Q779" t="n">
        <v>7.08</v>
      </c>
      <c r="R779" t="n">
        <v>7.28</v>
      </c>
      <c r="S779">
        <f>IF(OR(G779=0,G779=""),"",ABS((G779-IF($C779="LT",Config!$F$2,Config!$F$14))/IF($C779="LT",Config!$G$2,Config!$G$14)))</f>
        <v/>
      </c>
      <c r="T779">
        <f>IF(OR(H779=0,H779=""),"",ABS((H779-IF($C779="LT",Config!$F$3,Config!$F$15))/IF($C779="LT",Config!$G$3,Config!$G$15)))</f>
        <v/>
      </c>
      <c r="U779">
        <f>IF(OR(I779=0,I779=""),"",ABS((I779-IF($C779="LT",Config!$F$4,Config!$F$16))/IF($C779="LT",Config!$G$4,Config!$G$16)))</f>
        <v/>
      </c>
      <c r="V779">
        <f>IF(OR(J779=0,J779=""),"",ABS((J779-IF($C779="LT",Config!$F$5,Config!$F$17))/IF($C779="LT",Config!$G$5,Config!$G$17)))</f>
        <v/>
      </c>
      <c r="W779">
        <f>IF(OR(K779=0,K779=""),"",ABS((K779-IF($C779="LT",Config!$F$6,Config!$F$18))/IF($C779="LT",Config!$G$6,Config!$G$18)))</f>
        <v/>
      </c>
      <c r="X779">
        <f>IF(OR(L779=0,L779=""),"",ABS((L779-IF($C779="LT",Config!$F$7,Config!$F$19))/IF($C779="LT",Config!$G$7,Config!$G$19)))</f>
        <v/>
      </c>
      <c r="Y779">
        <f>IF(OR(M779=0,M779=""),"",ABS((M779-IF($C779="LT",Config!$F$8,Config!$F$20))/IF($C779="LT",Config!$G$8,Config!$G$20)))</f>
        <v/>
      </c>
      <c r="Z779">
        <f>IF(OR(N779=0,N779=""),"",ABS((N779-IF($C779="LT",Config!$F$9,Config!$F$21))/IF($C779="LT",Config!$G$9,Config!$G$21)))</f>
        <v/>
      </c>
      <c r="AA779">
        <f>IF(OR(O779=0,O779=""),"",ABS((O779-IF($C779="LT",Config!$F$10,Config!$F$22))/IF($C779="LT",Config!$G$10,Config!$G$22)))</f>
        <v/>
      </c>
      <c r="AB779">
        <f>IF(OR(P779=0,P779=""),"",ABS((P779-IF($C779="LT",Config!$F$11,Config!$F$23))/IF($C779="LT",Config!$G$11,Config!$G$23)))</f>
        <v/>
      </c>
      <c r="AC779">
        <f>IF(OR(Q779=0,Q779=""),"",ABS((Q779-IF($C779="LT",Config!$F$12,Config!$F$24))/IF($C779="LT",Config!$G$12,Config!$G$24)))</f>
        <v/>
      </c>
      <c r="AD779">
        <f>IF(OR(R779=0,R779=""),"",ABS((R779-IF($C779="LT",Config!$F$13,Config!$F$25))/IF($C779="LT",Config!$G$13,Config!$G$25)))</f>
        <v/>
      </c>
    </row>
    <row r="780">
      <c r="A780" t="inlineStr">
        <is>
          <t>04D1726121461</t>
        </is>
      </c>
      <c r="B780" t="inlineStr">
        <is>
          <t>CRS0000675</t>
        </is>
      </c>
      <c r="C780" t="inlineStr">
        <is>
          <t>LT</t>
        </is>
      </c>
      <c r="D780" t="inlineStr">
        <is>
          <t>ALX440U-DS3B01</t>
        </is>
      </c>
      <c r="E780" s="2" t="n">
        <v>46130</v>
      </c>
      <c r="F780" t="inlineStr">
        <is>
          <t>Fail</t>
        </is>
      </c>
      <c r="G780" t="n">
        <v>166.9</v>
      </c>
      <c r="H780" t="n">
        <v>87.40000000000001</v>
      </c>
      <c r="I780" t="n">
        <v>-1957.8</v>
      </c>
      <c r="J780" t="n">
        <v>72.2</v>
      </c>
      <c r="K780" t="n">
        <v>0</v>
      </c>
      <c r="L780" t="n">
        <v>0.9</v>
      </c>
      <c r="M780" t="n">
        <v>0</v>
      </c>
      <c r="N780" t="n">
        <v>71.3</v>
      </c>
      <c r="O780" t="n">
        <v>114.87</v>
      </c>
      <c r="P780" t="n">
        <v>114.58</v>
      </c>
      <c r="Q780" t="n">
        <v>7.18</v>
      </c>
      <c r="R780" t="n">
        <v>7.47</v>
      </c>
      <c r="S780">
        <f>IF(OR(G780=0,G780=""),"",ABS((G780-IF($C780="LT",Config!$F$2,Config!$F$14))/IF($C780="LT",Config!$G$2,Config!$G$14)))</f>
        <v/>
      </c>
      <c r="T780">
        <f>IF(OR(H780=0,H780=""),"",ABS((H780-IF($C780="LT",Config!$F$3,Config!$F$15))/IF($C780="LT",Config!$G$3,Config!$G$15)))</f>
        <v/>
      </c>
      <c r="U780">
        <f>IF(OR(I780=0,I780=""),"",ABS((I780-IF($C780="LT",Config!$F$4,Config!$F$16))/IF($C780="LT",Config!$G$4,Config!$G$16)))</f>
        <v/>
      </c>
      <c r="V780">
        <f>IF(OR(J780=0,J780=""),"",ABS((J780-IF($C780="LT",Config!$F$5,Config!$F$17))/IF($C780="LT",Config!$G$5,Config!$G$17)))</f>
        <v/>
      </c>
      <c r="W780">
        <f>IF(OR(K780=0,K780=""),"",ABS((K780-IF($C780="LT",Config!$F$6,Config!$F$18))/IF($C780="LT",Config!$G$6,Config!$G$18)))</f>
        <v/>
      </c>
      <c r="X780">
        <f>IF(OR(L780=0,L780=""),"",ABS((L780-IF($C780="LT",Config!$F$7,Config!$F$19))/IF($C780="LT",Config!$G$7,Config!$G$19)))</f>
        <v/>
      </c>
      <c r="Y780">
        <f>IF(OR(M780=0,M780=""),"",ABS((M780-IF($C780="LT",Config!$F$8,Config!$F$20))/IF($C780="LT",Config!$G$8,Config!$G$20)))</f>
        <v/>
      </c>
      <c r="Z780">
        <f>IF(OR(N780=0,N780=""),"",ABS((N780-IF($C780="LT",Config!$F$9,Config!$F$21))/IF($C780="LT",Config!$G$9,Config!$G$21)))</f>
        <v/>
      </c>
      <c r="AA780">
        <f>IF(OR(O780=0,O780=""),"",ABS((O780-IF($C780="LT",Config!$F$10,Config!$F$22))/IF($C780="LT",Config!$G$10,Config!$G$22)))</f>
        <v/>
      </c>
      <c r="AB780">
        <f>IF(OR(P780=0,P780=""),"",ABS((P780-IF($C780="LT",Config!$F$11,Config!$F$23))/IF($C780="LT",Config!$G$11,Config!$G$23)))</f>
        <v/>
      </c>
      <c r="AC780">
        <f>IF(OR(Q780=0,Q780=""),"",ABS((Q780-IF($C780="LT",Config!$F$12,Config!$F$24))/IF($C780="LT",Config!$G$12,Config!$G$24)))</f>
        <v/>
      </c>
      <c r="AD780">
        <f>IF(OR(R780=0,R780=""),"",ABS((R780-IF($C780="LT",Config!$F$13,Config!$F$25))/IF($C780="LT",Config!$G$13,Config!$G$25)))</f>
        <v/>
      </c>
    </row>
    <row r="781">
      <c r="A781" t="inlineStr">
        <is>
          <t>04D1726121462</t>
        </is>
      </c>
      <c r="B781" t="inlineStr">
        <is>
          <t>CRS0000675</t>
        </is>
      </c>
      <c r="C781" t="inlineStr">
        <is>
          <t>LT</t>
        </is>
      </c>
      <c r="D781" t="inlineStr">
        <is>
          <t>ALX440U-DS3B01</t>
        </is>
      </c>
      <c r="E781" s="2" t="n">
        <v>46130</v>
      </c>
      <c r="F781" t="inlineStr">
        <is>
          <t>Pass</t>
        </is>
      </c>
      <c r="G781" t="n">
        <v>161.1</v>
      </c>
      <c r="H781" t="n">
        <v>101</v>
      </c>
      <c r="I781" t="n">
        <v>-1957.8</v>
      </c>
      <c r="J781" t="n">
        <v>72.2</v>
      </c>
      <c r="K781" t="n">
        <v>0</v>
      </c>
      <c r="L781" t="n">
        <v>2.1</v>
      </c>
      <c r="M781" t="n">
        <v>0</v>
      </c>
      <c r="N781" t="n">
        <v>70.09999999999999</v>
      </c>
      <c r="O781" t="n">
        <v>114.65</v>
      </c>
      <c r="P781" t="n">
        <v>114.58</v>
      </c>
      <c r="Q781" t="n">
        <v>7.84</v>
      </c>
      <c r="R781" t="n">
        <v>7.79</v>
      </c>
      <c r="S781">
        <f>IF(OR(G781=0,G781=""),"",ABS((G781-IF($C781="LT",Config!$F$2,Config!$F$14))/IF($C781="LT",Config!$G$2,Config!$G$14)))</f>
        <v/>
      </c>
      <c r="T781">
        <f>IF(OR(H781=0,H781=""),"",ABS((H781-IF($C781="LT",Config!$F$3,Config!$F$15))/IF($C781="LT",Config!$G$3,Config!$G$15)))</f>
        <v/>
      </c>
      <c r="U781">
        <f>IF(OR(I781=0,I781=""),"",ABS((I781-IF($C781="LT",Config!$F$4,Config!$F$16))/IF($C781="LT",Config!$G$4,Config!$G$16)))</f>
        <v/>
      </c>
      <c r="V781">
        <f>IF(OR(J781=0,J781=""),"",ABS((J781-IF($C781="LT",Config!$F$5,Config!$F$17))/IF($C781="LT",Config!$G$5,Config!$G$17)))</f>
        <v/>
      </c>
      <c r="W781">
        <f>IF(OR(K781=0,K781=""),"",ABS((K781-IF($C781="LT",Config!$F$6,Config!$F$18))/IF($C781="LT",Config!$G$6,Config!$G$18)))</f>
        <v/>
      </c>
      <c r="X781">
        <f>IF(OR(L781=0,L781=""),"",ABS((L781-IF($C781="LT",Config!$F$7,Config!$F$19))/IF($C781="LT",Config!$G$7,Config!$G$19)))</f>
        <v/>
      </c>
      <c r="Y781">
        <f>IF(OR(M781=0,M781=""),"",ABS((M781-IF($C781="LT",Config!$F$8,Config!$F$20))/IF($C781="LT",Config!$G$8,Config!$G$20)))</f>
        <v/>
      </c>
      <c r="Z781">
        <f>IF(OR(N781=0,N781=""),"",ABS((N781-IF($C781="LT",Config!$F$9,Config!$F$21))/IF($C781="LT",Config!$G$9,Config!$G$21)))</f>
        <v/>
      </c>
      <c r="AA781">
        <f>IF(OR(O781=0,O781=""),"",ABS((O781-IF($C781="LT",Config!$F$10,Config!$F$22))/IF($C781="LT",Config!$G$10,Config!$G$22)))</f>
        <v/>
      </c>
      <c r="AB781">
        <f>IF(OR(P781=0,P781=""),"",ABS((P781-IF($C781="LT",Config!$F$11,Config!$F$23))/IF($C781="LT",Config!$G$11,Config!$G$23)))</f>
        <v/>
      </c>
      <c r="AC781">
        <f>IF(OR(Q781=0,Q781=""),"",ABS((Q781-IF($C781="LT",Config!$F$12,Config!$F$24))/IF($C781="LT",Config!$G$12,Config!$G$24)))</f>
        <v/>
      </c>
      <c r="AD781">
        <f>IF(OR(R781=0,R781=""),"",ABS((R781-IF($C781="LT",Config!$F$13,Config!$F$25))/IF($C781="LT",Config!$G$13,Config!$G$25)))</f>
        <v/>
      </c>
    </row>
    <row r="782">
      <c r="A782" t="inlineStr">
        <is>
          <t>04D1726121461</t>
        </is>
      </c>
      <c r="B782" t="inlineStr">
        <is>
          <t>CRS0000675</t>
        </is>
      </c>
      <c r="C782" t="inlineStr">
        <is>
          <t>LT</t>
        </is>
      </c>
      <c r="D782" t="inlineStr">
        <is>
          <t>ALX440U-DS3B01</t>
        </is>
      </c>
      <c r="E782" s="2" t="n">
        <v>46130</v>
      </c>
      <c r="F782" t="inlineStr">
        <is>
          <t>Pass</t>
        </is>
      </c>
      <c r="G782" t="n">
        <v>145</v>
      </c>
      <c r="H782" t="n">
        <v>101</v>
      </c>
      <c r="I782" t="n">
        <v>-1957.8</v>
      </c>
      <c r="J782" t="n">
        <v>72.2</v>
      </c>
      <c r="K782" t="n">
        <v>0</v>
      </c>
      <c r="L782" t="n">
        <v>0.6</v>
      </c>
      <c r="M782" t="n">
        <v>0</v>
      </c>
      <c r="N782" t="n">
        <v>71.59999999999999</v>
      </c>
      <c r="O782" t="n">
        <v>114.8</v>
      </c>
      <c r="P782" t="n">
        <v>114.65</v>
      </c>
      <c r="Q782" t="n">
        <v>7.03</v>
      </c>
      <c r="R782" t="n">
        <v>7.4</v>
      </c>
      <c r="S782">
        <f>IF(OR(G782=0,G782=""),"",ABS((G782-IF($C782="LT",Config!$F$2,Config!$F$14))/IF($C782="LT",Config!$G$2,Config!$G$14)))</f>
        <v/>
      </c>
      <c r="T782">
        <f>IF(OR(H782=0,H782=""),"",ABS((H782-IF($C782="LT",Config!$F$3,Config!$F$15))/IF($C782="LT",Config!$G$3,Config!$G$15)))</f>
        <v/>
      </c>
      <c r="U782">
        <f>IF(OR(I782=0,I782=""),"",ABS((I782-IF($C782="LT",Config!$F$4,Config!$F$16))/IF($C782="LT",Config!$G$4,Config!$G$16)))</f>
        <v/>
      </c>
      <c r="V782">
        <f>IF(OR(J782=0,J782=""),"",ABS((J782-IF($C782="LT",Config!$F$5,Config!$F$17))/IF($C782="LT",Config!$G$5,Config!$G$17)))</f>
        <v/>
      </c>
      <c r="W782">
        <f>IF(OR(K782=0,K782=""),"",ABS((K782-IF($C782="LT",Config!$F$6,Config!$F$18))/IF($C782="LT",Config!$G$6,Config!$G$18)))</f>
        <v/>
      </c>
      <c r="X782">
        <f>IF(OR(L782=0,L782=""),"",ABS((L782-IF($C782="LT",Config!$F$7,Config!$F$19))/IF($C782="LT",Config!$G$7,Config!$G$19)))</f>
        <v/>
      </c>
      <c r="Y782">
        <f>IF(OR(M782=0,M782=""),"",ABS((M782-IF($C782="LT",Config!$F$8,Config!$F$20))/IF($C782="LT",Config!$G$8,Config!$G$20)))</f>
        <v/>
      </c>
      <c r="Z782">
        <f>IF(OR(N782=0,N782=""),"",ABS((N782-IF($C782="LT",Config!$F$9,Config!$F$21))/IF($C782="LT",Config!$G$9,Config!$G$21)))</f>
        <v/>
      </c>
      <c r="AA782">
        <f>IF(OR(O782=0,O782=""),"",ABS((O782-IF($C782="LT",Config!$F$10,Config!$F$22))/IF($C782="LT",Config!$G$10,Config!$G$22)))</f>
        <v/>
      </c>
      <c r="AB782">
        <f>IF(OR(P782=0,P782=""),"",ABS((P782-IF($C782="LT",Config!$F$11,Config!$F$23))/IF($C782="LT",Config!$G$11,Config!$G$23)))</f>
        <v/>
      </c>
      <c r="AC782">
        <f>IF(OR(Q782=0,Q782=""),"",ABS((Q782-IF($C782="LT",Config!$F$12,Config!$F$24))/IF($C782="LT",Config!$G$12,Config!$G$24)))</f>
        <v/>
      </c>
      <c r="AD782">
        <f>IF(OR(R782=0,R782=""),"",ABS((R782-IF($C782="LT",Config!$F$13,Config!$F$25))/IF($C782="LT",Config!$G$13,Config!$G$25)))</f>
        <v/>
      </c>
    </row>
    <row r="783">
      <c r="A783" t="inlineStr">
        <is>
          <t>04D1826121463</t>
        </is>
      </c>
      <c r="B783" t="inlineStr">
        <is>
          <t>CRS0000675</t>
        </is>
      </c>
      <c r="C783" t="inlineStr">
        <is>
          <t>LT</t>
        </is>
      </c>
      <c r="D783" t="inlineStr">
        <is>
          <t>ALX440U-DS3B01</t>
        </is>
      </c>
      <c r="E783" s="2" t="n">
        <v>46130</v>
      </c>
      <c r="F783" t="inlineStr">
        <is>
          <t>Fail</t>
        </is>
      </c>
      <c r="G783" t="n">
        <v>90.09999999999999</v>
      </c>
      <c r="H783" t="n">
        <v>101.4</v>
      </c>
      <c r="I783" t="n">
        <v>-1957.8</v>
      </c>
      <c r="J783" t="n">
        <v>72.59999999999999</v>
      </c>
      <c r="K783" t="n">
        <v>0</v>
      </c>
      <c r="L783" t="n">
        <v>1.6</v>
      </c>
      <c r="M783" t="n">
        <v>0</v>
      </c>
      <c r="N783" t="n">
        <v>71</v>
      </c>
      <c r="O783" t="n">
        <v>111.64</v>
      </c>
      <c r="P783" t="n">
        <v>113.18</v>
      </c>
      <c r="Q783" t="n">
        <v>8.199999999999999</v>
      </c>
      <c r="R783" t="n">
        <v>8.029999999999999</v>
      </c>
      <c r="S783">
        <f>IF(OR(G783=0,G783=""),"",ABS((G783-IF($C783="LT",Config!$F$2,Config!$F$14))/IF($C783="LT",Config!$G$2,Config!$G$14)))</f>
        <v/>
      </c>
      <c r="T783">
        <f>IF(OR(H783=0,H783=""),"",ABS((H783-IF($C783="LT",Config!$F$3,Config!$F$15))/IF($C783="LT",Config!$G$3,Config!$G$15)))</f>
        <v/>
      </c>
      <c r="U783">
        <f>IF(OR(I783=0,I783=""),"",ABS((I783-IF($C783="LT",Config!$F$4,Config!$F$16))/IF($C783="LT",Config!$G$4,Config!$G$16)))</f>
        <v/>
      </c>
      <c r="V783">
        <f>IF(OR(J783=0,J783=""),"",ABS((J783-IF($C783="LT",Config!$F$5,Config!$F$17))/IF($C783="LT",Config!$G$5,Config!$G$17)))</f>
        <v/>
      </c>
      <c r="W783">
        <f>IF(OR(K783=0,K783=""),"",ABS((K783-IF($C783="LT",Config!$F$6,Config!$F$18))/IF($C783="LT",Config!$G$6,Config!$G$18)))</f>
        <v/>
      </c>
      <c r="X783">
        <f>IF(OR(L783=0,L783=""),"",ABS((L783-IF($C783="LT",Config!$F$7,Config!$F$19))/IF($C783="LT",Config!$G$7,Config!$G$19)))</f>
        <v/>
      </c>
      <c r="Y783">
        <f>IF(OR(M783=0,M783=""),"",ABS((M783-IF($C783="LT",Config!$F$8,Config!$F$20))/IF($C783="LT",Config!$G$8,Config!$G$20)))</f>
        <v/>
      </c>
      <c r="Z783">
        <f>IF(OR(N783=0,N783=""),"",ABS((N783-IF($C783="LT",Config!$F$9,Config!$F$21))/IF($C783="LT",Config!$G$9,Config!$G$21)))</f>
        <v/>
      </c>
      <c r="AA783">
        <f>IF(OR(O783=0,O783=""),"",ABS((O783-IF($C783="LT",Config!$F$10,Config!$F$22))/IF($C783="LT",Config!$G$10,Config!$G$22)))</f>
        <v/>
      </c>
      <c r="AB783">
        <f>IF(OR(P783=0,P783=""),"",ABS((P783-IF($C783="LT",Config!$F$11,Config!$F$23))/IF($C783="LT",Config!$G$11,Config!$G$23)))</f>
        <v/>
      </c>
      <c r="AC783">
        <f>IF(OR(Q783=0,Q783=""),"",ABS((Q783-IF($C783="LT",Config!$F$12,Config!$F$24))/IF($C783="LT",Config!$G$12,Config!$G$24)))</f>
        <v/>
      </c>
      <c r="AD783">
        <f>IF(OR(R783=0,R783=""),"",ABS((R783-IF($C783="LT",Config!$F$13,Config!$F$25))/IF($C783="LT",Config!$G$13,Config!$G$25)))</f>
        <v/>
      </c>
    </row>
    <row r="784">
      <c r="A784" t="inlineStr">
        <is>
          <t>04D1826121463</t>
        </is>
      </c>
      <c r="B784" t="inlineStr">
        <is>
          <t>CRS0000675</t>
        </is>
      </c>
      <c r="C784" t="inlineStr">
        <is>
          <t>LT</t>
        </is>
      </c>
      <c r="D784" t="inlineStr">
        <is>
          <t>ALX440U-DS3B01</t>
        </is>
      </c>
      <c r="E784" s="2" t="n">
        <v>46130</v>
      </c>
      <c r="F784" t="inlineStr">
        <is>
          <t>Pass</t>
        </is>
      </c>
      <c r="G784" t="n">
        <v>162.9</v>
      </c>
      <c r="H784" t="n">
        <v>101.9</v>
      </c>
      <c r="I784" t="n">
        <v>-1957.8</v>
      </c>
      <c r="J784" t="n">
        <v>72.59999999999999</v>
      </c>
      <c r="K784" t="n">
        <v>0</v>
      </c>
      <c r="L784" t="n">
        <v>1.3</v>
      </c>
      <c r="M784" t="n">
        <v>0</v>
      </c>
      <c r="N784" t="n">
        <v>71.3</v>
      </c>
      <c r="O784" t="n">
        <v>111.79</v>
      </c>
      <c r="P784" t="n">
        <v>113.4</v>
      </c>
      <c r="Q784" t="n">
        <v>7.93</v>
      </c>
      <c r="R784" t="n">
        <v>7.98</v>
      </c>
      <c r="S784">
        <f>IF(OR(G784=0,G784=""),"",ABS((G784-IF($C784="LT",Config!$F$2,Config!$F$14))/IF($C784="LT",Config!$G$2,Config!$G$14)))</f>
        <v/>
      </c>
      <c r="T784">
        <f>IF(OR(H784=0,H784=""),"",ABS((H784-IF($C784="LT",Config!$F$3,Config!$F$15))/IF($C784="LT",Config!$G$3,Config!$G$15)))</f>
        <v/>
      </c>
      <c r="U784">
        <f>IF(OR(I784=0,I784=""),"",ABS((I784-IF($C784="LT",Config!$F$4,Config!$F$16))/IF($C784="LT",Config!$G$4,Config!$G$16)))</f>
        <v/>
      </c>
      <c r="V784">
        <f>IF(OR(J784=0,J784=""),"",ABS((J784-IF($C784="LT",Config!$F$5,Config!$F$17))/IF($C784="LT",Config!$G$5,Config!$G$17)))</f>
        <v/>
      </c>
      <c r="W784">
        <f>IF(OR(K784=0,K784=""),"",ABS((K784-IF($C784="LT",Config!$F$6,Config!$F$18))/IF($C784="LT",Config!$G$6,Config!$G$18)))</f>
        <v/>
      </c>
      <c r="X784">
        <f>IF(OR(L784=0,L784=""),"",ABS((L784-IF($C784="LT",Config!$F$7,Config!$F$19))/IF($C784="LT",Config!$G$7,Config!$G$19)))</f>
        <v/>
      </c>
      <c r="Y784">
        <f>IF(OR(M784=0,M784=""),"",ABS((M784-IF($C784="LT",Config!$F$8,Config!$F$20))/IF($C784="LT",Config!$G$8,Config!$G$20)))</f>
        <v/>
      </c>
      <c r="Z784">
        <f>IF(OR(N784=0,N784=""),"",ABS((N784-IF($C784="LT",Config!$F$9,Config!$F$21))/IF($C784="LT",Config!$G$9,Config!$G$21)))</f>
        <v/>
      </c>
      <c r="AA784">
        <f>IF(OR(O784=0,O784=""),"",ABS((O784-IF($C784="LT",Config!$F$10,Config!$F$22))/IF($C784="LT",Config!$G$10,Config!$G$22)))</f>
        <v/>
      </c>
      <c r="AB784">
        <f>IF(OR(P784=0,P784=""),"",ABS((P784-IF($C784="LT",Config!$F$11,Config!$F$23))/IF($C784="LT",Config!$G$11,Config!$G$23)))</f>
        <v/>
      </c>
      <c r="AC784">
        <f>IF(OR(Q784=0,Q784=""),"",ABS((Q784-IF($C784="LT",Config!$F$12,Config!$F$24))/IF($C784="LT",Config!$G$12,Config!$G$24)))</f>
        <v/>
      </c>
      <c r="AD784">
        <f>IF(OR(R784=0,R784=""),"",ABS((R784-IF($C784="LT",Config!$F$13,Config!$F$25))/IF($C784="LT",Config!$G$13,Config!$G$25)))</f>
        <v/>
      </c>
    </row>
    <row r="785">
      <c r="A785" t="inlineStr">
        <is>
          <t>04D1826121464</t>
        </is>
      </c>
      <c r="B785" t="inlineStr">
        <is>
          <t>CRS0000675</t>
        </is>
      </c>
      <c r="C785" t="inlineStr">
        <is>
          <t>LT</t>
        </is>
      </c>
      <c r="D785" t="inlineStr">
        <is>
          <t>ALX440U-DS3B01</t>
        </is>
      </c>
      <c r="E785" s="2" t="n">
        <v>46130</v>
      </c>
      <c r="F785" t="inlineStr">
        <is>
          <t>Pass</t>
        </is>
      </c>
      <c r="G785" t="n">
        <v>159.7</v>
      </c>
      <c r="H785" t="n">
        <v>100.1</v>
      </c>
      <c r="I785" t="n">
        <v>-1957.8</v>
      </c>
      <c r="J785" t="n">
        <v>71.7</v>
      </c>
      <c r="K785" t="n">
        <v>0</v>
      </c>
      <c r="L785" t="n">
        <v>1.6</v>
      </c>
      <c r="M785" t="n">
        <v>0</v>
      </c>
      <c r="N785" t="n">
        <v>70.09999999999999</v>
      </c>
      <c r="O785" t="n">
        <v>111.5</v>
      </c>
      <c r="P785" t="n">
        <v>112.96</v>
      </c>
      <c r="Q785" t="n">
        <v>8.33</v>
      </c>
      <c r="R785" t="n">
        <v>8.01</v>
      </c>
      <c r="S785">
        <f>IF(OR(G785=0,G785=""),"",ABS((G785-IF($C785="LT",Config!$F$2,Config!$F$14))/IF($C785="LT",Config!$G$2,Config!$G$14)))</f>
        <v/>
      </c>
      <c r="T785">
        <f>IF(OR(H785=0,H785=""),"",ABS((H785-IF($C785="LT",Config!$F$3,Config!$F$15))/IF($C785="LT",Config!$G$3,Config!$G$15)))</f>
        <v/>
      </c>
      <c r="U785">
        <f>IF(OR(I785=0,I785=""),"",ABS((I785-IF($C785="LT",Config!$F$4,Config!$F$16))/IF($C785="LT",Config!$G$4,Config!$G$16)))</f>
        <v/>
      </c>
      <c r="V785">
        <f>IF(OR(J785=0,J785=""),"",ABS((J785-IF($C785="LT",Config!$F$5,Config!$F$17))/IF($C785="LT",Config!$G$5,Config!$G$17)))</f>
        <v/>
      </c>
      <c r="W785">
        <f>IF(OR(K785=0,K785=""),"",ABS((K785-IF($C785="LT",Config!$F$6,Config!$F$18))/IF($C785="LT",Config!$G$6,Config!$G$18)))</f>
        <v/>
      </c>
      <c r="X785">
        <f>IF(OR(L785=0,L785=""),"",ABS((L785-IF($C785="LT",Config!$F$7,Config!$F$19))/IF($C785="LT",Config!$G$7,Config!$G$19)))</f>
        <v/>
      </c>
      <c r="Y785">
        <f>IF(OR(M785=0,M785=""),"",ABS((M785-IF($C785="LT",Config!$F$8,Config!$F$20))/IF($C785="LT",Config!$G$8,Config!$G$20)))</f>
        <v/>
      </c>
      <c r="Z785">
        <f>IF(OR(N785=0,N785=""),"",ABS((N785-IF($C785="LT",Config!$F$9,Config!$F$21))/IF($C785="LT",Config!$G$9,Config!$G$21)))</f>
        <v/>
      </c>
      <c r="AA785">
        <f>IF(OR(O785=0,O785=""),"",ABS((O785-IF($C785="LT",Config!$F$10,Config!$F$22))/IF($C785="LT",Config!$G$10,Config!$G$22)))</f>
        <v/>
      </c>
      <c r="AB785">
        <f>IF(OR(P785=0,P785=""),"",ABS((P785-IF($C785="LT",Config!$F$11,Config!$F$23))/IF($C785="LT",Config!$G$11,Config!$G$23)))</f>
        <v/>
      </c>
      <c r="AC785">
        <f>IF(OR(Q785=0,Q785=""),"",ABS((Q785-IF($C785="LT",Config!$F$12,Config!$F$24))/IF($C785="LT",Config!$G$12,Config!$G$24)))</f>
        <v/>
      </c>
      <c r="AD785">
        <f>IF(OR(R785=0,R785=""),"",ABS((R785-IF($C785="LT",Config!$F$13,Config!$F$25))/IF($C785="LT",Config!$G$13,Config!$G$25)))</f>
        <v/>
      </c>
    </row>
    <row r="786">
      <c r="A786" t="inlineStr">
        <is>
          <t>04D1826121465</t>
        </is>
      </c>
      <c r="B786" t="inlineStr">
        <is>
          <t>CRS0000675</t>
        </is>
      </c>
      <c r="C786" t="inlineStr">
        <is>
          <t>LT</t>
        </is>
      </c>
      <c r="D786" t="inlineStr">
        <is>
          <t>ALX440U-DS3B01</t>
        </is>
      </c>
      <c r="E786" s="2" t="n">
        <v>46130</v>
      </c>
      <c r="F786" t="inlineStr">
        <is>
          <t>Fail</t>
        </is>
      </c>
      <c r="G786" t="n">
        <v>169.6</v>
      </c>
      <c r="H786" t="n">
        <v>98.7</v>
      </c>
      <c r="I786" t="n">
        <v>-1957.8</v>
      </c>
      <c r="J786" t="n">
        <v>71.7</v>
      </c>
      <c r="K786" t="n">
        <v>0</v>
      </c>
      <c r="L786" t="n">
        <v>1.2</v>
      </c>
      <c r="M786" t="n">
        <v>0</v>
      </c>
      <c r="N786" t="n">
        <v>70.5</v>
      </c>
      <c r="O786" t="n">
        <v>111.35</v>
      </c>
      <c r="P786" t="n">
        <v>112.96</v>
      </c>
      <c r="Q786" t="n">
        <v>8.300000000000001</v>
      </c>
      <c r="R786" t="n">
        <v>8.029999999999999</v>
      </c>
      <c r="S786">
        <f>IF(OR(G786=0,G786=""),"",ABS((G786-IF($C786="LT",Config!$F$2,Config!$F$14))/IF($C786="LT",Config!$G$2,Config!$G$14)))</f>
        <v/>
      </c>
      <c r="T786">
        <f>IF(OR(H786=0,H786=""),"",ABS((H786-IF($C786="LT",Config!$F$3,Config!$F$15))/IF($C786="LT",Config!$G$3,Config!$G$15)))</f>
        <v/>
      </c>
      <c r="U786">
        <f>IF(OR(I786=0,I786=""),"",ABS((I786-IF($C786="LT",Config!$F$4,Config!$F$16))/IF($C786="LT",Config!$G$4,Config!$G$16)))</f>
        <v/>
      </c>
      <c r="V786">
        <f>IF(OR(J786=0,J786=""),"",ABS((J786-IF($C786="LT",Config!$F$5,Config!$F$17))/IF($C786="LT",Config!$G$5,Config!$G$17)))</f>
        <v/>
      </c>
      <c r="W786">
        <f>IF(OR(K786=0,K786=""),"",ABS((K786-IF($C786="LT",Config!$F$6,Config!$F$18))/IF($C786="LT",Config!$G$6,Config!$G$18)))</f>
        <v/>
      </c>
      <c r="X786">
        <f>IF(OR(L786=0,L786=""),"",ABS((L786-IF($C786="LT",Config!$F$7,Config!$F$19))/IF($C786="LT",Config!$G$7,Config!$G$19)))</f>
        <v/>
      </c>
      <c r="Y786">
        <f>IF(OR(M786=0,M786=""),"",ABS((M786-IF($C786="LT",Config!$F$8,Config!$F$20))/IF($C786="LT",Config!$G$8,Config!$G$20)))</f>
        <v/>
      </c>
      <c r="Z786">
        <f>IF(OR(N786=0,N786=""),"",ABS((N786-IF($C786="LT",Config!$F$9,Config!$F$21))/IF($C786="LT",Config!$G$9,Config!$G$21)))</f>
        <v/>
      </c>
      <c r="AA786">
        <f>IF(OR(O786=0,O786=""),"",ABS((O786-IF($C786="LT",Config!$F$10,Config!$F$22))/IF($C786="LT",Config!$G$10,Config!$G$22)))</f>
        <v/>
      </c>
      <c r="AB786">
        <f>IF(OR(P786=0,P786=""),"",ABS((P786-IF($C786="LT",Config!$F$11,Config!$F$23))/IF($C786="LT",Config!$G$11,Config!$G$23)))</f>
        <v/>
      </c>
      <c r="AC786">
        <f>IF(OR(Q786=0,Q786=""),"",ABS((Q786-IF($C786="LT",Config!$F$12,Config!$F$24))/IF($C786="LT",Config!$G$12,Config!$G$24)))</f>
        <v/>
      </c>
      <c r="AD786">
        <f>IF(OR(R786=0,R786=""),"",ABS((R786-IF($C786="LT",Config!$F$13,Config!$F$25))/IF($C786="LT",Config!$G$13,Config!$G$25)))</f>
        <v/>
      </c>
    </row>
    <row r="787">
      <c r="A787" t="inlineStr">
        <is>
          <t>04D1826121465</t>
        </is>
      </c>
      <c r="B787" t="inlineStr">
        <is>
          <t>CRS0000675</t>
        </is>
      </c>
      <c r="C787" t="inlineStr">
        <is>
          <t>LT</t>
        </is>
      </c>
      <c r="D787" t="inlineStr">
        <is>
          <t>ALX440U-DS3B01</t>
        </is>
      </c>
      <c r="E787" s="2" t="n">
        <v>46130</v>
      </c>
      <c r="F787" t="inlineStr">
        <is>
          <t>Fail</t>
        </is>
      </c>
      <c r="G787" t="n">
        <v>143.7</v>
      </c>
      <c r="H787" t="n">
        <v>101.4</v>
      </c>
      <c r="I787" t="n">
        <v>-1957.8</v>
      </c>
      <c r="J787" t="n">
        <v>72.2</v>
      </c>
      <c r="K787" t="n">
        <v>0</v>
      </c>
      <c r="L787" t="n">
        <v>1.2</v>
      </c>
      <c r="M787" t="n">
        <v>0</v>
      </c>
      <c r="N787" t="n">
        <v>71</v>
      </c>
      <c r="O787" t="n">
        <v>114.94</v>
      </c>
      <c r="P787" t="n">
        <v>114.8</v>
      </c>
      <c r="Q787" t="n">
        <v>7.69</v>
      </c>
      <c r="R787" t="n">
        <v>7.76</v>
      </c>
      <c r="S787">
        <f>IF(OR(G787=0,G787=""),"",ABS((G787-IF($C787="LT",Config!$F$2,Config!$F$14))/IF($C787="LT",Config!$G$2,Config!$G$14)))</f>
        <v/>
      </c>
      <c r="T787">
        <f>IF(OR(H787=0,H787=""),"",ABS((H787-IF($C787="LT",Config!$F$3,Config!$F$15))/IF($C787="LT",Config!$G$3,Config!$G$15)))</f>
        <v/>
      </c>
      <c r="U787">
        <f>IF(OR(I787=0,I787=""),"",ABS((I787-IF($C787="LT",Config!$F$4,Config!$F$16))/IF($C787="LT",Config!$G$4,Config!$G$16)))</f>
        <v/>
      </c>
      <c r="V787">
        <f>IF(OR(J787=0,J787=""),"",ABS((J787-IF($C787="LT",Config!$F$5,Config!$F$17))/IF($C787="LT",Config!$G$5,Config!$G$17)))</f>
        <v/>
      </c>
      <c r="W787">
        <f>IF(OR(K787=0,K787=""),"",ABS((K787-IF($C787="LT",Config!$F$6,Config!$F$18))/IF($C787="LT",Config!$G$6,Config!$G$18)))</f>
        <v/>
      </c>
      <c r="X787">
        <f>IF(OR(L787=0,L787=""),"",ABS((L787-IF($C787="LT",Config!$F$7,Config!$F$19))/IF($C787="LT",Config!$G$7,Config!$G$19)))</f>
        <v/>
      </c>
      <c r="Y787">
        <f>IF(OR(M787=0,M787=""),"",ABS((M787-IF($C787="LT",Config!$F$8,Config!$F$20))/IF($C787="LT",Config!$G$8,Config!$G$20)))</f>
        <v/>
      </c>
      <c r="Z787">
        <f>IF(OR(N787=0,N787=""),"",ABS((N787-IF($C787="LT",Config!$F$9,Config!$F$21))/IF($C787="LT",Config!$G$9,Config!$G$21)))</f>
        <v/>
      </c>
      <c r="AA787">
        <f>IF(OR(O787=0,O787=""),"",ABS((O787-IF($C787="LT",Config!$F$10,Config!$F$22))/IF($C787="LT",Config!$G$10,Config!$G$22)))</f>
        <v/>
      </c>
      <c r="AB787">
        <f>IF(OR(P787=0,P787=""),"",ABS((P787-IF($C787="LT",Config!$F$11,Config!$F$23))/IF($C787="LT",Config!$G$11,Config!$G$23)))</f>
        <v/>
      </c>
      <c r="AC787">
        <f>IF(OR(Q787=0,Q787=""),"",ABS((Q787-IF($C787="LT",Config!$F$12,Config!$F$24))/IF($C787="LT",Config!$G$12,Config!$G$24)))</f>
        <v/>
      </c>
      <c r="AD787">
        <f>IF(OR(R787=0,R787=""),"",ABS((R787-IF($C787="LT",Config!$F$13,Config!$F$25))/IF($C787="LT",Config!$G$13,Config!$G$25)))</f>
        <v/>
      </c>
    </row>
    <row r="788">
      <c r="A788" t="inlineStr">
        <is>
          <t>04D1826121466</t>
        </is>
      </c>
      <c r="B788" t="inlineStr">
        <is>
          <t>CRS0000675</t>
        </is>
      </c>
      <c r="C788" t="inlineStr">
        <is>
          <t>LT</t>
        </is>
      </c>
      <c r="D788" t="inlineStr">
        <is>
          <t>ALX440U-DS3B01</t>
        </is>
      </c>
      <c r="E788" s="2" t="n">
        <v>46130</v>
      </c>
      <c r="F788" t="inlineStr">
        <is>
          <t>Fail</t>
        </is>
      </c>
      <c r="G788" t="n">
        <v>176.3</v>
      </c>
      <c r="H788" t="n">
        <v>100.5</v>
      </c>
      <c r="I788" t="n">
        <v>-1957.8</v>
      </c>
      <c r="J788" t="n">
        <v>72.59999999999999</v>
      </c>
      <c r="K788" t="n">
        <v>0</v>
      </c>
      <c r="L788" t="n">
        <v>1.7</v>
      </c>
      <c r="M788" t="n">
        <v>0</v>
      </c>
      <c r="N788" t="n">
        <v>70.90000000000001</v>
      </c>
      <c r="O788" t="n">
        <v>111.64</v>
      </c>
      <c r="P788" t="n">
        <v>113.4</v>
      </c>
      <c r="Q788" t="n">
        <v>8.5</v>
      </c>
      <c r="R788" t="n">
        <v>8.06</v>
      </c>
      <c r="S788">
        <f>IF(OR(G788=0,G788=""),"",ABS((G788-IF($C788="LT",Config!$F$2,Config!$F$14))/IF($C788="LT",Config!$G$2,Config!$G$14)))</f>
        <v/>
      </c>
      <c r="T788">
        <f>IF(OR(H788=0,H788=""),"",ABS((H788-IF($C788="LT",Config!$F$3,Config!$F$15))/IF($C788="LT",Config!$G$3,Config!$G$15)))</f>
        <v/>
      </c>
      <c r="U788">
        <f>IF(OR(I788=0,I788=""),"",ABS((I788-IF($C788="LT",Config!$F$4,Config!$F$16))/IF($C788="LT",Config!$G$4,Config!$G$16)))</f>
        <v/>
      </c>
      <c r="V788">
        <f>IF(OR(J788=0,J788=""),"",ABS((J788-IF($C788="LT",Config!$F$5,Config!$F$17))/IF($C788="LT",Config!$G$5,Config!$G$17)))</f>
        <v/>
      </c>
      <c r="W788">
        <f>IF(OR(K788=0,K788=""),"",ABS((K788-IF($C788="LT",Config!$F$6,Config!$F$18))/IF($C788="LT",Config!$G$6,Config!$G$18)))</f>
        <v/>
      </c>
      <c r="X788">
        <f>IF(OR(L788=0,L788=""),"",ABS((L788-IF($C788="LT",Config!$F$7,Config!$F$19))/IF($C788="LT",Config!$G$7,Config!$G$19)))</f>
        <v/>
      </c>
      <c r="Y788">
        <f>IF(OR(M788=0,M788=""),"",ABS((M788-IF($C788="LT",Config!$F$8,Config!$F$20))/IF($C788="LT",Config!$G$8,Config!$G$20)))</f>
        <v/>
      </c>
      <c r="Z788">
        <f>IF(OR(N788=0,N788=""),"",ABS((N788-IF($C788="LT",Config!$F$9,Config!$F$21))/IF($C788="LT",Config!$G$9,Config!$G$21)))</f>
        <v/>
      </c>
      <c r="AA788">
        <f>IF(OR(O788=0,O788=""),"",ABS((O788-IF($C788="LT",Config!$F$10,Config!$F$22))/IF($C788="LT",Config!$G$10,Config!$G$22)))</f>
        <v/>
      </c>
      <c r="AB788">
        <f>IF(OR(P788=0,P788=""),"",ABS((P788-IF($C788="LT",Config!$F$11,Config!$F$23))/IF($C788="LT",Config!$G$11,Config!$G$23)))</f>
        <v/>
      </c>
      <c r="AC788">
        <f>IF(OR(Q788=0,Q788=""),"",ABS((Q788-IF($C788="LT",Config!$F$12,Config!$F$24))/IF($C788="LT",Config!$G$12,Config!$G$24)))</f>
        <v/>
      </c>
      <c r="AD788">
        <f>IF(OR(R788=0,R788=""),"",ABS((R788-IF($C788="LT",Config!$F$13,Config!$F$25))/IF($C788="LT",Config!$G$13,Config!$G$25)))</f>
        <v/>
      </c>
    </row>
    <row r="789">
      <c r="A789" t="inlineStr">
        <is>
          <t>04D1826121466</t>
        </is>
      </c>
      <c r="B789" t="inlineStr">
        <is>
          <t>CRS0000675</t>
        </is>
      </c>
      <c r="C789" t="inlineStr">
        <is>
          <t>LT</t>
        </is>
      </c>
      <c r="D789" t="inlineStr">
        <is>
          <t>ALX440U-DS3B01</t>
        </is>
      </c>
      <c r="E789" s="2" t="n">
        <v>46130</v>
      </c>
      <c r="F789" t="inlineStr">
        <is>
          <t>Fail</t>
        </is>
      </c>
      <c r="G789" t="n">
        <v>174.5</v>
      </c>
      <c r="H789" t="n">
        <v>103.2</v>
      </c>
      <c r="I789" t="n">
        <v>-1957.8</v>
      </c>
      <c r="J789" t="n">
        <v>72.59999999999999</v>
      </c>
      <c r="K789" t="n">
        <v>0</v>
      </c>
      <c r="L789" t="n">
        <v>1.5</v>
      </c>
      <c r="M789" t="n">
        <v>0</v>
      </c>
      <c r="N789" t="n">
        <v>71.09999999999999</v>
      </c>
      <c r="O789" t="n">
        <v>112.01</v>
      </c>
      <c r="P789" t="n">
        <v>113.33</v>
      </c>
      <c r="Q789" t="n">
        <v>8.130000000000001</v>
      </c>
      <c r="R789" t="n">
        <v>8.18</v>
      </c>
      <c r="S789">
        <f>IF(OR(G789=0,G789=""),"",ABS((G789-IF($C789="LT",Config!$F$2,Config!$F$14))/IF($C789="LT",Config!$G$2,Config!$G$14)))</f>
        <v/>
      </c>
      <c r="T789">
        <f>IF(OR(H789=0,H789=""),"",ABS((H789-IF($C789="LT",Config!$F$3,Config!$F$15))/IF($C789="LT",Config!$G$3,Config!$G$15)))</f>
        <v/>
      </c>
      <c r="U789">
        <f>IF(OR(I789=0,I789=""),"",ABS((I789-IF($C789="LT",Config!$F$4,Config!$F$16))/IF($C789="LT",Config!$G$4,Config!$G$16)))</f>
        <v/>
      </c>
      <c r="V789">
        <f>IF(OR(J789=0,J789=""),"",ABS((J789-IF($C789="LT",Config!$F$5,Config!$F$17))/IF($C789="LT",Config!$G$5,Config!$G$17)))</f>
        <v/>
      </c>
      <c r="W789">
        <f>IF(OR(K789=0,K789=""),"",ABS((K789-IF($C789="LT",Config!$F$6,Config!$F$18))/IF($C789="LT",Config!$G$6,Config!$G$18)))</f>
        <v/>
      </c>
      <c r="X789">
        <f>IF(OR(L789=0,L789=""),"",ABS((L789-IF($C789="LT",Config!$F$7,Config!$F$19))/IF($C789="LT",Config!$G$7,Config!$G$19)))</f>
        <v/>
      </c>
      <c r="Y789">
        <f>IF(OR(M789=0,M789=""),"",ABS((M789-IF($C789="LT",Config!$F$8,Config!$F$20))/IF($C789="LT",Config!$G$8,Config!$G$20)))</f>
        <v/>
      </c>
      <c r="Z789">
        <f>IF(OR(N789=0,N789=""),"",ABS((N789-IF($C789="LT",Config!$F$9,Config!$F$21))/IF($C789="LT",Config!$G$9,Config!$G$21)))</f>
        <v/>
      </c>
      <c r="AA789">
        <f>IF(OR(O789=0,O789=""),"",ABS((O789-IF($C789="LT",Config!$F$10,Config!$F$22))/IF($C789="LT",Config!$G$10,Config!$G$22)))</f>
        <v/>
      </c>
      <c r="AB789">
        <f>IF(OR(P789=0,P789=""),"",ABS((P789-IF($C789="LT",Config!$F$11,Config!$F$23))/IF($C789="LT",Config!$G$11,Config!$G$23)))</f>
        <v/>
      </c>
      <c r="AC789">
        <f>IF(OR(Q789=0,Q789=""),"",ABS((Q789-IF($C789="LT",Config!$F$12,Config!$F$24))/IF($C789="LT",Config!$G$12,Config!$G$24)))</f>
        <v/>
      </c>
      <c r="AD789">
        <f>IF(OR(R789=0,R789=""),"",ABS((R789-IF($C789="LT",Config!$F$13,Config!$F$25))/IF($C789="LT",Config!$G$13,Config!$G$25)))</f>
        <v/>
      </c>
    </row>
    <row r="790">
      <c r="A790" t="inlineStr">
        <is>
          <t>04D1826121465</t>
        </is>
      </c>
      <c r="B790" t="inlineStr">
        <is>
          <t>CRS0000675</t>
        </is>
      </c>
      <c r="C790" t="inlineStr">
        <is>
          <t>LT</t>
        </is>
      </c>
      <c r="D790" t="inlineStr">
        <is>
          <t>ALX440U-DS3B01</t>
        </is>
      </c>
      <c r="E790" s="2" t="n">
        <v>46130</v>
      </c>
      <c r="F790" t="inlineStr">
        <is>
          <t>Fail</t>
        </is>
      </c>
      <c r="G790" t="n">
        <v>173.6</v>
      </c>
      <c r="H790" t="n">
        <v>103.2</v>
      </c>
      <c r="I790" t="n">
        <v>-1957.8</v>
      </c>
      <c r="J790" t="n">
        <v>72.59999999999999</v>
      </c>
      <c r="K790" t="n">
        <v>0</v>
      </c>
      <c r="L790" t="n">
        <v>1.1</v>
      </c>
      <c r="M790" t="n">
        <v>0</v>
      </c>
      <c r="N790" t="n">
        <v>71.5</v>
      </c>
      <c r="O790" t="n">
        <v>115.02</v>
      </c>
      <c r="P790" t="n">
        <v>115.02</v>
      </c>
      <c r="Q790" t="n">
        <v>7.57</v>
      </c>
      <c r="R790" t="n">
        <v>7.76</v>
      </c>
      <c r="S790">
        <f>IF(OR(G790=0,G790=""),"",ABS((G790-IF($C790="LT",Config!$F$2,Config!$F$14))/IF($C790="LT",Config!$G$2,Config!$G$14)))</f>
        <v/>
      </c>
      <c r="T790">
        <f>IF(OR(H790=0,H790=""),"",ABS((H790-IF($C790="LT",Config!$F$3,Config!$F$15))/IF($C790="LT",Config!$G$3,Config!$G$15)))</f>
        <v/>
      </c>
      <c r="U790">
        <f>IF(OR(I790=0,I790=""),"",ABS((I790-IF($C790="LT",Config!$F$4,Config!$F$16))/IF($C790="LT",Config!$G$4,Config!$G$16)))</f>
        <v/>
      </c>
      <c r="V790">
        <f>IF(OR(J790=0,J790=""),"",ABS((J790-IF($C790="LT",Config!$F$5,Config!$F$17))/IF($C790="LT",Config!$G$5,Config!$G$17)))</f>
        <v/>
      </c>
      <c r="W790">
        <f>IF(OR(K790=0,K790=""),"",ABS((K790-IF($C790="LT",Config!$F$6,Config!$F$18))/IF($C790="LT",Config!$G$6,Config!$G$18)))</f>
        <v/>
      </c>
      <c r="X790">
        <f>IF(OR(L790=0,L790=""),"",ABS((L790-IF($C790="LT",Config!$F$7,Config!$F$19))/IF($C790="LT",Config!$G$7,Config!$G$19)))</f>
        <v/>
      </c>
      <c r="Y790">
        <f>IF(OR(M790=0,M790=""),"",ABS((M790-IF($C790="LT",Config!$F$8,Config!$F$20))/IF($C790="LT",Config!$G$8,Config!$G$20)))</f>
        <v/>
      </c>
      <c r="Z790">
        <f>IF(OR(N790=0,N790=""),"",ABS((N790-IF($C790="LT",Config!$F$9,Config!$F$21))/IF($C790="LT",Config!$G$9,Config!$G$21)))</f>
        <v/>
      </c>
      <c r="AA790">
        <f>IF(OR(O790=0,O790=""),"",ABS((O790-IF($C790="LT",Config!$F$10,Config!$F$22))/IF($C790="LT",Config!$G$10,Config!$G$22)))</f>
        <v/>
      </c>
      <c r="AB790">
        <f>IF(OR(P790=0,P790=""),"",ABS((P790-IF($C790="LT",Config!$F$11,Config!$F$23))/IF($C790="LT",Config!$G$11,Config!$G$23)))</f>
        <v/>
      </c>
      <c r="AC790">
        <f>IF(OR(Q790=0,Q790=""),"",ABS((Q790-IF($C790="LT",Config!$F$12,Config!$F$24))/IF($C790="LT",Config!$G$12,Config!$G$24)))</f>
        <v/>
      </c>
      <c r="AD790">
        <f>IF(OR(R790=0,R790=""),"",ABS((R790-IF($C790="LT",Config!$F$13,Config!$F$25))/IF($C790="LT",Config!$G$13,Config!$G$25)))</f>
        <v/>
      </c>
    </row>
    <row r="791">
      <c r="A791" t="inlineStr">
        <is>
          <t>04D1826121465</t>
        </is>
      </c>
      <c r="B791" t="inlineStr">
        <is>
          <t>CRS0000675</t>
        </is>
      </c>
      <c r="C791" t="inlineStr">
        <is>
          <t>LT</t>
        </is>
      </c>
      <c r="D791" t="inlineStr">
        <is>
          <t>ALX440U-DS3B01</t>
        </is>
      </c>
      <c r="E791" s="2" t="n">
        <v>46130</v>
      </c>
      <c r="F791" t="inlineStr">
        <is>
          <t>Pass</t>
        </is>
      </c>
      <c r="G791" t="n">
        <v>157.1</v>
      </c>
      <c r="H791" t="n">
        <v>105.9</v>
      </c>
      <c r="I791" t="n">
        <v>-1957.8</v>
      </c>
      <c r="J791" t="n">
        <v>73.5</v>
      </c>
      <c r="K791" t="n">
        <v>0</v>
      </c>
      <c r="L791" t="n">
        <v>1.5</v>
      </c>
      <c r="M791" t="n">
        <v>0</v>
      </c>
      <c r="N791" t="n">
        <v>72</v>
      </c>
      <c r="O791" t="n">
        <v>114.8</v>
      </c>
      <c r="P791" t="n">
        <v>114.72</v>
      </c>
      <c r="Q791" t="n">
        <v>7.84</v>
      </c>
      <c r="R791" t="n">
        <v>8.029999999999999</v>
      </c>
      <c r="S791">
        <f>IF(OR(G791=0,G791=""),"",ABS((G791-IF($C791="LT",Config!$F$2,Config!$F$14))/IF($C791="LT",Config!$G$2,Config!$G$14)))</f>
        <v/>
      </c>
      <c r="T791">
        <f>IF(OR(H791=0,H791=""),"",ABS((H791-IF($C791="LT",Config!$F$3,Config!$F$15))/IF($C791="LT",Config!$G$3,Config!$G$15)))</f>
        <v/>
      </c>
      <c r="U791">
        <f>IF(OR(I791=0,I791=""),"",ABS((I791-IF($C791="LT",Config!$F$4,Config!$F$16))/IF($C791="LT",Config!$G$4,Config!$G$16)))</f>
        <v/>
      </c>
      <c r="V791">
        <f>IF(OR(J791=0,J791=""),"",ABS((J791-IF($C791="LT",Config!$F$5,Config!$F$17))/IF($C791="LT",Config!$G$5,Config!$G$17)))</f>
        <v/>
      </c>
      <c r="W791">
        <f>IF(OR(K791=0,K791=""),"",ABS((K791-IF($C791="LT",Config!$F$6,Config!$F$18))/IF($C791="LT",Config!$G$6,Config!$G$18)))</f>
        <v/>
      </c>
      <c r="X791">
        <f>IF(OR(L791=0,L791=""),"",ABS((L791-IF($C791="LT",Config!$F$7,Config!$F$19))/IF($C791="LT",Config!$G$7,Config!$G$19)))</f>
        <v/>
      </c>
      <c r="Y791">
        <f>IF(OR(M791=0,M791=""),"",ABS((M791-IF($C791="LT",Config!$F$8,Config!$F$20))/IF($C791="LT",Config!$G$8,Config!$G$20)))</f>
        <v/>
      </c>
      <c r="Z791">
        <f>IF(OR(N791=0,N791=""),"",ABS((N791-IF($C791="LT",Config!$F$9,Config!$F$21))/IF($C791="LT",Config!$G$9,Config!$G$21)))</f>
        <v/>
      </c>
      <c r="AA791">
        <f>IF(OR(O791=0,O791=""),"",ABS((O791-IF($C791="LT",Config!$F$10,Config!$F$22))/IF($C791="LT",Config!$G$10,Config!$G$22)))</f>
        <v/>
      </c>
      <c r="AB791">
        <f>IF(OR(P791=0,P791=""),"",ABS((P791-IF($C791="LT",Config!$F$11,Config!$F$23))/IF($C791="LT",Config!$G$11,Config!$G$23)))</f>
        <v/>
      </c>
      <c r="AC791">
        <f>IF(OR(Q791=0,Q791=""),"",ABS((Q791-IF($C791="LT",Config!$F$12,Config!$F$24))/IF($C791="LT",Config!$G$12,Config!$G$24)))</f>
        <v/>
      </c>
      <c r="AD791">
        <f>IF(OR(R791=0,R791=""),"",ABS((R791-IF($C791="LT",Config!$F$13,Config!$F$25))/IF($C791="LT",Config!$G$13,Config!$G$25)))</f>
        <v/>
      </c>
    </row>
    <row r="792">
      <c r="A792" t="inlineStr">
        <is>
          <t>04D1826121466</t>
        </is>
      </c>
      <c r="B792" t="inlineStr">
        <is>
          <t>CRS0000675</t>
        </is>
      </c>
      <c r="C792" t="inlineStr">
        <is>
          <t>LT</t>
        </is>
      </c>
      <c r="D792" t="inlineStr">
        <is>
          <t>ALX440U-DS3B01</t>
        </is>
      </c>
      <c r="E792" s="2" t="n">
        <v>46130</v>
      </c>
      <c r="F792" t="inlineStr">
        <is>
          <t>Fail</t>
        </is>
      </c>
      <c r="G792" t="n">
        <v>172.3</v>
      </c>
      <c r="H792" t="n">
        <v>103.2</v>
      </c>
      <c r="I792" t="n">
        <v>-1957.8</v>
      </c>
      <c r="J792" t="n">
        <v>74</v>
      </c>
      <c r="K792" t="n">
        <v>0</v>
      </c>
      <c r="L792" t="n">
        <v>2</v>
      </c>
      <c r="M792" t="n">
        <v>0</v>
      </c>
      <c r="N792" t="n">
        <v>72</v>
      </c>
      <c r="O792" t="n">
        <v>111.57</v>
      </c>
      <c r="P792" t="n">
        <v>112.96</v>
      </c>
      <c r="Q792" t="n">
        <v>7.96</v>
      </c>
      <c r="R792" t="n">
        <v>8.109999999999999</v>
      </c>
      <c r="S792">
        <f>IF(OR(G792=0,G792=""),"",ABS((G792-IF($C792="LT",Config!$F$2,Config!$F$14))/IF($C792="LT",Config!$G$2,Config!$G$14)))</f>
        <v/>
      </c>
      <c r="T792">
        <f>IF(OR(H792=0,H792=""),"",ABS((H792-IF($C792="LT",Config!$F$3,Config!$F$15))/IF($C792="LT",Config!$G$3,Config!$G$15)))</f>
        <v/>
      </c>
      <c r="U792">
        <f>IF(OR(I792=0,I792=""),"",ABS((I792-IF($C792="LT",Config!$F$4,Config!$F$16))/IF($C792="LT",Config!$G$4,Config!$G$16)))</f>
        <v/>
      </c>
      <c r="V792">
        <f>IF(OR(J792=0,J792=""),"",ABS((J792-IF($C792="LT",Config!$F$5,Config!$F$17))/IF($C792="LT",Config!$G$5,Config!$G$17)))</f>
        <v/>
      </c>
      <c r="W792">
        <f>IF(OR(K792=0,K792=""),"",ABS((K792-IF($C792="LT",Config!$F$6,Config!$F$18))/IF($C792="LT",Config!$G$6,Config!$G$18)))</f>
        <v/>
      </c>
      <c r="X792">
        <f>IF(OR(L792=0,L792=""),"",ABS((L792-IF($C792="LT",Config!$F$7,Config!$F$19))/IF($C792="LT",Config!$G$7,Config!$G$19)))</f>
        <v/>
      </c>
      <c r="Y792">
        <f>IF(OR(M792=0,M792=""),"",ABS((M792-IF($C792="LT",Config!$F$8,Config!$F$20))/IF($C792="LT",Config!$G$8,Config!$G$20)))</f>
        <v/>
      </c>
      <c r="Z792">
        <f>IF(OR(N792=0,N792=""),"",ABS((N792-IF($C792="LT",Config!$F$9,Config!$F$21))/IF($C792="LT",Config!$G$9,Config!$G$21)))</f>
        <v/>
      </c>
      <c r="AA792">
        <f>IF(OR(O792=0,O792=""),"",ABS((O792-IF($C792="LT",Config!$F$10,Config!$F$22))/IF($C792="LT",Config!$G$10,Config!$G$22)))</f>
        <v/>
      </c>
      <c r="AB792">
        <f>IF(OR(P792=0,P792=""),"",ABS((P792-IF($C792="LT",Config!$F$11,Config!$F$23))/IF($C792="LT",Config!$G$11,Config!$G$23)))</f>
        <v/>
      </c>
      <c r="AC792">
        <f>IF(OR(Q792=0,Q792=""),"",ABS((Q792-IF($C792="LT",Config!$F$12,Config!$F$24))/IF($C792="LT",Config!$G$12,Config!$G$24)))</f>
        <v/>
      </c>
      <c r="AD792">
        <f>IF(OR(R792=0,R792=""),"",ABS((R792-IF($C792="LT",Config!$F$13,Config!$F$25))/IF($C792="LT",Config!$G$13,Config!$G$25)))</f>
        <v/>
      </c>
    </row>
    <row r="793">
      <c r="A793" t="inlineStr">
        <is>
          <t>04D1826121466</t>
        </is>
      </c>
      <c r="B793" t="inlineStr">
        <is>
          <t>CRS0000675</t>
        </is>
      </c>
      <c r="C793" t="inlineStr">
        <is>
          <t>LT</t>
        </is>
      </c>
      <c r="D793" t="inlineStr">
        <is>
          <t>ALX440U-DS3B01</t>
        </is>
      </c>
      <c r="E793" s="2" t="n">
        <v>46130</v>
      </c>
      <c r="F793" t="inlineStr">
        <is>
          <t>Fail</t>
        </is>
      </c>
      <c r="G793" t="n">
        <v>182.5</v>
      </c>
      <c r="H793" t="n">
        <v>104.1</v>
      </c>
      <c r="I793" t="n">
        <v>-1957.8</v>
      </c>
      <c r="J793" t="n">
        <v>73.5</v>
      </c>
      <c r="K793" t="n">
        <v>0</v>
      </c>
      <c r="L793" t="n">
        <v>2</v>
      </c>
      <c r="M793" t="n">
        <v>0</v>
      </c>
      <c r="N793" t="n">
        <v>71.5</v>
      </c>
      <c r="O793" t="n">
        <v>111.5</v>
      </c>
      <c r="P793" t="n">
        <v>112.67</v>
      </c>
      <c r="Q793" t="n">
        <v>8.08</v>
      </c>
      <c r="R793" t="n">
        <v>8.23</v>
      </c>
      <c r="S793">
        <f>IF(OR(G793=0,G793=""),"",ABS((G793-IF($C793="LT",Config!$F$2,Config!$F$14))/IF($C793="LT",Config!$G$2,Config!$G$14)))</f>
        <v/>
      </c>
      <c r="T793">
        <f>IF(OR(H793=0,H793=""),"",ABS((H793-IF($C793="LT",Config!$F$3,Config!$F$15))/IF($C793="LT",Config!$G$3,Config!$G$15)))</f>
        <v/>
      </c>
      <c r="U793">
        <f>IF(OR(I793=0,I793=""),"",ABS((I793-IF($C793="LT",Config!$F$4,Config!$F$16))/IF($C793="LT",Config!$G$4,Config!$G$16)))</f>
        <v/>
      </c>
      <c r="V793">
        <f>IF(OR(J793=0,J793=""),"",ABS((J793-IF($C793="LT",Config!$F$5,Config!$F$17))/IF($C793="LT",Config!$G$5,Config!$G$17)))</f>
        <v/>
      </c>
      <c r="W793">
        <f>IF(OR(K793=0,K793=""),"",ABS((K793-IF($C793="LT",Config!$F$6,Config!$F$18))/IF($C793="LT",Config!$G$6,Config!$G$18)))</f>
        <v/>
      </c>
      <c r="X793">
        <f>IF(OR(L793=0,L793=""),"",ABS((L793-IF($C793="LT",Config!$F$7,Config!$F$19))/IF($C793="LT",Config!$G$7,Config!$G$19)))</f>
        <v/>
      </c>
      <c r="Y793">
        <f>IF(OR(M793=0,M793=""),"",ABS((M793-IF($C793="LT",Config!$F$8,Config!$F$20))/IF($C793="LT",Config!$G$8,Config!$G$20)))</f>
        <v/>
      </c>
      <c r="Z793">
        <f>IF(OR(N793=0,N793=""),"",ABS((N793-IF($C793="LT",Config!$F$9,Config!$F$21))/IF($C793="LT",Config!$G$9,Config!$G$21)))</f>
        <v/>
      </c>
      <c r="AA793">
        <f>IF(OR(O793=0,O793=""),"",ABS((O793-IF($C793="LT",Config!$F$10,Config!$F$22))/IF($C793="LT",Config!$G$10,Config!$G$22)))</f>
        <v/>
      </c>
      <c r="AB793">
        <f>IF(OR(P793=0,P793=""),"",ABS((P793-IF($C793="LT",Config!$F$11,Config!$F$23))/IF($C793="LT",Config!$G$11,Config!$G$23)))</f>
        <v/>
      </c>
      <c r="AC793">
        <f>IF(OR(Q793=0,Q793=""),"",ABS((Q793-IF($C793="LT",Config!$F$12,Config!$F$24))/IF($C793="LT",Config!$G$12,Config!$G$24)))</f>
        <v/>
      </c>
      <c r="AD793">
        <f>IF(OR(R793=0,R793=""),"",ABS((R793-IF($C793="LT",Config!$F$13,Config!$F$25))/IF($C793="LT",Config!$G$13,Config!$G$25)))</f>
        <v/>
      </c>
    </row>
    <row r="794">
      <c r="A794" t="inlineStr">
        <is>
          <t>04D1826121467</t>
        </is>
      </c>
      <c r="B794" t="inlineStr">
        <is>
          <t>CRS0000675</t>
        </is>
      </c>
      <c r="C794" t="inlineStr">
        <is>
          <t>LT</t>
        </is>
      </c>
      <c r="D794" t="inlineStr">
        <is>
          <t>ALX440U-DS3B01</t>
        </is>
      </c>
      <c r="E794" s="2" t="n">
        <v>46130</v>
      </c>
      <c r="F794" t="inlineStr">
        <is>
          <t>Pass</t>
        </is>
      </c>
      <c r="G794" t="n">
        <v>158.4</v>
      </c>
      <c r="H794" t="n">
        <v>96.90000000000001</v>
      </c>
      <c r="I794" t="n">
        <v>-1957.8</v>
      </c>
      <c r="J794" t="n">
        <v>73.09999999999999</v>
      </c>
      <c r="K794" t="n">
        <v>0</v>
      </c>
      <c r="L794" t="n">
        <v>2.4</v>
      </c>
      <c r="M794" t="n">
        <v>0</v>
      </c>
      <c r="N794" t="n">
        <v>70.7</v>
      </c>
      <c r="O794" t="n">
        <v>114.72</v>
      </c>
      <c r="P794" t="n">
        <v>114.8</v>
      </c>
      <c r="Q794" t="n">
        <v>8.06</v>
      </c>
      <c r="R794" t="n">
        <v>7.98</v>
      </c>
      <c r="S794">
        <f>IF(OR(G794=0,G794=""),"",ABS((G794-IF($C794="LT",Config!$F$2,Config!$F$14))/IF($C794="LT",Config!$G$2,Config!$G$14)))</f>
        <v/>
      </c>
      <c r="T794">
        <f>IF(OR(H794=0,H794=""),"",ABS((H794-IF($C794="LT",Config!$F$3,Config!$F$15))/IF($C794="LT",Config!$G$3,Config!$G$15)))</f>
        <v/>
      </c>
      <c r="U794">
        <f>IF(OR(I794=0,I794=""),"",ABS((I794-IF($C794="LT",Config!$F$4,Config!$F$16))/IF($C794="LT",Config!$G$4,Config!$G$16)))</f>
        <v/>
      </c>
      <c r="V794">
        <f>IF(OR(J794=0,J794=""),"",ABS((J794-IF($C794="LT",Config!$F$5,Config!$F$17))/IF($C794="LT",Config!$G$5,Config!$G$17)))</f>
        <v/>
      </c>
      <c r="W794">
        <f>IF(OR(K794=0,K794=""),"",ABS((K794-IF($C794="LT",Config!$F$6,Config!$F$18))/IF($C794="LT",Config!$G$6,Config!$G$18)))</f>
        <v/>
      </c>
      <c r="X794">
        <f>IF(OR(L794=0,L794=""),"",ABS((L794-IF($C794="LT",Config!$F$7,Config!$F$19))/IF($C794="LT",Config!$G$7,Config!$G$19)))</f>
        <v/>
      </c>
      <c r="Y794">
        <f>IF(OR(M794=0,M794=""),"",ABS((M794-IF($C794="LT",Config!$F$8,Config!$F$20))/IF($C794="LT",Config!$G$8,Config!$G$20)))</f>
        <v/>
      </c>
      <c r="Z794">
        <f>IF(OR(N794=0,N794=""),"",ABS((N794-IF($C794="LT",Config!$F$9,Config!$F$21))/IF($C794="LT",Config!$G$9,Config!$G$21)))</f>
        <v/>
      </c>
      <c r="AA794">
        <f>IF(OR(O794=0,O794=""),"",ABS((O794-IF($C794="LT",Config!$F$10,Config!$F$22))/IF($C794="LT",Config!$G$10,Config!$G$22)))</f>
        <v/>
      </c>
      <c r="AB794">
        <f>IF(OR(P794=0,P794=""),"",ABS((P794-IF($C794="LT",Config!$F$11,Config!$F$23))/IF($C794="LT",Config!$G$11,Config!$G$23)))</f>
        <v/>
      </c>
      <c r="AC794">
        <f>IF(OR(Q794=0,Q794=""),"",ABS((Q794-IF($C794="LT",Config!$F$12,Config!$F$24))/IF($C794="LT",Config!$G$12,Config!$G$24)))</f>
        <v/>
      </c>
      <c r="AD794">
        <f>IF(OR(R794=0,R794=""),"",ABS((R794-IF($C794="LT",Config!$F$13,Config!$F$25))/IF($C794="LT",Config!$G$13,Config!$G$25)))</f>
        <v/>
      </c>
    </row>
    <row r="795">
      <c r="A795" t="inlineStr">
        <is>
          <t>04D1826121466</t>
        </is>
      </c>
      <c r="B795" t="inlineStr">
        <is>
          <t>CRS0000675</t>
        </is>
      </c>
      <c r="C795" t="inlineStr">
        <is>
          <t>LT</t>
        </is>
      </c>
      <c r="D795" t="inlineStr">
        <is>
          <t>ALX440U-DS3B01</t>
        </is>
      </c>
      <c r="E795" s="2" t="n">
        <v>46130</v>
      </c>
      <c r="F795" t="inlineStr">
        <is>
          <t>Pass</t>
        </is>
      </c>
      <c r="G795" t="n">
        <v>149.9</v>
      </c>
      <c r="H795" t="n">
        <v>105.9</v>
      </c>
      <c r="I795" t="n">
        <v>-1957.8</v>
      </c>
      <c r="J795" t="n">
        <v>73.5</v>
      </c>
      <c r="K795" t="n">
        <v>0</v>
      </c>
      <c r="L795" t="n">
        <v>1.2</v>
      </c>
      <c r="M795" t="n">
        <v>0</v>
      </c>
      <c r="N795" t="n">
        <v>72.3</v>
      </c>
      <c r="O795" t="n">
        <v>111.64</v>
      </c>
      <c r="P795" t="n">
        <v>113.26</v>
      </c>
      <c r="Q795" t="n">
        <v>7.91</v>
      </c>
      <c r="R795" t="n">
        <v>8.199999999999999</v>
      </c>
      <c r="S795">
        <f>IF(OR(G795=0,G795=""),"",ABS((G795-IF($C795="LT",Config!$F$2,Config!$F$14))/IF($C795="LT",Config!$G$2,Config!$G$14)))</f>
        <v/>
      </c>
      <c r="T795">
        <f>IF(OR(H795=0,H795=""),"",ABS((H795-IF($C795="LT",Config!$F$3,Config!$F$15))/IF($C795="LT",Config!$G$3,Config!$G$15)))</f>
        <v/>
      </c>
      <c r="U795">
        <f>IF(OR(I795=0,I795=""),"",ABS((I795-IF($C795="LT",Config!$F$4,Config!$F$16))/IF($C795="LT",Config!$G$4,Config!$G$16)))</f>
        <v/>
      </c>
      <c r="V795">
        <f>IF(OR(J795=0,J795=""),"",ABS((J795-IF($C795="LT",Config!$F$5,Config!$F$17))/IF($C795="LT",Config!$G$5,Config!$G$17)))</f>
        <v/>
      </c>
      <c r="W795">
        <f>IF(OR(K795=0,K795=""),"",ABS((K795-IF($C795="LT",Config!$F$6,Config!$F$18))/IF($C795="LT",Config!$G$6,Config!$G$18)))</f>
        <v/>
      </c>
      <c r="X795">
        <f>IF(OR(L795=0,L795=""),"",ABS((L795-IF($C795="LT",Config!$F$7,Config!$F$19))/IF($C795="LT",Config!$G$7,Config!$G$19)))</f>
        <v/>
      </c>
      <c r="Y795">
        <f>IF(OR(M795=0,M795=""),"",ABS((M795-IF($C795="LT",Config!$F$8,Config!$F$20))/IF($C795="LT",Config!$G$8,Config!$G$20)))</f>
        <v/>
      </c>
      <c r="Z795">
        <f>IF(OR(N795=0,N795=""),"",ABS((N795-IF($C795="LT",Config!$F$9,Config!$F$21))/IF($C795="LT",Config!$G$9,Config!$G$21)))</f>
        <v/>
      </c>
      <c r="AA795">
        <f>IF(OR(O795=0,O795=""),"",ABS((O795-IF($C795="LT",Config!$F$10,Config!$F$22))/IF($C795="LT",Config!$G$10,Config!$G$22)))</f>
        <v/>
      </c>
      <c r="AB795">
        <f>IF(OR(P795=0,P795=""),"",ABS((P795-IF($C795="LT",Config!$F$11,Config!$F$23))/IF($C795="LT",Config!$G$11,Config!$G$23)))</f>
        <v/>
      </c>
      <c r="AC795">
        <f>IF(OR(Q795=0,Q795=""),"",ABS((Q795-IF($C795="LT",Config!$F$12,Config!$F$24))/IF($C795="LT",Config!$G$12,Config!$G$24)))</f>
        <v/>
      </c>
      <c r="AD795">
        <f>IF(OR(R795=0,R795=""),"",ABS((R795-IF($C795="LT",Config!$F$13,Config!$F$25))/IF($C795="LT",Config!$G$13,Config!$G$25)))</f>
        <v/>
      </c>
    </row>
    <row r="796">
      <c r="A796" t="inlineStr">
        <is>
          <t>04D1826121468</t>
        </is>
      </c>
      <c r="B796" t="inlineStr">
        <is>
          <t>CRS0000675</t>
        </is>
      </c>
      <c r="C796" t="inlineStr">
        <is>
          <t>LT</t>
        </is>
      </c>
      <c r="D796" t="inlineStr">
        <is>
          <t>ALX440U-DS3B01</t>
        </is>
      </c>
      <c r="E796" s="2" t="n">
        <v>46130</v>
      </c>
      <c r="F796" t="inlineStr">
        <is>
          <t>Fail</t>
        </is>
      </c>
      <c r="G796" t="n">
        <v>167.8</v>
      </c>
      <c r="H796" t="n">
        <v>105</v>
      </c>
      <c r="I796" t="n">
        <v>-1957.8</v>
      </c>
      <c r="J796" t="n">
        <v>73.09999999999999</v>
      </c>
      <c r="K796" t="n">
        <v>0</v>
      </c>
      <c r="L796" t="n">
        <v>1.9</v>
      </c>
      <c r="M796" t="n">
        <v>0</v>
      </c>
      <c r="N796" t="n">
        <v>71.2</v>
      </c>
      <c r="O796" t="n">
        <v>111.57</v>
      </c>
      <c r="P796" t="n">
        <v>113.26</v>
      </c>
      <c r="Q796" t="n">
        <v>8.640000000000001</v>
      </c>
      <c r="R796" t="n">
        <v>8.470000000000001</v>
      </c>
      <c r="S796">
        <f>IF(OR(G796=0,G796=""),"",ABS((G796-IF($C796="LT",Config!$F$2,Config!$F$14))/IF($C796="LT",Config!$G$2,Config!$G$14)))</f>
        <v/>
      </c>
      <c r="T796">
        <f>IF(OR(H796=0,H796=""),"",ABS((H796-IF($C796="LT",Config!$F$3,Config!$F$15))/IF($C796="LT",Config!$G$3,Config!$G$15)))</f>
        <v/>
      </c>
      <c r="U796">
        <f>IF(OR(I796=0,I796=""),"",ABS((I796-IF($C796="LT",Config!$F$4,Config!$F$16))/IF($C796="LT",Config!$G$4,Config!$G$16)))</f>
        <v/>
      </c>
      <c r="V796">
        <f>IF(OR(J796=0,J796=""),"",ABS((J796-IF($C796="LT",Config!$F$5,Config!$F$17))/IF($C796="LT",Config!$G$5,Config!$G$17)))</f>
        <v/>
      </c>
      <c r="W796">
        <f>IF(OR(K796=0,K796=""),"",ABS((K796-IF($C796="LT",Config!$F$6,Config!$F$18))/IF($C796="LT",Config!$G$6,Config!$G$18)))</f>
        <v/>
      </c>
      <c r="X796">
        <f>IF(OR(L796=0,L796=""),"",ABS((L796-IF($C796="LT",Config!$F$7,Config!$F$19))/IF($C796="LT",Config!$G$7,Config!$G$19)))</f>
        <v/>
      </c>
      <c r="Y796">
        <f>IF(OR(M796=0,M796=""),"",ABS((M796-IF($C796="LT",Config!$F$8,Config!$F$20))/IF($C796="LT",Config!$G$8,Config!$G$20)))</f>
        <v/>
      </c>
      <c r="Z796">
        <f>IF(OR(N796=0,N796=""),"",ABS((N796-IF($C796="LT",Config!$F$9,Config!$F$21))/IF($C796="LT",Config!$G$9,Config!$G$21)))</f>
        <v/>
      </c>
      <c r="AA796">
        <f>IF(OR(O796=0,O796=""),"",ABS((O796-IF($C796="LT",Config!$F$10,Config!$F$22))/IF($C796="LT",Config!$G$10,Config!$G$22)))</f>
        <v/>
      </c>
      <c r="AB796">
        <f>IF(OR(P796=0,P796=""),"",ABS((P796-IF($C796="LT",Config!$F$11,Config!$F$23))/IF($C796="LT",Config!$G$11,Config!$G$23)))</f>
        <v/>
      </c>
      <c r="AC796">
        <f>IF(OR(Q796=0,Q796=""),"",ABS((Q796-IF($C796="LT",Config!$F$12,Config!$F$24))/IF($C796="LT",Config!$G$12,Config!$G$24)))</f>
        <v/>
      </c>
      <c r="AD796">
        <f>IF(OR(R796=0,R796=""),"",ABS((R796-IF($C796="LT",Config!$F$13,Config!$F$25))/IF($C796="LT",Config!$G$13,Config!$G$25)))</f>
        <v/>
      </c>
    </row>
    <row r="797">
      <c r="A797" t="inlineStr">
        <is>
          <t>04D1826121468</t>
        </is>
      </c>
      <c r="B797" t="inlineStr">
        <is>
          <t>CRS0000675</t>
        </is>
      </c>
      <c r="C797" t="inlineStr">
        <is>
          <t>LT</t>
        </is>
      </c>
      <c r="D797" t="inlineStr">
        <is>
          <t>ALX440U-DS3B01</t>
        </is>
      </c>
      <c r="E797" s="2" t="n">
        <v>46130</v>
      </c>
      <c r="F797" t="inlineStr">
        <is>
          <t>Pass</t>
        </is>
      </c>
      <c r="G797" t="n">
        <v>158.9</v>
      </c>
      <c r="H797" t="n">
        <v>101.4</v>
      </c>
      <c r="I797" t="n">
        <v>-1957.8</v>
      </c>
      <c r="J797" t="n">
        <v>73.09999999999999</v>
      </c>
      <c r="K797" t="n">
        <v>0</v>
      </c>
      <c r="L797" t="n">
        <v>1.1</v>
      </c>
      <c r="M797" t="n">
        <v>0</v>
      </c>
      <c r="N797" t="n">
        <v>72</v>
      </c>
      <c r="O797" t="n">
        <v>111.42</v>
      </c>
      <c r="P797" t="n">
        <v>112.89</v>
      </c>
      <c r="Q797" t="n">
        <v>8.08</v>
      </c>
      <c r="R797" t="n">
        <v>8.01</v>
      </c>
      <c r="S797">
        <f>IF(OR(G797=0,G797=""),"",ABS((G797-IF($C797="LT",Config!$F$2,Config!$F$14))/IF($C797="LT",Config!$G$2,Config!$G$14)))</f>
        <v/>
      </c>
      <c r="T797">
        <f>IF(OR(H797=0,H797=""),"",ABS((H797-IF($C797="LT",Config!$F$3,Config!$F$15))/IF($C797="LT",Config!$G$3,Config!$G$15)))</f>
        <v/>
      </c>
      <c r="U797">
        <f>IF(OR(I797=0,I797=""),"",ABS((I797-IF($C797="LT",Config!$F$4,Config!$F$16))/IF($C797="LT",Config!$G$4,Config!$G$16)))</f>
        <v/>
      </c>
      <c r="V797">
        <f>IF(OR(J797=0,J797=""),"",ABS((J797-IF($C797="LT",Config!$F$5,Config!$F$17))/IF($C797="LT",Config!$G$5,Config!$G$17)))</f>
        <v/>
      </c>
      <c r="W797">
        <f>IF(OR(K797=0,K797=""),"",ABS((K797-IF($C797="LT",Config!$F$6,Config!$F$18))/IF($C797="LT",Config!$G$6,Config!$G$18)))</f>
        <v/>
      </c>
      <c r="X797">
        <f>IF(OR(L797=0,L797=""),"",ABS((L797-IF($C797="LT",Config!$F$7,Config!$F$19))/IF($C797="LT",Config!$G$7,Config!$G$19)))</f>
        <v/>
      </c>
      <c r="Y797">
        <f>IF(OR(M797=0,M797=""),"",ABS((M797-IF($C797="LT",Config!$F$8,Config!$F$20))/IF($C797="LT",Config!$G$8,Config!$G$20)))</f>
        <v/>
      </c>
      <c r="Z797">
        <f>IF(OR(N797=0,N797=""),"",ABS((N797-IF($C797="LT",Config!$F$9,Config!$F$21))/IF($C797="LT",Config!$G$9,Config!$G$21)))</f>
        <v/>
      </c>
      <c r="AA797">
        <f>IF(OR(O797=0,O797=""),"",ABS((O797-IF($C797="LT",Config!$F$10,Config!$F$22))/IF($C797="LT",Config!$G$10,Config!$G$22)))</f>
        <v/>
      </c>
      <c r="AB797">
        <f>IF(OR(P797=0,P797=""),"",ABS((P797-IF($C797="LT",Config!$F$11,Config!$F$23))/IF($C797="LT",Config!$G$11,Config!$G$23)))</f>
        <v/>
      </c>
      <c r="AC797">
        <f>IF(OR(Q797=0,Q797=""),"",ABS((Q797-IF($C797="LT",Config!$F$12,Config!$F$24))/IF($C797="LT",Config!$G$12,Config!$G$24)))</f>
        <v/>
      </c>
      <c r="AD797">
        <f>IF(OR(R797=0,R797=""),"",ABS((R797-IF($C797="LT",Config!$F$13,Config!$F$25))/IF($C797="LT",Config!$G$13,Config!$G$25)))</f>
        <v/>
      </c>
    </row>
    <row r="798">
      <c r="A798" t="inlineStr">
        <is>
          <t>04C2526121093</t>
        </is>
      </c>
      <c r="B798" t="inlineStr">
        <is>
          <t>CRS0000675</t>
        </is>
      </c>
      <c r="C798" t="inlineStr">
        <is>
          <t>LT</t>
        </is>
      </c>
      <c r="D798" t="inlineStr">
        <is>
          <t>ALX440U-DS3B01</t>
        </is>
      </c>
      <c r="E798" s="2" t="n">
        <v>46132</v>
      </c>
      <c r="F798" t="inlineStr">
        <is>
          <t>Pass</t>
        </is>
      </c>
      <c r="G798" t="n">
        <v>145.9</v>
      </c>
      <c r="H798" t="n">
        <v>84.7</v>
      </c>
      <c r="I798" t="n">
        <v>-1957.8</v>
      </c>
      <c r="J798" t="n">
        <v>67.3</v>
      </c>
      <c r="K798" t="n">
        <v>0</v>
      </c>
      <c r="L798" t="n">
        <v>0.5</v>
      </c>
      <c r="M798" t="n">
        <v>0</v>
      </c>
      <c r="N798" t="n">
        <v>66.8</v>
      </c>
      <c r="O798" t="n">
        <v>115.24</v>
      </c>
      <c r="P798" t="n">
        <v>115.24</v>
      </c>
      <c r="Q798" t="n">
        <v>6.42</v>
      </c>
      <c r="R798" t="n">
        <v>6.2</v>
      </c>
      <c r="S798">
        <f>IF(OR(G798=0,G798=""),"",ABS((G798-IF($C798="LT",Config!$F$2,Config!$F$14))/IF($C798="LT",Config!$G$2,Config!$G$14)))</f>
        <v/>
      </c>
      <c r="T798">
        <f>IF(OR(H798=0,H798=""),"",ABS((H798-IF($C798="LT",Config!$F$3,Config!$F$15))/IF($C798="LT",Config!$G$3,Config!$G$15)))</f>
        <v/>
      </c>
      <c r="U798">
        <f>IF(OR(I798=0,I798=""),"",ABS((I798-IF($C798="LT",Config!$F$4,Config!$F$16))/IF($C798="LT",Config!$G$4,Config!$G$16)))</f>
        <v/>
      </c>
      <c r="V798">
        <f>IF(OR(J798=0,J798=""),"",ABS((J798-IF($C798="LT",Config!$F$5,Config!$F$17))/IF($C798="LT",Config!$G$5,Config!$G$17)))</f>
        <v/>
      </c>
      <c r="W798">
        <f>IF(OR(K798=0,K798=""),"",ABS((K798-IF($C798="LT",Config!$F$6,Config!$F$18))/IF($C798="LT",Config!$G$6,Config!$G$18)))</f>
        <v/>
      </c>
      <c r="X798">
        <f>IF(OR(L798=0,L798=""),"",ABS((L798-IF($C798="LT",Config!$F$7,Config!$F$19))/IF($C798="LT",Config!$G$7,Config!$G$19)))</f>
        <v/>
      </c>
      <c r="Y798">
        <f>IF(OR(M798=0,M798=""),"",ABS((M798-IF($C798="LT",Config!$F$8,Config!$F$20))/IF($C798="LT",Config!$G$8,Config!$G$20)))</f>
        <v/>
      </c>
      <c r="Z798">
        <f>IF(OR(N798=0,N798=""),"",ABS((N798-IF($C798="LT",Config!$F$9,Config!$F$21))/IF($C798="LT",Config!$G$9,Config!$G$21)))</f>
        <v/>
      </c>
      <c r="AA798">
        <f>IF(OR(O798=0,O798=""),"",ABS((O798-IF($C798="LT",Config!$F$10,Config!$F$22))/IF($C798="LT",Config!$G$10,Config!$G$22)))</f>
        <v/>
      </c>
      <c r="AB798">
        <f>IF(OR(P798=0,P798=""),"",ABS((P798-IF($C798="LT",Config!$F$11,Config!$F$23))/IF($C798="LT",Config!$G$11,Config!$G$23)))</f>
        <v/>
      </c>
      <c r="AC798">
        <f>IF(OR(Q798=0,Q798=""),"",ABS((Q798-IF($C798="LT",Config!$F$12,Config!$F$24))/IF($C798="LT",Config!$G$12,Config!$G$24)))</f>
        <v/>
      </c>
      <c r="AD798">
        <f>IF(OR(R798=0,R798=""),"",ABS((R798-IF($C798="LT",Config!$F$13,Config!$F$25))/IF($C798="LT",Config!$G$13,Config!$G$25)))</f>
        <v/>
      </c>
    </row>
    <row r="799">
      <c r="A799" t="inlineStr">
        <is>
          <t>04C2626121105</t>
        </is>
      </c>
      <c r="B799" t="inlineStr">
        <is>
          <t>CRS0000674</t>
        </is>
      </c>
      <c r="C799" t="inlineStr">
        <is>
          <t>MT</t>
        </is>
      </c>
      <c r="D799" t="inlineStr">
        <is>
          <t>TCX413U-DS1B01</t>
        </is>
      </c>
      <c r="E799" s="2" t="n">
        <v>46132</v>
      </c>
      <c r="F799" t="inlineStr">
        <is>
          <t>Pass</t>
        </is>
      </c>
      <c r="G799" t="n">
        <v>106.6</v>
      </c>
      <c r="H799" t="n">
        <v>77</v>
      </c>
      <c r="I799" t="n">
        <v>-1957.8</v>
      </c>
      <c r="J799" t="n">
        <v>67.3</v>
      </c>
      <c r="K799" t="n">
        <v>0</v>
      </c>
      <c r="L799" t="n">
        <v>1</v>
      </c>
      <c r="M799" t="n">
        <v>0</v>
      </c>
      <c r="N799" t="n">
        <v>66.3</v>
      </c>
      <c r="O799" t="n">
        <v>112.3</v>
      </c>
      <c r="P799" t="n">
        <v>117.07</v>
      </c>
      <c r="Q799" t="n">
        <v>3.64</v>
      </c>
      <c r="R799" t="n">
        <v>3.54</v>
      </c>
      <c r="S799">
        <f>IF(OR(G799=0,G799=""),"",ABS((G799-IF($C799="LT",Config!$F$2,Config!$F$14))/IF($C799="LT",Config!$G$2,Config!$G$14)))</f>
        <v/>
      </c>
      <c r="T799">
        <f>IF(OR(H799=0,H799=""),"",ABS((H799-IF($C799="LT",Config!$F$3,Config!$F$15))/IF($C799="LT",Config!$G$3,Config!$G$15)))</f>
        <v/>
      </c>
      <c r="U799">
        <f>IF(OR(I799=0,I799=""),"",ABS((I799-IF($C799="LT",Config!$F$4,Config!$F$16))/IF($C799="LT",Config!$G$4,Config!$G$16)))</f>
        <v/>
      </c>
      <c r="V799">
        <f>IF(OR(J799=0,J799=""),"",ABS((J799-IF($C799="LT",Config!$F$5,Config!$F$17))/IF($C799="LT",Config!$G$5,Config!$G$17)))</f>
        <v/>
      </c>
      <c r="W799">
        <f>IF(OR(K799=0,K799=""),"",ABS((K799-IF($C799="LT",Config!$F$6,Config!$F$18))/IF($C799="LT",Config!$G$6,Config!$G$18)))</f>
        <v/>
      </c>
      <c r="X799">
        <f>IF(OR(L799=0,L799=""),"",ABS((L799-IF($C799="LT",Config!$F$7,Config!$F$19))/IF($C799="LT",Config!$G$7,Config!$G$19)))</f>
        <v/>
      </c>
      <c r="Y799">
        <f>IF(OR(M799=0,M799=""),"",ABS((M799-IF($C799="LT",Config!$F$8,Config!$F$20))/IF($C799="LT",Config!$G$8,Config!$G$20)))</f>
        <v/>
      </c>
      <c r="Z799">
        <f>IF(OR(N799=0,N799=""),"",ABS((N799-IF($C799="LT",Config!$F$9,Config!$F$21))/IF($C799="LT",Config!$G$9,Config!$G$21)))</f>
        <v/>
      </c>
      <c r="AA799">
        <f>IF(OR(O799=0,O799=""),"",ABS((O799-IF($C799="LT",Config!$F$10,Config!$F$22))/IF($C799="LT",Config!$G$10,Config!$G$22)))</f>
        <v/>
      </c>
      <c r="AB799">
        <f>IF(OR(P799=0,P799=""),"",ABS((P799-IF($C799="LT",Config!$F$11,Config!$F$23))/IF($C799="LT",Config!$G$11,Config!$G$23)))</f>
        <v/>
      </c>
      <c r="AC799">
        <f>IF(OR(Q799=0,Q799=""),"",ABS((Q799-IF($C799="LT",Config!$F$12,Config!$F$24))/IF($C799="LT",Config!$G$12,Config!$G$24)))</f>
        <v/>
      </c>
      <c r="AD799">
        <f>IF(OR(R799=0,R799=""),"",ABS((R799-IF($C799="LT",Config!$F$13,Config!$F$25))/IF($C799="LT",Config!$G$13,Config!$G$25)))</f>
        <v/>
      </c>
    </row>
    <row r="800">
      <c r="A800" t="inlineStr">
        <is>
          <t>04D1526121403</t>
        </is>
      </c>
      <c r="B800" t="inlineStr">
        <is>
          <t>CRS0000674</t>
        </is>
      </c>
      <c r="C800" t="inlineStr">
        <is>
          <t>MT</t>
        </is>
      </c>
      <c r="D800" t="inlineStr">
        <is>
          <t>TCX413U-DS1B01</t>
        </is>
      </c>
      <c r="E800" s="2" t="n">
        <v>46133</v>
      </c>
      <c r="F800" t="inlineStr">
        <is>
          <t>Pass</t>
        </is>
      </c>
      <c r="G800" t="n">
        <v>101.7</v>
      </c>
      <c r="H800" t="n">
        <v>75.2</v>
      </c>
      <c r="I800" t="n">
        <v>-1957.8</v>
      </c>
      <c r="J800" t="n">
        <v>67.3</v>
      </c>
      <c r="K800" t="n">
        <v>0</v>
      </c>
      <c r="L800" t="n">
        <v>0.5</v>
      </c>
      <c r="M800" t="n">
        <v>0</v>
      </c>
      <c r="N800" t="n">
        <v>66.8</v>
      </c>
      <c r="O800" t="n">
        <v>112.08</v>
      </c>
      <c r="P800" t="n">
        <v>113.62</v>
      </c>
      <c r="Q800" t="n">
        <v>3.61</v>
      </c>
      <c r="R800" t="n">
        <v>3.61</v>
      </c>
      <c r="S800">
        <f>IF(OR(G800=0,G800=""),"",ABS((G800-IF($C800="LT",Config!$F$2,Config!$F$14))/IF($C800="LT",Config!$G$2,Config!$G$14)))</f>
        <v/>
      </c>
      <c r="T800">
        <f>IF(OR(H800=0,H800=""),"",ABS((H800-IF($C800="LT",Config!$F$3,Config!$F$15))/IF($C800="LT",Config!$G$3,Config!$G$15)))</f>
        <v/>
      </c>
      <c r="U800">
        <f>IF(OR(I800=0,I800=""),"",ABS((I800-IF($C800="LT",Config!$F$4,Config!$F$16))/IF($C800="LT",Config!$G$4,Config!$G$16)))</f>
        <v/>
      </c>
      <c r="V800">
        <f>IF(OR(J800=0,J800=""),"",ABS((J800-IF($C800="LT",Config!$F$5,Config!$F$17))/IF($C800="LT",Config!$G$5,Config!$G$17)))</f>
        <v/>
      </c>
      <c r="W800">
        <f>IF(OR(K800=0,K800=""),"",ABS((K800-IF($C800="LT",Config!$F$6,Config!$F$18))/IF($C800="LT",Config!$G$6,Config!$G$18)))</f>
        <v/>
      </c>
      <c r="X800">
        <f>IF(OR(L800=0,L800=""),"",ABS((L800-IF($C800="LT",Config!$F$7,Config!$F$19))/IF($C800="LT",Config!$G$7,Config!$G$19)))</f>
        <v/>
      </c>
      <c r="Y800">
        <f>IF(OR(M800=0,M800=""),"",ABS((M800-IF($C800="LT",Config!$F$8,Config!$F$20))/IF($C800="LT",Config!$G$8,Config!$G$20)))</f>
        <v/>
      </c>
      <c r="Z800">
        <f>IF(OR(N800=0,N800=""),"",ABS((N800-IF($C800="LT",Config!$F$9,Config!$F$21))/IF($C800="LT",Config!$G$9,Config!$G$21)))</f>
        <v/>
      </c>
      <c r="AA800">
        <f>IF(OR(O800=0,O800=""),"",ABS((O800-IF($C800="LT",Config!$F$10,Config!$F$22))/IF($C800="LT",Config!$G$10,Config!$G$22)))</f>
        <v/>
      </c>
      <c r="AB800">
        <f>IF(OR(P800=0,P800=""),"",ABS((P800-IF($C800="LT",Config!$F$11,Config!$F$23))/IF($C800="LT",Config!$G$11,Config!$G$23)))</f>
        <v/>
      </c>
      <c r="AC800">
        <f>IF(OR(Q800=0,Q800=""),"",ABS((Q800-IF($C800="LT",Config!$F$12,Config!$F$24))/IF($C800="LT",Config!$G$12,Config!$G$24)))</f>
        <v/>
      </c>
      <c r="AD800">
        <f>IF(OR(R800=0,R800=""),"",ABS((R800-IF($C800="LT",Config!$F$13,Config!$F$25))/IF($C800="LT",Config!$G$13,Config!$G$25)))</f>
        <v/>
      </c>
    </row>
    <row r="801">
      <c r="A801" t="inlineStr">
        <is>
          <t>04D1526121402</t>
        </is>
      </c>
      <c r="B801" t="inlineStr">
        <is>
          <t>CRS0000674</t>
        </is>
      </c>
      <c r="C801" t="inlineStr">
        <is>
          <t>MT</t>
        </is>
      </c>
      <c r="D801" t="inlineStr">
        <is>
          <t>TCX413U-DS1B01</t>
        </is>
      </c>
      <c r="E801" s="2" t="n">
        <v>46133</v>
      </c>
      <c r="F801" t="inlineStr">
        <is>
          <t>Pass</t>
        </is>
      </c>
      <c r="G801" t="n">
        <v>109.3</v>
      </c>
      <c r="H801" t="n">
        <v>77.5</v>
      </c>
      <c r="I801" t="n">
        <v>-1957.8</v>
      </c>
      <c r="J801" t="n">
        <v>67.3</v>
      </c>
      <c r="K801" t="n">
        <v>0</v>
      </c>
      <c r="L801" t="n">
        <v>1.1</v>
      </c>
      <c r="M801" t="n">
        <v>0</v>
      </c>
      <c r="N801" t="n">
        <v>66.2</v>
      </c>
      <c r="O801" t="n">
        <v>111.94</v>
      </c>
      <c r="P801" t="n">
        <v>113.4</v>
      </c>
      <c r="Q801" t="n">
        <v>3.61</v>
      </c>
      <c r="R801" t="n">
        <v>3.59</v>
      </c>
      <c r="S801">
        <f>IF(OR(G801=0,G801=""),"",ABS((G801-IF($C801="LT",Config!$F$2,Config!$F$14))/IF($C801="LT",Config!$G$2,Config!$G$14)))</f>
        <v/>
      </c>
      <c r="T801">
        <f>IF(OR(H801=0,H801=""),"",ABS((H801-IF($C801="LT",Config!$F$3,Config!$F$15))/IF($C801="LT",Config!$G$3,Config!$G$15)))</f>
        <v/>
      </c>
      <c r="U801">
        <f>IF(OR(I801=0,I801=""),"",ABS((I801-IF($C801="LT",Config!$F$4,Config!$F$16))/IF($C801="LT",Config!$G$4,Config!$G$16)))</f>
        <v/>
      </c>
      <c r="V801">
        <f>IF(OR(J801=0,J801=""),"",ABS((J801-IF($C801="LT",Config!$F$5,Config!$F$17))/IF($C801="LT",Config!$G$5,Config!$G$17)))</f>
        <v/>
      </c>
      <c r="W801">
        <f>IF(OR(K801=0,K801=""),"",ABS((K801-IF($C801="LT",Config!$F$6,Config!$F$18))/IF($C801="LT",Config!$G$6,Config!$G$18)))</f>
        <v/>
      </c>
      <c r="X801">
        <f>IF(OR(L801=0,L801=""),"",ABS((L801-IF($C801="LT",Config!$F$7,Config!$F$19))/IF($C801="LT",Config!$G$7,Config!$G$19)))</f>
        <v/>
      </c>
      <c r="Y801">
        <f>IF(OR(M801=0,M801=""),"",ABS((M801-IF($C801="LT",Config!$F$8,Config!$F$20))/IF($C801="LT",Config!$G$8,Config!$G$20)))</f>
        <v/>
      </c>
      <c r="Z801">
        <f>IF(OR(N801=0,N801=""),"",ABS((N801-IF($C801="LT",Config!$F$9,Config!$F$21))/IF($C801="LT",Config!$G$9,Config!$G$21)))</f>
        <v/>
      </c>
      <c r="AA801">
        <f>IF(OR(O801=0,O801=""),"",ABS((O801-IF($C801="LT",Config!$F$10,Config!$F$22))/IF($C801="LT",Config!$G$10,Config!$G$22)))</f>
        <v/>
      </c>
      <c r="AB801">
        <f>IF(OR(P801=0,P801=""),"",ABS((P801-IF($C801="LT",Config!$F$11,Config!$F$23))/IF($C801="LT",Config!$G$11,Config!$G$23)))</f>
        <v/>
      </c>
      <c r="AC801">
        <f>IF(OR(Q801=0,Q801=""),"",ABS((Q801-IF($C801="LT",Config!$F$12,Config!$F$24))/IF($C801="LT",Config!$G$12,Config!$G$24)))</f>
        <v/>
      </c>
      <c r="AD801">
        <f>IF(OR(R801=0,R801=""),"",ABS((R801-IF($C801="LT",Config!$F$13,Config!$F$25))/IF($C801="LT",Config!$G$13,Config!$G$25)))</f>
        <v/>
      </c>
    </row>
    <row r="802">
      <c r="A802" t="inlineStr">
        <is>
          <t>04D1526121405</t>
        </is>
      </c>
      <c r="B802" t="inlineStr">
        <is>
          <t>CRS0000674</t>
        </is>
      </c>
      <c r="C802" t="inlineStr">
        <is>
          <t>MT</t>
        </is>
      </c>
      <c r="D802" t="inlineStr">
        <is>
          <t>TCX413U-DS1B01</t>
        </is>
      </c>
      <c r="E802" s="2" t="n">
        <v>46133</v>
      </c>
      <c r="F802" t="inlineStr">
        <is>
          <t>Pass</t>
        </is>
      </c>
      <c r="G802" t="n">
        <v>97.7</v>
      </c>
      <c r="H802" t="n">
        <v>76.09999999999999</v>
      </c>
      <c r="I802" t="n">
        <v>-1957.8</v>
      </c>
      <c r="J802" t="n">
        <v>67.3</v>
      </c>
      <c r="K802" t="n">
        <v>0</v>
      </c>
      <c r="L802" t="n">
        <v>0.9</v>
      </c>
      <c r="M802" t="n">
        <v>0</v>
      </c>
      <c r="N802" t="n">
        <v>66.40000000000001</v>
      </c>
      <c r="O802" t="n">
        <v>111.86</v>
      </c>
      <c r="P802" t="n">
        <v>113.33</v>
      </c>
      <c r="Q802" t="n">
        <v>3.83</v>
      </c>
      <c r="R802" t="n">
        <v>3.74</v>
      </c>
      <c r="S802">
        <f>IF(OR(G802=0,G802=""),"",ABS((G802-IF($C802="LT",Config!$F$2,Config!$F$14))/IF($C802="LT",Config!$G$2,Config!$G$14)))</f>
        <v/>
      </c>
      <c r="T802">
        <f>IF(OR(H802=0,H802=""),"",ABS((H802-IF($C802="LT",Config!$F$3,Config!$F$15))/IF($C802="LT",Config!$G$3,Config!$G$15)))</f>
        <v/>
      </c>
      <c r="U802">
        <f>IF(OR(I802=0,I802=""),"",ABS((I802-IF($C802="LT",Config!$F$4,Config!$F$16))/IF($C802="LT",Config!$G$4,Config!$G$16)))</f>
        <v/>
      </c>
      <c r="V802">
        <f>IF(OR(J802=0,J802=""),"",ABS((J802-IF($C802="LT",Config!$F$5,Config!$F$17))/IF($C802="LT",Config!$G$5,Config!$G$17)))</f>
        <v/>
      </c>
      <c r="W802">
        <f>IF(OR(K802=0,K802=""),"",ABS((K802-IF($C802="LT",Config!$F$6,Config!$F$18))/IF($C802="LT",Config!$G$6,Config!$G$18)))</f>
        <v/>
      </c>
      <c r="X802">
        <f>IF(OR(L802=0,L802=""),"",ABS((L802-IF($C802="LT",Config!$F$7,Config!$F$19))/IF($C802="LT",Config!$G$7,Config!$G$19)))</f>
        <v/>
      </c>
      <c r="Y802">
        <f>IF(OR(M802=0,M802=""),"",ABS((M802-IF($C802="LT",Config!$F$8,Config!$F$20))/IF($C802="LT",Config!$G$8,Config!$G$20)))</f>
        <v/>
      </c>
      <c r="Z802">
        <f>IF(OR(N802=0,N802=""),"",ABS((N802-IF($C802="LT",Config!$F$9,Config!$F$21))/IF($C802="LT",Config!$G$9,Config!$G$21)))</f>
        <v/>
      </c>
      <c r="AA802">
        <f>IF(OR(O802=0,O802=""),"",ABS((O802-IF($C802="LT",Config!$F$10,Config!$F$22))/IF($C802="LT",Config!$G$10,Config!$G$22)))</f>
        <v/>
      </c>
      <c r="AB802">
        <f>IF(OR(P802=0,P802=""),"",ABS((P802-IF($C802="LT",Config!$F$11,Config!$F$23))/IF($C802="LT",Config!$G$11,Config!$G$23)))</f>
        <v/>
      </c>
      <c r="AC802">
        <f>IF(OR(Q802=0,Q802=""),"",ABS((Q802-IF($C802="LT",Config!$F$12,Config!$F$24))/IF($C802="LT",Config!$G$12,Config!$G$24)))</f>
        <v/>
      </c>
      <c r="AD802">
        <f>IF(OR(R802=0,R802=""),"",ABS((R802-IF($C802="LT",Config!$F$13,Config!$F$25))/IF($C802="LT",Config!$G$13,Config!$G$25)))</f>
        <v/>
      </c>
    </row>
    <row r="803">
      <c r="A803" t="inlineStr">
        <is>
          <t>04D1526121398</t>
        </is>
      </c>
      <c r="B803" t="inlineStr">
        <is>
          <t>CRS0000674</t>
        </is>
      </c>
      <c r="C803" t="inlineStr">
        <is>
          <t>MT</t>
        </is>
      </c>
      <c r="D803" t="inlineStr">
        <is>
          <t>TCX413U-DS1B01</t>
        </is>
      </c>
      <c r="E803" s="2" t="n">
        <v>46133</v>
      </c>
      <c r="F803" t="inlineStr">
        <is>
          <t>Fail</t>
        </is>
      </c>
      <c r="G803" t="n">
        <v>99.5</v>
      </c>
      <c r="H803" t="n">
        <v>61.7</v>
      </c>
      <c r="I803" t="n">
        <v>-1957.8</v>
      </c>
      <c r="J803" t="n">
        <v>67.3</v>
      </c>
      <c r="K803" t="n">
        <v>0</v>
      </c>
      <c r="L803" t="n">
        <v>0.5</v>
      </c>
      <c r="M803" t="n">
        <v>0</v>
      </c>
      <c r="N803" t="n">
        <v>66.8</v>
      </c>
      <c r="O803" t="n">
        <v>115.38</v>
      </c>
      <c r="P803" t="n">
        <v>116.63</v>
      </c>
      <c r="Q803" t="n">
        <v>3.61</v>
      </c>
      <c r="R803" t="n">
        <v>0</v>
      </c>
      <c r="S803">
        <f>IF(OR(G803=0,G803=""),"",ABS((G803-IF($C803="LT",Config!$F$2,Config!$F$14))/IF($C803="LT",Config!$G$2,Config!$G$14)))</f>
        <v/>
      </c>
      <c r="T803">
        <f>IF(OR(H803=0,H803=""),"",ABS((H803-IF($C803="LT",Config!$F$3,Config!$F$15))/IF($C803="LT",Config!$G$3,Config!$G$15)))</f>
        <v/>
      </c>
      <c r="U803">
        <f>IF(OR(I803=0,I803=""),"",ABS((I803-IF($C803="LT",Config!$F$4,Config!$F$16))/IF($C803="LT",Config!$G$4,Config!$G$16)))</f>
        <v/>
      </c>
      <c r="V803">
        <f>IF(OR(J803=0,J803=""),"",ABS((J803-IF($C803="LT",Config!$F$5,Config!$F$17))/IF($C803="LT",Config!$G$5,Config!$G$17)))</f>
        <v/>
      </c>
      <c r="W803">
        <f>IF(OR(K803=0,K803=""),"",ABS((K803-IF($C803="LT",Config!$F$6,Config!$F$18))/IF($C803="LT",Config!$G$6,Config!$G$18)))</f>
        <v/>
      </c>
      <c r="X803">
        <f>IF(OR(L803=0,L803=""),"",ABS((L803-IF($C803="LT",Config!$F$7,Config!$F$19))/IF($C803="LT",Config!$G$7,Config!$G$19)))</f>
        <v/>
      </c>
      <c r="Y803">
        <f>IF(OR(M803=0,M803=""),"",ABS((M803-IF($C803="LT",Config!$F$8,Config!$F$20))/IF($C803="LT",Config!$G$8,Config!$G$20)))</f>
        <v/>
      </c>
      <c r="Z803">
        <f>IF(OR(N803=0,N803=""),"",ABS((N803-IF($C803="LT",Config!$F$9,Config!$F$21))/IF($C803="LT",Config!$G$9,Config!$G$21)))</f>
        <v/>
      </c>
      <c r="AA803">
        <f>IF(OR(O803=0,O803=""),"",ABS((O803-IF($C803="LT",Config!$F$10,Config!$F$22))/IF($C803="LT",Config!$G$10,Config!$G$22)))</f>
        <v/>
      </c>
      <c r="AB803">
        <f>IF(OR(P803=0,P803=""),"",ABS((P803-IF($C803="LT",Config!$F$11,Config!$F$23))/IF($C803="LT",Config!$G$11,Config!$G$23)))</f>
        <v/>
      </c>
      <c r="AC803">
        <f>IF(OR(Q803=0,Q803=""),"",ABS((Q803-IF($C803="LT",Config!$F$12,Config!$F$24))/IF($C803="LT",Config!$G$12,Config!$G$24)))</f>
        <v/>
      </c>
      <c r="AD803">
        <f>IF(OR(R803=0,R803=""),"",ABS((R803-IF($C803="LT",Config!$F$13,Config!$F$25))/IF($C803="LT",Config!$G$13,Config!$G$25)))</f>
        <v/>
      </c>
    </row>
    <row r="804">
      <c r="A804" t="inlineStr">
        <is>
          <t>04D1526121398</t>
        </is>
      </c>
      <c r="B804" t="inlineStr">
        <is>
          <t>CRS0000674</t>
        </is>
      </c>
      <c r="C804" t="inlineStr">
        <is>
          <t>MT</t>
        </is>
      </c>
      <c r="D804" t="inlineStr">
        <is>
          <t>TCX413U-DS1B01</t>
        </is>
      </c>
      <c r="E804" s="2" t="n">
        <v>46133</v>
      </c>
      <c r="F804" t="inlineStr">
        <is>
          <t>Pass</t>
        </is>
      </c>
      <c r="G804" t="n">
        <v>108.4</v>
      </c>
      <c r="H804" t="n">
        <v>75.2</v>
      </c>
      <c r="I804" t="n">
        <v>-1957.8</v>
      </c>
      <c r="J804" t="n">
        <v>67.3</v>
      </c>
      <c r="K804" t="n">
        <v>0</v>
      </c>
      <c r="L804" t="n">
        <v>0.7</v>
      </c>
      <c r="M804" t="n">
        <v>0</v>
      </c>
      <c r="N804" t="n">
        <v>66.59999999999999</v>
      </c>
      <c r="O804" t="n">
        <v>111.72</v>
      </c>
      <c r="P804" t="n">
        <v>113.7</v>
      </c>
      <c r="Q804" t="n">
        <v>3.59</v>
      </c>
      <c r="R804" t="n">
        <v>3.52</v>
      </c>
      <c r="S804">
        <f>IF(OR(G804=0,G804=""),"",ABS((G804-IF($C804="LT",Config!$F$2,Config!$F$14))/IF($C804="LT",Config!$G$2,Config!$G$14)))</f>
        <v/>
      </c>
      <c r="T804">
        <f>IF(OR(H804=0,H804=""),"",ABS((H804-IF($C804="LT",Config!$F$3,Config!$F$15))/IF($C804="LT",Config!$G$3,Config!$G$15)))</f>
        <v/>
      </c>
      <c r="U804">
        <f>IF(OR(I804=0,I804=""),"",ABS((I804-IF($C804="LT",Config!$F$4,Config!$F$16))/IF($C804="LT",Config!$G$4,Config!$G$16)))</f>
        <v/>
      </c>
      <c r="V804">
        <f>IF(OR(J804=0,J804=""),"",ABS((J804-IF($C804="LT",Config!$F$5,Config!$F$17))/IF($C804="LT",Config!$G$5,Config!$G$17)))</f>
        <v/>
      </c>
      <c r="W804">
        <f>IF(OR(K804=0,K804=""),"",ABS((K804-IF($C804="LT",Config!$F$6,Config!$F$18))/IF($C804="LT",Config!$G$6,Config!$G$18)))</f>
        <v/>
      </c>
      <c r="X804">
        <f>IF(OR(L804=0,L804=""),"",ABS((L804-IF($C804="LT",Config!$F$7,Config!$F$19))/IF($C804="LT",Config!$G$7,Config!$G$19)))</f>
        <v/>
      </c>
      <c r="Y804">
        <f>IF(OR(M804=0,M804=""),"",ABS((M804-IF($C804="LT",Config!$F$8,Config!$F$20))/IF($C804="LT",Config!$G$8,Config!$G$20)))</f>
        <v/>
      </c>
      <c r="Z804">
        <f>IF(OR(N804=0,N804=""),"",ABS((N804-IF($C804="LT",Config!$F$9,Config!$F$21))/IF($C804="LT",Config!$G$9,Config!$G$21)))</f>
        <v/>
      </c>
      <c r="AA804">
        <f>IF(OR(O804=0,O804=""),"",ABS((O804-IF($C804="LT",Config!$F$10,Config!$F$22))/IF($C804="LT",Config!$G$10,Config!$G$22)))</f>
        <v/>
      </c>
      <c r="AB804">
        <f>IF(OR(P804=0,P804=""),"",ABS((P804-IF($C804="LT",Config!$F$11,Config!$F$23))/IF($C804="LT",Config!$G$11,Config!$G$23)))</f>
        <v/>
      </c>
      <c r="AC804">
        <f>IF(OR(Q804=0,Q804=""),"",ABS((Q804-IF($C804="LT",Config!$F$12,Config!$F$24))/IF($C804="LT",Config!$G$12,Config!$G$24)))</f>
        <v/>
      </c>
      <c r="AD804">
        <f>IF(OR(R804=0,R804=""),"",ABS((R804-IF($C804="LT",Config!$F$13,Config!$F$25))/IF($C804="LT",Config!$G$13,Config!$G$25)))</f>
        <v/>
      </c>
    </row>
    <row r="805">
      <c r="A805" t="inlineStr">
        <is>
          <t>04D1526121400</t>
        </is>
      </c>
      <c r="B805" t="inlineStr">
        <is>
          <t>CRS0000674</t>
        </is>
      </c>
      <c r="C805" t="inlineStr">
        <is>
          <t>MT</t>
        </is>
      </c>
      <c r="D805" t="inlineStr">
        <is>
          <t>TCX413U-DS1B01</t>
        </is>
      </c>
      <c r="E805" s="2" t="n">
        <v>46133</v>
      </c>
      <c r="F805" t="inlineStr">
        <is>
          <t>Pass</t>
        </is>
      </c>
      <c r="G805" t="n">
        <v>103.9</v>
      </c>
      <c r="H805" t="n">
        <v>76.59999999999999</v>
      </c>
      <c r="I805" t="n">
        <v>-1957.8</v>
      </c>
      <c r="J805" t="n">
        <v>67.3</v>
      </c>
      <c r="K805" t="n">
        <v>0</v>
      </c>
      <c r="L805" t="n">
        <v>0.9</v>
      </c>
      <c r="M805" t="n">
        <v>0</v>
      </c>
      <c r="N805" t="n">
        <v>68.2</v>
      </c>
      <c r="O805" t="n">
        <v>115.38</v>
      </c>
      <c r="P805" t="n">
        <v>115.31</v>
      </c>
      <c r="Q805" t="n">
        <v>3.69</v>
      </c>
      <c r="R805" t="n">
        <v>3.66</v>
      </c>
      <c r="S805">
        <f>IF(OR(G805=0,G805=""),"",ABS((G805-IF($C805="LT",Config!$F$2,Config!$F$14))/IF($C805="LT",Config!$G$2,Config!$G$14)))</f>
        <v/>
      </c>
      <c r="T805">
        <f>IF(OR(H805=0,H805=""),"",ABS((H805-IF($C805="LT",Config!$F$3,Config!$F$15))/IF($C805="LT",Config!$G$3,Config!$G$15)))</f>
        <v/>
      </c>
      <c r="U805">
        <f>IF(OR(I805=0,I805=""),"",ABS((I805-IF($C805="LT",Config!$F$4,Config!$F$16))/IF($C805="LT",Config!$G$4,Config!$G$16)))</f>
        <v/>
      </c>
      <c r="V805">
        <f>IF(OR(J805=0,J805=""),"",ABS((J805-IF($C805="LT",Config!$F$5,Config!$F$17))/IF($C805="LT",Config!$G$5,Config!$G$17)))</f>
        <v/>
      </c>
      <c r="W805">
        <f>IF(OR(K805=0,K805=""),"",ABS((K805-IF($C805="LT",Config!$F$6,Config!$F$18))/IF($C805="LT",Config!$G$6,Config!$G$18)))</f>
        <v/>
      </c>
      <c r="X805">
        <f>IF(OR(L805=0,L805=""),"",ABS((L805-IF($C805="LT",Config!$F$7,Config!$F$19))/IF($C805="LT",Config!$G$7,Config!$G$19)))</f>
        <v/>
      </c>
      <c r="Y805">
        <f>IF(OR(M805=0,M805=""),"",ABS((M805-IF($C805="LT",Config!$F$8,Config!$F$20))/IF($C805="LT",Config!$G$8,Config!$G$20)))</f>
        <v/>
      </c>
      <c r="Z805">
        <f>IF(OR(N805=0,N805=""),"",ABS((N805-IF($C805="LT",Config!$F$9,Config!$F$21))/IF($C805="LT",Config!$G$9,Config!$G$21)))</f>
        <v/>
      </c>
      <c r="AA805">
        <f>IF(OR(O805=0,O805=""),"",ABS((O805-IF($C805="LT",Config!$F$10,Config!$F$22))/IF($C805="LT",Config!$G$10,Config!$G$22)))</f>
        <v/>
      </c>
      <c r="AB805">
        <f>IF(OR(P805=0,P805=""),"",ABS((P805-IF($C805="LT",Config!$F$11,Config!$F$23))/IF($C805="LT",Config!$G$11,Config!$G$23)))</f>
        <v/>
      </c>
      <c r="AC805">
        <f>IF(OR(Q805=0,Q805=""),"",ABS((Q805-IF($C805="LT",Config!$F$12,Config!$F$24))/IF($C805="LT",Config!$G$12,Config!$G$24)))</f>
        <v/>
      </c>
      <c r="AD805">
        <f>IF(OR(R805=0,R805=""),"",ABS((R805-IF($C805="LT",Config!$F$13,Config!$F$25))/IF($C805="LT",Config!$G$13,Config!$G$25)))</f>
        <v/>
      </c>
    </row>
    <row r="806">
      <c r="A806" t="inlineStr">
        <is>
          <t>04D1526121399</t>
        </is>
      </c>
      <c r="B806" t="inlineStr">
        <is>
          <t>CRS0000674</t>
        </is>
      </c>
      <c r="C806" t="inlineStr">
        <is>
          <t>MT</t>
        </is>
      </c>
      <c r="D806" t="inlineStr">
        <is>
          <t>TCX413U-DS1B01</t>
        </is>
      </c>
      <c r="E806" s="2" t="n">
        <v>46133</v>
      </c>
      <c r="F806" t="inlineStr">
        <is>
          <t>Pass</t>
        </is>
      </c>
      <c r="G806" t="n">
        <v>104.4</v>
      </c>
      <c r="H806" t="n">
        <v>75.2</v>
      </c>
      <c r="I806" t="n">
        <v>-1957.8</v>
      </c>
      <c r="J806" t="n">
        <v>67.3</v>
      </c>
      <c r="K806" t="n">
        <v>0</v>
      </c>
      <c r="L806" t="n">
        <v>0.8</v>
      </c>
      <c r="M806" t="n">
        <v>0</v>
      </c>
      <c r="N806" t="n">
        <v>66.5</v>
      </c>
      <c r="O806" t="n">
        <v>112.3</v>
      </c>
      <c r="P806" t="n">
        <v>116.56</v>
      </c>
      <c r="Q806" t="n">
        <v>3.76</v>
      </c>
      <c r="R806" t="n">
        <v>3.61</v>
      </c>
      <c r="S806">
        <f>IF(OR(G806=0,G806=""),"",ABS((G806-IF($C806="LT",Config!$F$2,Config!$F$14))/IF($C806="LT",Config!$G$2,Config!$G$14)))</f>
        <v/>
      </c>
      <c r="T806">
        <f>IF(OR(H806=0,H806=""),"",ABS((H806-IF($C806="LT",Config!$F$3,Config!$F$15))/IF($C806="LT",Config!$G$3,Config!$G$15)))</f>
        <v/>
      </c>
      <c r="U806">
        <f>IF(OR(I806=0,I806=""),"",ABS((I806-IF($C806="LT",Config!$F$4,Config!$F$16))/IF($C806="LT",Config!$G$4,Config!$G$16)))</f>
        <v/>
      </c>
      <c r="V806">
        <f>IF(OR(J806=0,J806=""),"",ABS((J806-IF($C806="LT",Config!$F$5,Config!$F$17))/IF($C806="LT",Config!$G$5,Config!$G$17)))</f>
        <v/>
      </c>
      <c r="W806">
        <f>IF(OR(K806=0,K806=""),"",ABS((K806-IF($C806="LT",Config!$F$6,Config!$F$18))/IF($C806="LT",Config!$G$6,Config!$G$18)))</f>
        <v/>
      </c>
      <c r="X806">
        <f>IF(OR(L806=0,L806=""),"",ABS((L806-IF($C806="LT",Config!$F$7,Config!$F$19))/IF($C806="LT",Config!$G$7,Config!$G$19)))</f>
        <v/>
      </c>
      <c r="Y806">
        <f>IF(OR(M806=0,M806=""),"",ABS((M806-IF($C806="LT",Config!$F$8,Config!$F$20))/IF($C806="LT",Config!$G$8,Config!$G$20)))</f>
        <v/>
      </c>
      <c r="Z806">
        <f>IF(OR(N806=0,N806=""),"",ABS((N806-IF($C806="LT",Config!$F$9,Config!$F$21))/IF($C806="LT",Config!$G$9,Config!$G$21)))</f>
        <v/>
      </c>
      <c r="AA806">
        <f>IF(OR(O806=0,O806=""),"",ABS((O806-IF($C806="LT",Config!$F$10,Config!$F$22))/IF($C806="LT",Config!$G$10,Config!$G$22)))</f>
        <v/>
      </c>
      <c r="AB806">
        <f>IF(OR(P806=0,P806=""),"",ABS((P806-IF($C806="LT",Config!$F$11,Config!$F$23))/IF($C806="LT",Config!$G$11,Config!$G$23)))</f>
        <v/>
      </c>
      <c r="AC806">
        <f>IF(OR(Q806=0,Q806=""),"",ABS((Q806-IF($C806="LT",Config!$F$12,Config!$F$24))/IF($C806="LT",Config!$G$12,Config!$G$24)))</f>
        <v/>
      </c>
      <c r="AD806">
        <f>IF(OR(R806=0,R806=""),"",ABS((R806-IF($C806="LT",Config!$F$13,Config!$F$25))/IF($C806="LT",Config!$G$13,Config!$G$25)))</f>
        <v/>
      </c>
    </row>
    <row r="807">
      <c r="A807" t="inlineStr">
        <is>
          <t>04D1526121396</t>
        </is>
      </c>
      <c r="B807" t="inlineStr">
        <is>
          <t>CRS0000674</t>
        </is>
      </c>
      <c r="C807" t="inlineStr">
        <is>
          <t>MT</t>
        </is>
      </c>
      <c r="D807" t="inlineStr">
        <is>
          <t>TCX413U-DS1B01</t>
        </is>
      </c>
      <c r="E807" s="2" t="n">
        <v>46133</v>
      </c>
      <c r="F807" t="inlineStr">
        <is>
          <t>Pass</t>
        </is>
      </c>
      <c r="G807" t="n">
        <v>106.2</v>
      </c>
      <c r="H807" t="n">
        <v>76.09999999999999</v>
      </c>
      <c r="I807" t="n">
        <v>-1957.8</v>
      </c>
      <c r="J807" t="n">
        <v>67.3</v>
      </c>
      <c r="K807" t="n">
        <v>0</v>
      </c>
      <c r="L807" t="n">
        <v>0.6</v>
      </c>
      <c r="M807" t="n">
        <v>0</v>
      </c>
      <c r="N807" t="n">
        <v>66.7</v>
      </c>
      <c r="O807" t="n">
        <v>112.23</v>
      </c>
      <c r="P807" t="n">
        <v>116.26</v>
      </c>
      <c r="Q807" t="n">
        <v>3.59</v>
      </c>
      <c r="R807" t="n">
        <v>3.59</v>
      </c>
      <c r="S807">
        <f>IF(OR(G807=0,G807=""),"",ABS((G807-IF($C807="LT",Config!$F$2,Config!$F$14))/IF($C807="LT",Config!$G$2,Config!$G$14)))</f>
        <v/>
      </c>
      <c r="T807">
        <f>IF(OR(H807=0,H807=""),"",ABS((H807-IF($C807="LT",Config!$F$3,Config!$F$15))/IF($C807="LT",Config!$G$3,Config!$G$15)))</f>
        <v/>
      </c>
      <c r="U807">
        <f>IF(OR(I807=0,I807=""),"",ABS((I807-IF($C807="LT",Config!$F$4,Config!$F$16))/IF($C807="LT",Config!$G$4,Config!$G$16)))</f>
        <v/>
      </c>
      <c r="V807">
        <f>IF(OR(J807=0,J807=""),"",ABS((J807-IF($C807="LT",Config!$F$5,Config!$F$17))/IF($C807="LT",Config!$G$5,Config!$G$17)))</f>
        <v/>
      </c>
      <c r="W807">
        <f>IF(OR(K807=0,K807=""),"",ABS((K807-IF($C807="LT",Config!$F$6,Config!$F$18))/IF($C807="LT",Config!$G$6,Config!$G$18)))</f>
        <v/>
      </c>
      <c r="X807">
        <f>IF(OR(L807=0,L807=""),"",ABS((L807-IF($C807="LT",Config!$F$7,Config!$F$19))/IF($C807="LT",Config!$G$7,Config!$G$19)))</f>
        <v/>
      </c>
      <c r="Y807">
        <f>IF(OR(M807=0,M807=""),"",ABS((M807-IF($C807="LT",Config!$F$8,Config!$F$20))/IF($C807="LT",Config!$G$8,Config!$G$20)))</f>
        <v/>
      </c>
      <c r="Z807">
        <f>IF(OR(N807=0,N807=""),"",ABS((N807-IF($C807="LT",Config!$F$9,Config!$F$21))/IF($C807="LT",Config!$G$9,Config!$G$21)))</f>
        <v/>
      </c>
      <c r="AA807">
        <f>IF(OR(O807=0,O807=""),"",ABS((O807-IF($C807="LT",Config!$F$10,Config!$F$22))/IF($C807="LT",Config!$G$10,Config!$G$22)))</f>
        <v/>
      </c>
      <c r="AB807">
        <f>IF(OR(P807=0,P807=""),"",ABS((P807-IF($C807="LT",Config!$F$11,Config!$F$23))/IF($C807="LT",Config!$G$11,Config!$G$23)))</f>
        <v/>
      </c>
      <c r="AC807">
        <f>IF(OR(Q807=0,Q807=""),"",ABS((Q807-IF($C807="LT",Config!$F$12,Config!$F$24))/IF($C807="LT",Config!$G$12,Config!$G$24)))</f>
        <v/>
      </c>
      <c r="AD807">
        <f>IF(OR(R807=0,R807=""),"",ABS((R807-IF($C807="LT",Config!$F$13,Config!$F$25))/IF($C807="LT",Config!$G$13,Config!$G$25)))</f>
        <v/>
      </c>
    </row>
    <row r="808">
      <c r="A808" t="inlineStr">
        <is>
          <t>04D1526121397</t>
        </is>
      </c>
      <c r="B808" t="inlineStr">
        <is>
          <t>CRS0000674</t>
        </is>
      </c>
      <c r="C808" t="inlineStr">
        <is>
          <t>MT</t>
        </is>
      </c>
      <c r="D808" t="inlineStr">
        <is>
          <t>TCX413U-DS1B01</t>
        </is>
      </c>
      <c r="E808" s="2" t="n">
        <v>46133</v>
      </c>
      <c r="F808" t="inlineStr">
        <is>
          <t>Pass</t>
        </is>
      </c>
      <c r="G808" t="n">
        <v>112.4</v>
      </c>
      <c r="H808" t="n">
        <v>77.5</v>
      </c>
      <c r="I808" t="n">
        <v>-1957.8</v>
      </c>
      <c r="J808" t="n">
        <v>67.7</v>
      </c>
      <c r="K808" t="n">
        <v>0</v>
      </c>
      <c r="L808" t="n">
        <v>1.2</v>
      </c>
      <c r="M808" t="n">
        <v>0</v>
      </c>
      <c r="N808" t="n">
        <v>66.5</v>
      </c>
      <c r="O808" t="n">
        <v>112.3</v>
      </c>
      <c r="P808" t="n">
        <v>116.56</v>
      </c>
      <c r="Q808" t="n">
        <v>3.64</v>
      </c>
      <c r="R808" t="n">
        <v>3.54</v>
      </c>
      <c r="S808">
        <f>IF(OR(G808=0,G808=""),"",ABS((G808-IF($C808="LT",Config!$F$2,Config!$F$14))/IF($C808="LT",Config!$G$2,Config!$G$14)))</f>
        <v/>
      </c>
      <c r="T808">
        <f>IF(OR(H808=0,H808=""),"",ABS((H808-IF($C808="LT",Config!$F$3,Config!$F$15))/IF($C808="LT",Config!$G$3,Config!$G$15)))</f>
        <v/>
      </c>
      <c r="U808">
        <f>IF(OR(I808=0,I808=""),"",ABS((I808-IF($C808="LT",Config!$F$4,Config!$F$16))/IF($C808="LT",Config!$G$4,Config!$G$16)))</f>
        <v/>
      </c>
      <c r="V808">
        <f>IF(OR(J808=0,J808=""),"",ABS((J808-IF($C808="LT",Config!$F$5,Config!$F$17))/IF($C808="LT",Config!$G$5,Config!$G$17)))</f>
        <v/>
      </c>
      <c r="W808">
        <f>IF(OR(K808=0,K808=""),"",ABS((K808-IF($C808="LT",Config!$F$6,Config!$F$18))/IF($C808="LT",Config!$G$6,Config!$G$18)))</f>
        <v/>
      </c>
      <c r="X808">
        <f>IF(OR(L808=0,L808=""),"",ABS((L808-IF($C808="LT",Config!$F$7,Config!$F$19))/IF($C808="LT",Config!$G$7,Config!$G$19)))</f>
        <v/>
      </c>
      <c r="Y808">
        <f>IF(OR(M808=0,M808=""),"",ABS((M808-IF($C808="LT",Config!$F$8,Config!$F$20))/IF($C808="LT",Config!$G$8,Config!$G$20)))</f>
        <v/>
      </c>
      <c r="Z808">
        <f>IF(OR(N808=0,N808=""),"",ABS((N808-IF($C808="LT",Config!$F$9,Config!$F$21))/IF($C808="LT",Config!$G$9,Config!$G$21)))</f>
        <v/>
      </c>
      <c r="AA808">
        <f>IF(OR(O808=0,O808=""),"",ABS((O808-IF($C808="LT",Config!$F$10,Config!$F$22))/IF($C808="LT",Config!$G$10,Config!$G$22)))</f>
        <v/>
      </c>
      <c r="AB808">
        <f>IF(OR(P808=0,P808=""),"",ABS((P808-IF($C808="LT",Config!$F$11,Config!$F$23))/IF($C808="LT",Config!$G$11,Config!$G$23)))</f>
        <v/>
      </c>
      <c r="AC808">
        <f>IF(OR(Q808=0,Q808=""),"",ABS((Q808-IF($C808="LT",Config!$F$12,Config!$F$24))/IF($C808="LT",Config!$G$12,Config!$G$24)))</f>
        <v/>
      </c>
      <c r="AD808">
        <f>IF(OR(R808=0,R808=""),"",ABS((R808-IF($C808="LT",Config!$F$13,Config!$F$25))/IF($C808="LT",Config!$G$13,Config!$G$25)))</f>
        <v/>
      </c>
    </row>
    <row r="809">
      <c r="A809" t="inlineStr">
        <is>
          <t>04D1426121377</t>
        </is>
      </c>
      <c r="B809" t="inlineStr">
        <is>
          <t>CRS0000674</t>
        </is>
      </c>
      <c r="C809" t="inlineStr">
        <is>
          <t>MT</t>
        </is>
      </c>
      <c r="D809" t="inlineStr">
        <is>
          <t>TCX413U-DS1B01</t>
        </is>
      </c>
      <c r="E809" s="2" t="n">
        <v>46133</v>
      </c>
      <c r="F809" t="inlineStr">
        <is>
          <t>Fail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>
        <f>IF(OR(G809=0,G809=""),"",ABS((G809-IF($C809="LT",Config!$F$2,Config!$F$14))/IF($C809="LT",Config!$G$2,Config!$G$14)))</f>
        <v/>
      </c>
      <c r="T809">
        <f>IF(OR(H809=0,H809=""),"",ABS((H809-IF($C809="LT",Config!$F$3,Config!$F$15))/IF($C809="LT",Config!$G$3,Config!$G$15)))</f>
        <v/>
      </c>
      <c r="U809">
        <f>IF(OR(I809=0,I809=""),"",ABS((I809-IF($C809="LT",Config!$F$4,Config!$F$16))/IF($C809="LT",Config!$G$4,Config!$G$16)))</f>
        <v/>
      </c>
      <c r="V809">
        <f>IF(OR(J809=0,J809=""),"",ABS((J809-IF($C809="LT",Config!$F$5,Config!$F$17))/IF($C809="LT",Config!$G$5,Config!$G$17)))</f>
        <v/>
      </c>
      <c r="W809">
        <f>IF(OR(K809=0,K809=""),"",ABS((K809-IF($C809="LT",Config!$F$6,Config!$F$18))/IF($C809="LT",Config!$G$6,Config!$G$18)))</f>
        <v/>
      </c>
      <c r="X809">
        <f>IF(OR(L809=0,L809=""),"",ABS((L809-IF($C809="LT",Config!$F$7,Config!$F$19))/IF($C809="LT",Config!$G$7,Config!$G$19)))</f>
        <v/>
      </c>
      <c r="Y809">
        <f>IF(OR(M809=0,M809=""),"",ABS((M809-IF($C809="LT",Config!$F$8,Config!$F$20))/IF($C809="LT",Config!$G$8,Config!$G$20)))</f>
        <v/>
      </c>
      <c r="Z809">
        <f>IF(OR(N809=0,N809=""),"",ABS((N809-IF($C809="LT",Config!$F$9,Config!$F$21))/IF($C809="LT",Config!$G$9,Config!$G$21)))</f>
        <v/>
      </c>
      <c r="AA809">
        <f>IF(OR(O809=0,O809=""),"",ABS((O809-IF($C809="LT",Config!$F$10,Config!$F$22))/IF($C809="LT",Config!$G$10,Config!$G$22)))</f>
        <v/>
      </c>
      <c r="AB809">
        <f>IF(OR(P809=0,P809=""),"",ABS((P809-IF($C809="LT",Config!$F$11,Config!$F$23))/IF($C809="LT",Config!$G$11,Config!$G$23)))</f>
        <v/>
      </c>
      <c r="AC809">
        <f>IF(OR(Q809=0,Q809=""),"",ABS((Q809-IF($C809="LT",Config!$F$12,Config!$F$24))/IF($C809="LT",Config!$G$12,Config!$G$24)))</f>
        <v/>
      </c>
      <c r="AD809">
        <f>IF(OR(R809=0,R809=""),"",ABS((R809-IF($C809="LT",Config!$F$13,Config!$F$25))/IF($C809="LT",Config!$G$13,Config!$G$25)))</f>
        <v/>
      </c>
    </row>
    <row r="810">
      <c r="A810" t="inlineStr">
        <is>
          <t>04D1426121377</t>
        </is>
      </c>
      <c r="B810" t="inlineStr">
        <is>
          <t>CRS0000674</t>
        </is>
      </c>
      <c r="C810" t="inlineStr">
        <is>
          <t>MT</t>
        </is>
      </c>
      <c r="D810" t="inlineStr">
        <is>
          <t>TCX413U-DS1B01</t>
        </is>
      </c>
      <c r="E810" s="2" t="n">
        <v>46133</v>
      </c>
      <c r="F810" t="inlineStr">
        <is>
          <t>Pass</t>
        </is>
      </c>
      <c r="G810" t="n">
        <v>102.1</v>
      </c>
      <c r="H810" t="n">
        <v>75.7</v>
      </c>
      <c r="I810" t="n">
        <v>-1957.8</v>
      </c>
      <c r="J810" t="n">
        <v>67.3</v>
      </c>
      <c r="K810" t="n">
        <v>0</v>
      </c>
      <c r="L810" t="n">
        <v>0.6</v>
      </c>
      <c r="M810" t="n">
        <v>0</v>
      </c>
      <c r="N810" t="n">
        <v>66.7</v>
      </c>
      <c r="O810" t="n">
        <v>112.38</v>
      </c>
      <c r="P810" t="n">
        <v>116.63</v>
      </c>
      <c r="Q810" t="n">
        <v>3.69</v>
      </c>
      <c r="R810" t="n">
        <v>3.69</v>
      </c>
      <c r="S810">
        <f>IF(OR(G810=0,G810=""),"",ABS((G810-IF($C810="LT",Config!$F$2,Config!$F$14))/IF($C810="LT",Config!$G$2,Config!$G$14)))</f>
        <v/>
      </c>
      <c r="T810">
        <f>IF(OR(H810=0,H810=""),"",ABS((H810-IF($C810="LT",Config!$F$3,Config!$F$15))/IF($C810="LT",Config!$G$3,Config!$G$15)))</f>
        <v/>
      </c>
      <c r="U810">
        <f>IF(OR(I810=0,I810=""),"",ABS((I810-IF($C810="LT",Config!$F$4,Config!$F$16))/IF($C810="LT",Config!$G$4,Config!$G$16)))</f>
        <v/>
      </c>
      <c r="V810">
        <f>IF(OR(J810=0,J810=""),"",ABS((J810-IF($C810="LT",Config!$F$5,Config!$F$17))/IF($C810="LT",Config!$G$5,Config!$G$17)))</f>
        <v/>
      </c>
      <c r="W810">
        <f>IF(OR(K810=0,K810=""),"",ABS((K810-IF($C810="LT",Config!$F$6,Config!$F$18))/IF($C810="LT",Config!$G$6,Config!$G$18)))</f>
        <v/>
      </c>
      <c r="X810">
        <f>IF(OR(L810=0,L810=""),"",ABS((L810-IF($C810="LT",Config!$F$7,Config!$F$19))/IF($C810="LT",Config!$G$7,Config!$G$19)))</f>
        <v/>
      </c>
      <c r="Y810">
        <f>IF(OR(M810=0,M810=""),"",ABS((M810-IF($C810="LT",Config!$F$8,Config!$F$20))/IF($C810="LT",Config!$G$8,Config!$G$20)))</f>
        <v/>
      </c>
      <c r="Z810">
        <f>IF(OR(N810=0,N810=""),"",ABS((N810-IF($C810="LT",Config!$F$9,Config!$F$21))/IF($C810="LT",Config!$G$9,Config!$G$21)))</f>
        <v/>
      </c>
      <c r="AA810">
        <f>IF(OR(O810=0,O810=""),"",ABS((O810-IF($C810="LT",Config!$F$10,Config!$F$22))/IF($C810="LT",Config!$G$10,Config!$G$22)))</f>
        <v/>
      </c>
      <c r="AB810">
        <f>IF(OR(P810=0,P810=""),"",ABS((P810-IF($C810="LT",Config!$F$11,Config!$F$23))/IF($C810="LT",Config!$G$11,Config!$G$23)))</f>
        <v/>
      </c>
      <c r="AC810">
        <f>IF(OR(Q810=0,Q810=""),"",ABS((Q810-IF($C810="LT",Config!$F$12,Config!$F$24))/IF($C810="LT",Config!$G$12,Config!$G$24)))</f>
        <v/>
      </c>
      <c r="AD810">
        <f>IF(OR(R810=0,R810=""),"",ABS((R810-IF($C810="LT",Config!$F$13,Config!$F$25))/IF($C810="LT",Config!$G$13,Config!$G$25)))</f>
        <v/>
      </c>
    </row>
    <row r="811">
      <c r="A811" t="inlineStr">
        <is>
          <t>04D1626121417</t>
        </is>
      </c>
      <c r="B811" t="inlineStr">
        <is>
          <t>CRS0000674</t>
        </is>
      </c>
      <c r="C811" t="inlineStr">
        <is>
          <t>MT</t>
        </is>
      </c>
      <c r="D811" t="inlineStr">
        <is>
          <t>TCX413U-DS1B01</t>
        </is>
      </c>
      <c r="E811" s="2" t="n">
        <v>46133</v>
      </c>
      <c r="F811" t="inlineStr">
        <is>
          <t>Pass</t>
        </is>
      </c>
      <c r="G811" t="n">
        <v>110.6</v>
      </c>
      <c r="H811" t="n">
        <v>77.90000000000001</v>
      </c>
      <c r="I811" t="n">
        <v>-1957.8</v>
      </c>
      <c r="J811" t="n">
        <v>68.2</v>
      </c>
      <c r="K811" t="n">
        <v>0</v>
      </c>
      <c r="L811" t="n">
        <v>0</v>
      </c>
      <c r="M811" t="n">
        <v>0</v>
      </c>
      <c r="N811" t="n">
        <v>68.2</v>
      </c>
      <c r="O811" t="n">
        <v>115.46</v>
      </c>
      <c r="P811" t="n">
        <v>115.46</v>
      </c>
      <c r="Q811" t="n">
        <v>3.59</v>
      </c>
      <c r="R811" t="n">
        <v>3.61</v>
      </c>
      <c r="S811">
        <f>IF(OR(G811=0,G811=""),"",ABS((G811-IF($C811="LT",Config!$F$2,Config!$F$14))/IF($C811="LT",Config!$G$2,Config!$G$14)))</f>
        <v/>
      </c>
      <c r="T811">
        <f>IF(OR(H811=0,H811=""),"",ABS((H811-IF($C811="LT",Config!$F$3,Config!$F$15))/IF($C811="LT",Config!$G$3,Config!$G$15)))</f>
        <v/>
      </c>
      <c r="U811">
        <f>IF(OR(I811=0,I811=""),"",ABS((I811-IF($C811="LT",Config!$F$4,Config!$F$16))/IF($C811="LT",Config!$G$4,Config!$G$16)))</f>
        <v/>
      </c>
      <c r="V811">
        <f>IF(OR(J811=0,J811=""),"",ABS((J811-IF($C811="LT",Config!$F$5,Config!$F$17))/IF($C811="LT",Config!$G$5,Config!$G$17)))</f>
        <v/>
      </c>
      <c r="W811">
        <f>IF(OR(K811=0,K811=""),"",ABS((K811-IF($C811="LT",Config!$F$6,Config!$F$18))/IF($C811="LT",Config!$G$6,Config!$G$18)))</f>
        <v/>
      </c>
      <c r="X811">
        <f>IF(OR(L811=0,L811=""),"",ABS((L811-IF($C811="LT",Config!$F$7,Config!$F$19))/IF($C811="LT",Config!$G$7,Config!$G$19)))</f>
        <v/>
      </c>
      <c r="Y811">
        <f>IF(OR(M811=0,M811=""),"",ABS((M811-IF($C811="LT",Config!$F$8,Config!$F$20))/IF($C811="LT",Config!$G$8,Config!$G$20)))</f>
        <v/>
      </c>
      <c r="Z811">
        <f>IF(OR(N811=0,N811=""),"",ABS((N811-IF($C811="LT",Config!$F$9,Config!$F$21))/IF($C811="LT",Config!$G$9,Config!$G$21)))</f>
        <v/>
      </c>
      <c r="AA811">
        <f>IF(OR(O811=0,O811=""),"",ABS((O811-IF($C811="LT",Config!$F$10,Config!$F$22))/IF($C811="LT",Config!$G$10,Config!$G$22)))</f>
        <v/>
      </c>
      <c r="AB811">
        <f>IF(OR(P811=0,P811=""),"",ABS((P811-IF($C811="LT",Config!$F$11,Config!$F$23))/IF($C811="LT",Config!$G$11,Config!$G$23)))</f>
        <v/>
      </c>
      <c r="AC811">
        <f>IF(OR(Q811=0,Q811=""),"",ABS((Q811-IF($C811="LT",Config!$F$12,Config!$F$24))/IF($C811="LT",Config!$G$12,Config!$G$24)))</f>
        <v/>
      </c>
      <c r="AD811">
        <f>IF(OR(R811=0,R811=""),"",ABS((R811-IF($C811="LT",Config!$F$13,Config!$F$25))/IF($C811="LT",Config!$G$13,Config!$G$25)))</f>
        <v/>
      </c>
    </row>
    <row r="812">
      <c r="A812" t="inlineStr">
        <is>
          <t>04D1626121411</t>
        </is>
      </c>
      <c r="B812" t="inlineStr">
        <is>
          <t>CRS0000674</t>
        </is>
      </c>
      <c r="C812" t="inlineStr">
        <is>
          <t>MT</t>
        </is>
      </c>
      <c r="D812" t="inlineStr">
        <is>
          <t>TCX413U-DS1B01</t>
        </is>
      </c>
      <c r="E812" s="2" t="n">
        <v>46133</v>
      </c>
      <c r="F812" t="inlineStr">
        <is>
          <t>Fail</t>
        </is>
      </c>
      <c r="G812" t="n">
        <v>86.90000000000001</v>
      </c>
      <c r="H812" t="n">
        <v>78.90000000000001</v>
      </c>
      <c r="I812" t="n">
        <v>-1957.8</v>
      </c>
      <c r="J812" t="n">
        <v>68.2</v>
      </c>
      <c r="K812" t="n">
        <v>0</v>
      </c>
      <c r="L812" t="n">
        <v>0.2</v>
      </c>
      <c r="M812" t="n">
        <v>0</v>
      </c>
      <c r="N812" t="n">
        <v>68</v>
      </c>
      <c r="O812" t="n">
        <v>115.46</v>
      </c>
      <c r="P812" t="n">
        <v>115.46</v>
      </c>
      <c r="Q812" t="n">
        <v>3.69</v>
      </c>
      <c r="R812" t="n">
        <v>3.66</v>
      </c>
      <c r="S812">
        <f>IF(OR(G812=0,G812=""),"",ABS((G812-IF($C812="LT",Config!$F$2,Config!$F$14))/IF($C812="LT",Config!$G$2,Config!$G$14)))</f>
        <v/>
      </c>
      <c r="T812">
        <f>IF(OR(H812=0,H812=""),"",ABS((H812-IF($C812="LT",Config!$F$3,Config!$F$15))/IF($C812="LT",Config!$G$3,Config!$G$15)))</f>
        <v/>
      </c>
      <c r="U812">
        <f>IF(OR(I812=0,I812=""),"",ABS((I812-IF($C812="LT",Config!$F$4,Config!$F$16))/IF($C812="LT",Config!$G$4,Config!$G$16)))</f>
        <v/>
      </c>
      <c r="V812">
        <f>IF(OR(J812=0,J812=""),"",ABS((J812-IF($C812="LT",Config!$F$5,Config!$F$17))/IF($C812="LT",Config!$G$5,Config!$G$17)))</f>
        <v/>
      </c>
      <c r="W812">
        <f>IF(OR(K812=0,K812=""),"",ABS((K812-IF($C812="LT",Config!$F$6,Config!$F$18))/IF($C812="LT",Config!$G$6,Config!$G$18)))</f>
        <v/>
      </c>
      <c r="X812">
        <f>IF(OR(L812=0,L812=""),"",ABS((L812-IF($C812="LT",Config!$F$7,Config!$F$19))/IF($C812="LT",Config!$G$7,Config!$G$19)))</f>
        <v/>
      </c>
      <c r="Y812">
        <f>IF(OR(M812=0,M812=""),"",ABS((M812-IF($C812="LT",Config!$F$8,Config!$F$20))/IF($C812="LT",Config!$G$8,Config!$G$20)))</f>
        <v/>
      </c>
      <c r="Z812">
        <f>IF(OR(N812=0,N812=""),"",ABS((N812-IF($C812="LT",Config!$F$9,Config!$F$21))/IF($C812="LT",Config!$G$9,Config!$G$21)))</f>
        <v/>
      </c>
      <c r="AA812">
        <f>IF(OR(O812=0,O812=""),"",ABS((O812-IF($C812="LT",Config!$F$10,Config!$F$22))/IF($C812="LT",Config!$G$10,Config!$G$22)))</f>
        <v/>
      </c>
      <c r="AB812">
        <f>IF(OR(P812=0,P812=""),"",ABS((P812-IF($C812="LT",Config!$F$11,Config!$F$23))/IF($C812="LT",Config!$G$11,Config!$G$23)))</f>
        <v/>
      </c>
      <c r="AC812">
        <f>IF(OR(Q812=0,Q812=""),"",ABS((Q812-IF($C812="LT",Config!$F$12,Config!$F$24))/IF($C812="LT",Config!$G$12,Config!$G$24)))</f>
        <v/>
      </c>
      <c r="AD812">
        <f>IF(OR(R812=0,R812=""),"",ABS((R812-IF($C812="LT",Config!$F$13,Config!$F$25))/IF($C812="LT",Config!$G$13,Config!$G$25)))</f>
        <v/>
      </c>
    </row>
    <row r="813">
      <c r="A813" t="inlineStr">
        <is>
          <t>04D1626121411</t>
        </is>
      </c>
      <c r="B813" t="inlineStr">
        <is>
          <t>CRS0000674</t>
        </is>
      </c>
      <c r="C813" t="inlineStr">
        <is>
          <t>MT</t>
        </is>
      </c>
      <c r="D813" t="inlineStr">
        <is>
          <t>TCX413U-DS1B01</t>
        </is>
      </c>
      <c r="E813" s="2" t="n">
        <v>46133</v>
      </c>
      <c r="F813" t="inlineStr">
        <is>
          <t>Pass</t>
        </is>
      </c>
      <c r="G813" t="n">
        <v>107</v>
      </c>
      <c r="H813" t="n">
        <v>78.40000000000001</v>
      </c>
      <c r="I813" t="n">
        <v>-1957.8</v>
      </c>
      <c r="J813" t="n">
        <v>68.59999999999999</v>
      </c>
      <c r="K813" t="n">
        <v>0</v>
      </c>
      <c r="L813" t="n">
        <v>0.5</v>
      </c>
      <c r="M813" t="n">
        <v>0</v>
      </c>
      <c r="N813" t="n">
        <v>68.09999999999999</v>
      </c>
      <c r="O813" t="n">
        <v>115.09</v>
      </c>
      <c r="P813" t="n">
        <v>115.09</v>
      </c>
      <c r="Q813" t="n">
        <v>3.64</v>
      </c>
      <c r="R813" t="n">
        <v>3.59</v>
      </c>
      <c r="S813">
        <f>IF(OR(G813=0,G813=""),"",ABS((G813-IF($C813="LT",Config!$F$2,Config!$F$14))/IF($C813="LT",Config!$G$2,Config!$G$14)))</f>
        <v/>
      </c>
      <c r="T813">
        <f>IF(OR(H813=0,H813=""),"",ABS((H813-IF($C813="LT",Config!$F$3,Config!$F$15))/IF($C813="LT",Config!$G$3,Config!$G$15)))</f>
        <v/>
      </c>
      <c r="U813">
        <f>IF(OR(I813=0,I813=""),"",ABS((I813-IF($C813="LT",Config!$F$4,Config!$F$16))/IF($C813="LT",Config!$G$4,Config!$G$16)))</f>
        <v/>
      </c>
      <c r="V813">
        <f>IF(OR(J813=0,J813=""),"",ABS((J813-IF($C813="LT",Config!$F$5,Config!$F$17))/IF($C813="LT",Config!$G$5,Config!$G$17)))</f>
        <v/>
      </c>
      <c r="W813">
        <f>IF(OR(K813=0,K813=""),"",ABS((K813-IF($C813="LT",Config!$F$6,Config!$F$18))/IF($C813="LT",Config!$G$6,Config!$G$18)))</f>
        <v/>
      </c>
      <c r="X813">
        <f>IF(OR(L813=0,L813=""),"",ABS((L813-IF($C813="LT",Config!$F$7,Config!$F$19))/IF($C813="LT",Config!$G$7,Config!$G$19)))</f>
        <v/>
      </c>
      <c r="Y813">
        <f>IF(OR(M813=0,M813=""),"",ABS((M813-IF($C813="LT",Config!$F$8,Config!$F$20))/IF($C813="LT",Config!$G$8,Config!$G$20)))</f>
        <v/>
      </c>
      <c r="Z813">
        <f>IF(OR(N813=0,N813=""),"",ABS((N813-IF($C813="LT",Config!$F$9,Config!$F$21))/IF($C813="LT",Config!$G$9,Config!$G$21)))</f>
        <v/>
      </c>
      <c r="AA813">
        <f>IF(OR(O813=0,O813=""),"",ABS((O813-IF($C813="LT",Config!$F$10,Config!$F$22))/IF($C813="LT",Config!$G$10,Config!$G$22)))</f>
        <v/>
      </c>
      <c r="AB813">
        <f>IF(OR(P813=0,P813=""),"",ABS((P813-IF($C813="LT",Config!$F$11,Config!$F$23))/IF($C813="LT",Config!$G$11,Config!$G$23)))</f>
        <v/>
      </c>
      <c r="AC813">
        <f>IF(OR(Q813=0,Q813=""),"",ABS((Q813-IF($C813="LT",Config!$F$12,Config!$F$24))/IF($C813="LT",Config!$G$12,Config!$G$24)))</f>
        <v/>
      </c>
      <c r="AD813">
        <f>IF(OR(R813=0,R813=""),"",ABS((R813-IF($C813="LT",Config!$F$13,Config!$F$25))/IF($C813="LT",Config!$G$13,Config!$G$25)))</f>
        <v/>
      </c>
    </row>
    <row r="814">
      <c r="A814" t="inlineStr">
        <is>
          <t>04D1626121410</t>
        </is>
      </c>
      <c r="B814" t="inlineStr">
        <is>
          <t>CRS0000674</t>
        </is>
      </c>
      <c r="C814" t="inlineStr">
        <is>
          <t>MT</t>
        </is>
      </c>
      <c r="D814" t="inlineStr">
        <is>
          <t>TCX413U-DS1B01</t>
        </is>
      </c>
      <c r="E814" s="2" t="n">
        <v>46133</v>
      </c>
      <c r="F814" t="inlineStr">
        <is>
          <t>Pass</t>
        </is>
      </c>
      <c r="G814" t="n">
        <v>113.3</v>
      </c>
      <c r="H814" t="n">
        <v>78.40000000000001</v>
      </c>
      <c r="I814" t="n">
        <v>-1957.8</v>
      </c>
      <c r="J814" t="n">
        <v>69.5</v>
      </c>
      <c r="K814" t="n">
        <v>0</v>
      </c>
      <c r="L814" t="n">
        <v>1.5</v>
      </c>
      <c r="M814" t="n">
        <v>0</v>
      </c>
      <c r="N814" t="n">
        <v>68</v>
      </c>
      <c r="O814" t="n">
        <v>115.16</v>
      </c>
      <c r="P814" t="n">
        <v>115.24</v>
      </c>
      <c r="Q814" t="n">
        <v>3.69</v>
      </c>
      <c r="R814" t="n">
        <v>3.66</v>
      </c>
      <c r="S814">
        <f>IF(OR(G814=0,G814=""),"",ABS((G814-IF($C814="LT",Config!$F$2,Config!$F$14))/IF($C814="LT",Config!$G$2,Config!$G$14)))</f>
        <v/>
      </c>
      <c r="T814">
        <f>IF(OR(H814=0,H814=""),"",ABS((H814-IF($C814="LT",Config!$F$3,Config!$F$15))/IF($C814="LT",Config!$G$3,Config!$G$15)))</f>
        <v/>
      </c>
      <c r="U814">
        <f>IF(OR(I814=0,I814=""),"",ABS((I814-IF($C814="LT",Config!$F$4,Config!$F$16))/IF($C814="LT",Config!$G$4,Config!$G$16)))</f>
        <v/>
      </c>
      <c r="V814">
        <f>IF(OR(J814=0,J814=""),"",ABS((J814-IF($C814="LT",Config!$F$5,Config!$F$17))/IF($C814="LT",Config!$G$5,Config!$G$17)))</f>
        <v/>
      </c>
      <c r="W814">
        <f>IF(OR(K814=0,K814=""),"",ABS((K814-IF($C814="LT",Config!$F$6,Config!$F$18))/IF($C814="LT",Config!$G$6,Config!$G$18)))</f>
        <v/>
      </c>
      <c r="X814">
        <f>IF(OR(L814=0,L814=""),"",ABS((L814-IF($C814="LT",Config!$F$7,Config!$F$19))/IF($C814="LT",Config!$G$7,Config!$G$19)))</f>
        <v/>
      </c>
      <c r="Y814">
        <f>IF(OR(M814=0,M814=""),"",ABS((M814-IF($C814="LT",Config!$F$8,Config!$F$20))/IF($C814="LT",Config!$G$8,Config!$G$20)))</f>
        <v/>
      </c>
      <c r="Z814">
        <f>IF(OR(N814=0,N814=""),"",ABS((N814-IF($C814="LT",Config!$F$9,Config!$F$21))/IF($C814="LT",Config!$G$9,Config!$G$21)))</f>
        <v/>
      </c>
      <c r="AA814">
        <f>IF(OR(O814=0,O814=""),"",ABS((O814-IF($C814="LT",Config!$F$10,Config!$F$22))/IF($C814="LT",Config!$G$10,Config!$G$22)))</f>
        <v/>
      </c>
      <c r="AB814">
        <f>IF(OR(P814=0,P814=""),"",ABS((P814-IF($C814="LT",Config!$F$11,Config!$F$23))/IF($C814="LT",Config!$G$11,Config!$G$23)))</f>
        <v/>
      </c>
      <c r="AC814">
        <f>IF(OR(Q814=0,Q814=""),"",ABS((Q814-IF($C814="LT",Config!$F$12,Config!$F$24))/IF($C814="LT",Config!$G$12,Config!$G$24)))</f>
        <v/>
      </c>
      <c r="AD814">
        <f>IF(OR(R814=0,R814=""),"",ABS((R814-IF($C814="LT",Config!$F$13,Config!$F$25))/IF($C814="LT",Config!$G$13,Config!$G$25)))</f>
        <v/>
      </c>
    </row>
    <row r="815">
      <c r="A815" t="inlineStr">
        <is>
          <t>04D1526121401</t>
        </is>
      </c>
      <c r="B815" t="inlineStr">
        <is>
          <t>CRS0000674</t>
        </is>
      </c>
      <c r="C815" t="inlineStr">
        <is>
          <t>MT</t>
        </is>
      </c>
      <c r="D815" t="inlineStr">
        <is>
          <t>TCX413U-DS1B01</t>
        </is>
      </c>
      <c r="E815" s="2" t="n">
        <v>46133</v>
      </c>
      <c r="F815" t="inlineStr">
        <is>
          <t>Pass</t>
        </is>
      </c>
      <c r="G815" t="n">
        <v>111.1</v>
      </c>
      <c r="H815" t="n">
        <v>78.40000000000001</v>
      </c>
      <c r="I815" t="n">
        <v>-1957.8</v>
      </c>
      <c r="J815" t="n">
        <v>69.09999999999999</v>
      </c>
      <c r="K815" t="n">
        <v>0</v>
      </c>
      <c r="L815" t="n">
        <v>0.7</v>
      </c>
      <c r="M815" t="n">
        <v>0</v>
      </c>
      <c r="N815" t="n">
        <v>68.40000000000001</v>
      </c>
      <c r="O815" t="n">
        <v>112.6</v>
      </c>
      <c r="P815" t="n">
        <v>116.92</v>
      </c>
      <c r="Q815" t="n">
        <v>3.74</v>
      </c>
      <c r="R815" t="n">
        <v>3.66</v>
      </c>
      <c r="S815">
        <f>IF(OR(G815=0,G815=""),"",ABS((G815-IF($C815="LT",Config!$F$2,Config!$F$14))/IF($C815="LT",Config!$G$2,Config!$G$14)))</f>
        <v/>
      </c>
      <c r="T815">
        <f>IF(OR(H815=0,H815=""),"",ABS((H815-IF($C815="LT",Config!$F$3,Config!$F$15))/IF($C815="LT",Config!$G$3,Config!$G$15)))</f>
        <v/>
      </c>
      <c r="U815">
        <f>IF(OR(I815=0,I815=""),"",ABS((I815-IF($C815="LT",Config!$F$4,Config!$F$16))/IF($C815="LT",Config!$G$4,Config!$G$16)))</f>
        <v/>
      </c>
      <c r="V815">
        <f>IF(OR(J815=0,J815=""),"",ABS((J815-IF($C815="LT",Config!$F$5,Config!$F$17))/IF($C815="LT",Config!$G$5,Config!$G$17)))</f>
        <v/>
      </c>
      <c r="W815">
        <f>IF(OR(K815=0,K815=""),"",ABS((K815-IF($C815="LT",Config!$F$6,Config!$F$18))/IF($C815="LT",Config!$G$6,Config!$G$18)))</f>
        <v/>
      </c>
      <c r="X815">
        <f>IF(OR(L815=0,L815=""),"",ABS((L815-IF($C815="LT",Config!$F$7,Config!$F$19))/IF($C815="LT",Config!$G$7,Config!$G$19)))</f>
        <v/>
      </c>
      <c r="Y815">
        <f>IF(OR(M815=0,M815=""),"",ABS((M815-IF($C815="LT",Config!$F$8,Config!$F$20))/IF($C815="LT",Config!$G$8,Config!$G$20)))</f>
        <v/>
      </c>
      <c r="Z815">
        <f>IF(OR(N815=0,N815=""),"",ABS((N815-IF($C815="LT",Config!$F$9,Config!$F$21))/IF($C815="LT",Config!$G$9,Config!$G$21)))</f>
        <v/>
      </c>
      <c r="AA815">
        <f>IF(OR(O815=0,O815=""),"",ABS((O815-IF($C815="LT",Config!$F$10,Config!$F$22))/IF($C815="LT",Config!$G$10,Config!$G$22)))</f>
        <v/>
      </c>
      <c r="AB815">
        <f>IF(OR(P815=0,P815=""),"",ABS((P815-IF($C815="LT",Config!$F$11,Config!$F$23))/IF($C815="LT",Config!$G$11,Config!$G$23)))</f>
        <v/>
      </c>
      <c r="AC815">
        <f>IF(OR(Q815=0,Q815=""),"",ABS((Q815-IF($C815="LT",Config!$F$12,Config!$F$24))/IF($C815="LT",Config!$G$12,Config!$G$24)))</f>
        <v/>
      </c>
      <c r="AD815">
        <f>IF(OR(R815=0,R815=""),"",ABS((R815-IF($C815="LT",Config!$F$13,Config!$F$25))/IF($C815="LT",Config!$G$13,Config!$G$25)))</f>
        <v/>
      </c>
    </row>
    <row r="816">
      <c r="A816" t="inlineStr">
        <is>
          <t>04D1626121413</t>
        </is>
      </c>
      <c r="B816" t="inlineStr">
        <is>
          <t>CRS0000674</t>
        </is>
      </c>
      <c r="C816" t="inlineStr">
        <is>
          <t>MT</t>
        </is>
      </c>
      <c r="D816" t="inlineStr">
        <is>
          <t>TCX413U-DS1B01</t>
        </is>
      </c>
      <c r="E816" s="2" t="n">
        <v>46133</v>
      </c>
      <c r="F816" t="inlineStr">
        <is>
          <t>Pass</t>
        </is>
      </c>
      <c r="G816" t="n">
        <v>107.9</v>
      </c>
      <c r="H816" t="n">
        <v>79.3</v>
      </c>
      <c r="I816" t="n">
        <v>-1957.8</v>
      </c>
      <c r="J816" t="n">
        <v>69.5</v>
      </c>
      <c r="K816" t="n">
        <v>0</v>
      </c>
      <c r="L816" t="n">
        <v>0.8</v>
      </c>
      <c r="M816" t="n">
        <v>0</v>
      </c>
      <c r="N816" t="n">
        <v>68.7</v>
      </c>
      <c r="O816" t="n">
        <v>112.45</v>
      </c>
      <c r="P816" t="n">
        <v>116.7</v>
      </c>
      <c r="Q816" t="n">
        <v>3.74</v>
      </c>
      <c r="R816" t="n">
        <v>3.66</v>
      </c>
      <c r="S816">
        <f>IF(OR(G816=0,G816=""),"",ABS((G816-IF($C816="LT",Config!$F$2,Config!$F$14))/IF($C816="LT",Config!$G$2,Config!$G$14)))</f>
        <v/>
      </c>
      <c r="T816">
        <f>IF(OR(H816=0,H816=""),"",ABS((H816-IF($C816="LT",Config!$F$3,Config!$F$15))/IF($C816="LT",Config!$G$3,Config!$G$15)))</f>
        <v/>
      </c>
      <c r="U816">
        <f>IF(OR(I816=0,I816=""),"",ABS((I816-IF($C816="LT",Config!$F$4,Config!$F$16))/IF($C816="LT",Config!$G$4,Config!$G$16)))</f>
        <v/>
      </c>
      <c r="V816">
        <f>IF(OR(J816=0,J816=""),"",ABS((J816-IF($C816="LT",Config!$F$5,Config!$F$17))/IF($C816="LT",Config!$G$5,Config!$G$17)))</f>
        <v/>
      </c>
      <c r="W816">
        <f>IF(OR(K816=0,K816=""),"",ABS((K816-IF($C816="LT",Config!$F$6,Config!$F$18))/IF($C816="LT",Config!$G$6,Config!$G$18)))</f>
        <v/>
      </c>
      <c r="X816">
        <f>IF(OR(L816=0,L816=""),"",ABS((L816-IF($C816="LT",Config!$F$7,Config!$F$19))/IF($C816="LT",Config!$G$7,Config!$G$19)))</f>
        <v/>
      </c>
      <c r="Y816">
        <f>IF(OR(M816=0,M816=""),"",ABS((M816-IF($C816="LT",Config!$F$8,Config!$F$20))/IF($C816="LT",Config!$G$8,Config!$G$20)))</f>
        <v/>
      </c>
      <c r="Z816">
        <f>IF(OR(N816=0,N816=""),"",ABS((N816-IF($C816="LT",Config!$F$9,Config!$F$21))/IF($C816="LT",Config!$G$9,Config!$G$21)))</f>
        <v/>
      </c>
      <c r="AA816">
        <f>IF(OR(O816=0,O816=""),"",ABS((O816-IF($C816="LT",Config!$F$10,Config!$F$22))/IF($C816="LT",Config!$G$10,Config!$G$22)))</f>
        <v/>
      </c>
      <c r="AB816">
        <f>IF(OR(P816=0,P816=""),"",ABS((P816-IF($C816="LT",Config!$F$11,Config!$F$23))/IF($C816="LT",Config!$G$11,Config!$G$23)))</f>
        <v/>
      </c>
      <c r="AC816">
        <f>IF(OR(Q816=0,Q816=""),"",ABS((Q816-IF($C816="LT",Config!$F$12,Config!$F$24))/IF($C816="LT",Config!$G$12,Config!$G$24)))</f>
        <v/>
      </c>
      <c r="AD816">
        <f>IF(OR(R816=0,R816=""),"",ABS((R816-IF($C816="LT",Config!$F$13,Config!$F$25))/IF($C816="LT",Config!$G$13,Config!$G$25)))</f>
        <v/>
      </c>
    </row>
    <row r="817">
      <c r="A817" t="inlineStr">
        <is>
          <t>04D1626121416</t>
        </is>
      </c>
      <c r="B817" t="inlineStr">
        <is>
          <t>CRS0000674</t>
        </is>
      </c>
      <c r="C817" t="inlineStr">
        <is>
          <t>MT</t>
        </is>
      </c>
      <c r="D817" t="inlineStr">
        <is>
          <t>TCX413U-DS1B01</t>
        </is>
      </c>
      <c r="E817" s="2" t="n">
        <v>46133</v>
      </c>
      <c r="F817" t="inlineStr">
        <is>
          <t>Pass</t>
        </is>
      </c>
      <c r="G817" t="n">
        <v>112.4</v>
      </c>
      <c r="H817" t="n">
        <v>78.40000000000001</v>
      </c>
      <c r="I817" t="n">
        <v>-1957.8</v>
      </c>
      <c r="J817" t="n">
        <v>69.5</v>
      </c>
      <c r="K817" t="n">
        <v>0</v>
      </c>
      <c r="L817" t="n">
        <v>0.7</v>
      </c>
      <c r="M817" t="n">
        <v>0</v>
      </c>
      <c r="N817" t="n">
        <v>68.8</v>
      </c>
      <c r="O817" t="n">
        <v>115.46</v>
      </c>
      <c r="P817" t="n">
        <v>113.99</v>
      </c>
      <c r="Q817" t="n">
        <v>3.66</v>
      </c>
      <c r="R817" t="n">
        <v>3.66</v>
      </c>
      <c r="S817">
        <f>IF(OR(G817=0,G817=""),"",ABS((G817-IF($C817="LT",Config!$F$2,Config!$F$14))/IF($C817="LT",Config!$G$2,Config!$G$14)))</f>
        <v/>
      </c>
      <c r="T817">
        <f>IF(OR(H817=0,H817=""),"",ABS((H817-IF($C817="LT",Config!$F$3,Config!$F$15))/IF($C817="LT",Config!$G$3,Config!$G$15)))</f>
        <v/>
      </c>
      <c r="U817">
        <f>IF(OR(I817=0,I817=""),"",ABS((I817-IF($C817="LT",Config!$F$4,Config!$F$16))/IF($C817="LT",Config!$G$4,Config!$G$16)))</f>
        <v/>
      </c>
      <c r="V817">
        <f>IF(OR(J817=0,J817=""),"",ABS((J817-IF($C817="LT",Config!$F$5,Config!$F$17))/IF($C817="LT",Config!$G$5,Config!$G$17)))</f>
        <v/>
      </c>
      <c r="W817">
        <f>IF(OR(K817=0,K817=""),"",ABS((K817-IF($C817="LT",Config!$F$6,Config!$F$18))/IF($C817="LT",Config!$G$6,Config!$G$18)))</f>
        <v/>
      </c>
      <c r="X817">
        <f>IF(OR(L817=0,L817=""),"",ABS((L817-IF($C817="LT",Config!$F$7,Config!$F$19))/IF($C817="LT",Config!$G$7,Config!$G$19)))</f>
        <v/>
      </c>
      <c r="Y817">
        <f>IF(OR(M817=0,M817=""),"",ABS((M817-IF($C817="LT",Config!$F$8,Config!$F$20))/IF($C817="LT",Config!$G$8,Config!$G$20)))</f>
        <v/>
      </c>
      <c r="Z817">
        <f>IF(OR(N817=0,N817=""),"",ABS((N817-IF($C817="LT",Config!$F$9,Config!$F$21))/IF($C817="LT",Config!$G$9,Config!$G$21)))</f>
        <v/>
      </c>
      <c r="AA817">
        <f>IF(OR(O817=0,O817=""),"",ABS((O817-IF($C817="LT",Config!$F$10,Config!$F$22))/IF($C817="LT",Config!$G$10,Config!$G$22)))</f>
        <v/>
      </c>
      <c r="AB817">
        <f>IF(OR(P817=0,P817=""),"",ABS((P817-IF($C817="LT",Config!$F$11,Config!$F$23))/IF($C817="LT",Config!$G$11,Config!$G$23)))</f>
        <v/>
      </c>
      <c r="AC817">
        <f>IF(OR(Q817=0,Q817=""),"",ABS((Q817-IF($C817="LT",Config!$F$12,Config!$F$24))/IF($C817="LT",Config!$G$12,Config!$G$24)))</f>
        <v/>
      </c>
      <c r="AD817">
        <f>IF(OR(R817=0,R817=""),"",ABS((R817-IF($C817="LT",Config!$F$13,Config!$F$25))/IF($C817="LT",Config!$G$13,Config!$G$25)))</f>
        <v/>
      </c>
    </row>
    <row r="818">
      <c r="A818" t="inlineStr">
        <is>
          <t>04D1526121393</t>
        </is>
      </c>
      <c r="B818" t="inlineStr">
        <is>
          <t>CRS0000674</t>
        </is>
      </c>
      <c r="C818" t="inlineStr">
        <is>
          <t>MT</t>
        </is>
      </c>
      <c r="D818" t="inlineStr">
        <is>
          <t>TCX413U-DS1B01</t>
        </is>
      </c>
      <c r="E818" s="2" t="n">
        <v>46133</v>
      </c>
      <c r="F818" t="inlineStr">
        <is>
          <t>Pass</t>
        </is>
      </c>
      <c r="G818" t="n">
        <v>112.4</v>
      </c>
      <c r="H818" t="n">
        <v>76.09999999999999</v>
      </c>
      <c r="I818" t="n">
        <v>-1957.8</v>
      </c>
      <c r="J818" t="n">
        <v>69.5</v>
      </c>
      <c r="K818" t="n">
        <v>0</v>
      </c>
      <c r="L818" t="n">
        <v>1</v>
      </c>
      <c r="M818" t="n">
        <v>0</v>
      </c>
      <c r="N818" t="n">
        <v>68.5</v>
      </c>
      <c r="O818" t="n">
        <v>115.31</v>
      </c>
      <c r="P818" t="n">
        <v>115.24</v>
      </c>
      <c r="Q818" t="n">
        <v>3.71</v>
      </c>
      <c r="R818" t="n">
        <v>3.66</v>
      </c>
      <c r="S818">
        <f>IF(OR(G818=0,G818=""),"",ABS((G818-IF($C818="LT",Config!$F$2,Config!$F$14))/IF($C818="LT",Config!$G$2,Config!$G$14)))</f>
        <v/>
      </c>
      <c r="T818">
        <f>IF(OR(H818=0,H818=""),"",ABS((H818-IF($C818="LT",Config!$F$3,Config!$F$15))/IF($C818="LT",Config!$G$3,Config!$G$15)))</f>
        <v/>
      </c>
      <c r="U818">
        <f>IF(OR(I818=0,I818=""),"",ABS((I818-IF($C818="LT",Config!$F$4,Config!$F$16))/IF($C818="LT",Config!$G$4,Config!$G$16)))</f>
        <v/>
      </c>
      <c r="V818">
        <f>IF(OR(J818=0,J818=""),"",ABS((J818-IF($C818="LT",Config!$F$5,Config!$F$17))/IF($C818="LT",Config!$G$5,Config!$G$17)))</f>
        <v/>
      </c>
      <c r="W818">
        <f>IF(OR(K818=0,K818=""),"",ABS((K818-IF($C818="LT",Config!$F$6,Config!$F$18))/IF($C818="LT",Config!$G$6,Config!$G$18)))</f>
        <v/>
      </c>
      <c r="X818">
        <f>IF(OR(L818=0,L818=""),"",ABS((L818-IF($C818="LT",Config!$F$7,Config!$F$19))/IF($C818="LT",Config!$G$7,Config!$G$19)))</f>
        <v/>
      </c>
      <c r="Y818">
        <f>IF(OR(M818=0,M818=""),"",ABS((M818-IF($C818="LT",Config!$F$8,Config!$F$20))/IF($C818="LT",Config!$G$8,Config!$G$20)))</f>
        <v/>
      </c>
      <c r="Z818">
        <f>IF(OR(N818=0,N818=""),"",ABS((N818-IF($C818="LT",Config!$F$9,Config!$F$21))/IF($C818="LT",Config!$G$9,Config!$G$21)))</f>
        <v/>
      </c>
      <c r="AA818">
        <f>IF(OR(O818=0,O818=""),"",ABS((O818-IF($C818="LT",Config!$F$10,Config!$F$22))/IF($C818="LT",Config!$G$10,Config!$G$22)))</f>
        <v/>
      </c>
      <c r="AB818">
        <f>IF(OR(P818=0,P818=""),"",ABS((P818-IF($C818="LT",Config!$F$11,Config!$F$23))/IF($C818="LT",Config!$G$11,Config!$G$23)))</f>
        <v/>
      </c>
      <c r="AC818">
        <f>IF(OR(Q818=0,Q818=""),"",ABS((Q818-IF($C818="LT",Config!$F$12,Config!$F$24))/IF($C818="LT",Config!$G$12,Config!$G$24)))</f>
        <v/>
      </c>
      <c r="AD818">
        <f>IF(OR(R818=0,R818=""),"",ABS((R818-IF($C818="LT",Config!$F$13,Config!$F$25))/IF($C818="LT",Config!$G$13,Config!$G$25)))</f>
        <v/>
      </c>
    </row>
    <row r="819">
      <c r="A819" t="inlineStr">
        <is>
          <t>04D1626121415</t>
        </is>
      </c>
      <c r="B819" t="inlineStr">
        <is>
          <t>CRS0000674</t>
        </is>
      </c>
      <c r="C819" t="inlineStr">
        <is>
          <t>MT</t>
        </is>
      </c>
      <c r="D819" t="inlineStr">
        <is>
          <t>TCX413U-DS1B01</t>
        </is>
      </c>
      <c r="E819" s="2" t="n">
        <v>46133</v>
      </c>
      <c r="F819" t="inlineStr">
        <is>
          <t>Fail</t>
        </is>
      </c>
      <c r="G819" t="n">
        <v>90.09999999999999</v>
      </c>
      <c r="H819" t="n">
        <v>76.59999999999999</v>
      </c>
      <c r="I819" t="n">
        <v>-1957.8</v>
      </c>
      <c r="J819" t="n">
        <v>69.5</v>
      </c>
      <c r="K819" t="n">
        <v>0</v>
      </c>
      <c r="L819" t="n">
        <v>1.6</v>
      </c>
      <c r="M819" t="n">
        <v>0</v>
      </c>
      <c r="N819" t="n">
        <v>67.90000000000001</v>
      </c>
      <c r="O819" t="n">
        <v>112.16</v>
      </c>
      <c r="P819" t="n">
        <v>117</v>
      </c>
      <c r="Q819" t="n">
        <v>3.81</v>
      </c>
      <c r="R819" t="n">
        <v>3.69</v>
      </c>
      <c r="S819">
        <f>IF(OR(G819=0,G819=""),"",ABS((G819-IF($C819="LT",Config!$F$2,Config!$F$14))/IF($C819="LT",Config!$G$2,Config!$G$14)))</f>
        <v/>
      </c>
      <c r="T819">
        <f>IF(OR(H819=0,H819=""),"",ABS((H819-IF($C819="LT",Config!$F$3,Config!$F$15))/IF($C819="LT",Config!$G$3,Config!$G$15)))</f>
        <v/>
      </c>
      <c r="U819">
        <f>IF(OR(I819=0,I819=""),"",ABS((I819-IF($C819="LT",Config!$F$4,Config!$F$16))/IF($C819="LT",Config!$G$4,Config!$G$16)))</f>
        <v/>
      </c>
      <c r="V819">
        <f>IF(OR(J819=0,J819=""),"",ABS((J819-IF($C819="LT",Config!$F$5,Config!$F$17))/IF($C819="LT",Config!$G$5,Config!$G$17)))</f>
        <v/>
      </c>
      <c r="W819">
        <f>IF(OR(K819=0,K819=""),"",ABS((K819-IF($C819="LT",Config!$F$6,Config!$F$18))/IF($C819="LT",Config!$G$6,Config!$G$18)))</f>
        <v/>
      </c>
      <c r="X819">
        <f>IF(OR(L819=0,L819=""),"",ABS((L819-IF($C819="LT",Config!$F$7,Config!$F$19))/IF($C819="LT",Config!$G$7,Config!$G$19)))</f>
        <v/>
      </c>
      <c r="Y819">
        <f>IF(OR(M819=0,M819=""),"",ABS((M819-IF($C819="LT",Config!$F$8,Config!$F$20))/IF($C819="LT",Config!$G$8,Config!$G$20)))</f>
        <v/>
      </c>
      <c r="Z819">
        <f>IF(OR(N819=0,N819=""),"",ABS((N819-IF($C819="LT",Config!$F$9,Config!$F$21))/IF($C819="LT",Config!$G$9,Config!$G$21)))</f>
        <v/>
      </c>
      <c r="AA819">
        <f>IF(OR(O819=0,O819=""),"",ABS((O819-IF($C819="LT",Config!$F$10,Config!$F$22))/IF($C819="LT",Config!$G$10,Config!$G$22)))</f>
        <v/>
      </c>
      <c r="AB819">
        <f>IF(OR(P819=0,P819=""),"",ABS((P819-IF($C819="LT",Config!$F$11,Config!$F$23))/IF($C819="LT",Config!$G$11,Config!$G$23)))</f>
        <v/>
      </c>
      <c r="AC819">
        <f>IF(OR(Q819=0,Q819=""),"",ABS((Q819-IF($C819="LT",Config!$F$12,Config!$F$24))/IF($C819="LT",Config!$G$12,Config!$G$24)))</f>
        <v/>
      </c>
      <c r="AD819">
        <f>IF(OR(R819=0,R819=""),"",ABS((R819-IF($C819="LT",Config!$F$13,Config!$F$25))/IF($C819="LT",Config!$G$13,Config!$G$25)))</f>
        <v/>
      </c>
    </row>
    <row r="820">
      <c r="A820" t="inlineStr">
        <is>
          <t>04D1626121415</t>
        </is>
      </c>
      <c r="B820" t="inlineStr">
        <is>
          <t>CRS0000674</t>
        </is>
      </c>
      <c r="C820" t="inlineStr">
        <is>
          <t>MT</t>
        </is>
      </c>
      <c r="D820" t="inlineStr">
        <is>
          <t>TCX413U-DS1B01</t>
        </is>
      </c>
      <c r="E820" s="2" t="n">
        <v>46133</v>
      </c>
      <c r="F820" t="inlineStr">
        <is>
          <t>Pass</t>
        </is>
      </c>
      <c r="G820" t="n">
        <v>110.2</v>
      </c>
      <c r="H820" t="n">
        <v>77.90000000000001</v>
      </c>
      <c r="I820" t="n">
        <v>-1957.8</v>
      </c>
      <c r="J820" t="n">
        <v>69.5</v>
      </c>
      <c r="K820" t="n">
        <v>0</v>
      </c>
      <c r="L820" t="n">
        <v>1.4</v>
      </c>
      <c r="M820" t="n">
        <v>0</v>
      </c>
      <c r="N820" t="n">
        <v>68.09999999999999</v>
      </c>
      <c r="O820" t="n">
        <v>115.38</v>
      </c>
      <c r="P820" t="n">
        <v>115.09</v>
      </c>
      <c r="Q820" t="n">
        <v>3.69</v>
      </c>
      <c r="R820" t="n">
        <v>3.59</v>
      </c>
      <c r="S820">
        <f>IF(OR(G820=0,G820=""),"",ABS((G820-IF($C820="LT",Config!$F$2,Config!$F$14))/IF($C820="LT",Config!$G$2,Config!$G$14)))</f>
        <v/>
      </c>
      <c r="T820">
        <f>IF(OR(H820=0,H820=""),"",ABS((H820-IF($C820="LT",Config!$F$3,Config!$F$15))/IF($C820="LT",Config!$G$3,Config!$G$15)))</f>
        <v/>
      </c>
      <c r="U820">
        <f>IF(OR(I820=0,I820=""),"",ABS((I820-IF($C820="LT",Config!$F$4,Config!$F$16))/IF($C820="LT",Config!$G$4,Config!$G$16)))</f>
        <v/>
      </c>
      <c r="V820">
        <f>IF(OR(J820=0,J820=""),"",ABS((J820-IF($C820="LT",Config!$F$5,Config!$F$17))/IF($C820="LT",Config!$G$5,Config!$G$17)))</f>
        <v/>
      </c>
      <c r="W820">
        <f>IF(OR(K820=0,K820=""),"",ABS((K820-IF($C820="LT",Config!$F$6,Config!$F$18))/IF($C820="LT",Config!$G$6,Config!$G$18)))</f>
        <v/>
      </c>
      <c r="X820">
        <f>IF(OR(L820=0,L820=""),"",ABS((L820-IF($C820="LT",Config!$F$7,Config!$F$19))/IF($C820="LT",Config!$G$7,Config!$G$19)))</f>
        <v/>
      </c>
      <c r="Y820">
        <f>IF(OR(M820=0,M820=""),"",ABS((M820-IF($C820="LT",Config!$F$8,Config!$F$20))/IF($C820="LT",Config!$G$8,Config!$G$20)))</f>
        <v/>
      </c>
      <c r="Z820">
        <f>IF(OR(N820=0,N820=""),"",ABS((N820-IF($C820="LT",Config!$F$9,Config!$F$21))/IF($C820="LT",Config!$G$9,Config!$G$21)))</f>
        <v/>
      </c>
      <c r="AA820">
        <f>IF(OR(O820=0,O820=""),"",ABS((O820-IF($C820="LT",Config!$F$10,Config!$F$22))/IF($C820="LT",Config!$G$10,Config!$G$22)))</f>
        <v/>
      </c>
      <c r="AB820">
        <f>IF(OR(P820=0,P820=""),"",ABS((P820-IF($C820="LT",Config!$F$11,Config!$F$23))/IF($C820="LT",Config!$G$11,Config!$G$23)))</f>
        <v/>
      </c>
      <c r="AC820">
        <f>IF(OR(Q820=0,Q820=""),"",ABS((Q820-IF($C820="LT",Config!$F$12,Config!$F$24))/IF($C820="LT",Config!$G$12,Config!$G$24)))</f>
        <v/>
      </c>
      <c r="AD820">
        <f>IF(OR(R820=0,R820=""),"",ABS((R820-IF($C820="LT",Config!$F$13,Config!$F$25))/IF($C820="LT",Config!$G$13,Config!$G$25)))</f>
        <v/>
      </c>
    </row>
    <row r="821">
      <c r="A821" t="inlineStr">
        <is>
          <t>04D1626121414</t>
        </is>
      </c>
      <c r="B821" t="inlineStr">
        <is>
          <t>CRS0000674</t>
        </is>
      </c>
      <c r="C821" t="inlineStr">
        <is>
          <t>MT</t>
        </is>
      </c>
      <c r="D821" t="inlineStr">
        <is>
          <t>TCX413U-DS1B01</t>
        </is>
      </c>
      <c r="E821" s="2" t="n">
        <v>46133</v>
      </c>
      <c r="F821" t="inlineStr">
        <is>
          <t>Fail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>
        <f>IF(OR(G821=0,G821=""),"",ABS((G821-IF($C821="LT",Config!$F$2,Config!$F$14))/IF($C821="LT",Config!$G$2,Config!$G$14)))</f>
        <v/>
      </c>
      <c r="T821">
        <f>IF(OR(H821=0,H821=""),"",ABS((H821-IF($C821="LT",Config!$F$3,Config!$F$15))/IF($C821="LT",Config!$G$3,Config!$G$15)))</f>
        <v/>
      </c>
      <c r="U821">
        <f>IF(OR(I821=0,I821=""),"",ABS((I821-IF($C821="LT",Config!$F$4,Config!$F$16))/IF($C821="LT",Config!$G$4,Config!$G$16)))</f>
        <v/>
      </c>
      <c r="V821">
        <f>IF(OR(J821=0,J821=""),"",ABS((J821-IF($C821="LT",Config!$F$5,Config!$F$17))/IF($C821="LT",Config!$G$5,Config!$G$17)))</f>
        <v/>
      </c>
      <c r="W821">
        <f>IF(OR(K821=0,K821=""),"",ABS((K821-IF($C821="LT",Config!$F$6,Config!$F$18))/IF($C821="LT",Config!$G$6,Config!$G$18)))</f>
        <v/>
      </c>
      <c r="X821">
        <f>IF(OR(L821=0,L821=""),"",ABS((L821-IF($C821="LT",Config!$F$7,Config!$F$19))/IF($C821="LT",Config!$G$7,Config!$G$19)))</f>
        <v/>
      </c>
      <c r="Y821">
        <f>IF(OR(M821=0,M821=""),"",ABS((M821-IF($C821="LT",Config!$F$8,Config!$F$20))/IF($C821="LT",Config!$G$8,Config!$G$20)))</f>
        <v/>
      </c>
      <c r="Z821">
        <f>IF(OR(N821=0,N821=""),"",ABS((N821-IF($C821="LT",Config!$F$9,Config!$F$21))/IF($C821="LT",Config!$G$9,Config!$G$21)))</f>
        <v/>
      </c>
      <c r="AA821">
        <f>IF(OR(O821=0,O821=""),"",ABS((O821-IF($C821="LT",Config!$F$10,Config!$F$22))/IF($C821="LT",Config!$G$10,Config!$G$22)))</f>
        <v/>
      </c>
      <c r="AB821">
        <f>IF(OR(P821=0,P821=""),"",ABS((P821-IF($C821="LT",Config!$F$11,Config!$F$23))/IF($C821="LT",Config!$G$11,Config!$G$23)))</f>
        <v/>
      </c>
      <c r="AC821">
        <f>IF(OR(Q821=0,Q821=""),"",ABS((Q821-IF($C821="LT",Config!$F$12,Config!$F$24))/IF($C821="LT",Config!$G$12,Config!$G$24)))</f>
        <v/>
      </c>
      <c r="AD821">
        <f>IF(OR(R821=0,R821=""),"",ABS((R821-IF($C821="LT",Config!$F$13,Config!$F$25))/IF($C821="LT",Config!$G$13,Config!$G$25)))</f>
        <v/>
      </c>
    </row>
    <row r="822">
      <c r="A822" t="inlineStr">
        <is>
          <t>04D1626121414</t>
        </is>
      </c>
      <c r="B822" t="inlineStr">
        <is>
          <t>CRS0000674</t>
        </is>
      </c>
      <c r="C822" t="inlineStr">
        <is>
          <t>MT</t>
        </is>
      </c>
      <c r="D822" t="inlineStr">
        <is>
          <t>TCX413U-DS1B01</t>
        </is>
      </c>
      <c r="E822" s="2" t="n">
        <v>46133</v>
      </c>
      <c r="F822" t="inlineStr">
        <is>
          <t>Fail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>
        <f>IF(OR(G822=0,G822=""),"",ABS((G822-IF($C822="LT",Config!$F$2,Config!$F$14))/IF($C822="LT",Config!$G$2,Config!$G$14)))</f>
        <v/>
      </c>
      <c r="T822">
        <f>IF(OR(H822=0,H822=""),"",ABS((H822-IF($C822="LT",Config!$F$3,Config!$F$15))/IF($C822="LT",Config!$G$3,Config!$G$15)))</f>
        <v/>
      </c>
      <c r="U822">
        <f>IF(OR(I822=0,I822=""),"",ABS((I822-IF($C822="LT",Config!$F$4,Config!$F$16))/IF($C822="LT",Config!$G$4,Config!$G$16)))</f>
        <v/>
      </c>
      <c r="V822">
        <f>IF(OR(J822=0,J822=""),"",ABS((J822-IF($C822="LT",Config!$F$5,Config!$F$17))/IF($C822="LT",Config!$G$5,Config!$G$17)))</f>
        <v/>
      </c>
      <c r="W822">
        <f>IF(OR(K822=0,K822=""),"",ABS((K822-IF($C822="LT",Config!$F$6,Config!$F$18))/IF($C822="LT",Config!$G$6,Config!$G$18)))</f>
        <v/>
      </c>
      <c r="X822">
        <f>IF(OR(L822=0,L822=""),"",ABS((L822-IF($C822="LT",Config!$F$7,Config!$F$19))/IF($C822="LT",Config!$G$7,Config!$G$19)))</f>
        <v/>
      </c>
      <c r="Y822">
        <f>IF(OR(M822=0,M822=""),"",ABS((M822-IF($C822="LT",Config!$F$8,Config!$F$20))/IF($C822="LT",Config!$G$8,Config!$G$20)))</f>
        <v/>
      </c>
      <c r="Z822">
        <f>IF(OR(N822=0,N822=""),"",ABS((N822-IF($C822="LT",Config!$F$9,Config!$F$21))/IF($C822="LT",Config!$G$9,Config!$G$21)))</f>
        <v/>
      </c>
      <c r="AA822">
        <f>IF(OR(O822=0,O822=""),"",ABS((O822-IF($C822="LT",Config!$F$10,Config!$F$22))/IF($C822="LT",Config!$G$10,Config!$G$22)))</f>
        <v/>
      </c>
      <c r="AB822">
        <f>IF(OR(P822=0,P822=""),"",ABS((P822-IF($C822="LT",Config!$F$11,Config!$F$23))/IF($C822="LT",Config!$G$11,Config!$G$23)))</f>
        <v/>
      </c>
      <c r="AC822">
        <f>IF(OR(Q822=0,Q822=""),"",ABS((Q822-IF($C822="LT",Config!$F$12,Config!$F$24))/IF($C822="LT",Config!$G$12,Config!$G$24)))</f>
        <v/>
      </c>
      <c r="AD822">
        <f>IF(OR(R822=0,R822=""),"",ABS((R822-IF($C822="LT",Config!$F$13,Config!$F$25))/IF($C822="LT",Config!$G$13,Config!$G$25)))</f>
        <v/>
      </c>
    </row>
    <row r="823">
      <c r="A823" t="inlineStr">
        <is>
          <t>04D1626121414</t>
        </is>
      </c>
      <c r="B823" t="inlineStr">
        <is>
          <t>CRS0000674</t>
        </is>
      </c>
      <c r="C823" t="inlineStr">
        <is>
          <t>MT</t>
        </is>
      </c>
      <c r="D823" t="inlineStr">
        <is>
          <t>TCX413U-DS1B01</t>
        </is>
      </c>
      <c r="E823" s="2" t="n">
        <v>46133</v>
      </c>
      <c r="F823" t="inlineStr">
        <is>
          <t>Pass</t>
        </is>
      </c>
      <c r="G823" t="n">
        <v>99</v>
      </c>
      <c r="H823" t="n">
        <v>79.3</v>
      </c>
      <c r="I823" t="n">
        <v>-1957.8</v>
      </c>
      <c r="J823" t="n">
        <v>70</v>
      </c>
      <c r="K823" t="n">
        <v>0</v>
      </c>
      <c r="L823" t="n">
        <v>0.5</v>
      </c>
      <c r="M823" t="n">
        <v>0</v>
      </c>
      <c r="N823" t="n">
        <v>69.5</v>
      </c>
      <c r="O823" t="n">
        <v>115.68</v>
      </c>
      <c r="P823" t="n">
        <v>117.14</v>
      </c>
      <c r="Q823" t="n">
        <v>3.66</v>
      </c>
      <c r="R823" t="n">
        <v>3.61</v>
      </c>
      <c r="S823">
        <f>IF(OR(G823=0,G823=""),"",ABS((G823-IF($C823="LT",Config!$F$2,Config!$F$14))/IF($C823="LT",Config!$G$2,Config!$G$14)))</f>
        <v/>
      </c>
      <c r="T823">
        <f>IF(OR(H823=0,H823=""),"",ABS((H823-IF($C823="LT",Config!$F$3,Config!$F$15))/IF($C823="LT",Config!$G$3,Config!$G$15)))</f>
        <v/>
      </c>
      <c r="U823">
        <f>IF(OR(I823=0,I823=""),"",ABS((I823-IF($C823="LT",Config!$F$4,Config!$F$16))/IF($C823="LT",Config!$G$4,Config!$G$16)))</f>
        <v/>
      </c>
      <c r="V823">
        <f>IF(OR(J823=0,J823=""),"",ABS((J823-IF($C823="LT",Config!$F$5,Config!$F$17))/IF($C823="LT",Config!$G$5,Config!$G$17)))</f>
        <v/>
      </c>
      <c r="W823">
        <f>IF(OR(K823=0,K823=""),"",ABS((K823-IF($C823="LT",Config!$F$6,Config!$F$18))/IF($C823="LT",Config!$G$6,Config!$G$18)))</f>
        <v/>
      </c>
      <c r="X823">
        <f>IF(OR(L823=0,L823=""),"",ABS((L823-IF($C823="LT",Config!$F$7,Config!$F$19))/IF($C823="LT",Config!$G$7,Config!$G$19)))</f>
        <v/>
      </c>
      <c r="Y823">
        <f>IF(OR(M823=0,M823=""),"",ABS((M823-IF($C823="LT",Config!$F$8,Config!$F$20))/IF($C823="LT",Config!$G$8,Config!$G$20)))</f>
        <v/>
      </c>
      <c r="Z823">
        <f>IF(OR(N823=0,N823=""),"",ABS((N823-IF($C823="LT",Config!$F$9,Config!$F$21))/IF($C823="LT",Config!$G$9,Config!$G$21)))</f>
        <v/>
      </c>
      <c r="AA823">
        <f>IF(OR(O823=0,O823=""),"",ABS((O823-IF($C823="LT",Config!$F$10,Config!$F$22))/IF($C823="LT",Config!$G$10,Config!$G$22)))</f>
        <v/>
      </c>
      <c r="AB823">
        <f>IF(OR(P823=0,P823=""),"",ABS((P823-IF($C823="LT",Config!$F$11,Config!$F$23))/IF($C823="LT",Config!$G$11,Config!$G$23)))</f>
        <v/>
      </c>
      <c r="AC823">
        <f>IF(OR(Q823=0,Q823=""),"",ABS((Q823-IF($C823="LT",Config!$F$12,Config!$F$24))/IF($C823="LT",Config!$G$12,Config!$G$24)))</f>
        <v/>
      </c>
      <c r="AD823">
        <f>IF(OR(R823=0,R823=""),"",ABS((R823-IF($C823="LT",Config!$F$13,Config!$F$25))/IF($C823="LT",Config!$G$13,Config!$G$25)))</f>
        <v/>
      </c>
    </row>
    <row r="824">
      <c r="A824" t="inlineStr">
        <is>
          <t>04D1626121412</t>
        </is>
      </c>
      <c r="B824" t="inlineStr">
        <is>
          <t>CRS0000674</t>
        </is>
      </c>
      <c r="C824" t="inlineStr">
        <is>
          <t>MT</t>
        </is>
      </c>
      <c r="D824" t="inlineStr">
        <is>
          <t>TCX413U-DS1B01</t>
        </is>
      </c>
      <c r="E824" s="2" t="n">
        <v>46133</v>
      </c>
      <c r="F824" t="inlineStr">
        <is>
          <t>Pass</t>
        </is>
      </c>
      <c r="G824" t="n">
        <v>107.5</v>
      </c>
      <c r="H824" t="n">
        <v>79.3</v>
      </c>
      <c r="I824" t="n">
        <v>-1957.8</v>
      </c>
      <c r="J824" t="n">
        <v>70.40000000000001</v>
      </c>
      <c r="K824" t="n">
        <v>0</v>
      </c>
      <c r="L824" t="n">
        <v>0.9</v>
      </c>
      <c r="M824" t="n">
        <v>0</v>
      </c>
      <c r="N824" t="n">
        <v>69.5</v>
      </c>
      <c r="O824" t="n">
        <v>115.6</v>
      </c>
      <c r="P824" t="n">
        <v>113.84</v>
      </c>
      <c r="Q824" t="n">
        <v>3.71</v>
      </c>
      <c r="R824" t="n">
        <v>3.74</v>
      </c>
      <c r="S824">
        <f>IF(OR(G824=0,G824=""),"",ABS((G824-IF($C824="LT",Config!$F$2,Config!$F$14))/IF($C824="LT",Config!$G$2,Config!$G$14)))</f>
        <v/>
      </c>
      <c r="T824">
        <f>IF(OR(H824=0,H824=""),"",ABS((H824-IF($C824="LT",Config!$F$3,Config!$F$15))/IF($C824="LT",Config!$G$3,Config!$G$15)))</f>
        <v/>
      </c>
      <c r="U824">
        <f>IF(OR(I824=0,I824=""),"",ABS((I824-IF($C824="LT",Config!$F$4,Config!$F$16))/IF($C824="LT",Config!$G$4,Config!$G$16)))</f>
        <v/>
      </c>
      <c r="V824">
        <f>IF(OR(J824=0,J824=""),"",ABS((J824-IF($C824="LT",Config!$F$5,Config!$F$17))/IF($C824="LT",Config!$G$5,Config!$G$17)))</f>
        <v/>
      </c>
      <c r="W824">
        <f>IF(OR(K824=0,K824=""),"",ABS((K824-IF($C824="LT",Config!$F$6,Config!$F$18))/IF($C824="LT",Config!$G$6,Config!$G$18)))</f>
        <v/>
      </c>
      <c r="X824">
        <f>IF(OR(L824=0,L824=""),"",ABS((L824-IF($C824="LT",Config!$F$7,Config!$F$19))/IF($C824="LT",Config!$G$7,Config!$G$19)))</f>
        <v/>
      </c>
      <c r="Y824">
        <f>IF(OR(M824=0,M824=""),"",ABS((M824-IF($C824="LT",Config!$F$8,Config!$F$20))/IF($C824="LT",Config!$G$8,Config!$G$20)))</f>
        <v/>
      </c>
      <c r="Z824">
        <f>IF(OR(N824=0,N824=""),"",ABS((N824-IF($C824="LT",Config!$F$9,Config!$F$21))/IF($C824="LT",Config!$G$9,Config!$G$21)))</f>
        <v/>
      </c>
      <c r="AA824">
        <f>IF(OR(O824=0,O824=""),"",ABS((O824-IF($C824="LT",Config!$F$10,Config!$F$22))/IF($C824="LT",Config!$G$10,Config!$G$22)))</f>
        <v/>
      </c>
      <c r="AB824">
        <f>IF(OR(P824=0,P824=""),"",ABS((P824-IF($C824="LT",Config!$F$11,Config!$F$23))/IF($C824="LT",Config!$G$11,Config!$G$23)))</f>
        <v/>
      </c>
      <c r="AC824">
        <f>IF(OR(Q824=0,Q824=""),"",ABS((Q824-IF($C824="LT",Config!$F$12,Config!$F$24))/IF($C824="LT",Config!$G$12,Config!$G$24)))</f>
        <v/>
      </c>
      <c r="AD824">
        <f>IF(OR(R824=0,R824=""),"",ABS((R824-IF($C824="LT",Config!$F$13,Config!$F$25))/IF($C824="LT",Config!$G$13,Config!$G$25)))</f>
        <v/>
      </c>
    </row>
    <row r="825">
      <c r="A825" t="inlineStr">
        <is>
          <t>04D1526121392</t>
        </is>
      </c>
      <c r="B825" t="inlineStr">
        <is>
          <t>CRS0000674</t>
        </is>
      </c>
      <c r="C825" t="inlineStr">
        <is>
          <t>MT</t>
        </is>
      </c>
      <c r="D825" t="inlineStr">
        <is>
          <t>TCX413U-DS1B01</t>
        </is>
      </c>
      <c r="E825" s="2" t="n">
        <v>46133</v>
      </c>
      <c r="F825" t="inlineStr">
        <is>
          <t>Fail</t>
        </is>
      </c>
      <c r="G825" t="n">
        <v>113.3</v>
      </c>
      <c r="H825" t="n">
        <v>80.2</v>
      </c>
      <c r="I825" t="n">
        <v>-1957.8</v>
      </c>
      <c r="J825" t="n">
        <v>70</v>
      </c>
      <c r="K825" t="n">
        <v>0</v>
      </c>
      <c r="L825" t="n">
        <v>1.2</v>
      </c>
      <c r="M825" t="n">
        <v>0</v>
      </c>
      <c r="N825" t="n">
        <v>68.8</v>
      </c>
      <c r="O825" t="n">
        <v>115.38</v>
      </c>
      <c r="P825" t="n">
        <v>115.38</v>
      </c>
      <c r="Q825" t="n">
        <v>3.71</v>
      </c>
      <c r="R825" t="n">
        <v>3.81</v>
      </c>
      <c r="S825">
        <f>IF(OR(G825=0,G825=""),"",ABS((G825-IF($C825="LT",Config!$F$2,Config!$F$14))/IF($C825="LT",Config!$G$2,Config!$G$14)))</f>
        <v/>
      </c>
      <c r="T825">
        <f>IF(OR(H825=0,H825=""),"",ABS((H825-IF($C825="LT",Config!$F$3,Config!$F$15))/IF($C825="LT",Config!$G$3,Config!$G$15)))</f>
        <v/>
      </c>
      <c r="U825">
        <f>IF(OR(I825=0,I825=""),"",ABS((I825-IF($C825="LT",Config!$F$4,Config!$F$16))/IF($C825="LT",Config!$G$4,Config!$G$16)))</f>
        <v/>
      </c>
      <c r="V825">
        <f>IF(OR(J825=0,J825=""),"",ABS((J825-IF($C825="LT",Config!$F$5,Config!$F$17))/IF($C825="LT",Config!$G$5,Config!$G$17)))</f>
        <v/>
      </c>
      <c r="W825">
        <f>IF(OR(K825=0,K825=""),"",ABS((K825-IF($C825="LT",Config!$F$6,Config!$F$18))/IF($C825="LT",Config!$G$6,Config!$G$18)))</f>
        <v/>
      </c>
      <c r="X825">
        <f>IF(OR(L825=0,L825=""),"",ABS((L825-IF($C825="LT",Config!$F$7,Config!$F$19))/IF($C825="LT",Config!$G$7,Config!$G$19)))</f>
        <v/>
      </c>
      <c r="Y825">
        <f>IF(OR(M825=0,M825=""),"",ABS((M825-IF($C825="LT",Config!$F$8,Config!$F$20))/IF($C825="LT",Config!$G$8,Config!$G$20)))</f>
        <v/>
      </c>
      <c r="Z825">
        <f>IF(OR(N825=0,N825=""),"",ABS((N825-IF($C825="LT",Config!$F$9,Config!$F$21))/IF($C825="LT",Config!$G$9,Config!$G$21)))</f>
        <v/>
      </c>
      <c r="AA825">
        <f>IF(OR(O825=0,O825=""),"",ABS((O825-IF($C825="LT",Config!$F$10,Config!$F$22))/IF($C825="LT",Config!$G$10,Config!$G$22)))</f>
        <v/>
      </c>
      <c r="AB825">
        <f>IF(OR(P825=0,P825=""),"",ABS((P825-IF($C825="LT",Config!$F$11,Config!$F$23))/IF($C825="LT",Config!$G$11,Config!$G$23)))</f>
        <v/>
      </c>
      <c r="AC825">
        <f>IF(OR(Q825=0,Q825=""),"",ABS((Q825-IF($C825="LT",Config!$F$12,Config!$F$24))/IF($C825="LT",Config!$G$12,Config!$G$24)))</f>
        <v/>
      </c>
      <c r="AD825">
        <f>IF(OR(R825=0,R825=""),"",ABS((R825-IF($C825="LT",Config!$F$13,Config!$F$25))/IF($C825="LT",Config!$G$13,Config!$G$25)))</f>
        <v/>
      </c>
    </row>
    <row r="826">
      <c r="A826" t="inlineStr">
        <is>
          <t>04D1526121392</t>
        </is>
      </c>
      <c r="B826" t="inlineStr">
        <is>
          <t>CRS0000674</t>
        </is>
      </c>
      <c r="C826" t="inlineStr">
        <is>
          <t>MT</t>
        </is>
      </c>
      <c r="D826" t="inlineStr">
        <is>
          <t>TCX413U-DS1B01</t>
        </is>
      </c>
      <c r="E826" s="2" t="n">
        <v>46133</v>
      </c>
      <c r="F826" t="inlineStr">
        <is>
          <t>Pass</t>
        </is>
      </c>
      <c r="G826" t="n">
        <v>109.3</v>
      </c>
      <c r="H826" t="n">
        <v>81.09999999999999</v>
      </c>
      <c r="I826" t="n">
        <v>-1957.8</v>
      </c>
      <c r="J826" t="n">
        <v>69.09999999999999</v>
      </c>
      <c r="K826" t="n">
        <v>0</v>
      </c>
      <c r="L826" t="n">
        <v>0.3</v>
      </c>
      <c r="M826" t="n">
        <v>0</v>
      </c>
      <c r="N826" t="n">
        <v>68.8</v>
      </c>
      <c r="O826" t="n">
        <v>112.16</v>
      </c>
      <c r="P826" t="n">
        <v>116.63</v>
      </c>
      <c r="Q826" t="n">
        <v>3.83</v>
      </c>
      <c r="R826" t="n">
        <v>3.81</v>
      </c>
      <c r="S826">
        <f>IF(OR(G826=0,G826=""),"",ABS((G826-IF($C826="LT",Config!$F$2,Config!$F$14))/IF($C826="LT",Config!$G$2,Config!$G$14)))</f>
        <v/>
      </c>
      <c r="T826">
        <f>IF(OR(H826=0,H826=""),"",ABS((H826-IF($C826="LT",Config!$F$3,Config!$F$15))/IF($C826="LT",Config!$G$3,Config!$G$15)))</f>
        <v/>
      </c>
      <c r="U826">
        <f>IF(OR(I826=0,I826=""),"",ABS((I826-IF($C826="LT",Config!$F$4,Config!$F$16))/IF($C826="LT",Config!$G$4,Config!$G$16)))</f>
        <v/>
      </c>
      <c r="V826">
        <f>IF(OR(J826=0,J826=""),"",ABS((J826-IF($C826="LT",Config!$F$5,Config!$F$17))/IF($C826="LT",Config!$G$5,Config!$G$17)))</f>
        <v/>
      </c>
      <c r="W826">
        <f>IF(OR(K826=0,K826=""),"",ABS((K826-IF($C826="LT",Config!$F$6,Config!$F$18))/IF($C826="LT",Config!$G$6,Config!$G$18)))</f>
        <v/>
      </c>
      <c r="X826">
        <f>IF(OR(L826=0,L826=""),"",ABS((L826-IF($C826="LT",Config!$F$7,Config!$F$19))/IF($C826="LT",Config!$G$7,Config!$G$19)))</f>
        <v/>
      </c>
      <c r="Y826">
        <f>IF(OR(M826=0,M826=""),"",ABS((M826-IF($C826="LT",Config!$F$8,Config!$F$20))/IF($C826="LT",Config!$G$8,Config!$G$20)))</f>
        <v/>
      </c>
      <c r="Z826">
        <f>IF(OR(N826=0,N826=""),"",ABS((N826-IF($C826="LT",Config!$F$9,Config!$F$21))/IF($C826="LT",Config!$G$9,Config!$G$21)))</f>
        <v/>
      </c>
      <c r="AA826">
        <f>IF(OR(O826=0,O826=""),"",ABS((O826-IF($C826="LT",Config!$F$10,Config!$F$22))/IF($C826="LT",Config!$G$10,Config!$G$22)))</f>
        <v/>
      </c>
      <c r="AB826">
        <f>IF(OR(P826=0,P826=""),"",ABS((P826-IF($C826="LT",Config!$F$11,Config!$F$23))/IF($C826="LT",Config!$G$11,Config!$G$23)))</f>
        <v/>
      </c>
      <c r="AC826">
        <f>IF(OR(Q826=0,Q826=""),"",ABS((Q826-IF($C826="LT",Config!$F$12,Config!$F$24))/IF($C826="LT",Config!$G$12,Config!$G$24)))</f>
        <v/>
      </c>
      <c r="AD826">
        <f>IF(OR(R826=0,R826=""),"",ABS((R826-IF($C826="LT",Config!$F$13,Config!$F$25))/IF($C826="LT",Config!$G$13,Config!$G$25)))</f>
        <v/>
      </c>
    </row>
    <row r="827">
      <c r="A827" t="inlineStr">
        <is>
          <t>04D1526121391</t>
        </is>
      </c>
      <c r="B827" t="inlineStr">
        <is>
          <t>CRS0000674</t>
        </is>
      </c>
      <c r="C827" t="inlineStr">
        <is>
          <t>MT</t>
        </is>
      </c>
      <c r="D827" t="inlineStr">
        <is>
          <t>TCX413U-DS1B01</t>
        </is>
      </c>
      <c r="E827" s="2" t="n">
        <v>46133</v>
      </c>
      <c r="F827" t="inlineStr">
        <is>
          <t>Pass</t>
        </is>
      </c>
      <c r="G827" t="n">
        <v>119.6</v>
      </c>
      <c r="H827" t="n">
        <v>81.09999999999999</v>
      </c>
      <c r="I827" t="n">
        <v>-1957.8</v>
      </c>
      <c r="J827" t="n">
        <v>69.09999999999999</v>
      </c>
      <c r="K827" t="n">
        <v>0</v>
      </c>
      <c r="L827" t="n">
        <v>0.7</v>
      </c>
      <c r="M827" t="n">
        <v>0</v>
      </c>
      <c r="N827" t="n">
        <v>68.40000000000001</v>
      </c>
      <c r="O827" t="n">
        <v>115.16</v>
      </c>
      <c r="P827" t="n">
        <v>115.24</v>
      </c>
      <c r="Q827" t="n">
        <v>3.66</v>
      </c>
      <c r="R827" t="n">
        <v>3.78</v>
      </c>
      <c r="S827">
        <f>IF(OR(G827=0,G827=""),"",ABS((G827-IF($C827="LT",Config!$F$2,Config!$F$14))/IF($C827="LT",Config!$G$2,Config!$G$14)))</f>
        <v/>
      </c>
      <c r="T827">
        <f>IF(OR(H827=0,H827=""),"",ABS((H827-IF($C827="LT",Config!$F$3,Config!$F$15))/IF($C827="LT",Config!$G$3,Config!$G$15)))</f>
        <v/>
      </c>
      <c r="U827">
        <f>IF(OR(I827=0,I827=""),"",ABS((I827-IF($C827="LT",Config!$F$4,Config!$F$16))/IF($C827="LT",Config!$G$4,Config!$G$16)))</f>
        <v/>
      </c>
      <c r="V827">
        <f>IF(OR(J827=0,J827=""),"",ABS((J827-IF($C827="LT",Config!$F$5,Config!$F$17))/IF($C827="LT",Config!$G$5,Config!$G$17)))</f>
        <v/>
      </c>
      <c r="W827">
        <f>IF(OR(K827=0,K827=""),"",ABS((K827-IF($C827="LT",Config!$F$6,Config!$F$18))/IF($C827="LT",Config!$G$6,Config!$G$18)))</f>
        <v/>
      </c>
      <c r="X827">
        <f>IF(OR(L827=0,L827=""),"",ABS((L827-IF($C827="LT",Config!$F$7,Config!$F$19))/IF($C827="LT",Config!$G$7,Config!$G$19)))</f>
        <v/>
      </c>
      <c r="Y827">
        <f>IF(OR(M827=0,M827=""),"",ABS((M827-IF($C827="LT",Config!$F$8,Config!$F$20))/IF($C827="LT",Config!$G$8,Config!$G$20)))</f>
        <v/>
      </c>
      <c r="Z827">
        <f>IF(OR(N827=0,N827=""),"",ABS((N827-IF($C827="LT",Config!$F$9,Config!$F$21))/IF($C827="LT",Config!$G$9,Config!$G$21)))</f>
        <v/>
      </c>
      <c r="AA827">
        <f>IF(OR(O827=0,O827=""),"",ABS((O827-IF($C827="LT",Config!$F$10,Config!$F$22))/IF($C827="LT",Config!$G$10,Config!$G$22)))</f>
        <v/>
      </c>
      <c r="AB827">
        <f>IF(OR(P827=0,P827=""),"",ABS((P827-IF($C827="LT",Config!$F$11,Config!$F$23))/IF($C827="LT",Config!$G$11,Config!$G$23)))</f>
        <v/>
      </c>
      <c r="AC827">
        <f>IF(OR(Q827=0,Q827=""),"",ABS((Q827-IF($C827="LT",Config!$F$12,Config!$F$24))/IF($C827="LT",Config!$G$12,Config!$G$24)))</f>
        <v/>
      </c>
      <c r="AD827">
        <f>IF(OR(R827=0,R827=""),"",ABS((R827-IF($C827="LT",Config!$F$13,Config!$F$25))/IF($C827="LT",Config!$G$13,Config!$G$25)))</f>
        <v/>
      </c>
    </row>
    <row r="828">
      <c r="A828" t="inlineStr">
        <is>
          <t>04D1626121408</t>
        </is>
      </c>
      <c r="B828" t="inlineStr">
        <is>
          <t>CRS0000674</t>
        </is>
      </c>
      <c r="C828" t="inlineStr">
        <is>
          <t>MT</t>
        </is>
      </c>
      <c r="D828" t="inlineStr">
        <is>
          <t>TCX413U-DS1B01</t>
        </is>
      </c>
      <c r="E828" s="2" t="n">
        <v>46133</v>
      </c>
      <c r="F828" t="inlineStr">
        <is>
          <t>Pass</t>
        </is>
      </c>
      <c r="G828" t="n">
        <v>116.4</v>
      </c>
      <c r="H828" t="n">
        <v>79.3</v>
      </c>
      <c r="I828" t="n">
        <v>-1957.8</v>
      </c>
      <c r="J828" t="n">
        <v>70</v>
      </c>
      <c r="K828" t="n">
        <v>0</v>
      </c>
      <c r="L828" t="n">
        <v>1.4</v>
      </c>
      <c r="M828" t="n">
        <v>0</v>
      </c>
      <c r="N828" t="n">
        <v>68.59999999999999</v>
      </c>
      <c r="O828" t="n">
        <v>115.46</v>
      </c>
      <c r="P828" t="n">
        <v>115.46</v>
      </c>
      <c r="Q828" t="n">
        <v>3.83</v>
      </c>
      <c r="R828" t="n">
        <v>3.81</v>
      </c>
      <c r="S828">
        <f>IF(OR(G828=0,G828=""),"",ABS((G828-IF($C828="LT",Config!$F$2,Config!$F$14))/IF($C828="LT",Config!$G$2,Config!$G$14)))</f>
        <v/>
      </c>
      <c r="T828">
        <f>IF(OR(H828=0,H828=""),"",ABS((H828-IF($C828="LT",Config!$F$3,Config!$F$15))/IF($C828="LT",Config!$G$3,Config!$G$15)))</f>
        <v/>
      </c>
      <c r="U828">
        <f>IF(OR(I828=0,I828=""),"",ABS((I828-IF($C828="LT",Config!$F$4,Config!$F$16))/IF($C828="LT",Config!$G$4,Config!$G$16)))</f>
        <v/>
      </c>
      <c r="V828">
        <f>IF(OR(J828=0,J828=""),"",ABS((J828-IF($C828="LT",Config!$F$5,Config!$F$17))/IF($C828="LT",Config!$G$5,Config!$G$17)))</f>
        <v/>
      </c>
      <c r="W828">
        <f>IF(OR(K828=0,K828=""),"",ABS((K828-IF($C828="LT",Config!$F$6,Config!$F$18))/IF($C828="LT",Config!$G$6,Config!$G$18)))</f>
        <v/>
      </c>
      <c r="X828">
        <f>IF(OR(L828=0,L828=""),"",ABS((L828-IF($C828="LT",Config!$F$7,Config!$F$19))/IF($C828="LT",Config!$G$7,Config!$G$19)))</f>
        <v/>
      </c>
      <c r="Y828">
        <f>IF(OR(M828=0,M828=""),"",ABS((M828-IF($C828="LT",Config!$F$8,Config!$F$20))/IF($C828="LT",Config!$G$8,Config!$G$20)))</f>
        <v/>
      </c>
      <c r="Z828">
        <f>IF(OR(N828=0,N828=""),"",ABS((N828-IF($C828="LT",Config!$F$9,Config!$F$21))/IF($C828="LT",Config!$G$9,Config!$G$21)))</f>
        <v/>
      </c>
      <c r="AA828">
        <f>IF(OR(O828=0,O828=""),"",ABS((O828-IF($C828="LT",Config!$F$10,Config!$F$22))/IF($C828="LT",Config!$G$10,Config!$G$22)))</f>
        <v/>
      </c>
      <c r="AB828">
        <f>IF(OR(P828=0,P828=""),"",ABS((P828-IF($C828="LT",Config!$F$11,Config!$F$23))/IF($C828="LT",Config!$G$11,Config!$G$23)))</f>
        <v/>
      </c>
      <c r="AC828">
        <f>IF(OR(Q828=0,Q828=""),"",ABS((Q828-IF($C828="LT",Config!$F$12,Config!$F$24))/IF($C828="LT",Config!$G$12,Config!$G$24)))</f>
        <v/>
      </c>
      <c r="AD828">
        <f>IF(OR(R828=0,R828=""),"",ABS((R828-IF($C828="LT",Config!$F$13,Config!$F$25))/IF($C828="LT",Config!$G$13,Config!$G$25)))</f>
        <v/>
      </c>
    </row>
    <row r="829">
      <c r="A829" t="inlineStr">
        <is>
          <t>04D1526121407</t>
        </is>
      </c>
      <c r="B829" t="inlineStr">
        <is>
          <t>CRS0000674</t>
        </is>
      </c>
      <c r="C829" t="inlineStr">
        <is>
          <t>MT</t>
        </is>
      </c>
      <c r="D829" t="inlineStr">
        <is>
          <t>TCX413U-DS1B01</t>
        </is>
      </c>
      <c r="E829" s="2" t="n">
        <v>46133</v>
      </c>
      <c r="F829" t="inlineStr">
        <is>
          <t>Pass</t>
        </is>
      </c>
      <c r="G829" t="n">
        <v>115.5</v>
      </c>
      <c r="H829" t="n">
        <v>80.2</v>
      </c>
      <c r="I829" t="n">
        <v>-1957.8</v>
      </c>
      <c r="J829" t="n">
        <v>70</v>
      </c>
      <c r="K829" t="n">
        <v>0</v>
      </c>
      <c r="L829" t="n">
        <v>0.9</v>
      </c>
      <c r="M829" t="n">
        <v>0</v>
      </c>
      <c r="N829" t="n">
        <v>69.09999999999999</v>
      </c>
      <c r="O829" t="n">
        <v>112.3</v>
      </c>
      <c r="P829" t="n">
        <v>116.85</v>
      </c>
      <c r="Q829" t="n">
        <v>3.78</v>
      </c>
      <c r="R829" t="n">
        <v>3.69</v>
      </c>
      <c r="S829">
        <f>IF(OR(G829=0,G829=""),"",ABS((G829-IF($C829="LT",Config!$F$2,Config!$F$14))/IF($C829="LT",Config!$G$2,Config!$G$14)))</f>
        <v/>
      </c>
      <c r="T829">
        <f>IF(OR(H829=0,H829=""),"",ABS((H829-IF($C829="LT",Config!$F$3,Config!$F$15))/IF($C829="LT",Config!$G$3,Config!$G$15)))</f>
        <v/>
      </c>
      <c r="U829">
        <f>IF(OR(I829=0,I829=""),"",ABS((I829-IF($C829="LT",Config!$F$4,Config!$F$16))/IF($C829="LT",Config!$G$4,Config!$G$16)))</f>
        <v/>
      </c>
      <c r="V829">
        <f>IF(OR(J829=0,J829=""),"",ABS((J829-IF($C829="LT",Config!$F$5,Config!$F$17))/IF($C829="LT",Config!$G$5,Config!$G$17)))</f>
        <v/>
      </c>
      <c r="W829">
        <f>IF(OR(K829=0,K829=""),"",ABS((K829-IF($C829="LT",Config!$F$6,Config!$F$18))/IF($C829="LT",Config!$G$6,Config!$G$18)))</f>
        <v/>
      </c>
      <c r="X829">
        <f>IF(OR(L829=0,L829=""),"",ABS((L829-IF($C829="LT",Config!$F$7,Config!$F$19))/IF($C829="LT",Config!$G$7,Config!$G$19)))</f>
        <v/>
      </c>
      <c r="Y829">
        <f>IF(OR(M829=0,M829=""),"",ABS((M829-IF($C829="LT",Config!$F$8,Config!$F$20))/IF($C829="LT",Config!$G$8,Config!$G$20)))</f>
        <v/>
      </c>
      <c r="Z829">
        <f>IF(OR(N829=0,N829=""),"",ABS((N829-IF($C829="LT",Config!$F$9,Config!$F$21))/IF($C829="LT",Config!$G$9,Config!$G$21)))</f>
        <v/>
      </c>
      <c r="AA829">
        <f>IF(OR(O829=0,O829=""),"",ABS((O829-IF($C829="LT",Config!$F$10,Config!$F$22))/IF($C829="LT",Config!$G$10,Config!$G$22)))</f>
        <v/>
      </c>
      <c r="AB829">
        <f>IF(OR(P829=0,P829=""),"",ABS((P829-IF($C829="LT",Config!$F$11,Config!$F$23))/IF($C829="LT",Config!$G$11,Config!$G$23)))</f>
        <v/>
      </c>
      <c r="AC829">
        <f>IF(OR(Q829=0,Q829=""),"",ABS((Q829-IF($C829="LT",Config!$F$12,Config!$F$24))/IF($C829="LT",Config!$G$12,Config!$G$24)))</f>
        <v/>
      </c>
      <c r="AD829">
        <f>IF(OR(R829=0,R829=""),"",ABS((R829-IF($C829="LT",Config!$F$13,Config!$F$25))/IF($C829="LT",Config!$G$13,Config!$G$25)))</f>
        <v/>
      </c>
    </row>
    <row r="830">
      <c r="A830" t="inlineStr">
        <is>
          <t>04D1426121373</t>
        </is>
      </c>
      <c r="B830" t="inlineStr">
        <is>
          <t>CRS0000674</t>
        </is>
      </c>
      <c r="C830" t="inlineStr">
        <is>
          <t>MT</t>
        </is>
      </c>
      <c r="D830" t="inlineStr">
        <is>
          <t>TCX413U-DS1B01</t>
        </is>
      </c>
      <c r="E830" s="2" t="n">
        <v>46133</v>
      </c>
      <c r="F830" t="inlineStr">
        <is>
          <t>Fail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>
        <f>IF(OR(G830=0,G830=""),"",ABS((G830-IF($C830="LT",Config!$F$2,Config!$F$14))/IF($C830="LT",Config!$G$2,Config!$G$14)))</f>
        <v/>
      </c>
      <c r="T830">
        <f>IF(OR(H830=0,H830=""),"",ABS((H830-IF($C830="LT",Config!$F$3,Config!$F$15))/IF($C830="LT",Config!$G$3,Config!$G$15)))</f>
        <v/>
      </c>
      <c r="U830">
        <f>IF(OR(I830=0,I830=""),"",ABS((I830-IF($C830="LT",Config!$F$4,Config!$F$16))/IF($C830="LT",Config!$G$4,Config!$G$16)))</f>
        <v/>
      </c>
      <c r="V830">
        <f>IF(OR(J830=0,J830=""),"",ABS((J830-IF($C830="LT",Config!$F$5,Config!$F$17))/IF($C830="LT",Config!$G$5,Config!$G$17)))</f>
        <v/>
      </c>
      <c r="W830">
        <f>IF(OR(K830=0,K830=""),"",ABS((K830-IF($C830="LT",Config!$F$6,Config!$F$18))/IF($C830="LT",Config!$G$6,Config!$G$18)))</f>
        <v/>
      </c>
      <c r="X830">
        <f>IF(OR(L830=0,L830=""),"",ABS((L830-IF($C830="LT",Config!$F$7,Config!$F$19))/IF($C830="LT",Config!$G$7,Config!$G$19)))</f>
        <v/>
      </c>
      <c r="Y830">
        <f>IF(OR(M830=0,M830=""),"",ABS((M830-IF($C830="LT",Config!$F$8,Config!$F$20))/IF($C830="LT",Config!$G$8,Config!$G$20)))</f>
        <v/>
      </c>
      <c r="Z830">
        <f>IF(OR(N830=0,N830=""),"",ABS((N830-IF($C830="LT",Config!$F$9,Config!$F$21))/IF($C830="LT",Config!$G$9,Config!$G$21)))</f>
        <v/>
      </c>
      <c r="AA830">
        <f>IF(OR(O830=0,O830=""),"",ABS((O830-IF($C830="LT",Config!$F$10,Config!$F$22))/IF($C830="LT",Config!$G$10,Config!$G$22)))</f>
        <v/>
      </c>
      <c r="AB830">
        <f>IF(OR(P830=0,P830=""),"",ABS((P830-IF($C830="LT",Config!$F$11,Config!$F$23))/IF($C830="LT",Config!$G$11,Config!$G$23)))</f>
        <v/>
      </c>
      <c r="AC830">
        <f>IF(OR(Q830=0,Q830=""),"",ABS((Q830-IF($C830="LT",Config!$F$12,Config!$F$24))/IF($C830="LT",Config!$G$12,Config!$G$24)))</f>
        <v/>
      </c>
      <c r="AD830">
        <f>IF(OR(R830=0,R830=""),"",ABS((R830-IF($C830="LT",Config!$F$13,Config!$F$25))/IF($C830="LT",Config!$G$13,Config!$G$25)))</f>
        <v/>
      </c>
    </row>
    <row r="831">
      <c r="A831" t="inlineStr">
        <is>
          <t>04D1426121373</t>
        </is>
      </c>
      <c r="B831" t="inlineStr">
        <is>
          <t>CRS0000674</t>
        </is>
      </c>
      <c r="C831" t="inlineStr">
        <is>
          <t>MT</t>
        </is>
      </c>
      <c r="D831" t="inlineStr">
        <is>
          <t>TCX413U-DS1B01</t>
        </is>
      </c>
      <c r="E831" s="2" t="n">
        <v>46133</v>
      </c>
      <c r="F831" t="inlineStr">
        <is>
          <t>Fail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>
        <f>IF(OR(G831=0,G831=""),"",ABS((G831-IF($C831="LT",Config!$F$2,Config!$F$14))/IF($C831="LT",Config!$G$2,Config!$G$14)))</f>
        <v/>
      </c>
      <c r="T831">
        <f>IF(OR(H831=0,H831=""),"",ABS((H831-IF($C831="LT",Config!$F$3,Config!$F$15))/IF($C831="LT",Config!$G$3,Config!$G$15)))</f>
        <v/>
      </c>
      <c r="U831">
        <f>IF(OR(I831=0,I831=""),"",ABS((I831-IF($C831="LT",Config!$F$4,Config!$F$16))/IF($C831="LT",Config!$G$4,Config!$G$16)))</f>
        <v/>
      </c>
      <c r="V831">
        <f>IF(OR(J831=0,J831=""),"",ABS((J831-IF($C831="LT",Config!$F$5,Config!$F$17))/IF($C831="LT",Config!$G$5,Config!$G$17)))</f>
        <v/>
      </c>
      <c r="W831">
        <f>IF(OR(K831=0,K831=""),"",ABS((K831-IF($C831="LT",Config!$F$6,Config!$F$18))/IF($C831="LT",Config!$G$6,Config!$G$18)))</f>
        <v/>
      </c>
      <c r="X831">
        <f>IF(OR(L831=0,L831=""),"",ABS((L831-IF($C831="LT",Config!$F$7,Config!$F$19))/IF($C831="LT",Config!$G$7,Config!$G$19)))</f>
        <v/>
      </c>
      <c r="Y831">
        <f>IF(OR(M831=0,M831=""),"",ABS((M831-IF($C831="LT",Config!$F$8,Config!$F$20))/IF($C831="LT",Config!$G$8,Config!$G$20)))</f>
        <v/>
      </c>
      <c r="Z831">
        <f>IF(OR(N831=0,N831=""),"",ABS((N831-IF($C831="LT",Config!$F$9,Config!$F$21))/IF($C831="LT",Config!$G$9,Config!$G$21)))</f>
        <v/>
      </c>
      <c r="AA831">
        <f>IF(OR(O831=0,O831=""),"",ABS((O831-IF($C831="LT",Config!$F$10,Config!$F$22))/IF($C831="LT",Config!$G$10,Config!$G$22)))</f>
        <v/>
      </c>
      <c r="AB831">
        <f>IF(OR(P831=0,P831=""),"",ABS((P831-IF($C831="LT",Config!$F$11,Config!$F$23))/IF($C831="LT",Config!$G$11,Config!$G$23)))</f>
        <v/>
      </c>
      <c r="AC831">
        <f>IF(OR(Q831=0,Q831=""),"",ABS((Q831-IF($C831="LT",Config!$F$12,Config!$F$24))/IF($C831="LT",Config!$G$12,Config!$G$24)))</f>
        <v/>
      </c>
      <c r="AD831">
        <f>IF(OR(R831=0,R831=""),"",ABS((R831-IF($C831="LT",Config!$F$13,Config!$F$25))/IF($C831="LT",Config!$G$13,Config!$G$25)))</f>
        <v/>
      </c>
    </row>
    <row r="832">
      <c r="A832" t="inlineStr">
        <is>
          <t>04D1426121373</t>
        </is>
      </c>
      <c r="B832" t="inlineStr">
        <is>
          <t>CRS0000674</t>
        </is>
      </c>
      <c r="C832" t="inlineStr">
        <is>
          <t>MT</t>
        </is>
      </c>
      <c r="D832" t="inlineStr">
        <is>
          <t>TCX413U-DS1B01</t>
        </is>
      </c>
      <c r="E832" s="2" t="n">
        <v>46133</v>
      </c>
      <c r="F832" t="inlineStr">
        <is>
          <t>Fail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>
        <f>IF(OR(G832=0,G832=""),"",ABS((G832-IF($C832="LT",Config!$F$2,Config!$F$14))/IF($C832="LT",Config!$G$2,Config!$G$14)))</f>
        <v/>
      </c>
      <c r="T832">
        <f>IF(OR(H832=0,H832=""),"",ABS((H832-IF($C832="LT",Config!$F$3,Config!$F$15))/IF($C832="LT",Config!$G$3,Config!$G$15)))</f>
        <v/>
      </c>
      <c r="U832">
        <f>IF(OR(I832=0,I832=""),"",ABS((I832-IF($C832="LT",Config!$F$4,Config!$F$16))/IF($C832="LT",Config!$G$4,Config!$G$16)))</f>
        <v/>
      </c>
      <c r="V832">
        <f>IF(OR(J832=0,J832=""),"",ABS((J832-IF($C832="LT",Config!$F$5,Config!$F$17))/IF($C832="LT",Config!$G$5,Config!$G$17)))</f>
        <v/>
      </c>
      <c r="W832">
        <f>IF(OR(K832=0,K832=""),"",ABS((K832-IF($C832="LT",Config!$F$6,Config!$F$18))/IF($C832="LT",Config!$G$6,Config!$G$18)))</f>
        <v/>
      </c>
      <c r="X832">
        <f>IF(OR(L832=0,L832=""),"",ABS((L832-IF($C832="LT",Config!$F$7,Config!$F$19))/IF($C832="LT",Config!$G$7,Config!$G$19)))</f>
        <v/>
      </c>
      <c r="Y832">
        <f>IF(OR(M832=0,M832=""),"",ABS((M832-IF($C832="LT",Config!$F$8,Config!$F$20))/IF($C832="LT",Config!$G$8,Config!$G$20)))</f>
        <v/>
      </c>
      <c r="Z832">
        <f>IF(OR(N832=0,N832=""),"",ABS((N832-IF($C832="LT",Config!$F$9,Config!$F$21))/IF($C832="LT",Config!$G$9,Config!$G$21)))</f>
        <v/>
      </c>
      <c r="AA832">
        <f>IF(OR(O832=0,O832=""),"",ABS((O832-IF($C832="LT",Config!$F$10,Config!$F$22))/IF($C832="LT",Config!$G$10,Config!$G$22)))</f>
        <v/>
      </c>
      <c r="AB832">
        <f>IF(OR(P832=0,P832=""),"",ABS((P832-IF($C832="LT",Config!$F$11,Config!$F$23))/IF($C832="LT",Config!$G$11,Config!$G$23)))</f>
        <v/>
      </c>
      <c r="AC832">
        <f>IF(OR(Q832=0,Q832=""),"",ABS((Q832-IF($C832="LT",Config!$F$12,Config!$F$24))/IF($C832="LT",Config!$G$12,Config!$G$24)))</f>
        <v/>
      </c>
      <c r="AD832">
        <f>IF(OR(R832=0,R832=""),"",ABS((R832-IF($C832="LT",Config!$F$13,Config!$F$25))/IF($C832="LT",Config!$G$13,Config!$G$25)))</f>
        <v/>
      </c>
    </row>
    <row r="833">
      <c r="A833" t="inlineStr">
        <is>
          <t>04D1426121373</t>
        </is>
      </c>
      <c r="B833" t="inlineStr">
        <is>
          <t>CRS0000674</t>
        </is>
      </c>
      <c r="C833" t="inlineStr">
        <is>
          <t>MT</t>
        </is>
      </c>
      <c r="D833" t="inlineStr">
        <is>
          <t>TCX413U-DS1B01</t>
        </is>
      </c>
      <c r="E833" s="2" t="n">
        <v>46133</v>
      </c>
      <c r="F833" t="inlineStr">
        <is>
          <t>Fail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>
        <f>IF(OR(G833=0,G833=""),"",ABS((G833-IF($C833="LT",Config!$F$2,Config!$F$14))/IF($C833="LT",Config!$G$2,Config!$G$14)))</f>
        <v/>
      </c>
      <c r="T833">
        <f>IF(OR(H833=0,H833=""),"",ABS((H833-IF($C833="LT",Config!$F$3,Config!$F$15))/IF($C833="LT",Config!$G$3,Config!$G$15)))</f>
        <v/>
      </c>
      <c r="U833">
        <f>IF(OR(I833=0,I833=""),"",ABS((I833-IF($C833="LT",Config!$F$4,Config!$F$16))/IF($C833="LT",Config!$G$4,Config!$G$16)))</f>
        <v/>
      </c>
      <c r="V833">
        <f>IF(OR(J833=0,J833=""),"",ABS((J833-IF($C833="LT",Config!$F$5,Config!$F$17))/IF($C833="LT",Config!$G$5,Config!$G$17)))</f>
        <v/>
      </c>
      <c r="W833">
        <f>IF(OR(K833=0,K833=""),"",ABS((K833-IF($C833="LT",Config!$F$6,Config!$F$18))/IF($C833="LT",Config!$G$6,Config!$G$18)))</f>
        <v/>
      </c>
      <c r="X833">
        <f>IF(OR(L833=0,L833=""),"",ABS((L833-IF($C833="LT",Config!$F$7,Config!$F$19))/IF($C833="LT",Config!$G$7,Config!$G$19)))</f>
        <v/>
      </c>
      <c r="Y833">
        <f>IF(OR(M833=0,M833=""),"",ABS((M833-IF($C833="LT",Config!$F$8,Config!$F$20))/IF($C833="LT",Config!$G$8,Config!$G$20)))</f>
        <v/>
      </c>
      <c r="Z833">
        <f>IF(OR(N833=0,N833=""),"",ABS((N833-IF($C833="LT",Config!$F$9,Config!$F$21))/IF($C833="LT",Config!$G$9,Config!$G$21)))</f>
        <v/>
      </c>
      <c r="AA833">
        <f>IF(OR(O833=0,O833=""),"",ABS((O833-IF($C833="LT",Config!$F$10,Config!$F$22))/IF($C833="LT",Config!$G$10,Config!$G$22)))</f>
        <v/>
      </c>
      <c r="AB833">
        <f>IF(OR(P833=0,P833=""),"",ABS((P833-IF($C833="LT",Config!$F$11,Config!$F$23))/IF($C833="LT",Config!$G$11,Config!$G$23)))</f>
        <v/>
      </c>
      <c r="AC833">
        <f>IF(OR(Q833=0,Q833=""),"",ABS((Q833-IF($C833="LT",Config!$F$12,Config!$F$24))/IF($C833="LT",Config!$G$12,Config!$G$24)))</f>
        <v/>
      </c>
      <c r="AD833">
        <f>IF(OR(R833=0,R833=""),"",ABS((R833-IF($C833="LT",Config!$F$13,Config!$F$25))/IF($C833="LT",Config!$G$13,Config!$G$25)))</f>
        <v/>
      </c>
    </row>
    <row r="834">
      <c r="A834" t="inlineStr">
        <is>
          <t>04D1426121384</t>
        </is>
      </c>
      <c r="B834" t="inlineStr">
        <is>
          <t>CRS0000674</t>
        </is>
      </c>
      <c r="C834" t="inlineStr">
        <is>
          <t>MT</t>
        </is>
      </c>
      <c r="D834" t="inlineStr">
        <is>
          <t>TCX413U-DS1B01</t>
        </is>
      </c>
      <c r="E834" s="2" t="n">
        <v>46133</v>
      </c>
      <c r="F834" t="inlineStr">
        <is>
          <t>Pass</t>
        </is>
      </c>
      <c r="G834" t="n">
        <v>114.2</v>
      </c>
      <c r="H834" t="n">
        <v>78.40000000000001</v>
      </c>
      <c r="I834" t="n">
        <v>-1957.8</v>
      </c>
      <c r="J834" t="n">
        <v>70.40000000000001</v>
      </c>
      <c r="K834" t="n">
        <v>0</v>
      </c>
      <c r="L834" t="n">
        <v>0.1</v>
      </c>
      <c r="M834" t="n">
        <v>0</v>
      </c>
      <c r="N834" t="n">
        <v>70.3</v>
      </c>
      <c r="O834" t="n">
        <v>112.23</v>
      </c>
      <c r="P834" t="n">
        <v>116.48</v>
      </c>
      <c r="Q834" t="n">
        <v>3.71</v>
      </c>
      <c r="R834" t="n">
        <v>3.61</v>
      </c>
      <c r="S834">
        <f>IF(OR(G834=0,G834=""),"",ABS((G834-IF($C834="LT",Config!$F$2,Config!$F$14))/IF($C834="LT",Config!$G$2,Config!$G$14)))</f>
        <v/>
      </c>
      <c r="T834">
        <f>IF(OR(H834=0,H834=""),"",ABS((H834-IF($C834="LT",Config!$F$3,Config!$F$15))/IF($C834="LT",Config!$G$3,Config!$G$15)))</f>
        <v/>
      </c>
      <c r="U834">
        <f>IF(OR(I834=0,I834=""),"",ABS((I834-IF($C834="LT",Config!$F$4,Config!$F$16))/IF($C834="LT",Config!$G$4,Config!$G$16)))</f>
        <v/>
      </c>
      <c r="V834">
        <f>IF(OR(J834=0,J834=""),"",ABS((J834-IF($C834="LT",Config!$F$5,Config!$F$17))/IF($C834="LT",Config!$G$5,Config!$G$17)))</f>
        <v/>
      </c>
      <c r="W834">
        <f>IF(OR(K834=0,K834=""),"",ABS((K834-IF($C834="LT",Config!$F$6,Config!$F$18))/IF($C834="LT",Config!$G$6,Config!$G$18)))</f>
        <v/>
      </c>
      <c r="X834">
        <f>IF(OR(L834=0,L834=""),"",ABS((L834-IF($C834="LT",Config!$F$7,Config!$F$19))/IF($C834="LT",Config!$G$7,Config!$G$19)))</f>
        <v/>
      </c>
      <c r="Y834">
        <f>IF(OR(M834=0,M834=""),"",ABS((M834-IF($C834="LT",Config!$F$8,Config!$F$20))/IF($C834="LT",Config!$G$8,Config!$G$20)))</f>
        <v/>
      </c>
      <c r="Z834">
        <f>IF(OR(N834=0,N834=""),"",ABS((N834-IF($C834="LT",Config!$F$9,Config!$F$21))/IF($C834="LT",Config!$G$9,Config!$G$21)))</f>
        <v/>
      </c>
      <c r="AA834">
        <f>IF(OR(O834=0,O834=""),"",ABS((O834-IF($C834="LT",Config!$F$10,Config!$F$22))/IF($C834="LT",Config!$G$10,Config!$G$22)))</f>
        <v/>
      </c>
      <c r="AB834">
        <f>IF(OR(P834=0,P834=""),"",ABS((P834-IF($C834="LT",Config!$F$11,Config!$F$23))/IF($C834="LT",Config!$G$11,Config!$G$23)))</f>
        <v/>
      </c>
      <c r="AC834">
        <f>IF(OR(Q834=0,Q834=""),"",ABS((Q834-IF($C834="LT",Config!$F$12,Config!$F$24))/IF($C834="LT",Config!$G$12,Config!$G$24)))</f>
        <v/>
      </c>
      <c r="AD834">
        <f>IF(OR(R834=0,R834=""),"",ABS((R834-IF($C834="LT",Config!$F$13,Config!$F$25))/IF($C834="LT",Config!$G$13,Config!$G$25)))</f>
        <v/>
      </c>
    </row>
    <row r="835">
      <c r="A835" t="inlineStr">
        <is>
          <t>04D1426121379</t>
        </is>
      </c>
      <c r="B835" t="inlineStr">
        <is>
          <t>CRS0000674</t>
        </is>
      </c>
      <c r="C835" t="inlineStr">
        <is>
          <t>MT</t>
        </is>
      </c>
      <c r="D835" t="inlineStr">
        <is>
          <t>TCX413U-DS1B01</t>
        </is>
      </c>
      <c r="E835" s="2" t="n">
        <v>46133</v>
      </c>
      <c r="F835" t="inlineStr">
        <is>
          <t>Pass</t>
        </is>
      </c>
      <c r="G835" t="n">
        <v>115.5</v>
      </c>
      <c r="H835" t="n">
        <v>78.40000000000001</v>
      </c>
      <c r="I835" t="n">
        <v>-1957.8</v>
      </c>
      <c r="J835" t="n">
        <v>70.40000000000001</v>
      </c>
      <c r="K835" t="n">
        <v>0</v>
      </c>
      <c r="L835" t="n">
        <v>0.9</v>
      </c>
      <c r="M835" t="n">
        <v>0</v>
      </c>
      <c r="N835" t="n">
        <v>69.5</v>
      </c>
      <c r="O835" t="n">
        <v>112.01</v>
      </c>
      <c r="P835" t="n">
        <v>116.7</v>
      </c>
      <c r="Q835" t="n">
        <v>3.74</v>
      </c>
      <c r="R835" t="n">
        <v>3.66</v>
      </c>
      <c r="S835">
        <f>IF(OR(G835=0,G835=""),"",ABS((G835-IF($C835="LT",Config!$F$2,Config!$F$14))/IF($C835="LT",Config!$G$2,Config!$G$14)))</f>
        <v/>
      </c>
      <c r="T835">
        <f>IF(OR(H835=0,H835=""),"",ABS((H835-IF($C835="LT",Config!$F$3,Config!$F$15))/IF($C835="LT",Config!$G$3,Config!$G$15)))</f>
        <v/>
      </c>
      <c r="U835">
        <f>IF(OR(I835=0,I835=""),"",ABS((I835-IF($C835="LT",Config!$F$4,Config!$F$16))/IF($C835="LT",Config!$G$4,Config!$G$16)))</f>
        <v/>
      </c>
      <c r="V835">
        <f>IF(OR(J835=0,J835=""),"",ABS((J835-IF($C835="LT",Config!$F$5,Config!$F$17))/IF($C835="LT",Config!$G$5,Config!$G$17)))</f>
        <v/>
      </c>
      <c r="W835">
        <f>IF(OR(K835=0,K835=""),"",ABS((K835-IF($C835="LT",Config!$F$6,Config!$F$18))/IF($C835="LT",Config!$G$6,Config!$G$18)))</f>
        <v/>
      </c>
      <c r="X835">
        <f>IF(OR(L835=0,L835=""),"",ABS((L835-IF($C835="LT",Config!$F$7,Config!$F$19))/IF($C835="LT",Config!$G$7,Config!$G$19)))</f>
        <v/>
      </c>
      <c r="Y835">
        <f>IF(OR(M835=0,M835=""),"",ABS((M835-IF($C835="LT",Config!$F$8,Config!$F$20))/IF($C835="LT",Config!$G$8,Config!$G$20)))</f>
        <v/>
      </c>
      <c r="Z835">
        <f>IF(OR(N835=0,N835=""),"",ABS((N835-IF($C835="LT",Config!$F$9,Config!$F$21))/IF($C835="LT",Config!$G$9,Config!$G$21)))</f>
        <v/>
      </c>
      <c r="AA835">
        <f>IF(OR(O835=0,O835=""),"",ABS((O835-IF($C835="LT",Config!$F$10,Config!$F$22))/IF($C835="LT",Config!$G$10,Config!$G$22)))</f>
        <v/>
      </c>
      <c r="AB835">
        <f>IF(OR(P835=0,P835=""),"",ABS((P835-IF($C835="LT",Config!$F$11,Config!$F$23))/IF($C835="LT",Config!$G$11,Config!$G$23)))</f>
        <v/>
      </c>
      <c r="AC835">
        <f>IF(OR(Q835=0,Q835=""),"",ABS((Q835-IF($C835="LT",Config!$F$12,Config!$F$24))/IF($C835="LT",Config!$G$12,Config!$G$24)))</f>
        <v/>
      </c>
      <c r="AD835">
        <f>IF(OR(R835=0,R835=""),"",ABS((R835-IF($C835="LT",Config!$F$13,Config!$F$25))/IF($C835="LT",Config!$G$13,Config!$G$25)))</f>
        <v/>
      </c>
    </row>
    <row r="836">
      <c r="A836" t="inlineStr">
        <is>
          <t>04D1426121380</t>
        </is>
      </c>
      <c r="B836" t="inlineStr">
        <is>
          <t>CRS0000674</t>
        </is>
      </c>
      <c r="C836" t="inlineStr">
        <is>
          <t>MT</t>
        </is>
      </c>
      <c r="D836" t="inlineStr">
        <is>
          <t>TCX413U-DS1B01</t>
        </is>
      </c>
      <c r="E836" s="2" t="n">
        <v>46133</v>
      </c>
      <c r="F836" t="inlineStr">
        <is>
          <t>Pass</t>
        </is>
      </c>
      <c r="G836" t="n">
        <v>111.1</v>
      </c>
      <c r="H836" t="n">
        <v>80.2</v>
      </c>
      <c r="I836" t="n">
        <v>-1957.8</v>
      </c>
      <c r="J836" t="n">
        <v>70.40000000000001</v>
      </c>
      <c r="K836" t="n">
        <v>0</v>
      </c>
      <c r="L836" t="n">
        <v>0.5</v>
      </c>
      <c r="M836" t="n">
        <v>0</v>
      </c>
      <c r="N836" t="n">
        <v>69.90000000000001</v>
      </c>
      <c r="O836" t="n">
        <v>111.86</v>
      </c>
      <c r="P836" t="n">
        <v>116.85</v>
      </c>
      <c r="Q836" t="n">
        <v>3.78</v>
      </c>
      <c r="R836" t="n">
        <v>3.71</v>
      </c>
      <c r="S836">
        <f>IF(OR(G836=0,G836=""),"",ABS((G836-IF($C836="LT",Config!$F$2,Config!$F$14))/IF($C836="LT",Config!$G$2,Config!$G$14)))</f>
        <v/>
      </c>
      <c r="T836">
        <f>IF(OR(H836=0,H836=""),"",ABS((H836-IF($C836="LT",Config!$F$3,Config!$F$15))/IF($C836="LT",Config!$G$3,Config!$G$15)))</f>
        <v/>
      </c>
      <c r="U836">
        <f>IF(OR(I836=0,I836=""),"",ABS((I836-IF($C836="LT",Config!$F$4,Config!$F$16))/IF($C836="LT",Config!$G$4,Config!$G$16)))</f>
        <v/>
      </c>
      <c r="V836">
        <f>IF(OR(J836=0,J836=""),"",ABS((J836-IF($C836="LT",Config!$F$5,Config!$F$17))/IF($C836="LT",Config!$G$5,Config!$G$17)))</f>
        <v/>
      </c>
      <c r="W836">
        <f>IF(OR(K836=0,K836=""),"",ABS((K836-IF($C836="LT",Config!$F$6,Config!$F$18))/IF($C836="LT",Config!$G$6,Config!$G$18)))</f>
        <v/>
      </c>
      <c r="X836">
        <f>IF(OR(L836=0,L836=""),"",ABS((L836-IF($C836="LT",Config!$F$7,Config!$F$19))/IF($C836="LT",Config!$G$7,Config!$G$19)))</f>
        <v/>
      </c>
      <c r="Y836">
        <f>IF(OR(M836=0,M836=""),"",ABS((M836-IF($C836="LT",Config!$F$8,Config!$F$20))/IF($C836="LT",Config!$G$8,Config!$G$20)))</f>
        <v/>
      </c>
      <c r="Z836">
        <f>IF(OR(N836=0,N836=""),"",ABS((N836-IF($C836="LT",Config!$F$9,Config!$F$21))/IF($C836="LT",Config!$G$9,Config!$G$21)))</f>
        <v/>
      </c>
      <c r="AA836">
        <f>IF(OR(O836=0,O836=""),"",ABS((O836-IF($C836="LT",Config!$F$10,Config!$F$22))/IF($C836="LT",Config!$G$10,Config!$G$22)))</f>
        <v/>
      </c>
      <c r="AB836">
        <f>IF(OR(P836=0,P836=""),"",ABS((P836-IF($C836="LT",Config!$F$11,Config!$F$23))/IF($C836="LT",Config!$G$11,Config!$G$23)))</f>
        <v/>
      </c>
      <c r="AC836">
        <f>IF(OR(Q836=0,Q836=""),"",ABS((Q836-IF($C836="LT",Config!$F$12,Config!$F$24))/IF($C836="LT",Config!$G$12,Config!$G$24)))</f>
        <v/>
      </c>
      <c r="AD836">
        <f>IF(OR(R836=0,R836=""),"",ABS((R836-IF($C836="LT",Config!$F$13,Config!$F$25))/IF($C836="LT",Config!$G$13,Config!$G$25)))</f>
        <v/>
      </c>
    </row>
    <row r="837">
      <c r="A837" t="inlineStr">
        <is>
          <t>04D1426121376</t>
        </is>
      </c>
      <c r="B837" t="inlineStr">
        <is>
          <t>CRS0000674</t>
        </is>
      </c>
      <c r="C837" t="inlineStr">
        <is>
          <t>MT</t>
        </is>
      </c>
      <c r="D837" t="inlineStr">
        <is>
          <t>TCX413U-DS1B01</t>
        </is>
      </c>
      <c r="E837" s="2" t="n">
        <v>46133</v>
      </c>
      <c r="F837" t="inlineStr">
        <is>
          <t>Pass</t>
        </is>
      </c>
      <c r="G837" t="n">
        <v>104.4</v>
      </c>
      <c r="H837" t="n">
        <v>76.09999999999999</v>
      </c>
      <c r="I837" t="n">
        <v>-1957.8</v>
      </c>
      <c r="J837" t="n">
        <v>70.40000000000001</v>
      </c>
      <c r="K837" t="n">
        <v>0</v>
      </c>
      <c r="L837" t="n">
        <v>0.3</v>
      </c>
      <c r="M837" t="n">
        <v>0</v>
      </c>
      <c r="N837" t="n">
        <v>70.09999999999999</v>
      </c>
      <c r="O837" t="n">
        <v>112.01</v>
      </c>
      <c r="P837" t="n">
        <v>116.78</v>
      </c>
      <c r="Q837" t="n">
        <v>3.81</v>
      </c>
      <c r="R837" t="n">
        <v>3.71</v>
      </c>
      <c r="S837">
        <f>IF(OR(G837=0,G837=""),"",ABS((G837-IF($C837="LT",Config!$F$2,Config!$F$14))/IF($C837="LT",Config!$G$2,Config!$G$14)))</f>
        <v/>
      </c>
      <c r="T837">
        <f>IF(OR(H837=0,H837=""),"",ABS((H837-IF($C837="LT",Config!$F$3,Config!$F$15))/IF($C837="LT",Config!$G$3,Config!$G$15)))</f>
        <v/>
      </c>
      <c r="U837">
        <f>IF(OR(I837=0,I837=""),"",ABS((I837-IF($C837="LT",Config!$F$4,Config!$F$16))/IF($C837="LT",Config!$G$4,Config!$G$16)))</f>
        <v/>
      </c>
      <c r="V837">
        <f>IF(OR(J837=0,J837=""),"",ABS((J837-IF($C837="LT",Config!$F$5,Config!$F$17))/IF($C837="LT",Config!$G$5,Config!$G$17)))</f>
        <v/>
      </c>
      <c r="W837">
        <f>IF(OR(K837=0,K837=""),"",ABS((K837-IF($C837="LT",Config!$F$6,Config!$F$18))/IF($C837="LT",Config!$G$6,Config!$G$18)))</f>
        <v/>
      </c>
      <c r="X837">
        <f>IF(OR(L837=0,L837=""),"",ABS((L837-IF($C837="LT",Config!$F$7,Config!$F$19))/IF($C837="LT",Config!$G$7,Config!$G$19)))</f>
        <v/>
      </c>
      <c r="Y837">
        <f>IF(OR(M837=0,M837=""),"",ABS((M837-IF($C837="LT",Config!$F$8,Config!$F$20))/IF($C837="LT",Config!$G$8,Config!$G$20)))</f>
        <v/>
      </c>
      <c r="Z837">
        <f>IF(OR(N837=0,N837=""),"",ABS((N837-IF($C837="LT",Config!$F$9,Config!$F$21))/IF($C837="LT",Config!$G$9,Config!$G$21)))</f>
        <v/>
      </c>
      <c r="AA837">
        <f>IF(OR(O837=0,O837=""),"",ABS((O837-IF($C837="LT",Config!$F$10,Config!$F$22))/IF($C837="LT",Config!$G$10,Config!$G$22)))</f>
        <v/>
      </c>
      <c r="AB837">
        <f>IF(OR(P837=0,P837=""),"",ABS((P837-IF($C837="LT",Config!$F$11,Config!$F$23))/IF($C837="LT",Config!$G$11,Config!$G$23)))</f>
        <v/>
      </c>
      <c r="AC837">
        <f>IF(OR(Q837=0,Q837=""),"",ABS((Q837-IF($C837="LT",Config!$F$12,Config!$F$24))/IF($C837="LT",Config!$G$12,Config!$G$24)))</f>
        <v/>
      </c>
      <c r="AD837">
        <f>IF(OR(R837=0,R837=""),"",ABS((R837-IF($C837="LT",Config!$F$13,Config!$F$25))/IF($C837="LT",Config!$G$13,Config!$G$25)))</f>
        <v/>
      </c>
    </row>
    <row r="838">
      <c r="A838" t="inlineStr">
        <is>
          <t>04D1526121394</t>
        </is>
      </c>
      <c r="B838" t="inlineStr">
        <is>
          <t>CRS0000674</t>
        </is>
      </c>
      <c r="C838" t="inlineStr">
        <is>
          <t>MT</t>
        </is>
      </c>
      <c r="D838" t="inlineStr">
        <is>
          <t>TCX413U-DS1B01</t>
        </is>
      </c>
      <c r="E838" s="2" t="n">
        <v>46134</v>
      </c>
      <c r="F838" t="inlineStr">
        <is>
          <t>Pass</t>
        </is>
      </c>
      <c r="G838" t="n">
        <v>109.3</v>
      </c>
      <c r="H838" t="n">
        <v>76.59999999999999</v>
      </c>
      <c r="I838" t="n">
        <v>-1957.8</v>
      </c>
      <c r="J838" t="n">
        <v>67.7</v>
      </c>
      <c r="K838" t="n">
        <v>0</v>
      </c>
      <c r="L838" t="n">
        <v>1.1</v>
      </c>
      <c r="M838" t="n">
        <v>0</v>
      </c>
      <c r="N838" t="n">
        <v>66.59999999999999</v>
      </c>
      <c r="O838" t="n">
        <v>111.72</v>
      </c>
      <c r="P838" t="n">
        <v>113.26</v>
      </c>
      <c r="Q838" t="n">
        <v>3.74</v>
      </c>
      <c r="R838" t="n">
        <v>3.74</v>
      </c>
      <c r="S838">
        <f>IF(OR(G838=0,G838=""),"",ABS((G838-IF($C838="LT",Config!$F$2,Config!$F$14))/IF($C838="LT",Config!$G$2,Config!$G$14)))</f>
        <v/>
      </c>
      <c r="T838">
        <f>IF(OR(H838=0,H838=""),"",ABS((H838-IF($C838="LT",Config!$F$3,Config!$F$15))/IF($C838="LT",Config!$G$3,Config!$G$15)))</f>
        <v/>
      </c>
      <c r="U838">
        <f>IF(OR(I838=0,I838=""),"",ABS((I838-IF($C838="LT",Config!$F$4,Config!$F$16))/IF($C838="LT",Config!$G$4,Config!$G$16)))</f>
        <v/>
      </c>
      <c r="V838">
        <f>IF(OR(J838=0,J838=""),"",ABS((J838-IF($C838="LT",Config!$F$5,Config!$F$17))/IF($C838="LT",Config!$G$5,Config!$G$17)))</f>
        <v/>
      </c>
      <c r="W838">
        <f>IF(OR(K838=0,K838=""),"",ABS((K838-IF($C838="LT",Config!$F$6,Config!$F$18))/IF($C838="LT",Config!$G$6,Config!$G$18)))</f>
        <v/>
      </c>
      <c r="X838">
        <f>IF(OR(L838=0,L838=""),"",ABS((L838-IF($C838="LT",Config!$F$7,Config!$F$19))/IF($C838="LT",Config!$G$7,Config!$G$19)))</f>
        <v/>
      </c>
      <c r="Y838">
        <f>IF(OR(M838=0,M838=""),"",ABS((M838-IF($C838="LT",Config!$F$8,Config!$F$20))/IF($C838="LT",Config!$G$8,Config!$G$20)))</f>
        <v/>
      </c>
      <c r="Z838">
        <f>IF(OR(N838=0,N838=""),"",ABS((N838-IF($C838="LT",Config!$F$9,Config!$F$21))/IF($C838="LT",Config!$G$9,Config!$G$21)))</f>
        <v/>
      </c>
      <c r="AA838">
        <f>IF(OR(O838=0,O838=""),"",ABS((O838-IF($C838="LT",Config!$F$10,Config!$F$22))/IF($C838="LT",Config!$G$10,Config!$G$22)))</f>
        <v/>
      </c>
      <c r="AB838">
        <f>IF(OR(P838=0,P838=""),"",ABS((P838-IF($C838="LT",Config!$F$11,Config!$F$23))/IF($C838="LT",Config!$G$11,Config!$G$23)))</f>
        <v/>
      </c>
      <c r="AC838">
        <f>IF(OR(Q838=0,Q838=""),"",ABS((Q838-IF($C838="LT",Config!$F$12,Config!$F$24))/IF($C838="LT",Config!$G$12,Config!$G$24)))</f>
        <v/>
      </c>
      <c r="AD838">
        <f>IF(OR(R838=0,R838=""),"",ABS((R838-IF($C838="LT",Config!$F$13,Config!$F$25))/IF($C838="LT",Config!$G$13,Config!$G$25)))</f>
        <v/>
      </c>
    </row>
    <row r="839">
      <c r="A839" t="inlineStr">
        <is>
          <t>04D1426121375</t>
        </is>
      </c>
      <c r="B839" t="inlineStr">
        <is>
          <t>CRS0000674</t>
        </is>
      </c>
      <c r="C839" t="inlineStr">
        <is>
          <t>MT</t>
        </is>
      </c>
      <c r="D839" t="inlineStr">
        <is>
          <t>TCX413U-DS1B01</t>
        </is>
      </c>
      <c r="E839" s="2" t="n">
        <v>46134</v>
      </c>
      <c r="F839" t="inlineStr">
        <is>
          <t>Pass</t>
        </is>
      </c>
      <c r="G839" t="n">
        <v>105.7</v>
      </c>
      <c r="H839" t="n">
        <v>76.09999999999999</v>
      </c>
      <c r="I839" t="n">
        <v>-1957.8</v>
      </c>
      <c r="J839" t="n">
        <v>67.7</v>
      </c>
      <c r="K839" t="n">
        <v>0</v>
      </c>
      <c r="L839" t="n">
        <v>0.2</v>
      </c>
      <c r="M839" t="n">
        <v>0</v>
      </c>
      <c r="N839" t="n">
        <v>67.5</v>
      </c>
      <c r="O839" t="n">
        <v>115.31</v>
      </c>
      <c r="P839" t="n">
        <v>115.38</v>
      </c>
      <c r="Q839" t="n">
        <v>3.59</v>
      </c>
      <c r="R839" t="n">
        <v>3.59</v>
      </c>
      <c r="S839">
        <f>IF(OR(G839=0,G839=""),"",ABS((G839-IF($C839="LT",Config!$F$2,Config!$F$14))/IF($C839="LT",Config!$G$2,Config!$G$14)))</f>
        <v/>
      </c>
      <c r="T839">
        <f>IF(OR(H839=0,H839=""),"",ABS((H839-IF($C839="LT",Config!$F$3,Config!$F$15))/IF($C839="LT",Config!$G$3,Config!$G$15)))</f>
        <v/>
      </c>
      <c r="U839">
        <f>IF(OR(I839=0,I839=""),"",ABS((I839-IF($C839="LT",Config!$F$4,Config!$F$16))/IF($C839="LT",Config!$G$4,Config!$G$16)))</f>
        <v/>
      </c>
      <c r="V839">
        <f>IF(OR(J839=0,J839=""),"",ABS((J839-IF($C839="LT",Config!$F$5,Config!$F$17))/IF($C839="LT",Config!$G$5,Config!$G$17)))</f>
        <v/>
      </c>
      <c r="W839">
        <f>IF(OR(K839=0,K839=""),"",ABS((K839-IF($C839="LT",Config!$F$6,Config!$F$18))/IF($C839="LT",Config!$G$6,Config!$G$18)))</f>
        <v/>
      </c>
      <c r="X839">
        <f>IF(OR(L839=0,L839=""),"",ABS((L839-IF($C839="LT",Config!$F$7,Config!$F$19))/IF($C839="LT",Config!$G$7,Config!$G$19)))</f>
        <v/>
      </c>
      <c r="Y839">
        <f>IF(OR(M839=0,M839=""),"",ABS((M839-IF($C839="LT",Config!$F$8,Config!$F$20))/IF($C839="LT",Config!$G$8,Config!$G$20)))</f>
        <v/>
      </c>
      <c r="Z839">
        <f>IF(OR(N839=0,N839=""),"",ABS((N839-IF($C839="LT",Config!$F$9,Config!$F$21))/IF($C839="LT",Config!$G$9,Config!$G$21)))</f>
        <v/>
      </c>
      <c r="AA839">
        <f>IF(OR(O839=0,O839=""),"",ABS((O839-IF($C839="LT",Config!$F$10,Config!$F$22))/IF($C839="LT",Config!$G$10,Config!$G$22)))</f>
        <v/>
      </c>
      <c r="AB839">
        <f>IF(OR(P839=0,P839=""),"",ABS((P839-IF($C839="LT",Config!$F$11,Config!$F$23))/IF($C839="LT",Config!$G$11,Config!$G$23)))</f>
        <v/>
      </c>
      <c r="AC839">
        <f>IF(OR(Q839=0,Q839=""),"",ABS((Q839-IF($C839="LT",Config!$F$12,Config!$F$24))/IF($C839="LT",Config!$G$12,Config!$G$24)))</f>
        <v/>
      </c>
      <c r="AD839">
        <f>IF(OR(R839=0,R839=""),"",ABS((R839-IF($C839="LT",Config!$F$13,Config!$F$25))/IF($C839="LT",Config!$G$13,Config!$G$25)))</f>
        <v/>
      </c>
    </row>
    <row r="840">
      <c r="A840" t="inlineStr">
        <is>
          <t>04D1426121372</t>
        </is>
      </c>
      <c r="B840" t="inlineStr">
        <is>
          <t>CRS0000674</t>
        </is>
      </c>
      <c r="C840" t="inlineStr">
        <is>
          <t>MT</t>
        </is>
      </c>
      <c r="D840" t="inlineStr">
        <is>
          <t>TCX413U-DS1B01</t>
        </is>
      </c>
      <c r="E840" s="2" t="n">
        <v>46134</v>
      </c>
      <c r="F840" t="inlineStr">
        <is>
          <t>Pass</t>
        </is>
      </c>
      <c r="G840" t="n">
        <v>107</v>
      </c>
      <c r="H840" t="n">
        <v>75.7</v>
      </c>
      <c r="I840" t="n">
        <v>-1957.8</v>
      </c>
      <c r="J840" t="n">
        <v>67.7</v>
      </c>
      <c r="K840" t="n">
        <v>0</v>
      </c>
      <c r="L840" t="n">
        <v>0.6</v>
      </c>
      <c r="M840" t="n">
        <v>0</v>
      </c>
      <c r="N840" t="n">
        <v>67.09999999999999</v>
      </c>
      <c r="O840" t="n">
        <v>112.16</v>
      </c>
      <c r="P840" t="n">
        <v>117</v>
      </c>
      <c r="Q840" t="n">
        <v>3.78</v>
      </c>
      <c r="R840" t="n">
        <v>3.71</v>
      </c>
      <c r="S840">
        <f>IF(OR(G840=0,G840=""),"",ABS((G840-IF($C840="LT",Config!$F$2,Config!$F$14))/IF($C840="LT",Config!$G$2,Config!$G$14)))</f>
        <v/>
      </c>
      <c r="T840">
        <f>IF(OR(H840=0,H840=""),"",ABS((H840-IF($C840="LT",Config!$F$3,Config!$F$15))/IF($C840="LT",Config!$G$3,Config!$G$15)))</f>
        <v/>
      </c>
      <c r="U840">
        <f>IF(OR(I840=0,I840=""),"",ABS((I840-IF($C840="LT",Config!$F$4,Config!$F$16))/IF($C840="LT",Config!$G$4,Config!$G$16)))</f>
        <v/>
      </c>
      <c r="V840">
        <f>IF(OR(J840=0,J840=""),"",ABS((J840-IF($C840="LT",Config!$F$5,Config!$F$17))/IF($C840="LT",Config!$G$5,Config!$G$17)))</f>
        <v/>
      </c>
      <c r="W840">
        <f>IF(OR(K840=0,K840=""),"",ABS((K840-IF($C840="LT",Config!$F$6,Config!$F$18))/IF($C840="LT",Config!$G$6,Config!$G$18)))</f>
        <v/>
      </c>
      <c r="X840">
        <f>IF(OR(L840=0,L840=""),"",ABS((L840-IF($C840="LT",Config!$F$7,Config!$F$19))/IF($C840="LT",Config!$G$7,Config!$G$19)))</f>
        <v/>
      </c>
      <c r="Y840">
        <f>IF(OR(M840=0,M840=""),"",ABS((M840-IF($C840="LT",Config!$F$8,Config!$F$20))/IF($C840="LT",Config!$G$8,Config!$G$20)))</f>
        <v/>
      </c>
      <c r="Z840">
        <f>IF(OR(N840=0,N840=""),"",ABS((N840-IF($C840="LT",Config!$F$9,Config!$F$21))/IF($C840="LT",Config!$G$9,Config!$G$21)))</f>
        <v/>
      </c>
      <c r="AA840">
        <f>IF(OR(O840=0,O840=""),"",ABS((O840-IF($C840="LT",Config!$F$10,Config!$F$22))/IF($C840="LT",Config!$G$10,Config!$G$22)))</f>
        <v/>
      </c>
      <c r="AB840">
        <f>IF(OR(P840=0,P840=""),"",ABS((P840-IF($C840="LT",Config!$F$11,Config!$F$23))/IF($C840="LT",Config!$G$11,Config!$G$23)))</f>
        <v/>
      </c>
      <c r="AC840">
        <f>IF(OR(Q840=0,Q840=""),"",ABS((Q840-IF($C840="LT",Config!$F$12,Config!$F$24))/IF($C840="LT",Config!$G$12,Config!$G$24)))</f>
        <v/>
      </c>
      <c r="AD840">
        <f>IF(OR(R840=0,R840=""),"",ABS((R840-IF($C840="LT",Config!$F$13,Config!$F$25))/IF($C840="LT",Config!$G$13,Config!$G$25)))</f>
        <v/>
      </c>
    </row>
    <row r="841">
      <c r="A841" t="inlineStr">
        <is>
          <t>04D1426121367</t>
        </is>
      </c>
      <c r="B841" t="inlineStr">
        <is>
          <t>CRS0000674</t>
        </is>
      </c>
      <c r="C841" t="inlineStr">
        <is>
          <t>MT</t>
        </is>
      </c>
      <c r="D841" t="inlineStr">
        <is>
          <t>TCX413U-DS1B01</t>
        </is>
      </c>
      <c r="E841" s="2" t="n">
        <v>46134</v>
      </c>
      <c r="F841" t="inlineStr">
        <is>
          <t>Pass</t>
        </is>
      </c>
      <c r="G841" t="n">
        <v>108.8</v>
      </c>
      <c r="H841" t="n">
        <v>76.59999999999999</v>
      </c>
      <c r="I841" t="n">
        <v>-1957.8</v>
      </c>
      <c r="J841" t="n">
        <v>67.7</v>
      </c>
      <c r="K841" t="n">
        <v>0</v>
      </c>
      <c r="L841" t="n">
        <v>0.6</v>
      </c>
      <c r="M841" t="n">
        <v>0</v>
      </c>
      <c r="N841" t="n">
        <v>67.09999999999999</v>
      </c>
      <c r="O841" t="n">
        <v>115.53</v>
      </c>
      <c r="P841" t="n">
        <v>113.99</v>
      </c>
      <c r="Q841" t="n">
        <v>3.61</v>
      </c>
      <c r="R841" t="n">
        <v>3.64</v>
      </c>
      <c r="S841">
        <f>IF(OR(G841=0,G841=""),"",ABS((G841-IF($C841="LT",Config!$F$2,Config!$F$14))/IF($C841="LT",Config!$G$2,Config!$G$14)))</f>
        <v/>
      </c>
      <c r="T841">
        <f>IF(OR(H841=0,H841=""),"",ABS((H841-IF($C841="LT",Config!$F$3,Config!$F$15))/IF($C841="LT",Config!$G$3,Config!$G$15)))</f>
        <v/>
      </c>
      <c r="U841">
        <f>IF(OR(I841=0,I841=""),"",ABS((I841-IF($C841="LT",Config!$F$4,Config!$F$16))/IF($C841="LT",Config!$G$4,Config!$G$16)))</f>
        <v/>
      </c>
      <c r="V841">
        <f>IF(OR(J841=0,J841=""),"",ABS((J841-IF($C841="LT",Config!$F$5,Config!$F$17))/IF($C841="LT",Config!$G$5,Config!$G$17)))</f>
        <v/>
      </c>
      <c r="W841">
        <f>IF(OR(K841=0,K841=""),"",ABS((K841-IF($C841="LT",Config!$F$6,Config!$F$18))/IF($C841="LT",Config!$G$6,Config!$G$18)))</f>
        <v/>
      </c>
      <c r="X841">
        <f>IF(OR(L841=0,L841=""),"",ABS((L841-IF($C841="LT",Config!$F$7,Config!$F$19))/IF($C841="LT",Config!$G$7,Config!$G$19)))</f>
        <v/>
      </c>
      <c r="Y841">
        <f>IF(OR(M841=0,M841=""),"",ABS((M841-IF($C841="LT",Config!$F$8,Config!$F$20))/IF($C841="LT",Config!$G$8,Config!$G$20)))</f>
        <v/>
      </c>
      <c r="Z841">
        <f>IF(OR(N841=0,N841=""),"",ABS((N841-IF($C841="LT",Config!$F$9,Config!$F$21))/IF($C841="LT",Config!$G$9,Config!$G$21)))</f>
        <v/>
      </c>
      <c r="AA841">
        <f>IF(OR(O841=0,O841=""),"",ABS((O841-IF($C841="LT",Config!$F$10,Config!$F$22))/IF($C841="LT",Config!$G$10,Config!$G$22)))</f>
        <v/>
      </c>
      <c r="AB841">
        <f>IF(OR(P841=0,P841=""),"",ABS((P841-IF($C841="LT",Config!$F$11,Config!$F$23))/IF($C841="LT",Config!$G$11,Config!$G$23)))</f>
        <v/>
      </c>
      <c r="AC841">
        <f>IF(OR(Q841=0,Q841=""),"",ABS((Q841-IF($C841="LT",Config!$F$12,Config!$F$24))/IF($C841="LT",Config!$G$12,Config!$G$24)))</f>
        <v/>
      </c>
      <c r="AD841">
        <f>IF(OR(R841=0,R841=""),"",ABS((R841-IF($C841="LT",Config!$F$13,Config!$F$25))/IF($C841="LT",Config!$G$13,Config!$G$25)))</f>
        <v/>
      </c>
    </row>
    <row r="842">
      <c r="A842" t="inlineStr">
        <is>
          <t>04D1326121364</t>
        </is>
      </c>
      <c r="B842" t="inlineStr">
        <is>
          <t>CRS0000674</t>
        </is>
      </c>
      <c r="C842" t="inlineStr">
        <is>
          <t>MT</t>
        </is>
      </c>
      <c r="D842" t="inlineStr">
        <is>
          <t>TCX413U-DS1B01</t>
        </is>
      </c>
      <c r="E842" s="2" t="n">
        <v>46134</v>
      </c>
      <c r="F842" t="inlineStr">
        <is>
          <t>Pass</t>
        </is>
      </c>
      <c r="G842" t="n">
        <v>111.5</v>
      </c>
      <c r="H842" t="n">
        <v>77.90000000000001</v>
      </c>
      <c r="I842" t="n">
        <v>-1957.8</v>
      </c>
      <c r="J842" t="n">
        <v>68.2</v>
      </c>
      <c r="K842" t="n">
        <v>0</v>
      </c>
      <c r="L842" t="n">
        <v>0.1</v>
      </c>
      <c r="M842" t="n">
        <v>0</v>
      </c>
      <c r="N842" t="n">
        <v>68.09999999999999</v>
      </c>
      <c r="O842" t="n">
        <v>115.46</v>
      </c>
      <c r="P842" t="n">
        <v>115.6</v>
      </c>
      <c r="Q842" t="n">
        <v>3.66</v>
      </c>
      <c r="R842" t="n">
        <v>3.64</v>
      </c>
      <c r="S842">
        <f>IF(OR(G842=0,G842=""),"",ABS((G842-IF($C842="LT",Config!$F$2,Config!$F$14))/IF($C842="LT",Config!$G$2,Config!$G$14)))</f>
        <v/>
      </c>
      <c r="T842">
        <f>IF(OR(H842=0,H842=""),"",ABS((H842-IF($C842="LT",Config!$F$3,Config!$F$15))/IF($C842="LT",Config!$G$3,Config!$G$15)))</f>
        <v/>
      </c>
      <c r="U842">
        <f>IF(OR(I842=0,I842=""),"",ABS((I842-IF($C842="LT",Config!$F$4,Config!$F$16))/IF($C842="LT",Config!$G$4,Config!$G$16)))</f>
        <v/>
      </c>
      <c r="V842">
        <f>IF(OR(J842=0,J842=""),"",ABS((J842-IF($C842="LT",Config!$F$5,Config!$F$17))/IF($C842="LT",Config!$G$5,Config!$G$17)))</f>
        <v/>
      </c>
      <c r="W842">
        <f>IF(OR(K842=0,K842=""),"",ABS((K842-IF($C842="LT",Config!$F$6,Config!$F$18))/IF($C842="LT",Config!$G$6,Config!$G$18)))</f>
        <v/>
      </c>
      <c r="X842">
        <f>IF(OR(L842=0,L842=""),"",ABS((L842-IF($C842="LT",Config!$F$7,Config!$F$19))/IF($C842="LT",Config!$G$7,Config!$G$19)))</f>
        <v/>
      </c>
      <c r="Y842">
        <f>IF(OR(M842=0,M842=""),"",ABS((M842-IF($C842="LT",Config!$F$8,Config!$F$20))/IF($C842="LT",Config!$G$8,Config!$G$20)))</f>
        <v/>
      </c>
      <c r="Z842">
        <f>IF(OR(N842=0,N842=""),"",ABS((N842-IF($C842="LT",Config!$F$9,Config!$F$21))/IF($C842="LT",Config!$G$9,Config!$G$21)))</f>
        <v/>
      </c>
      <c r="AA842">
        <f>IF(OR(O842=0,O842=""),"",ABS((O842-IF($C842="LT",Config!$F$10,Config!$F$22))/IF($C842="LT",Config!$G$10,Config!$G$22)))</f>
        <v/>
      </c>
      <c r="AB842">
        <f>IF(OR(P842=0,P842=""),"",ABS((P842-IF($C842="LT",Config!$F$11,Config!$F$23))/IF($C842="LT",Config!$G$11,Config!$G$23)))</f>
        <v/>
      </c>
      <c r="AC842">
        <f>IF(OR(Q842=0,Q842=""),"",ABS((Q842-IF($C842="LT",Config!$F$12,Config!$F$24))/IF($C842="LT",Config!$G$12,Config!$G$24)))</f>
        <v/>
      </c>
      <c r="AD842">
        <f>IF(OR(R842=0,R842=""),"",ABS((R842-IF($C842="LT",Config!$F$13,Config!$F$25))/IF($C842="LT",Config!$G$13,Config!$G$25)))</f>
        <v/>
      </c>
    </row>
    <row r="843">
      <c r="A843" t="inlineStr">
        <is>
          <t>04D1426121387</t>
        </is>
      </c>
      <c r="B843" t="inlineStr">
        <is>
          <t>CRS0000674</t>
        </is>
      </c>
      <c r="C843" t="inlineStr">
        <is>
          <t>MT</t>
        </is>
      </c>
      <c r="D843" t="inlineStr">
        <is>
          <t>TCX413U-DS1B01</t>
        </is>
      </c>
      <c r="E843" s="2" t="n">
        <v>46134</v>
      </c>
      <c r="F843" t="inlineStr">
        <is>
          <t>Pass</t>
        </is>
      </c>
      <c r="G843" t="n">
        <v>112.4</v>
      </c>
      <c r="H843" t="n">
        <v>75.2</v>
      </c>
      <c r="I843" t="n">
        <v>-1957.8</v>
      </c>
      <c r="J843" t="n">
        <v>68.2</v>
      </c>
      <c r="K843" t="n">
        <v>0</v>
      </c>
      <c r="L843" t="n">
        <v>0.1</v>
      </c>
      <c r="M843" t="n">
        <v>0</v>
      </c>
      <c r="N843" t="n">
        <v>68.09999999999999</v>
      </c>
      <c r="O843" t="n">
        <v>111.94</v>
      </c>
      <c r="P843" t="n">
        <v>116.48</v>
      </c>
      <c r="Q843" t="n">
        <v>3.74</v>
      </c>
      <c r="R843" t="n">
        <v>3.64</v>
      </c>
      <c r="S843">
        <f>IF(OR(G843=0,G843=""),"",ABS((G843-IF($C843="LT",Config!$F$2,Config!$F$14))/IF($C843="LT",Config!$G$2,Config!$G$14)))</f>
        <v/>
      </c>
      <c r="T843">
        <f>IF(OR(H843=0,H843=""),"",ABS((H843-IF($C843="LT",Config!$F$3,Config!$F$15))/IF($C843="LT",Config!$G$3,Config!$G$15)))</f>
        <v/>
      </c>
      <c r="U843">
        <f>IF(OR(I843=0,I843=""),"",ABS((I843-IF($C843="LT",Config!$F$4,Config!$F$16))/IF($C843="LT",Config!$G$4,Config!$G$16)))</f>
        <v/>
      </c>
      <c r="V843">
        <f>IF(OR(J843=0,J843=""),"",ABS((J843-IF($C843="LT",Config!$F$5,Config!$F$17))/IF($C843="LT",Config!$G$5,Config!$G$17)))</f>
        <v/>
      </c>
      <c r="W843">
        <f>IF(OR(K843=0,K843=""),"",ABS((K843-IF($C843="LT",Config!$F$6,Config!$F$18))/IF($C843="LT",Config!$G$6,Config!$G$18)))</f>
        <v/>
      </c>
      <c r="X843">
        <f>IF(OR(L843=0,L843=""),"",ABS((L843-IF($C843="LT",Config!$F$7,Config!$F$19))/IF($C843="LT",Config!$G$7,Config!$G$19)))</f>
        <v/>
      </c>
      <c r="Y843">
        <f>IF(OR(M843=0,M843=""),"",ABS((M843-IF($C843="LT",Config!$F$8,Config!$F$20))/IF($C843="LT",Config!$G$8,Config!$G$20)))</f>
        <v/>
      </c>
      <c r="Z843">
        <f>IF(OR(N843=0,N843=""),"",ABS((N843-IF($C843="LT",Config!$F$9,Config!$F$21))/IF($C843="LT",Config!$G$9,Config!$G$21)))</f>
        <v/>
      </c>
      <c r="AA843">
        <f>IF(OR(O843=0,O843=""),"",ABS((O843-IF($C843="LT",Config!$F$10,Config!$F$22))/IF($C843="LT",Config!$G$10,Config!$G$22)))</f>
        <v/>
      </c>
      <c r="AB843">
        <f>IF(OR(P843=0,P843=""),"",ABS((P843-IF($C843="LT",Config!$F$11,Config!$F$23))/IF($C843="LT",Config!$G$11,Config!$G$23)))</f>
        <v/>
      </c>
      <c r="AC843">
        <f>IF(OR(Q843=0,Q843=""),"",ABS((Q843-IF($C843="LT",Config!$F$12,Config!$F$24))/IF($C843="LT",Config!$G$12,Config!$G$24)))</f>
        <v/>
      </c>
      <c r="AD843">
        <f>IF(OR(R843=0,R843=""),"",ABS((R843-IF($C843="LT",Config!$F$13,Config!$F$25))/IF($C843="LT",Config!$G$13,Config!$G$25)))</f>
        <v/>
      </c>
    </row>
    <row r="844">
      <c r="A844" t="inlineStr">
        <is>
          <t>04D1326121362</t>
        </is>
      </c>
      <c r="B844" t="inlineStr">
        <is>
          <t>CRS0000674</t>
        </is>
      </c>
      <c r="C844" t="inlineStr">
        <is>
          <t>MT</t>
        </is>
      </c>
      <c r="D844" t="inlineStr">
        <is>
          <t>TCX413U-DS1B01</t>
        </is>
      </c>
      <c r="E844" s="2" t="n">
        <v>46134</v>
      </c>
      <c r="F844" t="inlineStr">
        <is>
          <t>Fail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>
        <f>IF(OR(G844=0,G844=""),"",ABS((G844-IF($C844="LT",Config!$F$2,Config!$F$14))/IF($C844="LT",Config!$G$2,Config!$G$14)))</f>
        <v/>
      </c>
      <c r="T844">
        <f>IF(OR(H844=0,H844=""),"",ABS((H844-IF($C844="LT",Config!$F$3,Config!$F$15))/IF($C844="LT",Config!$G$3,Config!$G$15)))</f>
        <v/>
      </c>
      <c r="U844">
        <f>IF(OR(I844=0,I844=""),"",ABS((I844-IF($C844="LT",Config!$F$4,Config!$F$16))/IF($C844="LT",Config!$G$4,Config!$G$16)))</f>
        <v/>
      </c>
      <c r="V844">
        <f>IF(OR(J844=0,J844=""),"",ABS((J844-IF($C844="LT",Config!$F$5,Config!$F$17))/IF($C844="LT",Config!$G$5,Config!$G$17)))</f>
        <v/>
      </c>
      <c r="W844">
        <f>IF(OR(K844=0,K844=""),"",ABS((K844-IF($C844="LT",Config!$F$6,Config!$F$18))/IF($C844="LT",Config!$G$6,Config!$G$18)))</f>
        <v/>
      </c>
      <c r="X844">
        <f>IF(OR(L844=0,L844=""),"",ABS((L844-IF($C844="LT",Config!$F$7,Config!$F$19))/IF($C844="LT",Config!$G$7,Config!$G$19)))</f>
        <v/>
      </c>
      <c r="Y844">
        <f>IF(OR(M844=0,M844=""),"",ABS((M844-IF($C844="LT",Config!$F$8,Config!$F$20))/IF($C844="LT",Config!$G$8,Config!$G$20)))</f>
        <v/>
      </c>
      <c r="Z844">
        <f>IF(OR(N844=0,N844=""),"",ABS((N844-IF($C844="LT",Config!$F$9,Config!$F$21))/IF($C844="LT",Config!$G$9,Config!$G$21)))</f>
        <v/>
      </c>
      <c r="AA844">
        <f>IF(OR(O844=0,O844=""),"",ABS((O844-IF($C844="LT",Config!$F$10,Config!$F$22))/IF($C844="LT",Config!$G$10,Config!$G$22)))</f>
        <v/>
      </c>
      <c r="AB844">
        <f>IF(OR(P844=0,P844=""),"",ABS((P844-IF($C844="LT",Config!$F$11,Config!$F$23))/IF($C844="LT",Config!$G$11,Config!$G$23)))</f>
        <v/>
      </c>
      <c r="AC844">
        <f>IF(OR(Q844=0,Q844=""),"",ABS((Q844-IF($C844="LT",Config!$F$12,Config!$F$24))/IF($C844="LT",Config!$G$12,Config!$G$24)))</f>
        <v/>
      </c>
      <c r="AD844">
        <f>IF(OR(R844=0,R844=""),"",ABS((R844-IF($C844="LT",Config!$F$13,Config!$F$25))/IF($C844="LT",Config!$G$13,Config!$G$25)))</f>
        <v/>
      </c>
    </row>
    <row r="845">
      <c r="A845" t="inlineStr">
        <is>
          <t>04D1326121362</t>
        </is>
      </c>
      <c r="B845" t="inlineStr">
        <is>
          <t>CRS0000674</t>
        </is>
      </c>
      <c r="C845" t="inlineStr">
        <is>
          <t>MT</t>
        </is>
      </c>
      <c r="D845" t="inlineStr">
        <is>
          <t>TCX413U-DS1B01</t>
        </is>
      </c>
      <c r="E845" s="2" t="n">
        <v>46134</v>
      </c>
      <c r="F845" t="inlineStr">
        <is>
          <t>Pass</t>
        </is>
      </c>
      <c r="G845" t="n">
        <v>112.9</v>
      </c>
      <c r="H845" t="n">
        <v>75.7</v>
      </c>
      <c r="I845" t="n">
        <v>-1957.8</v>
      </c>
      <c r="J845" t="n">
        <v>68.2</v>
      </c>
      <c r="K845" t="n">
        <v>0</v>
      </c>
      <c r="L845" t="n">
        <v>0.3</v>
      </c>
      <c r="M845" t="n">
        <v>0</v>
      </c>
      <c r="N845" t="n">
        <v>67.90000000000001</v>
      </c>
      <c r="O845" t="n">
        <v>111.86</v>
      </c>
      <c r="P845" t="n">
        <v>116.56</v>
      </c>
      <c r="Q845" t="n">
        <v>3.74</v>
      </c>
      <c r="R845" t="n">
        <v>3.69</v>
      </c>
      <c r="S845">
        <f>IF(OR(G845=0,G845=""),"",ABS((G845-IF($C845="LT",Config!$F$2,Config!$F$14))/IF($C845="LT",Config!$G$2,Config!$G$14)))</f>
        <v/>
      </c>
      <c r="T845">
        <f>IF(OR(H845=0,H845=""),"",ABS((H845-IF($C845="LT",Config!$F$3,Config!$F$15))/IF($C845="LT",Config!$G$3,Config!$G$15)))</f>
        <v/>
      </c>
      <c r="U845">
        <f>IF(OR(I845=0,I845=""),"",ABS((I845-IF($C845="LT",Config!$F$4,Config!$F$16))/IF($C845="LT",Config!$G$4,Config!$G$16)))</f>
        <v/>
      </c>
      <c r="V845">
        <f>IF(OR(J845=0,J845=""),"",ABS((J845-IF($C845="LT",Config!$F$5,Config!$F$17))/IF($C845="LT",Config!$G$5,Config!$G$17)))</f>
        <v/>
      </c>
      <c r="W845">
        <f>IF(OR(K845=0,K845=""),"",ABS((K845-IF($C845="LT",Config!$F$6,Config!$F$18))/IF($C845="LT",Config!$G$6,Config!$G$18)))</f>
        <v/>
      </c>
      <c r="X845">
        <f>IF(OR(L845=0,L845=""),"",ABS((L845-IF($C845="LT",Config!$F$7,Config!$F$19))/IF($C845="LT",Config!$G$7,Config!$G$19)))</f>
        <v/>
      </c>
      <c r="Y845">
        <f>IF(OR(M845=0,M845=""),"",ABS((M845-IF($C845="LT",Config!$F$8,Config!$F$20))/IF($C845="LT",Config!$G$8,Config!$G$20)))</f>
        <v/>
      </c>
      <c r="Z845">
        <f>IF(OR(N845=0,N845=""),"",ABS((N845-IF($C845="LT",Config!$F$9,Config!$F$21))/IF($C845="LT",Config!$G$9,Config!$G$21)))</f>
        <v/>
      </c>
      <c r="AA845">
        <f>IF(OR(O845=0,O845=""),"",ABS((O845-IF($C845="LT",Config!$F$10,Config!$F$22))/IF($C845="LT",Config!$G$10,Config!$G$22)))</f>
        <v/>
      </c>
      <c r="AB845">
        <f>IF(OR(P845=0,P845=""),"",ABS((P845-IF($C845="LT",Config!$F$11,Config!$F$23))/IF($C845="LT",Config!$G$11,Config!$G$23)))</f>
        <v/>
      </c>
      <c r="AC845">
        <f>IF(OR(Q845=0,Q845=""),"",ABS((Q845-IF($C845="LT",Config!$F$12,Config!$F$24))/IF($C845="LT",Config!$G$12,Config!$G$24)))</f>
        <v/>
      </c>
      <c r="AD845">
        <f>IF(OR(R845=0,R845=""),"",ABS((R845-IF($C845="LT",Config!$F$13,Config!$F$25))/IF($C845="LT",Config!$G$13,Config!$G$25)))</f>
        <v/>
      </c>
    </row>
    <row r="846">
      <c r="A846" t="inlineStr">
        <is>
          <t>04D1526121389</t>
        </is>
      </c>
      <c r="B846" t="inlineStr">
        <is>
          <t>CRS0000674</t>
        </is>
      </c>
      <c r="C846" t="inlineStr">
        <is>
          <t>MT</t>
        </is>
      </c>
      <c r="D846" t="inlineStr">
        <is>
          <t>TCX413U-DS1B01</t>
        </is>
      </c>
      <c r="E846" s="2" t="n">
        <v>46134</v>
      </c>
      <c r="F846" t="inlineStr">
        <is>
          <t>Fail</t>
        </is>
      </c>
      <c r="G846" t="n">
        <v>110.2</v>
      </c>
      <c r="H846" t="n">
        <v>73.90000000000001</v>
      </c>
      <c r="I846" t="n">
        <v>-1957.8</v>
      </c>
      <c r="J846" t="n">
        <v>68.2</v>
      </c>
      <c r="K846" t="n">
        <v>0</v>
      </c>
      <c r="L846" t="n">
        <v>0.2</v>
      </c>
      <c r="M846" t="n">
        <v>0</v>
      </c>
      <c r="N846" t="n">
        <v>68</v>
      </c>
      <c r="O846" t="n">
        <v>112.01</v>
      </c>
      <c r="P846" t="n">
        <v>116.7</v>
      </c>
      <c r="Q846" t="n">
        <v>3.66</v>
      </c>
      <c r="R846" t="n">
        <v>3.59</v>
      </c>
      <c r="S846">
        <f>IF(OR(G846=0,G846=""),"",ABS((G846-IF($C846="LT",Config!$F$2,Config!$F$14))/IF($C846="LT",Config!$G$2,Config!$G$14)))</f>
        <v/>
      </c>
      <c r="T846">
        <f>IF(OR(H846=0,H846=""),"",ABS((H846-IF($C846="LT",Config!$F$3,Config!$F$15))/IF($C846="LT",Config!$G$3,Config!$G$15)))</f>
        <v/>
      </c>
      <c r="U846">
        <f>IF(OR(I846=0,I846=""),"",ABS((I846-IF($C846="LT",Config!$F$4,Config!$F$16))/IF($C846="LT",Config!$G$4,Config!$G$16)))</f>
        <v/>
      </c>
      <c r="V846">
        <f>IF(OR(J846=0,J846=""),"",ABS((J846-IF($C846="LT",Config!$F$5,Config!$F$17))/IF($C846="LT",Config!$G$5,Config!$G$17)))</f>
        <v/>
      </c>
      <c r="W846">
        <f>IF(OR(K846=0,K846=""),"",ABS((K846-IF($C846="LT",Config!$F$6,Config!$F$18))/IF($C846="LT",Config!$G$6,Config!$G$18)))</f>
        <v/>
      </c>
      <c r="X846">
        <f>IF(OR(L846=0,L846=""),"",ABS((L846-IF($C846="LT",Config!$F$7,Config!$F$19))/IF($C846="LT",Config!$G$7,Config!$G$19)))</f>
        <v/>
      </c>
      <c r="Y846">
        <f>IF(OR(M846=0,M846=""),"",ABS((M846-IF($C846="LT",Config!$F$8,Config!$F$20))/IF($C846="LT",Config!$G$8,Config!$G$20)))</f>
        <v/>
      </c>
      <c r="Z846">
        <f>IF(OR(N846=0,N846=""),"",ABS((N846-IF($C846="LT",Config!$F$9,Config!$F$21))/IF($C846="LT",Config!$G$9,Config!$G$21)))</f>
        <v/>
      </c>
      <c r="AA846">
        <f>IF(OR(O846=0,O846=""),"",ABS((O846-IF($C846="LT",Config!$F$10,Config!$F$22))/IF($C846="LT",Config!$G$10,Config!$G$22)))</f>
        <v/>
      </c>
      <c r="AB846">
        <f>IF(OR(P846=0,P846=""),"",ABS((P846-IF($C846="LT",Config!$F$11,Config!$F$23))/IF($C846="LT",Config!$G$11,Config!$G$23)))</f>
        <v/>
      </c>
      <c r="AC846">
        <f>IF(OR(Q846=0,Q846=""),"",ABS((Q846-IF($C846="LT",Config!$F$12,Config!$F$24))/IF($C846="LT",Config!$G$12,Config!$G$24)))</f>
        <v/>
      </c>
      <c r="AD846">
        <f>IF(OR(R846=0,R846=""),"",ABS((R846-IF($C846="LT",Config!$F$13,Config!$F$25))/IF($C846="LT",Config!$G$13,Config!$G$25)))</f>
        <v/>
      </c>
    </row>
    <row r="847">
      <c r="A847" t="inlineStr">
        <is>
          <t>04D1526121389</t>
        </is>
      </c>
      <c r="B847" t="inlineStr">
        <is>
          <t>CRS0000674</t>
        </is>
      </c>
      <c r="C847" t="inlineStr">
        <is>
          <t>MT</t>
        </is>
      </c>
      <c r="D847" t="inlineStr">
        <is>
          <t>TCX413U-DS1B01</t>
        </is>
      </c>
      <c r="E847" s="2" t="n">
        <v>46134</v>
      </c>
      <c r="F847" t="inlineStr">
        <is>
          <t>Fail</t>
        </is>
      </c>
      <c r="G847" t="n">
        <v>109.3</v>
      </c>
      <c r="H847" t="n">
        <v>74.8</v>
      </c>
      <c r="I847" t="n">
        <v>-1957.8</v>
      </c>
      <c r="J847" t="n">
        <v>68.2</v>
      </c>
      <c r="K847" t="n">
        <v>0</v>
      </c>
      <c r="L847" t="n">
        <v>1.3</v>
      </c>
      <c r="M847" t="n">
        <v>0</v>
      </c>
      <c r="N847" t="n">
        <v>66.90000000000001</v>
      </c>
      <c r="O847" t="n">
        <v>112.16</v>
      </c>
      <c r="P847" t="n">
        <v>113.62</v>
      </c>
      <c r="Q847" t="n">
        <v>3.59</v>
      </c>
      <c r="R847" t="n">
        <v>3.52</v>
      </c>
      <c r="S847">
        <f>IF(OR(G847=0,G847=""),"",ABS((G847-IF($C847="LT",Config!$F$2,Config!$F$14))/IF($C847="LT",Config!$G$2,Config!$G$14)))</f>
        <v/>
      </c>
      <c r="T847">
        <f>IF(OR(H847=0,H847=""),"",ABS((H847-IF($C847="LT",Config!$F$3,Config!$F$15))/IF($C847="LT",Config!$G$3,Config!$G$15)))</f>
        <v/>
      </c>
      <c r="U847">
        <f>IF(OR(I847=0,I847=""),"",ABS((I847-IF($C847="LT",Config!$F$4,Config!$F$16))/IF($C847="LT",Config!$G$4,Config!$G$16)))</f>
        <v/>
      </c>
      <c r="V847">
        <f>IF(OR(J847=0,J847=""),"",ABS((J847-IF($C847="LT",Config!$F$5,Config!$F$17))/IF($C847="LT",Config!$G$5,Config!$G$17)))</f>
        <v/>
      </c>
      <c r="W847">
        <f>IF(OR(K847=0,K847=""),"",ABS((K847-IF($C847="LT",Config!$F$6,Config!$F$18))/IF($C847="LT",Config!$G$6,Config!$G$18)))</f>
        <v/>
      </c>
      <c r="X847">
        <f>IF(OR(L847=0,L847=""),"",ABS((L847-IF($C847="LT",Config!$F$7,Config!$F$19))/IF($C847="LT",Config!$G$7,Config!$G$19)))</f>
        <v/>
      </c>
      <c r="Y847">
        <f>IF(OR(M847=0,M847=""),"",ABS((M847-IF($C847="LT",Config!$F$8,Config!$F$20))/IF($C847="LT",Config!$G$8,Config!$G$20)))</f>
        <v/>
      </c>
      <c r="Z847">
        <f>IF(OR(N847=0,N847=""),"",ABS((N847-IF($C847="LT",Config!$F$9,Config!$F$21))/IF($C847="LT",Config!$G$9,Config!$G$21)))</f>
        <v/>
      </c>
      <c r="AA847">
        <f>IF(OR(O847=0,O847=""),"",ABS((O847-IF($C847="LT",Config!$F$10,Config!$F$22))/IF($C847="LT",Config!$G$10,Config!$G$22)))</f>
        <v/>
      </c>
      <c r="AB847">
        <f>IF(OR(P847=0,P847=""),"",ABS((P847-IF($C847="LT",Config!$F$11,Config!$F$23))/IF($C847="LT",Config!$G$11,Config!$G$23)))</f>
        <v/>
      </c>
      <c r="AC847">
        <f>IF(OR(Q847=0,Q847=""),"",ABS((Q847-IF($C847="LT",Config!$F$12,Config!$F$24))/IF($C847="LT",Config!$G$12,Config!$G$24)))</f>
        <v/>
      </c>
      <c r="AD847">
        <f>IF(OR(R847=0,R847=""),"",ABS((R847-IF($C847="LT",Config!$F$13,Config!$F$25))/IF($C847="LT",Config!$G$13,Config!$G$25)))</f>
        <v/>
      </c>
    </row>
    <row r="848">
      <c r="A848" t="inlineStr">
        <is>
          <t>04D1526121389</t>
        </is>
      </c>
      <c r="B848" t="inlineStr">
        <is>
          <t>CRS0000674</t>
        </is>
      </c>
      <c r="C848" t="inlineStr">
        <is>
          <t>MT</t>
        </is>
      </c>
      <c r="D848" t="inlineStr">
        <is>
          <t>TCX413U-DS1B01</t>
        </is>
      </c>
      <c r="E848" s="2" t="n">
        <v>46134</v>
      </c>
      <c r="F848" t="inlineStr">
        <is>
          <t>Pass</t>
        </is>
      </c>
      <c r="G848" t="n">
        <v>105.7</v>
      </c>
      <c r="H848" t="n">
        <v>75.7</v>
      </c>
      <c r="I848" t="n">
        <v>-1957.8</v>
      </c>
      <c r="J848" t="n">
        <v>68.59999999999999</v>
      </c>
      <c r="K848" t="n">
        <v>0</v>
      </c>
      <c r="L848" t="n">
        <v>0.7</v>
      </c>
      <c r="M848" t="n">
        <v>0</v>
      </c>
      <c r="N848" t="n">
        <v>67.90000000000001</v>
      </c>
      <c r="O848" t="n">
        <v>115.46</v>
      </c>
      <c r="P848" t="n">
        <v>115.31</v>
      </c>
      <c r="Q848" t="n">
        <v>3.49</v>
      </c>
      <c r="R848" t="n">
        <v>3.44</v>
      </c>
      <c r="S848">
        <f>IF(OR(G848=0,G848=""),"",ABS((G848-IF($C848="LT",Config!$F$2,Config!$F$14))/IF($C848="LT",Config!$G$2,Config!$G$14)))</f>
        <v/>
      </c>
      <c r="T848">
        <f>IF(OR(H848=0,H848=""),"",ABS((H848-IF($C848="LT",Config!$F$3,Config!$F$15))/IF($C848="LT",Config!$G$3,Config!$G$15)))</f>
        <v/>
      </c>
      <c r="U848">
        <f>IF(OR(I848=0,I848=""),"",ABS((I848-IF($C848="LT",Config!$F$4,Config!$F$16))/IF($C848="LT",Config!$G$4,Config!$G$16)))</f>
        <v/>
      </c>
      <c r="V848">
        <f>IF(OR(J848=0,J848=""),"",ABS((J848-IF($C848="LT",Config!$F$5,Config!$F$17))/IF($C848="LT",Config!$G$5,Config!$G$17)))</f>
        <v/>
      </c>
      <c r="W848">
        <f>IF(OR(K848=0,K848=""),"",ABS((K848-IF($C848="LT",Config!$F$6,Config!$F$18))/IF($C848="LT",Config!$G$6,Config!$G$18)))</f>
        <v/>
      </c>
      <c r="X848">
        <f>IF(OR(L848=0,L848=""),"",ABS((L848-IF($C848="LT",Config!$F$7,Config!$F$19))/IF($C848="LT",Config!$G$7,Config!$G$19)))</f>
        <v/>
      </c>
      <c r="Y848">
        <f>IF(OR(M848=0,M848=""),"",ABS((M848-IF($C848="LT",Config!$F$8,Config!$F$20))/IF($C848="LT",Config!$G$8,Config!$G$20)))</f>
        <v/>
      </c>
      <c r="Z848">
        <f>IF(OR(N848=0,N848=""),"",ABS((N848-IF($C848="LT",Config!$F$9,Config!$F$21))/IF($C848="LT",Config!$G$9,Config!$G$21)))</f>
        <v/>
      </c>
      <c r="AA848">
        <f>IF(OR(O848=0,O848=""),"",ABS((O848-IF($C848="LT",Config!$F$10,Config!$F$22))/IF($C848="LT",Config!$G$10,Config!$G$22)))</f>
        <v/>
      </c>
      <c r="AB848">
        <f>IF(OR(P848=0,P848=""),"",ABS((P848-IF($C848="LT",Config!$F$11,Config!$F$23))/IF($C848="LT",Config!$G$11,Config!$G$23)))</f>
        <v/>
      </c>
      <c r="AC848">
        <f>IF(OR(Q848=0,Q848=""),"",ABS((Q848-IF($C848="LT",Config!$F$12,Config!$F$24))/IF($C848="LT",Config!$G$12,Config!$G$24)))</f>
        <v/>
      </c>
      <c r="AD848">
        <f>IF(OR(R848=0,R848=""),"",ABS((R848-IF($C848="LT",Config!$F$13,Config!$F$25))/IF($C848="LT",Config!$G$13,Config!$G$25)))</f>
        <v/>
      </c>
    </row>
    <row r="849">
      <c r="A849" t="inlineStr">
        <is>
          <t>04D1326121354</t>
        </is>
      </c>
      <c r="B849" t="inlineStr">
        <is>
          <t>CRS0000674</t>
        </is>
      </c>
      <c r="C849" t="inlineStr">
        <is>
          <t>MT</t>
        </is>
      </c>
      <c r="D849" t="inlineStr">
        <is>
          <t>TCX413U-DS1B01</t>
        </is>
      </c>
      <c r="E849" s="2" t="n">
        <v>46134</v>
      </c>
      <c r="F849" t="inlineStr">
        <is>
          <t>Fail</t>
        </is>
      </c>
      <c r="G849" t="n">
        <v>111.5</v>
      </c>
      <c r="H849" t="n">
        <v>74.8</v>
      </c>
      <c r="I849" t="n">
        <v>-1957.8</v>
      </c>
      <c r="J849" t="n">
        <v>68.59999999999999</v>
      </c>
      <c r="K849" t="n">
        <v>0</v>
      </c>
      <c r="L849" t="n">
        <v>0.7</v>
      </c>
      <c r="M849" t="n">
        <v>0</v>
      </c>
      <c r="N849" t="n">
        <v>67.90000000000001</v>
      </c>
      <c r="O849" t="n">
        <v>112.16</v>
      </c>
      <c r="P849" t="n">
        <v>117</v>
      </c>
      <c r="Q849" t="n">
        <v>3.78</v>
      </c>
      <c r="R849" t="n">
        <v>3.64</v>
      </c>
      <c r="S849">
        <f>IF(OR(G849=0,G849=""),"",ABS((G849-IF($C849="LT",Config!$F$2,Config!$F$14))/IF($C849="LT",Config!$G$2,Config!$G$14)))</f>
        <v/>
      </c>
      <c r="T849">
        <f>IF(OR(H849=0,H849=""),"",ABS((H849-IF($C849="LT",Config!$F$3,Config!$F$15))/IF($C849="LT",Config!$G$3,Config!$G$15)))</f>
        <v/>
      </c>
      <c r="U849">
        <f>IF(OR(I849=0,I849=""),"",ABS((I849-IF($C849="LT",Config!$F$4,Config!$F$16))/IF($C849="LT",Config!$G$4,Config!$G$16)))</f>
        <v/>
      </c>
      <c r="V849">
        <f>IF(OR(J849=0,J849=""),"",ABS((J849-IF($C849="LT",Config!$F$5,Config!$F$17))/IF($C849="LT",Config!$G$5,Config!$G$17)))</f>
        <v/>
      </c>
      <c r="W849">
        <f>IF(OR(K849=0,K849=""),"",ABS((K849-IF($C849="LT",Config!$F$6,Config!$F$18))/IF($C849="LT",Config!$G$6,Config!$G$18)))</f>
        <v/>
      </c>
      <c r="X849">
        <f>IF(OR(L849=0,L849=""),"",ABS((L849-IF($C849="LT",Config!$F$7,Config!$F$19))/IF($C849="LT",Config!$G$7,Config!$G$19)))</f>
        <v/>
      </c>
      <c r="Y849">
        <f>IF(OR(M849=0,M849=""),"",ABS((M849-IF($C849="LT",Config!$F$8,Config!$F$20))/IF($C849="LT",Config!$G$8,Config!$G$20)))</f>
        <v/>
      </c>
      <c r="Z849">
        <f>IF(OR(N849=0,N849=""),"",ABS((N849-IF($C849="LT",Config!$F$9,Config!$F$21))/IF($C849="LT",Config!$G$9,Config!$G$21)))</f>
        <v/>
      </c>
      <c r="AA849">
        <f>IF(OR(O849=0,O849=""),"",ABS((O849-IF($C849="LT",Config!$F$10,Config!$F$22))/IF($C849="LT",Config!$G$10,Config!$G$22)))</f>
        <v/>
      </c>
      <c r="AB849">
        <f>IF(OR(P849=0,P849=""),"",ABS((P849-IF($C849="LT",Config!$F$11,Config!$F$23))/IF($C849="LT",Config!$G$11,Config!$G$23)))</f>
        <v/>
      </c>
      <c r="AC849">
        <f>IF(OR(Q849=0,Q849=""),"",ABS((Q849-IF($C849="LT",Config!$F$12,Config!$F$24))/IF($C849="LT",Config!$G$12,Config!$G$24)))</f>
        <v/>
      </c>
      <c r="AD849">
        <f>IF(OR(R849=0,R849=""),"",ABS((R849-IF($C849="LT",Config!$F$13,Config!$F$25))/IF($C849="LT",Config!$G$13,Config!$G$25)))</f>
        <v/>
      </c>
    </row>
    <row r="850">
      <c r="A850" t="inlineStr">
        <is>
          <t>04D1326121354</t>
        </is>
      </c>
      <c r="B850" t="inlineStr">
        <is>
          <t>CRS0000674</t>
        </is>
      </c>
      <c r="C850" t="inlineStr">
        <is>
          <t>MT</t>
        </is>
      </c>
      <c r="D850" t="inlineStr">
        <is>
          <t>TCX413U-DS1B01</t>
        </is>
      </c>
      <c r="E850" s="2" t="n">
        <v>46134</v>
      </c>
      <c r="F850" t="inlineStr">
        <is>
          <t>Pass</t>
        </is>
      </c>
      <c r="G850" t="n">
        <v>112.4</v>
      </c>
      <c r="H850" t="n">
        <v>75.2</v>
      </c>
      <c r="I850" t="n">
        <v>-1957.8</v>
      </c>
      <c r="J850" t="n">
        <v>68.59999999999999</v>
      </c>
      <c r="K850" t="n">
        <v>0</v>
      </c>
      <c r="L850" t="n">
        <v>1.2</v>
      </c>
      <c r="M850" t="n">
        <v>0</v>
      </c>
      <c r="N850" t="n">
        <v>67.40000000000001</v>
      </c>
      <c r="O850" t="n">
        <v>112.23</v>
      </c>
      <c r="P850" t="n">
        <v>116.92</v>
      </c>
      <c r="Q850" t="n">
        <v>3.69</v>
      </c>
      <c r="R850" t="n">
        <v>3.56</v>
      </c>
      <c r="S850">
        <f>IF(OR(G850=0,G850=""),"",ABS((G850-IF($C850="LT",Config!$F$2,Config!$F$14))/IF($C850="LT",Config!$G$2,Config!$G$14)))</f>
        <v/>
      </c>
      <c r="T850">
        <f>IF(OR(H850=0,H850=""),"",ABS((H850-IF($C850="LT",Config!$F$3,Config!$F$15))/IF($C850="LT",Config!$G$3,Config!$G$15)))</f>
        <v/>
      </c>
      <c r="U850">
        <f>IF(OR(I850=0,I850=""),"",ABS((I850-IF($C850="LT",Config!$F$4,Config!$F$16))/IF($C850="LT",Config!$G$4,Config!$G$16)))</f>
        <v/>
      </c>
      <c r="V850">
        <f>IF(OR(J850=0,J850=""),"",ABS((J850-IF($C850="LT",Config!$F$5,Config!$F$17))/IF($C850="LT",Config!$G$5,Config!$G$17)))</f>
        <v/>
      </c>
      <c r="W850">
        <f>IF(OR(K850=0,K850=""),"",ABS((K850-IF($C850="LT",Config!$F$6,Config!$F$18))/IF($C850="LT",Config!$G$6,Config!$G$18)))</f>
        <v/>
      </c>
      <c r="X850">
        <f>IF(OR(L850=0,L850=""),"",ABS((L850-IF($C850="LT",Config!$F$7,Config!$F$19))/IF($C850="LT",Config!$G$7,Config!$G$19)))</f>
        <v/>
      </c>
      <c r="Y850">
        <f>IF(OR(M850=0,M850=""),"",ABS((M850-IF($C850="LT",Config!$F$8,Config!$F$20))/IF($C850="LT",Config!$G$8,Config!$G$20)))</f>
        <v/>
      </c>
      <c r="Z850">
        <f>IF(OR(N850=0,N850=""),"",ABS((N850-IF($C850="LT",Config!$F$9,Config!$F$21))/IF($C850="LT",Config!$G$9,Config!$G$21)))</f>
        <v/>
      </c>
      <c r="AA850">
        <f>IF(OR(O850=0,O850=""),"",ABS((O850-IF($C850="LT",Config!$F$10,Config!$F$22))/IF($C850="LT",Config!$G$10,Config!$G$22)))</f>
        <v/>
      </c>
      <c r="AB850">
        <f>IF(OR(P850=0,P850=""),"",ABS((P850-IF($C850="LT",Config!$F$11,Config!$F$23))/IF($C850="LT",Config!$G$11,Config!$G$23)))</f>
        <v/>
      </c>
      <c r="AC850">
        <f>IF(OR(Q850=0,Q850=""),"",ABS((Q850-IF($C850="LT",Config!$F$12,Config!$F$24))/IF($C850="LT",Config!$G$12,Config!$G$24)))</f>
        <v/>
      </c>
      <c r="AD850">
        <f>IF(OR(R850=0,R850=""),"",ABS((R850-IF($C850="LT",Config!$F$13,Config!$F$25))/IF($C850="LT",Config!$G$13,Config!$G$25)))</f>
        <v/>
      </c>
    </row>
    <row r="851">
      <c r="A851" t="inlineStr">
        <is>
          <t>04D1326121365</t>
        </is>
      </c>
      <c r="B851" t="inlineStr">
        <is>
          <t>CRS0000674</t>
        </is>
      </c>
      <c r="C851" t="inlineStr">
        <is>
          <t>MT</t>
        </is>
      </c>
      <c r="D851" t="inlineStr">
        <is>
          <t>TCX413U-DS1B01</t>
        </is>
      </c>
      <c r="E851" s="2" t="n">
        <v>46134</v>
      </c>
      <c r="F851" t="inlineStr">
        <is>
          <t>Fail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>
        <f>IF(OR(G851=0,G851=""),"",ABS((G851-IF($C851="LT",Config!$F$2,Config!$F$14))/IF($C851="LT",Config!$G$2,Config!$G$14)))</f>
        <v/>
      </c>
      <c r="T851">
        <f>IF(OR(H851=0,H851=""),"",ABS((H851-IF($C851="LT",Config!$F$3,Config!$F$15))/IF($C851="LT",Config!$G$3,Config!$G$15)))</f>
        <v/>
      </c>
      <c r="U851">
        <f>IF(OR(I851=0,I851=""),"",ABS((I851-IF($C851="LT",Config!$F$4,Config!$F$16))/IF($C851="LT",Config!$G$4,Config!$G$16)))</f>
        <v/>
      </c>
      <c r="V851">
        <f>IF(OR(J851=0,J851=""),"",ABS((J851-IF($C851="LT",Config!$F$5,Config!$F$17))/IF($C851="LT",Config!$G$5,Config!$G$17)))</f>
        <v/>
      </c>
      <c r="W851">
        <f>IF(OR(K851=0,K851=""),"",ABS((K851-IF($C851="LT",Config!$F$6,Config!$F$18))/IF($C851="LT",Config!$G$6,Config!$G$18)))</f>
        <v/>
      </c>
      <c r="X851">
        <f>IF(OR(L851=0,L851=""),"",ABS((L851-IF($C851="LT",Config!$F$7,Config!$F$19))/IF($C851="LT",Config!$G$7,Config!$G$19)))</f>
        <v/>
      </c>
      <c r="Y851">
        <f>IF(OR(M851=0,M851=""),"",ABS((M851-IF($C851="LT",Config!$F$8,Config!$F$20))/IF($C851="LT",Config!$G$8,Config!$G$20)))</f>
        <v/>
      </c>
      <c r="Z851">
        <f>IF(OR(N851=0,N851=""),"",ABS((N851-IF($C851="LT",Config!$F$9,Config!$F$21))/IF($C851="LT",Config!$G$9,Config!$G$21)))</f>
        <v/>
      </c>
      <c r="AA851">
        <f>IF(OR(O851=0,O851=""),"",ABS((O851-IF($C851="LT",Config!$F$10,Config!$F$22))/IF($C851="LT",Config!$G$10,Config!$G$22)))</f>
        <v/>
      </c>
      <c r="AB851">
        <f>IF(OR(P851=0,P851=""),"",ABS((P851-IF($C851="LT",Config!$F$11,Config!$F$23))/IF($C851="LT",Config!$G$11,Config!$G$23)))</f>
        <v/>
      </c>
      <c r="AC851">
        <f>IF(OR(Q851=0,Q851=""),"",ABS((Q851-IF($C851="LT",Config!$F$12,Config!$F$24))/IF($C851="LT",Config!$G$12,Config!$G$24)))</f>
        <v/>
      </c>
      <c r="AD851">
        <f>IF(OR(R851=0,R851=""),"",ABS((R851-IF($C851="LT",Config!$F$13,Config!$F$25))/IF($C851="LT",Config!$G$13,Config!$G$25)))</f>
        <v/>
      </c>
    </row>
    <row r="852">
      <c r="A852" t="inlineStr">
        <is>
          <t>04D1326121365</t>
        </is>
      </c>
      <c r="B852" t="inlineStr">
        <is>
          <t>CRS0000674</t>
        </is>
      </c>
      <c r="C852" t="inlineStr">
        <is>
          <t>MT</t>
        </is>
      </c>
      <c r="D852" t="inlineStr">
        <is>
          <t>TCX413U-DS1B01</t>
        </is>
      </c>
      <c r="E852" s="2" t="n">
        <v>46134</v>
      </c>
      <c r="F852" t="inlineStr">
        <is>
          <t>Fail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>
        <f>IF(OR(G852=0,G852=""),"",ABS((G852-IF($C852="LT",Config!$F$2,Config!$F$14))/IF($C852="LT",Config!$G$2,Config!$G$14)))</f>
        <v/>
      </c>
      <c r="T852">
        <f>IF(OR(H852=0,H852=""),"",ABS((H852-IF($C852="LT",Config!$F$3,Config!$F$15))/IF($C852="LT",Config!$G$3,Config!$G$15)))</f>
        <v/>
      </c>
      <c r="U852">
        <f>IF(OR(I852=0,I852=""),"",ABS((I852-IF($C852="LT",Config!$F$4,Config!$F$16))/IF($C852="LT",Config!$G$4,Config!$G$16)))</f>
        <v/>
      </c>
      <c r="V852">
        <f>IF(OR(J852=0,J852=""),"",ABS((J852-IF($C852="LT",Config!$F$5,Config!$F$17))/IF($C852="LT",Config!$G$5,Config!$G$17)))</f>
        <v/>
      </c>
      <c r="W852">
        <f>IF(OR(K852=0,K852=""),"",ABS((K852-IF($C852="LT",Config!$F$6,Config!$F$18))/IF($C852="LT",Config!$G$6,Config!$G$18)))</f>
        <v/>
      </c>
      <c r="X852">
        <f>IF(OR(L852=0,L852=""),"",ABS((L852-IF($C852="LT",Config!$F$7,Config!$F$19))/IF($C852="LT",Config!$G$7,Config!$G$19)))</f>
        <v/>
      </c>
      <c r="Y852">
        <f>IF(OR(M852=0,M852=""),"",ABS((M852-IF($C852="LT",Config!$F$8,Config!$F$20))/IF($C852="LT",Config!$G$8,Config!$G$20)))</f>
        <v/>
      </c>
      <c r="Z852">
        <f>IF(OR(N852=0,N852=""),"",ABS((N852-IF($C852="LT",Config!$F$9,Config!$F$21))/IF($C852="LT",Config!$G$9,Config!$G$21)))</f>
        <v/>
      </c>
      <c r="AA852">
        <f>IF(OR(O852=0,O852=""),"",ABS((O852-IF($C852="LT",Config!$F$10,Config!$F$22))/IF($C852="LT",Config!$G$10,Config!$G$22)))</f>
        <v/>
      </c>
      <c r="AB852">
        <f>IF(OR(P852=0,P852=""),"",ABS((P852-IF($C852="LT",Config!$F$11,Config!$F$23))/IF($C852="LT",Config!$G$11,Config!$G$23)))</f>
        <v/>
      </c>
      <c r="AC852">
        <f>IF(OR(Q852=0,Q852=""),"",ABS((Q852-IF($C852="LT",Config!$F$12,Config!$F$24))/IF($C852="LT",Config!$G$12,Config!$G$24)))</f>
        <v/>
      </c>
      <c r="AD852">
        <f>IF(OR(R852=0,R852=""),"",ABS((R852-IF($C852="LT",Config!$F$13,Config!$F$25))/IF($C852="LT",Config!$G$13,Config!$G$25)))</f>
        <v/>
      </c>
    </row>
    <row r="853">
      <c r="A853" t="inlineStr">
        <is>
          <t>04D1326121365</t>
        </is>
      </c>
      <c r="B853" t="inlineStr">
        <is>
          <t>CRS0000674</t>
        </is>
      </c>
      <c r="C853" t="inlineStr">
        <is>
          <t>MT</t>
        </is>
      </c>
      <c r="D853" t="inlineStr">
        <is>
          <t>TCX413U-DS1B01</t>
        </is>
      </c>
      <c r="E853" s="2" t="n">
        <v>46134</v>
      </c>
      <c r="F853" t="inlineStr">
        <is>
          <t>Fail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>
        <f>IF(OR(G853=0,G853=""),"",ABS((G853-IF($C853="LT",Config!$F$2,Config!$F$14))/IF($C853="LT",Config!$G$2,Config!$G$14)))</f>
        <v/>
      </c>
      <c r="T853">
        <f>IF(OR(H853=0,H853=""),"",ABS((H853-IF($C853="LT",Config!$F$3,Config!$F$15))/IF($C853="LT",Config!$G$3,Config!$G$15)))</f>
        <v/>
      </c>
      <c r="U853">
        <f>IF(OR(I853=0,I853=""),"",ABS((I853-IF($C853="LT",Config!$F$4,Config!$F$16))/IF($C853="LT",Config!$G$4,Config!$G$16)))</f>
        <v/>
      </c>
      <c r="V853">
        <f>IF(OR(J853=0,J853=""),"",ABS((J853-IF($C853="LT",Config!$F$5,Config!$F$17))/IF($C853="LT",Config!$G$5,Config!$G$17)))</f>
        <v/>
      </c>
      <c r="W853">
        <f>IF(OR(K853=0,K853=""),"",ABS((K853-IF($C853="LT",Config!$F$6,Config!$F$18))/IF($C853="LT",Config!$G$6,Config!$G$18)))</f>
        <v/>
      </c>
      <c r="X853">
        <f>IF(OR(L853=0,L853=""),"",ABS((L853-IF($C853="LT",Config!$F$7,Config!$F$19))/IF($C853="LT",Config!$G$7,Config!$G$19)))</f>
        <v/>
      </c>
      <c r="Y853">
        <f>IF(OR(M853=0,M853=""),"",ABS((M853-IF($C853="LT",Config!$F$8,Config!$F$20))/IF($C853="LT",Config!$G$8,Config!$G$20)))</f>
        <v/>
      </c>
      <c r="Z853">
        <f>IF(OR(N853=0,N853=""),"",ABS((N853-IF($C853="LT",Config!$F$9,Config!$F$21))/IF($C853="LT",Config!$G$9,Config!$G$21)))</f>
        <v/>
      </c>
      <c r="AA853">
        <f>IF(OR(O853=0,O853=""),"",ABS((O853-IF($C853="LT",Config!$F$10,Config!$F$22))/IF($C853="LT",Config!$G$10,Config!$G$22)))</f>
        <v/>
      </c>
      <c r="AB853">
        <f>IF(OR(P853=0,P853=""),"",ABS((P853-IF($C853="LT",Config!$F$11,Config!$F$23))/IF($C853="LT",Config!$G$11,Config!$G$23)))</f>
        <v/>
      </c>
      <c r="AC853">
        <f>IF(OR(Q853=0,Q853=""),"",ABS((Q853-IF($C853="LT",Config!$F$12,Config!$F$24))/IF($C853="LT",Config!$G$12,Config!$G$24)))</f>
        <v/>
      </c>
      <c r="AD853">
        <f>IF(OR(R853=0,R853=""),"",ABS((R853-IF($C853="LT",Config!$F$13,Config!$F$25))/IF($C853="LT",Config!$G$13,Config!$G$25)))</f>
        <v/>
      </c>
    </row>
    <row r="854">
      <c r="A854" t="inlineStr">
        <is>
          <t>04D1326121365</t>
        </is>
      </c>
      <c r="B854" t="inlineStr">
        <is>
          <t>CRS0000674</t>
        </is>
      </c>
      <c r="C854" t="inlineStr">
        <is>
          <t>MT</t>
        </is>
      </c>
      <c r="D854" t="inlineStr">
        <is>
          <t>TCX413U-DS1B01</t>
        </is>
      </c>
      <c r="E854" s="2" t="n">
        <v>46134</v>
      </c>
      <c r="F854" t="inlineStr">
        <is>
          <t>Fail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>
        <f>IF(OR(G854=0,G854=""),"",ABS((G854-IF($C854="LT",Config!$F$2,Config!$F$14))/IF($C854="LT",Config!$G$2,Config!$G$14)))</f>
        <v/>
      </c>
      <c r="T854">
        <f>IF(OR(H854=0,H854=""),"",ABS((H854-IF($C854="LT",Config!$F$3,Config!$F$15))/IF($C854="LT",Config!$G$3,Config!$G$15)))</f>
        <v/>
      </c>
      <c r="U854">
        <f>IF(OR(I854=0,I854=""),"",ABS((I854-IF($C854="LT",Config!$F$4,Config!$F$16))/IF($C854="LT",Config!$G$4,Config!$G$16)))</f>
        <v/>
      </c>
      <c r="V854">
        <f>IF(OR(J854=0,J854=""),"",ABS((J854-IF($C854="LT",Config!$F$5,Config!$F$17))/IF($C854="LT",Config!$G$5,Config!$G$17)))</f>
        <v/>
      </c>
      <c r="W854">
        <f>IF(OR(K854=0,K854=""),"",ABS((K854-IF($C854="LT",Config!$F$6,Config!$F$18))/IF($C854="LT",Config!$G$6,Config!$G$18)))</f>
        <v/>
      </c>
      <c r="X854">
        <f>IF(OR(L854=0,L854=""),"",ABS((L854-IF($C854="LT",Config!$F$7,Config!$F$19))/IF($C854="LT",Config!$G$7,Config!$G$19)))</f>
        <v/>
      </c>
      <c r="Y854">
        <f>IF(OR(M854=0,M854=""),"",ABS((M854-IF($C854="LT",Config!$F$8,Config!$F$20))/IF($C854="LT",Config!$G$8,Config!$G$20)))</f>
        <v/>
      </c>
      <c r="Z854">
        <f>IF(OR(N854=0,N854=""),"",ABS((N854-IF($C854="LT",Config!$F$9,Config!$F$21))/IF($C854="LT",Config!$G$9,Config!$G$21)))</f>
        <v/>
      </c>
      <c r="AA854">
        <f>IF(OR(O854=0,O854=""),"",ABS((O854-IF($C854="LT",Config!$F$10,Config!$F$22))/IF($C854="LT",Config!$G$10,Config!$G$22)))</f>
        <v/>
      </c>
      <c r="AB854">
        <f>IF(OR(P854=0,P854=""),"",ABS((P854-IF($C854="LT",Config!$F$11,Config!$F$23))/IF($C854="LT",Config!$G$11,Config!$G$23)))</f>
        <v/>
      </c>
      <c r="AC854">
        <f>IF(OR(Q854=0,Q854=""),"",ABS((Q854-IF($C854="LT",Config!$F$12,Config!$F$24))/IF($C854="LT",Config!$G$12,Config!$G$24)))</f>
        <v/>
      </c>
      <c r="AD854">
        <f>IF(OR(R854=0,R854=""),"",ABS((R854-IF($C854="LT",Config!$F$13,Config!$F$25))/IF($C854="LT",Config!$G$13,Config!$G$25)))</f>
        <v/>
      </c>
    </row>
    <row r="855">
      <c r="A855" t="inlineStr">
        <is>
          <t>04D1326121366</t>
        </is>
      </c>
      <c r="B855" t="inlineStr">
        <is>
          <t>CRS0000674</t>
        </is>
      </c>
      <c r="C855" t="inlineStr">
        <is>
          <t>MT</t>
        </is>
      </c>
      <c r="D855" t="inlineStr">
        <is>
          <t>TCX413U-DS1B01</t>
        </is>
      </c>
      <c r="E855" s="2" t="n">
        <v>46134</v>
      </c>
      <c r="F855" t="inlineStr">
        <is>
          <t>Fail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>
        <f>IF(OR(G855=0,G855=""),"",ABS((G855-IF($C855="LT",Config!$F$2,Config!$F$14))/IF($C855="LT",Config!$G$2,Config!$G$14)))</f>
        <v/>
      </c>
      <c r="T855">
        <f>IF(OR(H855=0,H855=""),"",ABS((H855-IF($C855="LT",Config!$F$3,Config!$F$15))/IF($C855="LT",Config!$G$3,Config!$G$15)))</f>
        <v/>
      </c>
      <c r="U855">
        <f>IF(OR(I855=0,I855=""),"",ABS((I855-IF($C855="LT",Config!$F$4,Config!$F$16))/IF($C855="LT",Config!$G$4,Config!$G$16)))</f>
        <v/>
      </c>
      <c r="V855">
        <f>IF(OR(J855=0,J855=""),"",ABS((J855-IF($C855="LT",Config!$F$5,Config!$F$17))/IF($C855="LT",Config!$G$5,Config!$G$17)))</f>
        <v/>
      </c>
      <c r="W855">
        <f>IF(OR(K855=0,K855=""),"",ABS((K855-IF($C855="LT",Config!$F$6,Config!$F$18))/IF($C855="LT",Config!$G$6,Config!$G$18)))</f>
        <v/>
      </c>
      <c r="X855">
        <f>IF(OR(L855=0,L855=""),"",ABS((L855-IF($C855="LT",Config!$F$7,Config!$F$19))/IF($C855="LT",Config!$G$7,Config!$G$19)))</f>
        <v/>
      </c>
      <c r="Y855">
        <f>IF(OR(M855=0,M855=""),"",ABS((M855-IF($C855="LT",Config!$F$8,Config!$F$20))/IF($C855="LT",Config!$G$8,Config!$G$20)))</f>
        <v/>
      </c>
      <c r="Z855">
        <f>IF(OR(N855=0,N855=""),"",ABS((N855-IF($C855="LT",Config!$F$9,Config!$F$21))/IF($C855="LT",Config!$G$9,Config!$G$21)))</f>
        <v/>
      </c>
      <c r="AA855">
        <f>IF(OR(O855=0,O855=""),"",ABS((O855-IF($C855="LT",Config!$F$10,Config!$F$22))/IF($C855="LT",Config!$G$10,Config!$G$22)))</f>
        <v/>
      </c>
      <c r="AB855">
        <f>IF(OR(P855=0,P855=""),"",ABS((P855-IF($C855="LT",Config!$F$11,Config!$F$23))/IF($C855="LT",Config!$G$11,Config!$G$23)))</f>
        <v/>
      </c>
      <c r="AC855">
        <f>IF(OR(Q855=0,Q855=""),"",ABS((Q855-IF($C855="LT",Config!$F$12,Config!$F$24))/IF($C855="LT",Config!$G$12,Config!$G$24)))</f>
        <v/>
      </c>
      <c r="AD855">
        <f>IF(OR(R855=0,R855=""),"",ABS((R855-IF($C855="LT",Config!$F$13,Config!$F$25))/IF($C855="LT",Config!$G$13,Config!$G$25)))</f>
        <v/>
      </c>
    </row>
    <row r="856">
      <c r="A856" t="inlineStr">
        <is>
          <t>04D1326121363</t>
        </is>
      </c>
      <c r="B856" t="inlineStr">
        <is>
          <t>CRS0000674</t>
        </is>
      </c>
      <c r="C856" t="inlineStr">
        <is>
          <t>MT</t>
        </is>
      </c>
      <c r="D856" t="inlineStr">
        <is>
          <t>TCX413U-DS1B01</t>
        </is>
      </c>
      <c r="E856" s="2" t="n">
        <v>46134</v>
      </c>
      <c r="F856" t="inlineStr">
        <is>
          <t>Pass</t>
        </is>
      </c>
      <c r="G856" t="n">
        <v>112.4</v>
      </c>
      <c r="H856" t="n">
        <v>77</v>
      </c>
      <c r="I856" t="n">
        <v>-1957.8</v>
      </c>
      <c r="J856" t="n">
        <v>69.09999999999999</v>
      </c>
      <c r="K856" t="n">
        <v>0</v>
      </c>
      <c r="L856" t="n">
        <v>1</v>
      </c>
      <c r="M856" t="n">
        <v>0</v>
      </c>
      <c r="N856" t="n">
        <v>68.09999999999999</v>
      </c>
      <c r="O856" t="n">
        <v>115.24</v>
      </c>
      <c r="P856" t="n">
        <v>115.38</v>
      </c>
      <c r="Q856" t="n">
        <v>3.61</v>
      </c>
      <c r="R856" t="n">
        <v>3.66</v>
      </c>
      <c r="S856">
        <f>IF(OR(G856=0,G856=""),"",ABS((G856-IF($C856="LT",Config!$F$2,Config!$F$14))/IF($C856="LT",Config!$G$2,Config!$G$14)))</f>
        <v/>
      </c>
      <c r="T856">
        <f>IF(OR(H856=0,H856=""),"",ABS((H856-IF($C856="LT",Config!$F$3,Config!$F$15))/IF($C856="LT",Config!$G$3,Config!$G$15)))</f>
        <v/>
      </c>
      <c r="U856">
        <f>IF(OR(I856=0,I856=""),"",ABS((I856-IF($C856="LT",Config!$F$4,Config!$F$16))/IF($C856="LT",Config!$G$4,Config!$G$16)))</f>
        <v/>
      </c>
      <c r="V856">
        <f>IF(OR(J856=0,J856=""),"",ABS((J856-IF($C856="LT",Config!$F$5,Config!$F$17))/IF($C856="LT",Config!$G$5,Config!$G$17)))</f>
        <v/>
      </c>
      <c r="W856">
        <f>IF(OR(K856=0,K856=""),"",ABS((K856-IF($C856="LT",Config!$F$6,Config!$F$18))/IF($C856="LT",Config!$G$6,Config!$G$18)))</f>
        <v/>
      </c>
      <c r="X856">
        <f>IF(OR(L856=0,L856=""),"",ABS((L856-IF($C856="LT",Config!$F$7,Config!$F$19))/IF($C856="LT",Config!$G$7,Config!$G$19)))</f>
        <v/>
      </c>
      <c r="Y856">
        <f>IF(OR(M856=0,M856=""),"",ABS((M856-IF($C856="LT",Config!$F$8,Config!$F$20))/IF($C856="LT",Config!$G$8,Config!$G$20)))</f>
        <v/>
      </c>
      <c r="Z856">
        <f>IF(OR(N856=0,N856=""),"",ABS((N856-IF($C856="LT",Config!$F$9,Config!$F$21))/IF($C856="LT",Config!$G$9,Config!$G$21)))</f>
        <v/>
      </c>
      <c r="AA856">
        <f>IF(OR(O856=0,O856=""),"",ABS((O856-IF($C856="LT",Config!$F$10,Config!$F$22))/IF($C856="LT",Config!$G$10,Config!$G$22)))</f>
        <v/>
      </c>
      <c r="AB856">
        <f>IF(OR(P856=0,P856=""),"",ABS((P856-IF($C856="LT",Config!$F$11,Config!$F$23))/IF($C856="LT",Config!$G$11,Config!$G$23)))</f>
        <v/>
      </c>
      <c r="AC856">
        <f>IF(OR(Q856=0,Q856=""),"",ABS((Q856-IF($C856="LT",Config!$F$12,Config!$F$24))/IF($C856="LT",Config!$G$12,Config!$G$24)))</f>
        <v/>
      </c>
      <c r="AD856">
        <f>IF(OR(R856=0,R856=""),"",ABS((R856-IF($C856="LT",Config!$F$13,Config!$F$25))/IF($C856="LT",Config!$G$13,Config!$G$25)))</f>
        <v/>
      </c>
    </row>
    <row r="857">
      <c r="A857" t="inlineStr">
        <is>
          <t>04D1526121390</t>
        </is>
      </c>
      <c r="B857" t="inlineStr">
        <is>
          <t>CRS0000674</t>
        </is>
      </c>
      <c r="C857" t="inlineStr">
        <is>
          <t>MT</t>
        </is>
      </c>
      <c r="D857" t="inlineStr">
        <is>
          <t>TCX413U-DS1B01</t>
        </is>
      </c>
      <c r="E857" s="2" t="n">
        <v>46134</v>
      </c>
      <c r="F857" t="inlineStr">
        <is>
          <t>Pass</t>
        </is>
      </c>
      <c r="G857" t="n">
        <v>110.6</v>
      </c>
      <c r="H857" t="n">
        <v>77.5</v>
      </c>
      <c r="I857" t="n">
        <v>-1957.8</v>
      </c>
      <c r="J857" t="n">
        <v>68.59999999999999</v>
      </c>
      <c r="K857" t="n">
        <v>0</v>
      </c>
      <c r="L857" t="n">
        <v>0.7</v>
      </c>
      <c r="M857" t="n">
        <v>0</v>
      </c>
      <c r="N857" t="n">
        <v>67.90000000000001</v>
      </c>
      <c r="O857" t="n">
        <v>115.24</v>
      </c>
      <c r="P857" t="n">
        <v>115.31</v>
      </c>
      <c r="Q857" t="n">
        <v>3.69</v>
      </c>
      <c r="R857" t="n">
        <v>3.69</v>
      </c>
      <c r="S857">
        <f>IF(OR(G857=0,G857=""),"",ABS((G857-IF($C857="LT",Config!$F$2,Config!$F$14))/IF($C857="LT",Config!$G$2,Config!$G$14)))</f>
        <v/>
      </c>
      <c r="T857">
        <f>IF(OR(H857=0,H857=""),"",ABS((H857-IF($C857="LT",Config!$F$3,Config!$F$15))/IF($C857="LT",Config!$G$3,Config!$G$15)))</f>
        <v/>
      </c>
      <c r="U857">
        <f>IF(OR(I857=0,I857=""),"",ABS((I857-IF($C857="LT",Config!$F$4,Config!$F$16))/IF($C857="LT",Config!$G$4,Config!$G$16)))</f>
        <v/>
      </c>
      <c r="V857">
        <f>IF(OR(J857=0,J857=""),"",ABS((J857-IF($C857="LT",Config!$F$5,Config!$F$17))/IF($C857="LT",Config!$G$5,Config!$G$17)))</f>
        <v/>
      </c>
      <c r="W857">
        <f>IF(OR(K857=0,K857=""),"",ABS((K857-IF($C857="LT",Config!$F$6,Config!$F$18))/IF($C857="LT",Config!$G$6,Config!$G$18)))</f>
        <v/>
      </c>
      <c r="X857">
        <f>IF(OR(L857=0,L857=""),"",ABS((L857-IF($C857="LT",Config!$F$7,Config!$F$19))/IF($C857="LT",Config!$G$7,Config!$G$19)))</f>
        <v/>
      </c>
      <c r="Y857">
        <f>IF(OR(M857=0,M857=""),"",ABS((M857-IF($C857="LT",Config!$F$8,Config!$F$20))/IF($C857="LT",Config!$G$8,Config!$G$20)))</f>
        <v/>
      </c>
      <c r="Z857">
        <f>IF(OR(N857=0,N857=""),"",ABS((N857-IF($C857="LT",Config!$F$9,Config!$F$21))/IF($C857="LT",Config!$G$9,Config!$G$21)))</f>
        <v/>
      </c>
      <c r="AA857">
        <f>IF(OR(O857=0,O857=""),"",ABS((O857-IF($C857="LT",Config!$F$10,Config!$F$22))/IF($C857="LT",Config!$G$10,Config!$G$22)))</f>
        <v/>
      </c>
      <c r="AB857">
        <f>IF(OR(P857=0,P857=""),"",ABS((P857-IF($C857="LT",Config!$F$11,Config!$F$23))/IF($C857="LT",Config!$G$11,Config!$G$23)))</f>
        <v/>
      </c>
      <c r="AC857">
        <f>IF(OR(Q857=0,Q857=""),"",ABS((Q857-IF($C857="LT",Config!$F$12,Config!$F$24))/IF($C857="LT",Config!$G$12,Config!$G$24)))</f>
        <v/>
      </c>
      <c r="AD857">
        <f>IF(OR(R857=0,R857=""),"",ABS((R857-IF($C857="LT",Config!$F$13,Config!$F$25))/IF($C857="LT",Config!$G$13,Config!$G$25)))</f>
        <v/>
      </c>
    </row>
    <row r="858">
      <c r="A858" t="inlineStr">
        <is>
          <t>04D1526121388</t>
        </is>
      </c>
      <c r="B858" t="inlineStr">
        <is>
          <t>CRS0000674</t>
        </is>
      </c>
      <c r="C858" t="inlineStr">
        <is>
          <t>MT</t>
        </is>
      </c>
      <c r="D858" t="inlineStr">
        <is>
          <t>TCX413U-DS1B01</t>
        </is>
      </c>
      <c r="E858" s="2" t="n">
        <v>46134</v>
      </c>
      <c r="F858" t="inlineStr">
        <is>
          <t>Pass</t>
        </is>
      </c>
      <c r="G858" t="n">
        <v>101.7</v>
      </c>
      <c r="H858" t="n">
        <v>77.90000000000001</v>
      </c>
      <c r="I858" t="n">
        <v>-1957.8</v>
      </c>
      <c r="J858" t="n">
        <v>68.59999999999999</v>
      </c>
      <c r="K858" t="n">
        <v>0</v>
      </c>
      <c r="L858" t="n">
        <v>0</v>
      </c>
      <c r="M858" t="n">
        <v>0</v>
      </c>
      <c r="N858" t="n">
        <v>68.59999999999999</v>
      </c>
      <c r="O858" t="n">
        <v>115.31</v>
      </c>
      <c r="P858" t="n">
        <v>115.16</v>
      </c>
      <c r="Q858" t="n">
        <v>3.64</v>
      </c>
      <c r="R858" t="n">
        <v>3.64</v>
      </c>
      <c r="S858">
        <f>IF(OR(G858=0,G858=""),"",ABS((G858-IF($C858="LT",Config!$F$2,Config!$F$14))/IF($C858="LT",Config!$G$2,Config!$G$14)))</f>
        <v/>
      </c>
      <c r="T858">
        <f>IF(OR(H858=0,H858=""),"",ABS((H858-IF($C858="LT",Config!$F$3,Config!$F$15))/IF($C858="LT",Config!$G$3,Config!$G$15)))</f>
        <v/>
      </c>
      <c r="U858">
        <f>IF(OR(I858=0,I858=""),"",ABS((I858-IF($C858="LT",Config!$F$4,Config!$F$16))/IF($C858="LT",Config!$G$4,Config!$G$16)))</f>
        <v/>
      </c>
      <c r="V858">
        <f>IF(OR(J858=0,J858=""),"",ABS((J858-IF($C858="LT",Config!$F$5,Config!$F$17))/IF($C858="LT",Config!$G$5,Config!$G$17)))</f>
        <v/>
      </c>
      <c r="W858">
        <f>IF(OR(K858=0,K858=""),"",ABS((K858-IF($C858="LT",Config!$F$6,Config!$F$18))/IF($C858="LT",Config!$G$6,Config!$G$18)))</f>
        <v/>
      </c>
      <c r="X858">
        <f>IF(OR(L858=0,L858=""),"",ABS((L858-IF($C858="LT",Config!$F$7,Config!$F$19))/IF($C858="LT",Config!$G$7,Config!$G$19)))</f>
        <v/>
      </c>
      <c r="Y858">
        <f>IF(OR(M858=0,M858=""),"",ABS((M858-IF($C858="LT",Config!$F$8,Config!$F$20))/IF($C858="LT",Config!$G$8,Config!$G$20)))</f>
        <v/>
      </c>
      <c r="Z858">
        <f>IF(OR(N858=0,N858=""),"",ABS((N858-IF($C858="LT",Config!$F$9,Config!$F$21))/IF($C858="LT",Config!$G$9,Config!$G$21)))</f>
        <v/>
      </c>
      <c r="AA858">
        <f>IF(OR(O858=0,O858=""),"",ABS((O858-IF($C858="LT",Config!$F$10,Config!$F$22))/IF($C858="LT",Config!$G$10,Config!$G$22)))</f>
        <v/>
      </c>
      <c r="AB858">
        <f>IF(OR(P858=0,P858=""),"",ABS((P858-IF($C858="LT",Config!$F$11,Config!$F$23))/IF($C858="LT",Config!$G$11,Config!$G$23)))</f>
        <v/>
      </c>
      <c r="AC858">
        <f>IF(OR(Q858=0,Q858=""),"",ABS((Q858-IF($C858="LT",Config!$F$12,Config!$F$24))/IF($C858="LT",Config!$G$12,Config!$G$24)))</f>
        <v/>
      </c>
      <c r="AD858">
        <f>IF(OR(R858=0,R858=""),"",ABS((R858-IF($C858="LT",Config!$F$13,Config!$F$25))/IF($C858="LT",Config!$G$13,Config!$G$25)))</f>
        <v/>
      </c>
    </row>
    <row r="859">
      <c r="A859" t="inlineStr">
        <is>
          <t>04D1426121382</t>
        </is>
      </c>
      <c r="B859" t="inlineStr">
        <is>
          <t>CRS0000674</t>
        </is>
      </c>
      <c r="C859" t="inlineStr">
        <is>
          <t>MT</t>
        </is>
      </c>
      <c r="D859" t="inlineStr">
        <is>
          <t>TCX413U-DS1B01</t>
        </is>
      </c>
      <c r="E859" s="2" t="n">
        <v>46134</v>
      </c>
      <c r="F859" t="inlineStr">
        <is>
          <t>Pass</t>
        </is>
      </c>
      <c r="G859" t="n">
        <v>109.7</v>
      </c>
      <c r="H859" t="n">
        <v>77.5</v>
      </c>
      <c r="I859" t="n">
        <v>-1957.8</v>
      </c>
      <c r="J859" t="n">
        <v>68.59999999999999</v>
      </c>
      <c r="K859" t="n">
        <v>0</v>
      </c>
      <c r="L859" t="n">
        <v>0.7</v>
      </c>
      <c r="M859" t="n">
        <v>0</v>
      </c>
      <c r="N859" t="n">
        <v>67.90000000000001</v>
      </c>
      <c r="O859" t="n">
        <v>111.72</v>
      </c>
      <c r="P859" t="n">
        <v>113.18</v>
      </c>
      <c r="Q859" t="n">
        <v>3.74</v>
      </c>
      <c r="R859" t="n">
        <v>3.69</v>
      </c>
      <c r="S859">
        <f>IF(OR(G859=0,G859=""),"",ABS((G859-IF($C859="LT",Config!$F$2,Config!$F$14))/IF($C859="LT",Config!$G$2,Config!$G$14)))</f>
        <v/>
      </c>
      <c r="T859">
        <f>IF(OR(H859=0,H859=""),"",ABS((H859-IF($C859="LT",Config!$F$3,Config!$F$15))/IF($C859="LT",Config!$G$3,Config!$G$15)))</f>
        <v/>
      </c>
      <c r="U859">
        <f>IF(OR(I859=0,I859=""),"",ABS((I859-IF($C859="LT",Config!$F$4,Config!$F$16))/IF($C859="LT",Config!$G$4,Config!$G$16)))</f>
        <v/>
      </c>
      <c r="V859">
        <f>IF(OR(J859=0,J859=""),"",ABS((J859-IF($C859="LT",Config!$F$5,Config!$F$17))/IF($C859="LT",Config!$G$5,Config!$G$17)))</f>
        <v/>
      </c>
      <c r="W859">
        <f>IF(OR(K859=0,K859=""),"",ABS((K859-IF($C859="LT",Config!$F$6,Config!$F$18))/IF($C859="LT",Config!$G$6,Config!$G$18)))</f>
        <v/>
      </c>
      <c r="X859">
        <f>IF(OR(L859=0,L859=""),"",ABS((L859-IF($C859="LT",Config!$F$7,Config!$F$19))/IF($C859="LT",Config!$G$7,Config!$G$19)))</f>
        <v/>
      </c>
      <c r="Y859">
        <f>IF(OR(M859=0,M859=""),"",ABS((M859-IF($C859="LT",Config!$F$8,Config!$F$20))/IF($C859="LT",Config!$G$8,Config!$G$20)))</f>
        <v/>
      </c>
      <c r="Z859">
        <f>IF(OR(N859=0,N859=""),"",ABS((N859-IF($C859="LT",Config!$F$9,Config!$F$21))/IF($C859="LT",Config!$G$9,Config!$G$21)))</f>
        <v/>
      </c>
      <c r="AA859">
        <f>IF(OR(O859=0,O859=""),"",ABS((O859-IF($C859="LT",Config!$F$10,Config!$F$22))/IF($C859="LT",Config!$G$10,Config!$G$22)))</f>
        <v/>
      </c>
      <c r="AB859">
        <f>IF(OR(P859=0,P859=""),"",ABS((P859-IF($C859="LT",Config!$F$11,Config!$F$23))/IF($C859="LT",Config!$G$11,Config!$G$23)))</f>
        <v/>
      </c>
      <c r="AC859">
        <f>IF(OR(Q859=0,Q859=""),"",ABS((Q859-IF($C859="LT",Config!$F$12,Config!$F$24))/IF($C859="LT",Config!$G$12,Config!$G$24)))</f>
        <v/>
      </c>
      <c r="AD859">
        <f>IF(OR(R859=0,R859=""),"",ABS((R859-IF($C859="LT",Config!$F$13,Config!$F$25))/IF($C859="LT",Config!$G$13,Config!$G$25)))</f>
        <v/>
      </c>
    </row>
    <row r="860">
      <c r="A860" t="inlineStr">
        <is>
          <t>04D1526121395</t>
        </is>
      </c>
      <c r="B860" t="inlineStr">
        <is>
          <t>CRS0000674</t>
        </is>
      </c>
      <c r="C860" t="inlineStr">
        <is>
          <t>MT</t>
        </is>
      </c>
      <c r="D860" t="inlineStr">
        <is>
          <t>TCX413U-DS1B01</t>
        </is>
      </c>
      <c r="E860" s="2" t="n">
        <v>46134</v>
      </c>
      <c r="F860" t="inlineStr">
        <is>
          <t>Pass</t>
        </is>
      </c>
      <c r="G860" t="n">
        <v>115.1</v>
      </c>
      <c r="H860" t="n">
        <v>79.8</v>
      </c>
      <c r="I860" t="n">
        <v>-1957.8</v>
      </c>
      <c r="J860" t="n">
        <v>68.2</v>
      </c>
      <c r="K860" t="n">
        <v>0</v>
      </c>
      <c r="L860" t="n">
        <v>0.7</v>
      </c>
      <c r="M860" t="n">
        <v>0</v>
      </c>
      <c r="N860" t="n">
        <v>67.5</v>
      </c>
      <c r="O860" t="n">
        <v>112.01</v>
      </c>
      <c r="P860" t="n">
        <v>117.22</v>
      </c>
      <c r="Q860" t="n">
        <v>3.74</v>
      </c>
      <c r="R860" t="n">
        <v>3.78</v>
      </c>
      <c r="S860">
        <f>IF(OR(G860=0,G860=""),"",ABS((G860-IF($C860="LT",Config!$F$2,Config!$F$14))/IF($C860="LT",Config!$G$2,Config!$G$14)))</f>
        <v/>
      </c>
      <c r="T860">
        <f>IF(OR(H860=0,H860=""),"",ABS((H860-IF($C860="LT",Config!$F$3,Config!$F$15))/IF($C860="LT",Config!$G$3,Config!$G$15)))</f>
        <v/>
      </c>
      <c r="U860">
        <f>IF(OR(I860=0,I860=""),"",ABS((I860-IF($C860="LT",Config!$F$4,Config!$F$16))/IF($C860="LT",Config!$G$4,Config!$G$16)))</f>
        <v/>
      </c>
      <c r="V860">
        <f>IF(OR(J860=0,J860=""),"",ABS((J860-IF($C860="LT",Config!$F$5,Config!$F$17))/IF($C860="LT",Config!$G$5,Config!$G$17)))</f>
        <v/>
      </c>
      <c r="W860">
        <f>IF(OR(K860=0,K860=""),"",ABS((K860-IF($C860="LT",Config!$F$6,Config!$F$18))/IF($C860="LT",Config!$G$6,Config!$G$18)))</f>
        <v/>
      </c>
      <c r="X860">
        <f>IF(OR(L860=0,L860=""),"",ABS((L860-IF($C860="LT",Config!$F$7,Config!$F$19))/IF($C860="LT",Config!$G$7,Config!$G$19)))</f>
        <v/>
      </c>
      <c r="Y860">
        <f>IF(OR(M860=0,M860=""),"",ABS((M860-IF($C860="LT",Config!$F$8,Config!$F$20))/IF($C860="LT",Config!$G$8,Config!$G$20)))</f>
        <v/>
      </c>
      <c r="Z860">
        <f>IF(OR(N860=0,N860=""),"",ABS((N860-IF($C860="LT",Config!$F$9,Config!$F$21))/IF($C860="LT",Config!$G$9,Config!$G$21)))</f>
        <v/>
      </c>
      <c r="AA860">
        <f>IF(OR(O860=0,O860=""),"",ABS((O860-IF($C860="LT",Config!$F$10,Config!$F$22))/IF($C860="LT",Config!$G$10,Config!$G$22)))</f>
        <v/>
      </c>
      <c r="AB860">
        <f>IF(OR(P860=0,P860=""),"",ABS((P860-IF($C860="LT",Config!$F$11,Config!$F$23))/IF($C860="LT",Config!$G$11,Config!$G$23)))</f>
        <v/>
      </c>
      <c r="AC860">
        <f>IF(OR(Q860=0,Q860=""),"",ABS((Q860-IF($C860="LT",Config!$F$12,Config!$F$24))/IF($C860="LT",Config!$G$12,Config!$G$24)))</f>
        <v/>
      </c>
      <c r="AD860">
        <f>IF(OR(R860=0,R860=""),"",ABS((R860-IF($C860="LT",Config!$F$13,Config!$F$25))/IF($C860="LT",Config!$G$13,Config!$G$25)))</f>
        <v/>
      </c>
    </row>
    <row r="861">
      <c r="A861" t="inlineStr">
        <is>
          <t>04D1626121419</t>
        </is>
      </c>
      <c r="B861" t="inlineStr">
        <is>
          <t>CRS0000674</t>
        </is>
      </c>
      <c r="C861" t="inlineStr">
        <is>
          <t>MT</t>
        </is>
      </c>
      <c r="D861" t="inlineStr">
        <is>
          <t>TCX413U-DS1B01</t>
        </is>
      </c>
      <c r="E861" s="2" t="n">
        <v>46134</v>
      </c>
      <c r="F861" t="inlineStr">
        <is>
          <t>Fail</t>
        </is>
      </c>
      <c r="G861" t="n">
        <v>113.7</v>
      </c>
      <c r="H861" t="n">
        <v>78.40000000000001</v>
      </c>
      <c r="I861" t="n">
        <v>-1957.8</v>
      </c>
      <c r="J861" t="n">
        <v>68.59999999999999</v>
      </c>
      <c r="K861" t="n">
        <v>0</v>
      </c>
      <c r="L861" t="n">
        <v>0.1</v>
      </c>
      <c r="M861" t="n">
        <v>0</v>
      </c>
      <c r="N861" t="n">
        <v>68.5</v>
      </c>
      <c r="O861" t="n">
        <v>115.53</v>
      </c>
      <c r="P861" t="n">
        <v>113.77</v>
      </c>
      <c r="Q861" t="n">
        <v>3.64</v>
      </c>
      <c r="R861" t="n">
        <v>3.66</v>
      </c>
      <c r="S861">
        <f>IF(OR(G861=0,G861=""),"",ABS((G861-IF($C861="LT",Config!$F$2,Config!$F$14))/IF($C861="LT",Config!$G$2,Config!$G$14)))</f>
        <v/>
      </c>
      <c r="T861">
        <f>IF(OR(H861=0,H861=""),"",ABS((H861-IF($C861="LT",Config!$F$3,Config!$F$15))/IF($C861="LT",Config!$G$3,Config!$G$15)))</f>
        <v/>
      </c>
      <c r="U861">
        <f>IF(OR(I861=0,I861=""),"",ABS((I861-IF($C861="LT",Config!$F$4,Config!$F$16))/IF($C861="LT",Config!$G$4,Config!$G$16)))</f>
        <v/>
      </c>
      <c r="V861">
        <f>IF(OR(J861=0,J861=""),"",ABS((J861-IF($C861="LT",Config!$F$5,Config!$F$17))/IF($C861="LT",Config!$G$5,Config!$G$17)))</f>
        <v/>
      </c>
      <c r="W861">
        <f>IF(OR(K861=0,K861=""),"",ABS((K861-IF($C861="LT",Config!$F$6,Config!$F$18))/IF($C861="LT",Config!$G$6,Config!$G$18)))</f>
        <v/>
      </c>
      <c r="X861">
        <f>IF(OR(L861=0,L861=""),"",ABS((L861-IF($C861="LT",Config!$F$7,Config!$F$19))/IF($C861="LT",Config!$G$7,Config!$G$19)))</f>
        <v/>
      </c>
      <c r="Y861">
        <f>IF(OR(M861=0,M861=""),"",ABS((M861-IF($C861="LT",Config!$F$8,Config!$F$20))/IF($C861="LT",Config!$G$8,Config!$G$20)))</f>
        <v/>
      </c>
      <c r="Z861">
        <f>IF(OR(N861=0,N861=""),"",ABS((N861-IF($C861="LT",Config!$F$9,Config!$F$21))/IF($C861="LT",Config!$G$9,Config!$G$21)))</f>
        <v/>
      </c>
      <c r="AA861">
        <f>IF(OR(O861=0,O861=""),"",ABS((O861-IF($C861="LT",Config!$F$10,Config!$F$22))/IF($C861="LT",Config!$G$10,Config!$G$22)))</f>
        <v/>
      </c>
      <c r="AB861">
        <f>IF(OR(P861=0,P861=""),"",ABS((P861-IF($C861="LT",Config!$F$11,Config!$F$23))/IF($C861="LT",Config!$G$11,Config!$G$23)))</f>
        <v/>
      </c>
      <c r="AC861">
        <f>IF(OR(Q861=0,Q861=""),"",ABS((Q861-IF($C861="LT",Config!$F$12,Config!$F$24))/IF($C861="LT",Config!$G$12,Config!$G$24)))</f>
        <v/>
      </c>
      <c r="AD861">
        <f>IF(OR(R861=0,R861=""),"",ABS((R861-IF($C861="LT",Config!$F$13,Config!$F$25))/IF($C861="LT",Config!$G$13,Config!$G$25)))</f>
        <v/>
      </c>
    </row>
    <row r="862">
      <c r="A862" t="inlineStr">
        <is>
          <t>04D1626121419</t>
        </is>
      </c>
      <c r="B862" t="inlineStr">
        <is>
          <t>CRS0000674</t>
        </is>
      </c>
      <c r="C862" t="inlineStr">
        <is>
          <t>MT</t>
        </is>
      </c>
      <c r="D862" t="inlineStr">
        <is>
          <t>TCX413U-DS1B01</t>
        </is>
      </c>
      <c r="E862" s="2" t="n">
        <v>46134</v>
      </c>
      <c r="F862" t="inlineStr">
        <is>
          <t>Pass</t>
        </is>
      </c>
      <c r="G862" t="n">
        <v>114.2</v>
      </c>
      <c r="H862" t="n">
        <v>78.40000000000001</v>
      </c>
      <c r="I862" t="n">
        <v>-1957.8</v>
      </c>
      <c r="J862" t="n">
        <v>68.59999999999999</v>
      </c>
      <c r="K862" t="n">
        <v>0</v>
      </c>
      <c r="L862" t="n">
        <v>0</v>
      </c>
      <c r="M862" t="n">
        <v>0</v>
      </c>
      <c r="N862" t="n">
        <v>68.59999999999999</v>
      </c>
      <c r="O862" t="n">
        <v>112.3</v>
      </c>
      <c r="P862" t="n">
        <v>116.41</v>
      </c>
      <c r="Q862" t="n">
        <v>3.69</v>
      </c>
      <c r="R862" t="n">
        <v>3.56</v>
      </c>
      <c r="S862">
        <f>IF(OR(G862=0,G862=""),"",ABS((G862-IF($C862="LT",Config!$F$2,Config!$F$14))/IF($C862="LT",Config!$G$2,Config!$G$14)))</f>
        <v/>
      </c>
      <c r="T862">
        <f>IF(OR(H862=0,H862=""),"",ABS((H862-IF($C862="LT",Config!$F$3,Config!$F$15))/IF($C862="LT",Config!$G$3,Config!$G$15)))</f>
        <v/>
      </c>
      <c r="U862">
        <f>IF(OR(I862=0,I862=""),"",ABS((I862-IF($C862="LT",Config!$F$4,Config!$F$16))/IF($C862="LT",Config!$G$4,Config!$G$16)))</f>
        <v/>
      </c>
      <c r="V862">
        <f>IF(OR(J862=0,J862=""),"",ABS((J862-IF($C862="LT",Config!$F$5,Config!$F$17))/IF($C862="LT",Config!$G$5,Config!$G$17)))</f>
        <v/>
      </c>
      <c r="W862">
        <f>IF(OR(K862=0,K862=""),"",ABS((K862-IF($C862="LT",Config!$F$6,Config!$F$18))/IF($C862="LT",Config!$G$6,Config!$G$18)))</f>
        <v/>
      </c>
      <c r="X862">
        <f>IF(OR(L862=0,L862=""),"",ABS((L862-IF($C862="LT",Config!$F$7,Config!$F$19))/IF($C862="LT",Config!$G$7,Config!$G$19)))</f>
        <v/>
      </c>
      <c r="Y862">
        <f>IF(OR(M862=0,M862=""),"",ABS((M862-IF($C862="LT",Config!$F$8,Config!$F$20))/IF($C862="LT",Config!$G$8,Config!$G$20)))</f>
        <v/>
      </c>
      <c r="Z862">
        <f>IF(OR(N862=0,N862=""),"",ABS((N862-IF($C862="LT",Config!$F$9,Config!$F$21))/IF($C862="LT",Config!$G$9,Config!$G$21)))</f>
        <v/>
      </c>
      <c r="AA862">
        <f>IF(OR(O862=0,O862=""),"",ABS((O862-IF($C862="LT",Config!$F$10,Config!$F$22))/IF($C862="LT",Config!$G$10,Config!$G$22)))</f>
        <v/>
      </c>
      <c r="AB862">
        <f>IF(OR(P862=0,P862=""),"",ABS((P862-IF($C862="LT",Config!$F$11,Config!$F$23))/IF($C862="LT",Config!$G$11,Config!$G$23)))</f>
        <v/>
      </c>
      <c r="AC862">
        <f>IF(OR(Q862=0,Q862=""),"",ABS((Q862-IF($C862="LT",Config!$F$12,Config!$F$24))/IF($C862="LT",Config!$G$12,Config!$G$24)))</f>
        <v/>
      </c>
      <c r="AD862">
        <f>IF(OR(R862=0,R862=""),"",ABS((R862-IF($C862="LT",Config!$F$13,Config!$F$25))/IF($C862="LT",Config!$G$13,Config!$G$25)))</f>
        <v/>
      </c>
    </row>
    <row r="863">
      <c r="A863" t="inlineStr">
        <is>
          <t>04D1526121406</t>
        </is>
      </c>
      <c r="B863" t="inlineStr">
        <is>
          <t>CRS0000674</t>
        </is>
      </c>
      <c r="C863" t="inlineStr">
        <is>
          <t>MT</t>
        </is>
      </c>
      <c r="D863" t="inlineStr">
        <is>
          <t>TCX413U-DS1B01</t>
        </is>
      </c>
      <c r="E863" s="2" t="n">
        <v>46134</v>
      </c>
      <c r="F863" t="inlineStr">
        <is>
          <t>Pass</t>
        </is>
      </c>
      <c r="G863" t="n">
        <v>112.4</v>
      </c>
      <c r="H863" t="n">
        <v>79.3</v>
      </c>
      <c r="I863" t="n">
        <v>-1957.8</v>
      </c>
      <c r="J863" t="n">
        <v>69.09999999999999</v>
      </c>
      <c r="K863" t="n">
        <v>0</v>
      </c>
      <c r="L863" t="n">
        <v>0.3</v>
      </c>
      <c r="M863" t="n">
        <v>0</v>
      </c>
      <c r="N863" t="n">
        <v>68.8</v>
      </c>
      <c r="O863" t="n">
        <v>115.31</v>
      </c>
      <c r="P863" t="n">
        <v>115.38</v>
      </c>
      <c r="Q863" t="n">
        <v>3.61</v>
      </c>
      <c r="R863" t="n">
        <v>3.59</v>
      </c>
      <c r="S863">
        <f>IF(OR(G863=0,G863=""),"",ABS((G863-IF($C863="LT",Config!$F$2,Config!$F$14))/IF($C863="LT",Config!$G$2,Config!$G$14)))</f>
        <v/>
      </c>
      <c r="T863">
        <f>IF(OR(H863=0,H863=""),"",ABS((H863-IF($C863="LT",Config!$F$3,Config!$F$15))/IF($C863="LT",Config!$G$3,Config!$G$15)))</f>
        <v/>
      </c>
      <c r="U863">
        <f>IF(OR(I863=0,I863=""),"",ABS((I863-IF($C863="LT",Config!$F$4,Config!$F$16))/IF($C863="LT",Config!$G$4,Config!$G$16)))</f>
        <v/>
      </c>
      <c r="V863">
        <f>IF(OR(J863=0,J863=""),"",ABS((J863-IF($C863="LT",Config!$F$5,Config!$F$17))/IF($C863="LT",Config!$G$5,Config!$G$17)))</f>
        <v/>
      </c>
      <c r="W863">
        <f>IF(OR(K863=0,K863=""),"",ABS((K863-IF($C863="LT",Config!$F$6,Config!$F$18))/IF($C863="LT",Config!$G$6,Config!$G$18)))</f>
        <v/>
      </c>
      <c r="X863">
        <f>IF(OR(L863=0,L863=""),"",ABS((L863-IF($C863="LT",Config!$F$7,Config!$F$19))/IF($C863="LT",Config!$G$7,Config!$G$19)))</f>
        <v/>
      </c>
      <c r="Y863">
        <f>IF(OR(M863=0,M863=""),"",ABS((M863-IF($C863="LT",Config!$F$8,Config!$F$20))/IF($C863="LT",Config!$G$8,Config!$G$20)))</f>
        <v/>
      </c>
      <c r="Z863">
        <f>IF(OR(N863=0,N863=""),"",ABS((N863-IF($C863="LT",Config!$F$9,Config!$F$21))/IF($C863="LT",Config!$G$9,Config!$G$21)))</f>
        <v/>
      </c>
      <c r="AA863">
        <f>IF(OR(O863=0,O863=""),"",ABS((O863-IF($C863="LT",Config!$F$10,Config!$F$22))/IF($C863="LT",Config!$G$10,Config!$G$22)))</f>
        <v/>
      </c>
      <c r="AB863">
        <f>IF(OR(P863=0,P863=""),"",ABS((P863-IF($C863="LT",Config!$F$11,Config!$F$23))/IF($C863="LT",Config!$G$11,Config!$G$23)))</f>
        <v/>
      </c>
      <c r="AC863">
        <f>IF(OR(Q863=0,Q863=""),"",ABS((Q863-IF($C863="LT",Config!$F$12,Config!$F$24))/IF($C863="LT",Config!$G$12,Config!$G$24)))</f>
        <v/>
      </c>
      <c r="AD863">
        <f>IF(OR(R863=0,R863=""),"",ABS((R863-IF($C863="LT",Config!$F$13,Config!$F$25))/IF($C863="LT",Config!$G$13,Config!$G$25)))</f>
        <v/>
      </c>
    </row>
    <row r="864">
      <c r="A864" t="inlineStr">
        <is>
          <t>04D1526121404</t>
        </is>
      </c>
      <c r="B864" t="inlineStr">
        <is>
          <t>CRS0000674</t>
        </is>
      </c>
      <c r="C864" t="inlineStr">
        <is>
          <t>MT</t>
        </is>
      </c>
      <c r="D864" t="inlineStr">
        <is>
          <t>TCX413U-DS1B01</t>
        </is>
      </c>
      <c r="E864" s="2" t="n">
        <v>46134</v>
      </c>
      <c r="F864" t="inlineStr">
        <is>
          <t>Pass</t>
        </is>
      </c>
      <c r="G864" t="n">
        <v>114.2</v>
      </c>
      <c r="H864" t="n">
        <v>80.2</v>
      </c>
      <c r="I864" t="n">
        <v>-1957.8</v>
      </c>
      <c r="J864" t="n">
        <v>69.09999999999999</v>
      </c>
      <c r="K864" t="n">
        <v>0</v>
      </c>
      <c r="L864" t="n">
        <v>0</v>
      </c>
      <c r="M864" t="n">
        <v>0</v>
      </c>
      <c r="N864" t="n">
        <v>69.09999999999999</v>
      </c>
      <c r="O864" t="n">
        <v>115.46</v>
      </c>
      <c r="P864" t="n">
        <v>115.38</v>
      </c>
      <c r="Q864" t="n">
        <v>3.66</v>
      </c>
      <c r="R864" t="n">
        <v>3.69</v>
      </c>
      <c r="S864">
        <f>IF(OR(G864=0,G864=""),"",ABS((G864-IF($C864="LT",Config!$F$2,Config!$F$14))/IF($C864="LT",Config!$G$2,Config!$G$14)))</f>
        <v/>
      </c>
      <c r="T864">
        <f>IF(OR(H864=0,H864=""),"",ABS((H864-IF($C864="LT",Config!$F$3,Config!$F$15))/IF($C864="LT",Config!$G$3,Config!$G$15)))</f>
        <v/>
      </c>
      <c r="U864">
        <f>IF(OR(I864=0,I864=""),"",ABS((I864-IF($C864="LT",Config!$F$4,Config!$F$16))/IF($C864="LT",Config!$G$4,Config!$G$16)))</f>
        <v/>
      </c>
      <c r="V864">
        <f>IF(OR(J864=0,J864=""),"",ABS((J864-IF($C864="LT",Config!$F$5,Config!$F$17))/IF($C864="LT",Config!$G$5,Config!$G$17)))</f>
        <v/>
      </c>
      <c r="W864">
        <f>IF(OR(K864=0,K864=""),"",ABS((K864-IF($C864="LT",Config!$F$6,Config!$F$18))/IF($C864="LT",Config!$G$6,Config!$G$18)))</f>
        <v/>
      </c>
      <c r="X864">
        <f>IF(OR(L864=0,L864=""),"",ABS((L864-IF($C864="LT",Config!$F$7,Config!$F$19))/IF($C864="LT",Config!$G$7,Config!$G$19)))</f>
        <v/>
      </c>
      <c r="Y864">
        <f>IF(OR(M864=0,M864=""),"",ABS((M864-IF($C864="LT",Config!$F$8,Config!$F$20))/IF($C864="LT",Config!$G$8,Config!$G$20)))</f>
        <v/>
      </c>
      <c r="Z864">
        <f>IF(OR(N864=0,N864=""),"",ABS((N864-IF($C864="LT",Config!$F$9,Config!$F$21))/IF($C864="LT",Config!$G$9,Config!$G$21)))</f>
        <v/>
      </c>
      <c r="AA864">
        <f>IF(OR(O864=0,O864=""),"",ABS((O864-IF($C864="LT",Config!$F$10,Config!$F$22))/IF($C864="LT",Config!$G$10,Config!$G$22)))</f>
        <v/>
      </c>
      <c r="AB864">
        <f>IF(OR(P864=0,P864=""),"",ABS((P864-IF($C864="LT",Config!$F$11,Config!$F$23))/IF($C864="LT",Config!$G$11,Config!$G$23)))</f>
        <v/>
      </c>
      <c r="AC864">
        <f>IF(OR(Q864=0,Q864=""),"",ABS((Q864-IF($C864="LT",Config!$F$12,Config!$F$24))/IF($C864="LT",Config!$G$12,Config!$G$24)))</f>
        <v/>
      </c>
      <c r="AD864">
        <f>IF(OR(R864=0,R864=""),"",ABS((R864-IF($C864="LT",Config!$F$13,Config!$F$25))/IF($C864="LT",Config!$G$13,Config!$G$25)))</f>
        <v/>
      </c>
    </row>
    <row r="865">
      <c r="A865" t="inlineStr">
        <is>
          <t>04D1426121378</t>
        </is>
      </c>
      <c r="B865" t="inlineStr">
        <is>
          <t>CRS0000674</t>
        </is>
      </c>
      <c r="C865" t="inlineStr">
        <is>
          <t>MT</t>
        </is>
      </c>
      <c r="D865" t="inlineStr">
        <is>
          <t>TCX413U-DS1B01</t>
        </is>
      </c>
      <c r="E865" s="2" t="n">
        <v>46134</v>
      </c>
      <c r="F865" t="inlineStr">
        <is>
          <t>Fail</t>
        </is>
      </c>
      <c r="G865" t="n">
        <v>92.8</v>
      </c>
      <c r="H865" t="n">
        <v>79.3</v>
      </c>
      <c r="I865" t="n">
        <v>-1957.8</v>
      </c>
      <c r="J865" t="n">
        <v>68.2</v>
      </c>
      <c r="K865" t="n">
        <v>0</v>
      </c>
      <c r="L865" t="n">
        <v>0.4</v>
      </c>
      <c r="M865" t="n">
        <v>0</v>
      </c>
      <c r="N865" t="n">
        <v>68.59999999999999</v>
      </c>
      <c r="O865" t="n">
        <v>115.75</v>
      </c>
      <c r="P865" t="n">
        <v>117</v>
      </c>
      <c r="Q865" t="n">
        <v>3.71</v>
      </c>
      <c r="R865" t="n">
        <v>3.66</v>
      </c>
      <c r="S865">
        <f>IF(OR(G865=0,G865=""),"",ABS((G865-IF($C865="LT",Config!$F$2,Config!$F$14))/IF($C865="LT",Config!$G$2,Config!$G$14)))</f>
        <v/>
      </c>
      <c r="T865">
        <f>IF(OR(H865=0,H865=""),"",ABS((H865-IF($C865="LT",Config!$F$3,Config!$F$15))/IF($C865="LT",Config!$G$3,Config!$G$15)))</f>
        <v/>
      </c>
      <c r="U865">
        <f>IF(OR(I865=0,I865=""),"",ABS((I865-IF($C865="LT",Config!$F$4,Config!$F$16))/IF($C865="LT",Config!$G$4,Config!$G$16)))</f>
        <v/>
      </c>
      <c r="V865">
        <f>IF(OR(J865=0,J865=""),"",ABS((J865-IF($C865="LT",Config!$F$5,Config!$F$17))/IF($C865="LT",Config!$G$5,Config!$G$17)))</f>
        <v/>
      </c>
      <c r="W865">
        <f>IF(OR(K865=0,K865=""),"",ABS((K865-IF($C865="LT",Config!$F$6,Config!$F$18))/IF($C865="LT",Config!$G$6,Config!$G$18)))</f>
        <v/>
      </c>
      <c r="X865">
        <f>IF(OR(L865=0,L865=""),"",ABS((L865-IF($C865="LT",Config!$F$7,Config!$F$19))/IF($C865="LT",Config!$G$7,Config!$G$19)))</f>
        <v/>
      </c>
      <c r="Y865">
        <f>IF(OR(M865=0,M865=""),"",ABS((M865-IF($C865="LT",Config!$F$8,Config!$F$20))/IF($C865="LT",Config!$G$8,Config!$G$20)))</f>
        <v/>
      </c>
      <c r="Z865">
        <f>IF(OR(N865=0,N865=""),"",ABS((N865-IF($C865="LT",Config!$F$9,Config!$F$21))/IF($C865="LT",Config!$G$9,Config!$G$21)))</f>
        <v/>
      </c>
      <c r="AA865">
        <f>IF(OR(O865=0,O865=""),"",ABS((O865-IF($C865="LT",Config!$F$10,Config!$F$22))/IF($C865="LT",Config!$G$10,Config!$G$22)))</f>
        <v/>
      </c>
      <c r="AB865">
        <f>IF(OR(P865=0,P865=""),"",ABS((P865-IF($C865="LT",Config!$F$11,Config!$F$23))/IF($C865="LT",Config!$G$11,Config!$G$23)))</f>
        <v/>
      </c>
      <c r="AC865">
        <f>IF(OR(Q865=0,Q865=""),"",ABS((Q865-IF($C865="LT",Config!$F$12,Config!$F$24))/IF($C865="LT",Config!$G$12,Config!$G$24)))</f>
        <v/>
      </c>
      <c r="AD865">
        <f>IF(OR(R865=0,R865=""),"",ABS((R865-IF($C865="LT",Config!$F$13,Config!$F$25))/IF($C865="LT",Config!$G$13,Config!$G$25)))</f>
        <v/>
      </c>
    </row>
    <row r="866">
      <c r="A866" t="inlineStr">
        <is>
          <t>04D1426121378</t>
        </is>
      </c>
      <c r="B866" t="inlineStr">
        <is>
          <t>CRS0000674</t>
        </is>
      </c>
      <c r="C866" t="inlineStr">
        <is>
          <t>MT</t>
        </is>
      </c>
      <c r="D866" t="inlineStr">
        <is>
          <t>TCX413U-DS1B01</t>
        </is>
      </c>
      <c r="E866" s="2" t="n">
        <v>46134</v>
      </c>
      <c r="F866" t="inlineStr">
        <is>
          <t>Pass</t>
        </is>
      </c>
      <c r="G866" t="n">
        <v>112.9</v>
      </c>
      <c r="H866" t="n">
        <v>76.59999999999999</v>
      </c>
      <c r="I866" t="n">
        <v>-1957.8</v>
      </c>
      <c r="J866" t="n">
        <v>68.2</v>
      </c>
      <c r="K866" t="n">
        <v>0</v>
      </c>
      <c r="L866" t="n">
        <v>0.2</v>
      </c>
      <c r="M866" t="n">
        <v>0</v>
      </c>
      <c r="N866" t="n">
        <v>68</v>
      </c>
      <c r="O866" t="n">
        <v>115.53</v>
      </c>
      <c r="P866" t="n">
        <v>113.7</v>
      </c>
      <c r="Q866" t="n">
        <v>3.61</v>
      </c>
      <c r="R866" t="n">
        <v>3.59</v>
      </c>
      <c r="S866">
        <f>IF(OR(G866=0,G866=""),"",ABS((G866-IF($C866="LT",Config!$F$2,Config!$F$14))/IF($C866="LT",Config!$G$2,Config!$G$14)))</f>
        <v/>
      </c>
      <c r="T866">
        <f>IF(OR(H866=0,H866=""),"",ABS((H866-IF($C866="LT",Config!$F$3,Config!$F$15))/IF($C866="LT",Config!$G$3,Config!$G$15)))</f>
        <v/>
      </c>
      <c r="U866">
        <f>IF(OR(I866=0,I866=""),"",ABS((I866-IF($C866="LT",Config!$F$4,Config!$F$16))/IF($C866="LT",Config!$G$4,Config!$G$16)))</f>
        <v/>
      </c>
      <c r="V866">
        <f>IF(OR(J866=0,J866=""),"",ABS((J866-IF($C866="LT",Config!$F$5,Config!$F$17))/IF($C866="LT",Config!$G$5,Config!$G$17)))</f>
        <v/>
      </c>
      <c r="W866">
        <f>IF(OR(K866=0,K866=""),"",ABS((K866-IF($C866="LT",Config!$F$6,Config!$F$18))/IF($C866="LT",Config!$G$6,Config!$G$18)))</f>
        <v/>
      </c>
      <c r="X866">
        <f>IF(OR(L866=0,L866=""),"",ABS((L866-IF($C866="LT",Config!$F$7,Config!$F$19))/IF($C866="LT",Config!$G$7,Config!$G$19)))</f>
        <v/>
      </c>
      <c r="Y866">
        <f>IF(OR(M866=0,M866=""),"",ABS((M866-IF($C866="LT",Config!$F$8,Config!$F$20))/IF($C866="LT",Config!$G$8,Config!$G$20)))</f>
        <v/>
      </c>
      <c r="Z866">
        <f>IF(OR(N866=0,N866=""),"",ABS((N866-IF($C866="LT",Config!$F$9,Config!$F$21))/IF($C866="LT",Config!$G$9,Config!$G$21)))</f>
        <v/>
      </c>
      <c r="AA866">
        <f>IF(OR(O866=0,O866=""),"",ABS((O866-IF($C866="LT",Config!$F$10,Config!$F$22))/IF($C866="LT",Config!$G$10,Config!$G$22)))</f>
        <v/>
      </c>
      <c r="AB866">
        <f>IF(OR(P866=0,P866=""),"",ABS((P866-IF($C866="LT",Config!$F$11,Config!$F$23))/IF($C866="LT",Config!$G$11,Config!$G$23)))</f>
        <v/>
      </c>
      <c r="AC866">
        <f>IF(OR(Q866=0,Q866=""),"",ABS((Q866-IF($C866="LT",Config!$F$12,Config!$F$24))/IF($C866="LT",Config!$G$12,Config!$G$24)))</f>
        <v/>
      </c>
      <c r="AD866">
        <f>IF(OR(R866=0,R866=""),"",ABS((R866-IF($C866="LT",Config!$F$13,Config!$F$25))/IF($C866="LT",Config!$G$13,Config!$G$25)))</f>
        <v/>
      </c>
    </row>
    <row r="867">
      <c r="A867" t="inlineStr">
        <is>
          <t>04C2426121082</t>
        </is>
      </c>
      <c r="B867" t="inlineStr">
        <is>
          <t>CRS0000675</t>
        </is>
      </c>
      <c r="C867" t="inlineStr">
        <is>
          <t>LT</t>
        </is>
      </c>
      <c r="D867" t="inlineStr">
        <is>
          <t>ALX440U-DS3B01</t>
        </is>
      </c>
      <c r="E867" s="2" t="n">
        <v>46134</v>
      </c>
      <c r="F867" t="inlineStr">
        <is>
          <t>Pass</t>
        </is>
      </c>
      <c r="G867" t="n">
        <v>164.2</v>
      </c>
      <c r="H867" t="n">
        <v>97.3</v>
      </c>
      <c r="I867" t="n">
        <v>-1957.8</v>
      </c>
      <c r="J867" t="n">
        <v>68.59999999999999</v>
      </c>
      <c r="K867" t="n">
        <v>0</v>
      </c>
      <c r="L867" t="n">
        <v>0.3</v>
      </c>
      <c r="M867" t="n">
        <v>0</v>
      </c>
      <c r="N867" t="n">
        <v>68.90000000000001</v>
      </c>
      <c r="O867" t="n">
        <v>111.13</v>
      </c>
      <c r="P867" t="n">
        <v>117.51</v>
      </c>
      <c r="Q867" t="n">
        <v>8.94</v>
      </c>
      <c r="R867" t="n">
        <v>8.109999999999999</v>
      </c>
      <c r="S867">
        <f>IF(OR(G867=0,G867=""),"",ABS((G867-IF($C867="LT",Config!$F$2,Config!$F$14))/IF($C867="LT",Config!$G$2,Config!$G$14)))</f>
        <v/>
      </c>
      <c r="T867">
        <f>IF(OR(H867=0,H867=""),"",ABS((H867-IF($C867="LT",Config!$F$3,Config!$F$15))/IF($C867="LT",Config!$G$3,Config!$G$15)))</f>
        <v/>
      </c>
      <c r="U867">
        <f>IF(OR(I867=0,I867=""),"",ABS((I867-IF($C867="LT",Config!$F$4,Config!$F$16))/IF($C867="LT",Config!$G$4,Config!$G$16)))</f>
        <v/>
      </c>
      <c r="V867">
        <f>IF(OR(J867=0,J867=""),"",ABS((J867-IF($C867="LT",Config!$F$5,Config!$F$17))/IF($C867="LT",Config!$G$5,Config!$G$17)))</f>
        <v/>
      </c>
      <c r="W867">
        <f>IF(OR(K867=0,K867=""),"",ABS((K867-IF($C867="LT",Config!$F$6,Config!$F$18))/IF($C867="LT",Config!$G$6,Config!$G$18)))</f>
        <v/>
      </c>
      <c r="X867">
        <f>IF(OR(L867=0,L867=""),"",ABS((L867-IF($C867="LT",Config!$F$7,Config!$F$19))/IF($C867="LT",Config!$G$7,Config!$G$19)))</f>
        <v/>
      </c>
      <c r="Y867">
        <f>IF(OR(M867=0,M867=""),"",ABS((M867-IF($C867="LT",Config!$F$8,Config!$F$20))/IF($C867="LT",Config!$G$8,Config!$G$20)))</f>
        <v/>
      </c>
      <c r="Z867">
        <f>IF(OR(N867=0,N867=""),"",ABS((N867-IF($C867="LT",Config!$F$9,Config!$F$21))/IF($C867="LT",Config!$G$9,Config!$G$21)))</f>
        <v/>
      </c>
      <c r="AA867">
        <f>IF(OR(O867=0,O867=""),"",ABS((O867-IF($C867="LT",Config!$F$10,Config!$F$22))/IF($C867="LT",Config!$G$10,Config!$G$22)))</f>
        <v/>
      </c>
      <c r="AB867">
        <f>IF(OR(P867=0,P867=""),"",ABS((P867-IF($C867="LT",Config!$F$11,Config!$F$23))/IF($C867="LT",Config!$G$11,Config!$G$23)))</f>
        <v/>
      </c>
      <c r="AC867">
        <f>IF(OR(Q867=0,Q867=""),"",ABS((Q867-IF($C867="LT",Config!$F$12,Config!$F$24))/IF($C867="LT",Config!$G$12,Config!$G$24)))</f>
        <v/>
      </c>
      <c r="AD867">
        <f>IF(OR(R867=0,R867=""),"",ABS((R867-IF($C867="LT",Config!$F$13,Config!$F$25))/IF($C867="LT",Config!$G$13,Config!$G$25)))</f>
        <v/>
      </c>
    </row>
    <row r="868">
      <c r="A868" t="inlineStr">
        <is>
          <t>04D1426121383</t>
        </is>
      </c>
      <c r="B868" t="inlineStr">
        <is>
          <t>CRS0000674</t>
        </is>
      </c>
      <c r="C868" t="inlineStr">
        <is>
          <t>MT</t>
        </is>
      </c>
      <c r="D868" t="inlineStr">
        <is>
          <t>TCX413U-DS1B01</t>
        </is>
      </c>
      <c r="E868" s="2" t="n">
        <v>46134</v>
      </c>
      <c r="F868" t="inlineStr">
        <is>
          <t>Pass</t>
        </is>
      </c>
      <c r="G868" t="n">
        <v>114.6</v>
      </c>
      <c r="H868" t="n">
        <v>78.40000000000001</v>
      </c>
      <c r="I868" t="n">
        <v>-1957.8</v>
      </c>
      <c r="J868" t="n">
        <v>69.09999999999999</v>
      </c>
      <c r="K868" t="n">
        <v>0</v>
      </c>
      <c r="L868" t="n">
        <v>0.5</v>
      </c>
      <c r="M868" t="n">
        <v>0</v>
      </c>
      <c r="N868" t="n">
        <v>69.59999999999999</v>
      </c>
      <c r="O868" t="n">
        <v>115.53</v>
      </c>
      <c r="P868" t="n">
        <v>117</v>
      </c>
      <c r="Q868" t="n">
        <v>3.83</v>
      </c>
      <c r="R868" t="n">
        <v>3.78</v>
      </c>
      <c r="S868">
        <f>IF(OR(G868=0,G868=""),"",ABS((G868-IF($C868="LT",Config!$F$2,Config!$F$14))/IF($C868="LT",Config!$G$2,Config!$G$14)))</f>
        <v/>
      </c>
      <c r="T868">
        <f>IF(OR(H868=0,H868=""),"",ABS((H868-IF($C868="LT",Config!$F$3,Config!$F$15))/IF($C868="LT",Config!$G$3,Config!$G$15)))</f>
        <v/>
      </c>
      <c r="U868">
        <f>IF(OR(I868=0,I868=""),"",ABS((I868-IF($C868="LT",Config!$F$4,Config!$F$16))/IF($C868="LT",Config!$G$4,Config!$G$16)))</f>
        <v/>
      </c>
      <c r="V868">
        <f>IF(OR(J868=0,J868=""),"",ABS((J868-IF($C868="LT",Config!$F$5,Config!$F$17))/IF($C868="LT",Config!$G$5,Config!$G$17)))</f>
        <v/>
      </c>
      <c r="W868">
        <f>IF(OR(K868=0,K868=""),"",ABS((K868-IF($C868="LT",Config!$F$6,Config!$F$18))/IF($C868="LT",Config!$G$6,Config!$G$18)))</f>
        <v/>
      </c>
      <c r="X868">
        <f>IF(OR(L868=0,L868=""),"",ABS((L868-IF($C868="LT",Config!$F$7,Config!$F$19))/IF($C868="LT",Config!$G$7,Config!$G$19)))</f>
        <v/>
      </c>
      <c r="Y868">
        <f>IF(OR(M868=0,M868=""),"",ABS((M868-IF($C868="LT",Config!$F$8,Config!$F$20))/IF($C868="LT",Config!$G$8,Config!$G$20)))</f>
        <v/>
      </c>
      <c r="Z868">
        <f>IF(OR(N868=0,N868=""),"",ABS((N868-IF($C868="LT",Config!$F$9,Config!$F$21))/IF($C868="LT",Config!$G$9,Config!$G$21)))</f>
        <v/>
      </c>
      <c r="AA868">
        <f>IF(OR(O868=0,O868=""),"",ABS((O868-IF($C868="LT",Config!$F$10,Config!$F$22))/IF($C868="LT",Config!$G$10,Config!$G$22)))</f>
        <v/>
      </c>
      <c r="AB868">
        <f>IF(OR(P868=0,P868=""),"",ABS((P868-IF($C868="LT",Config!$F$11,Config!$F$23))/IF($C868="LT",Config!$G$11,Config!$G$23)))</f>
        <v/>
      </c>
      <c r="AC868">
        <f>IF(OR(Q868=0,Q868=""),"",ABS((Q868-IF($C868="LT",Config!$F$12,Config!$F$24))/IF($C868="LT",Config!$G$12,Config!$G$24)))</f>
        <v/>
      </c>
      <c r="AD868">
        <f>IF(OR(R868=0,R868=""),"",ABS((R868-IF($C868="LT",Config!$F$13,Config!$F$25))/IF($C868="LT",Config!$G$13,Config!$G$25)))</f>
        <v/>
      </c>
    </row>
    <row r="869">
      <c r="A869" t="inlineStr">
        <is>
          <t>04D1426121373</t>
        </is>
      </c>
      <c r="B869" t="inlineStr">
        <is>
          <t>CRS0000674</t>
        </is>
      </c>
      <c r="C869" t="inlineStr">
        <is>
          <t>MT</t>
        </is>
      </c>
      <c r="D869" t="inlineStr">
        <is>
          <t>TCX413U-DS1B01</t>
        </is>
      </c>
      <c r="E869" s="2" t="n">
        <v>46134</v>
      </c>
      <c r="F869" t="inlineStr">
        <is>
          <t>Pass</t>
        </is>
      </c>
      <c r="G869" t="n">
        <v>117.8</v>
      </c>
      <c r="H869" t="n">
        <v>80.7</v>
      </c>
      <c r="I869" t="n">
        <v>-1957.8</v>
      </c>
      <c r="J869" t="n">
        <v>69.09999999999999</v>
      </c>
      <c r="K869" t="n">
        <v>0</v>
      </c>
      <c r="L869" t="n">
        <v>0.5</v>
      </c>
      <c r="M869" t="n">
        <v>0</v>
      </c>
      <c r="N869" t="n">
        <v>69.59999999999999</v>
      </c>
      <c r="O869" t="n">
        <v>112.3</v>
      </c>
      <c r="P869" t="n">
        <v>116.56</v>
      </c>
      <c r="Q869" t="n">
        <v>3.71</v>
      </c>
      <c r="R869" t="n">
        <v>3.56</v>
      </c>
      <c r="S869">
        <f>IF(OR(G869=0,G869=""),"",ABS((G869-IF($C869="LT",Config!$F$2,Config!$F$14))/IF($C869="LT",Config!$G$2,Config!$G$14)))</f>
        <v/>
      </c>
      <c r="T869">
        <f>IF(OR(H869=0,H869=""),"",ABS((H869-IF($C869="LT",Config!$F$3,Config!$F$15))/IF($C869="LT",Config!$G$3,Config!$G$15)))</f>
        <v/>
      </c>
      <c r="U869">
        <f>IF(OR(I869=0,I869=""),"",ABS((I869-IF($C869="LT",Config!$F$4,Config!$F$16))/IF($C869="LT",Config!$G$4,Config!$G$16)))</f>
        <v/>
      </c>
      <c r="V869">
        <f>IF(OR(J869=0,J869=""),"",ABS((J869-IF($C869="LT",Config!$F$5,Config!$F$17))/IF($C869="LT",Config!$G$5,Config!$G$17)))</f>
        <v/>
      </c>
      <c r="W869">
        <f>IF(OR(K869=0,K869=""),"",ABS((K869-IF($C869="LT",Config!$F$6,Config!$F$18))/IF($C869="LT",Config!$G$6,Config!$G$18)))</f>
        <v/>
      </c>
      <c r="X869">
        <f>IF(OR(L869=0,L869=""),"",ABS((L869-IF($C869="LT",Config!$F$7,Config!$F$19))/IF($C869="LT",Config!$G$7,Config!$G$19)))</f>
        <v/>
      </c>
      <c r="Y869">
        <f>IF(OR(M869=0,M869=""),"",ABS((M869-IF($C869="LT",Config!$F$8,Config!$F$20))/IF($C869="LT",Config!$G$8,Config!$G$20)))</f>
        <v/>
      </c>
      <c r="Z869">
        <f>IF(OR(N869=0,N869=""),"",ABS((N869-IF($C869="LT",Config!$F$9,Config!$F$21))/IF($C869="LT",Config!$G$9,Config!$G$21)))</f>
        <v/>
      </c>
      <c r="AA869">
        <f>IF(OR(O869=0,O869=""),"",ABS((O869-IF($C869="LT",Config!$F$10,Config!$F$22))/IF($C869="LT",Config!$G$10,Config!$G$22)))</f>
        <v/>
      </c>
      <c r="AB869">
        <f>IF(OR(P869=0,P869=""),"",ABS((P869-IF($C869="LT",Config!$F$11,Config!$F$23))/IF($C869="LT",Config!$G$11,Config!$G$23)))</f>
        <v/>
      </c>
      <c r="AC869">
        <f>IF(OR(Q869=0,Q869=""),"",ABS((Q869-IF($C869="LT",Config!$F$12,Config!$F$24))/IF($C869="LT",Config!$G$12,Config!$G$24)))</f>
        <v/>
      </c>
      <c r="AD869">
        <f>IF(OR(R869=0,R869=""),"",ABS((R869-IF($C869="LT",Config!$F$13,Config!$F$25))/IF($C869="LT",Config!$G$13,Config!$G$25)))</f>
        <v/>
      </c>
    </row>
    <row r="870">
      <c r="A870" t="inlineStr">
        <is>
          <t>04D1626121408</t>
        </is>
      </c>
      <c r="B870" t="inlineStr">
        <is>
          <t>CRS0000674</t>
        </is>
      </c>
      <c r="C870" t="inlineStr">
        <is>
          <t>MT</t>
        </is>
      </c>
      <c r="D870" t="inlineStr">
        <is>
          <t>TCX413U-DS1B01</t>
        </is>
      </c>
      <c r="E870" s="2" t="n">
        <v>46134</v>
      </c>
      <c r="F870" t="inlineStr">
        <is>
          <t>Pass</t>
        </is>
      </c>
      <c r="G870" t="n">
        <v>115.1</v>
      </c>
      <c r="H870" t="n">
        <v>79.3</v>
      </c>
      <c r="I870" t="n">
        <v>-1957.8</v>
      </c>
      <c r="J870" t="n">
        <v>69.09999999999999</v>
      </c>
      <c r="K870" t="n">
        <v>0</v>
      </c>
      <c r="L870" t="n">
        <v>0.1</v>
      </c>
      <c r="M870" t="n">
        <v>0</v>
      </c>
      <c r="N870" t="n">
        <v>69</v>
      </c>
      <c r="O870" t="n">
        <v>115.31</v>
      </c>
      <c r="P870" t="n">
        <v>115.38</v>
      </c>
      <c r="Q870" t="n">
        <v>3.76</v>
      </c>
      <c r="R870" t="n">
        <v>3.76</v>
      </c>
      <c r="S870">
        <f>IF(OR(G870=0,G870=""),"",ABS((G870-IF($C870="LT",Config!$F$2,Config!$F$14))/IF($C870="LT",Config!$G$2,Config!$G$14)))</f>
        <v/>
      </c>
      <c r="T870">
        <f>IF(OR(H870=0,H870=""),"",ABS((H870-IF($C870="LT",Config!$F$3,Config!$F$15))/IF($C870="LT",Config!$G$3,Config!$G$15)))</f>
        <v/>
      </c>
      <c r="U870">
        <f>IF(OR(I870=0,I870=""),"",ABS((I870-IF($C870="LT",Config!$F$4,Config!$F$16))/IF($C870="LT",Config!$G$4,Config!$G$16)))</f>
        <v/>
      </c>
      <c r="V870">
        <f>IF(OR(J870=0,J870=""),"",ABS((J870-IF($C870="LT",Config!$F$5,Config!$F$17))/IF($C870="LT",Config!$G$5,Config!$G$17)))</f>
        <v/>
      </c>
      <c r="W870">
        <f>IF(OR(K870=0,K870=""),"",ABS((K870-IF($C870="LT",Config!$F$6,Config!$F$18))/IF($C870="LT",Config!$G$6,Config!$G$18)))</f>
        <v/>
      </c>
      <c r="X870">
        <f>IF(OR(L870=0,L870=""),"",ABS((L870-IF($C870="LT",Config!$F$7,Config!$F$19))/IF($C870="LT",Config!$G$7,Config!$G$19)))</f>
        <v/>
      </c>
      <c r="Y870">
        <f>IF(OR(M870=0,M870=""),"",ABS((M870-IF($C870="LT",Config!$F$8,Config!$F$20))/IF($C870="LT",Config!$G$8,Config!$G$20)))</f>
        <v/>
      </c>
      <c r="Z870">
        <f>IF(OR(N870=0,N870=""),"",ABS((N870-IF($C870="LT",Config!$F$9,Config!$F$21))/IF($C870="LT",Config!$G$9,Config!$G$21)))</f>
        <v/>
      </c>
      <c r="AA870">
        <f>IF(OR(O870=0,O870=""),"",ABS((O870-IF($C870="LT",Config!$F$10,Config!$F$22))/IF($C870="LT",Config!$G$10,Config!$G$22)))</f>
        <v/>
      </c>
      <c r="AB870">
        <f>IF(OR(P870=0,P870=""),"",ABS((P870-IF($C870="LT",Config!$F$11,Config!$F$23))/IF($C870="LT",Config!$G$11,Config!$G$23)))</f>
        <v/>
      </c>
      <c r="AC870">
        <f>IF(OR(Q870=0,Q870=""),"",ABS((Q870-IF($C870="LT",Config!$F$12,Config!$F$24))/IF($C870="LT",Config!$G$12,Config!$G$24)))</f>
        <v/>
      </c>
      <c r="AD870">
        <f>IF(OR(R870=0,R870=""),"",ABS((R870-IF($C870="LT",Config!$F$13,Config!$F$25))/IF($C870="LT",Config!$G$13,Config!$G$25)))</f>
        <v/>
      </c>
    </row>
    <row r="871">
      <c r="A871" t="inlineStr">
        <is>
          <t>04D1426121381</t>
        </is>
      </c>
      <c r="B871" t="inlineStr">
        <is>
          <t>CRS0000674</t>
        </is>
      </c>
      <c r="C871" t="inlineStr">
        <is>
          <t>MT</t>
        </is>
      </c>
      <c r="D871" t="inlineStr">
        <is>
          <t>TCX413U-DS1B01</t>
        </is>
      </c>
      <c r="E871" s="2" t="n">
        <v>46134</v>
      </c>
      <c r="F871" t="inlineStr">
        <is>
          <t>Pass</t>
        </is>
      </c>
      <c r="G871" t="n">
        <v>121.3</v>
      </c>
      <c r="H871" t="n">
        <v>81.09999999999999</v>
      </c>
      <c r="I871" t="n">
        <v>-1957.8</v>
      </c>
      <c r="J871" t="n">
        <v>69.09999999999999</v>
      </c>
      <c r="K871" t="n">
        <v>0</v>
      </c>
      <c r="L871" t="n">
        <v>0.3</v>
      </c>
      <c r="M871" t="n">
        <v>0</v>
      </c>
      <c r="N871" t="n">
        <v>68.8</v>
      </c>
      <c r="O871" t="n">
        <v>115.82</v>
      </c>
      <c r="P871" t="n">
        <v>117.44</v>
      </c>
      <c r="Q871" t="n">
        <v>3.76</v>
      </c>
      <c r="R871" t="n">
        <v>3.83</v>
      </c>
      <c r="S871">
        <f>IF(OR(G871=0,G871=""),"",ABS((G871-IF($C871="LT",Config!$F$2,Config!$F$14))/IF($C871="LT",Config!$G$2,Config!$G$14)))</f>
        <v/>
      </c>
      <c r="T871">
        <f>IF(OR(H871=0,H871=""),"",ABS((H871-IF($C871="LT",Config!$F$3,Config!$F$15))/IF($C871="LT",Config!$G$3,Config!$G$15)))</f>
        <v/>
      </c>
      <c r="U871">
        <f>IF(OR(I871=0,I871=""),"",ABS((I871-IF($C871="LT",Config!$F$4,Config!$F$16))/IF($C871="LT",Config!$G$4,Config!$G$16)))</f>
        <v/>
      </c>
      <c r="V871">
        <f>IF(OR(J871=0,J871=""),"",ABS((J871-IF($C871="LT",Config!$F$5,Config!$F$17))/IF($C871="LT",Config!$G$5,Config!$G$17)))</f>
        <v/>
      </c>
      <c r="W871">
        <f>IF(OR(K871=0,K871=""),"",ABS((K871-IF($C871="LT",Config!$F$6,Config!$F$18))/IF($C871="LT",Config!$G$6,Config!$G$18)))</f>
        <v/>
      </c>
      <c r="X871">
        <f>IF(OR(L871=0,L871=""),"",ABS((L871-IF($C871="LT",Config!$F$7,Config!$F$19))/IF($C871="LT",Config!$G$7,Config!$G$19)))</f>
        <v/>
      </c>
      <c r="Y871">
        <f>IF(OR(M871=0,M871=""),"",ABS((M871-IF($C871="LT",Config!$F$8,Config!$F$20))/IF($C871="LT",Config!$G$8,Config!$G$20)))</f>
        <v/>
      </c>
      <c r="Z871">
        <f>IF(OR(N871=0,N871=""),"",ABS((N871-IF($C871="LT",Config!$F$9,Config!$F$21))/IF($C871="LT",Config!$G$9,Config!$G$21)))</f>
        <v/>
      </c>
      <c r="AA871">
        <f>IF(OR(O871=0,O871=""),"",ABS((O871-IF($C871="LT",Config!$F$10,Config!$F$22))/IF($C871="LT",Config!$G$10,Config!$G$22)))</f>
        <v/>
      </c>
      <c r="AB871">
        <f>IF(OR(P871=0,P871=""),"",ABS((P871-IF($C871="LT",Config!$F$11,Config!$F$23))/IF($C871="LT",Config!$G$11,Config!$G$23)))</f>
        <v/>
      </c>
      <c r="AC871">
        <f>IF(OR(Q871=0,Q871=""),"",ABS((Q871-IF($C871="LT",Config!$F$12,Config!$F$24))/IF($C871="LT",Config!$G$12,Config!$G$24)))</f>
        <v/>
      </c>
      <c r="AD871">
        <f>IF(OR(R871=0,R871=""),"",ABS((R871-IF($C871="LT",Config!$F$13,Config!$F$25))/IF($C871="LT",Config!$G$13,Config!$G$25)))</f>
        <v/>
      </c>
    </row>
    <row r="872">
      <c r="A872" t="inlineStr">
        <is>
          <t>04D1326121366</t>
        </is>
      </c>
      <c r="B872" t="inlineStr">
        <is>
          <t>CRS0000674</t>
        </is>
      </c>
      <c r="C872" t="inlineStr">
        <is>
          <t>MT</t>
        </is>
      </c>
      <c r="D872" t="inlineStr">
        <is>
          <t>TCX413U-DS1B01</t>
        </is>
      </c>
      <c r="E872" s="2" t="n">
        <v>46134</v>
      </c>
      <c r="F872" t="inlineStr">
        <is>
          <t>Pass</t>
        </is>
      </c>
      <c r="G872" t="n">
        <v>112.9</v>
      </c>
      <c r="H872" t="n">
        <v>80.2</v>
      </c>
      <c r="I872" t="n">
        <v>-1957.8</v>
      </c>
      <c r="J872" t="n">
        <v>69.09999999999999</v>
      </c>
      <c r="K872" t="n">
        <v>0</v>
      </c>
      <c r="L872" t="n">
        <v>0.6</v>
      </c>
      <c r="M872" t="n">
        <v>0</v>
      </c>
      <c r="N872" t="n">
        <v>68.5</v>
      </c>
      <c r="O872" t="n">
        <v>112.08</v>
      </c>
      <c r="P872" t="n">
        <v>116.56</v>
      </c>
      <c r="Q872" t="n">
        <v>3.76</v>
      </c>
      <c r="R872" t="n">
        <v>3.64</v>
      </c>
      <c r="S872">
        <f>IF(OR(G872=0,G872=""),"",ABS((G872-IF($C872="LT",Config!$F$2,Config!$F$14))/IF($C872="LT",Config!$G$2,Config!$G$14)))</f>
        <v/>
      </c>
      <c r="T872">
        <f>IF(OR(H872=0,H872=""),"",ABS((H872-IF($C872="LT",Config!$F$3,Config!$F$15))/IF($C872="LT",Config!$G$3,Config!$G$15)))</f>
        <v/>
      </c>
      <c r="U872">
        <f>IF(OR(I872=0,I872=""),"",ABS((I872-IF($C872="LT",Config!$F$4,Config!$F$16))/IF($C872="LT",Config!$G$4,Config!$G$16)))</f>
        <v/>
      </c>
      <c r="V872">
        <f>IF(OR(J872=0,J872=""),"",ABS((J872-IF($C872="LT",Config!$F$5,Config!$F$17))/IF($C872="LT",Config!$G$5,Config!$G$17)))</f>
        <v/>
      </c>
      <c r="W872">
        <f>IF(OR(K872=0,K872=""),"",ABS((K872-IF($C872="LT",Config!$F$6,Config!$F$18))/IF($C872="LT",Config!$G$6,Config!$G$18)))</f>
        <v/>
      </c>
      <c r="X872">
        <f>IF(OR(L872=0,L872=""),"",ABS((L872-IF($C872="LT",Config!$F$7,Config!$F$19))/IF($C872="LT",Config!$G$7,Config!$G$19)))</f>
        <v/>
      </c>
      <c r="Y872">
        <f>IF(OR(M872=0,M872=""),"",ABS((M872-IF($C872="LT",Config!$F$8,Config!$F$20))/IF($C872="LT",Config!$G$8,Config!$G$20)))</f>
        <v/>
      </c>
      <c r="Z872">
        <f>IF(OR(N872=0,N872=""),"",ABS((N872-IF($C872="LT",Config!$F$9,Config!$F$21))/IF($C872="LT",Config!$G$9,Config!$G$21)))</f>
        <v/>
      </c>
      <c r="AA872">
        <f>IF(OR(O872=0,O872=""),"",ABS((O872-IF($C872="LT",Config!$F$10,Config!$F$22))/IF($C872="LT",Config!$G$10,Config!$G$22)))</f>
        <v/>
      </c>
      <c r="AB872">
        <f>IF(OR(P872=0,P872=""),"",ABS((P872-IF($C872="LT",Config!$F$11,Config!$F$23))/IF($C872="LT",Config!$G$11,Config!$G$23)))</f>
        <v/>
      </c>
      <c r="AC872">
        <f>IF(OR(Q872=0,Q872=""),"",ABS((Q872-IF($C872="LT",Config!$F$12,Config!$F$24))/IF($C872="LT",Config!$G$12,Config!$G$24)))</f>
        <v/>
      </c>
      <c r="AD872">
        <f>IF(OR(R872=0,R872=""),"",ABS((R872-IF($C872="LT",Config!$F$13,Config!$F$25))/IF($C872="LT",Config!$G$13,Config!$G$25)))</f>
        <v/>
      </c>
    </row>
    <row r="873">
      <c r="A873" t="inlineStr">
        <is>
          <t>04D1426121386</t>
        </is>
      </c>
      <c r="B873" t="inlineStr">
        <is>
          <t>CRS0000674</t>
        </is>
      </c>
      <c r="C873" t="inlineStr">
        <is>
          <t>MT</t>
        </is>
      </c>
      <c r="D873" t="inlineStr">
        <is>
          <t>TCX413U-DS1B01</t>
        </is>
      </c>
      <c r="E873" s="2" t="n">
        <v>46134</v>
      </c>
      <c r="F873" t="inlineStr">
        <is>
          <t>Pass</t>
        </is>
      </c>
      <c r="G873" t="n">
        <v>113.7</v>
      </c>
      <c r="H873" t="n">
        <v>79.3</v>
      </c>
      <c r="I873" t="n">
        <v>-1957.8</v>
      </c>
      <c r="J873" t="n">
        <v>69.5</v>
      </c>
      <c r="K873" t="n">
        <v>0</v>
      </c>
      <c r="L873" t="n">
        <v>0.1</v>
      </c>
      <c r="M873" t="n">
        <v>0</v>
      </c>
      <c r="N873" t="n">
        <v>69.59999999999999</v>
      </c>
      <c r="O873" t="n">
        <v>111.94</v>
      </c>
      <c r="P873" t="n">
        <v>116.63</v>
      </c>
      <c r="Q873" t="n">
        <v>3.78</v>
      </c>
      <c r="R873" t="n">
        <v>3.66</v>
      </c>
      <c r="S873">
        <f>IF(OR(G873=0,G873=""),"",ABS((G873-IF($C873="LT",Config!$F$2,Config!$F$14))/IF($C873="LT",Config!$G$2,Config!$G$14)))</f>
        <v/>
      </c>
      <c r="T873">
        <f>IF(OR(H873=0,H873=""),"",ABS((H873-IF($C873="LT",Config!$F$3,Config!$F$15))/IF($C873="LT",Config!$G$3,Config!$G$15)))</f>
        <v/>
      </c>
      <c r="U873">
        <f>IF(OR(I873=0,I873=""),"",ABS((I873-IF($C873="LT",Config!$F$4,Config!$F$16))/IF($C873="LT",Config!$G$4,Config!$G$16)))</f>
        <v/>
      </c>
      <c r="V873">
        <f>IF(OR(J873=0,J873=""),"",ABS((J873-IF($C873="LT",Config!$F$5,Config!$F$17))/IF($C873="LT",Config!$G$5,Config!$G$17)))</f>
        <v/>
      </c>
      <c r="W873">
        <f>IF(OR(K873=0,K873=""),"",ABS((K873-IF($C873="LT",Config!$F$6,Config!$F$18))/IF($C873="LT",Config!$G$6,Config!$G$18)))</f>
        <v/>
      </c>
      <c r="X873">
        <f>IF(OR(L873=0,L873=""),"",ABS((L873-IF($C873="LT",Config!$F$7,Config!$F$19))/IF($C873="LT",Config!$G$7,Config!$G$19)))</f>
        <v/>
      </c>
      <c r="Y873">
        <f>IF(OR(M873=0,M873=""),"",ABS((M873-IF($C873="LT",Config!$F$8,Config!$F$20))/IF($C873="LT",Config!$G$8,Config!$G$20)))</f>
        <v/>
      </c>
      <c r="Z873">
        <f>IF(OR(N873=0,N873=""),"",ABS((N873-IF($C873="LT",Config!$F$9,Config!$F$21))/IF($C873="LT",Config!$G$9,Config!$G$21)))</f>
        <v/>
      </c>
      <c r="AA873">
        <f>IF(OR(O873=0,O873=""),"",ABS((O873-IF($C873="LT",Config!$F$10,Config!$F$22))/IF($C873="LT",Config!$G$10,Config!$G$22)))</f>
        <v/>
      </c>
      <c r="AB873">
        <f>IF(OR(P873=0,P873=""),"",ABS((P873-IF($C873="LT",Config!$F$11,Config!$F$23))/IF($C873="LT",Config!$G$11,Config!$G$23)))</f>
        <v/>
      </c>
      <c r="AC873">
        <f>IF(OR(Q873=0,Q873=""),"",ABS((Q873-IF($C873="LT",Config!$F$12,Config!$F$24))/IF($C873="LT",Config!$G$12,Config!$G$24)))</f>
        <v/>
      </c>
      <c r="AD873">
        <f>IF(OR(R873=0,R873=""),"",ABS((R873-IF($C873="LT",Config!$F$13,Config!$F$25))/IF($C873="LT",Config!$G$13,Config!$G$25)))</f>
        <v/>
      </c>
    </row>
    <row r="874">
      <c r="A874" t="inlineStr">
        <is>
          <t>04D1326121365</t>
        </is>
      </c>
      <c r="B874" t="inlineStr">
        <is>
          <t>CRS0000674</t>
        </is>
      </c>
      <c r="C874" t="inlineStr">
        <is>
          <t>MT</t>
        </is>
      </c>
      <c r="D874" t="inlineStr">
        <is>
          <t>TCX413U-DS1B01</t>
        </is>
      </c>
      <c r="E874" s="2" t="n">
        <v>46134</v>
      </c>
      <c r="F874" t="inlineStr">
        <is>
          <t>Fail</t>
        </is>
      </c>
      <c r="G874" t="n">
        <v>93.59999999999999</v>
      </c>
      <c r="H874" t="n">
        <v>80.2</v>
      </c>
      <c r="I874" t="n">
        <v>-1957.8</v>
      </c>
      <c r="J874" t="n">
        <v>69.5</v>
      </c>
      <c r="K874" t="n">
        <v>0</v>
      </c>
      <c r="L874" t="n">
        <v>0.4</v>
      </c>
      <c r="M874" t="n">
        <v>0</v>
      </c>
      <c r="N874" t="n">
        <v>69.09999999999999</v>
      </c>
      <c r="O874" t="n">
        <v>115.38</v>
      </c>
      <c r="P874" t="n">
        <v>115.38</v>
      </c>
      <c r="Q874" t="n">
        <v>3.69</v>
      </c>
      <c r="R874" t="n">
        <v>3.64</v>
      </c>
      <c r="S874">
        <f>IF(OR(G874=0,G874=""),"",ABS((G874-IF($C874="LT",Config!$F$2,Config!$F$14))/IF($C874="LT",Config!$G$2,Config!$G$14)))</f>
        <v/>
      </c>
      <c r="T874">
        <f>IF(OR(H874=0,H874=""),"",ABS((H874-IF($C874="LT",Config!$F$3,Config!$F$15))/IF($C874="LT",Config!$G$3,Config!$G$15)))</f>
        <v/>
      </c>
      <c r="U874">
        <f>IF(OR(I874=0,I874=""),"",ABS((I874-IF($C874="LT",Config!$F$4,Config!$F$16))/IF($C874="LT",Config!$G$4,Config!$G$16)))</f>
        <v/>
      </c>
      <c r="V874">
        <f>IF(OR(J874=0,J874=""),"",ABS((J874-IF($C874="LT",Config!$F$5,Config!$F$17))/IF($C874="LT",Config!$G$5,Config!$G$17)))</f>
        <v/>
      </c>
      <c r="W874">
        <f>IF(OR(K874=0,K874=""),"",ABS((K874-IF($C874="LT",Config!$F$6,Config!$F$18))/IF($C874="LT",Config!$G$6,Config!$G$18)))</f>
        <v/>
      </c>
      <c r="X874">
        <f>IF(OR(L874=0,L874=""),"",ABS((L874-IF($C874="LT",Config!$F$7,Config!$F$19))/IF($C874="LT",Config!$G$7,Config!$G$19)))</f>
        <v/>
      </c>
      <c r="Y874">
        <f>IF(OR(M874=0,M874=""),"",ABS((M874-IF($C874="LT",Config!$F$8,Config!$F$20))/IF($C874="LT",Config!$G$8,Config!$G$20)))</f>
        <v/>
      </c>
      <c r="Z874">
        <f>IF(OR(N874=0,N874=""),"",ABS((N874-IF($C874="LT",Config!$F$9,Config!$F$21))/IF($C874="LT",Config!$G$9,Config!$G$21)))</f>
        <v/>
      </c>
      <c r="AA874">
        <f>IF(OR(O874=0,O874=""),"",ABS((O874-IF($C874="LT",Config!$F$10,Config!$F$22))/IF($C874="LT",Config!$G$10,Config!$G$22)))</f>
        <v/>
      </c>
      <c r="AB874">
        <f>IF(OR(P874=0,P874=""),"",ABS((P874-IF($C874="LT",Config!$F$11,Config!$F$23))/IF($C874="LT",Config!$G$11,Config!$G$23)))</f>
        <v/>
      </c>
      <c r="AC874">
        <f>IF(OR(Q874=0,Q874=""),"",ABS((Q874-IF($C874="LT",Config!$F$12,Config!$F$24))/IF($C874="LT",Config!$G$12,Config!$G$24)))</f>
        <v/>
      </c>
      <c r="AD874">
        <f>IF(OR(R874=0,R874=""),"",ABS((R874-IF($C874="LT",Config!$F$13,Config!$F$25))/IF($C874="LT",Config!$G$13,Config!$G$25)))</f>
        <v/>
      </c>
    </row>
    <row r="875">
      <c r="A875" t="inlineStr">
        <is>
          <t>04D1326121365</t>
        </is>
      </c>
      <c r="B875" t="inlineStr">
        <is>
          <t>CRS0000674</t>
        </is>
      </c>
      <c r="C875" t="inlineStr">
        <is>
          <t>MT</t>
        </is>
      </c>
      <c r="D875" t="inlineStr">
        <is>
          <t>TCX413U-DS1B01</t>
        </is>
      </c>
      <c r="E875" s="2" t="n">
        <v>46134</v>
      </c>
      <c r="F875" t="inlineStr">
        <is>
          <t>Fail</t>
        </is>
      </c>
      <c r="G875" t="n">
        <v>95.90000000000001</v>
      </c>
      <c r="H875" t="n">
        <v>78.90000000000001</v>
      </c>
      <c r="I875" t="n">
        <v>-1957.8</v>
      </c>
      <c r="J875" t="n">
        <v>69.5</v>
      </c>
      <c r="K875" t="n">
        <v>0</v>
      </c>
      <c r="L875" t="n">
        <v>0.1</v>
      </c>
      <c r="M875" t="n">
        <v>0</v>
      </c>
      <c r="N875" t="n">
        <v>69.40000000000001</v>
      </c>
      <c r="O875" t="n">
        <v>115.31</v>
      </c>
      <c r="P875" t="n">
        <v>115.31</v>
      </c>
      <c r="Q875" t="n">
        <v>3.61</v>
      </c>
      <c r="R875" t="n">
        <v>3.54</v>
      </c>
      <c r="S875">
        <f>IF(OR(G875=0,G875=""),"",ABS((G875-IF($C875="LT",Config!$F$2,Config!$F$14))/IF($C875="LT",Config!$G$2,Config!$G$14)))</f>
        <v/>
      </c>
      <c r="T875">
        <f>IF(OR(H875=0,H875=""),"",ABS((H875-IF($C875="LT",Config!$F$3,Config!$F$15))/IF($C875="LT",Config!$G$3,Config!$G$15)))</f>
        <v/>
      </c>
      <c r="U875">
        <f>IF(OR(I875=0,I875=""),"",ABS((I875-IF($C875="LT",Config!$F$4,Config!$F$16))/IF($C875="LT",Config!$G$4,Config!$G$16)))</f>
        <v/>
      </c>
      <c r="V875">
        <f>IF(OR(J875=0,J875=""),"",ABS((J875-IF($C875="LT",Config!$F$5,Config!$F$17))/IF($C875="LT",Config!$G$5,Config!$G$17)))</f>
        <v/>
      </c>
      <c r="W875">
        <f>IF(OR(K875=0,K875=""),"",ABS((K875-IF($C875="LT",Config!$F$6,Config!$F$18))/IF($C875="LT",Config!$G$6,Config!$G$18)))</f>
        <v/>
      </c>
      <c r="X875">
        <f>IF(OR(L875=0,L875=""),"",ABS((L875-IF($C875="LT",Config!$F$7,Config!$F$19))/IF($C875="LT",Config!$G$7,Config!$G$19)))</f>
        <v/>
      </c>
      <c r="Y875">
        <f>IF(OR(M875=0,M875=""),"",ABS((M875-IF($C875="LT",Config!$F$8,Config!$F$20))/IF($C875="LT",Config!$G$8,Config!$G$20)))</f>
        <v/>
      </c>
      <c r="Z875">
        <f>IF(OR(N875=0,N875=""),"",ABS((N875-IF($C875="LT",Config!$F$9,Config!$F$21))/IF($C875="LT",Config!$G$9,Config!$G$21)))</f>
        <v/>
      </c>
      <c r="AA875">
        <f>IF(OR(O875=0,O875=""),"",ABS((O875-IF($C875="LT",Config!$F$10,Config!$F$22))/IF($C875="LT",Config!$G$10,Config!$G$22)))</f>
        <v/>
      </c>
      <c r="AB875">
        <f>IF(OR(P875=0,P875=""),"",ABS((P875-IF($C875="LT",Config!$F$11,Config!$F$23))/IF($C875="LT",Config!$G$11,Config!$G$23)))</f>
        <v/>
      </c>
      <c r="AC875">
        <f>IF(OR(Q875=0,Q875=""),"",ABS((Q875-IF($C875="LT",Config!$F$12,Config!$F$24))/IF($C875="LT",Config!$G$12,Config!$G$24)))</f>
        <v/>
      </c>
      <c r="AD875">
        <f>IF(OR(R875=0,R875=""),"",ABS((R875-IF($C875="LT",Config!$F$13,Config!$F$25))/IF($C875="LT",Config!$G$13,Config!$G$25)))</f>
        <v/>
      </c>
    </row>
    <row r="876">
      <c r="A876" t="inlineStr">
        <is>
          <t>04D1326121365</t>
        </is>
      </c>
      <c r="B876" t="inlineStr">
        <is>
          <t>CRS0000674</t>
        </is>
      </c>
      <c r="C876" t="inlineStr">
        <is>
          <t>MT</t>
        </is>
      </c>
      <c r="D876" t="inlineStr">
        <is>
          <t>TCX413U-DS1B01</t>
        </is>
      </c>
      <c r="E876" s="2" t="n">
        <v>46134</v>
      </c>
      <c r="F876" t="inlineStr">
        <is>
          <t>Pass</t>
        </is>
      </c>
      <c r="G876" t="n">
        <v>112.9</v>
      </c>
      <c r="H876" t="n">
        <v>78.40000000000001</v>
      </c>
      <c r="I876" t="n">
        <v>-1957.8</v>
      </c>
      <c r="J876" t="n">
        <v>69.5</v>
      </c>
      <c r="K876" t="n">
        <v>0</v>
      </c>
      <c r="L876" t="n">
        <v>0.2</v>
      </c>
      <c r="M876" t="n">
        <v>0</v>
      </c>
      <c r="N876" t="n">
        <v>69.7</v>
      </c>
      <c r="O876" t="n">
        <v>115.31</v>
      </c>
      <c r="P876" t="n">
        <v>115.31</v>
      </c>
      <c r="Q876" t="n">
        <v>3.56</v>
      </c>
      <c r="R876" t="n">
        <v>3.47</v>
      </c>
      <c r="S876">
        <f>IF(OR(G876=0,G876=""),"",ABS((G876-IF($C876="LT",Config!$F$2,Config!$F$14))/IF($C876="LT",Config!$G$2,Config!$G$14)))</f>
        <v/>
      </c>
      <c r="T876">
        <f>IF(OR(H876=0,H876=""),"",ABS((H876-IF($C876="LT",Config!$F$3,Config!$F$15))/IF($C876="LT",Config!$G$3,Config!$G$15)))</f>
        <v/>
      </c>
      <c r="U876">
        <f>IF(OR(I876=0,I876=""),"",ABS((I876-IF($C876="LT",Config!$F$4,Config!$F$16))/IF($C876="LT",Config!$G$4,Config!$G$16)))</f>
        <v/>
      </c>
      <c r="V876">
        <f>IF(OR(J876=0,J876=""),"",ABS((J876-IF($C876="LT",Config!$F$5,Config!$F$17))/IF($C876="LT",Config!$G$5,Config!$G$17)))</f>
        <v/>
      </c>
      <c r="W876">
        <f>IF(OR(K876=0,K876=""),"",ABS((K876-IF($C876="LT",Config!$F$6,Config!$F$18))/IF($C876="LT",Config!$G$6,Config!$G$18)))</f>
        <v/>
      </c>
      <c r="X876">
        <f>IF(OR(L876=0,L876=""),"",ABS((L876-IF($C876="LT",Config!$F$7,Config!$F$19))/IF($C876="LT",Config!$G$7,Config!$G$19)))</f>
        <v/>
      </c>
      <c r="Y876">
        <f>IF(OR(M876=0,M876=""),"",ABS((M876-IF($C876="LT",Config!$F$8,Config!$F$20))/IF($C876="LT",Config!$G$8,Config!$G$20)))</f>
        <v/>
      </c>
      <c r="Z876">
        <f>IF(OR(N876=0,N876=""),"",ABS((N876-IF($C876="LT",Config!$F$9,Config!$F$21))/IF($C876="LT",Config!$G$9,Config!$G$21)))</f>
        <v/>
      </c>
      <c r="AA876">
        <f>IF(OR(O876=0,O876=""),"",ABS((O876-IF($C876="LT",Config!$F$10,Config!$F$22))/IF($C876="LT",Config!$G$10,Config!$G$22)))</f>
        <v/>
      </c>
      <c r="AB876">
        <f>IF(OR(P876=0,P876=""),"",ABS((P876-IF($C876="LT",Config!$F$11,Config!$F$23))/IF($C876="LT",Config!$G$11,Config!$G$23)))</f>
        <v/>
      </c>
      <c r="AC876">
        <f>IF(OR(Q876=0,Q876=""),"",ABS((Q876-IF($C876="LT",Config!$F$12,Config!$F$24))/IF($C876="LT",Config!$G$12,Config!$G$24)))</f>
        <v/>
      </c>
      <c r="AD876">
        <f>IF(OR(R876=0,R876=""),"",ABS((R876-IF($C876="LT",Config!$F$13,Config!$F$25))/IF($C876="LT",Config!$G$13,Config!$G$25)))</f>
        <v/>
      </c>
    </row>
    <row r="877">
      <c r="A877" t="inlineStr">
        <is>
          <t>04D1626121409</t>
        </is>
      </c>
      <c r="B877" t="inlineStr">
        <is>
          <t>CRS0000674</t>
        </is>
      </c>
      <c r="C877" t="inlineStr">
        <is>
          <t>MT</t>
        </is>
      </c>
      <c r="D877" t="inlineStr">
        <is>
          <t>TCX413U-DS1B01</t>
        </is>
      </c>
      <c r="E877" s="2" t="n">
        <v>46134</v>
      </c>
      <c r="F877" t="inlineStr">
        <is>
          <t>Pass</t>
        </is>
      </c>
      <c r="G877" t="n">
        <v>113.3</v>
      </c>
      <c r="H877" t="n">
        <v>81.09999999999999</v>
      </c>
      <c r="I877" t="n">
        <v>-1957.8</v>
      </c>
      <c r="J877" t="n">
        <v>69.5</v>
      </c>
      <c r="K877" t="n">
        <v>0</v>
      </c>
      <c r="L877" t="n">
        <v>0.3</v>
      </c>
      <c r="M877" t="n">
        <v>0</v>
      </c>
      <c r="N877" t="n">
        <v>69.2</v>
      </c>
      <c r="O877" t="n">
        <v>111.94</v>
      </c>
      <c r="P877" t="n">
        <v>113.55</v>
      </c>
      <c r="Q877" t="n">
        <v>3.88</v>
      </c>
      <c r="R877" t="n">
        <v>3.98</v>
      </c>
      <c r="S877">
        <f>IF(OR(G877=0,G877=""),"",ABS((G877-IF($C877="LT",Config!$F$2,Config!$F$14))/IF($C877="LT",Config!$G$2,Config!$G$14)))</f>
        <v/>
      </c>
      <c r="T877">
        <f>IF(OR(H877=0,H877=""),"",ABS((H877-IF($C877="LT",Config!$F$3,Config!$F$15))/IF($C877="LT",Config!$G$3,Config!$G$15)))</f>
        <v/>
      </c>
      <c r="U877">
        <f>IF(OR(I877=0,I877=""),"",ABS((I877-IF($C877="LT",Config!$F$4,Config!$F$16))/IF($C877="LT",Config!$G$4,Config!$G$16)))</f>
        <v/>
      </c>
      <c r="V877">
        <f>IF(OR(J877=0,J877=""),"",ABS((J877-IF($C877="LT",Config!$F$5,Config!$F$17))/IF($C877="LT",Config!$G$5,Config!$G$17)))</f>
        <v/>
      </c>
      <c r="W877">
        <f>IF(OR(K877=0,K877=""),"",ABS((K877-IF($C877="LT",Config!$F$6,Config!$F$18))/IF($C877="LT",Config!$G$6,Config!$G$18)))</f>
        <v/>
      </c>
      <c r="X877">
        <f>IF(OR(L877=0,L877=""),"",ABS((L877-IF($C877="LT",Config!$F$7,Config!$F$19))/IF($C877="LT",Config!$G$7,Config!$G$19)))</f>
        <v/>
      </c>
      <c r="Y877">
        <f>IF(OR(M877=0,M877=""),"",ABS((M877-IF($C877="LT",Config!$F$8,Config!$F$20))/IF($C877="LT",Config!$G$8,Config!$G$20)))</f>
        <v/>
      </c>
      <c r="Z877">
        <f>IF(OR(N877=0,N877=""),"",ABS((N877-IF($C877="LT",Config!$F$9,Config!$F$21))/IF($C877="LT",Config!$G$9,Config!$G$21)))</f>
        <v/>
      </c>
      <c r="AA877">
        <f>IF(OR(O877=0,O877=""),"",ABS((O877-IF($C877="LT",Config!$F$10,Config!$F$22))/IF($C877="LT",Config!$G$10,Config!$G$22)))</f>
        <v/>
      </c>
      <c r="AB877">
        <f>IF(OR(P877=0,P877=""),"",ABS((P877-IF($C877="LT",Config!$F$11,Config!$F$23))/IF($C877="LT",Config!$G$11,Config!$G$23)))</f>
        <v/>
      </c>
      <c r="AC877">
        <f>IF(OR(Q877=0,Q877=""),"",ABS((Q877-IF($C877="LT",Config!$F$12,Config!$F$24))/IF($C877="LT",Config!$G$12,Config!$G$24)))</f>
        <v/>
      </c>
      <c r="AD877">
        <f>IF(OR(R877=0,R877=""),"",ABS((R877-IF($C877="LT",Config!$F$13,Config!$F$25))/IF($C877="LT",Config!$G$13,Config!$G$25)))</f>
        <v/>
      </c>
    </row>
    <row r="878">
      <c r="A878" t="inlineStr">
        <is>
          <t>04C2426121075</t>
        </is>
      </c>
      <c r="B878" t="inlineStr">
        <is>
          <t>CRS0000675</t>
        </is>
      </c>
      <c r="C878" t="inlineStr">
        <is>
          <t>LT</t>
        </is>
      </c>
      <c r="D878" t="inlineStr">
        <is>
          <t>ALX440U-DS3B01</t>
        </is>
      </c>
      <c r="E878" s="2" t="n">
        <v>46134</v>
      </c>
      <c r="F878" t="inlineStr">
        <is>
          <t>Fail</t>
        </is>
      </c>
      <c r="G878" t="n">
        <v>128.9</v>
      </c>
      <c r="H878" t="n">
        <v>94.59999999999999</v>
      </c>
      <c r="I878" t="n">
        <v>-1957.8</v>
      </c>
      <c r="J878" t="n">
        <v>69.5</v>
      </c>
      <c r="K878" t="n">
        <v>0</v>
      </c>
      <c r="L878" t="n">
        <v>0.8</v>
      </c>
      <c r="M878" t="n">
        <v>0</v>
      </c>
      <c r="N878" t="n">
        <v>68.7</v>
      </c>
      <c r="O878" t="n">
        <v>115.09</v>
      </c>
      <c r="P878" t="n">
        <v>114.94</v>
      </c>
      <c r="Q878" t="n">
        <v>7.32</v>
      </c>
      <c r="R878" t="n">
        <v>7.93</v>
      </c>
      <c r="S878">
        <f>IF(OR(G878=0,G878=""),"",ABS((G878-IF($C878="LT",Config!$F$2,Config!$F$14))/IF($C878="LT",Config!$G$2,Config!$G$14)))</f>
        <v/>
      </c>
      <c r="T878">
        <f>IF(OR(H878=0,H878=""),"",ABS((H878-IF($C878="LT",Config!$F$3,Config!$F$15))/IF($C878="LT",Config!$G$3,Config!$G$15)))</f>
        <v/>
      </c>
      <c r="U878">
        <f>IF(OR(I878=0,I878=""),"",ABS((I878-IF($C878="LT",Config!$F$4,Config!$F$16))/IF($C878="LT",Config!$G$4,Config!$G$16)))</f>
        <v/>
      </c>
      <c r="V878">
        <f>IF(OR(J878=0,J878=""),"",ABS((J878-IF($C878="LT",Config!$F$5,Config!$F$17))/IF($C878="LT",Config!$G$5,Config!$G$17)))</f>
        <v/>
      </c>
      <c r="W878">
        <f>IF(OR(K878=0,K878=""),"",ABS((K878-IF($C878="LT",Config!$F$6,Config!$F$18))/IF($C878="LT",Config!$G$6,Config!$G$18)))</f>
        <v/>
      </c>
      <c r="X878">
        <f>IF(OR(L878=0,L878=""),"",ABS((L878-IF($C878="LT",Config!$F$7,Config!$F$19))/IF($C878="LT",Config!$G$7,Config!$G$19)))</f>
        <v/>
      </c>
      <c r="Y878">
        <f>IF(OR(M878=0,M878=""),"",ABS((M878-IF($C878="LT",Config!$F$8,Config!$F$20))/IF($C878="LT",Config!$G$8,Config!$G$20)))</f>
        <v/>
      </c>
      <c r="Z878">
        <f>IF(OR(N878=0,N878=""),"",ABS((N878-IF($C878="LT",Config!$F$9,Config!$F$21))/IF($C878="LT",Config!$G$9,Config!$G$21)))</f>
        <v/>
      </c>
      <c r="AA878">
        <f>IF(OR(O878=0,O878=""),"",ABS((O878-IF($C878="LT",Config!$F$10,Config!$F$22))/IF($C878="LT",Config!$G$10,Config!$G$22)))</f>
        <v/>
      </c>
      <c r="AB878">
        <f>IF(OR(P878=0,P878=""),"",ABS((P878-IF($C878="LT",Config!$F$11,Config!$F$23))/IF($C878="LT",Config!$G$11,Config!$G$23)))</f>
        <v/>
      </c>
      <c r="AC878">
        <f>IF(OR(Q878=0,Q878=""),"",ABS((Q878-IF($C878="LT",Config!$F$12,Config!$F$24))/IF($C878="LT",Config!$G$12,Config!$G$24)))</f>
        <v/>
      </c>
      <c r="AD878">
        <f>IF(OR(R878=0,R878=""),"",ABS((R878-IF($C878="LT",Config!$F$13,Config!$F$25))/IF($C878="LT",Config!$G$13,Config!$G$25)))</f>
        <v/>
      </c>
    </row>
    <row r="879">
      <c r="A879" t="inlineStr">
        <is>
          <t>04C2426121075</t>
        </is>
      </c>
      <c r="B879" t="inlineStr">
        <is>
          <t>CRS0000675</t>
        </is>
      </c>
      <c r="C879" t="inlineStr">
        <is>
          <t>LT</t>
        </is>
      </c>
      <c r="D879" t="inlineStr">
        <is>
          <t>ALX440U-DS3B01</t>
        </is>
      </c>
      <c r="E879" s="2" t="n">
        <v>46134</v>
      </c>
      <c r="F879" t="inlineStr">
        <is>
          <t>Fail</t>
        </is>
      </c>
      <c r="G879" t="n">
        <v>179</v>
      </c>
      <c r="H879" t="n">
        <v>96.90000000000001</v>
      </c>
      <c r="I879" t="n">
        <v>-1957.8</v>
      </c>
      <c r="J879" t="n">
        <v>69.5</v>
      </c>
      <c r="K879" t="n">
        <v>0</v>
      </c>
      <c r="L879" t="n">
        <v>0.4</v>
      </c>
      <c r="M879" t="n">
        <v>0</v>
      </c>
      <c r="N879" t="n">
        <v>69.09999999999999</v>
      </c>
      <c r="O879" t="n">
        <v>114.87</v>
      </c>
      <c r="P879" t="n">
        <v>114.65</v>
      </c>
      <c r="Q879" t="n">
        <v>7.91</v>
      </c>
      <c r="R879" t="n">
        <v>8.15</v>
      </c>
      <c r="S879">
        <f>IF(OR(G879=0,G879=""),"",ABS((G879-IF($C879="LT",Config!$F$2,Config!$F$14))/IF($C879="LT",Config!$G$2,Config!$G$14)))</f>
        <v/>
      </c>
      <c r="T879">
        <f>IF(OR(H879=0,H879=""),"",ABS((H879-IF($C879="LT",Config!$F$3,Config!$F$15))/IF($C879="LT",Config!$G$3,Config!$G$15)))</f>
        <v/>
      </c>
      <c r="U879">
        <f>IF(OR(I879=0,I879=""),"",ABS((I879-IF($C879="LT",Config!$F$4,Config!$F$16))/IF($C879="LT",Config!$G$4,Config!$G$16)))</f>
        <v/>
      </c>
      <c r="V879">
        <f>IF(OR(J879=0,J879=""),"",ABS((J879-IF($C879="LT",Config!$F$5,Config!$F$17))/IF($C879="LT",Config!$G$5,Config!$G$17)))</f>
        <v/>
      </c>
      <c r="W879">
        <f>IF(OR(K879=0,K879=""),"",ABS((K879-IF($C879="LT",Config!$F$6,Config!$F$18))/IF($C879="LT",Config!$G$6,Config!$G$18)))</f>
        <v/>
      </c>
      <c r="X879">
        <f>IF(OR(L879=0,L879=""),"",ABS((L879-IF($C879="LT",Config!$F$7,Config!$F$19))/IF($C879="LT",Config!$G$7,Config!$G$19)))</f>
        <v/>
      </c>
      <c r="Y879">
        <f>IF(OR(M879=0,M879=""),"",ABS((M879-IF($C879="LT",Config!$F$8,Config!$F$20))/IF($C879="LT",Config!$G$8,Config!$G$20)))</f>
        <v/>
      </c>
      <c r="Z879">
        <f>IF(OR(N879=0,N879=""),"",ABS((N879-IF($C879="LT",Config!$F$9,Config!$F$21))/IF($C879="LT",Config!$G$9,Config!$G$21)))</f>
        <v/>
      </c>
      <c r="AA879">
        <f>IF(OR(O879=0,O879=""),"",ABS((O879-IF($C879="LT",Config!$F$10,Config!$F$22))/IF($C879="LT",Config!$G$10,Config!$G$22)))</f>
        <v/>
      </c>
      <c r="AB879">
        <f>IF(OR(P879=0,P879=""),"",ABS((P879-IF($C879="LT",Config!$F$11,Config!$F$23))/IF($C879="LT",Config!$G$11,Config!$G$23)))</f>
        <v/>
      </c>
      <c r="AC879">
        <f>IF(OR(Q879=0,Q879=""),"",ABS((Q879-IF($C879="LT",Config!$F$12,Config!$F$24))/IF($C879="LT",Config!$G$12,Config!$G$24)))</f>
        <v/>
      </c>
      <c r="AD879">
        <f>IF(OR(R879=0,R879=""),"",ABS((R879-IF($C879="LT",Config!$F$13,Config!$F$25))/IF($C879="LT",Config!$G$13,Config!$G$25)))</f>
        <v/>
      </c>
    </row>
    <row r="880">
      <c r="A880" t="inlineStr">
        <is>
          <t>04D1126121341</t>
        </is>
      </c>
      <c r="B880" t="inlineStr">
        <is>
          <t>CRS0000675</t>
        </is>
      </c>
      <c r="C880" t="inlineStr">
        <is>
          <t>LT</t>
        </is>
      </c>
      <c r="D880" t="inlineStr">
        <is>
          <t>ALX440U-DS3B01</t>
        </is>
      </c>
      <c r="E880" s="2" t="n">
        <v>46135</v>
      </c>
      <c r="F880" t="inlineStr">
        <is>
          <t>Pass</t>
        </is>
      </c>
      <c r="G880" t="n">
        <v>153</v>
      </c>
      <c r="H880" t="n">
        <v>87.40000000000001</v>
      </c>
      <c r="I880" t="n">
        <v>-1957.8</v>
      </c>
      <c r="J880" t="n">
        <v>67.7</v>
      </c>
      <c r="K880" t="n">
        <v>0</v>
      </c>
      <c r="L880" t="n">
        <v>0.8</v>
      </c>
      <c r="M880" t="n">
        <v>0</v>
      </c>
      <c r="N880" t="n">
        <v>66.90000000000001</v>
      </c>
      <c r="O880" t="n">
        <v>112.01</v>
      </c>
      <c r="P880" t="n">
        <v>113.4</v>
      </c>
      <c r="Q880" t="n">
        <v>7.32</v>
      </c>
      <c r="R880" t="n">
        <v>7.67</v>
      </c>
      <c r="S880">
        <f>IF(OR(G880=0,G880=""),"",ABS((G880-IF($C880="LT",Config!$F$2,Config!$F$14))/IF($C880="LT",Config!$G$2,Config!$G$14)))</f>
        <v/>
      </c>
      <c r="T880">
        <f>IF(OR(H880=0,H880=""),"",ABS((H880-IF($C880="LT",Config!$F$3,Config!$F$15))/IF($C880="LT",Config!$G$3,Config!$G$15)))</f>
        <v/>
      </c>
      <c r="U880">
        <f>IF(OR(I880=0,I880=""),"",ABS((I880-IF($C880="LT",Config!$F$4,Config!$F$16))/IF($C880="LT",Config!$G$4,Config!$G$16)))</f>
        <v/>
      </c>
      <c r="V880">
        <f>IF(OR(J880=0,J880=""),"",ABS((J880-IF($C880="LT",Config!$F$5,Config!$F$17))/IF($C880="LT",Config!$G$5,Config!$G$17)))</f>
        <v/>
      </c>
      <c r="W880">
        <f>IF(OR(K880=0,K880=""),"",ABS((K880-IF($C880="LT",Config!$F$6,Config!$F$18))/IF($C880="LT",Config!$G$6,Config!$G$18)))</f>
        <v/>
      </c>
      <c r="X880">
        <f>IF(OR(L880=0,L880=""),"",ABS((L880-IF($C880="LT",Config!$F$7,Config!$F$19))/IF($C880="LT",Config!$G$7,Config!$G$19)))</f>
        <v/>
      </c>
      <c r="Y880">
        <f>IF(OR(M880=0,M880=""),"",ABS((M880-IF($C880="LT",Config!$F$8,Config!$F$20))/IF($C880="LT",Config!$G$8,Config!$G$20)))</f>
        <v/>
      </c>
      <c r="Z880">
        <f>IF(OR(N880=0,N880=""),"",ABS((N880-IF($C880="LT",Config!$F$9,Config!$F$21))/IF($C880="LT",Config!$G$9,Config!$G$21)))</f>
        <v/>
      </c>
      <c r="AA880">
        <f>IF(OR(O880=0,O880=""),"",ABS((O880-IF($C880="LT",Config!$F$10,Config!$F$22))/IF($C880="LT",Config!$G$10,Config!$G$22)))</f>
        <v/>
      </c>
      <c r="AB880">
        <f>IF(OR(P880=0,P880=""),"",ABS((P880-IF($C880="LT",Config!$F$11,Config!$F$23))/IF($C880="LT",Config!$G$11,Config!$G$23)))</f>
        <v/>
      </c>
      <c r="AC880">
        <f>IF(OR(Q880=0,Q880=""),"",ABS((Q880-IF($C880="LT",Config!$F$12,Config!$F$24))/IF($C880="LT",Config!$G$12,Config!$G$24)))</f>
        <v/>
      </c>
      <c r="AD880">
        <f>IF(OR(R880=0,R880=""),"",ABS((R880-IF($C880="LT",Config!$F$13,Config!$F$25))/IF($C880="LT",Config!$G$13,Config!$G$25)))</f>
        <v/>
      </c>
    </row>
    <row r="881">
      <c r="A881" t="inlineStr">
        <is>
          <t>04D1326121357</t>
        </is>
      </c>
      <c r="B881" t="inlineStr">
        <is>
          <t>CRS0000674</t>
        </is>
      </c>
      <c r="C881" t="inlineStr">
        <is>
          <t>MT</t>
        </is>
      </c>
      <c r="D881" t="inlineStr">
        <is>
          <t>TCX413U-DS1B01</t>
        </is>
      </c>
      <c r="E881" s="2" t="n">
        <v>46135</v>
      </c>
      <c r="F881" t="inlineStr">
        <is>
          <t>Fail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>
        <f>IF(OR(G881=0,G881=""),"",ABS((G881-IF($C881="LT",Config!$F$2,Config!$F$14))/IF($C881="LT",Config!$G$2,Config!$G$14)))</f>
        <v/>
      </c>
      <c r="T881">
        <f>IF(OR(H881=0,H881=""),"",ABS((H881-IF($C881="LT",Config!$F$3,Config!$F$15))/IF($C881="LT",Config!$G$3,Config!$G$15)))</f>
        <v/>
      </c>
      <c r="U881">
        <f>IF(OR(I881=0,I881=""),"",ABS((I881-IF($C881="LT",Config!$F$4,Config!$F$16))/IF($C881="LT",Config!$G$4,Config!$G$16)))</f>
        <v/>
      </c>
      <c r="V881">
        <f>IF(OR(J881=0,J881=""),"",ABS((J881-IF($C881="LT",Config!$F$5,Config!$F$17))/IF($C881="LT",Config!$G$5,Config!$G$17)))</f>
        <v/>
      </c>
      <c r="W881">
        <f>IF(OR(K881=0,K881=""),"",ABS((K881-IF($C881="LT",Config!$F$6,Config!$F$18))/IF($C881="LT",Config!$G$6,Config!$G$18)))</f>
        <v/>
      </c>
      <c r="X881">
        <f>IF(OR(L881=0,L881=""),"",ABS((L881-IF($C881="LT",Config!$F$7,Config!$F$19))/IF($C881="LT",Config!$G$7,Config!$G$19)))</f>
        <v/>
      </c>
      <c r="Y881">
        <f>IF(OR(M881=0,M881=""),"",ABS((M881-IF($C881="LT",Config!$F$8,Config!$F$20))/IF($C881="LT",Config!$G$8,Config!$G$20)))</f>
        <v/>
      </c>
      <c r="Z881">
        <f>IF(OR(N881=0,N881=""),"",ABS((N881-IF($C881="LT",Config!$F$9,Config!$F$21))/IF($C881="LT",Config!$G$9,Config!$G$21)))</f>
        <v/>
      </c>
      <c r="AA881">
        <f>IF(OR(O881=0,O881=""),"",ABS((O881-IF($C881="LT",Config!$F$10,Config!$F$22))/IF($C881="LT",Config!$G$10,Config!$G$22)))</f>
        <v/>
      </c>
      <c r="AB881">
        <f>IF(OR(P881=0,P881=""),"",ABS((P881-IF($C881="LT",Config!$F$11,Config!$F$23))/IF($C881="LT",Config!$G$11,Config!$G$23)))</f>
        <v/>
      </c>
      <c r="AC881">
        <f>IF(OR(Q881=0,Q881=""),"",ABS((Q881-IF($C881="LT",Config!$F$12,Config!$F$24))/IF($C881="LT",Config!$G$12,Config!$G$24)))</f>
        <v/>
      </c>
      <c r="AD881">
        <f>IF(OR(R881=0,R881=""),"",ABS((R881-IF($C881="LT",Config!$F$13,Config!$F$25))/IF($C881="LT",Config!$G$13,Config!$G$25)))</f>
        <v/>
      </c>
    </row>
    <row r="882">
      <c r="A882" t="inlineStr">
        <is>
          <t>04D1326121357</t>
        </is>
      </c>
      <c r="B882" t="inlineStr">
        <is>
          <t>CRS0000674</t>
        </is>
      </c>
      <c r="C882" t="inlineStr">
        <is>
          <t>MT</t>
        </is>
      </c>
      <c r="D882" t="inlineStr">
        <is>
          <t>TCX413U-DS1B01</t>
        </is>
      </c>
      <c r="E882" s="2" t="n">
        <v>46135</v>
      </c>
      <c r="F882" t="inlineStr">
        <is>
          <t>Fail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>
        <f>IF(OR(G882=0,G882=""),"",ABS((G882-IF($C882="LT",Config!$F$2,Config!$F$14))/IF($C882="LT",Config!$G$2,Config!$G$14)))</f>
        <v/>
      </c>
      <c r="T882">
        <f>IF(OR(H882=0,H882=""),"",ABS((H882-IF($C882="LT",Config!$F$3,Config!$F$15))/IF($C882="LT",Config!$G$3,Config!$G$15)))</f>
        <v/>
      </c>
      <c r="U882">
        <f>IF(OR(I882=0,I882=""),"",ABS((I882-IF($C882="LT",Config!$F$4,Config!$F$16))/IF($C882="LT",Config!$G$4,Config!$G$16)))</f>
        <v/>
      </c>
      <c r="V882">
        <f>IF(OR(J882=0,J882=""),"",ABS((J882-IF($C882="LT",Config!$F$5,Config!$F$17))/IF($C882="LT",Config!$G$5,Config!$G$17)))</f>
        <v/>
      </c>
      <c r="W882">
        <f>IF(OR(K882=0,K882=""),"",ABS((K882-IF($C882="LT",Config!$F$6,Config!$F$18))/IF($C882="LT",Config!$G$6,Config!$G$18)))</f>
        <v/>
      </c>
      <c r="X882">
        <f>IF(OR(L882=0,L882=""),"",ABS((L882-IF($C882="LT",Config!$F$7,Config!$F$19))/IF($C882="LT",Config!$G$7,Config!$G$19)))</f>
        <v/>
      </c>
      <c r="Y882">
        <f>IF(OR(M882=0,M882=""),"",ABS((M882-IF($C882="LT",Config!$F$8,Config!$F$20))/IF($C882="LT",Config!$G$8,Config!$G$20)))</f>
        <v/>
      </c>
      <c r="Z882">
        <f>IF(OR(N882=0,N882=""),"",ABS((N882-IF($C882="LT",Config!$F$9,Config!$F$21))/IF($C882="LT",Config!$G$9,Config!$G$21)))</f>
        <v/>
      </c>
      <c r="AA882">
        <f>IF(OR(O882=0,O882=""),"",ABS((O882-IF($C882="LT",Config!$F$10,Config!$F$22))/IF($C882="LT",Config!$G$10,Config!$G$22)))</f>
        <v/>
      </c>
      <c r="AB882">
        <f>IF(OR(P882=0,P882=""),"",ABS((P882-IF($C882="LT",Config!$F$11,Config!$F$23))/IF($C882="LT",Config!$G$11,Config!$G$23)))</f>
        <v/>
      </c>
      <c r="AC882">
        <f>IF(OR(Q882=0,Q882=""),"",ABS((Q882-IF($C882="LT",Config!$F$12,Config!$F$24))/IF($C882="LT",Config!$G$12,Config!$G$24)))</f>
        <v/>
      </c>
      <c r="AD882">
        <f>IF(OR(R882=0,R882=""),"",ABS((R882-IF($C882="LT",Config!$F$13,Config!$F$25))/IF($C882="LT",Config!$G$13,Config!$G$25)))</f>
        <v/>
      </c>
    </row>
    <row r="883">
      <c r="A883" t="inlineStr">
        <is>
          <t>04D1326121357</t>
        </is>
      </c>
      <c r="B883" t="inlineStr">
        <is>
          <t>CRS0000674</t>
        </is>
      </c>
      <c r="C883" t="inlineStr">
        <is>
          <t>MT</t>
        </is>
      </c>
      <c r="D883" t="inlineStr">
        <is>
          <t>TCX413U-DS1B01</t>
        </is>
      </c>
      <c r="E883" s="2" t="n">
        <v>46135</v>
      </c>
      <c r="F883" t="inlineStr">
        <is>
          <t>Fail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>
        <f>IF(OR(G883=0,G883=""),"",ABS((G883-IF($C883="LT",Config!$F$2,Config!$F$14))/IF($C883="LT",Config!$G$2,Config!$G$14)))</f>
        <v/>
      </c>
      <c r="T883">
        <f>IF(OR(H883=0,H883=""),"",ABS((H883-IF($C883="LT",Config!$F$3,Config!$F$15))/IF($C883="LT",Config!$G$3,Config!$G$15)))</f>
        <v/>
      </c>
      <c r="U883">
        <f>IF(OR(I883=0,I883=""),"",ABS((I883-IF($C883="LT",Config!$F$4,Config!$F$16))/IF($C883="LT",Config!$G$4,Config!$G$16)))</f>
        <v/>
      </c>
      <c r="V883">
        <f>IF(OR(J883=0,J883=""),"",ABS((J883-IF($C883="LT",Config!$F$5,Config!$F$17))/IF($C883="LT",Config!$G$5,Config!$G$17)))</f>
        <v/>
      </c>
      <c r="W883">
        <f>IF(OR(K883=0,K883=""),"",ABS((K883-IF($C883="LT",Config!$F$6,Config!$F$18))/IF($C883="LT",Config!$G$6,Config!$G$18)))</f>
        <v/>
      </c>
      <c r="X883">
        <f>IF(OR(L883=0,L883=""),"",ABS((L883-IF($C883="LT",Config!$F$7,Config!$F$19))/IF($C883="LT",Config!$G$7,Config!$G$19)))</f>
        <v/>
      </c>
      <c r="Y883">
        <f>IF(OR(M883=0,M883=""),"",ABS((M883-IF($C883="LT",Config!$F$8,Config!$F$20))/IF($C883="LT",Config!$G$8,Config!$G$20)))</f>
        <v/>
      </c>
      <c r="Z883">
        <f>IF(OR(N883=0,N883=""),"",ABS((N883-IF($C883="LT",Config!$F$9,Config!$F$21))/IF($C883="LT",Config!$G$9,Config!$G$21)))</f>
        <v/>
      </c>
      <c r="AA883">
        <f>IF(OR(O883=0,O883=""),"",ABS((O883-IF($C883="LT",Config!$F$10,Config!$F$22))/IF($C883="LT",Config!$G$10,Config!$G$22)))</f>
        <v/>
      </c>
      <c r="AB883">
        <f>IF(OR(P883=0,P883=""),"",ABS((P883-IF($C883="LT",Config!$F$11,Config!$F$23))/IF($C883="LT",Config!$G$11,Config!$G$23)))</f>
        <v/>
      </c>
      <c r="AC883">
        <f>IF(OR(Q883=0,Q883=""),"",ABS((Q883-IF($C883="LT",Config!$F$12,Config!$F$24))/IF($C883="LT",Config!$G$12,Config!$G$24)))</f>
        <v/>
      </c>
      <c r="AD883">
        <f>IF(OR(R883=0,R883=""),"",ABS((R883-IF($C883="LT",Config!$F$13,Config!$F$25))/IF($C883="LT",Config!$G$13,Config!$G$25)))</f>
        <v/>
      </c>
    </row>
    <row r="884">
      <c r="A884" t="inlineStr">
        <is>
          <t>04D0826121273</t>
        </is>
      </c>
      <c r="B884" t="inlineStr">
        <is>
          <t>CRS0000674</t>
        </is>
      </c>
      <c r="C884" t="inlineStr">
        <is>
          <t>MT</t>
        </is>
      </c>
      <c r="D884" t="inlineStr">
        <is>
          <t>TCX413U-DS1B01</t>
        </is>
      </c>
      <c r="E884" s="2" t="n">
        <v>46135</v>
      </c>
      <c r="F884" t="inlineStr">
        <is>
          <t>Fail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>
        <f>IF(OR(G884=0,G884=""),"",ABS((G884-IF($C884="LT",Config!$F$2,Config!$F$14))/IF($C884="LT",Config!$G$2,Config!$G$14)))</f>
        <v/>
      </c>
      <c r="T884">
        <f>IF(OR(H884=0,H884=""),"",ABS((H884-IF($C884="LT",Config!$F$3,Config!$F$15))/IF($C884="LT",Config!$G$3,Config!$G$15)))</f>
        <v/>
      </c>
      <c r="U884">
        <f>IF(OR(I884=0,I884=""),"",ABS((I884-IF($C884="LT",Config!$F$4,Config!$F$16))/IF($C884="LT",Config!$G$4,Config!$G$16)))</f>
        <v/>
      </c>
      <c r="V884">
        <f>IF(OR(J884=0,J884=""),"",ABS((J884-IF($C884="LT",Config!$F$5,Config!$F$17))/IF($C884="LT",Config!$G$5,Config!$G$17)))</f>
        <v/>
      </c>
      <c r="W884">
        <f>IF(OR(K884=0,K884=""),"",ABS((K884-IF($C884="LT",Config!$F$6,Config!$F$18))/IF($C884="LT",Config!$G$6,Config!$G$18)))</f>
        <v/>
      </c>
      <c r="X884">
        <f>IF(OR(L884=0,L884=""),"",ABS((L884-IF($C884="LT",Config!$F$7,Config!$F$19))/IF($C884="LT",Config!$G$7,Config!$G$19)))</f>
        <v/>
      </c>
      <c r="Y884">
        <f>IF(OR(M884=0,M884=""),"",ABS((M884-IF($C884="LT",Config!$F$8,Config!$F$20))/IF($C884="LT",Config!$G$8,Config!$G$20)))</f>
        <v/>
      </c>
      <c r="Z884">
        <f>IF(OR(N884=0,N884=""),"",ABS((N884-IF($C884="LT",Config!$F$9,Config!$F$21))/IF($C884="LT",Config!$G$9,Config!$G$21)))</f>
        <v/>
      </c>
      <c r="AA884">
        <f>IF(OR(O884=0,O884=""),"",ABS((O884-IF($C884="LT",Config!$F$10,Config!$F$22))/IF($C884="LT",Config!$G$10,Config!$G$22)))</f>
        <v/>
      </c>
      <c r="AB884">
        <f>IF(OR(P884=0,P884=""),"",ABS((P884-IF($C884="LT",Config!$F$11,Config!$F$23))/IF($C884="LT",Config!$G$11,Config!$G$23)))</f>
        <v/>
      </c>
      <c r="AC884">
        <f>IF(OR(Q884=0,Q884=""),"",ABS((Q884-IF($C884="LT",Config!$F$12,Config!$F$24))/IF($C884="LT",Config!$G$12,Config!$G$24)))</f>
        <v/>
      </c>
      <c r="AD884">
        <f>IF(OR(R884=0,R884=""),"",ABS((R884-IF($C884="LT",Config!$F$13,Config!$F$25))/IF($C884="LT",Config!$G$13,Config!$G$25)))</f>
        <v/>
      </c>
    </row>
    <row r="885">
      <c r="A885" t="inlineStr">
        <is>
          <t>04D0826121273</t>
        </is>
      </c>
      <c r="B885" t="inlineStr">
        <is>
          <t>CRS0000674</t>
        </is>
      </c>
      <c r="C885" t="inlineStr">
        <is>
          <t>MT</t>
        </is>
      </c>
      <c r="D885" t="inlineStr">
        <is>
          <t>TCX413U-DS1B01</t>
        </is>
      </c>
      <c r="E885" s="2" t="n">
        <v>46135</v>
      </c>
      <c r="F885" t="inlineStr">
        <is>
          <t>Fail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>
        <f>IF(OR(G885=0,G885=""),"",ABS((G885-IF($C885="LT",Config!$F$2,Config!$F$14))/IF($C885="LT",Config!$G$2,Config!$G$14)))</f>
        <v/>
      </c>
      <c r="T885">
        <f>IF(OR(H885=0,H885=""),"",ABS((H885-IF($C885="LT",Config!$F$3,Config!$F$15))/IF($C885="LT",Config!$G$3,Config!$G$15)))</f>
        <v/>
      </c>
      <c r="U885">
        <f>IF(OR(I885=0,I885=""),"",ABS((I885-IF($C885="LT",Config!$F$4,Config!$F$16))/IF($C885="LT",Config!$G$4,Config!$G$16)))</f>
        <v/>
      </c>
      <c r="V885">
        <f>IF(OR(J885=0,J885=""),"",ABS((J885-IF($C885="LT",Config!$F$5,Config!$F$17))/IF($C885="LT",Config!$G$5,Config!$G$17)))</f>
        <v/>
      </c>
      <c r="W885">
        <f>IF(OR(K885=0,K885=""),"",ABS((K885-IF($C885="LT",Config!$F$6,Config!$F$18))/IF($C885="LT",Config!$G$6,Config!$G$18)))</f>
        <v/>
      </c>
      <c r="X885">
        <f>IF(OR(L885=0,L885=""),"",ABS((L885-IF($C885="LT",Config!$F$7,Config!$F$19))/IF($C885="LT",Config!$G$7,Config!$G$19)))</f>
        <v/>
      </c>
      <c r="Y885">
        <f>IF(OR(M885=0,M885=""),"",ABS((M885-IF($C885="LT",Config!$F$8,Config!$F$20))/IF($C885="LT",Config!$G$8,Config!$G$20)))</f>
        <v/>
      </c>
      <c r="Z885">
        <f>IF(OR(N885=0,N885=""),"",ABS((N885-IF($C885="LT",Config!$F$9,Config!$F$21))/IF($C885="LT",Config!$G$9,Config!$G$21)))</f>
        <v/>
      </c>
      <c r="AA885">
        <f>IF(OR(O885=0,O885=""),"",ABS((O885-IF($C885="LT",Config!$F$10,Config!$F$22))/IF($C885="LT",Config!$G$10,Config!$G$22)))</f>
        <v/>
      </c>
      <c r="AB885">
        <f>IF(OR(P885=0,P885=""),"",ABS((P885-IF($C885="LT",Config!$F$11,Config!$F$23))/IF($C885="LT",Config!$G$11,Config!$G$23)))</f>
        <v/>
      </c>
      <c r="AC885">
        <f>IF(OR(Q885=0,Q885=""),"",ABS((Q885-IF($C885="LT",Config!$F$12,Config!$F$24))/IF($C885="LT",Config!$G$12,Config!$G$24)))</f>
        <v/>
      </c>
      <c r="AD885">
        <f>IF(OR(R885=0,R885=""),"",ABS((R885-IF($C885="LT",Config!$F$13,Config!$F$25))/IF($C885="LT",Config!$G$13,Config!$G$25)))</f>
        <v/>
      </c>
    </row>
    <row r="886">
      <c r="A886" t="inlineStr">
        <is>
          <t>04D1426121385</t>
        </is>
      </c>
      <c r="B886" t="inlineStr">
        <is>
          <t>CRS0000674</t>
        </is>
      </c>
      <c r="C886" t="inlineStr">
        <is>
          <t>MT</t>
        </is>
      </c>
      <c r="D886" t="inlineStr">
        <is>
          <t>TCX413U-DS1B01</t>
        </is>
      </c>
      <c r="E886" s="2" t="n">
        <v>46135</v>
      </c>
      <c r="F886" t="inlineStr">
        <is>
          <t>Pass</t>
        </is>
      </c>
      <c r="G886" t="n">
        <v>120.9</v>
      </c>
      <c r="H886" t="n">
        <v>81.09999999999999</v>
      </c>
      <c r="I886" t="n">
        <v>-1957.8</v>
      </c>
      <c r="J886" t="n">
        <v>69.09999999999999</v>
      </c>
      <c r="K886" t="n">
        <v>0</v>
      </c>
      <c r="L886" t="n">
        <v>1.6</v>
      </c>
      <c r="M886" t="n">
        <v>0</v>
      </c>
      <c r="N886" t="n">
        <v>67.5</v>
      </c>
      <c r="O886" t="n">
        <v>111.79</v>
      </c>
      <c r="P886" t="n">
        <v>113.33</v>
      </c>
      <c r="Q886" t="n">
        <v>3.91</v>
      </c>
      <c r="R886" t="n">
        <v>3.98</v>
      </c>
      <c r="S886">
        <f>IF(OR(G886=0,G886=""),"",ABS((G886-IF($C886="LT",Config!$F$2,Config!$F$14))/IF($C886="LT",Config!$G$2,Config!$G$14)))</f>
        <v/>
      </c>
      <c r="T886">
        <f>IF(OR(H886=0,H886=""),"",ABS((H886-IF($C886="LT",Config!$F$3,Config!$F$15))/IF($C886="LT",Config!$G$3,Config!$G$15)))</f>
        <v/>
      </c>
      <c r="U886">
        <f>IF(OR(I886=0,I886=""),"",ABS((I886-IF($C886="LT",Config!$F$4,Config!$F$16))/IF($C886="LT",Config!$G$4,Config!$G$16)))</f>
        <v/>
      </c>
      <c r="V886">
        <f>IF(OR(J886=0,J886=""),"",ABS((J886-IF($C886="LT",Config!$F$5,Config!$F$17))/IF($C886="LT",Config!$G$5,Config!$G$17)))</f>
        <v/>
      </c>
      <c r="W886">
        <f>IF(OR(K886=0,K886=""),"",ABS((K886-IF($C886="LT",Config!$F$6,Config!$F$18))/IF($C886="LT",Config!$G$6,Config!$G$18)))</f>
        <v/>
      </c>
      <c r="X886">
        <f>IF(OR(L886=0,L886=""),"",ABS((L886-IF($C886="LT",Config!$F$7,Config!$F$19))/IF($C886="LT",Config!$G$7,Config!$G$19)))</f>
        <v/>
      </c>
      <c r="Y886">
        <f>IF(OR(M886=0,M886=""),"",ABS((M886-IF($C886="LT",Config!$F$8,Config!$F$20))/IF($C886="LT",Config!$G$8,Config!$G$20)))</f>
        <v/>
      </c>
      <c r="Z886">
        <f>IF(OR(N886=0,N886=""),"",ABS((N886-IF($C886="LT",Config!$F$9,Config!$F$21))/IF($C886="LT",Config!$G$9,Config!$G$21)))</f>
        <v/>
      </c>
      <c r="AA886">
        <f>IF(OR(O886=0,O886=""),"",ABS((O886-IF($C886="LT",Config!$F$10,Config!$F$22))/IF($C886="LT",Config!$G$10,Config!$G$22)))</f>
        <v/>
      </c>
      <c r="AB886">
        <f>IF(OR(P886=0,P886=""),"",ABS((P886-IF($C886="LT",Config!$F$11,Config!$F$23))/IF($C886="LT",Config!$G$11,Config!$G$23)))</f>
        <v/>
      </c>
      <c r="AC886">
        <f>IF(OR(Q886=0,Q886=""),"",ABS((Q886-IF($C886="LT",Config!$F$12,Config!$F$24))/IF($C886="LT",Config!$G$12,Config!$G$24)))</f>
        <v/>
      </c>
      <c r="AD886">
        <f>IF(OR(R886=0,R886=""),"",ABS((R886-IF($C886="LT",Config!$F$13,Config!$F$25))/IF($C886="LT",Config!$G$13,Config!$G$25)))</f>
        <v/>
      </c>
    </row>
    <row r="887">
      <c r="A887" t="inlineStr">
        <is>
          <t>04D0626121254</t>
        </is>
      </c>
      <c r="B887" t="inlineStr">
        <is>
          <t>CRS0000674</t>
        </is>
      </c>
      <c r="C887" t="inlineStr">
        <is>
          <t>MT</t>
        </is>
      </c>
      <c r="D887" t="inlineStr">
        <is>
          <t>TCX413U-DS1B01</t>
        </is>
      </c>
      <c r="E887" s="2" t="n">
        <v>46135</v>
      </c>
      <c r="F887" t="inlineStr">
        <is>
          <t>Fail</t>
        </is>
      </c>
      <c r="G887" t="n">
        <v>85.59999999999999</v>
      </c>
      <c r="H887" t="n">
        <v>77.90000000000001</v>
      </c>
      <c r="I887" t="n">
        <v>-1957.8</v>
      </c>
      <c r="J887" t="n">
        <v>69.09999999999999</v>
      </c>
      <c r="K887" t="n">
        <v>0</v>
      </c>
      <c r="L887" t="n">
        <v>1.3</v>
      </c>
      <c r="M887" t="n">
        <v>0</v>
      </c>
      <c r="N887" t="n">
        <v>67.8</v>
      </c>
      <c r="O887" t="n">
        <v>111.94</v>
      </c>
      <c r="P887" t="n">
        <v>113.48</v>
      </c>
      <c r="Q887" t="n">
        <v>3.83</v>
      </c>
      <c r="R887" t="n">
        <v>3.86</v>
      </c>
      <c r="S887">
        <f>IF(OR(G887=0,G887=""),"",ABS((G887-IF($C887="LT",Config!$F$2,Config!$F$14))/IF($C887="LT",Config!$G$2,Config!$G$14)))</f>
        <v/>
      </c>
      <c r="T887">
        <f>IF(OR(H887=0,H887=""),"",ABS((H887-IF($C887="LT",Config!$F$3,Config!$F$15))/IF($C887="LT",Config!$G$3,Config!$G$15)))</f>
        <v/>
      </c>
      <c r="U887">
        <f>IF(OR(I887=0,I887=""),"",ABS((I887-IF($C887="LT",Config!$F$4,Config!$F$16))/IF($C887="LT",Config!$G$4,Config!$G$16)))</f>
        <v/>
      </c>
      <c r="V887">
        <f>IF(OR(J887=0,J887=""),"",ABS((J887-IF($C887="LT",Config!$F$5,Config!$F$17))/IF($C887="LT",Config!$G$5,Config!$G$17)))</f>
        <v/>
      </c>
      <c r="W887">
        <f>IF(OR(K887=0,K887=""),"",ABS((K887-IF($C887="LT",Config!$F$6,Config!$F$18))/IF($C887="LT",Config!$G$6,Config!$G$18)))</f>
        <v/>
      </c>
      <c r="X887">
        <f>IF(OR(L887=0,L887=""),"",ABS((L887-IF($C887="LT",Config!$F$7,Config!$F$19))/IF($C887="LT",Config!$G$7,Config!$G$19)))</f>
        <v/>
      </c>
      <c r="Y887">
        <f>IF(OR(M887=0,M887=""),"",ABS((M887-IF($C887="LT",Config!$F$8,Config!$F$20))/IF($C887="LT",Config!$G$8,Config!$G$20)))</f>
        <v/>
      </c>
      <c r="Z887">
        <f>IF(OR(N887=0,N887=""),"",ABS((N887-IF($C887="LT",Config!$F$9,Config!$F$21))/IF($C887="LT",Config!$G$9,Config!$G$21)))</f>
        <v/>
      </c>
      <c r="AA887">
        <f>IF(OR(O887=0,O887=""),"",ABS((O887-IF($C887="LT",Config!$F$10,Config!$F$22))/IF($C887="LT",Config!$G$10,Config!$G$22)))</f>
        <v/>
      </c>
      <c r="AB887">
        <f>IF(OR(P887=0,P887=""),"",ABS((P887-IF($C887="LT",Config!$F$11,Config!$F$23))/IF($C887="LT",Config!$G$11,Config!$G$23)))</f>
        <v/>
      </c>
      <c r="AC887">
        <f>IF(OR(Q887=0,Q887=""),"",ABS((Q887-IF($C887="LT",Config!$F$12,Config!$F$24))/IF($C887="LT",Config!$G$12,Config!$G$24)))</f>
        <v/>
      </c>
      <c r="AD887">
        <f>IF(OR(R887=0,R887=""),"",ABS((R887-IF($C887="LT",Config!$F$13,Config!$F$25))/IF($C887="LT",Config!$G$13,Config!$G$25)))</f>
        <v/>
      </c>
    </row>
    <row r="888">
      <c r="A888" t="inlineStr">
        <is>
          <t>04D1326121351</t>
        </is>
      </c>
      <c r="B888" t="inlineStr">
        <is>
          <t>CRS0000674</t>
        </is>
      </c>
      <c r="C888" t="inlineStr">
        <is>
          <t>MT</t>
        </is>
      </c>
      <c r="D888" t="inlineStr">
        <is>
          <t>TCX413U-DS1B01</t>
        </is>
      </c>
      <c r="E888" s="2" t="n">
        <v>46135</v>
      </c>
      <c r="F888" t="inlineStr">
        <is>
          <t>Pass</t>
        </is>
      </c>
      <c r="G888" t="n">
        <v>113.7</v>
      </c>
      <c r="H888" t="n">
        <v>78.90000000000001</v>
      </c>
      <c r="I888" t="n">
        <v>-1957.8</v>
      </c>
      <c r="J888" t="n">
        <v>68.59999999999999</v>
      </c>
      <c r="K888" t="n">
        <v>0</v>
      </c>
      <c r="L888" t="n">
        <v>1.1</v>
      </c>
      <c r="M888" t="n">
        <v>0</v>
      </c>
      <c r="N888" t="n">
        <v>67.5</v>
      </c>
      <c r="O888" t="n">
        <v>115.31</v>
      </c>
      <c r="P888" t="n">
        <v>115.31</v>
      </c>
      <c r="Q888" t="n">
        <v>3.76</v>
      </c>
      <c r="R888" t="n">
        <v>3.74</v>
      </c>
      <c r="S888">
        <f>IF(OR(G888=0,G888=""),"",ABS((G888-IF($C888="LT",Config!$F$2,Config!$F$14))/IF($C888="LT",Config!$G$2,Config!$G$14)))</f>
        <v/>
      </c>
      <c r="T888">
        <f>IF(OR(H888=0,H888=""),"",ABS((H888-IF($C888="LT",Config!$F$3,Config!$F$15))/IF($C888="LT",Config!$G$3,Config!$G$15)))</f>
        <v/>
      </c>
      <c r="U888">
        <f>IF(OR(I888=0,I888=""),"",ABS((I888-IF($C888="LT",Config!$F$4,Config!$F$16))/IF($C888="LT",Config!$G$4,Config!$G$16)))</f>
        <v/>
      </c>
      <c r="V888">
        <f>IF(OR(J888=0,J888=""),"",ABS((J888-IF($C888="LT",Config!$F$5,Config!$F$17))/IF($C888="LT",Config!$G$5,Config!$G$17)))</f>
        <v/>
      </c>
      <c r="W888">
        <f>IF(OR(K888=0,K888=""),"",ABS((K888-IF($C888="LT",Config!$F$6,Config!$F$18))/IF($C888="LT",Config!$G$6,Config!$G$18)))</f>
        <v/>
      </c>
      <c r="X888">
        <f>IF(OR(L888=0,L888=""),"",ABS((L888-IF($C888="LT",Config!$F$7,Config!$F$19))/IF($C888="LT",Config!$G$7,Config!$G$19)))</f>
        <v/>
      </c>
      <c r="Y888">
        <f>IF(OR(M888=0,M888=""),"",ABS((M888-IF($C888="LT",Config!$F$8,Config!$F$20))/IF($C888="LT",Config!$G$8,Config!$G$20)))</f>
        <v/>
      </c>
      <c r="Z888">
        <f>IF(OR(N888=0,N888=""),"",ABS((N888-IF($C888="LT",Config!$F$9,Config!$F$21))/IF($C888="LT",Config!$G$9,Config!$G$21)))</f>
        <v/>
      </c>
      <c r="AA888">
        <f>IF(OR(O888=0,O888=""),"",ABS((O888-IF($C888="LT",Config!$F$10,Config!$F$22))/IF($C888="LT",Config!$G$10,Config!$G$22)))</f>
        <v/>
      </c>
      <c r="AB888">
        <f>IF(OR(P888=0,P888=""),"",ABS((P888-IF($C888="LT",Config!$F$11,Config!$F$23))/IF($C888="LT",Config!$G$11,Config!$G$23)))</f>
        <v/>
      </c>
      <c r="AC888">
        <f>IF(OR(Q888=0,Q888=""),"",ABS((Q888-IF($C888="LT",Config!$F$12,Config!$F$24))/IF($C888="LT",Config!$G$12,Config!$G$24)))</f>
        <v/>
      </c>
      <c r="AD888">
        <f>IF(OR(R888=0,R888=""),"",ABS((R888-IF($C888="LT",Config!$F$13,Config!$F$25))/IF($C888="LT",Config!$G$13,Config!$G$25)))</f>
        <v/>
      </c>
    </row>
    <row r="889">
      <c r="A889" t="inlineStr">
        <is>
          <t>04D1426121370</t>
        </is>
      </c>
      <c r="B889" t="inlineStr">
        <is>
          <t>CRS0000674</t>
        </is>
      </c>
      <c r="C889" t="inlineStr">
        <is>
          <t>MT</t>
        </is>
      </c>
      <c r="D889" t="inlineStr">
        <is>
          <t>TCX413U-DS1B01</t>
        </is>
      </c>
      <c r="E889" s="2" t="n">
        <v>46135</v>
      </c>
      <c r="F889" t="inlineStr">
        <is>
          <t>Pass</t>
        </is>
      </c>
      <c r="G889" t="n">
        <v>112</v>
      </c>
      <c r="H889" t="n">
        <v>78.90000000000001</v>
      </c>
      <c r="I889" t="n">
        <v>-1957.8</v>
      </c>
      <c r="J889" t="n">
        <v>68.59999999999999</v>
      </c>
      <c r="K889" t="n">
        <v>0</v>
      </c>
      <c r="L889" t="n">
        <v>0.7</v>
      </c>
      <c r="M889" t="n">
        <v>0</v>
      </c>
      <c r="N889" t="n">
        <v>67.90000000000001</v>
      </c>
      <c r="O889" t="n">
        <v>112.3</v>
      </c>
      <c r="P889" t="n">
        <v>116.56</v>
      </c>
      <c r="Q889" t="n">
        <v>3.69</v>
      </c>
      <c r="R889" t="n">
        <v>3.61</v>
      </c>
      <c r="S889">
        <f>IF(OR(G889=0,G889=""),"",ABS((G889-IF($C889="LT",Config!$F$2,Config!$F$14))/IF($C889="LT",Config!$G$2,Config!$G$14)))</f>
        <v/>
      </c>
      <c r="T889">
        <f>IF(OR(H889=0,H889=""),"",ABS((H889-IF($C889="LT",Config!$F$3,Config!$F$15))/IF($C889="LT",Config!$G$3,Config!$G$15)))</f>
        <v/>
      </c>
      <c r="U889">
        <f>IF(OR(I889=0,I889=""),"",ABS((I889-IF($C889="LT",Config!$F$4,Config!$F$16))/IF($C889="LT",Config!$G$4,Config!$G$16)))</f>
        <v/>
      </c>
      <c r="V889">
        <f>IF(OR(J889=0,J889=""),"",ABS((J889-IF($C889="LT",Config!$F$5,Config!$F$17))/IF($C889="LT",Config!$G$5,Config!$G$17)))</f>
        <v/>
      </c>
      <c r="W889">
        <f>IF(OR(K889=0,K889=""),"",ABS((K889-IF($C889="LT",Config!$F$6,Config!$F$18))/IF($C889="LT",Config!$G$6,Config!$G$18)))</f>
        <v/>
      </c>
      <c r="X889">
        <f>IF(OR(L889=0,L889=""),"",ABS((L889-IF($C889="LT",Config!$F$7,Config!$F$19))/IF($C889="LT",Config!$G$7,Config!$G$19)))</f>
        <v/>
      </c>
      <c r="Y889">
        <f>IF(OR(M889=0,M889=""),"",ABS((M889-IF($C889="LT",Config!$F$8,Config!$F$20))/IF($C889="LT",Config!$G$8,Config!$G$20)))</f>
        <v/>
      </c>
      <c r="Z889">
        <f>IF(OR(N889=0,N889=""),"",ABS((N889-IF($C889="LT",Config!$F$9,Config!$F$21))/IF($C889="LT",Config!$G$9,Config!$G$21)))</f>
        <v/>
      </c>
      <c r="AA889">
        <f>IF(OR(O889=0,O889=""),"",ABS((O889-IF($C889="LT",Config!$F$10,Config!$F$22))/IF($C889="LT",Config!$G$10,Config!$G$22)))</f>
        <v/>
      </c>
      <c r="AB889">
        <f>IF(OR(P889=0,P889=""),"",ABS((P889-IF($C889="LT",Config!$F$11,Config!$F$23))/IF($C889="LT",Config!$G$11,Config!$G$23)))</f>
        <v/>
      </c>
      <c r="AC889">
        <f>IF(OR(Q889=0,Q889=""),"",ABS((Q889-IF($C889="LT",Config!$F$12,Config!$F$24))/IF($C889="LT",Config!$G$12,Config!$G$24)))</f>
        <v/>
      </c>
      <c r="AD889">
        <f>IF(OR(R889=0,R889=""),"",ABS((R889-IF($C889="LT",Config!$F$13,Config!$F$25))/IF($C889="LT",Config!$G$13,Config!$G$25)))</f>
        <v/>
      </c>
    </row>
    <row r="890">
      <c r="A890" t="inlineStr">
        <is>
          <t>04D1326121355</t>
        </is>
      </c>
      <c r="B890" t="inlineStr">
        <is>
          <t>CRS0000674</t>
        </is>
      </c>
      <c r="C890" t="inlineStr">
        <is>
          <t>MT</t>
        </is>
      </c>
      <c r="D890" t="inlineStr">
        <is>
          <t>TCX413U-DS1B01</t>
        </is>
      </c>
      <c r="E890" s="2" t="n">
        <v>46135</v>
      </c>
      <c r="F890" t="inlineStr">
        <is>
          <t>Pass</t>
        </is>
      </c>
      <c r="G890" t="n">
        <v>115.5</v>
      </c>
      <c r="H890" t="n">
        <v>78.90000000000001</v>
      </c>
      <c r="I890" t="n">
        <v>-1957.8</v>
      </c>
      <c r="J890" t="n">
        <v>69.09999999999999</v>
      </c>
      <c r="K890" t="n">
        <v>0</v>
      </c>
      <c r="L890" t="n">
        <v>0.4</v>
      </c>
      <c r="M890" t="n">
        <v>0</v>
      </c>
      <c r="N890" t="n">
        <v>68.7</v>
      </c>
      <c r="O890" t="n">
        <v>112.16</v>
      </c>
      <c r="P890" t="n">
        <v>116.41</v>
      </c>
      <c r="Q890" t="n">
        <v>3.74</v>
      </c>
      <c r="R890" t="n">
        <v>3.66</v>
      </c>
      <c r="S890">
        <f>IF(OR(G890=0,G890=""),"",ABS((G890-IF($C890="LT",Config!$F$2,Config!$F$14))/IF($C890="LT",Config!$G$2,Config!$G$14)))</f>
        <v/>
      </c>
      <c r="T890">
        <f>IF(OR(H890=0,H890=""),"",ABS((H890-IF($C890="LT",Config!$F$3,Config!$F$15))/IF($C890="LT",Config!$G$3,Config!$G$15)))</f>
        <v/>
      </c>
      <c r="U890">
        <f>IF(OR(I890=0,I890=""),"",ABS((I890-IF($C890="LT",Config!$F$4,Config!$F$16))/IF($C890="LT",Config!$G$4,Config!$G$16)))</f>
        <v/>
      </c>
      <c r="V890">
        <f>IF(OR(J890=0,J890=""),"",ABS((J890-IF($C890="LT",Config!$F$5,Config!$F$17))/IF($C890="LT",Config!$G$5,Config!$G$17)))</f>
        <v/>
      </c>
      <c r="W890">
        <f>IF(OR(K890=0,K890=""),"",ABS((K890-IF($C890="LT",Config!$F$6,Config!$F$18))/IF($C890="LT",Config!$G$6,Config!$G$18)))</f>
        <v/>
      </c>
      <c r="X890">
        <f>IF(OR(L890=0,L890=""),"",ABS((L890-IF($C890="LT",Config!$F$7,Config!$F$19))/IF($C890="LT",Config!$G$7,Config!$G$19)))</f>
        <v/>
      </c>
      <c r="Y890">
        <f>IF(OR(M890=0,M890=""),"",ABS((M890-IF($C890="LT",Config!$F$8,Config!$F$20))/IF($C890="LT",Config!$G$8,Config!$G$20)))</f>
        <v/>
      </c>
      <c r="Z890">
        <f>IF(OR(N890=0,N890=""),"",ABS((N890-IF($C890="LT",Config!$F$9,Config!$F$21))/IF($C890="LT",Config!$G$9,Config!$G$21)))</f>
        <v/>
      </c>
      <c r="AA890">
        <f>IF(OR(O890=0,O890=""),"",ABS((O890-IF($C890="LT",Config!$F$10,Config!$F$22))/IF($C890="LT",Config!$G$10,Config!$G$22)))</f>
        <v/>
      </c>
      <c r="AB890">
        <f>IF(OR(P890=0,P890=""),"",ABS((P890-IF($C890="LT",Config!$F$11,Config!$F$23))/IF($C890="LT",Config!$G$11,Config!$G$23)))</f>
        <v/>
      </c>
      <c r="AC890">
        <f>IF(OR(Q890=0,Q890=""),"",ABS((Q890-IF($C890="LT",Config!$F$12,Config!$F$24))/IF($C890="LT",Config!$G$12,Config!$G$24)))</f>
        <v/>
      </c>
      <c r="AD890">
        <f>IF(OR(R890=0,R890=""),"",ABS((R890-IF($C890="LT",Config!$F$13,Config!$F$25))/IF($C890="LT",Config!$G$13,Config!$G$25)))</f>
        <v/>
      </c>
    </row>
    <row r="891">
      <c r="A891" t="inlineStr">
        <is>
          <t>04D1326121356</t>
        </is>
      </c>
      <c r="B891" t="inlineStr">
        <is>
          <t>CRS0000674</t>
        </is>
      </c>
      <c r="C891" t="inlineStr">
        <is>
          <t>MT</t>
        </is>
      </c>
      <c r="D891" t="inlineStr">
        <is>
          <t>TCX413U-DS1B01</t>
        </is>
      </c>
      <c r="E891" s="2" t="n">
        <v>46135</v>
      </c>
      <c r="F891" t="inlineStr">
        <is>
          <t>Pass</t>
        </is>
      </c>
      <c r="G891" t="n">
        <v>114.6</v>
      </c>
      <c r="H891" t="n">
        <v>81.09999999999999</v>
      </c>
      <c r="I891" t="n">
        <v>-1957.8</v>
      </c>
      <c r="J891" t="n">
        <v>69.09999999999999</v>
      </c>
      <c r="K891" t="n">
        <v>0</v>
      </c>
      <c r="L891" t="n">
        <v>0.6</v>
      </c>
      <c r="M891" t="n">
        <v>0</v>
      </c>
      <c r="N891" t="n">
        <v>68.5</v>
      </c>
      <c r="O891" t="n">
        <v>115.68</v>
      </c>
      <c r="P891" t="n">
        <v>117.07</v>
      </c>
      <c r="Q891" t="n">
        <v>3.69</v>
      </c>
      <c r="R891" t="n">
        <v>3.69</v>
      </c>
      <c r="S891">
        <f>IF(OR(G891=0,G891=""),"",ABS((G891-IF($C891="LT",Config!$F$2,Config!$F$14))/IF($C891="LT",Config!$G$2,Config!$G$14)))</f>
        <v/>
      </c>
      <c r="T891">
        <f>IF(OR(H891=0,H891=""),"",ABS((H891-IF($C891="LT",Config!$F$3,Config!$F$15))/IF($C891="LT",Config!$G$3,Config!$G$15)))</f>
        <v/>
      </c>
      <c r="U891">
        <f>IF(OR(I891=0,I891=""),"",ABS((I891-IF($C891="LT",Config!$F$4,Config!$F$16))/IF($C891="LT",Config!$G$4,Config!$G$16)))</f>
        <v/>
      </c>
      <c r="V891">
        <f>IF(OR(J891=0,J891=""),"",ABS((J891-IF($C891="LT",Config!$F$5,Config!$F$17))/IF($C891="LT",Config!$G$5,Config!$G$17)))</f>
        <v/>
      </c>
      <c r="W891">
        <f>IF(OR(K891=0,K891=""),"",ABS((K891-IF($C891="LT",Config!$F$6,Config!$F$18))/IF($C891="LT",Config!$G$6,Config!$G$18)))</f>
        <v/>
      </c>
      <c r="X891">
        <f>IF(OR(L891=0,L891=""),"",ABS((L891-IF($C891="LT",Config!$F$7,Config!$F$19))/IF($C891="LT",Config!$G$7,Config!$G$19)))</f>
        <v/>
      </c>
      <c r="Y891">
        <f>IF(OR(M891=0,M891=""),"",ABS((M891-IF($C891="LT",Config!$F$8,Config!$F$20))/IF($C891="LT",Config!$G$8,Config!$G$20)))</f>
        <v/>
      </c>
      <c r="Z891">
        <f>IF(OR(N891=0,N891=""),"",ABS((N891-IF($C891="LT",Config!$F$9,Config!$F$21))/IF($C891="LT",Config!$G$9,Config!$G$21)))</f>
        <v/>
      </c>
      <c r="AA891">
        <f>IF(OR(O891=0,O891=""),"",ABS((O891-IF($C891="LT",Config!$F$10,Config!$F$22))/IF($C891="LT",Config!$G$10,Config!$G$22)))</f>
        <v/>
      </c>
      <c r="AB891">
        <f>IF(OR(P891=0,P891=""),"",ABS((P891-IF($C891="LT",Config!$F$11,Config!$F$23))/IF($C891="LT",Config!$G$11,Config!$G$23)))</f>
        <v/>
      </c>
      <c r="AC891">
        <f>IF(OR(Q891=0,Q891=""),"",ABS((Q891-IF($C891="LT",Config!$F$12,Config!$F$24))/IF($C891="LT",Config!$G$12,Config!$G$24)))</f>
        <v/>
      </c>
      <c r="AD891">
        <f>IF(OR(R891=0,R891=""),"",ABS((R891-IF($C891="LT",Config!$F$13,Config!$F$25))/IF($C891="LT",Config!$G$13,Config!$G$25)))</f>
        <v/>
      </c>
    </row>
    <row r="892">
      <c r="A892" t="inlineStr">
        <is>
          <t>04D1126121334</t>
        </is>
      </c>
      <c r="B892" t="inlineStr">
        <is>
          <t>CRS0000674</t>
        </is>
      </c>
      <c r="C892" t="inlineStr">
        <is>
          <t>MT</t>
        </is>
      </c>
      <c r="D892" t="inlineStr">
        <is>
          <t>TCX413U-DS1B01</t>
        </is>
      </c>
      <c r="E892" s="2" t="n">
        <v>46135</v>
      </c>
      <c r="F892" t="inlineStr">
        <is>
          <t>Pass</t>
        </is>
      </c>
      <c r="G892" t="n">
        <v>115.1</v>
      </c>
      <c r="H892" t="n">
        <v>80.7</v>
      </c>
      <c r="I892" t="n">
        <v>-1957.8</v>
      </c>
      <c r="J892" t="n">
        <v>70</v>
      </c>
      <c r="K892" t="n">
        <v>0</v>
      </c>
      <c r="L892" t="n">
        <v>0.2</v>
      </c>
      <c r="M892" t="n">
        <v>0</v>
      </c>
      <c r="N892" t="n">
        <v>69.8</v>
      </c>
      <c r="O892" t="n">
        <v>112.23</v>
      </c>
      <c r="P892" t="n">
        <v>116.85</v>
      </c>
      <c r="Q892" t="n">
        <v>3.83</v>
      </c>
      <c r="R892" t="n">
        <v>3.69</v>
      </c>
      <c r="S892">
        <f>IF(OR(G892=0,G892=""),"",ABS((G892-IF($C892="LT",Config!$F$2,Config!$F$14))/IF($C892="LT",Config!$G$2,Config!$G$14)))</f>
        <v/>
      </c>
      <c r="T892">
        <f>IF(OR(H892=0,H892=""),"",ABS((H892-IF($C892="LT",Config!$F$3,Config!$F$15))/IF($C892="LT",Config!$G$3,Config!$G$15)))</f>
        <v/>
      </c>
      <c r="U892">
        <f>IF(OR(I892=0,I892=""),"",ABS((I892-IF($C892="LT",Config!$F$4,Config!$F$16))/IF($C892="LT",Config!$G$4,Config!$G$16)))</f>
        <v/>
      </c>
      <c r="V892">
        <f>IF(OR(J892=0,J892=""),"",ABS((J892-IF($C892="LT",Config!$F$5,Config!$F$17))/IF($C892="LT",Config!$G$5,Config!$G$17)))</f>
        <v/>
      </c>
      <c r="W892">
        <f>IF(OR(K892=0,K892=""),"",ABS((K892-IF($C892="LT",Config!$F$6,Config!$F$18))/IF($C892="LT",Config!$G$6,Config!$G$18)))</f>
        <v/>
      </c>
      <c r="X892">
        <f>IF(OR(L892=0,L892=""),"",ABS((L892-IF($C892="LT",Config!$F$7,Config!$F$19))/IF($C892="LT",Config!$G$7,Config!$G$19)))</f>
        <v/>
      </c>
      <c r="Y892">
        <f>IF(OR(M892=0,M892=""),"",ABS((M892-IF($C892="LT",Config!$F$8,Config!$F$20))/IF($C892="LT",Config!$G$8,Config!$G$20)))</f>
        <v/>
      </c>
      <c r="Z892">
        <f>IF(OR(N892=0,N892=""),"",ABS((N892-IF($C892="LT",Config!$F$9,Config!$F$21))/IF($C892="LT",Config!$G$9,Config!$G$21)))</f>
        <v/>
      </c>
      <c r="AA892">
        <f>IF(OR(O892=0,O892=""),"",ABS((O892-IF($C892="LT",Config!$F$10,Config!$F$22))/IF($C892="LT",Config!$G$10,Config!$G$22)))</f>
        <v/>
      </c>
      <c r="AB892">
        <f>IF(OR(P892=0,P892=""),"",ABS((P892-IF($C892="LT",Config!$F$11,Config!$F$23))/IF($C892="LT",Config!$G$11,Config!$G$23)))</f>
        <v/>
      </c>
      <c r="AC892">
        <f>IF(OR(Q892=0,Q892=""),"",ABS((Q892-IF($C892="LT",Config!$F$12,Config!$F$24))/IF($C892="LT",Config!$G$12,Config!$G$24)))</f>
        <v/>
      </c>
      <c r="AD892">
        <f>IF(OR(R892=0,R892=""),"",ABS((R892-IF($C892="LT",Config!$F$13,Config!$F$25))/IF($C892="LT",Config!$G$13,Config!$G$25)))</f>
        <v/>
      </c>
    </row>
    <row r="893">
      <c r="A893" t="inlineStr">
        <is>
          <t>04D0926121300</t>
        </is>
      </c>
      <c r="B893" t="inlineStr">
        <is>
          <t>CRS0000675</t>
        </is>
      </c>
      <c r="C893" t="inlineStr">
        <is>
          <t>LT</t>
        </is>
      </c>
      <c r="D893" t="inlineStr">
        <is>
          <t>ALX440U-DS3B01</t>
        </is>
      </c>
      <c r="E893" s="2" t="n">
        <v>46135</v>
      </c>
      <c r="F893" t="inlineStr">
        <is>
          <t>Pass</t>
        </is>
      </c>
      <c r="G893" t="n">
        <v>149.5</v>
      </c>
      <c r="H893" t="n">
        <v>95.5</v>
      </c>
      <c r="I893" t="n">
        <v>-1957.8</v>
      </c>
      <c r="J893" t="n">
        <v>70.40000000000001</v>
      </c>
      <c r="K893" t="n">
        <v>0</v>
      </c>
      <c r="L893" t="n">
        <v>0</v>
      </c>
      <c r="M893" t="n">
        <v>0</v>
      </c>
      <c r="N893" t="n">
        <v>70.40000000000001</v>
      </c>
      <c r="O893" t="n">
        <v>114.94</v>
      </c>
      <c r="P893" t="n">
        <v>115.24</v>
      </c>
      <c r="Q893" t="n">
        <v>7.69</v>
      </c>
      <c r="R893" t="n">
        <v>6.96</v>
      </c>
      <c r="S893">
        <f>IF(OR(G893=0,G893=""),"",ABS((G893-IF($C893="LT",Config!$F$2,Config!$F$14))/IF($C893="LT",Config!$G$2,Config!$G$14)))</f>
        <v/>
      </c>
      <c r="T893">
        <f>IF(OR(H893=0,H893=""),"",ABS((H893-IF($C893="LT",Config!$F$3,Config!$F$15))/IF($C893="LT",Config!$G$3,Config!$G$15)))</f>
        <v/>
      </c>
      <c r="U893">
        <f>IF(OR(I893=0,I893=""),"",ABS((I893-IF($C893="LT",Config!$F$4,Config!$F$16))/IF($C893="LT",Config!$G$4,Config!$G$16)))</f>
        <v/>
      </c>
      <c r="V893">
        <f>IF(OR(J893=0,J893=""),"",ABS((J893-IF($C893="LT",Config!$F$5,Config!$F$17))/IF($C893="LT",Config!$G$5,Config!$G$17)))</f>
        <v/>
      </c>
      <c r="W893">
        <f>IF(OR(K893=0,K893=""),"",ABS((K893-IF($C893="LT",Config!$F$6,Config!$F$18))/IF($C893="LT",Config!$G$6,Config!$G$18)))</f>
        <v/>
      </c>
      <c r="X893">
        <f>IF(OR(L893=0,L893=""),"",ABS((L893-IF($C893="LT",Config!$F$7,Config!$F$19))/IF($C893="LT",Config!$G$7,Config!$G$19)))</f>
        <v/>
      </c>
      <c r="Y893">
        <f>IF(OR(M893=0,M893=""),"",ABS((M893-IF($C893="LT",Config!$F$8,Config!$F$20))/IF($C893="LT",Config!$G$8,Config!$G$20)))</f>
        <v/>
      </c>
      <c r="Z893">
        <f>IF(OR(N893=0,N893=""),"",ABS((N893-IF($C893="LT",Config!$F$9,Config!$F$21))/IF($C893="LT",Config!$G$9,Config!$G$21)))</f>
        <v/>
      </c>
      <c r="AA893">
        <f>IF(OR(O893=0,O893=""),"",ABS((O893-IF($C893="LT",Config!$F$10,Config!$F$22))/IF($C893="LT",Config!$G$10,Config!$G$22)))</f>
        <v/>
      </c>
      <c r="AB893">
        <f>IF(OR(P893=0,P893=""),"",ABS((P893-IF($C893="LT",Config!$F$11,Config!$F$23))/IF($C893="LT",Config!$G$11,Config!$G$23)))</f>
        <v/>
      </c>
      <c r="AC893">
        <f>IF(OR(Q893=0,Q893=""),"",ABS((Q893-IF($C893="LT",Config!$F$12,Config!$F$24))/IF($C893="LT",Config!$G$12,Config!$G$24)))</f>
        <v/>
      </c>
      <c r="AD893">
        <f>IF(OR(R893=0,R893=""),"",ABS((R893-IF($C893="LT",Config!$F$13,Config!$F$25))/IF($C893="LT",Config!$G$13,Config!$G$25)))</f>
        <v/>
      </c>
    </row>
    <row r="894">
      <c r="A894" t="inlineStr">
        <is>
          <t>04D1326121345</t>
        </is>
      </c>
      <c r="B894" t="inlineStr">
        <is>
          <t>CRS0000675</t>
        </is>
      </c>
      <c r="C894" t="inlineStr">
        <is>
          <t>LT</t>
        </is>
      </c>
      <c r="D894" t="inlineStr">
        <is>
          <t>ALX440U-DS3B01</t>
        </is>
      </c>
      <c r="E894" s="2" t="n">
        <v>46135</v>
      </c>
      <c r="F894" t="inlineStr">
        <is>
          <t>Fail</t>
        </is>
      </c>
      <c r="G894" t="n">
        <v>154.4</v>
      </c>
      <c r="H894" t="n">
        <v>83.8</v>
      </c>
      <c r="I894" t="n">
        <v>-1957.8</v>
      </c>
      <c r="J894" t="n">
        <v>70.8</v>
      </c>
      <c r="K894" t="n">
        <v>0</v>
      </c>
      <c r="L894" t="n">
        <v>0.5</v>
      </c>
      <c r="M894" t="n">
        <v>0</v>
      </c>
      <c r="N894" t="n">
        <v>71.3</v>
      </c>
      <c r="O894" t="n">
        <v>115.46</v>
      </c>
      <c r="P894" t="n">
        <v>115.31</v>
      </c>
      <c r="Q894" t="n">
        <v>6.71</v>
      </c>
      <c r="R894" t="n">
        <v>6.84</v>
      </c>
      <c r="S894">
        <f>IF(OR(G894=0,G894=""),"",ABS((G894-IF($C894="LT",Config!$F$2,Config!$F$14))/IF($C894="LT",Config!$G$2,Config!$G$14)))</f>
        <v/>
      </c>
      <c r="T894">
        <f>IF(OR(H894=0,H894=""),"",ABS((H894-IF($C894="LT",Config!$F$3,Config!$F$15))/IF($C894="LT",Config!$G$3,Config!$G$15)))</f>
        <v/>
      </c>
      <c r="U894">
        <f>IF(OR(I894=0,I894=""),"",ABS((I894-IF($C894="LT",Config!$F$4,Config!$F$16))/IF($C894="LT",Config!$G$4,Config!$G$16)))</f>
        <v/>
      </c>
      <c r="V894">
        <f>IF(OR(J894=0,J894=""),"",ABS((J894-IF($C894="LT",Config!$F$5,Config!$F$17))/IF($C894="LT",Config!$G$5,Config!$G$17)))</f>
        <v/>
      </c>
      <c r="W894">
        <f>IF(OR(K894=0,K894=""),"",ABS((K894-IF($C894="LT",Config!$F$6,Config!$F$18))/IF($C894="LT",Config!$G$6,Config!$G$18)))</f>
        <v/>
      </c>
      <c r="X894">
        <f>IF(OR(L894=0,L894=""),"",ABS((L894-IF($C894="LT",Config!$F$7,Config!$F$19))/IF($C894="LT",Config!$G$7,Config!$G$19)))</f>
        <v/>
      </c>
      <c r="Y894">
        <f>IF(OR(M894=0,M894=""),"",ABS((M894-IF($C894="LT",Config!$F$8,Config!$F$20))/IF($C894="LT",Config!$G$8,Config!$G$20)))</f>
        <v/>
      </c>
      <c r="Z894">
        <f>IF(OR(N894=0,N894=""),"",ABS((N894-IF($C894="LT",Config!$F$9,Config!$F$21))/IF($C894="LT",Config!$G$9,Config!$G$21)))</f>
        <v/>
      </c>
      <c r="AA894">
        <f>IF(OR(O894=0,O894=""),"",ABS((O894-IF($C894="LT",Config!$F$10,Config!$F$22))/IF($C894="LT",Config!$G$10,Config!$G$22)))</f>
        <v/>
      </c>
      <c r="AB894">
        <f>IF(OR(P894=0,P894=""),"",ABS((P894-IF($C894="LT",Config!$F$11,Config!$F$23))/IF($C894="LT",Config!$G$11,Config!$G$23)))</f>
        <v/>
      </c>
      <c r="AC894">
        <f>IF(OR(Q894=0,Q894=""),"",ABS((Q894-IF($C894="LT",Config!$F$12,Config!$F$24))/IF($C894="LT",Config!$G$12,Config!$G$24)))</f>
        <v/>
      </c>
      <c r="AD894">
        <f>IF(OR(R894=0,R894=""),"",ABS((R894-IF($C894="LT",Config!$F$13,Config!$F$25))/IF($C894="LT",Config!$G$13,Config!$G$25)))</f>
        <v/>
      </c>
    </row>
    <row r="895">
      <c r="A895" t="inlineStr">
        <is>
          <t>04D1326121345</t>
        </is>
      </c>
      <c r="B895" t="inlineStr">
        <is>
          <t>CRS0000675</t>
        </is>
      </c>
      <c r="C895" t="inlineStr">
        <is>
          <t>LT</t>
        </is>
      </c>
      <c r="D895" t="inlineStr">
        <is>
          <t>ALX440U-DS3B01</t>
        </is>
      </c>
      <c r="E895" s="2" t="n">
        <v>46135</v>
      </c>
      <c r="F895" t="inlineStr">
        <is>
          <t>Pass</t>
        </is>
      </c>
      <c r="G895" t="n">
        <v>146.4</v>
      </c>
      <c r="H895" t="n">
        <v>89.2</v>
      </c>
      <c r="I895" t="n">
        <v>-1957.8</v>
      </c>
      <c r="J895" t="n">
        <v>71.3</v>
      </c>
      <c r="K895" t="n">
        <v>0</v>
      </c>
      <c r="L895" t="n">
        <v>0.6</v>
      </c>
      <c r="M895" t="n">
        <v>0</v>
      </c>
      <c r="N895" t="n">
        <v>71.90000000000001</v>
      </c>
      <c r="O895" t="n">
        <v>112.3</v>
      </c>
      <c r="P895" t="n">
        <v>113.7</v>
      </c>
      <c r="Q895" t="n">
        <v>6.96</v>
      </c>
      <c r="R895" t="n">
        <v>6.67</v>
      </c>
      <c r="S895">
        <f>IF(OR(G895=0,G895=""),"",ABS((G895-IF($C895="LT",Config!$F$2,Config!$F$14))/IF($C895="LT",Config!$G$2,Config!$G$14)))</f>
        <v/>
      </c>
      <c r="T895">
        <f>IF(OR(H895=0,H895=""),"",ABS((H895-IF($C895="LT",Config!$F$3,Config!$F$15))/IF($C895="LT",Config!$G$3,Config!$G$15)))</f>
        <v/>
      </c>
      <c r="U895">
        <f>IF(OR(I895=0,I895=""),"",ABS((I895-IF($C895="LT",Config!$F$4,Config!$F$16))/IF($C895="LT",Config!$G$4,Config!$G$16)))</f>
        <v/>
      </c>
      <c r="V895">
        <f>IF(OR(J895=0,J895=""),"",ABS((J895-IF($C895="LT",Config!$F$5,Config!$F$17))/IF($C895="LT",Config!$G$5,Config!$G$17)))</f>
        <v/>
      </c>
      <c r="W895">
        <f>IF(OR(K895=0,K895=""),"",ABS((K895-IF($C895="LT",Config!$F$6,Config!$F$18))/IF($C895="LT",Config!$G$6,Config!$G$18)))</f>
        <v/>
      </c>
      <c r="X895">
        <f>IF(OR(L895=0,L895=""),"",ABS((L895-IF($C895="LT",Config!$F$7,Config!$F$19))/IF($C895="LT",Config!$G$7,Config!$G$19)))</f>
        <v/>
      </c>
      <c r="Y895">
        <f>IF(OR(M895=0,M895=""),"",ABS((M895-IF($C895="LT",Config!$F$8,Config!$F$20))/IF($C895="LT",Config!$G$8,Config!$G$20)))</f>
        <v/>
      </c>
      <c r="Z895">
        <f>IF(OR(N895=0,N895=""),"",ABS((N895-IF($C895="LT",Config!$F$9,Config!$F$21))/IF($C895="LT",Config!$G$9,Config!$G$21)))</f>
        <v/>
      </c>
      <c r="AA895">
        <f>IF(OR(O895=0,O895=""),"",ABS((O895-IF($C895="LT",Config!$F$10,Config!$F$22))/IF($C895="LT",Config!$G$10,Config!$G$22)))</f>
        <v/>
      </c>
      <c r="AB895">
        <f>IF(OR(P895=0,P895=""),"",ABS((P895-IF($C895="LT",Config!$F$11,Config!$F$23))/IF($C895="LT",Config!$G$11,Config!$G$23)))</f>
        <v/>
      </c>
      <c r="AC895">
        <f>IF(OR(Q895=0,Q895=""),"",ABS((Q895-IF($C895="LT",Config!$F$12,Config!$F$24))/IF($C895="LT",Config!$G$12,Config!$G$24)))</f>
        <v/>
      </c>
      <c r="AD895">
        <f>IF(OR(R895=0,R895=""),"",ABS((R895-IF($C895="LT",Config!$F$13,Config!$F$25))/IF($C895="LT",Config!$G$13,Config!$G$25)))</f>
        <v/>
      </c>
    </row>
    <row r="896">
      <c r="A896" t="inlineStr">
        <is>
          <t>04D1026121330</t>
        </is>
      </c>
      <c r="B896" t="inlineStr">
        <is>
          <t>CRS0000674</t>
        </is>
      </c>
      <c r="C896" t="inlineStr">
        <is>
          <t>MT</t>
        </is>
      </c>
      <c r="D896" t="inlineStr">
        <is>
          <t>TCX413U-DS1B01</t>
        </is>
      </c>
      <c r="E896" s="2" t="n">
        <v>46135</v>
      </c>
      <c r="F896" t="inlineStr">
        <is>
          <t>Pass</t>
        </is>
      </c>
      <c r="G896" t="n">
        <v>119.6</v>
      </c>
      <c r="H896" t="n">
        <v>81.09999999999999</v>
      </c>
      <c r="I896" t="n">
        <v>-1957.8</v>
      </c>
      <c r="J896" t="n">
        <v>71.3</v>
      </c>
      <c r="K896" t="n">
        <v>0</v>
      </c>
      <c r="L896" t="n">
        <v>1.3</v>
      </c>
      <c r="M896" t="n">
        <v>0</v>
      </c>
      <c r="N896" t="n">
        <v>70</v>
      </c>
      <c r="O896" t="n">
        <v>115.16</v>
      </c>
      <c r="P896" t="n">
        <v>115.16</v>
      </c>
      <c r="Q896" t="n">
        <v>3.76</v>
      </c>
      <c r="R896" t="n">
        <v>3.71</v>
      </c>
      <c r="S896">
        <f>IF(OR(G896=0,G896=""),"",ABS((G896-IF($C896="LT",Config!$F$2,Config!$F$14))/IF($C896="LT",Config!$G$2,Config!$G$14)))</f>
        <v/>
      </c>
      <c r="T896">
        <f>IF(OR(H896=0,H896=""),"",ABS((H896-IF($C896="LT",Config!$F$3,Config!$F$15))/IF($C896="LT",Config!$G$3,Config!$G$15)))</f>
        <v/>
      </c>
      <c r="U896">
        <f>IF(OR(I896=0,I896=""),"",ABS((I896-IF($C896="LT",Config!$F$4,Config!$F$16))/IF($C896="LT",Config!$G$4,Config!$G$16)))</f>
        <v/>
      </c>
      <c r="V896">
        <f>IF(OR(J896=0,J896=""),"",ABS((J896-IF($C896="LT",Config!$F$5,Config!$F$17))/IF($C896="LT",Config!$G$5,Config!$G$17)))</f>
        <v/>
      </c>
      <c r="W896">
        <f>IF(OR(K896=0,K896=""),"",ABS((K896-IF($C896="LT",Config!$F$6,Config!$F$18))/IF($C896="LT",Config!$G$6,Config!$G$18)))</f>
        <v/>
      </c>
      <c r="X896">
        <f>IF(OR(L896=0,L896=""),"",ABS((L896-IF($C896="LT",Config!$F$7,Config!$F$19))/IF($C896="LT",Config!$G$7,Config!$G$19)))</f>
        <v/>
      </c>
      <c r="Y896">
        <f>IF(OR(M896=0,M896=""),"",ABS((M896-IF($C896="LT",Config!$F$8,Config!$F$20))/IF($C896="LT",Config!$G$8,Config!$G$20)))</f>
        <v/>
      </c>
      <c r="Z896">
        <f>IF(OR(N896=0,N896=""),"",ABS((N896-IF($C896="LT",Config!$F$9,Config!$F$21))/IF($C896="LT",Config!$G$9,Config!$G$21)))</f>
        <v/>
      </c>
      <c r="AA896">
        <f>IF(OR(O896=0,O896=""),"",ABS((O896-IF($C896="LT",Config!$F$10,Config!$F$22))/IF($C896="LT",Config!$G$10,Config!$G$22)))</f>
        <v/>
      </c>
      <c r="AB896">
        <f>IF(OR(P896=0,P896=""),"",ABS((P896-IF($C896="LT",Config!$F$11,Config!$F$23))/IF($C896="LT",Config!$G$11,Config!$G$23)))</f>
        <v/>
      </c>
      <c r="AC896">
        <f>IF(OR(Q896=0,Q896=""),"",ABS((Q896-IF($C896="LT",Config!$F$12,Config!$F$24))/IF($C896="LT",Config!$G$12,Config!$G$24)))</f>
        <v/>
      </c>
      <c r="AD896">
        <f>IF(OR(R896=0,R896=""),"",ABS((R896-IF($C896="LT",Config!$F$13,Config!$F$25))/IF($C896="LT",Config!$G$13,Config!$G$25)))</f>
        <v/>
      </c>
    </row>
    <row r="897">
      <c r="A897" t="inlineStr">
        <is>
          <t>04D1126121343</t>
        </is>
      </c>
      <c r="B897" t="inlineStr">
        <is>
          <t>CRS0000675</t>
        </is>
      </c>
      <c r="C897" t="inlineStr">
        <is>
          <t>LT</t>
        </is>
      </c>
      <c r="D897" t="inlineStr">
        <is>
          <t>ALX440U-DS3B01</t>
        </is>
      </c>
      <c r="E897" s="2" t="n">
        <v>46135</v>
      </c>
      <c r="F897" t="inlineStr">
        <is>
          <t>Pass</t>
        </is>
      </c>
      <c r="G897" t="n">
        <v>153.5</v>
      </c>
      <c r="H897" t="n">
        <v>92.40000000000001</v>
      </c>
      <c r="I897" t="n">
        <v>-1957.8</v>
      </c>
      <c r="J897" t="n">
        <v>70.8</v>
      </c>
      <c r="K897" t="n">
        <v>0</v>
      </c>
      <c r="L897" t="n">
        <v>1</v>
      </c>
      <c r="M897" t="n">
        <v>0</v>
      </c>
      <c r="N897" t="n">
        <v>69.8</v>
      </c>
      <c r="O897" t="n">
        <v>112.01</v>
      </c>
      <c r="P897" t="n">
        <v>116.56</v>
      </c>
      <c r="Q897" t="n">
        <v>6.74</v>
      </c>
      <c r="R897" t="n">
        <v>6.86</v>
      </c>
      <c r="S897">
        <f>IF(OR(G897=0,G897=""),"",ABS((G897-IF($C897="LT",Config!$F$2,Config!$F$14))/IF($C897="LT",Config!$G$2,Config!$G$14)))</f>
        <v/>
      </c>
      <c r="T897">
        <f>IF(OR(H897=0,H897=""),"",ABS((H897-IF($C897="LT",Config!$F$3,Config!$F$15))/IF($C897="LT",Config!$G$3,Config!$G$15)))</f>
        <v/>
      </c>
      <c r="U897">
        <f>IF(OR(I897=0,I897=""),"",ABS((I897-IF($C897="LT",Config!$F$4,Config!$F$16))/IF($C897="LT",Config!$G$4,Config!$G$16)))</f>
        <v/>
      </c>
      <c r="V897">
        <f>IF(OR(J897=0,J897=""),"",ABS((J897-IF($C897="LT",Config!$F$5,Config!$F$17))/IF($C897="LT",Config!$G$5,Config!$G$17)))</f>
        <v/>
      </c>
      <c r="W897">
        <f>IF(OR(K897=0,K897=""),"",ABS((K897-IF($C897="LT",Config!$F$6,Config!$F$18))/IF($C897="LT",Config!$G$6,Config!$G$18)))</f>
        <v/>
      </c>
      <c r="X897">
        <f>IF(OR(L897=0,L897=""),"",ABS((L897-IF($C897="LT",Config!$F$7,Config!$F$19))/IF($C897="LT",Config!$G$7,Config!$G$19)))</f>
        <v/>
      </c>
      <c r="Y897">
        <f>IF(OR(M897=0,M897=""),"",ABS((M897-IF($C897="LT",Config!$F$8,Config!$F$20))/IF($C897="LT",Config!$G$8,Config!$G$20)))</f>
        <v/>
      </c>
      <c r="Z897">
        <f>IF(OR(N897=0,N897=""),"",ABS((N897-IF($C897="LT",Config!$F$9,Config!$F$21))/IF($C897="LT",Config!$G$9,Config!$G$21)))</f>
        <v/>
      </c>
      <c r="AA897">
        <f>IF(OR(O897=0,O897=""),"",ABS((O897-IF($C897="LT",Config!$F$10,Config!$F$22))/IF($C897="LT",Config!$G$10,Config!$G$22)))</f>
        <v/>
      </c>
      <c r="AB897">
        <f>IF(OR(P897=0,P897=""),"",ABS((P897-IF($C897="LT",Config!$F$11,Config!$F$23))/IF($C897="LT",Config!$G$11,Config!$G$23)))</f>
        <v/>
      </c>
      <c r="AC897">
        <f>IF(OR(Q897=0,Q897=""),"",ABS((Q897-IF($C897="LT",Config!$F$12,Config!$F$24))/IF($C897="LT",Config!$G$12,Config!$G$24)))</f>
        <v/>
      </c>
      <c r="AD897">
        <f>IF(OR(R897=0,R897=""),"",ABS((R897-IF($C897="LT",Config!$F$13,Config!$F$25))/IF($C897="LT",Config!$G$13,Config!$G$25)))</f>
        <v/>
      </c>
    </row>
    <row r="898">
      <c r="A898" t="inlineStr">
        <is>
          <t>04D1126121338</t>
        </is>
      </c>
      <c r="B898" t="inlineStr">
        <is>
          <t>CRS0000675</t>
        </is>
      </c>
      <c r="C898" t="inlineStr">
        <is>
          <t>LT</t>
        </is>
      </c>
      <c r="D898" t="inlineStr">
        <is>
          <t>ALX440U-DS3B01</t>
        </is>
      </c>
      <c r="E898" s="2" t="n">
        <v>46135</v>
      </c>
      <c r="F898" t="inlineStr">
        <is>
          <t>Fail</t>
        </is>
      </c>
      <c r="G898" t="n">
        <v>130.7</v>
      </c>
      <c r="H898" t="n">
        <v>96.40000000000001</v>
      </c>
      <c r="I898" t="n">
        <v>-1957.8</v>
      </c>
      <c r="J898" t="n">
        <v>70.8</v>
      </c>
      <c r="K898" t="n">
        <v>0</v>
      </c>
      <c r="L898" t="n">
        <v>0.2</v>
      </c>
      <c r="M898" t="n">
        <v>0</v>
      </c>
      <c r="N898" t="n">
        <v>70.59999999999999</v>
      </c>
      <c r="O898" t="n">
        <v>111.64</v>
      </c>
      <c r="P898" t="n">
        <v>113.48</v>
      </c>
      <c r="Q898" t="n">
        <v>8.109999999999999</v>
      </c>
      <c r="R898" t="n">
        <v>7.28</v>
      </c>
      <c r="S898">
        <f>IF(OR(G898=0,G898=""),"",ABS((G898-IF($C898="LT",Config!$F$2,Config!$F$14))/IF($C898="LT",Config!$G$2,Config!$G$14)))</f>
        <v/>
      </c>
      <c r="T898">
        <f>IF(OR(H898=0,H898=""),"",ABS((H898-IF($C898="LT",Config!$F$3,Config!$F$15))/IF($C898="LT",Config!$G$3,Config!$G$15)))</f>
        <v/>
      </c>
      <c r="U898">
        <f>IF(OR(I898=0,I898=""),"",ABS((I898-IF($C898="LT",Config!$F$4,Config!$F$16))/IF($C898="LT",Config!$G$4,Config!$G$16)))</f>
        <v/>
      </c>
      <c r="V898">
        <f>IF(OR(J898=0,J898=""),"",ABS((J898-IF($C898="LT",Config!$F$5,Config!$F$17))/IF($C898="LT",Config!$G$5,Config!$G$17)))</f>
        <v/>
      </c>
      <c r="W898">
        <f>IF(OR(K898=0,K898=""),"",ABS((K898-IF($C898="LT",Config!$F$6,Config!$F$18))/IF($C898="LT",Config!$G$6,Config!$G$18)))</f>
        <v/>
      </c>
      <c r="X898">
        <f>IF(OR(L898=0,L898=""),"",ABS((L898-IF($C898="LT",Config!$F$7,Config!$F$19))/IF($C898="LT",Config!$G$7,Config!$G$19)))</f>
        <v/>
      </c>
      <c r="Y898">
        <f>IF(OR(M898=0,M898=""),"",ABS((M898-IF($C898="LT",Config!$F$8,Config!$F$20))/IF($C898="LT",Config!$G$8,Config!$G$20)))</f>
        <v/>
      </c>
      <c r="Z898">
        <f>IF(OR(N898=0,N898=""),"",ABS((N898-IF($C898="LT",Config!$F$9,Config!$F$21))/IF($C898="LT",Config!$G$9,Config!$G$21)))</f>
        <v/>
      </c>
      <c r="AA898">
        <f>IF(OR(O898=0,O898=""),"",ABS((O898-IF($C898="LT",Config!$F$10,Config!$F$22))/IF($C898="LT",Config!$G$10,Config!$G$22)))</f>
        <v/>
      </c>
      <c r="AB898">
        <f>IF(OR(P898=0,P898=""),"",ABS((P898-IF($C898="LT",Config!$F$11,Config!$F$23))/IF($C898="LT",Config!$G$11,Config!$G$23)))</f>
        <v/>
      </c>
      <c r="AC898">
        <f>IF(OR(Q898=0,Q898=""),"",ABS((Q898-IF($C898="LT",Config!$F$12,Config!$F$24))/IF($C898="LT",Config!$G$12,Config!$G$24)))</f>
        <v/>
      </c>
      <c r="AD898">
        <f>IF(OR(R898=0,R898=""),"",ABS((R898-IF($C898="LT",Config!$F$13,Config!$F$25))/IF($C898="LT",Config!$G$13,Config!$G$25)))</f>
        <v/>
      </c>
    </row>
    <row r="899">
      <c r="A899" t="inlineStr">
        <is>
          <t>04D1126121338</t>
        </is>
      </c>
      <c r="B899" t="inlineStr">
        <is>
          <t>CRS0000675</t>
        </is>
      </c>
      <c r="C899" t="inlineStr">
        <is>
          <t>LT</t>
        </is>
      </c>
      <c r="D899" t="inlineStr">
        <is>
          <t>ALX440U-DS3B01</t>
        </is>
      </c>
      <c r="E899" s="2" t="n">
        <v>46135</v>
      </c>
      <c r="F899" t="inlineStr">
        <is>
          <t>Fail</t>
        </is>
      </c>
      <c r="G899" t="n">
        <v>124</v>
      </c>
      <c r="H899" t="n">
        <v>92.8</v>
      </c>
      <c r="I899" t="n">
        <v>-1957.8</v>
      </c>
      <c r="J899" t="n">
        <v>71.3</v>
      </c>
      <c r="K899" t="n">
        <v>0</v>
      </c>
      <c r="L899" t="n">
        <v>0.1</v>
      </c>
      <c r="M899" t="n">
        <v>0</v>
      </c>
      <c r="N899" t="n">
        <v>71.40000000000001</v>
      </c>
      <c r="O899" t="n">
        <v>115.24</v>
      </c>
      <c r="P899" t="n">
        <v>115.24</v>
      </c>
      <c r="Q899" t="n">
        <v>6.98</v>
      </c>
      <c r="R899" t="n">
        <v>6.69</v>
      </c>
      <c r="S899">
        <f>IF(OR(G899=0,G899=""),"",ABS((G899-IF($C899="LT",Config!$F$2,Config!$F$14))/IF($C899="LT",Config!$G$2,Config!$G$14)))</f>
        <v/>
      </c>
      <c r="T899">
        <f>IF(OR(H899=0,H899=""),"",ABS((H899-IF($C899="LT",Config!$F$3,Config!$F$15))/IF($C899="LT",Config!$G$3,Config!$G$15)))</f>
        <v/>
      </c>
      <c r="U899">
        <f>IF(OR(I899=0,I899=""),"",ABS((I899-IF($C899="LT",Config!$F$4,Config!$F$16))/IF($C899="LT",Config!$G$4,Config!$G$16)))</f>
        <v/>
      </c>
      <c r="V899">
        <f>IF(OR(J899=0,J899=""),"",ABS((J899-IF($C899="LT",Config!$F$5,Config!$F$17))/IF($C899="LT",Config!$G$5,Config!$G$17)))</f>
        <v/>
      </c>
      <c r="W899">
        <f>IF(OR(K899=0,K899=""),"",ABS((K899-IF($C899="LT",Config!$F$6,Config!$F$18))/IF($C899="LT",Config!$G$6,Config!$G$18)))</f>
        <v/>
      </c>
      <c r="X899">
        <f>IF(OR(L899=0,L899=""),"",ABS((L899-IF($C899="LT",Config!$F$7,Config!$F$19))/IF($C899="LT",Config!$G$7,Config!$G$19)))</f>
        <v/>
      </c>
      <c r="Y899">
        <f>IF(OR(M899=0,M899=""),"",ABS((M899-IF($C899="LT",Config!$F$8,Config!$F$20))/IF($C899="LT",Config!$G$8,Config!$G$20)))</f>
        <v/>
      </c>
      <c r="Z899">
        <f>IF(OR(N899=0,N899=""),"",ABS((N899-IF($C899="LT",Config!$F$9,Config!$F$21))/IF($C899="LT",Config!$G$9,Config!$G$21)))</f>
        <v/>
      </c>
      <c r="AA899">
        <f>IF(OR(O899=0,O899=""),"",ABS((O899-IF($C899="LT",Config!$F$10,Config!$F$22))/IF($C899="LT",Config!$G$10,Config!$G$22)))</f>
        <v/>
      </c>
      <c r="AB899">
        <f>IF(OR(P899=0,P899=""),"",ABS((P899-IF($C899="LT",Config!$F$11,Config!$F$23))/IF($C899="LT",Config!$G$11,Config!$G$23)))</f>
        <v/>
      </c>
      <c r="AC899">
        <f>IF(OR(Q899=0,Q899=""),"",ABS((Q899-IF($C899="LT",Config!$F$12,Config!$F$24))/IF($C899="LT",Config!$G$12,Config!$G$24)))</f>
        <v/>
      </c>
      <c r="AD899">
        <f>IF(OR(R899=0,R899=""),"",ABS((R899-IF($C899="LT",Config!$F$13,Config!$F$25))/IF($C899="LT",Config!$G$13,Config!$G$25)))</f>
        <v/>
      </c>
    </row>
    <row r="900">
      <c r="A900" t="inlineStr">
        <is>
          <t>04D1126121338</t>
        </is>
      </c>
      <c r="B900" t="inlineStr">
        <is>
          <t>CRS0000675</t>
        </is>
      </c>
      <c r="C900" t="inlineStr">
        <is>
          <t>LT</t>
        </is>
      </c>
      <c r="D900" t="inlineStr">
        <is>
          <t>ALX440U-DS3B01</t>
        </is>
      </c>
      <c r="E900" s="2" t="n">
        <v>46135</v>
      </c>
      <c r="F900" t="inlineStr">
        <is>
          <t>Fail</t>
        </is>
      </c>
      <c r="G900" t="n">
        <v>145.9</v>
      </c>
      <c r="H900" t="n">
        <v>74.8</v>
      </c>
      <c r="I900" t="n">
        <v>-1957.8</v>
      </c>
      <c r="J900" t="n">
        <v>71.3</v>
      </c>
      <c r="K900" t="n">
        <v>0</v>
      </c>
      <c r="L900" t="n">
        <v>0.3</v>
      </c>
      <c r="M900" t="n">
        <v>0</v>
      </c>
      <c r="N900" t="n">
        <v>71</v>
      </c>
      <c r="O900" t="n">
        <v>112.3</v>
      </c>
      <c r="P900" t="n">
        <v>117.07</v>
      </c>
      <c r="Q900" t="n">
        <v>6.88</v>
      </c>
      <c r="R900" t="n">
        <v>6.47</v>
      </c>
      <c r="S900">
        <f>IF(OR(G900=0,G900=""),"",ABS((G900-IF($C900="LT",Config!$F$2,Config!$F$14))/IF($C900="LT",Config!$G$2,Config!$G$14)))</f>
        <v/>
      </c>
      <c r="T900">
        <f>IF(OR(H900=0,H900=""),"",ABS((H900-IF($C900="LT",Config!$F$3,Config!$F$15))/IF($C900="LT",Config!$G$3,Config!$G$15)))</f>
        <v/>
      </c>
      <c r="U900">
        <f>IF(OR(I900=0,I900=""),"",ABS((I900-IF($C900="LT",Config!$F$4,Config!$F$16))/IF($C900="LT",Config!$G$4,Config!$G$16)))</f>
        <v/>
      </c>
      <c r="V900">
        <f>IF(OR(J900=0,J900=""),"",ABS((J900-IF($C900="LT",Config!$F$5,Config!$F$17))/IF($C900="LT",Config!$G$5,Config!$G$17)))</f>
        <v/>
      </c>
      <c r="W900">
        <f>IF(OR(K900=0,K900=""),"",ABS((K900-IF($C900="LT",Config!$F$6,Config!$F$18))/IF($C900="LT",Config!$G$6,Config!$G$18)))</f>
        <v/>
      </c>
      <c r="X900">
        <f>IF(OR(L900=0,L900=""),"",ABS((L900-IF($C900="LT",Config!$F$7,Config!$F$19))/IF($C900="LT",Config!$G$7,Config!$G$19)))</f>
        <v/>
      </c>
      <c r="Y900">
        <f>IF(OR(M900=0,M900=""),"",ABS((M900-IF($C900="LT",Config!$F$8,Config!$F$20))/IF($C900="LT",Config!$G$8,Config!$G$20)))</f>
        <v/>
      </c>
      <c r="Z900">
        <f>IF(OR(N900=0,N900=""),"",ABS((N900-IF($C900="LT",Config!$F$9,Config!$F$21))/IF($C900="LT",Config!$G$9,Config!$G$21)))</f>
        <v/>
      </c>
      <c r="AA900">
        <f>IF(OR(O900=0,O900=""),"",ABS((O900-IF($C900="LT",Config!$F$10,Config!$F$22))/IF($C900="LT",Config!$G$10,Config!$G$22)))</f>
        <v/>
      </c>
      <c r="AB900">
        <f>IF(OR(P900=0,P900=""),"",ABS((P900-IF($C900="LT",Config!$F$11,Config!$F$23))/IF($C900="LT",Config!$G$11,Config!$G$23)))</f>
        <v/>
      </c>
      <c r="AC900">
        <f>IF(OR(Q900=0,Q900=""),"",ABS((Q900-IF($C900="LT",Config!$F$12,Config!$F$24))/IF($C900="LT",Config!$G$12,Config!$G$24)))</f>
        <v/>
      </c>
      <c r="AD900">
        <f>IF(OR(R900=0,R900=""),"",ABS((R900-IF($C900="LT",Config!$F$13,Config!$F$25))/IF($C900="LT",Config!$G$13,Config!$G$25)))</f>
        <v/>
      </c>
    </row>
    <row r="901">
      <c r="A901" t="inlineStr">
        <is>
          <t>04D1126121338</t>
        </is>
      </c>
      <c r="B901" t="inlineStr">
        <is>
          <t>CRS0000675</t>
        </is>
      </c>
      <c r="C901" t="inlineStr">
        <is>
          <t>LT</t>
        </is>
      </c>
      <c r="D901" t="inlineStr">
        <is>
          <t>ALX440U-DS3B01</t>
        </is>
      </c>
      <c r="E901" s="2" t="n">
        <v>46135</v>
      </c>
      <c r="F901" t="inlineStr">
        <is>
          <t>Pass</t>
        </is>
      </c>
      <c r="G901" t="n">
        <v>148.1</v>
      </c>
      <c r="H901" t="n">
        <v>84.7</v>
      </c>
      <c r="I901" t="n">
        <v>-1957.8</v>
      </c>
      <c r="J901" t="n">
        <v>71.3</v>
      </c>
      <c r="K901" t="n">
        <v>0</v>
      </c>
      <c r="L901" t="n">
        <v>0.2</v>
      </c>
      <c r="M901" t="n">
        <v>0</v>
      </c>
      <c r="N901" t="n">
        <v>71.09999999999999</v>
      </c>
      <c r="O901" t="n">
        <v>112.16</v>
      </c>
      <c r="P901" t="n">
        <v>113.7</v>
      </c>
      <c r="Q901" t="n">
        <v>6.93</v>
      </c>
      <c r="R901" t="n">
        <v>6.64</v>
      </c>
      <c r="S901">
        <f>IF(OR(G901=0,G901=""),"",ABS((G901-IF($C901="LT",Config!$F$2,Config!$F$14))/IF($C901="LT",Config!$G$2,Config!$G$14)))</f>
        <v/>
      </c>
      <c r="T901">
        <f>IF(OR(H901=0,H901=""),"",ABS((H901-IF($C901="LT",Config!$F$3,Config!$F$15))/IF($C901="LT",Config!$G$3,Config!$G$15)))</f>
        <v/>
      </c>
      <c r="U901">
        <f>IF(OR(I901=0,I901=""),"",ABS((I901-IF($C901="LT",Config!$F$4,Config!$F$16))/IF($C901="LT",Config!$G$4,Config!$G$16)))</f>
        <v/>
      </c>
      <c r="V901">
        <f>IF(OR(J901=0,J901=""),"",ABS((J901-IF($C901="LT",Config!$F$5,Config!$F$17))/IF($C901="LT",Config!$G$5,Config!$G$17)))</f>
        <v/>
      </c>
      <c r="W901">
        <f>IF(OR(K901=0,K901=""),"",ABS((K901-IF($C901="LT",Config!$F$6,Config!$F$18))/IF($C901="LT",Config!$G$6,Config!$G$18)))</f>
        <v/>
      </c>
      <c r="X901">
        <f>IF(OR(L901=0,L901=""),"",ABS((L901-IF($C901="LT",Config!$F$7,Config!$F$19))/IF($C901="LT",Config!$G$7,Config!$G$19)))</f>
        <v/>
      </c>
      <c r="Y901">
        <f>IF(OR(M901=0,M901=""),"",ABS((M901-IF($C901="LT",Config!$F$8,Config!$F$20))/IF($C901="LT",Config!$G$8,Config!$G$20)))</f>
        <v/>
      </c>
      <c r="Z901">
        <f>IF(OR(N901=0,N901=""),"",ABS((N901-IF($C901="LT",Config!$F$9,Config!$F$21))/IF($C901="LT",Config!$G$9,Config!$G$21)))</f>
        <v/>
      </c>
      <c r="AA901">
        <f>IF(OR(O901=0,O901=""),"",ABS((O901-IF($C901="LT",Config!$F$10,Config!$F$22))/IF($C901="LT",Config!$G$10,Config!$G$22)))</f>
        <v/>
      </c>
      <c r="AB901">
        <f>IF(OR(P901=0,P901=""),"",ABS((P901-IF($C901="LT",Config!$F$11,Config!$F$23))/IF($C901="LT",Config!$G$11,Config!$G$23)))</f>
        <v/>
      </c>
      <c r="AC901">
        <f>IF(OR(Q901=0,Q901=""),"",ABS((Q901-IF($C901="LT",Config!$F$12,Config!$F$24))/IF($C901="LT",Config!$G$12,Config!$G$24)))</f>
        <v/>
      </c>
      <c r="AD901">
        <f>IF(OR(R901=0,R901=""),"",ABS((R901-IF($C901="LT",Config!$F$13,Config!$F$25))/IF($C901="LT",Config!$G$13,Config!$G$25)))</f>
        <v/>
      </c>
    </row>
    <row r="902">
      <c r="A902" t="inlineStr">
        <is>
          <t>04D0626121254</t>
        </is>
      </c>
      <c r="B902" t="inlineStr">
        <is>
          <t>CRS0000674</t>
        </is>
      </c>
      <c r="C902" t="inlineStr">
        <is>
          <t>MT</t>
        </is>
      </c>
      <c r="D902" t="inlineStr">
        <is>
          <t>TCX413U-DS1B01</t>
        </is>
      </c>
      <c r="E902" s="2" t="n">
        <v>46135</v>
      </c>
      <c r="F902" t="inlineStr">
        <is>
          <t>Pass</t>
        </is>
      </c>
      <c r="G902" t="n">
        <v>119.1</v>
      </c>
      <c r="H902" t="n">
        <v>83.40000000000001</v>
      </c>
      <c r="I902" t="n">
        <v>-1957.8</v>
      </c>
      <c r="J902" t="n">
        <v>71.7</v>
      </c>
      <c r="K902" t="n">
        <v>0</v>
      </c>
      <c r="L902" t="n">
        <v>0.1</v>
      </c>
      <c r="M902" t="n">
        <v>0</v>
      </c>
      <c r="N902" t="n">
        <v>71.59999999999999</v>
      </c>
      <c r="O902" t="n">
        <v>115.53</v>
      </c>
      <c r="P902" t="n">
        <v>113.92</v>
      </c>
      <c r="Q902" t="n">
        <v>3.86</v>
      </c>
      <c r="R902" t="n">
        <v>3.91</v>
      </c>
      <c r="S902">
        <f>IF(OR(G902=0,G902=""),"",ABS((G902-IF($C902="LT",Config!$F$2,Config!$F$14))/IF($C902="LT",Config!$G$2,Config!$G$14)))</f>
        <v/>
      </c>
      <c r="T902">
        <f>IF(OR(H902=0,H902=""),"",ABS((H902-IF($C902="LT",Config!$F$3,Config!$F$15))/IF($C902="LT",Config!$G$3,Config!$G$15)))</f>
        <v/>
      </c>
      <c r="U902">
        <f>IF(OR(I902=0,I902=""),"",ABS((I902-IF($C902="LT",Config!$F$4,Config!$F$16))/IF($C902="LT",Config!$G$4,Config!$G$16)))</f>
        <v/>
      </c>
      <c r="V902">
        <f>IF(OR(J902=0,J902=""),"",ABS((J902-IF($C902="LT",Config!$F$5,Config!$F$17))/IF($C902="LT",Config!$G$5,Config!$G$17)))</f>
        <v/>
      </c>
      <c r="W902">
        <f>IF(OR(K902=0,K902=""),"",ABS((K902-IF($C902="LT",Config!$F$6,Config!$F$18))/IF($C902="LT",Config!$G$6,Config!$G$18)))</f>
        <v/>
      </c>
      <c r="X902">
        <f>IF(OR(L902=0,L902=""),"",ABS((L902-IF($C902="LT",Config!$F$7,Config!$F$19))/IF($C902="LT",Config!$G$7,Config!$G$19)))</f>
        <v/>
      </c>
      <c r="Y902">
        <f>IF(OR(M902=0,M902=""),"",ABS((M902-IF($C902="LT",Config!$F$8,Config!$F$20))/IF($C902="LT",Config!$G$8,Config!$G$20)))</f>
        <v/>
      </c>
      <c r="Z902">
        <f>IF(OR(N902=0,N902=""),"",ABS((N902-IF($C902="LT",Config!$F$9,Config!$F$21))/IF($C902="LT",Config!$G$9,Config!$G$21)))</f>
        <v/>
      </c>
      <c r="AA902">
        <f>IF(OR(O902=0,O902=""),"",ABS((O902-IF($C902="LT",Config!$F$10,Config!$F$22))/IF($C902="LT",Config!$G$10,Config!$G$22)))</f>
        <v/>
      </c>
      <c r="AB902">
        <f>IF(OR(P902=0,P902=""),"",ABS((P902-IF($C902="LT",Config!$F$11,Config!$F$23))/IF($C902="LT",Config!$G$11,Config!$G$23)))</f>
        <v/>
      </c>
      <c r="AC902">
        <f>IF(OR(Q902=0,Q902=""),"",ABS((Q902-IF($C902="LT",Config!$F$12,Config!$F$24))/IF($C902="LT",Config!$G$12,Config!$G$24)))</f>
        <v/>
      </c>
      <c r="AD902">
        <f>IF(OR(R902=0,R902=""),"",ABS((R902-IF($C902="LT",Config!$F$13,Config!$F$25))/IF($C902="LT",Config!$G$13,Config!$G$25)))</f>
        <v/>
      </c>
    </row>
    <row r="903">
      <c r="A903" t="inlineStr">
        <is>
          <t>04D1326121353</t>
        </is>
      </c>
      <c r="B903" t="inlineStr">
        <is>
          <t>CRS0000674</t>
        </is>
      </c>
      <c r="C903" t="inlineStr">
        <is>
          <t>MT</t>
        </is>
      </c>
      <c r="D903" t="inlineStr">
        <is>
          <t>TCX413U-DS1B01</t>
        </is>
      </c>
      <c r="E903" s="2" t="n">
        <v>46135</v>
      </c>
      <c r="F903" t="inlineStr">
        <is>
          <t>Pass</t>
        </is>
      </c>
      <c r="G903" t="n">
        <v>119.1</v>
      </c>
      <c r="H903" t="n">
        <v>83.40000000000001</v>
      </c>
      <c r="I903" t="n">
        <v>-1957.8</v>
      </c>
      <c r="J903" t="n">
        <v>71.7</v>
      </c>
      <c r="K903" t="n">
        <v>0</v>
      </c>
      <c r="L903" t="n">
        <v>0.1</v>
      </c>
      <c r="M903" t="n">
        <v>0</v>
      </c>
      <c r="N903" t="n">
        <v>71.59999999999999</v>
      </c>
      <c r="O903" t="n">
        <v>112.23</v>
      </c>
      <c r="P903" t="n">
        <v>117.07</v>
      </c>
      <c r="Q903" t="n">
        <v>3.98</v>
      </c>
      <c r="R903" t="n">
        <v>3.86</v>
      </c>
      <c r="S903">
        <f>IF(OR(G903=0,G903=""),"",ABS((G903-IF($C903="LT",Config!$F$2,Config!$F$14))/IF($C903="LT",Config!$G$2,Config!$G$14)))</f>
        <v/>
      </c>
      <c r="T903">
        <f>IF(OR(H903=0,H903=""),"",ABS((H903-IF($C903="LT",Config!$F$3,Config!$F$15))/IF($C903="LT",Config!$G$3,Config!$G$15)))</f>
        <v/>
      </c>
      <c r="U903">
        <f>IF(OR(I903=0,I903=""),"",ABS((I903-IF($C903="LT",Config!$F$4,Config!$F$16))/IF($C903="LT",Config!$G$4,Config!$G$16)))</f>
        <v/>
      </c>
      <c r="V903">
        <f>IF(OR(J903=0,J903=""),"",ABS((J903-IF($C903="LT",Config!$F$5,Config!$F$17))/IF($C903="LT",Config!$G$5,Config!$G$17)))</f>
        <v/>
      </c>
      <c r="W903">
        <f>IF(OR(K903=0,K903=""),"",ABS((K903-IF($C903="LT",Config!$F$6,Config!$F$18))/IF($C903="LT",Config!$G$6,Config!$G$18)))</f>
        <v/>
      </c>
      <c r="X903">
        <f>IF(OR(L903=0,L903=""),"",ABS((L903-IF($C903="LT",Config!$F$7,Config!$F$19))/IF($C903="LT",Config!$G$7,Config!$G$19)))</f>
        <v/>
      </c>
      <c r="Y903">
        <f>IF(OR(M903=0,M903=""),"",ABS((M903-IF($C903="LT",Config!$F$8,Config!$F$20))/IF($C903="LT",Config!$G$8,Config!$G$20)))</f>
        <v/>
      </c>
      <c r="Z903">
        <f>IF(OR(N903=0,N903=""),"",ABS((N903-IF($C903="LT",Config!$F$9,Config!$F$21))/IF($C903="LT",Config!$G$9,Config!$G$21)))</f>
        <v/>
      </c>
      <c r="AA903">
        <f>IF(OR(O903=0,O903=""),"",ABS((O903-IF($C903="LT",Config!$F$10,Config!$F$22))/IF($C903="LT",Config!$G$10,Config!$G$22)))</f>
        <v/>
      </c>
      <c r="AB903">
        <f>IF(OR(P903=0,P903=""),"",ABS((P903-IF($C903="LT",Config!$F$11,Config!$F$23))/IF($C903="LT",Config!$G$11,Config!$G$23)))</f>
        <v/>
      </c>
      <c r="AC903">
        <f>IF(OR(Q903=0,Q903=""),"",ABS((Q903-IF($C903="LT",Config!$F$12,Config!$F$24))/IF($C903="LT",Config!$G$12,Config!$G$24)))</f>
        <v/>
      </c>
      <c r="AD903">
        <f>IF(OR(R903=0,R903=""),"",ABS((R903-IF($C903="LT",Config!$F$13,Config!$F$25))/IF($C903="LT",Config!$G$13,Config!$G$25)))</f>
        <v/>
      </c>
    </row>
    <row r="904">
      <c r="A904" t="inlineStr">
        <is>
          <t>04D1126121337</t>
        </is>
      </c>
      <c r="B904" t="inlineStr">
        <is>
          <t>CRS0000674</t>
        </is>
      </c>
      <c r="C904" t="inlineStr">
        <is>
          <t>MT</t>
        </is>
      </c>
      <c r="D904" t="inlineStr">
        <is>
          <t>TCX413U-DS1B01</t>
        </is>
      </c>
      <c r="E904" s="2" t="n">
        <v>46135</v>
      </c>
      <c r="F904" t="inlineStr">
        <is>
          <t>Pass</t>
        </is>
      </c>
      <c r="G904" t="n">
        <v>115.5</v>
      </c>
      <c r="H904" t="n">
        <v>82</v>
      </c>
      <c r="I904" t="n">
        <v>-1957.8</v>
      </c>
      <c r="J904" t="n">
        <v>71.7</v>
      </c>
      <c r="K904" t="n">
        <v>0</v>
      </c>
      <c r="L904" t="n">
        <v>1.7</v>
      </c>
      <c r="M904" t="n">
        <v>0</v>
      </c>
      <c r="N904" t="n">
        <v>70</v>
      </c>
      <c r="O904" t="n">
        <v>115.31</v>
      </c>
      <c r="P904" t="n">
        <v>115.16</v>
      </c>
      <c r="Q904" t="n">
        <v>4.13</v>
      </c>
      <c r="R904" t="n">
        <v>4.08</v>
      </c>
      <c r="S904">
        <f>IF(OR(G904=0,G904=""),"",ABS((G904-IF($C904="LT",Config!$F$2,Config!$F$14))/IF($C904="LT",Config!$G$2,Config!$G$14)))</f>
        <v/>
      </c>
      <c r="T904">
        <f>IF(OR(H904=0,H904=""),"",ABS((H904-IF($C904="LT",Config!$F$3,Config!$F$15))/IF($C904="LT",Config!$G$3,Config!$G$15)))</f>
        <v/>
      </c>
      <c r="U904">
        <f>IF(OR(I904=0,I904=""),"",ABS((I904-IF($C904="LT",Config!$F$4,Config!$F$16))/IF($C904="LT",Config!$G$4,Config!$G$16)))</f>
        <v/>
      </c>
      <c r="V904">
        <f>IF(OR(J904=0,J904=""),"",ABS((J904-IF($C904="LT",Config!$F$5,Config!$F$17))/IF($C904="LT",Config!$G$5,Config!$G$17)))</f>
        <v/>
      </c>
      <c r="W904">
        <f>IF(OR(K904=0,K904=""),"",ABS((K904-IF($C904="LT",Config!$F$6,Config!$F$18))/IF($C904="LT",Config!$G$6,Config!$G$18)))</f>
        <v/>
      </c>
      <c r="X904">
        <f>IF(OR(L904=0,L904=""),"",ABS((L904-IF($C904="LT",Config!$F$7,Config!$F$19))/IF($C904="LT",Config!$G$7,Config!$G$19)))</f>
        <v/>
      </c>
      <c r="Y904">
        <f>IF(OR(M904=0,M904=""),"",ABS((M904-IF($C904="LT",Config!$F$8,Config!$F$20))/IF($C904="LT",Config!$G$8,Config!$G$20)))</f>
        <v/>
      </c>
      <c r="Z904">
        <f>IF(OR(N904=0,N904=""),"",ABS((N904-IF($C904="LT",Config!$F$9,Config!$F$21))/IF($C904="LT",Config!$G$9,Config!$G$21)))</f>
        <v/>
      </c>
      <c r="AA904">
        <f>IF(OR(O904=0,O904=""),"",ABS((O904-IF($C904="LT",Config!$F$10,Config!$F$22))/IF($C904="LT",Config!$G$10,Config!$G$22)))</f>
        <v/>
      </c>
      <c r="AB904">
        <f>IF(OR(P904=0,P904=""),"",ABS((P904-IF($C904="LT",Config!$F$11,Config!$F$23))/IF($C904="LT",Config!$G$11,Config!$G$23)))</f>
        <v/>
      </c>
      <c r="AC904">
        <f>IF(OR(Q904=0,Q904=""),"",ABS((Q904-IF($C904="LT",Config!$F$12,Config!$F$24))/IF($C904="LT",Config!$G$12,Config!$G$24)))</f>
        <v/>
      </c>
      <c r="AD904">
        <f>IF(OR(R904=0,R904=""),"",ABS((R904-IF($C904="LT",Config!$F$13,Config!$F$25))/IF($C904="LT",Config!$G$13,Config!$G$25)))</f>
        <v/>
      </c>
    </row>
    <row r="905">
      <c r="A905" t="inlineStr">
        <is>
          <t>04D1126121333</t>
        </is>
      </c>
      <c r="B905" t="inlineStr">
        <is>
          <t>CRS0000674</t>
        </is>
      </c>
      <c r="C905" t="inlineStr">
        <is>
          <t>MT</t>
        </is>
      </c>
      <c r="D905" t="inlineStr">
        <is>
          <t>TCX413U-DS1B01</t>
        </is>
      </c>
      <c r="E905" s="2" t="n">
        <v>46135</v>
      </c>
      <c r="F905" t="inlineStr">
        <is>
          <t>Pass</t>
        </is>
      </c>
      <c r="G905" t="n">
        <v>117.3</v>
      </c>
      <c r="H905" t="n">
        <v>80.2</v>
      </c>
      <c r="I905" t="n">
        <v>-1957.8</v>
      </c>
      <c r="J905" t="n">
        <v>71.7</v>
      </c>
      <c r="K905" t="n">
        <v>0</v>
      </c>
      <c r="L905" t="n">
        <v>0.8</v>
      </c>
      <c r="M905" t="n">
        <v>0</v>
      </c>
      <c r="N905" t="n">
        <v>70.90000000000001</v>
      </c>
      <c r="O905" t="n">
        <v>115.53</v>
      </c>
      <c r="P905" t="n">
        <v>113.55</v>
      </c>
      <c r="Q905" t="n">
        <v>3.64</v>
      </c>
      <c r="R905" t="n">
        <v>3.64</v>
      </c>
      <c r="S905">
        <f>IF(OR(G905=0,G905=""),"",ABS((G905-IF($C905="LT",Config!$F$2,Config!$F$14))/IF($C905="LT",Config!$G$2,Config!$G$14)))</f>
        <v/>
      </c>
      <c r="T905">
        <f>IF(OR(H905=0,H905=""),"",ABS((H905-IF($C905="LT",Config!$F$3,Config!$F$15))/IF($C905="LT",Config!$G$3,Config!$G$15)))</f>
        <v/>
      </c>
      <c r="U905">
        <f>IF(OR(I905=0,I905=""),"",ABS((I905-IF($C905="LT",Config!$F$4,Config!$F$16))/IF($C905="LT",Config!$G$4,Config!$G$16)))</f>
        <v/>
      </c>
      <c r="V905">
        <f>IF(OR(J905=0,J905=""),"",ABS((J905-IF($C905="LT",Config!$F$5,Config!$F$17))/IF($C905="LT",Config!$G$5,Config!$G$17)))</f>
        <v/>
      </c>
      <c r="W905">
        <f>IF(OR(K905=0,K905=""),"",ABS((K905-IF($C905="LT",Config!$F$6,Config!$F$18))/IF($C905="LT",Config!$G$6,Config!$G$18)))</f>
        <v/>
      </c>
      <c r="X905">
        <f>IF(OR(L905=0,L905=""),"",ABS((L905-IF($C905="LT",Config!$F$7,Config!$F$19))/IF($C905="LT",Config!$G$7,Config!$G$19)))</f>
        <v/>
      </c>
      <c r="Y905">
        <f>IF(OR(M905=0,M905=""),"",ABS((M905-IF($C905="LT",Config!$F$8,Config!$F$20))/IF($C905="LT",Config!$G$8,Config!$G$20)))</f>
        <v/>
      </c>
      <c r="Z905">
        <f>IF(OR(N905=0,N905=""),"",ABS((N905-IF($C905="LT",Config!$F$9,Config!$F$21))/IF($C905="LT",Config!$G$9,Config!$G$21)))</f>
        <v/>
      </c>
      <c r="AA905">
        <f>IF(OR(O905=0,O905=""),"",ABS((O905-IF($C905="LT",Config!$F$10,Config!$F$22))/IF($C905="LT",Config!$G$10,Config!$G$22)))</f>
        <v/>
      </c>
      <c r="AB905">
        <f>IF(OR(P905=0,P905=""),"",ABS((P905-IF($C905="LT",Config!$F$11,Config!$F$23))/IF($C905="LT",Config!$G$11,Config!$G$23)))</f>
        <v/>
      </c>
      <c r="AC905">
        <f>IF(OR(Q905=0,Q905=""),"",ABS((Q905-IF($C905="LT",Config!$F$12,Config!$F$24))/IF($C905="LT",Config!$G$12,Config!$G$24)))</f>
        <v/>
      </c>
      <c r="AD905">
        <f>IF(OR(R905=0,R905=""),"",ABS((R905-IF($C905="LT",Config!$F$13,Config!$F$25))/IF($C905="LT",Config!$G$13,Config!$G$25)))</f>
        <v/>
      </c>
    </row>
    <row r="906">
      <c r="A906" t="inlineStr">
        <is>
          <t>04D1326121352</t>
        </is>
      </c>
      <c r="B906" t="inlineStr">
        <is>
          <t>CRS0000674</t>
        </is>
      </c>
      <c r="C906" t="inlineStr">
        <is>
          <t>MT</t>
        </is>
      </c>
      <c r="D906" t="inlineStr">
        <is>
          <t>TCX413U-DS1B01</t>
        </is>
      </c>
      <c r="E906" s="2" t="n">
        <v>46135</v>
      </c>
      <c r="F906" t="inlineStr">
        <is>
          <t>Pass</t>
        </is>
      </c>
      <c r="G906" t="n">
        <v>117.3</v>
      </c>
      <c r="H906" t="n">
        <v>83.8</v>
      </c>
      <c r="I906" t="n">
        <v>-1957.8</v>
      </c>
      <c r="J906" t="n">
        <v>72.2</v>
      </c>
      <c r="K906" t="n">
        <v>0</v>
      </c>
      <c r="L906" t="n">
        <v>1.1</v>
      </c>
      <c r="M906" t="n">
        <v>0</v>
      </c>
      <c r="N906" t="n">
        <v>71.09999999999999</v>
      </c>
      <c r="O906" t="n">
        <v>112.52</v>
      </c>
      <c r="P906" t="n">
        <v>116.92</v>
      </c>
      <c r="Q906" t="n">
        <v>3.78</v>
      </c>
      <c r="R906" t="n">
        <v>3.69</v>
      </c>
      <c r="S906">
        <f>IF(OR(G906=0,G906=""),"",ABS((G906-IF($C906="LT",Config!$F$2,Config!$F$14))/IF($C906="LT",Config!$G$2,Config!$G$14)))</f>
        <v/>
      </c>
      <c r="T906">
        <f>IF(OR(H906=0,H906=""),"",ABS((H906-IF($C906="LT",Config!$F$3,Config!$F$15))/IF($C906="LT",Config!$G$3,Config!$G$15)))</f>
        <v/>
      </c>
      <c r="U906">
        <f>IF(OR(I906=0,I906=""),"",ABS((I906-IF($C906="LT",Config!$F$4,Config!$F$16))/IF($C906="LT",Config!$G$4,Config!$G$16)))</f>
        <v/>
      </c>
      <c r="V906">
        <f>IF(OR(J906=0,J906=""),"",ABS((J906-IF($C906="LT",Config!$F$5,Config!$F$17))/IF($C906="LT",Config!$G$5,Config!$G$17)))</f>
        <v/>
      </c>
      <c r="W906">
        <f>IF(OR(K906=0,K906=""),"",ABS((K906-IF($C906="LT",Config!$F$6,Config!$F$18))/IF($C906="LT",Config!$G$6,Config!$G$18)))</f>
        <v/>
      </c>
      <c r="X906">
        <f>IF(OR(L906=0,L906=""),"",ABS((L906-IF($C906="LT",Config!$F$7,Config!$F$19))/IF($C906="LT",Config!$G$7,Config!$G$19)))</f>
        <v/>
      </c>
      <c r="Y906">
        <f>IF(OR(M906=0,M906=""),"",ABS((M906-IF($C906="LT",Config!$F$8,Config!$F$20))/IF($C906="LT",Config!$G$8,Config!$G$20)))</f>
        <v/>
      </c>
      <c r="Z906">
        <f>IF(OR(N906=0,N906=""),"",ABS((N906-IF($C906="LT",Config!$F$9,Config!$F$21))/IF($C906="LT",Config!$G$9,Config!$G$21)))</f>
        <v/>
      </c>
      <c r="AA906">
        <f>IF(OR(O906=0,O906=""),"",ABS((O906-IF($C906="LT",Config!$F$10,Config!$F$22))/IF($C906="LT",Config!$G$10,Config!$G$22)))</f>
        <v/>
      </c>
      <c r="AB906">
        <f>IF(OR(P906=0,P906=""),"",ABS((P906-IF($C906="LT",Config!$F$11,Config!$F$23))/IF($C906="LT",Config!$G$11,Config!$G$23)))</f>
        <v/>
      </c>
      <c r="AC906">
        <f>IF(OR(Q906=0,Q906=""),"",ABS((Q906-IF($C906="LT",Config!$F$12,Config!$F$24))/IF($C906="LT",Config!$G$12,Config!$G$24)))</f>
        <v/>
      </c>
      <c r="AD906">
        <f>IF(OR(R906=0,R906=""),"",ABS((R906-IF($C906="LT",Config!$F$13,Config!$F$25))/IF($C906="LT",Config!$G$13,Config!$G$25)))</f>
        <v/>
      </c>
    </row>
    <row r="907">
      <c r="A907" t="inlineStr">
        <is>
          <t>04D1326121361</t>
        </is>
      </c>
      <c r="B907" t="inlineStr">
        <is>
          <t>CRS0000674</t>
        </is>
      </c>
      <c r="C907" t="inlineStr">
        <is>
          <t>MT</t>
        </is>
      </c>
      <c r="D907" t="inlineStr">
        <is>
          <t>TCX413U-DS1B01</t>
        </is>
      </c>
      <c r="E907" s="2" t="n">
        <v>46135</v>
      </c>
      <c r="F907" t="inlineStr">
        <is>
          <t>Pass</t>
        </is>
      </c>
      <c r="G907" t="n">
        <v>114.6</v>
      </c>
      <c r="H907" t="n">
        <v>82.90000000000001</v>
      </c>
      <c r="I907" t="n">
        <v>-1957.8</v>
      </c>
      <c r="J907" t="n">
        <v>71.7</v>
      </c>
      <c r="K907" t="n">
        <v>0</v>
      </c>
      <c r="L907" t="n">
        <v>1.6</v>
      </c>
      <c r="M907" t="n">
        <v>0</v>
      </c>
      <c r="N907" t="n">
        <v>70.09999999999999</v>
      </c>
      <c r="O907" t="n">
        <v>112.38</v>
      </c>
      <c r="P907" t="n">
        <v>117.07</v>
      </c>
      <c r="Q907" t="n">
        <v>3.76</v>
      </c>
      <c r="R907" t="n">
        <v>3.69</v>
      </c>
      <c r="S907">
        <f>IF(OR(G907=0,G907=""),"",ABS((G907-IF($C907="LT",Config!$F$2,Config!$F$14))/IF($C907="LT",Config!$G$2,Config!$G$14)))</f>
        <v/>
      </c>
      <c r="T907">
        <f>IF(OR(H907=0,H907=""),"",ABS((H907-IF($C907="LT",Config!$F$3,Config!$F$15))/IF($C907="LT",Config!$G$3,Config!$G$15)))</f>
        <v/>
      </c>
      <c r="U907">
        <f>IF(OR(I907=0,I907=""),"",ABS((I907-IF($C907="LT",Config!$F$4,Config!$F$16))/IF($C907="LT",Config!$G$4,Config!$G$16)))</f>
        <v/>
      </c>
      <c r="V907">
        <f>IF(OR(J907=0,J907=""),"",ABS((J907-IF($C907="LT",Config!$F$5,Config!$F$17))/IF($C907="LT",Config!$G$5,Config!$G$17)))</f>
        <v/>
      </c>
      <c r="W907">
        <f>IF(OR(K907=0,K907=""),"",ABS((K907-IF($C907="LT",Config!$F$6,Config!$F$18))/IF($C907="LT",Config!$G$6,Config!$G$18)))</f>
        <v/>
      </c>
      <c r="X907">
        <f>IF(OR(L907=0,L907=""),"",ABS((L907-IF($C907="LT",Config!$F$7,Config!$F$19))/IF($C907="LT",Config!$G$7,Config!$G$19)))</f>
        <v/>
      </c>
      <c r="Y907">
        <f>IF(OR(M907=0,M907=""),"",ABS((M907-IF($C907="LT",Config!$F$8,Config!$F$20))/IF($C907="LT",Config!$G$8,Config!$G$20)))</f>
        <v/>
      </c>
      <c r="Z907">
        <f>IF(OR(N907=0,N907=""),"",ABS((N907-IF($C907="LT",Config!$F$9,Config!$F$21))/IF($C907="LT",Config!$G$9,Config!$G$21)))</f>
        <v/>
      </c>
      <c r="AA907">
        <f>IF(OR(O907=0,O907=""),"",ABS((O907-IF($C907="LT",Config!$F$10,Config!$F$22))/IF($C907="LT",Config!$G$10,Config!$G$22)))</f>
        <v/>
      </c>
      <c r="AB907">
        <f>IF(OR(P907=0,P907=""),"",ABS((P907-IF($C907="LT",Config!$F$11,Config!$F$23))/IF($C907="LT",Config!$G$11,Config!$G$23)))</f>
        <v/>
      </c>
      <c r="AC907">
        <f>IF(OR(Q907=0,Q907=""),"",ABS((Q907-IF($C907="LT",Config!$F$12,Config!$F$24))/IF($C907="LT",Config!$G$12,Config!$G$24)))</f>
        <v/>
      </c>
      <c r="AD907">
        <f>IF(OR(R907=0,R907=""),"",ABS((R907-IF($C907="LT",Config!$F$13,Config!$F$25))/IF($C907="LT",Config!$G$13,Config!$G$25)))</f>
        <v/>
      </c>
    </row>
    <row r="908">
      <c r="A908" t="inlineStr">
        <is>
          <t>04D1426121368</t>
        </is>
      </c>
      <c r="B908" t="inlineStr">
        <is>
          <t>CRS0000674</t>
        </is>
      </c>
      <c r="C908" t="inlineStr">
        <is>
          <t>MT</t>
        </is>
      </c>
      <c r="D908" t="inlineStr">
        <is>
          <t>TCX413U-DS1B01</t>
        </is>
      </c>
      <c r="E908" s="2" t="n">
        <v>46135</v>
      </c>
      <c r="F908" t="inlineStr">
        <is>
          <t>Pass</t>
        </is>
      </c>
      <c r="G908" t="n">
        <v>119.1</v>
      </c>
      <c r="H908" t="n">
        <v>80.7</v>
      </c>
      <c r="I908" t="n">
        <v>-1957.8</v>
      </c>
      <c r="J908" t="n">
        <v>72.2</v>
      </c>
      <c r="K908" t="n">
        <v>0</v>
      </c>
      <c r="L908" t="n">
        <v>1.7</v>
      </c>
      <c r="M908" t="n">
        <v>0</v>
      </c>
      <c r="N908" t="n">
        <v>70.5</v>
      </c>
      <c r="O908" t="n">
        <v>112.45</v>
      </c>
      <c r="P908" t="n">
        <v>117.29</v>
      </c>
      <c r="Q908" t="n">
        <v>3.59</v>
      </c>
      <c r="R908" t="n">
        <v>3.59</v>
      </c>
      <c r="S908">
        <f>IF(OR(G908=0,G908=""),"",ABS((G908-IF($C908="LT",Config!$F$2,Config!$F$14))/IF($C908="LT",Config!$G$2,Config!$G$14)))</f>
        <v/>
      </c>
      <c r="T908">
        <f>IF(OR(H908=0,H908=""),"",ABS((H908-IF($C908="LT",Config!$F$3,Config!$F$15))/IF($C908="LT",Config!$G$3,Config!$G$15)))</f>
        <v/>
      </c>
      <c r="U908">
        <f>IF(OR(I908=0,I908=""),"",ABS((I908-IF($C908="LT",Config!$F$4,Config!$F$16))/IF($C908="LT",Config!$G$4,Config!$G$16)))</f>
        <v/>
      </c>
      <c r="V908">
        <f>IF(OR(J908=0,J908=""),"",ABS((J908-IF($C908="LT",Config!$F$5,Config!$F$17))/IF($C908="LT",Config!$G$5,Config!$G$17)))</f>
        <v/>
      </c>
      <c r="W908">
        <f>IF(OR(K908=0,K908=""),"",ABS((K908-IF($C908="LT",Config!$F$6,Config!$F$18))/IF($C908="LT",Config!$G$6,Config!$G$18)))</f>
        <v/>
      </c>
      <c r="X908">
        <f>IF(OR(L908=0,L908=""),"",ABS((L908-IF($C908="LT",Config!$F$7,Config!$F$19))/IF($C908="LT",Config!$G$7,Config!$G$19)))</f>
        <v/>
      </c>
      <c r="Y908">
        <f>IF(OR(M908=0,M908=""),"",ABS((M908-IF($C908="LT",Config!$F$8,Config!$F$20))/IF($C908="LT",Config!$G$8,Config!$G$20)))</f>
        <v/>
      </c>
      <c r="Z908">
        <f>IF(OR(N908=0,N908=""),"",ABS((N908-IF($C908="LT",Config!$F$9,Config!$F$21))/IF($C908="LT",Config!$G$9,Config!$G$21)))</f>
        <v/>
      </c>
      <c r="AA908">
        <f>IF(OR(O908=0,O908=""),"",ABS((O908-IF($C908="LT",Config!$F$10,Config!$F$22))/IF($C908="LT",Config!$G$10,Config!$G$22)))</f>
        <v/>
      </c>
      <c r="AB908">
        <f>IF(OR(P908=0,P908=""),"",ABS((P908-IF($C908="LT",Config!$F$11,Config!$F$23))/IF($C908="LT",Config!$G$11,Config!$G$23)))</f>
        <v/>
      </c>
      <c r="AC908">
        <f>IF(OR(Q908=0,Q908=""),"",ABS((Q908-IF($C908="LT",Config!$F$12,Config!$F$24))/IF($C908="LT",Config!$G$12,Config!$G$24)))</f>
        <v/>
      </c>
      <c r="AD908">
        <f>IF(OR(R908=0,R908=""),"",ABS((R908-IF($C908="LT",Config!$F$13,Config!$F$25))/IF($C908="LT",Config!$G$13,Config!$G$25)))</f>
        <v/>
      </c>
    </row>
    <row r="909">
      <c r="A909" t="inlineStr">
        <is>
          <t>04D1126121332</t>
        </is>
      </c>
      <c r="B909" t="inlineStr">
        <is>
          <t>CRS0000674</t>
        </is>
      </c>
      <c r="C909" t="inlineStr">
        <is>
          <t>MT</t>
        </is>
      </c>
      <c r="D909" t="inlineStr">
        <is>
          <t>TCX413U-DS1B01</t>
        </is>
      </c>
      <c r="E909" s="2" t="n">
        <v>46135</v>
      </c>
      <c r="F909" t="inlineStr">
        <is>
          <t>Pass</t>
        </is>
      </c>
      <c r="G909" t="n">
        <v>119.6</v>
      </c>
      <c r="H909" t="n">
        <v>83.40000000000001</v>
      </c>
      <c r="I909" t="n">
        <v>-1957.8</v>
      </c>
      <c r="J909" t="n">
        <v>72.2</v>
      </c>
      <c r="K909" t="n">
        <v>0</v>
      </c>
      <c r="L909" t="n">
        <v>1.1</v>
      </c>
      <c r="M909" t="n">
        <v>0</v>
      </c>
      <c r="N909" t="n">
        <v>71.09999999999999</v>
      </c>
      <c r="O909" t="n">
        <v>115.24</v>
      </c>
      <c r="P909" t="n">
        <v>115.31</v>
      </c>
      <c r="Q909" t="n">
        <v>3.88</v>
      </c>
      <c r="R909" t="n">
        <v>3.88</v>
      </c>
      <c r="S909">
        <f>IF(OR(G909=0,G909=""),"",ABS((G909-IF($C909="LT",Config!$F$2,Config!$F$14))/IF($C909="LT",Config!$G$2,Config!$G$14)))</f>
        <v/>
      </c>
      <c r="T909">
        <f>IF(OR(H909=0,H909=""),"",ABS((H909-IF($C909="LT",Config!$F$3,Config!$F$15))/IF($C909="LT",Config!$G$3,Config!$G$15)))</f>
        <v/>
      </c>
      <c r="U909">
        <f>IF(OR(I909=0,I909=""),"",ABS((I909-IF($C909="LT",Config!$F$4,Config!$F$16))/IF($C909="LT",Config!$G$4,Config!$G$16)))</f>
        <v/>
      </c>
      <c r="V909">
        <f>IF(OR(J909=0,J909=""),"",ABS((J909-IF($C909="LT",Config!$F$5,Config!$F$17))/IF($C909="LT",Config!$G$5,Config!$G$17)))</f>
        <v/>
      </c>
      <c r="W909">
        <f>IF(OR(K909=0,K909=""),"",ABS((K909-IF($C909="LT",Config!$F$6,Config!$F$18))/IF($C909="LT",Config!$G$6,Config!$G$18)))</f>
        <v/>
      </c>
      <c r="X909">
        <f>IF(OR(L909=0,L909=""),"",ABS((L909-IF($C909="LT",Config!$F$7,Config!$F$19))/IF($C909="LT",Config!$G$7,Config!$G$19)))</f>
        <v/>
      </c>
      <c r="Y909">
        <f>IF(OR(M909=0,M909=""),"",ABS((M909-IF($C909="LT",Config!$F$8,Config!$F$20))/IF($C909="LT",Config!$G$8,Config!$G$20)))</f>
        <v/>
      </c>
      <c r="Z909">
        <f>IF(OR(N909=0,N909=""),"",ABS((N909-IF($C909="LT",Config!$F$9,Config!$F$21))/IF($C909="LT",Config!$G$9,Config!$G$21)))</f>
        <v/>
      </c>
      <c r="AA909">
        <f>IF(OR(O909=0,O909=""),"",ABS((O909-IF($C909="LT",Config!$F$10,Config!$F$22))/IF($C909="LT",Config!$G$10,Config!$G$22)))</f>
        <v/>
      </c>
      <c r="AB909">
        <f>IF(OR(P909=0,P909=""),"",ABS((P909-IF($C909="LT",Config!$F$11,Config!$F$23))/IF($C909="LT",Config!$G$11,Config!$G$23)))</f>
        <v/>
      </c>
      <c r="AC909">
        <f>IF(OR(Q909=0,Q909=""),"",ABS((Q909-IF($C909="LT",Config!$F$12,Config!$F$24))/IF($C909="LT",Config!$G$12,Config!$G$24)))</f>
        <v/>
      </c>
      <c r="AD909">
        <f>IF(OR(R909=0,R909=""),"",ABS((R909-IF($C909="LT",Config!$F$13,Config!$F$25))/IF($C909="LT",Config!$G$13,Config!$G$25)))</f>
        <v/>
      </c>
    </row>
    <row r="910">
      <c r="A910" t="inlineStr">
        <is>
          <t>04D1426121369</t>
        </is>
      </c>
      <c r="B910" t="inlineStr">
        <is>
          <t>CRS0000674</t>
        </is>
      </c>
      <c r="C910" t="inlineStr">
        <is>
          <t>MT</t>
        </is>
      </c>
      <c r="D910" t="inlineStr">
        <is>
          <t>TCX413U-DS1B01</t>
        </is>
      </c>
      <c r="E910" s="2" t="n">
        <v>46135</v>
      </c>
      <c r="F910" t="inlineStr">
        <is>
          <t>Fail</t>
        </is>
      </c>
      <c r="G910" t="n">
        <v>85.59999999999999</v>
      </c>
      <c r="H910" t="n">
        <v>80.7</v>
      </c>
      <c r="I910" t="n">
        <v>-1957.8</v>
      </c>
      <c r="J910" t="n">
        <v>72.2</v>
      </c>
      <c r="K910" t="n">
        <v>0</v>
      </c>
      <c r="L910" t="n">
        <v>0.6</v>
      </c>
      <c r="M910" t="n">
        <v>0</v>
      </c>
      <c r="N910" t="n">
        <v>71.59999999999999</v>
      </c>
      <c r="O910" t="n">
        <v>112.01</v>
      </c>
      <c r="P910" t="n">
        <v>116.63</v>
      </c>
      <c r="Q910" t="n">
        <v>3.74</v>
      </c>
      <c r="R910" t="n">
        <v>3.71</v>
      </c>
      <c r="S910">
        <f>IF(OR(G910=0,G910=""),"",ABS((G910-IF($C910="LT",Config!$F$2,Config!$F$14))/IF($C910="LT",Config!$G$2,Config!$G$14)))</f>
        <v/>
      </c>
      <c r="T910">
        <f>IF(OR(H910=0,H910=""),"",ABS((H910-IF($C910="LT",Config!$F$3,Config!$F$15))/IF($C910="LT",Config!$G$3,Config!$G$15)))</f>
        <v/>
      </c>
      <c r="U910">
        <f>IF(OR(I910=0,I910=""),"",ABS((I910-IF($C910="LT",Config!$F$4,Config!$F$16))/IF($C910="LT",Config!$G$4,Config!$G$16)))</f>
        <v/>
      </c>
      <c r="V910">
        <f>IF(OR(J910=0,J910=""),"",ABS((J910-IF($C910="LT",Config!$F$5,Config!$F$17))/IF($C910="LT",Config!$G$5,Config!$G$17)))</f>
        <v/>
      </c>
      <c r="W910">
        <f>IF(OR(K910=0,K910=""),"",ABS((K910-IF($C910="LT",Config!$F$6,Config!$F$18))/IF($C910="LT",Config!$G$6,Config!$G$18)))</f>
        <v/>
      </c>
      <c r="X910">
        <f>IF(OR(L910=0,L910=""),"",ABS((L910-IF($C910="LT",Config!$F$7,Config!$F$19))/IF($C910="LT",Config!$G$7,Config!$G$19)))</f>
        <v/>
      </c>
      <c r="Y910">
        <f>IF(OR(M910=0,M910=""),"",ABS((M910-IF($C910="LT",Config!$F$8,Config!$F$20))/IF($C910="LT",Config!$G$8,Config!$G$20)))</f>
        <v/>
      </c>
      <c r="Z910">
        <f>IF(OR(N910=0,N910=""),"",ABS((N910-IF($C910="LT",Config!$F$9,Config!$F$21))/IF($C910="LT",Config!$G$9,Config!$G$21)))</f>
        <v/>
      </c>
      <c r="AA910">
        <f>IF(OR(O910=0,O910=""),"",ABS((O910-IF($C910="LT",Config!$F$10,Config!$F$22))/IF($C910="LT",Config!$G$10,Config!$G$22)))</f>
        <v/>
      </c>
      <c r="AB910">
        <f>IF(OR(P910=0,P910=""),"",ABS((P910-IF($C910="LT",Config!$F$11,Config!$F$23))/IF($C910="LT",Config!$G$11,Config!$G$23)))</f>
        <v/>
      </c>
      <c r="AC910">
        <f>IF(OR(Q910=0,Q910=""),"",ABS((Q910-IF($C910="LT",Config!$F$12,Config!$F$24))/IF($C910="LT",Config!$G$12,Config!$G$24)))</f>
        <v/>
      </c>
      <c r="AD910">
        <f>IF(OR(R910=0,R910=""),"",ABS((R910-IF($C910="LT",Config!$F$13,Config!$F$25))/IF($C910="LT",Config!$G$13,Config!$G$25)))</f>
        <v/>
      </c>
    </row>
    <row r="911">
      <c r="A911" t="inlineStr">
        <is>
          <t>04D1426121369</t>
        </is>
      </c>
      <c r="B911" t="inlineStr">
        <is>
          <t>CRS0000674</t>
        </is>
      </c>
      <c r="C911" t="inlineStr">
        <is>
          <t>MT</t>
        </is>
      </c>
      <c r="D911" t="inlineStr">
        <is>
          <t>TCX413U-DS1B01</t>
        </is>
      </c>
      <c r="E911" s="2" t="n">
        <v>46135</v>
      </c>
      <c r="F911" t="inlineStr">
        <is>
          <t>Pass</t>
        </is>
      </c>
      <c r="G911" t="n">
        <v>116.4</v>
      </c>
      <c r="H911" t="n">
        <v>80.2</v>
      </c>
      <c r="I911" t="n">
        <v>-1957.8</v>
      </c>
      <c r="J911" t="n">
        <v>72.59999999999999</v>
      </c>
      <c r="K911" t="n">
        <v>0</v>
      </c>
      <c r="L911" t="n">
        <v>0.8</v>
      </c>
      <c r="M911" t="n">
        <v>0</v>
      </c>
      <c r="N911" t="n">
        <v>71.8</v>
      </c>
      <c r="O911" t="n">
        <v>112.08</v>
      </c>
      <c r="P911" t="n">
        <v>117</v>
      </c>
      <c r="Q911" t="n">
        <v>3.76</v>
      </c>
      <c r="R911" t="n">
        <v>3.69</v>
      </c>
      <c r="S911">
        <f>IF(OR(G911=0,G911=""),"",ABS((G911-IF($C911="LT",Config!$F$2,Config!$F$14))/IF($C911="LT",Config!$G$2,Config!$G$14)))</f>
        <v/>
      </c>
      <c r="T911">
        <f>IF(OR(H911=0,H911=""),"",ABS((H911-IF($C911="LT",Config!$F$3,Config!$F$15))/IF($C911="LT",Config!$G$3,Config!$G$15)))</f>
        <v/>
      </c>
      <c r="U911">
        <f>IF(OR(I911=0,I911=""),"",ABS((I911-IF($C911="LT",Config!$F$4,Config!$F$16))/IF($C911="LT",Config!$G$4,Config!$G$16)))</f>
        <v/>
      </c>
      <c r="V911">
        <f>IF(OR(J911=0,J911=""),"",ABS((J911-IF($C911="LT",Config!$F$5,Config!$F$17))/IF($C911="LT",Config!$G$5,Config!$G$17)))</f>
        <v/>
      </c>
      <c r="W911">
        <f>IF(OR(K911=0,K911=""),"",ABS((K911-IF($C911="LT",Config!$F$6,Config!$F$18))/IF($C911="LT",Config!$G$6,Config!$G$18)))</f>
        <v/>
      </c>
      <c r="X911">
        <f>IF(OR(L911=0,L911=""),"",ABS((L911-IF($C911="LT",Config!$F$7,Config!$F$19))/IF($C911="LT",Config!$G$7,Config!$G$19)))</f>
        <v/>
      </c>
      <c r="Y911">
        <f>IF(OR(M911=0,M911=""),"",ABS((M911-IF($C911="LT",Config!$F$8,Config!$F$20))/IF($C911="LT",Config!$G$8,Config!$G$20)))</f>
        <v/>
      </c>
      <c r="Z911">
        <f>IF(OR(N911=0,N911=""),"",ABS((N911-IF($C911="LT",Config!$F$9,Config!$F$21))/IF($C911="LT",Config!$G$9,Config!$G$21)))</f>
        <v/>
      </c>
      <c r="AA911">
        <f>IF(OR(O911=0,O911=""),"",ABS((O911-IF($C911="LT",Config!$F$10,Config!$F$22))/IF($C911="LT",Config!$G$10,Config!$G$22)))</f>
        <v/>
      </c>
      <c r="AB911">
        <f>IF(OR(P911=0,P911=""),"",ABS((P911-IF($C911="LT",Config!$F$11,Config!$F$23))/IF($C911="LT",Config!$G$11,Config!$G$23)))</f>
        <v/>
      </c>
      <c r="AC911">
        <f>IF(OR(Q911=0,Q911=""),"",ABS((Q911-IF($C911="LT",Config!$F$12,Config!$F$24))/IF($C911="LT",Config!$G$12,Config!$G$24)))</f>
        <v/>
      </c>
      <c r="AD911">
        <f>IF(OR(R911=0,R911=""),"",ABS((R911-IF($C911="LT",Config!$F$13,Config!$F$25))/IF($C911="LT",Config!$G$13,Config!$G$25)))</f>
        <v/>
      </c>
    </row>
    <row r="912">
      <c r="A912" t="inlineStr">
        <is>
          <t>04D1126121335</t>
        </is>
      </c>
      <c r="B912" t="inlineStr">
        <is>
          <t>CRS0000674</t>
        </is>
      </c>
      <c r="C912" t="inlineStr">
        <is>
          <t>MT</t>
        </is>
      </c>
      <c r="D912" t="inlineStr">
        <is>
          <t>TCX413U-DS1B01</t>
        </is>
      </c>
      <c r="E912" s="2" t="n">
        <v>46135</v>
      </c>
      <c r="F912" t="inlineStr">
        <is>
          <t>Pass</t>
        </is>
      </c>
      <c r="G912" t="n">
        <v>118.7</v>
      </c>
      <c r="H912" t="n">
        <v>82.90000000000001</v>
      </c>
      <c r="I912" t="n">
        <v>-1957.8</v>
      </c>
      <c r="J912" t="n">
        <v>72.59999999999999</v>
      </c>
      <c r="K912" t="n">
        <v>0</v>
      </c>
      <c r="L912" t="n">
        <v>0.7</v>
      </c>
      <c r="M912" t="n">
        <v>0</v>
      </c>
      <c r="N912" t="n">
        <v>71.90000000000001</v>
      </c>
      <c r="O912" t="n">
        <v>115.09</v>
      </c>
      <c r="P912" t="n">
        <v>115.09</v>
      </c>
      <c r="Q912" t="n">
        <v>3.81</v>
      </c>
      <c r="R912" t="n">
        <v>3.83</v>
      </c>
      <c r="S912">
        <f>IF(OR(G912=0,G912=""),"",ABS((G912-IF($C912="LT",Config!$F$2,Config!$F$14))/IF($C912="LT",Config!$G$2,Config!$G$14)))</f>
        <v/>
      </c>
      <c r="T912">
        <f>IF(OR(H912=0,H912=""),"",ABS((H912-IF($C912="LT",Config!$F$3,Config!$F$15))/IF($C912="LT",Config!$G$3,Config!$G$15)))</f>
        <v/>
      </c>
      <c r="U912">
        <f>IF(OR(I912=0,I912=""),"",ABS((I912-IF($C912="LT",Config!$F$4,Config!$F$16))/IF($C912="LT",Config!$G$4,Config!$G$16)))</f>
        <v/>
      </c>
      <c r="V912">
        <f>IF(OR(J912=0,J912=""),"",ABS((J912-IF($C912="LT",Config!$F$5,Config!$F$17))/IF($C912="LT",Config!$G$5,Config!$G$17)))</f>
        <v/>
      </c>
      <c r="W912">
        <f>IF(OR(K912=0,K912=""),"",ABS((K912-IF($C912="LT",Config!$F$6,Config!$F$18))/IF($C912="LT",Config!$G$6,Config!$G$18)))</f>
        <v/>
      </c>
      <c r="X912">
        <f>IF(OR(L912=0,L912=""),"",ABS((L912-IF($C912="LT",Config!$F$7,Config!$F$19))/IF($C912="LT",Config!$G$7,Config!$G$19)))</f>
        <v/>
      </c>
      <c r="Y912">
        <f>IF(OR(M912=0,M912=""),"",ABS((M912-IF($C912="LT",Config!$F$8,Config!$F$20))/IF($C912="LT",Config!$G$8,Config!$G$20)))</f>
        <v/>
      </c>
      <c r="Z912">
        <f>IF(OR(N912=0,N912=""),"",ABS((N912-IF($C912="LT",Config!$F$9,Config!$F$21))/IF($C912="LT",Config!$G$9,Config!$G$21)))</f>
        <v/>
      </c>
      <c r="AA912">
        <f>IF(OR(O912=0,O912=""),"",ABS((O912-IF($C912="LT",Config!$F$10,Config!$F$22))/IF($C912="LT",Config!$G$10,Config!$G$22)))</f>
        <v/>
      </c>
      <c r="AB912">
        <f>IF(OR(P912=0,P912=""),"",ABS((P912-IF($C912="LT",Config!$F$11,Config!$F$23))/IF($C912="LT",Config!$G$11,Config!$G$23)))</f>
        <v/>
      </c>
      <c r="AC912">
        <f>IF(OR(Q912=0,Q912=""),"",ABS((Q912-IF($C912="LT",Config!$F$12,Config!$F$24))/IF($C912="LT",Config!$G$12,Config!$G$24)))</f>
        <v/>
      </c>
      <c r="AD912">
        <f>IF(OR(R912=0,R912=""),"",ABS((R912-IF($C912="LT",Config!$F$13,Config!$F$25))/IF($C912="LT",Config!$G$13,Config!$G$25)))</f>
        <v/>
      </c>
    </row>
    <row r="913">
      <c r="A913" t="inlineStr">
        <is>
          <t>04D1026121326</t>
        </is>
      </c>
      <c r="B913" t="inlineStr">
        <is>
          <t>CRS0000674</t>
        </is>
      </c>
      <c r="C913" t="inlineStr">
        <is>
          <t>MT</t>
        </is>
      </c>
      <c r="D913" t="inlineStr">
        <is>
          <t>TCX413U-DS1B01</t>
        </is>
      </c>
      <c r="E913" s="2" t="n">
        <v>46135</v>
      </c>
      <c r="F913" t="inlineStr">
        <is>
          <t>Pass</t>
        </is>
      </c>
      <c r="G913" t="n">
        <v>116</v>
      </c>
      <c r="H913" t="n">
        <v>82</v>
      </c>
      <c r="I913" t="n">
        <v>-1957.8</v>
      </c>
      <c r="J913" t="n">
        <v>72.59999999999999</v>
      </c>
      <c r="K913" t="n">
        <v>0</v>
      </c>
      <c r="L913" t="n">
        <v>0.8</v>
      </c>
      <c r="M913" t="n">
        <v>0</v>
      </c>
      <c r="N913" t="n">
        <v>71.8</v>
      </c>
      <c r="O913" t="n">
        <v>115.09</v>
      </c>
      <c r="P913" t="n">
        <v>115.16</v>
      </c>
      <c r="Q913" t="n">
        <v>3.81</v>
      </c>
      <c r="R913" t="n">
        <v>3.81</v>
      </c>
      <c r="S913">
        <f>IF(OR(G913=0,G913=""),"",ABS((G913-IF($C913="LT",Config!$F$2,Config!$F$14))/IF($C913="LT",Config!$G$2,Config!$G$14)))</f>
        <v/>
      </c>
      <c r="T913">
        <f>IF(OR(H913=0,H913=""),"",ABS((H913-IF($C913="LT",Config!$F$3,Config!$F$15))/IF($C913="LT",Config!$G$3,Config!$G$15)))</f>
        <v/>
      </c>
      <c r="U913">
        <f>IF(OR(I913=0,I913=""),"",ABS((I913-IF($C913="LT",Config!$F$4,Config!$F$16))/IF($C913="LT",Config!$G$4,Config!$G$16)))</f>
        <v/>
      </c>
      <c r="V913">
        <f>IF(OR(J913=0,J913=""),"",ABS((J913-IF($C913="LT",Config!$F$5,Config!$F$17))/IF($C913="LT",Config!$G$5,Config!$G$17)))</f>
        <v/>
      </c>
      <c r="W913">
        <f>IF(OR(K913=0,K913=""),"",ABS((K913-IF($C913="LT",Config!$F$6,Config!$F$18))/IF($C913="LT",Config!$G$6,Config!$G$18)))</f>
        <v/>
      </c>
      <c r="X913">
        <f>IF(OR(L913=0,L913=""),"",ABS((L913-IF($C913="LT",Config!$F$7,Config!$F$19))/IF($C913="LT",Config!$G$7,Config!$G$19)))</f>
        <v/>
      </c>
      <c r="Y913">
        <f>IF(OR(M913=0,M913=""),"",ABS((M913-IF($C913="LT",Config!$F$8,Config!$F$20))/IF($C913="LT",Config!$G$8,Config!$G$20)))</f>
        <v/>
      </c>
      <c r="Z913">
        <f>IF(OR(N913=0,N913=""),"",ABS((N913-IF($C913="LT",Config!$F$9,Config!$F$21))/IF($C913="LT",Config!$G$9,Config!$G$21)))</f>
        <v/>
      </c>
      <c r="AA913">
        <f>IF(OR(O913=0,O913=""),"",ABS((O913-IF($C913="LT",Config!$F$10,Config!$F$22))/IF($C913="LT",Config!$G$10,Config!$G$22)))</f>
        <v/>
      </c>
      <c r="AB913">
        <f>IF(OR(P913=0,P913=""),"",ABS((P913-IF($C913="LT",Config!$F$11,Config!$F$23))/IF($C913="LT",Config!$G$11,Config!$G$23)))</f>
        <v/>
      </c>
      <c r="AC913">
        <f>IF(OR(Q913=0,Q913=""),"",ABS((Q913-IF($C913="LT",Config!$F$12,Config!$F$24))/IF($C913="LT",Config!$G$12,Config!$G$24)))</f>
        <v/>
      </c>
      <c r="AD913">
        <f>IF(OR(R913=0,R913=""),"",ABS((R913-IF($C913="LT",Config!$F$13,Config!$F$25))/IF($C913="LT",Config!$G$13,Config!$G$25)))</f>
        <v/>
      </c>
    </row>
    <row r="914">
      <c r="A914" t="inlineStr">
        <is>
          <t>04D1326121358</t>
        </is>
      </c>
      <c r="B914" t="inlineStr">
        <is>
          <t>CRS0000674</t>
        </is>
      </c>
      <c r="C914" t="inlineStr">
        <is>
          <t>MT</t>
        </is>
      </c>
      <c r="D914" t="inlineStr">
        <is>
          <t>TCX413U-DS1B01</t>
        </is>
      </c>
      <c r="E914" s="2" t="n">
        <v>46135</v>
      </c>
      <c r="F914" t="inlineStr">
        <is>
          <t>Pass</t>
        </is>
      </c>
      <c r="G914" t="n">
        <v>120</v>
      </c>
      <c r="H914" t="n">
        <v>83.8</v>
      </c>
      <c r="I914" t="n">
        <v>-1957.8</v>
      </c>
      <c r="J914" t="n">
        <v>72.59999999999999</v>
      </c>
      <c r="K914" t="n">
        <v>0</v>
      </c>
      <c r="L914" t="n">
        <v>1.2</v>
      </c>
      <c r="M914" t="n">
        <v>0</v>
      </c>
      <c r="N914" t="n">
        <v>71.40000000000001</v>
      </c>
      <c r="O914" t="n">
        <v>112.3</v>
      </c>
      <c r="P914" t="n">
        <v>116.56</v>
      </c>
      <c r="Q914" t="n">
        <v>3.81</v>
      </c>
      <c r="R914" t="n">
        <v>3.74</v>
      </c>
      <c r="S914">
        <f>IF(OR(G914=0,G914=""),"",ABS((G914-IF($C914="LT",Config!$F$2,Config!$F$14))/IF($C914="LT",Config!$G$2,Config!$G$14)))</f>
        <v/>
      </c>
      <c r="T914">
        <f>IF(OR(H914=0,H914=""),"",ABS((H914-IF($C914="LT",Config!$F$3,Config!$F$15))/IF($C914="LT",Config!$G$3,Config!$G$15)))</f>
        <v/>
      </c>
      <c r="U914">
        <f>IF(OR(I914=0,I914=""),"",ABS((I914-IF($C914="LT",Config!$F$4,Config!$F$16))/IF($C914="LT",Config!$G$4,Config!$G$16)))</f>
        <v/>
      </c>
      <c r="V914">
        <f>IF(OR(J914=0,J914=""),"",ABS((J914-IF($C914="LT",Config!$F$5,Config!$F$17))/IF($C914="LT",Config!$G$5,Config!$G$17)))</f>
        <v/>
      </c>
      <c r="W914">
        <f>IF(OR(K914=0,K914=""),"",ABS((K914-IF($C914="LT",Config!$F$6,Config!$F$18))/IF($C914="LT",Config!$G$6,Config!$G$18)))</f>
        <v/>
      </c>
      <c r="X914">
        <f>IF(OR(L914=0,L914=""),"",ABS((L914-IF($C914="LT",Config!$F$7,Config!$F$19))/IF($C914="LT",Config!$G$7,Config!$G$19)))</f>
        <v/>
      </c>
      <c r="Y914">
        <f>IF(OR(M914=0,M914=""),"",ABS((M914-IF($C914="LT",Config!$F$8,Config!$F$20))/IF($C914="LT",Config!$G$8,Config!$G$20)))</f>
        <v/>
      </c>
      <c r="Z914">
        <f>IF(OR(N914=0,N914=""),"",ABS((N914-IF($C914="LT",Config!$F$9,Config!$F$21))/IF($C914="LT",Config!$G$9,Config!$G$21)))</f>
        <v/>
      </c>
      <c r="AA914">
        <f>IF(OR(O914=0,O914=""),"",ABS((O914-IF($C914="LT",Config!$F$10,Config!$F$22))/IF($C914="LT",Config!$G$10,Config!$G$22)))</f>
        <v/>
      </c>
      <c r="AB914">
        <f>IF(OR(P914=0,P914=""),"",ABS((P914-IF($C914="LT",Config!$F$11,Config!$F$23))/IF($C914="LT",Config!$G$11,Config!$G$23)))</f>
        <v/>
      </c>
      <c r="AC914">
        <f>IF(OR(Q914=0,Q914=""),"",ABS((Q914-IF($C914="LT",Config!$F$12,Config!$F$24))/IF($C914="LT",Config!$G$12,Config!$G$24)))</f>
        <v/>
      </c>
      <c r="AD914">
        <f>IF(OR(R914=0,R914=""),"",ABS((R914-IF($C914="LT",Config!$F$13,Config!$F$25))/IF($C914="LT",Config!$G$13,Config!$G$25)))</f>
        <v/>
      </c>
    </row>
    <row r="915">
      <c r="A915" t="inlineStr">
        <is>
          <t>04D1026121329</t>
        </is>
      </c>
      <c r="B915" t="inlineStr">
        <is>
          <t>CRS0000674</t>
        </is>
      </c>
      <c r="C915" t="inlineStr">
        <is>
          <t>MT</t>
        </is>
      </c>
      <c r="D915" t="inlineStr">
        <is>
          <t>TCX413U-DS1B01</t>
        </is>
      </c>
      <c r="E915" s="2" t="n">
        <v>46135</v>
      </c>
      <c r="F915" t="inlineStr">
        <is>
          <t>Pass</t>
        </is>
      </c>
      <c r="G915" t="n">
        <v>118.7</v>
      </c>
      <c r="H915" t="n">
        <v>82.90000000000001</v>
      </c>
      <c r="I915" t="n">
        <v>-1957.8</v>
      </c>
      <c r="J915" t="n">
        <v>72.59999999999999</v>
      </c>
      <c r="K915" t="n">
        <v>0</v>
      </c>
      <c r="L915" t="n">
        <v>1</v>
      </c>
      <c r="M915" t="n">
        <v>0</v>
      </c>
      <c r="N915" t="n">
        <v>71.59999999999999</v>
      </c>
      <c r="O915" t="n">
        <v>112.16</v>
      </c>
      <c r="P915" t="n">
        <v>116.56</v>
      </c>
      <c r="Q915" t="n">
        <v>3.88</v>
      </c>
      <c r="R915" t="n">
        <v>3.81</v>
      </c>
      <c r="S915">
        <f>IF(OR(G915=0,G915=""),"",ABS((G915-IF($C915="LT",Config!$F$2,Config!$F$14))/IF($C915="LT",Config!$G$2,Config!$G$14)))</f>
        <v/>
      </c>
      <c r="T915">
        <f>IF(OR(H915=0,H915=""),"",ABS((H915-IF($C915="LT",Config!$F$3,Config!$F$15))/IF($C915="LT",Config!$G$3,Config!$G$15)))</f>
        <v/>
      </c>
      <c r="U915">
        <f>IF(OR(I915=0,I915=""),"",ABS((I915-IF($C915="LT",Config!$F$4,Config!$F$16))/IF($C915="LT",Config!$G$4,Config!$G$16)))</f>
        <v/>
      </c>
      <c r="V915">
        <f>IF(OR(J915=0,J915=""),"",ABS((J915-IF($C915="LT",Config!$F$5,Config!$F$17))/IF($C915="LT",Config!$G$5,Config!$G$17)))</f>
        <v/>
      </c>
      <c r="W915">
        <f>IF(OR(K915=0,K915=""),"",ABS((K915-IF($C915="LT",Config!$F$6,Config!$F$18))/IF($C915="LT",Config!$G$6,Config!$G$18)))</f>
        <v/>
      </c>
      <c r="X915">
        <f>IF(OR(L915=0,L915=""),"",ABS((L915-IF($C915="LT",Config!$F$7,Config!$F$19))/IF($C915="LT",Config!$G$7,Config!$G$19)))</f>
        <v/>
      </c>
      <c r="Y915">
        <f>IF(OR(M915=0,M915=""),"",ABS((M915-IF($C915="LT",Config!$F$8,Config!$F$20))/IF($C915="LT",Config!$G$8,Config!$G$20)))</f>
        <v/>
      </c>
      <c r="Z915">
        <f>IF(OR(N915=0,N915=""),"",ABS((N915-IF($C915="LT",Config!$F$9,Config!$F$21))/IF($C915="LT",Config!$G$9,Config!$G$21)))</f>
        <v/>
      </c>
      <c r="AA915">
        <f>IF(OR(O915=0,O915=""),"",ABS((O915-IF($C915="LT",Config!$F$10,Config!$F$22))/IF($C915="LT",Config!$G$10,Config!$G$22)))</f>
        <v/>
      </c>
      <c r="AB915">
        <f>IF(OR(P915=0,P915=""),"",ABS((P915-IF($C915="LT",Config!$F$11,Config!$F$23))/IF($C915="LT",Config!$G$11,Config!$G$23)))</f>
        <v/>
      </c>
      <c r="AC915">
        <f>IF(OR(Q915=0,Q915=""),"",ABS((Q915-IF($C915="LT",Config!$F$12,Config!$F$24))/IF($C915="LT",Config!$G$12,Config!$G$24)))</f>
        <v/>
      </c>
      <c r="AD915">
        <f>IF(OR(R915=0,R915=""),"",ABS((R915-IF($C915="LT",Config!$F$13,Config!$F$25))/IF($C915="LT",Config!$G$13,Config!$G$25)))</f>
        <v/>
      </c>
    </row>
    <row r="916">
      <c r="A916" t="inlineStr">
        <is>
          <t>04D1026121327</t>
        </is>
      </c>
      <c r="B916" t="inlineStr">
        <is>
          <t>CRS0000674</t>
        </is>
      </c>
      <c r="C916" t="inlineStr">
        <is>
          <t>MT</t>
        </is>
      </c>
      <c r="D916" t="inlineStr">
        <is>
          <t>TCX413U-DS1B01</t>
        </is>
      </c>
      <c r="E916" s="2" t="n">
        <v>46135</v>
      </c>
      <c r="F916" t="inlineStr">
        <is>
          <t>Pass</t>
        </is>
      </c>
      <c r="G916" t="n">
        <v>120</v>
      </c>
      <c r="H916" t="n">
        <v>83.40000000000001</v>
      </c>
      <c r="I916" t="n">
        <v>-1957.8</v>
      </c>
      <c r="J916" t="n">
        <v>72.59999999999999</v>
      </c>
      <c r="K916" t="n">
        <v>0</v>
      </c>
      <c r="L916" t="n">
        <v>0.6</v>
      </c>
      <c r="M916" t="n">
        <v>0</v>
      </c>
      <c r="N916" t="n">
        <v>72</v>
      </c>
      <c r="O916" t="n">
        <v>112.08</v>
      </c>
      <c r="P916" t="n">
        <v>116.48</v>
      </c>
      <c r="Q916" t="n">
        <v>3.91</v>
      </c>
      <c r="R916" t="n">
        <v>3.81</v>
      </c>
      <c r="S916">
        <f>IF(OR(G916=0,G916=""),"",ABS((G916-IF($C916="LT",Config!$F$2,Config!$F$14))/IF($C916="LT",Config!$G$2,Config!$G$14)))</f>
        <v/>
      </c>
      <c r="T916">
        <f>IF(OR(H916=0,H916=""),"",ABS((H916-IF($C916="LT",Config!$F$3,Config!$F$15))/IF($C916="LT",Config!$G$3,Config!$G$15)))</f>
        <v/>
      </c>
      <c r="U916">
        <f>IF(OR(I916=0,I916=""),"",ABS((I916-IF($C916="LT",Config!$F$4,Config!$F$16))/IF($C916="LT",Config!$G$4,Config!$G$16)))</f>
        <v/>
      </c>
      <c r="V916">
        <f>IF(OR(J916=0,J916=""),"",ABS((J916-IF($C916="LT",Config!$F$5,Config!$F$17))/IF($C916="LT",Config!$G$5,Config!$G$17)))</f>
        <v/>
      </c>
      <c r="W916">
        <f>IF(OR(K916=0,K916=""),"",ABS((K916-IF($C916="LT",Config!$F$6,Config!$F$18))/IF($C916="LT",Config!$G$6,Config!$G$18)))</f>
        <v/>
      </c>
      <c r="X916">
        <f>IF(OR(L916=0,L916=""),"",ABS((L916-IF($C916="LT",Config!$F$7,Config!$F$19))/IF($C916="LT",Config!$G$7,Config!$G$19)))</f>
        <v/>
      </c>
      <c r="Y916">
        <f>IF(OR(M916=0,M916=""),"",ABS((M916-IF($C916="LT",Config!$F$8,Config!$F$20))/IF($C916="LT",Config!$G$8,Config!$G$20)))</f>
        <v/>
      </c>
      <c r="Z916">
        <f>IF(OR(N916=0,N916=""),"",ABS((N916-IF($C916="LT",Config!$F$9,Config!$F$21))/IF($C916="LT",Config!$G$9,Config!$G$21)))</f>
        <v/>
      </c>
      <c r="AA916">
        <f>IF(OR(O916=0,O916=""),"",ABS((O916-IF($C916="LT",Config!$F$10,Config!$F$22))/IF($C916="LT",Config!$G$10,Config!$G$22)))</f>
        <v/>
      </c>
      <c r="AB916">
        <f>IF(OR(P916=0,P916=""),"",ABS((P916-IF($C916="LT",Config!$F$11,Config!$F$23))/IF($C916="LT",Config!$G$11,Config!$G$23)))</f>
        <v/>
      </c>
      <c r="AC916">
        <f>IF(OR(Q916=0,Q916=""),"",ABS((Q916-IF($C916="LT",Config!$F$12,Config!$F$24))/IF($C916="LT",Config!$G$12,Config!$G$24)))</f>
        <v/>
      </c>
      <c r="AD916">
        <f>IF(OR(R916=0,R916=""),"",ABS((R916-IF($C916="LT",Config!$F$13,Config!$F$25))/IF($C916="LT",Config!$G$13,Config!$G$25)))</f>
        <v/>
      </c>
    </row>
    <row r="917">
      <c r="A917" t="inlineStr">
        <is>
          <t>04D1326121359</t>
        </is>
      </c>
      <c r="B917" t="inlineStr">
        <is>
          <t>CRS0000674</t>
        </is>
      </c>
      <c r="C917" t="inlineStr">
        <is>
          <t>MT</t>
        </is>
      </c>
      <c r="D917" t="inlineStr">
        <is>
          <t>TCX413U-DS1B01</t>
        </is>
      </c>
      <c r="E917" s="2" t="n">
        <v>46135</v>
      </c>
      <c r="F917" t="inlineStr">
        <is>
          <t>Pass</t>
        </is>
      </c>
      <c r="G917" t="n">
        <v>119.1</v>
      </c>
      <c r="H917" t="n">
        <v>83.8</v>
      </c>
      <c r="I917" t="n">
        <v>-1957.8</v>
      </c>
      <c r="J917" t="n">
        <v>72.59999999999999</v>
      </c>
      <c r="K917" t="n">
        <v>0</v>
      </c>
      <c r="L917" t="n">
        <v>0.8</v>
      </c>
      <c r="M917" t="n">
        <v>0</v>
      </c>
      <c r="N917" t="n">
        <v>71.8</v>
      </c>
      <c r="O917" t="n">
        <v>114.94</v>
      </c>
      <c r="P917" t="n">
        <v>115.02</v>
      </c>
      <c r="Q917" t="n">
        <v>3.76</v>
      </c>
      <c r="R917" t="n">
        <v>3.76</v>
      </c>
      <c r="S917">
        <f>IF(OR(G917=0,G917=""),"",ABS((G917-IF($C917="LT",Config!$F$2,Config!$F$14))/IF($C917="LT",Config!$G$2,Config!$G$14)))</f>
        <v/>
      </c>
      <c r="T917">
        <f>IF(OR(H917=0,H917=""),"",ABS((H917-IF($C917="LT",Config!$F$3,Config!$F$15))/IF($C917="LT",Config!$G$3,Config!$G$15)))</f>
        <v/>
      </c>
      <c r="U917">
        <f>IF(OR(I917=0,I917=""),"",ABS((I917-IF($C917="LT",Config!$F$4,Config!$F$16))/IF($C917="LT",Config!$G$4,Config!$G$16)))</f>
        <v/>
      </c>
      <c r="V917">
        <f>IF(OR(J917=0,J917=""),"",ABS((J917-IF($C917="LT",Config!$F$5,Config!$F$17))/IF($C917="LT",Config!$G$5,Config!$G$17)))</f>
        <v/>
      </c>
      <c r="W917">
        <f>IF(OR(K917=0,K917=""),"",ABS((K917-IF($C917="LT",Config!$F$6,Config!$F$18))/IF($C917="LT",Config!$G$6,Config!$G$18)))</f>
        <v/>
      </c>
      <c r="X917">
        <f>IF(OR(L917=0,L917=""),"",ABS((L917-IF($C917="LT",Config!$F$7,Config!$F$19))/IF($C917="LT",Config!$G$7,Config!$G$19)))</f>
        <v/>
      </c>
      <c r="Y917">
        <f>IF(OR(M917=0,M917=""),"",ABS((M917-IF($C917="LT",Config!$F$8,Config!$F$20))/IF($C917="LT",Config!$G$8,Config!$G$20)))</f>
        <v/>
      </c>
      <c r="Z917">
        <f>IF(OR(N917=0,N917=""),"",ABS((N917-IF($C917="LT",Config!$F$9,Config!$F$21))/IF($C917="LT",Config!$G$9,Config!$G$21)))</f>
        <v/>
      </c>
      <c r="AA917">
        <f>IF(OR(O917=0,O917=""),"",ABS((O917-IF($C917="LT",Config!$F$10,Config!$F$22))/IF($C917="LT",Config!$G$10,Config!$G$22)))</f>
        <v/>
      </c>
      <c r="AB917">
        <f>IF(OR(P917=0,P917=""),"",ABS((P917-IF($C917="LT",Config!$F$11,Config!$F$23))/IF($C917="LT",Config!$G$11,Config!$G$23)))</f>
        <v/>
      </c>
      <c r="AC917">
        <f>IF(OR(Q917=0,Q917=""),"",ABS((Q917-IF($C917="LT",Config!$F$12,Config!$F$24))/IF($C917="LT",Config!$G$12,Config!$G$24)))</f>
        <v/>
      </c>
      <c r="AD917">
        <f>IF(OR(R917=0,R917=""),"",ABS((R917-IF($C917="LT",Config!$F$13,Config!$F$25))/IF($C917="LT",Config!$G$13,Config!$G$25)))</f>
        <v/>
      </c>
    </row>
    <row r="918">
      <c r="A918" t="inlineStr">
        <is>
          <t>04D1326121357</t>
        </is>
      </c>
      <c r="B918" t="inlineStr">
        <is>
          <t>CRS0000674</t>
        </is>
      </c>
      <c r="C918" t="inlineStr">
        <is>
          <t>MT</t>
        </is>
      </c>
      <c r="D918" t="inlineStr">
        <is>
          <t>TCX413U-DS1B01</t>
        </is>
      </c>
      <c r="E918" s="2" t="n">
        <v>46135</v>
      </c>
      <c r="F918" t="inlineStr">
        <is>
          <t>Pass</t>
        </is>
      </c>
      <c r="G918" t="n">
        <v>120.4</v>
      </c>
      <c r="H918" t="n">
        <v>82</v>
      </c>
      <c r="I918" t="n">
        <v>-1957.8</v>
      </c>
      <c r="J918" t="n">
        <v>72.2</v>
      </c>
      <c r="K918" t="n">
        <v>0</v>
      </c>
      <c r="L918" t="n">
        <v>0.6</v>
      </c>
      <c r="M918" t="n">
        <v>0</v>
      </c>
      <c r="N918" t="n">
        <v>71.59999999999999</v>
      </c>
      <c r="O918" t="n">
        <v>111.35</v>
      </c>
      <c r="P918" t="n">
        <v>117.58</v>
      </c>
      <c r="Q918" t="n">
        <v>3.93</v>
      </c>
      <c r="R918" t="n">
        <v>3.78</v>
      </c>
      <c r="S918">
        <f>IF(OR(G918=0,G918=""),"",ABS((G918-IF($C918="LT",Config!$F$2,Config!$F$14))/IF($C918="LT",Config!$G$2,Config!$G$14)))</f>
        <v/>
      </c>
      <c r="T918">
        <f>IF(OR(H918=0,H918=""),"",ABS((H918-IF($C918="LT",Config!$F$3,Config!$F$15))/IF($C918="LT",Config!$G$3,Config!$G$15)))</f>
        <v/>
      </c>
      <c r="U918">
        <f>IF(OR(I918=0,I918=""),"",ABS((I918-IF($C918="LT",Config!$F$4,Config!$F$16))/IF($C918="LT",Config!$G$4,Config!$G$16)))</f>
        <v/>
      </c>
      <c r="V918">
        <f>IF(OR(J918=0,J918=""),"",ABS((J918-IF($C918="LT",Config!$F$5,Config!$F$17))/IF($C918="LT",Config!$G$5,Config!$G$17)))</f>
        <v/>
      </c>
      <c r="W918">
        <f>IF(OR(K918=0,K918=""),"",ABS((K918-IF($C918="LT",Config!$F$6,Config!$F$18))/IF($C918="LT",Config!$G$6,Config!$G$18)))</f>
        <v/>
      </c>
      <c r="X918">
        <f>IF(OR(L918=0,L918=""),"",ABS((L918-IF($C918="LT",Config!$F$7,Config!$F$19))/IF($C918="LT",Config!$G$7,Config!$G$19)))</f>
        <v/>
      </c>
      <c r="Y918">
        <f>IF(OR(M918=0,M918=""),"",ABS((M918-IF($C918="LT",Config!$F$8,Config!$F$20))/IF($C918="LT",Config!$G$8,Config!$G$20)))</f>
        <v/>
      </c>
      <c r="Z918">
        <f>IF(OR(N918=0,N918=""),"",ABS((N918-IF($C918="LT",Config!$F$9,Config!$F$21))/IF($C918="LT",Config!$G$9,Config!$G$21)))</f>
        <v/>
      </c>
      <c r="AA918">
        <f>IF(OR(O918=0,O918=""),"",ABS((O918-IF($C918="LT",Config!$F$10,Config!$F$22))/IF($C918="LT",Config!$G$10,Config!$G$22)))</f>
        <v/>
      </c>
      <c r="AB918">
        <f>IF(OR(P918=0,P918=""),"",ABS((P918-IF($C918="LT",Config!$F$11,Config!$F$23))/IF($C918="LT",Config!$G$11,Config!$G$23)))</f>
        <v/>
      </c>
      <c r="AC918">
        <f>IF(OR(Q918=0,Q918=""),"",ABS((Q918-IF($C918="LT",Config!$F$12,Config!$F$24))/IF($C918="LT",Config!$G$12,Config!$G$24)))</f>
        <v/>
      </c>
      <c r="AD918">
        <f>IF(OR(R918=0,R918=""),"",ABS((R918-IF($C918="LT",Config!$F$13,Config!$F$25))/IF($C918="LT",Config!$G$13,Config!$G$25)))</f>
        <v/>
      </c>
    </row>
    <row r="919">
      <c r="A919" t="inlineStr">
        <is>
          <t>04C2526121094</t>
        </is>
      </c>
      <c r="B919" t="inlineStr">
        <is>
          <t>CRS0000675</t>
        </is>
      </c>
      <c r="C919" t="inlineStr">
        <is>
          <t>LT</t>
        </is>
      </c>
      <c r="D919" t="inlineStr">
        <is>
          <t>ALX440U-DS3B01</t>
        </is>
      </c>
      <c r="E919" s="2" t="n">
        <v>46136</v>
      </c>
      <c r="F919" t="inlineStr">
        <is>
          <t>Fail</t>
        </is>
      </c>
      <c r="G919" t="n">
        <v>145</v>
      </c>
      <c r="H919" t="n">
        <v>83.8</v>
      </c>
      <c r="I919" t="n">
        <v>-1957.8</v>
      </c>
      <c r="J919" t="n">
        <v>69.5</v>
      </c>
      <c r="K919" t="n">
        <v>0</v>
      </c>
      <c r="L919" t="n">
        <v>0.3</v>
      </c>
      <c r="M919" t="n">
        <v>0</v>
      </c>
      <c r="N919" t="n">
        <v>69.2</v>
      </c>
      <c r="O919" t="n">
        <v>111.28</v>
      </c>
      <c r="P919" t="n">
        <v>117.88</v>
      </c>
      <c r="Q919" t="n">
        <v>7.93</v>
      </c>
      <c r="R919" t="n">
        <v>6.71</v>
      </c>
      <c r="S919">
        <f>IF(OR(G919=0,G919=""),"",ABS((G919-IF($C919="LT",Config!$F$2,Config!$F$14))/IF($C919="LT",Config!$G$2,Config!$G$14)))</f>
        <v/>
      </c>
      <c r="T919">
        <f>IF(OR(H919=0,H919=""),"",ABS((H919-IF($C919="LT",Config!$F$3,Config!$F$15))/IF($C919="LT",Config!$G$3,Config!$G$15)))</f>
        <v/>
      </c>
      <c r="U919">
        <f>IF(OR(I919=0,I919=""),"",ABS((I919-IF($C919="LT",Config!$F$4,Config!$F$16))/IF($C919="LT",Config!$G$4,Config!$G$16)))</f>
        <v/>
      </c>
      <c r="V919">
        <f>IF(OR(J919=0,J919=""),"",ABS((J919-IF($C919="LT",Config!$F$5,Config!$F$17))/IF($C919="LT",Config!$G$5,Config!$G$17)))</f>
        <v/>
      </c>
      <c r="W919">
        <f>IF(OR(K919=0,K919=""),"",ABS((K919-IF($C919="LT",Config!$F$6,Config!$F$18))/IF($C919="LT",Config!$G$6,Config!$G$18)))</f>
        <v/>
      </c>
      <c r="X919">
        <f>IF(OR(L919=0,L919=""),"",ABS((L919-IF($C919="LT",Config!$F$7,Config!$F$19))/IF($C919="LT",Config!$G$7,Config!$G$19)))</f>
        <v/>
      </c>
      <c r="Y919">
        <f>IF(OR(M919=0,M919=""),"",ABS((M919-IF($C919="LT",Config!$F$8,Config!$F$20))/IF($C919="LT",Config!$G$8,Config!$G$20)))</f>
        <v/>
      </c>
      <c r="Z919">
        <f>IF(OR(N919=0,N919=""),"",ABS((N919-IF($C919="LT",Config!$F$9,Config!$F$21))/IF($C919="LT",Config!$G$9,Config!$G$21)))</f>
        <v/>
      </c>
      <c r="AA919">
        <f>IF(OR(O919=0,O919=""),"",ABS((O919-IF($C919="LT",Config!$F$10,Config!$F$22))/IF($C919="LT",Config!$G$10,Config!$G$22)))</f>
        <v/>
      </c>
      <c r="AB919">
        <f>IF(OR(P919=0,P919=""),"",ABS((P919-IF($C919="LT",Config!$F$11,Config!$F$23))/IF($C919="LT",Config!$G$11,Config!$G$23)))</f>
        <v/>
      </c>
      <c r="AC919">
        <f>IF(OR(Q919=0,Q919=""),"",ABS((Q919-IF($C919="LT",Config!$F$12,Config!$F$24))/IF($C919="LT",Config!$G$12,Config!$G$24)))</f>
        <v/>
      </c>
      <c r="AD919">
        <f>IF(OR(R919=0,R919=""),"",ABS((R919-IF($C919="LT",Config!$F$13,Config!$F$25))/IF($C919="LT",Config!$G$13,Config!$G$25)))</f>
        <v/>
      </c>
    </row>
    <row r="920">
      <c r="A920" t="inlineStr">
        <is>
          <t>04C2526121094</t>
        </is>
      </c>
      <c r="B920" t="inlineStr">
        <is>
          <t>CRS0000675</t>
        </is>
      </c>
      <c r="C920" t="inlineStr">
        <is>
          <t>LT</t>
        </is>
      </c>
      <c r="D920" t="inlineStr">
        <is>
          <t>ALX440U-DS3B01</t>
        </is>
      </c>
      <c r="E920" s="2" t="n">
        <v>46136</v>
      </c>
      <c r="F920" t="inlineStr">
        <is>
          <t>Pass</t>
        </is>
      </c>
      <c r="G920" t="n">
        <v>145.5</v>
      </c>
      <c r="H920" t="n">
        <v>90.59999999999999</v>
      </c>
      <c r="I920" t="n">
        <v>-1957.8</v>
      </c>
      <c r="J920" t="n">
        <v>69.5</v>
      </c>
      <c r="K920" t="n">
        <v>0</v>
      </c>
      <c r="L920" t="n">
        <v>0.2</v>
      </c>
      <c r="M920" t="n">
        <v>0</v>
      </c>
      <c r="N920" t="n">
        <v>69.3</v>
      </c>
      <c r="O920" t="n">
        <v>111.79</v>
      </c>
      <c r="P920" t="n">
        <v>113.4</v>
      </c>
      <c r="Q920" t="n">
        <v>6.93</v>
      </c>
      <c r="R920" t="n">
        <v>6.49</v>
      </c>
      <c r="S920">
        <f>IF(OR(G920=0,G920=""),"",ABS((G920-IF($C920="LT",Config!$F$2,Config!$F$14))/IF($C920="LT",Config!$G$2,Config!$G$14)))</f>
        <v/>
      </c>
      <c r="T920">
        <f>IF(OR(H920=0,H920=""),"",ABS((H920-IF($C920="LT",Config!$F$3,Config!$F$15))/IF($C920="LT",Config!$G$3,Config!$G$15)))</f>
        <v/>
      </c>
      <c r="U920">
        <f>IF(OR(I920=0,I920=""),"",ABS((I920-IF($C920="LT",Config!$F$4,Config!$F$16))/IF($C920="LT",Config!$G$4,Config!$G$16)))</f>
        <v/>
      </c>
      <c r="V920">
        <f>IF(OR(J920=0,J920=""),"",ABS((J920-IF($C920="LT",Config!$F$5,Config!$F$17))/IF($C920="LT",Config!$G$5,Config!$G$17)))</f>
        <v/>
      </c>
      <c r="W920">
        <f>IF(OR(K920=0,K920=""),"",ABS((K920-IF($C920="LT",Config!$F$6,Config!$F$18))/IF($C920="LT",Config!$G$6,Config!$G$18)))</f>
        <v/>
      </c>
      <c r="X920">
        <f>IF(OR(L920=0,L920=""),"",ABS((L920-IF($C920="LT",Config!$F$7,Config!$F$19))/IF($C920="LT",Config!$G$7,Config!$G$19)))</f>
        <v/>
      </c>
      <c r="Y920">
        <f>IF(OR(M920=0,M920=""),"",ABS((M920-IF($C920="LT",Config!$F$8,Config!$F$20))/IF($C920="LT",Config!$G$8,Config!$G$20)))</f>
        <v/>
      </c>
      <c r="Z920">
        <f>IF(OR(N920=0,N920=""),"",ABS((N920-IF($C920="LT",Config!$F$9,Config!$F$21))/IF($C920="LT",Config!$G$9,Config!$G$21)))</f>
        <v/>
      </c>
      <c r="AA920">
        <f>IF(OR(O920=0,O920=""),"",ABS((O920-IF($C920="LT",Config!$F$10,Config!$F$22))/IF($C920="LT",Config!$G$10,Config!$G$22)))</f>
        <v/>
      </c>
      <c r="AB920">
        <f>IF(OR(P920=0,P920=""),"",ABS((P920-IF($C920="LT",Config!$F$11,Config!$F$23))/IF($C920="LT",Config!$G$11,Config!$G$23)))</f>
        <v/>
      </c>
      <c r="AC920">
        <f>IF(OR(Q920=0,Q920=""),"",ABS((Q920-IF($C920="LT",Config!$F$12,Config!$F$24))/IF($C920="LT",Config!$G$12,Config!$G$24)))</f>
        <v/>
      </c>
      <c r="AD920">
        <f>IF(OR(R920=0,R920=""),"",ABS((R920-IF($C920="LT",Config!$F$13,Config!$F$25))/IF($C920="LT",Config!$G$13,Config!$G$25)))</f>
        <v/>
      </c>
    </row>
    <row r="921">
      <c r="A921" t="inlineStr">
        <is>
          <t>04C2426121075</t>
        </is>
      </c>
      <c r="B921" t="inlineStr">
        <is>
          <t>CRS0000675</t>
        </is>
      </c>
      <c r="C921" t="inlineStr">
        <is>
          <t>LT</t>
        </is>
      </c>
      <c r="D921" t="inlineStr">
        <is>
          <t>ALX440U-DS3B01</t>
        </is>
      </c>
      <c r="E921" s="2" t="n">
        <v>46136</v>
      </c>
      <c r="F921" t="inlineStr">
        <is>
          <t>Fail</t>
        </is>
      </c>
      <c r="G921" t="n">
        <v>166.4</v>
      </c>
      <c r="H921" t="n">
        <v>98.3</v>
      </c>
      <c r="I921" t="n">
        <v>-1957.8</v>
      </c>
      <c r="J921" t="n">
        <v>70</v>
      </c>
      <c r="K921" t="n">
        <v>0</v>
      </c>
      <c r="L921" t="n">
        <v>1.1</v>
      </c>
      <c r="M921" t="n">
        <v>0</v>
      </c>
      <c r="N921" t="n">
        <v>68.90000000000001</v>
      </c>
      <c r="O921" t="n">
        <v>110.91</v>
      </c>
      <c r="P921" t="n">
        <v>117.66</v>
      </c>
      <c r="Q921" t="n">
        <v>8.890000000000001</v>
      </c>
      <c r="R921" t="n">
        <v>8.109999999999999</v>
      </c>
      <c r="S921">
        <f>IF(OR(G921=0,G921=""),"",ABS((G921-IF($C921="LT",Config!$F$2,Config!$F$14))/IF($C921="LT",Config!$G$2,Config!$G$14)))</f>
        <v/>
      </c>
      <c r="T921">
        <f>IF(OR(H921=0,H921=""),"",ABS((H921-IF($C921="LT",Config!$F$3,Config!$F$15))/IF($C921="LT",Config!$G$3,Config!$G$15)))</f>
        <v/>
      </c>
      <c r="U921">
        <f>IF(OR(I921=0,I921=""),"",ABS((I921-IF($C921="LT",Config!$F$4,Config!$F$16))/IF($C921="LT",Config!$G$4,Config!$G$16)))</f>
        <v/>
      </c>
      <c r="V921">
        <f>IF(OR(J921=0,J921=""),"",ABS((J921-IF($C921="LT",Config!$F$5,Config!$F$17))/IF($C921="LT",Config!$G$5,Config!$G$17)))</f>
        <v/>
      </c>
      <c r="W921">
        <f>IF(OR(K921=0,K921=""),"",ABS((K921-IF($C921="LT",Config!$F$6,Config!$F$18))/IF($C921="LT",Config!$G$6,Config!$G$18)))</f>
        <v/>
      </c>
      <c r="X921">
        <f>IF(OR(L921=0,L921=""),"",ABS((L921-IF($C921="LT",Config!$F$7,Config!$F$19))/IF($C921="LT",Config!$G$7,Config!$G$19)))</f>
        <v/>
      </c>
      <c r="Y921">
        <f>IF(OR(M921=0,M921=""),"",ABS((M921-IF($C921="LT",Config!$F$8,Config!$F$20))/IF($C921="LT",Config!$G$8,Config!$G$20)))</f>
        <v/>
      </c>
      <c r="Z921">
        <f>IF(OR(N921=0,N921=""),"",ABS((N921-IF($C921="LT",Config!$F$9,Config!$F$21))/IF($C921="LT",Config!$G$9,Config!$G$21)))</f>
        <v/>
      </c>
      <c r="AA921">
        <f>IF(OR(O921=0,O921=""),"",ABS((O921-IF($C921="LT",Config!$F$10,Config!$F$22))/IF($C921="LT",Config!$G$10,Config!$G$22)))</f>
        <v/>
      </c>
      <c r="AB921">
        <f>IF(OR(P921=0,P921=""),"",ABS((P921-IF($C921="LT",Config!$F$11,Config!$F$23))/IF($C921="LT",Config!$G$11,Config!$G$23)))</f>
        <v/>
      </c>
      <c r="AC921">
        <f>IF(OR(Q921=0,Q921=""),"",ABS((Q921-IF($C921="LT",Config!$F$12,Config!$F$24))/IF($C921="LT",Config!$G$12,Config!$G$24)))</f>
        <v/>
      </c>
      <c r="AD921">
        <f>IF(OR(R921=0,R921=""),"",ABS((R921-IF($C921="LT",Config!$F$13,Config!$F$25))/IF($C921="LT",Config!$G$13,Config!$G$25)))</f>
        <v/>
      </c>
    </row>
    <row r="922">
      <c r="A922" t="inlineStr">
        <is>
          <t>04C2426121075</t>
        </is>
      </c>
      <c r="B922" t="inlineStr">
        <is>
          <t>CRS0000675</t>
        </is>
      </c>
      <c r="C922" t="inlineStr">
        <is>
          <t>LT</t>
        </is>
      </c>
      <c r="D922" t="inlineStr">
        <is>
          <t>ALX440U-DS3B01</t>
        </is>
      </c>
      <c r="E922" s="2" t="n">
        <v>46136</v>
      </c>
      <c r="F922" t="inlineStr">
        <is>
          <t>Fail</t>
        </is>
      </c>
      <c r="G922" t="n">
        <v>173.6</v>
      </c>
      <c r="H922" t="n">
        <v>98.7</v>
      </c>
      <c r="I922" t="n">
        <v>-1957.8</v>
      </c>
      <c r="J922" t="n">
        <v>70</v>
      </c>
      <c r="K922" t="n">
        <v>0</v>
      </c>
      <c r="L922" t="n">
        <v>0.8</v>
      </c>
      <c r="M922" t="n">
        <v>0</v>
      </c>
      <c r="N922" t="n">
        <v>69.2</v>
      </c>
      <c r="O922" t="n">
        <v>110.98</v>
      </c>
      <c r="P922" t="n">
        <v>117.73</v>
      </c>
      <c r="Q922" t="n">
        <v>8.4</v>
      </c>
      <c r="R922" t="n">
        <v>7.89</v>
      </c>
      <c r="S922">
        <f>IF(OR(G922=0,G922=""),"",ABS((G922-IF($C922="LT",Config!$F$2,Config!$F$14))/IF($C922="LT",Config!$G$2,Config!$G$14)))</f>
        <v/>
      </c>
      <c r="T922">
        <f>IF(OR(H922=0,H922=""),"",ABS((H922-IF($C922="LT",Config!$F$3,Config!$F$15))/IF($C922="LT",Config!$G$3,Config!$G$15)))</f>
        <v/>
      </c>
      <c r="U922">
        <f>IF(OR(I922=0,I922=""),"",ABS((I922-IF($C922="LT",Config!$F$4,Config!$F$16))/IF($C922="LT",Config!$G$4,Config!$G$16)))</f>
        <v/>
      </c>
      <c r="V922">
        <f>IF(OR(J922=0,J922=""),"",ABS((J922-IF($C922="LT",Config!$F$5,Config!$F$17))/IF($C922="LT",Config!$G$5,Config!$G$17)))</f>
        <v/>
      </c>
      <c r="W922">
        <f>IF(OR(K922=0,K922=""),"",ABS((K922-IF($C922="LT",Config!$F$6,Config!$F$18))/IF($C922="LT",Config!$G$6,Config!$G$18)))</f>
        <v/>
      </c>
      <c r="X922">
        <f>IF(OR(L922=0,L922=""),"",ABS((L922-IF($C922="LT",Config!$F$7,Config!$F$19))/IF($C922="LT",Config!$G$7,Config!$G$19)))</f>
        <v/>
      </c>
      <c r="Y922">
        <f>IF(OR(M922=0,M922=""),"",ABS((M922-IF($C922="LT",Config!$F$8,Config!$F$20))/IF($C922="LT",Config!$G$8,Config!$G$20)))</f>
        <v/>
      </c>
      <c r="Z922">
        <f>IF(OR(N922=0,N922=""),"",ABS((N922-IF($C922="LT",Config!$F$9,Config!$F$21))/IF($C922="LT",Config!$G$9,Config!$G$21)))</f>
        <v/>
      </c>
      <c r="AA922">
        <f>IF(OR(O922=0,O922=""),"",ABS((O922-IF($C922="LT",Config!$F$10,Config!$F$22))/IF($C922="LT",Config!$G$10,Config!$G$22)))</f>
        <v/>
      </c>
      <c r="AB922">
        <f>IF(OR(P922=0,P922=""),"",ABS((P922-IF($C922="LT",Config!$F$11,Config!$F$23))/IF($C922="LT",Config!$G$11,Config!$G$23)))</f>
        <v/>
      </c>
      <c r="AC922">
        <f>IF(OR(Q922=0,Q922=""),"",ABS((Q922-IF($C922="LT",Config!$F$12,Config!$F$24))/IF($C922="LT",Config!$G$12,Config!$G$24)))</f>
        <v/>
      </c>
      <c r="AD922">
        <f>IF(OR(R922=0,R922=""),"",ABS((R922-IF($C922="LT",Config!$F$13,Config!$F$25))/IF($C922="LT",Config!$G$13,Config!$G$25)))</f>
        <v/>
      </c>
    </row>
    <row r="923">
      <c r="A923" t="inlineStr">
        <is>
          <t>04C2326121061</t>
        </is>
      </c>
      <c r="B923" t="inlineStr">
        <is>
          <t>CRS0000674</t>
        </is>
      </c>
      <c r="C923" t="inlineStr">
        <is>
          <t>MT</t>
        </is>
      </c>
      <c r="D923" t="inlineStr">
        <is>
          <t>TCX413U-DS1B01</t>
        </is>
      </c>
      <c r="E923" s="2" t="n">
        <v>46136</v>
      </c>
      <c r="F923" t="inlineStr">
        <is>
          <t>Pass</t>
        </is>
      </c>
      <c r="G923" t="n">
        <v>121.3</v>
      </c>
      <c r="H923" t="n">
        <v>80.7</v>
      </c>
      <c r="I923" t="n">
        <v>-1957.8</v>
      </c>
      <c r="J923" t="n">
        <v>70</v>
      </c>
      <c r="K923" t="n">
        <v>0</v>
      </c>
      <c r="L923" t="n">
        <v>1.1</v>
      </c>
      <c r="M923" t="n">
        <v>0</v>
      </c>
      <c r="N923" t="n">
        <v>68.90000000000001</v>
      </c>
      <c r="O923" t="n">
        <v>111.86</v>
      </c>
      <c r="P923" t="n">
        <v>113.26</v>
      </c>
      <c r="Q923" t="n">
        <v>4.05</v>
      </c>
      <c r="R923" t="n">
        <v>3.93</v>
      </c>
      <c r="S923">
        <f>IF(OR(G923=0,G923=""),"",ABS((G923-IF($C923="LT",Config!$F$2,Config!$F$14))/IF($C923="LT",Config!$G$2,Config!$G$14)))</f>
        <v/>
      </c>
      <c r="T923">
        <f>IF(OR(H923=0,H923=""),"",ABS((H923-IF($C923="LT",Config!$F$3,Config!$F$15))/IF($C923="LT",Config!$G$3,Config!$G$15)))</f>
        <v/>
      </c>
      <c r="U923">
        <f>IF(OR(I923=0,I923=""),"",ABS((I923-IF($C923="LT",Config!$F$4,Config!$F$16))/IF($C923="LT",Config!$G$4,Config!$G$16)))</f>
        <v/>
      </c>
      <c r="V923">
        <f>IF(OR(J923=0,J923=""),"",ABS((J923-IF($C923="LT",Config!$F$5,Config!$F$17))/IF($C923="LT",Config!$G$5,Config!$G$17)))</f>
        <v/>
      </c>
      <c r="W923">
        <f>IF(OR(K923=0,K923=""),"",ABS((K923-IF($C923="LT",Config!$F$6,Config!$F$18))/IF($C923="LT",Config!$G$6,Config!$G$18)))</f>
        <v/>
      </c>
      <c r="X923">
        <f>IF(OR(L923=0,L923=""),"",ABS((L923-IF($C923="LT",Config!$F$7,Config!$F$19))/IF($C923="LT",Config!$G$7,Config!$G$19)))</f>
        <v/>
      </c>
      <c r="Y923">
        <f>IF(OR(M923=0,M923=""),"",ABS((M923-IF($C923="LT",Config!$F$8,Config!$F$20))/IF($C923="LT",Config!$G$8,Config!$G$20)))</f>
        <v/>
      </c>
      <c r="Z923">
        <f>IF(OR(N923=0,N923=""),"",ABS((N923-IF($C923="LT",Config!$F$9,Config!$F$21))/IF($C923="LT",Config!$G$9,Config!$G$21)))</f>
        <v/>
      </c>
      <c r="AA923">
        <f>IF(OR(O923=0,O923=""),"",ABS((O923-IF($C923="LT",Config!$F$10,Config!$F$22))/IF($C923="LT",Config!$G$10,Config!$G$22)))</f>
        <v/>
      </c>
      <c r="AB923">
        <f>IF(OR(P923=0,P923=""),"",ABS((P923-IF($C923="LT",Config!$F$11,Config!$F$23))/IF($C923="LT",Config!$G$11,Config!$G$23)))</f>
        <v/>
      </c>
      <c r="AC923">
        <f>IF(OR(Q923=0,Q923=""),"",ABS((Q923-IF($C923="LT",Config!$F$12,Config!$F$24))/IF($C923="LT",Config!$G$12,Config!$G$24)))</f>
        <v/>
      </c>
      <c r="AD923">
        <f>IF(OR(R923=0,R923=""),"",ABS((R923-IF($C923="LT",Config!$F$13,Config!$F$25))/IF($C923="LT",Config!$G$13,Config!$G$25)))</f>
        <v/>
      </c>
    </row>
    <row r="924">
      <c r="A924" t="inlineStr">
        <is>
          <t>04D0826121284</t>
        </is>
      </c>
      <c r="B924" t="inlineStr">
        <is>
          <t>CRS0000675</t>
        </is>
      </c>
      <c r="C924" t="inlineStr">
        <is>
          <t>LT</t>
        </is>
      </c>
      <c r="D924" t="inlineStr">
        <is>
          <t>ALX440U-DS3B01</t>
        </is>
      </c>
      <c r="E924" s="2" t="n">
        <v>46136</v>
      </c>
      <c r="F924" t="inlineStr">
        <is>
          <t>Fail</t>
        </is>
      </c>
      <c r="G924" t="n">
        <v>125.4</v>
      </c>
      <c r="H924" t="n">
        <v>93.3</v>
      </c>
      <c r="I924" t="n">
        <v>-1957.8</v>
      </c>
      <c r="J924" t="n">
        <v>70</v>
      </c>
      <c r="K924" t="n">
        <v>0</v>
      </c>
      <c r="L924" t="n">
        <v>0.3</v>
      </c>
      <c r="M924" t="n">
        <v>0</v>
      </c>
      <c r="N924" t="n">
        <v>69.7</v>
      </c>
      <c r="O924" t="n">
        <v>115.02</v>
      </c>
      <c r="P924" t="n">
        <v>114.87</v>
      </c>
      <c r="Q924" t="n">
        <v>6.96</v>
      </c>
      <c r="R924" t="n">
        <v>7.52</v>
      </c>
      <c r="S924">
        <f>IF(OR(G924=0,G924=""),"",ABS((G924-IF($C924="LT",Config!$F$2,Config!$F$14))/IF($C924="LT",Config!$G$2,Config!$G$14)))</f>
        <v/>
      </c>
      <c r="T924">
        <f>IF(OR(H924=0,H924=""),"",ABS((H924-IF($C924="LT",Config!$F$3,Config!$F$15))/IF($C924="LT",Config!$G$3,Config!$G$15)))</f>
        <v/>
      </c>
      <c r="U924">
        <f>IF(OR(I924=0,I924=""),"",ABS((I924-IF($C924="LT",Config!$F$4,Config!$F$16))/IF($C924="LT",Config!$G$4,Config!$G$16)))</f>
        <v/>
      </c>
      <c r="V924">
        <f>IF(OR(J924=0,J924=""),"",ABS((J924-IF($C924="LT",Config!$F$5,Config!$F$17))/IF($C924="LT",Config!$G$5,Config!$G$17)))</f>
        <v/>
      </c>
      <c r="W924">
        <f>IF(OR(K924=0,K924=""),"",ABS((K924-IF($C924="LT",Config!$F$6,Config!$F$18))/IF($C924="LT",Config!$G$6,Config!$G$18)))</f>
        <v/>
      </c>
      <c r="X924">
        <f>IF(OR(L924=0,L924=""),"",ABS((L924-IF($C924="LT",Config!$F$7,Config!$F$19))/IF($C924="LT",Config!$G$7,Config!$G$19)))</f>
        <v/>
      </c>
      <c r="Y924">
        <f>IF(OR(M924=0,M924=""),"",ABS((M924-IF($C924="LT",Config!$F$8,Config!$F$20))/IF($C924="LT",Config!$G$8,Config!$G$20)))</f>
        <v/>
      </c>
      <c r="Z924">
        <f>IF(OR(N924=0,N924=""),"",ABS((N924-IF($C924="LT",Config!$F$9,Config!$F$21))/IF($C924="LT",Config!$G$9,Config!$G$21)))</f>
        <v/>
      </c>
      <c r="AA924">
        <f>IF(OR(O924=0,O924=""),"",ABS((O924-IF($C924="LT",Config!$F$10,Config!$F$22))/IF($C924="LT",Config!$G$10,Config!$G$22)))</f>
        <v/>
      </c>
      <c r="AB924">
        <f>IF(OR(P924=0,P924=""),"",ABS((P924-IF($C924="LT",Config!$F$11,Config!$F$23))/IF($C924="LT",Config!$G$11,Config!$G$23)))</f>
        <v/>
      </c>
      <c r="AC924">
        <f>IF(OR(Q924=0,Q924=""),"",ABS((Q924-IF($C924="LT",Config!$F$12,Config!$F$24))/IF($C924="LT",Config!$G$12,Config!$G$24)))</f>
        <v/>
      </c>
      <c r="AD924">
        <f>IF(OR(R924=0,R924=""),"",ABS((R924-IF($C924="LT",Config!$F$13,Config!$F$25))/IF($C924="LT",Config!$G$13,Config!$G$25)))</f>
        <v/>
      </c>
    </row>
    <row r="925">
      <c r="A925" t="inlineStr">
        <is>
          <t>04D0826121284</t>
        </is>
      </c>
      <c r="B925" t="inlineStr">
        <is>
          <t>CRS0000675</t>
        </is>
      </c>
      <c r="C925" t="inlineStr">
        <is>
          <t>LT</t>
        </is>
      </c>
      <c r="D925" t="inlineStr">
        <is>
          <t>ALX440U-DS3B01</t>
        </is>
      </c>
      <c r="E925" s="2" t="n">
        <v>46136</v>
      </c>
      <c r="F925" t="inlineStr">
        <is>
          <t>Fail</t>
        </is>
      </c>
      <c r="G925" t="n">
        <v>141.4</v>
      </c>
      <c r="H925" t="n">
        <v>91.5</v>
      </c>
      <c r="I925" t="n">
        <v>-1957.8</v>
      </c>
      <c r="J925" t="n">
        <v>70</v>
      </c>
      <c r="K925" t="n">
        <v>0</v>
      </c>
      <c r="L925" t="n">
        <v>0.3</v>
      </c>
      <c r="M925" t="n">
        <v>0</v>
      </c>
      <c r="N925" t="n">
        <v>69.7</v>
      </c>
      <c r="O925" t="n">
        <v>115.16</v>
      </c>
      <c r="P925" t="n">
        <v>115.09</v>
      </c>
      <c r="Q925" t="n">
        <v>7.57</v>
      </c>
      <c r="R925" t="n">
        <v>7.84</v>
      </c>
      <c r="S925">
        <f>IF(OR(G925=0,G925=""),"",ABS((G925-IF($C925="LT",Config!$F$2,Config!$F$14))/IF($C925="LT",Config!$G$2,Config!$G$14)))</f>
        <v/>
      </c>
      <c r="T925">
        <f>IF(OR(H925=0,H925=""),"",ABS((H925-IF($C925="LT",Config!$F$3,Config!$F$15))/IF($C925="LT",Config!$G$3,Config!$G$15)))</f>
        <v/>
      </c>
      <c r="U925">
        <f>IF(OR(I925=0,I925=""),"",ABS((I925-IF($C925="LT",Config!$F$4,Config!$F$16))/IF($C925="LT",Config!$G$4,Config!$G$16)))</f>
        <v/>
      </c>
      <c r="V925">
        <f>IF(OR(J925=0,J925=""),"",ABS((J925-IF($C925="LT",Config!$F$5,Config!$F$17))/IF($C925="LT",Config!$G$5,Config!$G$17)))</f>
        <v/>
      </c>
      <c r="W925">
        <f>IF(OR(K925=0,K925=""),"",ABS((K925-IF($C925="LT",Config!$F$6,Config!$F$18))/IF($C925="LT",Config!$G$6,Config!$G$18)))</f>
        <v/>
      </c>
      <c r="X925">
        <f>IF(OR(L925=0,L925=""),"",ABS((L925-IF($C925="LT",Config!$F$7,Config!$F$19))/IF($C925="LT",Config!$G$7,Config!$G$19)))</f>
        <v/>
      </c>
      <c r="Y925">
        <f>IF(OR(M925=0,M925=""),"",ABS((M925-IF($C925="LT",Config!$F$8,Config!$F$20))/IF($C925="LT",Config!$G$8,Config!$G$20)))</f>
        <v/>
      </c>
      <c r="Z925">
        <f>IF(OR(N925=0,N925=""),"",ABS((N925-IF($C925="LT",Config!$F$9,Config!$F$21))/IF($C925="LT",Config!$G$9,Config!$G$21)))</f>
        <v/>
      </c>
      <c r="AA925">
        <f>IF(OR(O925=0,O925=""),"",ABS((O925-IF($C925="LT",Config!$F$10,Config!$F$22))/IF($C925="LT",Config!$G$10,Config!$G$22)))</f>
        <v/>
      </c>
      <c r="AB925">
        <f>IF(OR(P925=0,P925=""),"",ABS((P925-IF($C925="LT",Config!$F$11,Config!$F$23))/IF($C925="LT",Config!$G$11,Config!$G$23)))</f>
        <v/>
      </c>
      <c r="AC925">
        <f>IF(OR(Q925=0,Q925=""),"",ABS((Q925-IF($C925="LT",Config!$F$12,Config!$F$24))/IF($C925="LT",Config!$G$12,Config!$G$24)))</f>
        <v/>
      </c>
      <c r="AD925">
        <f>IF(OR(R925=0,R925=""),"",ABS((R925-IF($C925="LT",Config!$F$13,Config!$F$25))/IF($C925="LT",Config!$G$13,Config!$G$25)))</f>
        <v/>
      </c>
    </row>
    <row r="926">
      <c r="A926" t="inlineStr">
        <is>
          <t>04D0826121284</t>
        </is>
      </c>
      <c r="B926" t="inlineStr">
        <is>
          <t>CRS0000675</t>
        </is>
      </c>
      <c r="C926" t="inlineStr">
        <is>
          <t>LT</t>
        </is>
      </c>
      <c r="D926" t="inlineStr">
        <is>
          <t>ALX440U-DS3B01</t>
        </is>
      </c>
      <c r="E926" s="2" t="n">
        <v>46136</v>
      </c>
      <c r="F926" t="inlineStr">
        <is>
          <t>Fail</t>
        </is>
      </c>
      <c r="G926" t="n">
        <v>165.6</v>
      </c>
      <c r="H926" t="n">
        <v>99.59999999999999</v>
      </c>
      <c r="I926" t="n">
        <v>-1957.8</v>
      </c>
      <c r="J926" t="n">
        <v>70</v>
      </c>
      <c r="K926" t="n">
        <v>0</v>
      </c>
      <c r="L926" t="n">
        <v>0.5</v>
      </c>
      <c r="M926" t="n">
        <v>0</v>
      </c>
      <c r="N926" t="n">
        <v>69.5</v>
      </c>
      <c r="O926" t="n">
        <v>114.87</v>
      </c>
      <c r="P926" t="n">
        <v>115.16</v>
      </c>
      <c r="Q926" t="n">
        <v>7.84</v>
      </c>
      <c r="R926" t="n">
        <v>8.029999999999999</v>
      </c>
      <c r="S926">
        <f>IF(OR(G926=0,G926=""),"",ABS((G926-IF($C926="LT",Config!$F$2,Config!$F$14))/IF($C926="LT",Config!$G$2,Config!$G$14)))</f>
        <v/>
      </c>
      <c r="T926">
        <f>IF(OR(H926=0,H926=""),"",ABS((H926-IF($C926="LT",Config!$F$3,Config!$F$15))/IF($C926="LT",Config!$G$3,Config!$G$15)))</f>
        <v/>
      </c>
      <c r="U926">
        <f>IF(OR(I926=0,I926=""),"",ABS((I926-IF($C926="LT",Config!$F$4,Config!$F$16))/IF($C926="LT",Config!$G$4,Config!$G$16)))</f>
        <v/>
      </c>
      <c r="V926">
        <f>IF(OR(J926=0,J926=""),"",ABS((J926-IF($C926="LT",Config!$F$5,Config!$F$17))/IF($C926="LT",Config!$G$5,Config!$G$17)))</f>
        <v/>
      </c>
      <c r="W926">
        <f>IF(OR(K926=0,K926=""),"",ABS((K926-IF($C926="LT",Config!$F$6,Config!$F$18))/IF($C926="LT",Config!$G$6,Config!$G$18)))</f>
        <v/>
      </c>
      <c r="X926">
        <f>IF(OR(L926=0,L926=""),"",ABS((L926-IF($C926="LT",Config!$F$7,Config!$F$19))/IF($C926="LT",Config!$G$7,Config!$G$19)))</f>
        <v/>
      </c>
      <c r="Y926">
        <f>IF(OR(M926=0,M926=""),"",ABS((M926-IF($C926="LT",Config!$F$8,Config!$F$20))/IF($C926="LT",Config!$G$8,Config!$G$20)))</f>
        <v/>
      </c>
      <c r="Z926">
        <f>IF(OR(N926=0,N926=""),"",ABS((N926-IF($C926="LT",Config!$F$9,Config!$F$21))/IF($C926="LT",Config!$G$9,Config!$G$21)))</f>
        <v/>
      </c>
      <c r="AA926">
        <f>IF(OR(O926=0,O926=""),"",ABS((O926-IF($C926="LT",Config!$F$10,Config!$F$22))/IF($C926="LT",Config!$G$10,Config!$G$22)))</f>
        <v/>
      </c>
      <c r="AB926">
        <f>IF(OR(P926=0,P926=""),"",ABS((P926-IF($C926="LT",Config!$F$11,Config!$F$23))/IF($C926="LT",Config!$G$11,Config!$G$23)))</f>
        <v/>
      </c>
      <c r="AC926">
        <f>IF(OR(Q926=0,Q926=""),"",ABS((Q926-IF($C926="LT",Config!$F$12,Config!$F$24))/IF($C926="LT",Config!$G$12,Config!$G$24)))</f>
        <v/>
      </c>
      <c r="AD926">
        <f>IF(OR(R926=0,R926=""),"",ABS((R926-IF($C926="LT",Config!$F$13,Config!$F$25))/IF($C926="LT",Config!$G$13,Config!$G$25)))</f>
        <v/>
      </c>
    </row>
    <row r="927">
      <c r="A927" t="inlineStr">
        <is>
          <t>04D0826121284</t>
        </is>
      </c>
      <c r="B927" t="inlineStr">
        <is>
          <t>CRS0000675</t>
        </is>
      </c>
      <c r="C927" t="inlineStr">
        <is>
          <t>LT</t>
        </is>
      </c>
      <c r="D927" t="inlineStr">
        <is>
          <t>ALX440U-DS3B01</t>
        </is>
      </c>
      <c r="E927" s="2" t="n">
        <v>46136</v>
      </c>
      <c r="F927" t="inlineStr">
        <is>
          <t>Pass</t>
        </is>
      </c>
      <c r="G927" t="n">
        <v>160.2</v>
      </c>
      <c r="H927" t="n">
        <v>98.7</v>
      </c>
      <c r="I927" t="n">
        <v>-1957.8</v>
      </c>
      <c r="J927" t="n">
        <v>70</v>
      </c>
      <c r="K927" t="n">
        <v>0</v>
      </c>
      <c r="L927" t="n">
        <v>0.4</v>
      </c>
      <c r="M927" t="n">
        <v>0</v>
      </c>
      <c r="N927" t="n">
        <v>69.59999999999999</v>
      </c>
      <c r="O927" t="n">
        <v>115.09</v>
      </c>
      <c r="P927" t="n">
        <v>115.02</v>
      </c>
      <c r="Q927" t="n">
        <v>7.96</v>
      </c>
      <c r="R927" t="n">
        <v>8.15</v>
      </c>
      <c r="S927">
        <f>IF(OR(G927=0,G927=""),"",ABS((G927-IF($C927="LT",Config!$F$2,Config!$F$14))/IF($C927="LT",Config!$G$2,Config!$G$14)))</f>
        <v/>
      </c>
      <c r="T927">
        <f>IF(OR(H927=0,H927=""),"",ABS((H927-IF($C927="LT",Config!$F$3,Config!$F$15))/IF($C927="LT",Config!$G$3,Config!$G$15)))</f>
        <v/>
      </c>
      <c r="U927">
        <f>IF(OR(I927=0,I927=""),"",ABS((I927-IF($C927="LT",Config!$F$4,Config!$F$16))/IF($C927="LT",Config!$G$4,Config!$G$16)))</f>
        <v/>
      </c>
      <c r="V927">
        <f>IF(OR(J927=0,J927=""),"",ABS((J927-IF($C927="LT",Config!$F$5,Config!$F$17))/IF($C927="LT",Config!$G$5,Config!$G$17)))</f>
        <v/>
      </c>
      <c r="W927">
        <f>IF(OR(K927=0,K927=""),"",ABS((K927-IF($C927="LT",Config!$F$6,Config!$F$18))/IF($C927="LT",Config!$G$6,Config!$G$18)))</f>
        <v/>
      </c>
      <c r="X927">
        <f>IF(OR(L927=0,L927=""),"",ABS((L927-IF($C927="LT",Config!$F$7,Config!$F$19))/IF($C927="LT",Config!$G$7,Config!$G$19)))</f>
        <v/>
      </c>
      <c r="Y927">
        <f>IF(OR(M927=0,M927=""),"",ABS((M927-IF($C927="LT",Config!$F$8,Config!$F$20))/IF($C927="LT",Config!$G$8,Config!$G$20)))</f>
        <v/>
      </c>
      <c r="Z927">
        <f>IF(OR(N927=0,N927=""),"",ABS((N927-IF($C927="LT",Config!$F$9,Config!$F$21))/IF($C927="LT",Config!$G$9,Config!$G$21)))</f>
        <v/>
      </c>
      <c r="AA927">
        <f>IF(OR(O927=0,O927=""),"",ABS((O927-IF($C927="LT",Config!$F$10,Config!$F$22))/IF($C927="LT",Config!$G$10,Config!$G$22)))</f>
        <v/>
      </c>
      <c r="AB927">
        <f>IF(OR(P927=0,P927=""),"",ABS((P927-IF($C927="LT",Config!$F$11,Config!$F$23))/IF($C927="LT",Config!$G$11,Config!$G$23)))</f>
        <v/>
      </c>
      <c r="AC927">
        <f>IF(OR(Q927=0,Q927=""),"",ABS((Q927-IF($C927="LT",Config!$F$12,Config!$F$24))/IF($C927="LT",Config!$G$12,Config!$G$24)))</f>
        <v/>
      </c>
      <c r="AD927">
        <f>IF(OR(R927=0,R927=""),"",ABS((R927-IF($C927="LT",Config!$F$13,Config!$F$25))/IF($C927="LT",Config!$G$13,Config!$G$25)))</f>
        <v/>
      </c>
    </row>
    <row r="928">
      <c r="A928" t="inlineStr">
        <is>
          <t>04D0626121259</t>
        </is>
      </c>
      <c r="B928" t="inlineStr">
        <is>
          <t>CRS0000674</t>
        </is>
      </c>
      <c r="C928" t="inlineStr">
        <is>
          <t>MT</t>
        </is>
      </c>
      <c r="D928" t="inlineStr">
        <is>
          <t>TCX413U-DS1B01</t>
        </is>
      </c>
      <c r="E928" s="2" t="n">
        <v>46136</v>
      </c>
      <c r="F928" t="inlineStr">
        <is>
          <t>Pass</t>
        </is>
      </c>
      <c r="G928" t="n">
        <v>121.8</v>
      </c>
      <c r="H928" t="n">
        <v>83.40000000000001</v>
      </c>
      <c r="I928" t="n">
        <v>-1957.8</v>
      </c>
      <c r="J928" t="n">
        <v>70.40000000000001</v>
      </c>
      <c r="K928" t="n">
        <v>0</v>
      </c>
      <c r="L928" t="n">
        <v>0.1</v>
      </c>
      <c r="M928" t="n">
        <v>0</v>
      </c>
      <c r="N928" t="n">
        <v>70.5</v>
      </c>
      <c r="O928" t="n">
        <v>115.6</v>
      </c>
      <c r="P928" t="n">
        <v>117.07</v>
      </c>
      <c r="Q928" t="n">
        <v>3.81</v>
      </c>
      <c r="R928" t="n">
        <v>3.86</v>
      </c>
      <c r="S928">
        <f>IF(OR(G928=0,G928=""),"",ABS((G928-IF($C928="LT",Config!$F$2,Config!$F$14))/IF($C928="LT",Config!$G$2,Config!$G$14)))</f>
        <v/>
      </c>
      <c r="T928">
        <f>IF(OR(H928=0,H928=""),"",ABS((H928-IF($C928="LT",Config!$F$3,Config!$F$15))/IF($C928="LT",Config!$G$3,Config!$G$15)))</f>
        <v/>
      </c>
      <c r="U928">
        <f>IF(OR(I928=0,I928=""),"",ABS((I928-IF($C928="LT",Config!$F$4,Config!$F$16))/IF($C928="LT",Config!$G$4,Config!$G$16)))</f>
        <v/>
      </c>
      <c r="V928">
        <f>IF(OR(J928=0,J928=""),"",ABS((J928-IF($C928="LT",Config!$F$5,Config!$F$17))/IF($C928="LT",Config!$G$5,Config!$G$17)))</f>
        <v/>
      </c>
      <c r="W928">
        <f>IF(OR(K928=0,K928=""),"",ABS((K928-IF($C928="LT",Config!$F$6,Config!$F$18))/IF($C928="LT",Config!$G$6,Config!$G$18)))</f>
        <v/>
      </c>
      <c r="X928">
        <f>IF(OR(L928=0,L928=""),"",ABS((L928-IF($C928="LT",Config!$F$7,Config!$F$19))/IF($C928="LT",Config!$G$7,Config!$G$19)))</f>
        <v/>
      </c>
      <c r="Y928">
        <f>IF(OR(M928=0,M928=""),"",ABS((M928-IF($C928="LT",Config!$F$8,Config!$F$20))/IF($C928="LT",Config!$G$8,Config!$G$20)))</f>
        <v/>
      </c>
      <c r="Z928">
        <f>IF(OR(N928=0,N928=""),"",ABS((N928-IF($C928="LT",Config!$F$9,Config!$F$21))/IF($C928="LT",Config!$G$9,Config!$G$21)))</f>
        <v/>
      </c>
      <c r="AA928">
        <f>IF(OR(O928=0,O928=""),"",ABS((O928-IF($C928="LT",Config!$F$10,Config!$F$22))/IF($C928="LT",Config!$G$10,Config!$G$22)))</f>
        <v/>
      </c>
      <c r="AB928">
        <f>IF(OR(P928=0,P928=""),"",ABS((P928-IF($C928="LT",Config!$F$11,Config!$F$23))/IF($C928="LT",Config!$G$11,Config!$G$23)))</f>
        <v/>
      </c>
      <c r="AC928">
        <f>IF(OR(Q928=0,Q928=""),"",ABS((Q928-IF($C928="LT",Config!$F$12,Config!$F$24))/IF($C928="LT",Config!$G$12,Config!$G$24)))</f>
        <v/>
      </c>
      <c r="AD928">
        <f>IF(OR(R928=0,R928=""),"",ABS((R928-IF($C928="LT",Config!$F$13,Config!$F$25))/IF($C928="LT",Config!$G$13,Config!$G$25)))</f>
        <v/>
      </c>
    </row>
    <row r="929">
      <c r="A929" t="inlineStr">
        <is>
          <t>04D1326121350</t>
        </is>
      </c>
      <c r="B929" t="inlineStr">
        <is>
          <t>CRS0000675</t>
        </is>
      </c>
      <c r="C929" t="inlineStr">
        <is>
          <t>LT</t>
        </is>
      </c>
      <c r="D929" t="inlineStr">
        <is>
          <t>ALX440U-DS3B01</t>
        </is>
      </c>
      <c r="E929" s="2" t="n">
        <v>46136</v>
      </c>
      <c r="F929" t="inlineStr">
        <is>
          <t>Fail</t>
        </is>
      </c>
      <c r="G929" t="n">
        <v>74</v>
      </c>
      <c r="H929" t="n">
        <v>70.7</v>
      </c>
      <c r="I929" t="n">
        <v>-1957.8</v>
      </c>
      <c r="J929" t="n">
        <v>70.40000000000001</v>
      </c>
      <c r="K929" t="n">
        <v>0</v>
      </c>
      <c r="L929" t="n">
        <v>0.4</v>
      </c>
      <c r="M929" t="n">
        <v>0</v>
      </c>
      <c r="N929" t="n">
        <v>70.8</v>
      </c>
      <c r="O929" t="n">
        <v>113.4</v>
      </c>
      <c r="P929" t="n">
        <v>112.96</v>
      </c>
      <c r="Q929" t="n">
        <v>2.44</v>
      </c>
      <c r="R929" t="n">
        <v>2.2</v>
      </c>
      <c r="S929">
        <f>IF(OR(G929=0,G929=""),"",ABS((G929-IF($C929="LT",Config!$F$2,Config!$F$14))/IF($C929="LT",Config!$G$2,Config!$G$14)))</f>
        <v/>
      </c>
      <c r="T929">
        <f>IF(OR(H929=0,H929=""),"",ABS((H929-IF($C929="LT",Config!$F$3,Config!$F$15))/IF($C929="LT",Config!$G$3,Config!$G$15)))</f>
        <v/>
      </c>
      <c r="U929">
        <f>IF(OR(I929=0,I929=""),"",ABS((I929-IF($C929="LT",Config!$F$4,Config!$F$16))/IF($C929="LT",Config!$G$4,Config!$G$16)))</f>
        <v/>
      </c>
      <c r="V929">
        <f>IF(OR(J929=0,J929=""),"",ABS((J929-IF($C929="LT",Config!$F$5,Config!$F$17))/IF($C929="LT",Config!$G$5,Config!$G$17)))</f>
        <v/>
      </c>
      <c r="W929">
        <f>IF(OR(K929=0,K929=""),"",ABS((K929-IF($C929="LT",Config!$F$6,Config!$F$18))/IF($C929="LT",Config!$G$6,Config!$G$18)))</f>
        <v/>
      </c>
      <c r="X929">
        <f>IF(OR(L929=0,L929=""),"",ABS((L929-IF($C929="LT",Config!$F$7,Config!$F$19))/IF($C929="LT",Config!$G$7,Config!$G$19)))</f>
        <v/>
      </c>
      <c r="Y929">
        <f>IF(OR(M929=0,M929=""),"",ABS((M929-IF($C929="LT",Config!$F$8,Config!$F$20))/IF($C929="LT",Config!$G$8,Config!$G$20)))</f>
        <v/>
      </c>
      <c r="Z929">
        <f>IF(OR(N929=0,N929=""),"",ABS((N929-IF($C929="LT",Config!$F$9,Config!$F$21))/IF($C929="LT",Config!$G$9,Config!$G$21)))</f>
        <v/>
      </c>
      <c r="AA929">
        <f>IF(OR(O929=0,O929=""),"",ABS((O929-IF($C929="LT",Config!$F$10,Config!$F$22))/IF($C929="LT",Config!$G$10,Config!$G$22)))</f>
        <v/>
      </c>
      <c r="AB929">
        <f>IF(OR(P929=0,P929=""),"",ABS((P929-IF($C929="LT",Config!$F$11,Config!$F$23))/IF($C929="LT",Config!$G$11,Config!$G$23)))</f>
        <v/>
      </c>
      <c r="AC929">
        <f>IF(OR(Q929=0,Q929=""),"",ABS((Q929-IF($C929="LT",Config!$F$12,Config!$F$24))/IF($C929="LT",Config!$G$12,Config!$G$24)))</f>
        <v/>
      </c>
      <c r="AD929">
        <f>IF(OR(R929=0,R929=""),"",ABS((R929-IF($C929="LT",Config!$F$13,Config!$F$25))/IF($C929="LT",Config!$G$13,Config!$G$25)))</f>
        <v/>
      </c>
    </row>
    <row r="930">
      <c r="A930" t="inlineStr">
        <is>
          <t>04D1326121350</t>
        </is>
      </c>
      <c r="B930" t="inlineStr">
        <is>
          <t>CRS0000675</t>
        </is>
      </c>
      <c r="C930" t="inlineStr">
        <is>
          <t>LT</t>
        </is>
      </c>
      <c r="D930" t="inlineStr">
        <is>
          <t>ALX440U-DS3B01</t>
        </is>
      </c>
      <c r="E930" s="2" t="n">
        <v>46136</v>
      </c>
      <c r="F930" t="inlineStr">
        <is>
          <t>Fail</t>
        </is>
      </c>
      <c r="G930" t="n">
        <v>71.3</v>
      </c>
      <c r="H930" t="n">
        <v>70.3</v>
      </c>
      <c r="I930" t="n">
        <v>-1957.8</v>
      </c>
      <c r="J930" t="n">
        <v>70.8</v>
      </c>
      <c r="K930" t="n">
        <v>0</v>
      </c>
      <c r="L930" t="n">
        <v>0.1</v>
      </c>
      <c r="M930" t="n">
        <v>0</v>
      </c>
      <c r="N930" t="n">
        <v>70.90000000000001</v>
      </c>
      <c r="O930" t="n">
        <v>116.48</v>
      </c>
      <c r="P930" t="n">
        <v>113.04</v>
      </c>
      <c r="Q930" t="n">
        <v>2.12</v>
      </c>
      <c r="R930" t="n">
        <v>2.08</v>
      </c>
      <c r="S930">
        <f>IF(OR(G930=0,G930=""),"",ABS((G930-IF($C930="LT",Config!$F$2,Config!$F$14))/IF($C930="LT",Config!$G$2,Config!$G$14)))</f>
        <v/>
      </c>
      <c r="T930">
        <f>IF(OR(H930=0,H930=""),"",ABS((H930-IF($C930="LT",Config!$F$3,Config!$F$15))/IF($C930="LT",Config!$G$3,Config!$G$15)))</f>
        <v/>
      </c>
      <c r="U930">
        <f>IF(OR(I930=0,I930=""),"",ABS((I930-IF($C930="LT",Config!$F$4,Config!$F$16))/IF($C930="LT",Config!$G$4,Config!$G$16)))</f>
        <v/>
      </c>
      <c r="V930">
        <f>IF(OR(J930=0,J930=""),"",ABS((J930-IF($C930="LT",Config!$F$5,Config!$F$17))/IF($C930="LT",Config!$G$5,Config!$G$17)))</f>
        <v/>
      </c>
      <c r="W930">
        <f>IF(OR(K930=0,K930=""),"",ABS((K930-IF($C930="LT",Config!$F$6,Config!$F$18))/IF($C930="LT",Config!$G$6,Config!$G$18)))</f>
        <v/>
      </c>
      <c r="X930">
        <f>IF(OR(L930=0,L930=""),"",ABS((L930-IF($C930="LT",Config!$F$7,Config!$F$19))/IF($C930="LT",Config!$G$7,Config!$G$19)))</f>
        <v/>
      </c>
      <c r="Y930">
        <f>IF(OR(M930=0,M930=""),"",ABS((M930-IF($C930="LT",Config!$F$8,Config!$F$20))/IF($C930="LT",Config!$G$8,Config!$G$20)))</f>
        <v/>
      </c>
      <c r="Z930">
        <f>IF(OR(N930=0,N930=""),"",ABS((N930-IF($C930="LT",Config!$F$9,Config!$F$21))/IF($C930="LT",Config!$G$9,Config!$G$21)))</f>
        <v/>
      </c>
      <c r="AA930">
        <f>IF(OR(O930=0,O930=""),"",ABS((O930-IF($C930="LT",Config!$F$10,Config!$F$22))/IF($C930="LT",Config!$G$10,Config!$G$22)))</f>
        <v/>
      </c>
      <c r="AB930">
        <f>IF(OR(P930=0,P930=""),"",ABS((P930-IF($C930="LT",Config!$F$11,Config!$F$23))/IF($C930="LT",Config!$G$11,Config!$G$23)))</f>
        <v/>
      </c>
      <c r="AC930">
        <f>IF(OR(Q930=0,Q930=""),"",ABS((Q930-IF($C930="LT",Config!$F$12,Config!$F$24))/IF($C930="LT",Config!$G$12,Config!$G$24)))</f>
        <v/>
      </c>
      <c r="AD930">
        <f>IF(OR(R930=0,R930=""),"",ABS((R930-IF($C930="LT",Config!$F$13,Config!$F$25))/IF($C930="LT",Config!$G$13,Config!$G$25)))</f>
        <v/>
      </c>
    </row>
    <row r="931">
      <c r="A931" t="inlineStr">
        <is>
          <t>04D1326121350</t>
        </is>
      </c>
      <c r="B931" t="inlineStr">
        <is>
          <t>CRS0000675</t>
        </is>
      </c>
      <c r="C931" t="inlineStr">
        <is>
          <t>LT</t>
        </is>
      </c>
      <c r="D931" t="inlineStr">
        <is>
          <t>ALX440U-DS3B01</t>
        </is>
      </c>
      <c r="E931" s="2" t="n">
        <v>46136</v>
      </c>
      <c r="F931" t="inlineStr">
        <is>
          <t>Fail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>
        <f>IF(OR(G931=0,G931=""),"",ABS((G931-IF($C931="LT",Config!$F$2,Config!$F$14))/IF($C931="LT",Config!$G$2,Config!$G$14)))</f>
        <v/>
      </c>
      <c r="T931">
        <f>IF(OR(H931=0,H931=""),"",ABS((H931-IF($C931="LT",Config!$F$3,Config!$F$15))/IF($C931="LT",Config!$G$3,Config!$G$15)))</f>
        <v/>
      </c>
      <c r="U931">
        <f>IF(OR(I931=0,I931=""),"",ABS((I931-IF($C931="LT",Config!$F$4,Config!$F$16))/IF($C931="LT",Config!$G$4,Config!$G$16)))</f>
        <v/>
      </c>
      <c r="V931">
        <f>IF(OR(J931=0,J931=""),"",ABS((J931-IF($C931="LT",Config!$F$5,Config!$F$17))/IF($C931="LT",Config!$G$5,Config!$G$17)))</f>
        <v/>
      </c>
      <c r="W931">
        <f>IF(OR(K931=0,K931=""),"",ABS((K931-IF($C931="LT",Config!$F$6,Config!$F$18))/IF($C931="LT",Config!$G$6,Config!$G$18)))</f>
        <v/>
      </c>
      <c r="X931">
        <f>IF(OR(L931=0,L931=""),"",ABS((L931-IF($C931="LT",Config!$F$7,Config!$F$19))/IF($C931="LT",Config!$G$7,Config!$G$19)))</f>
        <v/>
      </c>
      <c r="Y931">
        <f>IF(OR(M931=0,M931=""),"",ABS((M931-IF($C931="LT",Config!$F$8,Config!$F$20))/IF($C931="LT",Config!$G$8,Config!$G$20)))</f>
        <v/>
      </c>
      <c r="Z931">
        <f>IF(OR(N931=0,N931=""),"",ABS((N931-IF($C931="LT",Config!$F$9,Config!$F$21))/IF($C931="LT",Config!$G$9,Config!$G$21)))</f>
        <v/>
      </c>
      <c r="AA931">
        <f>IF(OR(O931=0,O931=""),"",ABS((O931-IF($C931="LT",Config!$F$10,Config!$F$22))/IF($C931="LT",Config!$G$10,Config!$G$22)))</f>
        <v/>
      </c>
      <c r="AB931">
        <f>IF(OR(P931=0,P931=""),"",ABS((P931-IF($C931="LT",Config!$F$11,Config!$F$23))/IF($C931="LT",Config!$G$11,Config!$G$23)))</f>
        <v/>
      </c>
      <c r="AC931">
        <f>IF(OR(Q931=0,Q931=""),"",ABS((Q931-IF($C931="LT",Config!$F$12,Config!$F$24))/IF($C931="LT",Config!$G$12,Config!$G$24)))</f>
        <v/>
      </c>
      <c r="AD931">
        <f>IF(OR(R931=0,R931=""),"",ABS((R931-IF($C931="LT",Config!$F$13,Config!$F$25))/IF($C931="LT",Config!$G$13,Config!$G$25)))</f>
        <v/>
      </c>
    </row>
    <row r="932">
      <c r="A932" t="inlineStr">
        <is>
          <t>04D0826121273</t>
        </is>
      </c>
      <c r="B932" t="inlineStr">
        <is>
          <t>CRS0000674</t>
        </is>
      </c>
      <c r="C932" t="inlineStr">
        <is>
          <t>MT</t>
        </is>
      </c>
      <c r="D932" t="inlineStr">
        <is>
          <t>TCX413U-DS1B01</t>
        </is>
      </c>
      <c r="E932" s="2" t="n">
        <v>46136</v>
      </c>
      <c r="F932" t="inlineStr">
        <is>
          <t>Pass</t>
        </is>
      </c>
      <c r="G932" t="n">
        <v>123.1</v>
      </c>
      <c r="H932" t="n">
        <v>82</v>
      </c>
      <c r="I932" t="n">
        <v>-1957.8</v>
      </c>
      <c r="J932" t="n">
        <v>70.40000000000001</v>
      </c>
      <c r="K932" t="n">
        <v>0</v>
      </c>
      <c r="L932" t="n">
        <v>1</v>
      </c>
      <c r="M932" t="n">
        <v>0</v>
      </c>
      <c r="N932" t="n">
        <v>69.40000000000001</v>
      </c>
      <c r="O932" t="n">
        <v>112.16</v>
      </c>
      <c r="P932" t="n">
        <v>116.92</v>
      </c>
      <c r="Q932" t="n">
        <v>4.1</v>
      </c>
      <c r="R932" t="n">
        <v>4.08</v>
      </c>
      <c r="S932">
        <f>IF(OR(G932=0,G932=""),"",ABS((G932-IF($C932="LT",Config!$F$2,Config!$F$14))/IF($C932="LT",Config!$G$2,Config!$G$14)))</f>
        <v/>
      </c>
      <c r="T932">
        <f>IF(OR(H932=0,H932=""),"",ABS((H932-IF($C932="LT",Config!$F$3,Config!$F$15))/IF($C932="LT",Config!$G$3,Config!$G$15)))</f>
        <v/>
      </c>
      <c r="U932">
        <f>IF(OR(I932=0,I932=""),"",ABS((I932-IF($C932="LT",Config!$F$4,Config!$F$16))/IF($C932="LT",Config!$G$4,Config!$G$16)))</f>
        <v/>
      </c>
      <c r="V932">
        <f>IF(OR(J932=0,J932=""),"",ABS((J932-IF($C932="LT",Config!$F$5,Config!$F$17))/IF($C932="LT",Config!$G$5,Config!$G$17)))</f>
        <v/>
      </c>
      <c r="W932">
        <f>IF(OR(K932=0,K932=""),"",ABS((K932-IF($C932="LT",Config!$F$6,Config!$F$18))/IF($C932="LT",Config!$G$6,Config!$G$18)))</f>
        <v/>
      </c>
      <c r="X932">
        <f>IF(OR(L932=0,L932=""),"",ABS((L932-IF($C932="LT",Config!$F$7,Config!$F$19))/IF($C932="LT",Config!$G$7,Config!$G$19)))</f>
        <v/>
      </c>
      <c r="Y932">
        <f>IF(OR(M932=0,M932=""),"",ABS((M932-IF($C932="LT",Config!$F$8,Config!$F$20))/IF($C932="LT",Config!$G$8,Config!$G$20)))</f>
        <v/>
      </c>
      <c r="Z932">
        <f>IF(OR(N932=0,N932=""),"",ABS((N932-IF($C932="LT",Config!$F$9,Config!$F$21))/IF($C932="LT",Config!$G$9,Config!$G$21)))</f>
        <v/>
      </c>
      <c r="AA932">
        <f>IF(OR(O932=0,O932=""),"",ABS((O932-IF($C932="LT",Config!$F$10,Config!$F$22))/IF($C932="LT",Config!$G$10,Config!$G$22)))</f>
        <v/>
      </c>
      <c r="AB932">
        <f>IF(OR(P932=0,P932=""),"",ABS((P932-IF($C932="LT",Config!$F$11,Config!$F$23))/IF($C932="LT",Config!$G$11,Config!$G$23)))</f>
        <v/>
      </c>
      <c r="AC932">
        <f>IF(OR(Q932=0,Q932=""),"",ABS((Q932-IF($C932="LT",Config!$F$12,Config!$F$24))/IF($C932="LT",Config!$G$12,Config!$G$24)))</f>
        <v/>
      </c>
      <c r="AD932">
        <f>IF(OR(R932=0,R932=""),"",ABS((R932-IF($C932="LT",Config!$F$13,Config!$F$25))/IF($C932="LT",Config!$G$13,Config!$G$25)))</f>
        <v/>
      </c>
    </row>
    <row r="933">
      <c r="A933" t="inlineStr">
        <is>
          <t>04D1426121371</t>
        </is>
      </c>
      <c r="B933" t="inlineStr">
        <is>
          <t>CRS0000674</t>
        </is>
      </c>
      <c r="C933" t="inlineStr">
        <is>
          <t>MT</t>
        </is>
      </c>
      <c r="D933" t="inlineStr">
        <is>
          <t>TCX413U-DS1B01</t>
        </is>
      </c>
      <c r="E933" s="2" t="n">
        <v>46136</v>
      </c>
      <c r="F933" t="inlineStr">
        <is>
          <t>Fail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>
        <f>IF(OR(G933=0,G933=""),"",ABS((G933-IF($C933="LT",Config!$F$2,Config!$F$14))/IF($C933="LT",Config!$G$2,Config!$G$14)))</f>
        <v/>
      </c>
      <c r="T933">
        <f>IF(OR(H933=0,H933=""),"",ABS((H933-IF($C933="LT",Config!$F$3,Config!$F$15))/IF($C933="LT",Config!$G$3,Config!$G$15)))</f>
        <v/>
      </c>
      <c r="U933">
        <f>IF(OR(I933=0,I933=""),"",ABS((I933-IF($C933="LT",Config!$F$4,Config!$F$16))/IF($C933="LT",Config!$G$4,Config!$G$16)))</f>
        <v/>
      </c>
      <c r="V933">
        <f>IF(OR(J933=0,J933=""),"",ABS((J933-IF($C933="LT",Config!$F$5,Config!$F$17))/IF($C933="LT",Config!$G$5,Config!$G$17)))</f>
        <v/>
      </c>
      <c r="W933">
        <f>IF(OR(K933=0,K933=""),"",ABS((K933-IF($C933="LT",Config!$F$6,Config!$F$18))/IF($C933="LT",Config!$G$6,Config!$G$18)))</f>
        <v/>
      </c>
      <c r="X933">
        <f>IF(OR(L933=0,L933=""),"",ABS((L933-IF($C933="LT",Config!$F$7,Config!$F$19))/IF($C933="LT",Config!$G$7,Config!$G$19)))</f>
        <v/>
      </c>
      <c r="Y933">
        <f>IF(OR(M933=0,M933=""),"",ABS((M933-IF($C933="LT",Config!$F$8,Config!$F$20))/IF($C933="LT",Config!$G$8,Config!$G$20)))</f>
        <v/>
      </c>
      <c r="Z933">
        <f>IF(OR(N933=0,N933=""),"",ABS((N933-IF($C933="LT",Config!$F$9,Config!$F$21))/IF($C933="LT",Config!$G$9,Config!$G$21)))</f>
        <v/>
      </c>
      <c r="AA933">
        <f>IF(OR(O933=0,O933=""),"",ABS((O933-IF($C933="LT",Config!$F$10,Config!$F$22))/IF($C933="LT",Config!$G$10,Config!$G$22)))</f>
        <v/>
      </c>
      <c r="AB933">
        <f>IF(OR(P933=0,P933=""),"",ABS((P933-IF($C933="LT",Config!$F$11,Config!$F$23))/IF($C933="LT",Config!$G$11,Config!$G$23)))</f>
        <v/>
      </c>
      <c r="AC933">
        <f>IF(OR(Q933=0,Q933=""),"",ABS((Q933-IF($C933="LT",Config!$F$12,Config!$F$24))/IF($C933="LT",Config!$G$12,Config!$G$24)))</f>
        <v/>
      </c>
      <c r="AD933">
        <f>IF(OR(R933=0,R933=""),"",ABS((R933-IF($C933="LT",Config!$F$13,Config!$F$25))/IF($C933="LT",Config!$G$13,Config!$G$25)))</f>
        <v/>
      </c>
    </row>
    <row r="934">
      <c r="A934" t="inlineStr">
        <is>
          <t>04D1626121418</t>
        </is>
      </c>
      <c r="B934" t="inlineStr">
        <is>
          <t>CRS0000674</t>
        </is>
      </c>
      <c r="C934" t="inlineStr">
        <is>
          <t>MT</t>
        </is>
      </c>
      <c r="D934" t="inlineStr">
        <is>
          <t>TCX413U-DS1B01</t>
        </is>
      </c>
      <c r="E934" s="2" t="n">
        <v>46136</v>
      </c>
      <c r="F934" t="inlineStr">
        <is>
          <t>Pass</t>
        </is>
      </c>
      <c r="G934" t="n">
        <v>123.6</v>
      </c>
      <c r="H934" t="n">
        <v>86.5</v>
      </c>
      <c r="I934" t="n">
        <v>-1957.8</v>
      </c>
      <c r="J934" t="n">
        <v>71.3</v>
      </c>
      <c r="K934" t="n">
        <v>0</v>
      </c>
      <c r="L934" t="n">
        <v>3.3</v>
      </c>
      <c r="M934" t="n">
        <v>0</v>
      </c>
      <c r="N934" t="n">
        <v>74.59999999999999</v>
      </c>
      <c r="O934" t="n">
        <v>111.94</v>
      </c>
      <c r="P934" t="n">
        <v>113.33</v>
      </c>
      <c r="Q934" t="n">
        <v>4</v>
      </c>
      <c r="R934" t="n">
        <v>4.03</v>
      </c>
      <c r="S934">
        <f>IF(OR(G934=0,G934=""),"",ABS((G934-IF($C934="LT",Config!$F$2,Config!$F$14))/IF($C934="LT",Config!$G$2,Config!$G$14)))</f>
        <v/>
      </c>
      <c r="T934">
        <f>IF(OR(H934=0,H934=""),"",ABS((H934-IF($C934="LT",Config!$F$3,Config!$F$15))/IF($C934="LT",Config!$G$3,Config!$G$15)))</f>
        <v/>
      </c>
      <c r="U934">
        <f>IF(OR(I934=0,I934=""),"",ABS((I934-IF($C934="LT",Config!$F$4,Config!$F$16))/IF($C934="LT",Config!$G$4,Config!$G$16)))</f>
        <v/>
      </c>
      <c r="V934">
        <f>IF(OR(J934=0,J934=""),"",ABS((J934-IF($C934="LT",Config!$F$5,Config!$F$17))/IF($C934="LT",Config!$G$5,Config!$G$17)))</f>
        <v/>
      </c>
      <c r="W934">
        <f>IF(OR(K934=0,K934=""),"",ABS((K934-IF($C934="LT",Config!$F$6,Config!$F$18))/IF($C934="LT",Config!$G$6,Config!$G$18)))</f>
        <v/>
      </c>
      <c r="X934">
        <f>IF(OR(L934=0,L934=""),"",ABS((L934-IF($C934="LT",Config!$F$7,Config!$F$19))/IF($C934="LT",Config!$G$7,Config!$G$19)))</f>
        <v/>
      </c>
      <c r="Y934">
        <f>IF(OR(M934=0,M934=""),"",ABS((M934-IF($C934="LT",Config!$F$8,Config!$F$20))/IF($C934="LT",Config!$G$8,Config!$G$20)))</f>
        <v/>
      </c>
      <c r="Z934">
        <f>IF(OR(N934=0,N934=""),"",ABS((N934-IF($C934="LT",Config!$F$9,Config!$F$21))/IF($C934="LT",Config!$G$9,Config!$G$21)))</f>
        <v/>
      </c>
      <c r="AA934">
        <f>IF(OR(O934=0,O934=""),"",ABS((O934-IF($C934="LT",Config!$F$10,Config!$F$22))/IF($C934="LT",Config!$G$10,Config!$G$22)))</f>
        <v/>
      </c>
      <c r="AB934">
        <f>IF(OR(P934=0,P934=""),"",ABS((P934-IF($C934="LT",Config!$F$11,Config!$F$23))/IF($C934="LT",Config!$G$11,Config!$G$23)))</f>
        <v/>
      </c>
      <c r="AC934">
        <f>IF(OR(Q934=0,Q934=""),"",ABS((Q934-IF($C934="LT",Config!$F$12,Config!$F$24))/IF($C934="LT",Config!$G$12,Config!$G$24)))</f>
        <v/>
      </c>
      <c r="AD934">
        <f>IF(OR(R934=0,R934=""),"",ABS((R934-IF($C934="LT",Config!$F$13,Config!$F$25))/IF($C934="LT",Config!$G$13,Config!$G$25)))</f>
        <v/>
      </c>
    </row>
    <row r="935">
      <c r="A935" t="inlineStr">
        <is>
          <t>04D0626121252</t>
        </is>
      </c>
      <c r="B935" t="inlineStr">
        <is>
          <t>CRS0000674</t>
        </is>
      </c>
      <c r="C935" t="inlineStr">
        <is>
          <t>MT</t>
        </is>
      </c>
      <c r="D935" t="inlineStr">
        <is>
          <t>TCX413U-DS1B01</t>
        </is>
      </c>
      <c r="E935" s="2" t="n">
        <v>46136</v>
      </c>
      <c r="F935" t="inlineStr">
        <is>
          <t>Fail</t>
        </is>
      </c>
      <c r="G935" t="n">
        <v>81.59999999999999</v>
      </c>
      <c r="H935" t="n">
        <v>64</v>
      </c>
      <c r="I935" t="n">
        <v>-1957.8</v>
      </c>
      <c r="J935" t="n">
        <v>71.3</v>
      </c>
      <c r="K935" t="n">
        <v>0</v>
      </c>
      <c r="L935" t="n">
        <v>1.9</v>
      </c>
      <c r="M935" t="n">
        <v>0</v>
      </c>
      <c r="N935" t="n">
        <v>73.2</v>
      </c>
      <c r="O935" t="n">
        <v>112.89</v>
      </c>
      <c r="P935" t="n">
        <v>117.36</v>
      </c>
      <c r="Q935" t="n">
        <v>2.22</v>
      </c>
      <c r="R935" t="n">
        <v>2.15</v>
      </c>
      <c r="S935">
        <f>IF(OR(G935=0,G935=""),"",ABS((G935-IF($C935="LT",Config!$F$2,Config!$F$14))/IF($C935="LT",Config!$G$2,Config!$G$14)))</f>
        <v/>
      </c>
      <c r="T935">
        <f>IF(OR(H935=0,H935=""),"",ABS((H935-IF($C935="LT",Config!$F$3,Config!$F$15))/IF($C935="LT",Config!$G$3,Config!$G$15)))</f>
        <v/>
      </c>
      <c r="U935">
        <f>IF(OR(I935=0,I935=""),"",ABS((I935-IF($C935="LT",Config!$F$4,Config!$F$16))/IF($C935="LT",Config!$G$4,Config!$G$16)))</f>
        <v/>
      </c>
      <c r="V935">
        <f>IF(OR(J935=0,J935=""),"",ABS((J935-IF($C935="LT",Config!$F$5,Config!$F$17))/IF($C935="LT",Config!$G$5,Config!$G$17)))</f>
        <v/>
      </c>
      <c r="W935">
        <f>IF(OR(K935=0,K935=""),"",ABS((K935-IF($C935="LT",Config!$F$6,Config!$F$18))/IF($C935="LT",Config!$G$6,Config!$G$18)))</f>
        <v/>
      </c>
      <c r="X935">
        <f>IF(OR(L935=0,L935=""),"",ABS((L935-IF($C935="LT",Config!$F$7,Config!$F$19))/IF($C935="LT",Config!$G$7,Config!$G$19)))</f>
        <v/>
      </c>
      <c r="Y935">
        <f>IF(OR(M935=0,M935=""),"",ABS((M935-IF($C935="LT",Config!$F$8,Config!$F$20))/IF($C935="LT",Config!$G$8,Config!$G$20)))</f>
        <v/>
      </c>
      <c r="Z935">
        <f>IF(OR(N935=0,N935=""),"",ABS((N935-IF($C935="LT",Config!$F$9,Config!$F$21))/IF($C935="LT",Config!$G$9,Config!$G$21)))</f>
        <v/>
      </c>
      <c r="AA935">
        <f>IF(OR(O935=0,O935=""),"",ABS((O935-IF($C935="LT",Config!$F$10,Config!$F$22))/IF($C935="LT",Config!$G$10,Config!$G$22)))</f>
        <v/>
      </c>
      <c r="AB935">
        <f>IF(OR(P935=0,P935=""),"",ABS((P935-IF($C935="LT",Config!$F$11,Config!$F$23))/IF($C935="LT",Config!$G$11,Config!$G$23)))</f>
        <v/>
      </c>
      <c r="AC935">
        <f>IF(OR(Q935=0,Q935=""),"",ABS((Q935-IF($C935="LT",Config!$F$12,Config!$F$24))/IF($C935="LT",Config!$G$12,Config!$G$24)))</f>
        <v/>
      </c>
      <c r="AD935">
        <f>IF(OR(R935=0,R935=""),"",ABS((R935-IF($C935="LT",Config!$F$13,Config!$F$25))/IF($C935="LT",Config!$G$13,Config!$G$25)))</f>
        <v/>
      </c>
    </row>
    <row r="936">
      <c r="A936" t="inlineStr">
        <is>
          <t>04D0626121252</t>
        </is>
      </c>
      <c r="B936" t="inlineStr">
        <is>
          <t>CRS0000674</t>
        </is>
      </c>
      <c r="C936" t="inlineStr">
        <is>
          <t>MT</t>
        </is>
      </c>
      <c r="D936" t="inlineStr">
        <is>
          <t>TCX413U-DS1B01</t>
        </is>
      </c>
      <c r="E936" s="2" t="n">
        <v>46136</v>
      </c>
      <c r="F936" t="inlineStr">
        <is>
          <t>Fail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>
        <f>IF(OR(G936=0,G936=""),"",ABS((G936-IF($C936="LT",Config!$F$2,Config!$F$14))/IF($C936="LT",Config!$G$2,Config!$G$14)))</f>
        <v/>
      </c>
      <c r="T936">
        <f>IF(OR(H936=0,H936=""),"",ABS((H936-IF($C936="LT",Config!$F$3,Config!$F$15))/IF($C936="LT",Config!$G$3,Config!$G$15)))</f>
        <v/>
      </c>
      <c r="U936">
        <f>IF(OR(I936=0,I936=""),"",ABS((I936-IF($C936="LT",Config!$F$4,Config!$F$16))/IF($C936="LT",Config!$G$4,Config!$G$16)))</f>
        <v/>
      </c>
      <c r="V936">
        <f>IF(OR(J936=0,J936=""),"",ABS((J936-IF($C936="LT",Config!$F$5,Config!$F$17))/IF($C936="LT",Config!$G$5,Config!$G$17)))</f>
        <v/>
      </c>
      <c r="W936">
        <f>IF(OR(K936=0,K936=""),"",ABS((K936-IF($C936="LT",Config!$F$6,Config!$F$18))/IF($C936="LT",Config!$G$6,Config!$G$18)))</f>
        <v/>
      </c>
      <c r="X936">
        <f>IF(OR(L936=0,L936=""),"",ABS((L936-IF($C936="LT",Config!$F$7,Config!$F$19))/IF($C936="LT",Config!$G$7,Config!$G$19)))</f>
        <v/>
      </c>
      <c r="Y936">
        <f>IF(OR(M936=0,M936=""),"",ABS((M936-IF($C936="LT",Config!$F$8,Config!$F$20))/IF($C936="LT",Config!$G$8,Config!$G$20)))</f>
        <v/>
      </c>
      <c r="Z936">
        <f>IF(OR(N936=0,N936=""),"",ABS((N936-IF($C936="LT",Config!$F$9,Config!$F$21))/IF($C936="LT",Config!$G$9,Config!$G$21)))</f>
        <v/>
      </c>
      <c r="AA936">
        <f>IF(OR(O936=0,O936=""),"",ABS((O936-IF($C936="LT",Config!$F$10,Config!$F$22))/IF($C936="LT",Config!$G$10,Config!$G$22)))</f>
        <v/>
      </c>
      <c r="AB936">
        <f>IF(OR(P936=0,P936=""),"",ABS((P936-IF($C936="LT",Config!$F$11,Config!$F$23))/IF($C936="LT",Config!$G$11,Config!$G$23)))</f>
        <v/>
      </c>
      <c r="AC936">
        <f>IF(OR(Q936=0,Q936=""),"",ABS((Q936-IF($C936="LT",Config!$F$12,Config!$F$24))/IF($C936="LT",Config!$G$12,Config!$G$24)))</f>
        <v/>
      </c>
      <c r="AD936">
        <f>IF(OR(R936=0,R936=""),"",ABS((R936-IF($C936="LT",Config!$F$13,Config!$F$25))/IF($C936="LT",Config!$G$13,Config!$G$25)))</f>
        <v/>
      </c>
    </row>
    <row r="937">
      <c r="A937" t="inlineStr">
        <is>
          <t>04C2426121075</t>
        </is>
      </c>
      <c r="B937" t="inlineStr">
        <is>
          <t>CRS0000675</t>
        </is>
      </c>
      <c r="C937" t="inlineStr">
        <is>
          <t>LT</t>
        </is>
      </c>
      <c r="D937" t="inlineStr">
        <is>
          <t>ALX440U-DS3B01</t>
        </is>
      </c>
      <c r="E937" s="2" t="n">
        <v>46136</v>
      </c>
      <c r="F937" t="inlineStr">
        <is>
          <t>Fail</t>
        </is>
      </c>
      <c r="G937" t="n">
        <v>174.9</v>
      </c>
      <c r="H937" t="n">
        <v>100.1</v>
      </c>
      <c r="I937" t="n">
        <v>-1957.8</v>
      </c>
      <c r="J937" t="n">
        <v>71.3</v>
      </c>
      <c r="K937" t="n">
        <v>0</v>
      </c>
      <c r="L937" t="n">
        <v>0</v>
      </c>
      <c r="M937" t="n">
        <v>0</v>
      </c>
      <c r="N937" t="n">
        <v>71.3</v>
      </c>
      <c r="O937" t="n">
        <v>114.65</v>
      </c>
      <c r="P937" t="n">
        <v>114.72</v>
      </c>
      <c r="Q937" t="n">
        <v>8.59</v>
      </c>
      <c r="R937" t="n">
        <v>8.4</v>
      </c>
      <c r="S937">
        <f>IF(OR(G937=0,G937=""),"",ABS((G937-IF($C937="LT",Config!$F$2,Config!$F$14))/IF($C937="LT",Config!$G$2,Config!$G$14)))</f>
        <v/>
      </c>
      <c r="T937">
        <f>IF(OR(H937=0,H937=""),"",ABS((H937-IF($C937="LT",Config!$F$3,Config!$F$15))/IF($C937="LT",Config!$G$3,Config!$G$15)))</f>
        <v/>
      </c>
      <c r="U937">
        <f>IF(OR(I937=0,I937=""),"",ABS((I937-IF($C937="LT",Config!$F$4,Config!$F$16))/IF($C937="LT",Config!$G$4,Config!$G$16)))</f>
        <v/>
      </c>
      <c r="V937">
        <f>IF(OR(J937=0,J937=""),"",ABS((J937-IF($C937="LT",Config!$F$5,Config!$F$17))/IF($C937="LT",Config!$G$5,Config!$G$17)))</f>
        <v/>
      </c>
      <c r="W937">
        <f>IF(OR(K937=0,K937=""),"",ABS((K937-IF($C937="LT",Config!$F$6,Config!$F$18))/IF($C937="LT",Config!$G$6,Config!$G$18)))</f>
        <v/>
      </c>
      <c r="X937">
        <f>IF(OR(L937=0,L937=""),"",ABS((L937-IF($C937="LT",Config!$F$7,Config!$F$19))/IF($C937="LT",Config!$G$7,Config!$G$19)))</f>
        <v/>
      </c>
      <c r="Y937">
        <f>IF(OR(M937=0,M937=""),"",ABS((M937-IF($C937="LT",Config!$F$8,Config!$F$20))/IF($C937="LT",Config!$G$8,Config!$G$20)))</f>
        <v/>
      </c>
      <c r="Z937">
        <f>IF(OR(N937=0,N937=""),"",ABS((N937-IF($C937="LT",Config!$F$9,Config!$F$21))/IF($C937="LT",Config!$G$9,Config!$G$21)))</f>
        <v/>
      </c>
      <c r="AA937">
        <f>IF(OR(O937=0,O937=""),"",ABS((O937-IF($C937="LT",Config!$F$10,Config!$F$22))/IF($C937="LT",Config!$G$10,Config!$G$22)))</f>
        <v/>
      </c>
      <c r="AB937">
        <f>IF(OR(P937=0,P937=""),"",ABS((P937-IF($C937="LT",Config!$F$11,Config!$F$23))/IF($C937="LT",Config!$G$11,Config!$G$23)))</f>
        <v/>
      </c>
      <c r="AC937">
        <f>IF(OR(Q937=0,Q937=""),"",ABS((Q937-IF($C937="LT",Config!$F$12,Config!$F$24))/IF($C937="LT",Config!$G$12,Config!$G$24)))</f>
        <v/>
      </c>
      <c r="AD937">
        <f>IF(OR(R937=0,R937=""),"",ABS((R937-IF($C937="LT",Config!$F$13,Config!$F$25))/IF($C937="LT",Config!$G$13,Config!$G$25)))</f>
        <v/>
      </c>
    </row>
    <row r="938">
      <c r="A938" t="inlineStr">
        <is>
          <t>04C2426121075</t>
        </is>
      </c>
      <c r="B938" t="inlineStr">
        <is>
          <t>CRS0000675</t>
        </is>
      </c>
      <c r="C938" t="inlineStr">
        <is>
          <t>LT</t>
        </is>
      </c>
      <c r="D938" t="inlineStr">
        <is>
          <t>ALX440U-DS3B01</t>
        </is>
      </c>
      <c r="E938" s="2" t="n">
        <v>46136</v>
      </c>
      <c r="F938" t="inlineStr">
        <is>
          <t>Fail</t>
        </is>
      </c>
      <c r="G938" t="n">
        <v>181.2</v>
      </c>
      <c r="H938" t="n">
        <v>100.1</v>
      </c>
      <c r="I938" t="n">
        <v>-1957.8</v>
      </c>
      <c r="J938" t="n">
        <v>71.3</v>
      </c>
      <c r="K938" t="n">
        <v>0</v>
      </c>
      <c r="L938" t="n">
        <v>0.3</v>
      </c>
      <c r="M938" t="n">
        <v>0</v>
      </c>
      <c r="N938" t="n">
        <v>71</v>
      </c>
      <c r="O938" t="n">
        <v>111.5</v>
      </c>
      <c r="P938" t="n">
        <v>113.11</v>
      </c>
      <c r="Q938" t="n">
        <v>8.470000000000001</v>
      </c>
      <c r="R938" t="n">
        <v>8.369999999999999</v>
      </c>
      <c r="S938">
        <f>IF(OR(G938=0,G938=""),"",ABS((G938-IF($C938="LT",Config!$F$2,Config!$F$14))/IF($C938="LT",Config!$G$2,Config!$G$14)))</f>
        <v/>
      </c>
      <c r="T938">
        <f>IF(OR(H938=0,H938=""),"",ABS((H938-IF($C938="LT",Config!$F$3,Config!$F$15))/IF($C938="LT",Config!$G$3,Config!$G$15)))</f>
        <v/>
      </c>
      <c r="U938">
        <f>IF(OR(I938=0,I938=""),"",ABS((I938-IF($C938="LT",Config!$F$4,Config!$F$16))/IF($C938="LT",Config!$G$4,Config!$G$16)))</f>
        <v/>
      </c>
      <c r="V938">
        <f>IF(OR(J938=0,J938=""),"",ABS((J938-IF($C938="LT",Config!$F$5,Config!$F$17))/IF($C938="LT",Config!$G$5,Config!$G$17)))</f>
        <v/>
      </c>
      <c r="W938">
        <f>IF(OR(K938=0,K938=""),"",ABS((K938-IF($C938="LT",Config!$F$6,Config!$F$18))/IF($C938="LT",Config!$G$6,Config!$G$18)))</f>
        <v/>
      </c>
      <c r="X938">
        <f>IF(OR(L938=0,L938=""),"",ABS((L938-IF($C938="LT",Config!$F$7,Config!$F$19))/IF($C938="LT",Config!$G$7,Config!$G$19)))</f>
        <v/>
      </c>
      <c r="Y938">
        <f>IF(OR(M938=0,M938=""),"",ABS((M938-IF($C938="LT",Config!$F$8,Config!$F$20))/IF($C938="LT",Config!$G$8,Config!$G$20)))</f>
        <v/>
      </c>
      <c r="Z938">
        <f>IF(OR(N938=0,N938=""),"",ABS((N938-IF($C938="LT",Config!$F$9,Config!$F$21))/IF($C938="LT",Config!$G$9,Config!$G$21)))</f>
        <v/>
      </c>
      <c r="AA938">
        <f>IF(OR(O938=0,O938=""),"",ABS((O938-IF($C938="LT",Config!$F$10,Config!$F$22))/IF($C938="LT",Config!$G$10,Config!$G$22)))</f>
        <v/>
      </c>
      <c r="AB938">
        <f>IF(OR(P938=0,P938=""),"",ABS((P938-IF($C938="LT",Config!$F$11,Config!$F$23))/IF($C938="LT",Config!$G$11,Config!$G$23)))</f>
        <v/>
      </c>
      <c r="AC938">
        <f>IF(OR(Q938=0,Q938=""),"",ABS((Q938-IF($C938="LT",Config!$F$12,Config!$F$24))/IF($C938="LT",Config!$G$12,Config!$G$24)))</f>
        <v/>
      </c>
      <c r="AD938">
        <f>IF(OR(R938=0,R938=""),"",ABS((R938-IF($C938="LT",Config!$F$13,Config!$F$25))/IF($C938="LT",Config!$G$13,Config!$G$25)))</f>
        <v/>
      </c>
    </row>
    <row r="939">
      <c r="A939" t="inlineStr">
        <is>
          <t>04C2426121075</t>
        </is>
      </c>
      <c r="B939" t="inlineStr">
        <is>
          <t>CRS0000675</t>
        </is>
      </c>
      <c r="C939" t="inlineStr">
        <is>
          <t>LT</t>
        </is>
      </c>
      <c r="D939" t="inlineStr">
        <is>
          <t>ALX440U-DS3B01</t>
        </is>
      </c>
      <c r="E939" s="2" t="n">
        <v>46136</v>
      </c>
      <c r="F939" t="inlineStr">
        <is>
          <t>Fail</t>
        </is>
      </c>
      <c r="G939" t="n">
        <v>178.5</v>
      </c>
      <c r="H939" t="n">
        <v>80.2</v>
      </c>
      <c r="I939" t="n">
        <v>-1957.8</v>
      </c>
      <c r="J939" t="n">
        <v>71.3</v>
      </c>
      <c r="K939" t="n">
        <v>0</v>
      </c>
      <c r="L939" t="n">
        <v>0.7</v>
      </c>
      <c r="M939" t="n">
        <v>0</v>
      </c>
      <c r="N939" t="n">
        <v>70.59999999999999</v>
      </c>
      <c r="O939" t="n">
        <v>114.72</v>
      </c>
      <c r="P939" t="n">
        <v>114.65</v>
      </c>
      <c r="Q939" t="n">
        <v>8.15</v>
      </c>
      <c r="R939" t="n">
        <v>8.369999999999999</v>
      </c>
      <c r="S939">
        <f>IF(OR(G939=0,G939=""),"",ABS((G939-IF($C939="LT",Config!$F$2,Config!$F$14))/IF($C939="LT",Config!$G$2,Config!$G$14)))</f>
        <v/>
      </c>
      <c r="T939">
        <f>IF(OR(H939=0,H939=""),"",ABS((H939-IF($C939="LT",Config!$F$3,Config!$F$15))/IF($C939="LT",Config!$G$3,Config!$G$15)))</f>
        <v/>
      </c>
      <c r="U939">
        <f>IF(OR(I939=0,I939=""),"",ABS((I939-IF($C939="LT",Config!$F$4,Config!$F$16))/IF($C939="LT",Config!$G$4,Config!$G$16)))</f>
        <v/>
      </c>
      <c r="V939">
        <f>IF(OR(J939=0,J939=""),"",ABS((J939-IF($C939="LT",Config!$F$5,Config!$F$17))/IF($C939="LT",Config!$G$5,Config!$G$17)))</f>
        <v/>
      </c>
      <c r="W939">
        <f>IF(OR(K939=0,K939=""),"",ABS((K939-IF($C939="LT",Config!$F$6,Config!$F$18))/IF($C939="LT",Config!$G$6,Config!$G$18)))</f>
        <v/>
      </c>
      <c r="X939">
        <f>IF(OR(L939=0,L939=""),"",ABS((L939-IF($C939="LT",Config!$F$7,Config!$F$19))/IF($C939="LT",Config!$G$7,Config!$G$19)))</f>
        <v/>
      </c>
      <c r="Y939">
        <f>IF(OR(M939=0,M939=""),"",ABS((M939-IF($C939="LT",Config!$F$8,Config!$F$20))/IF($C939="LT",Config!$G$8,Config!$G$20)))</f>
        <v/>
      </c>
      <c r="Z939">
        <f>IF(OR(N939=0,N939=""),"",ABS((N939-IF($C939="LT",Config!$F$9,Config!$F$21))/IF($C939="LT",Config!$G$9,Config!$G$21)))</f>
        <v/>
      </c>
      <c r="AA939">
        <f>IF(OR(O939=0,O939=""),"",ABS((O939-IF($C939="LT",Config!$F$10,Config!$F$22))/IF($C939="LT",Config!$G$10,Config!$G$22)))</f>
        <v/>
      </c>
      <c r="AB939">
        <f>IF(OR(P939=0,P939=""),"",ABS((P939-IF($C939="LT",Config!$F$11,Config!$F$23))/IF($C939="LT",Config!$G$11,Config!$G$23)))</f>
        <v/>
      </c>
      <c r="AC939">
        <f>IF(OR(Q939=0,Q939=""),"",ABS((Q939-IF($C939="LT",Config!$F$12,Config!$F$24))/IF($C939="LT",Config!$G$12,Config!$G$24)))</f>
        <v/>
      </c>
      <c r="AD939">
        <f>IF(OR(R939=0,R939=""),"",ABS((R939-IF($C939="LT",Config!$F$13,Config!$F$25))/IF($C939="LT",Config!$G$13,Config!$G$25)))</f>
        <v/>
      </c>
    </row>
    <row r="940">
      <c r="A940" t="inlineStr">
        <is>
          <t>04D0626121252</t>
        </is>
      </c>
      <c r="B940" t="inlineStr">
        <is>
          <t>CRS0000674</t>
        </is>
      </c>
      <c r="C940" t="inlineStr">
        <is>
          <t>MT</t>
        </is>
      </c>
      <c r="D940" t="inlineStr">
        <is>
          <t>TCX413U-DS1B01</t>
        </is>
      </c>
      <c r="E940" s="2" t="n">
        <v>46136</v>
      </c>
      <c r="F940" t="inlineStr">
        <is>
          <t>Pass</t>
        </is>
      </c>
      <c r="G940" t="n">
        <v>124</v>
      </c>
      <c r="H940" t="n">
        <v>84.3</v>
      </c>
      <c r="I940" t="n">
        <v>-1957.8</v>
      </c>
      <c r="J940" t="n">
        <v>70.40000000000001</v>
      </c>
      <c r="K940" t="n">
        <v>0</v>
      </c>
      <c r="L940" t="n">
        <v>0.3</v>
      </c>
      <c r="M940" t="n">
        <v>0</v>
      </c>
      <c r="N940" t="n">
        <v>70.09999999999999</v>
      </c>
      <c r="O940" t="n">
        <v>111.94</v>
      </c>
      <c r="P940" t="n">
        <v>116.41</v>
      </c>
      <c r="Q940" t="n">
        <v>3.98</v>
      </c>
      <c r="R940" t="n">
        <v>4</v>
      </c>
      <c r="S940">
        <f>IF(OR(G940=0,G940=""),"",ABS((G940-IF($C940="LT",Config!$F$2,Config!$F$14))/IF($C940="LT",Config!$G$2,Config!$G$14)))</f>
        <v/>
      </c>
      <c r="T940">
        <f>IF(OR(H940=0,H940=""),"",ABS((H940-IF($C940="LT",Config!$F$3,Config!$F$15))/IF($C940="LT",Config!$G$3,Config!$G$15)))</f>
        <v/>
      </c>
      <c r="U940">
        <f>IF(OR(I940=0,I940=""),"",ABS((I940-IF($C940="LT",Config!$F$4,Config!$F$16))/IF($C940="LT",Config!$G$4,Config!$G$16)))</f>
        <v/>
      </c>
      <c r="V940">
        <f>IF(OR(J940=0,J940=""),"",ABS((J940-IF($C940="LT",Config!$F$5,Config!$F$17))/IF($C940="LT",Config!$G$5,Config!$G$17)))</f>
        <v/>
      </c>
      <c r="W940">
        <f>IF(OR(K940=0,K940=""),"",ABS((K940-IF($C940="LT",Config!$F$6,Config!$F$18))/IF($C940="LT",Config!$G$6,Config!$G$18)))</f>
        <v/>
      </c>
      <c r="X940">
        <f>IF(OR(L940=0,L940=""),"",ABS((L940-IF($C940="LT",Config!$F$7,Config!$F$19))/IF($C940="LT",Config!$G$7,Config!$G$19)))</f>
        <v/>
      </c>
      <c r="Y940">
        <f>IF(OR(M940=0,M940=""),"",ABS((M940-IF($C940="LT",Config!$F$8,Config!$F$20))/IF($C940="LT",Config!$G$8,Config!$G$20)))</f>
        <v/>
      </c>
      <c r="Z940">
        <f>IF(OR(N940=0,N940=""),"",ABS((N940-IF($C940="LT",Config!$F$9,Config!$F$21))/IF($C940="LT",Config!$G$9,Config!$G$21)))</f>
        <v/>
      </c>
      <c r="AA940">
        <f>IF(OR(O940=0,O940=""),"",ABS((O940-IF($C940="LT",Config!$F$10,Config!$F$22))/IF($C940="LT",Config!$G$10,Config!$G$22)))</f>
        <v/>
      </c>
      <c r="AB940">
        <f>IF(OR(P940=0,P940=""),"",ABS((P940-IF($C940="LT",Config!$F$11,Config!$F$23))/IF($C940="LT",Config!$G$11,Config!$G$23)))</f>
        <v/>
      </c>
      <c r="AC940">
        <f>IF(OR(Q940=0,Q940=""),"",ABS((Q940-IF($C940="LT",Config!$F$12,Config!$F$24))/IF($C940="LT",Config!$G$12,Config!$G$24)))</f>
        <v/>
      </c>
      <c r="AD940">
        <f>IF(OR(R940=0,R940=""),"",ABS((R940-IF($C940="LT",Config!$F$13,Config!$F$25))/IF($C940="LT",Config!$G$13,Config!$G$25)))</f>
        <v/>
      </c>
    </row>
    <row r="941">
      <c r="A941" t="inlineStr">
        <is>
          <t>04D1426121371</t>
        </is>
      </c>
      <c r="B941" t="inlineStr">
        <is>
          <t>CRS0000674</t>
        </is>
      </c>
      <c r="C941" t="inlineStr">
        <is>
          <t>MT</t>
        </is>
      </c>
      <c r="D941" t="inlineStr">
        <is>
          <t>TCX413U-DS1B01</t>
        </is>
      </c>
      <c r="E941" s="2" t="n">
        <v>46136</v>
      </c>
      <c r="F941" t="inlineStr">
        <is>
          <t>Pass</t>
        </is>
      </c>
      <c r="G941" t="n">
        <v>119.1</v>
      </c>
      <c r="H941" t="n">
        <v>79.8</v>
      </c>
      <c r="I941" t="n">
        <v>-1957.8</v>
      </c>
      <c r="J941" t="n">
        <v>70.8</v>
      </c>
      <c r="K941" t="n">
        <v>0</v>
      </c>
      <c r="L941" t="n">
        <v>0.8</v>
      </c>
      <c r="M941" t="n">
        <v>0</v>
      </c>
      <c r="N941" t="n">
        <v>70</v>
      </c>
      <c r="O941" t="n">
        <v>112.08</v>
      </c>
      <c r="P941" t="n">
        <v>116.7</v>
      </c>
      <c r="Q941" t="n">
        <v>3.71</v>
      </c>
      <c r="R941" t="n">
        <v>3.71</v>
      </c>
      <c r="S941">
        <f>IF(OR(G941=0,G941=""),"",ABS((G941-IF($C941="LT",Config!$F$2,Config!$F$14))/IF($C941="LT",Config!$G$2,Config!$G$14)))</f>
        <v/>
      </c>
      <c r="T941">
        <f>IF(OR(H941=0,H941=""),"",ABS((H941-IF($C941="LT",Config!$F$3,Config!$F$15))/IF($C941="LT",Config!$G$3,Config!$G$15)))</f>
        <v/>
      </c>
      <c r="U941">
        <f>IF(OR(I941=0,I941=""),"",ABS((I941-IF($C941="LT",Config!$F$4,Config!$F$16))/IF($C941="LT",Config!$G$4,Config!$G$16)))</f>
        <v/>
      </c>
      <c r="V941">
        <f>IF(OR(J941=0,J941=""),"",ABS((J941-IF($C941="LT",Config!$F$5,Config!$F$17))/IF($C941="LT",Config!$G$5,Config!$G$17)))</f>
        <v/>
      </c>
      <c r="W941">
        <f>IF(OR(K941=0,K941=""),"",ABS((K941-IF($C941="LT",Config!$F$6,Config!$F$18))/IF($C941="LT",Config!$G$6,Config!$G$18)))</f>
        <v/>
      </c>
      <c r="X941">
        <f>IF(OR(L941=0,L941=""),"",ABS((L941-IF($C941="LT",Config!$F$7,Config!$F$19))/IF($C941="LT",Config!$G$7,Config!$G$19)))</f>
        <v/>
      </c>
      <c r="Y941">
        <f>IF(OR(M941=0,M941=""),"",ABS((M941-IF($C941="LT",Config!$F$8,Config!$F$20))/IF($C941="LT",Config!$G$8,Config!$G$20)))</f>
        <v/>
      </c>
      <c r="Z941">
        <f>IF(OR(N941=0,N941=""),"",ABS((N941-IF($C941="LT",Config!$F$9,Config!$F$21))/IF($C941="LT",Config!$G$9,Config!$G$21)))</f>
        <v/>
      </c>
      <c r="AA941">
        <f>IF(OR(O941=0,O941=""),"",ABS((O941-IF($C941="LT",Config!$F$10,Config!$F$22))/IF($C941="LT",Config!$G$10,Config!$G$22)))</f>
        <v/>
      </c>
      <c r="AB941">
        <f>IF(OR(P941=0,P941=""),"",ABS((P941-IF($C941="LT",Config!$F$11,Config!$F$23))/IF($C941="LT",Config!$G$11,Config!$G$23)))</f>
        <v/>
      </c>
      <c r="AC941">
        <f>IF(OR(Q941=0,Q941=""),"",ABS((Q941-IF($C941="LT",Config!$F$12,Config!$F$24))/IF($C941="LT",Config!$G$12,Config!$G$24)))</f>
        <v/>
      </c>
      <c r="AD941">
        <f>IF(OR(R941=0,R941=""),"",ABS((R941-IF($C941="LT",Config!$F$13,Config!$F$25))/IF($C941="LT",Config!$G$13,Config!$G$25)))</f>
        <v/>
      </c>
    </row>
  </sheetData>
  <autoFilter ref="A1:AD941"/>
  <conditionalFormatting sqref="S2:S941">
    <cfRule type="cellIs" priority="1" operator="greaterThan" dxfId="0">
      <formula>3</formula>
    </cfRule>
  </conditionalFormatting>
  <conditionalFormatting sqref="T2:T941">
    <cfRule type="cellIs" priority="2" operator="greaterThan" dxfId="0">
      <formula>3</formula>
    </cfRule>
  </conditionalFormatting>
  <conditionalFormatting sqref="U2:U941">
    <cfRule type="cellIs" priority="3" operator="greaterThan" dxfId="0">
      <formula>3</formula>
    </cfRule>
  </conditionalFormatting>
  <conditionalFormatting sqref="V2:V941">
    <cfRule type="cellIs" priority="4" operator="greaterThan" dxfId="0">
      <formula>3</formula>
    </cfRule>
  </conditionalFormatting>
  <conditionalFormatting sqref="W2:W941">
    <cfRule type="cellIs" priority="5" operator="greaterThan" dxfId="0">
      <formula>3</formula>
    </cfRule>
  </conditionalFormatting>
  <conditionalFormatting sqref="X2:X941">
    <cfRule type="cellIs" priority="6" operator="greaterThan" dxfId="0">
      <formula>3</formula>
    </cfRule>
  </conditionalFormatting>
  <conditionalFormatting sqref="Y2:Y941">
    <cfRule type="cellIs" priority="7" operator="greaterThan" dxfId="0">
      <formula>3</formula>
    </cfRule>
  </conditionalFormatting>
  <conditionalFormatting sqref="Z2:Z941">
    <cfRule type="cellIs" priority="8" operator="greaterThan" dxfId="0">
      <formula>3</formula>
    </cfRule>
  </conditionalFormatting>
  <conditionalFormatting sqref="AA2:AA941">
    <cfRule type="cellIs" priority="9" operator="greaterThan" dxfId="0">
      <formula>3</formula>
    </cfRule>
  </conditionalFormatting>
  <conditionalFormatting sqref="AB2:AB941">
    <cfRule type="cellIs" priority="10" operator="greaterThan" dxfId="0">
      <formula>3</formula>
    </cfRule>
  </conditionalFormatting>
  <conditionalFormatting sqref="AC2:AC941">
    <cfRule type="cellIs" priority="11" operator="greaterThan" dxfId="0">
      <formula>3</formula>
    </cfRule>
  </conditionalFormatting>
  <conditionalFormatting sqref="AD2:AD941">
    <cfRule type="cellIs" priority="12" operator="greaterThan" dxfId="0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RawDataCol</t>
        </is>
      </c>
      <c r="D1" s="1" t="inlineStr">
        <is>
          <t>n_all</t>
        </is>
      </c>
      <c r="E1" s="1" t="inlineStr">
        <is>
          <t>n_pass</t>
        </is>
      </c>
      <c r="F1" s="1" t="inlineStr">
        <is>
          <t>Mean_pass</t>
        </is>
      </c>
      <c r="G1" s="1" t="inlineStr">
        <is>
          <t>StdDev_pass</t>
        </is>
      </c>
      <c r="H1" s="1" t="inlineStr">
        <is>
          <t>Min_all</t>
        </is>
      </c>
      <c r="I1" s="1" t="inlineStr">
        <is>
          <t>Max_all</t>
        </is>
      </c>
      <c r="J1" s="1" t="inlineStr">
        <is>
          <t>BinWidth</t>
        </is>
      </c>
      <c r="K1" s="1" t="inlineStr">
        <is>
          <t>BinStart</t>
        </is>
      </c>
    </row>
    <row r="2">
      <c r="A2" s="3" t="inlineStr">
        <is>
          <t>LT</t>
        </is>
      </c>
      <c r="B2" s="3" t="inlineStr">
        <is>
          <t>Suction Tube Temp</t>
        </is>
      </c>
      <c r="C2" s="3" t="inlineStr">
        <is>
          <t>G</t>
        </is>
      </c>
      <c r="D2" s="3">
        <f>COUNTIFS(RawData!$C$2:$C$941,"LT",RawData!$G$2:$G$941,"&lt;&gt;0")</f>
        <v/>
      </c>
      <c r="E2" s="3">
        <f>COUNTIFS(RawData!$C$2:$C$941,"LT",RawData!$F$2:$F$941,"Pass",RawData!$G$2:$G$941,"&lt;&gt;0")</f>
        <v/>
      </c>
      <c r="F2" s="3">
        <f>IFERROR(AVERAGEIFS(RawData!$G$2:$G$941,RawData!$C$2:$C$941,"LT",RawData!$F$2:$F$941,"Pass",RawData!$G$2:$G$941,"&lt;&gt;0"),0)</f>
        <v/>
      </c>
      <c r="G2" s="3">
        <f>IFERROR(SQRT(SUMPRODUCT((RawData!$C$2:$C$941="LT")*(RawData!$F$2:$F$941="Pass")*(RawData!$G$2:$G$941&lt;&gt;0)*(RawData!$G$2:$G$941-$F2)^2)/($E2-1)),0)</f>
        <v/>
      </c>
      <c r="H2" s="3">
        <f t="array" ref="H2">FERROR(MIN(IF((RawData!$C$2:$C$941="LT")*(RawData!$G$2:$G$941&lt;&gt;0),RawData!$G$2:$G$941)),0)</f>
        <v/>
      </c>
      <c r="I2" s="3">
        <f t="array" ref="I2">FERROR(MAX(IF((RawData!$C$2:$C$941="LT")*(RawData!$G$2:$G$941&lt;&gt;0),RawData!$G$2:$G$941)),0)</f>
        <v/>
      </c>
      <c r="J2" s="3">
        <f>IFERROR(($I2-$H2+$G2)/30,1)</f>
        <v/>
      </c>
      <c r="K2" s="3">
        <f>$H2-0.5*$G2</f>
        <v/>
      </c>
    </row>
    <row r="3">
      <c r="A3" s="4" t="inlineStr">
        <is>
          <t>LT</t>
        </is>
      </c>
      <c r="B3" s="4" t="inlineStr">
        <is>
          <t>Evap Inlet Ret Bend A</t>
        </is>
      </c>
      <c r="C3" s="4" t="inlineStr">
        <is>
          <t>H</t>
        </is>
      </c>
      <c r="D3" s="4">
        <f>COUNTIFS(RawData!$C$2:$C$941,"LT",RawData!$H$2:$H$941,"&lt;&gt;0")</f>
        <v/>
      </c>
      <c r="E3" s="4">
        <f>COUNTIFS(RawData!$C$2:$C$941,"LT",RawData!$F$2:$F$941,"Pass",RawData!$H$2:$H$941,"&lt;&gt;0")</f>
        <v/>
      </c>
      <c r="F3" s="4">
        <f>IFERROR(AVERAGEIFS(RawData!$H$2:$H$941,RawData!$C$2:$C$941,"LT",RawData!$F$2:$F$941,"Pass",RawData!$H$2:$H$941,"&lt;&gt;0"),0)</f>
        <v/>
      </c>
      <c r="G3" s="4">
        <f>IFERROR(SQRT(SUMPRODUCT((RawData!$C$2:$C$941="LT")*(RawData!$F$2:$F$941="Pass")*(RawData!$H$2:$H$941&lt;&gt;0)*(RawData!$H$2:$H$941-$F3)^2)/($E3-1)),0)</f>
        <v/>
      </c>
      <c r="H3" s="4">
        <f t="array" ref="H3">FERROR(MIN(IF((RawData!$C$2:$C$941="LT")*(RawData!$H$2:$H$941&lt;&gt;0),RawData!$H$2:$H$941)),0)</f>
        <v/>
      </c>
      <c r="I3" s="4">
        <f t="array" ref="I3">FERROR(MAX(IF((RawData!$C$2:$C$941="LT")*(RawData!$H$2:$H$941&lt;&gt;0),RawData!$H$2:$H$941)),0)</f>
        <v/>
      </c>
      <c r="J3" s="4">
        <f>IFERROR(($I3-$H3+$G3)/30,1)</f>
        <v/>
      </c>
      <c r="K3" s="4">
        <f>$H3-0.5*$G3</f>
        <v/>
      </c>
    </row>
    <row r="4">
      <c r="A4" s="3" t="inlineStr">
        <is>
          <t>LT</t>
        </is>
      </c>
      <c r="B4" s="3" t="inlineStr">
        <is>
          <t>Evap Inlet Ret Bend B</t>
        </is>
      </c>
      <c r="C4" s="3" t="inlineStr">
        <is>
          <t>I</t>
        </is>
      </c>
      <c r="D4" s="3">
        <f>COUNTIFS(RawData!$C$2:$C$941,"LT",RawData!$I$2:$I$941,"&lt;&gt;0")</f>
        <v/>
      </c>
      <c r="E4" s="3">
        <f>COUNTIFS(RawData!$C$2:$C$941,"LT",RawData!$F$2:$F$941,"Pass",RawData!$I$2:$I$941,"&lt;&gt;0")</f>
        <v/>
      </c>
      <c r="F4" s="3">
        <f>IFERROR(AVERAGEIFS(RawData!$I$2:$I$941,RawData!$C$2:$C$941,"LT",RawData!$F$2:$F$941,"Pass",RawData!$I$2:$I$941,"&lt;&gt;0"),0)</f>
        <v/>
      </c>
      <c r="G4" s="3">
        <f>IFERROR(SQRT(SUMPRODUCT((RawData!$C$2:$C$941="LT")*(RawData!$F$2:$F$941="Pass")*(RawData!$I$2:$I$941&lt;&gt;0)*(RawData!$I$2:$I$941-$F4)^2)/($E4-1)),0)</f>
        <v/>
      </c>
      <c r="H4" s="3">
        <f t="array" ref="H4">FERROR(MIN(IF((RawData!$C$2:$C$941="LT")*(RawData!$I$2:$I$941&lt;&gt;0),RawData!$I$2:$I$941)),0)</f>
        <v/>
      </c>
      <c r="I4" s="3">
        <f t="array" ref="I4">FERROR(MAX(IF((RawData!$C$2:$C$941="LT")*(RawData!$I$2:$I$941&lt;&gt;0),RawData!$I$2:$I$941)),0)</f>
        <v/>
      </c>
      <c r="J4" s="3">
        <f>IFERROR(($I4-$H4+$G4)/30,1)</f>
        <v/>
      </c>
      <c r="K4" s="3">
        <f>$H4-0.5*$G4</f>
        <v/>
      </c>
    </row>
    <row r="5">
      <c r="A5" s="4" t="inlineStr">
        <is>
          <t>LT</t>
        </is>
      </c>
      <c r="B5" s="4" t="inlineStr">
        <is>
          <t>Evap Outlet Air Temp</t>
        </is>
      </c>
      <c r="C5" s="4" t="inlineStr">
        <is>
          <t>J</t>
        </is>
      </c>
      <c r="D5" s="4">
        <f>COUNTIFS(RawData!$C$2:$C$941,"LT",RawData!$J$2:$J$941,"&lt;&gt;0")</f>
        <v/>
      </c>
      <c r="E5" s="4">
        <f>COUNTIFS(RawData!$C$2:$C$941,"LT",RawData!$F$2:$F$941,"Pass",RawData!$J$2:$J$941,"&lt;&gt;0")</f>
        <v/>
      </c>
      <c r="F5" s="4">
        <f>IFERROR(AVERAGEIFS(RawData!$J$2:$J$941,RawData!$C$2:$C$941,"LT",RawData!$F$2:$F$941,"Pass",RawData!$J$2:$J$941,"&lt;&gt;0"),0)</f>
        <v/>
      </c>
      <c r="G5" s="4">
        <f>IFERROR(SQRT(SUMPRODUCT((RawData!$C$2:$C$941="LT")*(RawData!$F$2:$F$941="Pass")*(RawData!$J$2:$J$941&lt;&gt;0)*(RawData!$J$2:$J$941-$F5)^2)/($E5-1)),0)</f>
        <v/>
      </c>
      <c r="H5" s="4">
        <f t="array" ref="H5">FERROR(MIN(IF((RawData!$C$2:$C$941="LT")*(RawData!$J$2:$J$941&lt;&gt;0),RawData!$J$2:$J$941)),0)</f>
        <v/>
      </c>
      <c r="I5" s="4">
        <f t="array" ref="I5">FERROR(MAX(IF((RawData!$C$2:$C$941="LT")*(RawData!$J$2:$J$941&lt;&gt;0),RawData!$J$2:$J$941)),0)</f>
        <v/>
      </c>
      <c r="J5" s="4">
        <f>IFERROR(($I5-$H5+$G5)/30,1)</f>
        <v/>
      </c>
      <c r="K5" s="4">
        <f>$H5-0.5*$G5</f>
        <v/>
      </c>
    </row>
    <row r="6">
      <c r="A6" s="3" t="inlineStr">
        <is>
          <t>LT</t>
        </is>
      </c>
      <c r="B6" s="3" t="inlineStr">
        <is>
          <t>Evap B Outlet Air Temp</t>
        </is>
      </c>
      <c r="C6" s="3" t="inlineStr">
        <is>
          <t>K</t>
        </is>
      </c>
      <c r="D6" s="3">
        <f>COUNTIFS(RawData!$C$2:$C$941,"LT",RawData!$K$2:$K$941,"&lt;&gt;0")</f>
        <v/>
      </c>
      <c r="E6" s="3">
        <f>COUNTIFS(RawData!$C$2:$C$941,"LT",RawData!$F$2:$F$941,"Pass",RawData!$K$2:$K$941,"&lt;&gt;0")</f>
        <v/>
      </c>
      <c r="F6" s="3">
        <f>IFERROR(AVERAGEIFS(RawData!$K$2:$K$941,RawData!$C$2:$C$941,"LT",RawData!$F$2:$F$941,"Pass",RawData!$K$2:$K$941,"&lt;&gt;0"),0)</f>
        <v/>
      </c>
      <c r="G6" s="3">
        <f>IFERROR(SQRT(SUMPRODUCT((RawData!$C$2:$C$941="LT")*(RawData!$F$2:$F$941="Pass")*(RawData!$K$2:$K$941&lt;&gt;0)*(RawData!$K$2:$K$941-$F6)^2)/($E6-1)),0)</f>
        <v/>
      </c>
      <c r="H6" s="3">
        <f t="array" ref="H6">FERROR(MIN(IF((RawData!$C$2:$C$941="LT")*(RawData!$K$2:$K$941&lt;&gt;0),RawData!$K$2:$K$941)),0)</f>
        <v/>
      </c>
      <c r="I6" s="3">
        <f t="array" ref="I6">FERROR(MAX(IF((RawData!$C$2:$C$941="LT")*(RawData!$K$2:$K$941&lt;&gt;0),RawData!$K$2:$K$941)),0)</f>
        <v/>
      </c>
      <c r="J6" s="3">
        <f>IFERROR(($I6-$H6+$G6)/30,1)</f>
        <v/>
      </c>
      <c r="K6" s="3">
        <f>$H6-0.5*$G6</f>
        <v/>
      </c>
    </row>
    <row r="7">
      <c r="A7" s="4" t="inlineStr">
        <is>
          <t>LT</t>
        </is>
      </c>
      <c r="B7" s="4" t="inlineStr">
        <is>
          <t>Inlet/Outlet Delta</t>
        </is>
      </c>
      <c r="C7" s="4" t="inlineStr">
        <is>
          <t>L</t>
        </is>
      </c>
      <c r="D7" s="4">
        <f>COUNTIFS(RawData!$C$2:$C$941,"LT",RawData!$L$2:$L$941,"&lt;&gt;0")</f>
        <v/>
      </c>
      <c r="E7" s="4">
        <f>COUNTIFS(RawData!$C$2:$C$941,"LT",RawData!$F$2:$F$941,"Pass",RawData!$L$2:$L$941,"&lt;&gt;0")</f>
        <v/>
      </c>
      <c r="F7" s="4">
        <f>IFERROR(AVERAGEIFS(RawData!$L$2:$L$941,RawData!$C$2:$C$941,"LT",RawData!$F$2:$F$941,"Pass",RawData!$L$2:$L$941,"&lt;&gt;0"),0)</f>
        <v/>
      </c>
      <c r="G7" s="4">
        <f>IFERROR(SQRT(SUMPRODUCT((RawData!$C$2:$C$941="LT")*(RawData!$F$2:$F$941="Pass")*(RawData!$L$2:$L$941&lt;&gt;0)*(RawData!$L$2:$L$941-$F7)^2)/($E7-1)),0)</f>
        <v/>
      </c>
      <c r="H7" s="4">
        <f t="array" ref="H7">FERROR(MIN(IF((RawData!$C$2:$C$941="LT")*(RawData!$L$2:$L$941&lt;&gt;0),RawData!$L$2:$L$941)),0)</f>
        <v/>
      </c>
      <c r="I7" s="4">
        <f t="array" ref="I7">FERROR(MAX(IF((RawData!$C$2:$C$941="LT")*(RawData!$L$2:$L$941&lt;&gt;0),RawData!$L$2:$L$941)),0)</f>
        <v/>
      </c>
      <c r="J7" s="4">
        <f>IFERROR(($I7-$H7+$G7)/30,1)</f>
        <v/>
      </c>
      <c r="K7" s="4">
        <f>$H7-0.5*$G7</f>
        <v/>
      </c>
    </row>
    <row r="8">
      <c r="A8" s="3" t="inlineStr">
        <is>
          <t>LT</t>
        </is>
      </c>
      <c r="B8" s="3" t="inlineStr">
        <is>
          <t>Inlet/Outlet B Delta</t>
        </is>
      </c>
      <c r="C8" s="3" t="inlineStr">
        <is>
          <t>M</t>
        </is>
      </c>
      <c r="D8" s="3">
        <f>COUNTIFS(RawData!$C$2:$C$941,"LT",RawData!$M$2:$M$941,"&lt;&gt;0")</f>
        <v/>
      </c>
      <c r="E8" s="3">
        <f>COUNTIFS(RawData!$C$2:$C$941,"LT",RawData!$F$2:$F$941,"Pass",RawData!$M$2:$M$941,"&lt;&gt;0")</f>
        <v/>
      </c>
      <c r="F8" s="3">
        <f>IFERROR(AVERAGEIFS(RawData!$M$2:$M$941,RawData!$C$2:$C$941,"LT",RawData!$F$2:$F$941,"Pass",RawData!$M$2:$M$941,"&lt;&gt;0"),0)</f>
        <v/>
      </c>
      <c r="G8" s="3">
        <f>IFERROR(SQRT(SUMPRODUCT((RawData!$C$2:$C$941="LT")*(RawData!$F$2:$F$941="Pass")*(RawData!$M$2:$M$941&lt;&gt;0)*(RawData!$M$2:$M$941-$F8)^2)/($E8-1)),0)</f>
        <v/>
      </c>
      <c r="H8" s="3">
        <f t="array" ref="H8">FERROR(MIN(IF((RawData!$C$2:$C$941="LT")*(RawData!$M$2:$M$941&lt;&gt;0),RawData!$M$2:$M$941)),0)</f>
        <v/>
      </c>
      <c r="I8" s="3">
        <f t="array" ref="I8">FERROR(MAX(IF((RawData!$C$2:$C$941="LT")*(RawData!$M$2:$M$941&lt;&gt;0),RawData!$M$2:$M$941)),0)</f>
        <v/>
      </c>
      <c r="J8" s="3">
        <f>IFERROR(($I8-$H8+$G8)/30,1)</f>
        <v/>
      </c>
      <c r="K8" s="3">
        <f>$H8-0.5*$G8</f>
        <v/>
      </c>
    </row>
    <row r="9">
      <c r="A9" s="4" t="inlineStr">
        <is>
          <t>LT</t>
        </is>
      </c>
      <c r="B9" s="4" t="inlineStr">
        <is>
          <t>Ambient Temp</t>
        </is>
      </c>
      <c r="C9" s="4" t="inlineStr">
        <is>
          <t>N</t>
        </is>
      </c>
      <c r="D9" s="4">
        <f>COUNTIFS(RawData!$C$2:$C$941,"LT",RawData!$N$2:$N$941,"&lt;&gt;0")</f>
        <v/>
      </c>
      <c r="E9" s="4">
        <f>COUNTIFS(RawData!$C$2:$C$941,"LT",RawData!$F$2:$F$941,"Pass",RawData!$N$2:$N$941,"&lt;&gt;0")</f>
        <v/>
      </c>
      <c r="F9" s="4">
        <f>IFERROR(AVERAGEIFS(RawData!$N$2:$N$941,RawData!$C$2:$C$941,"LT",RawData!$F$2:$F$941,"Pass",RawData!$N$2:$N$941,"&lt;&gt;0"),0)</f>
        <v/>
      </c>
      <c r="G9" s="4">
        <f>IFERROR(SQRT(SUMPRODUCT((RawData!$C$2:$C$941="LT")*(RawData!$F$2:$F$941="Pass")*(RawData!$N$2:$N$941&lt;&gt;0)*(RawData!$N$2:$N$941-$F9)^2)/($E9-1)),0)</f>
        <v/>
      </c>
      <c r="H9" s="4">
        <f t="array" ref="H9">FERROR(MIN(IF((RawData!$C$2:$C$941="LT")*(RawData!$N$2:$N$941&lt;&gt;0),RawData!$N$2:$N$941)),0)</f>
        <v/>
      </c>
      <c r="I9" s="4">
        <f t="array" ref="I9">FERROR(MAX(IF((RawData!$C$2:$C$941="LT")*(RawData!$N$2:$N$941&lt;&gt;0),RawData!$N$2:$N$941)),0)</f>
        <v/>
      </c>
      <c r="J9" s="4">
        <f>IFERROR(($I9-$H9+$G9)/30,1)</f>
        <v/>
      </c>
      <c r="K9" s="4">
        <f>$H9-0.5*$G9</f>
        <v/>
      </c>
    </row>
    <row r="10">
      <c r="A10" s="3" t="inlineStr">
        <is>
          <t>LT</t>
        </is>
      </c>
      <c r="B10" s="3" t="inlineStr">
        <is>
          <t>Startup Voltage</t>
        </is>
      </c>
      <c r="C10" s="3" t="inlineStr">
        <is>
          <t>O</t>
        </is>
      </c>
      <c r="D10" s="3">
        <f>COUNTIFS(RawData!$C$2:$C$941,"LT",RawData!$O$2:$O$941,"&lt;&gt;0")</f>
        <v/>
      </c>
      <c r="E10" s="3">
        <f>COUNTIFS(RawData!$C$2:$C$941,"LT",RawData!$F$2:$F$941,"Pass",RawData!$O$2:$O$941,"&lt;&gt;0")</f>
        <v/>
      </c>
      <c r="F10" s="3">
        <f>IFERROR(AVERAGEIFS(RawData!$O$2:$O$941,RawData!$C$2:$C$941,"LT",RawData!$F$2:$F$941,"Pass",RawData!$O$2:$O$941,"&lt;&gt;0"),0)</f>
        <v/>
      </c>
      <c r="G10" s="3">
        <f>IFERROR(SQRT(SUMPRODUCT((RawData!$C$2:$C$941="LT")*(RawData!$F$2:$F$941="Pass")*(RawData!$O$2:$O$941&lt;&gt;0)*(RawData!$O$2:$O$941-$F10)^2)/($E10-1)),0)</f>
        <v/>
      </c>
      <c r="H10" s="3">
        <f t="array" ref="H10">FERROR(MIN(IF((RawData!$C$2:$C$941="LT")*(RawData!$O$2:$O$941&lt;&gt;0),RawData!$O$2:$O$941)),0)</f>
        <v/>
      </c>
      <c r="I10" s="3">
        <f t="array" ref="I10">FERROR(MAX(IF((RawData!$C$2:$C$941="LT")*(RawData!$O$2:$O$941&lt;&gt;0),RawData!$O$2:$O$941)),0)</f>
        <v/>
      </c>
      <c r="J10" s="3">
        <f>IFERROR(($I10-$H10+$G10)/30,1)</f>
        <v/>
      </c>
      <c r="K10" s="3">
        <f>$H10-0.5*$G10</f>
        <v/>
      </c>
    </row>
    <row r="11">
      <c r="A11" s="4" t="inlineStr">
        <is>
          <t>LT</t>
        </is>
      </c>
      <c r="B11" s="4" t="inlineStr">
        <is>
          <t>Final Voltage</t>
        </is>
      </c>
      <c r="C11" s="4" t="inlineStr">
        <is>
          <t>P</t>
        </is>
      </c>
      <c r="D11" s="4">
        <f>COUNTIFS(RawData!$C$2:$C$941,"LT",RawData!$P$2:$P$941,"&lt;&gt;0")</f>
        <v/>
      </c>
      <c r="E11" s="4">
        <f>COUNTIFS(RawData!$C$2:$C$941,"LT",RawData!$F$2:$F$941,"Pass",RawData!$P$2:$P$941,"&lt;&gt;0")</f>
        <v/>
      </c>
      <c r="F11" s="4">
        <f>IFERROR(AVERAGEIFS(RawData!$P$2:$P$941,RawData!$C$2:$C$941,"LT",RawData!$F$2:$F$941,"Pass",RawData!$P$2:$P$941,"&lt;&gt;0"),0)</f>
        <v/>
      </c>
      <c r="G11" s="4">
        <f>IFERROR(SQRT(SUMPRODUCT((RawData!$C$2:$C$941="LT")*(RawData!$F$2:$F$941="Pass")*(RawData!$P$2:$P$941&lt;&gt;0)*(RawData!$P$2:$P$941-$F11)^2)/($E11-1)),0)</f>
        <v/>
      </c>
      <c r="H11" s="4">
        <f t="array" ref="H11">FERROR(MIN(IF((RawData!$C$2:$C$941="LT")*(RawData!$P$2:$P$941&lt;&gt;0),RawData!$P$2:$P$941)),0)</f>
        <v/>
      </c>
      <c r="I11" s="4">
        <f t="array" ref="I11">FERROR(MAX(IF((RawData!$C$2:$C$941="LT")*(RawData!$P$2:$P$941&lt;&gt;0),RawData!$P$2:$P$941)),0)</f>
        <v/>
      </c>
      <c r="J11" s="4">
        <f>IFERROR(($I11-$H11+$G11)/30,1)</f>
        <v/>
      </c>
      <c r="K11" s="4">
        <f>$H11-0.5*$G11</f>
        <v/>
      </c>
    </row>
    <row r="12">
      <c r="A12" s="3" t="inlineStr">
        <is>
          <t>LT</t>
        </is>
      </c>
      <c r="B12" s="3" t="inlineStr">
        <is>
          <t>Startup Current</t>
        </is>
      </c>
      <c r="C12" s="3" t="inlineStr">
        <is>
          <t>Q</t>
        </is>
      </c>
      <c r="D12" s="3">
        <f>COUNTIFS(RawData!$C$2:$C$941,"LT",RawData!$Q$2:$Q$941,"&lt;&gt;0")</f>
        <v/>
      </c>
      <c r="E12" s="3">
        <f>COUNTIFS(RawData!$C$2:$C$941,"LT",RawData!$F$2:$F$941,"Pass",RawData!$Q$2:$Q$941,"&lt;&gt;0")</f>
        <v/>
      </c>
      <c r="F12" s="3">
        <f>IFERROR(AVERAGEIFS(RawData!$Q$2:$Q$941,RawData!$C$2:$C$941,"LT",RawData!$F$2:$F$941,"Pass",RawData!$Q$2:$Q$941,"&lt;&gt;0"),0)</f>
        <v/>
      </c>
      <c r="G12" s="3">
        <f>IFERROR(SQRT(SUMPRODUCT((RawData!$C$2:$C$941="LT")*(RawData!$F$2:$F$941="Pass")*(RawData!$Q$2:$Q$941&lt;&gt;0)*(RawData!$Q$2:$Q$941-$F12)^2)/($E12-1)),0)</f>
        <v/>
      </c>
      <c r="H12" s="3">
        <f t="array" ref="H12">FERROR(MIN(IF((RawData!$C$2:$C$941="LT")*(RawData!$Q$2:$Q$941&lt;&gt;0),RawData!$Q$2:$Q$941)),0)</f>
        <v/>
      </c>
      <c r="I12" s="3">
        <f t="array" ref="I12">FERROR(MAX(IF((RawData!$C$2:$C$941="LT")*(RawData!$Q$2:$Q$941&lt;&gt;0),RawData!$Q$2:$Q$941)),0)</f>
        <v/>
      </c>
      <c r="J12" s="3">
        <f>IFERROR(($I12-$H12+$G12)/30,1)</f>
        <v/>
      </c>
      <c r="K12" s="3">
        <f>$H12-0.5*$G12</f>
        <v/>
      </c>
    </row>
    <row r="13">
      <c r="A13" s="4" t="inlineStr">
        <is>
          <t>LT</t>
        </is>
      </c>
      <c r="B13" s="4" t="inlineStr">
        <is>
          <t>Final Current</t>
        </is>
      </c>
      <c r="C13" s="4" t="inlineStr">
        <is>
          <t>R</t>
        </is>
      </c>
      <c r="D13" s="4">
        <f>COUNTIFS(RawData!$C$2:$C$941,"LT",RawData!$R$2:$R$941,"&lt;&gt;0")</f>
        <v/>
      </c>
      <c r="E13" s="4">
        <f>COUNTIFS(RawData!$C$2:$C$941,"LT",RawData!$F$2:$F$941,"Pass",RawData!$R$2:$R$941,"&lt;&gt;0")</f>
        <v/>
      </c>
      <c r="F13" s="4">
        <f>IFERROR(AVERAGEIFS(RawData!$R$2:$R$941,RawData!$C$2:$C$941,"LT",RawData!$F$2:$F$941,"Pass",RawData!$R$2:$R$941,"&lt;&gt;0"),0)</f>
        <v/>
      </c>
      <c r="G13" s="4">
        <f>IFERROR(SQRT(SUMPRODUCT((RawData!$C$2:$C$941="LT")*(RawData!$F$2:$F$941="Pass")*(RawData!$R$2:$R$941&lt;&gt;0)*(RawData!$R$2:$R$941-$F13)^2)/($E13-1)),0)</f>
        <v/>
      </c>
      <c r="H13" s="4">
        <f t="array" ref="H13">FERROR(MIN(IF((RawData!$C$2:$C$941="LT")*(RawData!$R$2:$R$941&lt;&gt;0),RawData!$R$2:$R$941)),0)</f>
        <v/>
      </c>
      <c r="I13" s="4">
        <f t="array" ref="I13">FERROR(MAX(IF((RawData!$C$2:$C$941="LT")*(RawData!$R$2:$R$941&lt;&gt;0),RawData!$R$2:$R$941)),0)</f>
        <v/>
      </c>
      <c r="J13" s="4">
        <f>IFERROR(($I13-$H13+$G13)/30,1)</f>
        <v/>
      </c>
      <c r="K13" s="4">
        <f>$H13-0.5*$G13</f>
        <v/>
      </c>
    </row>
    <row r="14">
      <c r="A14" s="3" t="inlineStr">
        <is>
          <t>MT</t>
        </is>
      </c>
      <c r="B14" s="3" t="inlineStr">
        <is>
          <t>Suction Tube Temp</t>
        </is>
      </c>
      <c r="C14" s="3" t="inlineStr">
        <is>
          <t>G</t>
        </is>
      </c>
      <c r="D14" s="3">
        <f>COUNTIFS(RawData!$C$2:$C$941,"MT",RawData!$G$2:$G$941,"&lt;&gt;0")</f>
        <v/>
      </c>
      <c r="E14" s="3">
        <f>COUNTIFS(RawData!$C$2:$C$941,"MT",RawData!$F$2:$F$941,"Pass",RawData!$G$2:$G$941,"&lt;&gt;0")</f>
        <v/>
      </c>
      <c r="F14" s="3">
        <f>IFERROR(AVERAGEIFS(RawData!$G$2:$G$941,RawData!$C$2:$C$941,"MT",RawData!$F$2:$F$941,"Pass",RawData!$G$2:$G$941,"&lt;&gt;0"),0)</f>
        <v/>
      </c>
      <c r="G14" s="3">
        <f>IFERROR(SQRT(SUMPRODUCT((RawData!$C$2:$C$941="MT")*(RawData!$F$2:$F$941="Pass")*(RawData!$G$2:$G$941&lt;&gt;0)*(RawData!$G$2:$G$941-$F14)^2)/($E14-1)),0)</f>
        <v/>
      </c>
      <c r="H14" s="3">
        <f t="array" ref="H14">FERROR(MIN(IF((RawData!$C$2:$C$941="MT")*(RawData!$G$2:$G$941&lt;&gt;0),RawData!$G$2:$G$941)),0)</f>
        <v/>
      </c>
      <c r="I14" s="3">
        <f t="array" ref="I14">FERROR(MAX(IF((RawData!$C$2:$C$941="MT")*(RawData!$G$2:$G$941&lt;&gt;0),RawData!$G$2:$G$941)),0)</f>
        <v/>
      </c>
      <c r="J14" s="3">
        <f>IFERROR(($I14-$H14+$G14)/30,1)</f>
        <v/>
      </c>
      <c r="K14" s="3">
        <f>$H14-0.5*$G14</f>
        <v/>
      </c>
    </row>
    <row r="15">
      <c r="A15" s="4" t="inlineStr">
        <is>
          <t>MT</t>
        </is>
      </c>
      <c r="B15" s="4" t="inlineStr">
        <is>
          <t>Evap Inlet Ret Bend A</t>
        </is>
      </c>
      <c r="C15" s="4" t="inlineStr">
        <is>
          <t>H</t>
        </is>
      </c>
      <c r="D15" s="4">
        <f>COUNTIFS(RawData!$C$2:$C$941,"MT",RawData!$H$2:$H$941,"&lt;&gt;0")</f>
        <v/>
      </c>
      <c r="E15" s="4">
        <f>COUNTIFS(RawData!$C$2:$C$941,"MT",RawData!$F$2:$F$941,"Pass",RawData!$H$2:$H$941,"&lt;&gt;0")</f>
        <v/>
      </c>
      <c r="F15" s="4">
        <f>IFERROR(AVERAGEIFS(RawData!$H$2:$H$941,RawData!$C$2:$C$941,"MT",RawData!$F$2:$F$941,"Pass",RawData!$H$2:$H$941,"&lt;&gt;0"),0)</f>
        <v/>
      </c>
      <c r="G15" s="4">
        <f>IFERROR(SQRT(SUMPRODUCT((RawData!$C$2:$C$941="MT")*(RawData!$F$2:$F$941="Pass")*(RawData!$H$2:$H$941&lt;&gt;0)*(RawData!$H$2:$H$941-$F15)^2)/($E15-1)),0)</f>
        <v/>
      </c>
      <c r="H15" s="4">
        <f t="array" ref="H15">FERROR(MIN(IF((RawData!$C$2:$C$941="MT")*(RawData!$H$2:$H$941&lt;&gt;0),RawData!$H$2:$H$941)),0)</f>
        <v/>
      </c>
      <c r="I15" s="4">
        <f t="array" ref="I15">FERROR(MAX(IF((RawData!$C$2:$C$941="MT")*(RawData!$H$2:$H$941&lt;&gt;0),RawData!$H$2:$H$941)),0)</f>
        <v/>
      </c>
      <c r="J15" s="4">
        <f>IFERROR(($I15-$H15+$G15)/30,1)</f>
        <v/>
      </c>
      <c r="K15" s="4">
        <f>$H15-0.5*$G15</f>
        <v/>
      </c>
    </row>
    <row r="16">
      <c r="A16" s="3" t="inlineStr">
        <is>
          <t>MT</t>
        </is>
      </c>
      <c r="B16" s="3" t="inlineStr">
        <is>
          <t>Evap Inlet Ret Bend B</t>
        </is>
      </c>
      <c r="C16" s="3" t="inlineStr">
        <is>
          <t>I</t>
        </is>
      </c>
      <c r="D16" s="3">
        <f>COUNTIFS(RawData!$C$2:$C$941,"MT",RawData!$I$2:$I$941,"&lt;&gt;0")</f>
        <v/>
      </c>
      <c r="E16" s="3">
        <f>COUNTIFS(RawData!$C$2:$C$941,"MT",RawData!$F$2:$F$941,"Pass",RawData!$I$2:$I$941,"&lt;&gt;0")</f>
        <v/>
      </c>
      <c r="F16" s="3">
        <f>IFERROR(AVERAGEIFS(RawData!$I$2:$I$941,RawData!$C$2:$C$941,"MT",RawData!$F$2:$F$941,"Pass",RawData!$I$2:$I$941,"&lt;&gt;0"),0)</f>
        <v/>
      </c>
      <c r="G16" s="3">
        <f>IFERROR(SQRT(SUMPRODUCT((RawData!$C$2:$C$941="MT")*(RawData!$F$2:$F$941="Pass")*(RawData!$I$2:$I$941&lt;&gt;0)*(RawData!$I$2:$I$941-$F16)^2)/($E16-1)),0)</f>
        <v/>
      </c>
      <c r="H16" s="3">
        <f t="array" ref="H16">FERROR(MIN(IF((RawData!$C$2:$C$941="MT")*(RawData!$I$2:$I$941&lt;&gt;0),RawData!$I$2:$I$941)),0)</f>
        <v/>
      </c>
      <c r="I16" s="3">
        <f t="array" ref="I16">FERROR(MAX(IF((RawData!$C$2:$C$941="MT")*(RawData!$I$2:$I$941&lt;&gt;0),RawData!$I$2:$I$941)),0)</f>
        <v/>
      </c>
      <c r="J16" s="3">
        <f>IFERROR(($I16-$H16+$G16)/30,1)</f>
        <v/>
      </c>
      <c r="K16" s="3">
        <f>$H16-0.5*$G16</f>
        <v/>
      </c>
    </row>
    <row r="17">
      <c r="A17" s="4" t="inlineStr">
        <is>
          <t>MT</t>
        </is>
      </c>
      <c r="B17" s="4" t="inlineStr">
        <is>
          <t>Evap Outlet Air Temp</t>
        </is>
      </c>
      <c r="C17" s="4" t="inlineStr">
        <is>
          <t>J</t>
        </is>
      </c>
      <c r="D17" s="4">
        <f>COUNTIFS(RawData!$C$2:$C$941,"MT",RawData!$J$2:$J$941,"&lt;&gt;0")</f>
        <v/>
      </c>
      <c r="E17" s="4">
        <f>COUNTIFS(RawData!$C$2:$C$941,"MT",RawData!$F$2:$F$941,"Pass",RawData!$J$2:$J$941,"&lt;&gt;0")</f>
        <v/>
      </c>
      <c r="F17" s="4">
        <f>IFERROR(AVERAGEIFS(RawData!$J$2:$J$941,RawData!$C$2:$C$941,"MT",RawData!$F$2:$F$941,"Pass",RawData!$J$2:$J$941,"&lt;&gt;0"),0)</f>
        <v/>
      </c>
      <c r="G17" s="4">
        <f>IFERROR(SQRT(SUMPRODUCT((RawData!$C$2:$C$941="MT")*(RawData!$F$2:$F$941="Pass")*(RawData!$J$2:$J$941&lt;&gt;0)*(RawData!$J$2:$J$941-$F17)^2)/($E17-1)),0)</f>
        <v/>
      </c>
      <c r="H17" s="4">
        <f t="array" ref="H17">FERROR(MIN(IF((RawData!$C$2:$C$941="MT")*(RawData!$J$2:$J$941&lt;&gt;0),RawData!$J$2:$J$941)),0)</f>
        <v/>
      </c>
      <c r="I17" s="4">
        <f t="array" ref="I17">FERROR(MAX(IF((RawData!$C$2:$C$941="MT")*(RawData!$J$2:$J$941&lt;&gt;0),RawData!$J$2:$J$941)),0)</f>
        <v/>
      </c>
      <c r="J17" s="4">
        <f>IFERROR(($I17-$H17+$G17)/30,1)</f>
        <v/>
      </c>
      <c r="K17" s="4">
        <f>$H17-0.5*$G17</f>
        <v/>
      </c>
    </row>
    <row r="18">
      <c r="A18" s="3" t="inlineStr">
        <is>
          <t>MT</t>
        </is>
      </c>
      <c r="B18" s="3" t="inlineStr">
        <is>
          <t>Evap B Outlet Air Temp</t>
        </is>
      </c>
      <c r="C18" s="3" t="inlineStr">
        <is>
          <t>K</t>
        </is>
      </c>
      <c r="D18" s="3">
        <f>COUNTIFS(RawData!$C$2:$C$941,"MT",RawData!$K$2:$K$941,"&lt;&gt;0")</f>
        <v/>
      </c>
      <c r="E18" s="3">
        <f>COUNTIFS(RawData!$C$2:$C$941,"MT",RawData!$F$2:$F$941,"Pass",RawData!$K$2:$K$941,"&lt;&gt;0")</f>
        <v/>
      </c>
      <c r="F18" s="3">
        <f>IFERROR(AVERAGEIFS(RawData!$K$2:$K$941,RawData!$C$2:$C$941,"MT",RawData!$F$2:$F$941,"Pass",RawData!$K$2:$K$941,"&lt;&gt;0"),0)</f>
        <v/>
      </c>
      <c r="G18" s="3">
        <f>IFERROR(SQRT(SUMPRODUCT((RawData!$C$2:$C$941="MT")*(RawData!$F$2:$F$941="Pass")*(RawData!$K$2:$K$941&lt;&gt;0)*(RawData!$K$2:$K$941-$F18)^2)/($E18-1)),0)</f>
        <v/>
      </c>
      <c r="H18" s="3">
        <f t="array" ref="H18">FERROR(MIN(IF((RawData!$C$2:$C$941="MT")*(RawData!$K$2:$K$941&lt;&gt;0),RawData!$K$2:$K$941)),0)</f>
        <v/>
      </c>
      <c r="I18" s="3">
        <f t="array" ref="I18">FERROR(MAX(IF((RawData!$C$2:$C$941="MT")*(RawData!$K$2:$K$941&lt;&gt;0),RawData!$K$2:$K$941)),0)</f>
        <v/>
      </c>
      <c r="J18" s="3">
        <f>IFERROR(($I18-$H18+$G18)/30,1)</f>
        <v/>
      </c>
      <c r="K18" s="3">
        <f>$H18-0.5*$G18</f>
        <v/>
      </c>
    </row>
    <row r="19">
      <c r="A19" s="4" t="inlineStr">
        <is>
          <t>MT</t>
        </is>
      </c>
      <c r="B19" s="4" t="inlineStr">
        <is>
          <t>Inlet/Outlet Delta</t>
        </is>
      </c>
      <c r="C19" s="4" t="inlineStr">
        <is>
          <t>L</t>
        </is>
      </c>
      <c r="D19" s="4">
        <f>COUNTIFS(RawData!$C$2:$C$941,"MT",RawData!$L$2:$L$941,"&lt;&gt;0")</f>
        <v/>
      </c>
      <c r="E19" s="4">
        <f>COUNTIFS(RawData!$C$2:$C$941,"MT",RawData!$F$2:$F$941,"Pass",RawData!$L$2:$L$941,"&lt;&gt;0")</f>
        <v/>
      </c>
      <c r="F19" s="4">
        <f>IFERROR(AVERAGEIFS(RawData!$L$2:$L$941,RawData!$C$2:$C$941,"MT",RawData!$F$2:$F$941,"Pass",RawData!$L$2:$L$941,"&lt;&gt;0"),0)</f>
        <v/>
      </c>
      <c r="G19" s="4">
        <f>IFERROR(SQRT(SUMPRODUCT((RawData!$C$2:$C$941="MT")*(RawData!$F$2:$F$941="Pass")*(RawData!$L$2:$L$941&lt;&gt;0)*(RawData!$L$2:$L$941-$F19)^2)/($E19-1)),0)</f>
        <v/>
      </c>
      <c r="H19" s="4">
        <f t="array" ref="H19">FERROR(MIN(IF((RawData!$C$2:$C$941="MT")*(RawData!$L$2:$L$941&lt;&gt;0),RawData!$L$2:$L$941)),0)</f>
        <v/>
      </c>
      <c r="I19" s="4">
        <f t="array" ref="I19">FERROR(MAX(IF((RawData!$C$2:$C$941="MT")*(RawData!$L$2:$L$941&lt;&gt;0),RawData!$L$2:$L$941)),0)</f>
        <v/>
      </c>
      <c r="J19" s="4">
        <f>IFERROR(($I19-$H19+$G19)/30,1)</f>
        <v/>
      </c>
      <c r="K19" s="4">
        <f>$H19-0.5*$G19</f>
        <v/>
      </c>
    </row>
    <row r="20">
      <c r="A20" s="3" t="inlineStr">
        <is>
          <t>MT</t>
        </is>
      </c>
      <c r="B20" s="3" t="inlineStr">
        <is>
          <t>Inlet/Outlet B Delta</t>
        </is>
      </c>
      <c r="C20" s="3" t="inlineStr">
        <is>
          <t>M</t>
        </is>
      </c>
      <c r="D20" s="3">
        <f>COUNTIFS(RawData!$C$2:$C$941,"MT",RawData!$M$2:$M$941,"&lt;&gt;0")</f>
        <v/>
      </c>
      <c r="E20" s="3">
        <f>COUNTIFS(RawData!$C$2:$C$941,"MT",RawData!$F$2:$F$941,"Pass",RawData!$M$2:$M$941,"&lt;&gt;0")</f>
        <v/>
      </c>
      <c r="F20" s="3">
        <f>IFERROR(AVERAGEIFS(RawData!$M$2:$M$941,RawData!$C$2:$C$941,"MT",RawData!$F$2:$F$941,"Pass",RawData!$M$2:$M$941,"&lt;&gt;0"),0)</f>
        <v/>
      </c>
      <c r="G20" s="3">
        <f>IFERROR(SQRT(SUMPRODUCT((RawData!$C$2:$C$941="MT")*(RawData!$F$2:$F$941="Pass")*(RawData!$M$2:$M$941&lt;&gt;0)*(RawData!$M$2:$M$941-$F20)^2)/($E20-1)),0)</f>
        <v/>
      </c>
      <c r="H20" s="3">
        <f t="array" ref="H20">FERROR(MIN(IF((RawData!$C$2:$C$941="MT")*(RawData!$M$2:$M$941&lt;&gt;0),RawData!$M$2:$M$941)),0)</f>
        <v/>
      </c>
      <c r="I20" s="3">
        <f t="array" ref="I20">FERROR(MAX(IF((RawData!$C$2:$C$941="MT")*(RawData!$M$2:$M$941&lt;&gt;0),RawData!$M$2:$M$941)),0)</f>
        <v/>
      </c>
      <c r="J20" s="3">
        <f>IFERROR(($I20-$H20+$G20)/30,1)</f>
        <v/>
      </c>
      <c r="K20" s="3">
        <f>$H20-0.5*$G20</f>
        <v/>
      </c>
    </row>
    <row r="21">
      <c r="A21" s="4" t="inlineStr">
        <is>
          <t>MT</t>
        </is>
      </c>
      <c r="B21" s="4" t="inlineStr">
        <is>
          <t>Ambient Temp</t>
        </is>
      </c>
      <c r="C21" s="4" t="inlineStr">
        <is>
          <t>N</t>
        </is>
      </c>
      <c r="D21" s="4">
        <f>COUNTIFS(RawData!$C$2:$C$941,"MT",RawData!$N$2:$N$941,"&lt;&gt;0")</f>
        <v/>
      </c>
      <c r="E21" s="4">
        <f>COUNTIFS(RawData!$C$2:$C$941,"MT",RawData!$F$2:$F$941,"Pass",RawData!$N$2:$N$941,"&lt;&gt;0")</f>
        <v/>
      </c>
      <c r="F21" s="4">
        <f>IFERROR(AVERAGEIFS(RawData!$N$2:$N$941,RawData!$C$2:$C$941,"MT",RawData!$F$2:$F$941,"Pass",RawData!$N$2:$N$941,"&lt;&gt;0"),0)</f>
        <v/>
      </c>
      <c r="G21" s="4">
        <f>IFERROR(SQRT(SUMPRODUCT((RawData!$C$2:$C$941="MT")*(RawData!$F$2:$F$941="Pass")*(RawData!$N$2:$N$941&lt;&gt;0)*(RawData!$N$2:$N$941-$F21)^2)/($E21-1)),0)</f>
        <v/>
      </c>
      <c r="H21" s="4">
        <f t="array" ref="H21">FERROR(MIN(IF((RawData!$C$2:$C$941="MT")*(RawData!$N$2:$N$941&lt;&gt;0),RawData!$N$2:$N$941)),0)</f>
        <v/>
      </c>
      <c r="I21" s="4">
        <f t="array" ref="I21">FERROR(MAX(IF((RawData!$C$2:$C$941="MT")*(RawData!$N$2:$N$941&lt;&gt;0),RawData!$N$2:$N$941)),0)</f>
        <v/>
      </c>
      <c r="J21" s="4">
        <f>IFERROR(($I21-$H21+$G21)/30,1)</f>
        <v/>
      </c>
      <c r="K21" s="4">
        <f>$H21-0.5*$G21</f>
        <v/>
      </c>
    </row>
    <row r="22">
      <c r="A22" s="3" t="inlineStr">
        <is>
          <t>MT</t>
        </is>
      </c>
      <c r="B22" s="3" t="inlineStr">
        <is>
          <t>Startup Voltage</t>
        </is>
      </c>
      <c r="C22" s="3" t="inlineStr">
        <is>
          <t>O</t>
        </is>
      </c>
      <c r="D22" s="3">
        <f>COUNTIFS(RawData!$C$2:$C$941,"MT",RawData!$O$2:$O$941,"&lt;&gt;0")</f>
        <v/>
      </c>
      <c r="E22" s="3">
        <f>COUNTIFS(RawData!$C$2:$C$941,"MT",RawData!$F$2:$F$941,"Pass",RawData!$O$2:$O$941,"&lt;&gt;0")</f>
        <v/>
      </c>
      <c r="F22" s="3">
        <f>IFERROR(AVERAGEIFS(RawData!$O$2:$O$941,RawData!$C$2:$C$941,"MT",RawData!$F$2:$F$941,"Pass",RawData!$O$2:$O$941,"&lt;&gt;0"),0)</f>
        <v/>
      </c>
      <c r="G22" s="3">
        <f>IFERROR(SQRT(SUMPRODUCT((RawData!$C$2:$C$941="MT")*(RawData!$F$2:$F$941="Pass")*(RawData!$O$2:$O$941&lt;&gt;0)*(RawData!$O$2:$O$941-$F22)^2)/($E22-1)),0)</f>
        <v/>
      </c>
      <c r="H22" s="3">
        <f t="array" ref="H22">FERROR(MIN(IF((RawData!$C$2:$C$941="MT")*(RawData!$O$2:$O$941&lt;&gt;0),RawData!$O$2:$O$941)),0)</f>
        <v/>
      </c>
      <c r="I22" s="3">
        <f t="array" ref="I22">FERROR(MAX(IF((RawData!$C$2:$C$941="MT")*(RawData!$O$2:$O$941&lt;&gt;0),RawData!$O$2:$O$941)),0)</f>
        <v/>
      </c>
      <c r="J22" s="3">
        <f>IFERROR(($I22-$H22+$G22)/30,1)</f>
        <v/>
      </c>
      <c r="K22" s="3">
        <f>$H22-0.5*$G22</f>
        <v/>
      </c>
    </row>
    <row r="23">
      <c r="A23" s="4" t="inlineStr">
        <is>
          <t>MT</t>
        </is>
      </c>
      <c r="B23" s="4" t="inlineStr">
        <is>
          <t>Final Voltage</t>
        </is>
      </c>
      <c r="C23" s="4" t="inlineStr">
        <is>
          <t>P</t>
        </is>
      </c>
      <c r="D23" s="4">
        <f>COUNTIFS(RawData!$C$2:$C$941,"MT",RawData!$P$2:$P$941,"&lt;&gt;0")</f>
        <v/>
      </c>
      <c r="E23" s="4">
        <f>COUNTIFS(RawData!$C$2:$C$941,"MT",RawData!$F$2:$F$941,"Pass",RawData!$P$2:$P$941,"&lt;&gt;0")</f>
        <v/>
      </c>
      <c r="F23" s="4">
        <f>IFERROR(AVERAGEIFS(RawData!$P$2:$P$941,RawData!$C$2:$C$941,"MT",RawData!$F$2:$F$941,"Pass",RawData!$P$2:$P$941,"&lt;&gt;0"),0)</f>
        <v/>
      </c>
      <c r="G23" s="4">
        <f>IFERROR(SQRT(SUMPRODUCT((RawData!$C$2:$C$941="MT")*(RawData!$F$2:$F$941="Pass")*(RawData!$P$2:$P$941&lt;&gt;0)*(RawData!$P$2:$P$941-$F23)^2)/($E23-1)),0)</f>
        <v/>
      </c>
      <c r="H23" s="4">
        <f t="array" ref="H23">FERROR(MIN(IF((RawData!$C$2:$C$941="MT")*(RawData!$P$2:$P$941&lt;&gt;0),RawData!$P$2:$P$941)),0)</f>
        <v/>
      </c>
      <c r="I23" s="4">
        <f t="array" ref="I23">FERROR(MAX(IF((RawData!$C$2:$C$941="MT")*(RawData!$P$2:$P$941&lt;&gt;0),RawData!$P$2:$P$941)),0)</f>
        <v/>
      </c>
      <c r="J23" s="4">
        <f>IFERROR(($I23-$H23+$G23)/30,1)</f>
        <v/>
      </c>
      <c r="K23" s="4">
        <f>$H23-0.5*$G23</f>
        <v/>
      </c>
    </row>
    <row r="24">
      <c r="A24" s="3" t="inlineStr">
        <is>
          <t>MT</t>
        </is>
      </c>
      <c r="B24" s="3" t="inlineStr">
        <is>
          <t>Startup Current</t>
        </is>
      </c>
      <c r="C24" s="3" t="inlineStr">
        <is>
          <t>Q</t>
        </is>
      </c>
      <c r="D24" s="3">
        <f>COUNTIFS(RawData!$C$2:$C$941,"MT",RawData!$Q$2:$Q$941,"&lt;&gt;0")</f>
        <v/>
      </c>
      <c r="E24" s="3">
        <f>COUNTIFS(RawData!$C$2:$C$941,"MT",RawData!$F$2:$F$941,"Pass",RawData!$Q$2:$Q$941,"&lt;&gt;0")</f>
        <v/>
      </c>
      <c r="F24" s="3">
        <f>IFERROR(AVERAGEIFS(RawData!$Q$2:$Q$941,RawData!$C$2:$C$941,"MT",RawData!$F$2:$F$941,"Pass",RawData!$Q$2:$Q$941,"&lt;&gt;0"),0)</f>
        <v/>
      </c>
      <c r="G24" s="3">
        <f>IFERROR(SQRT(SUMPRODUCT((RawData!$C$2:$C$941="MT")*(RawData!$F$2:$F$941="Pass")*(RawData!$Q$2:$Q$941&lt;&gt;0)*(RawData!$Q$2:$Q$941-$F24)^2)/($E24-1)),0)</f>
        <v/>
      </c>
      <c r="H24" s="3">
        <f t="array" ref="H24">FERROR(MIN(IF((RawData!$C$2:$C$941="MT")*(RawData!$Q$2:$Q$941&lt;&gt;0),RawData!$Q$2:$Q$941)),0)</f>
        <v/>
      </c>
      <c r="I24" s="3">
        <f t="array" ref="I24">FERROR(MAX(IF((RawData!$C$2:$C$941="MT")*(RawData!$Q$2:$Q$941&lt;&gt;0),RawData!$Q$2:$Q$941)),0)</f>
        <v/>
      </c>
      <c r="J24" s="3">
        <f>IFERROR(($I24-$H24+$G24)/30,1)</f>
        <v/>
      </c>
      <c r="K24" s="3">
        <f>$H24-0.5*$G24</f>
        <v/>
      </c>
    </row>
    <row r="25">
      <c r="A25" s="4" t="inlineStr">
        <is>
          <t>MT</t>
        </is>
      </c>
      <c r="B25" s="4" t="inlineStr">
        <is>
          <t>Final Current</t>
        </is>
      </c>
      <c r="C25" s="4" t="inlineStr">
        <is>
          <t>R</t>
        </is>
      </c>
      <c r="D25" s="4">
        <f>COUNTIFS(RawData!$C$2:$C$941,"MT",RawData!$R$2:$R$941,"&lt;&gt;0")</f>
        <v/>
      </c>
      <c r="E25" s="4">
        <f>COUNTIFS(RawData!$C$2:$C$941,"MT",RawData!$F$2:$F$941,"Pass",RawData!$R$2:$R$941,"&lt;&gt;0")</f>
        <v/>
      </c>
      <c r="F25" s="4">
        <f>IFERROR(AVERAGEIFS(RawData!$R$2:$R$941,RawData!$C$2:$C$941,"MT",RawData!$F$2:$F$941,"Pass",RawData!$R$2:$R$941,"&lt;&gt;0"),0)</f>
        <v/>
      </c>
      <c r="G25" s="4">
        <f>IFERROR(SQRT(SUMPRODUCT((RawData!$C$2:$C$941="MT")*(RawData!$F$2:$F$941="Pass")*(RawData!$R$2:$R$941&lt;&gt;0)*(RawData!$R$2:$R$941-$F25)^2)/($E25-1)),0)</f>
        <v/>
      </c>
      <c r="H25" s="4">
        <f t="array" ref="H25">FERROR(MIN(IF((RawData!$C$2:$C$941="MT")*(RawData!$R$2:$R$941&lt;&gt;0),RawData!$R$2:$R$941)),0)</f>
        <v/>
      </c>
      <c r="I25" s="4">
        <f t="array" ref="I25">FERROR(MAX(IF((RawData!$C$2:$C$941="MT")*(RawData!$R$2:$R$941&lt;&gt;0),RawData!$R$2:$R$941)),0)</f>
        <v/>
      </c>
      <c r="J25" s="4">
        <f>IFERROR(($I25-$H25+$G25)/30,1)</f>
        <v/>
      </c>
      <c r="K25" s="4">
        <f>$H25-0.5*$G25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BinCenter</t>
        </is>
      </c>
      <c r="B1" s="5" t="inlineStr">
        <is>
          <t>BinLo</t>
        </is>
      </c>
      <c r="C1" s="5" t="inlineStr">
        <is>
          <t>BinHi</t>
        </is>
      </c>
      <c r="D1" s="5" t="inlineStr">
        <is>
          <t>TotalCount</t>
        </is>
      </c>
      <c r="E1" s="5" t="inlineStr">
        <is>
          <t>Normal</t>
        </is>
      </c>
      <c r="F1" s="5" t="inlineStr">
        <is>
          <t>Warning(2-3s)</t>
        </is>
      </c>
      <c r="G1" s="5" t="inlineStr">
        <is>
          <t>Outlier(&gt;3s)</t>
        </is>
      </c>
      <c r="H1" s="5" t="inlineStr">
        <is>
          <t>CurveY</t>
        </is>
      </c>
    </row>
    <row r="2">
      <c r="A2" s="6">
        <f>Config!$K$2+0*Config!$J$2+Config!$J$2/2</f>
        <v/>
      </c>
      <c r="B2" s="6">
        <f>$A2-Config!$J$2/2</f>
        <v/>
      </c>
      <c r="C2" s="6">
        <f>$A2+Config!$J$2/2</f>
        <v/>
      </c>
      <c r="D2" s="6">
        <f>COUNTIFS(RawData!$C$2:$C$941,"LT",RawData!$G$2:$G$941,"&gt;="&amp;$B2,RawData!$G$2:$G$941,"&lt;"&amp;$C2,RawData!$G$2:$G$941,"&lt;&gt;0")</f>
        <v/>
      </c>
      <c r="E2" s="6">
        <f>IF(Config!$G$2=0,0,IF(ABS(($A2-Config!$F$2)/Config!$G$2)&lt;=2,$D2,0))</f>
        <v/>
      </c>
      <c r="F2" s="6">
        <f>IF(Config!$G$2=0,0,IF(AND(ABS(($A2-Config!$F$2)/Config!$G$2)&gt;2,ABS(($A2-Config!$F$2)/Config!$G$2)&lt;=3),$D2,0))</f>
        <v/>
      </c>
      <c r="G2" s="6">
        <f>IF(Config!$G$2=0,0,IF(ABS(($A2-Config!$F$2)/Config!$G$2)&gt;3,$D2,0))</f>
        <v/>
      </c>
      <c r="H2" s="6">
        <f>IFERROR(NORM.DIST($A2,Config!$F$2,Config!$G$2,FALSE)*Config!$D$2*Config!$J$2,0)</f>
        <v/>
      </c>
    </row>
    <row r="3">
      <c r="A3">
        <f>Config!$K$2+1*Config!$J$2+Config!$J$2/2</f>
        <v/>
      </c>
      <c r="B3">
        <f>$A3-Config!$J$2/2</f>
        <v/>
      </c>
      <c r="C3">
        <f>$A3+Config!$J$2/2</f>
        <v/>
      </c>
      <c r="D3">
        <f>COUNTIFS(RawData!$C$2:$C$941,"LT",RawData!$G$2:$G$941,"&gt;="&amp;$B3,RawData!$G$2:$G$941,"&lt;"&amp;$C3,RawData!$G$2:$G$941,"&lt;&gt;0")</f>
        <v/>
      </c>
      <c r="E3">
        <f>IF(Config!$G$2=0,0,IF(ABS(($A3-Config!$F$2)/Config!$G$2)&lt;=2,$D3,0))</f>
        <v/>
      </c>
      <c r="F3">
        <f>IF(Config!$G$2=0,0,IF(AND(ABS(($A3-Config!$F$2)/Config!$G$2)&gt;2,ABS(($A3-Config!$F$2)/Config!$G$2)&lt;=3),$D3,0))</f>
        <v/>
      </c>
      <c r="G3">
        <f>IF(Config!$G$2=0,0,IF(ABS(($A3-Config!$F$2)/Config!$G$2)&gt;3,$D3,0))</f>
        <v/>
      </c>
      <c r="H3">
        <f>IFERROR(NORM.DIST($A3,Config!$F$2,Config!$G$2,FALSE)*Config!$D$2*Config!$J$2,0)</f>
        <v/>
      </c>
    </row>
    <row r="4">
      <c r="A4" s="6">
        <f>Config!$K$2+2*Config!$J$2+Config!$J$2/2</f>
        <v/>
      </c>
      <c r="B4" s="6">
        <f>$A4-Config!$J$2/2</f>
        <v/>
      </c>
      <c r="C4" s="6">
        <f>$A4+Config!$J$2/2</f>
        <v/>
      </c>
      <c r="D4" s="6">
        <f>COUNTIFS(RawData!$C$2:$C$941,"LT",RawData!$G$2:$G$941,"&gt;="&amp;$B4,RawData!$G$2:$G$941,"&lt;"&amp;$C4,RawData!$G$2:$G$941,"&lt;&gt;0")</f>
        <v/>
      </c>
      <c r="E4" s="6">
        <f>IF(Config!$G$2=0,0,IF(ABS(($A4-Config!$F$2)/Config!$G$2)&lt;=2,$D4,0))</f>
        <v/>
      </c>
      <c r="F4" s="6">
        <f>IF(Config!$G$2=0,0,IF(AND(ABS(($A4-Config!$F$2)/Config!$G$2)&gt;2,ABS(($A4-Config!$F$2)/Config!$G$2)&lt;=3),$D4,0))</f>
        <v/>
      </c>
      <c r="G4" s="6">
        <f>IF(Config!$G$2=0,0,IF(ABS(($A4-Config!$F$2)/Config!$G$2)&gt;3,$D4,0))</f>
        <v/>
      </c>
      <c r="H4" s="6">
        <f>IFERROR(NORM.DIST($A4,Config!$F$2,Config!$G$2,FALSE)*Config!$D$2*Config!$J$2,0)</f>
        <v/>
      </c>
    </row>
    <row r="5">
      <c r="A5">
        <f>Config!$K$2+3*Config!$J$2+Config!$J$2/2</f>
        <v/>
      </c>
      <c r="B5">
        <f>$A5-Config!$J$2/2</f>
        <v/>
      </c>
      <c r="C5">
        <f>$A5+Config!$J$2/2</f>
        <v/>
      </c>
      <c r="D5">
        <f>COUNTIFS(RawData!$C$2:$C$941,"LT",RawData!$G$2:$G$941,"&gt;="&amp;$B5,RawData!$G$2:$G$941,"&lt;"&amp;$C5,RawData!$G$2:$G$941,"&lt;&gt;0")</f>
        <v/>
      </c>
      <c r="E5">
        <f>IF(Config!$G$2=0,0,IF(ABS(($A5-Config!$F$2)/Config!$G$2)&lt;=2,$D5,0))</f>
        <v/>
      </c>
      <c r="F5">
        <f>IF(Config!$G$2=0,0,IF(AND(ABS(($A5-Config!$F$2)/Config!$G$2)&gt;2,ABS(($A5-Config!$F$2)/Config!$G$2)&lt;=3),$D5,0))</f>
        <v/>
      </c>
      <c r="G5">
        <f>IF(Config!$G$2=0,0,IF(ABS(($A5-Config!$F$2)/Config!$G$2)&gt;3,$D5,0))</f>
        <v/>
      </c>
      <c r="H5">
        <f>IFERROR(NORM.DIST($A5,Config!$F$2,Config!$G$2,FALSE)*Config!$D$2*Config!$J$2,0)</f>
        <v/>
      </c>
    </row>
    <row r="6">
      <c r="A6" s="6">
        <f>Config!$K$2+4*Config!$J$2+Config!$J$2/2</f>
        <v/>
      </c>
      <c r="B6" s="6">
        <f>$A6-Config!$J$2/2</f>
        <v/>
      </c>
      <c r="C6" s="6">
        <f>$A6+Config!$J$2/2</f>
        <v/>
      </c>
      <c r="D6" s="6">
        <f>COUNTIFS(RawData!$C$2:$C$941,"LT",RawData!$G$2:$G$941,"&gt;="&amp;$B6,RawData!$G$2:$G$941,"&lt;"&amp;$C6,RawData!$G$2:$G$941,"&lt;&gt;0")</f>
        <v/>
      </c>
      <c r="E6" s="6">
        <f>IF(Config!$G$2=0,0,IF(ABS(($A6-Config!$F$2)/Config!$G$2)&lt;=2,$D6,0))</f>
        <v/>
      </c>
      <c r="F6" s="6">
        <f>IF(Config!$G$2=0,0,IF(AND(ABS(($A6-Config!$F$2)/Config!$G$2)&gt;2,ABS(($A6-Config!$F$2)/Config!$G$2)&lt;=3),$D6,0))</f>
        <v/>
      </c>
      <c r="G6" s="6">
        <f>IF(Config!$G$2=0,0,IF(ABS(($A6-Config!$F$2)/Config!$G$2)&gt;3,$D6,0))</f>
        <v/>
      </c>
      <c r="H6" s="6">
        <f>IFERROR(NORM.DIST($A6,Config!$F$2,Config!$G$2,FALSE)*Config!$D$2*Config!$J$2,0)</f>
        <v/>
      </c>
    </row>
    <row r="7">
      <c r="A7">
        <f>Config!$K$2+5*Config!$J$2+Config!$J$2/2</f>
        <v/>
      </c>
      <c r="B7">
        <f>$A7-Config!$J$2/2</f>
        <v/>
      </c>
      <c r="C7">
        <f>$A7+Config!$J$2/2</f>
        <v/>
      </c>
      <c r="D7">
        <f>COUNTIFS(RawData!$C$2:$C$941,"LT",RawData!$G$2:$G$941,"&gt;="&amp;$B7,RawData!$G$2:$G$941,"&lt;"&amp;$C7,RawData!$G$2:$G$941,"&lt;&gt;0")</f>
        <v/>
      </c>
      <c r="E7">
        <f>IF(Config!$G$2=0,0,IF(ABS(($A7-Config!$F$2)/Config!$G$2)&lt;=2,$D7,0))</f>
        <v/>
      </c>
      <c r="F7">
        <f>IF(Config!$G$2=0,0,IF(AND(ABS(($A7-Config!$F$2)/Config!$G$2)&gt;2,ABS(($A7-Config!$F$2)/Config!$G$2)&lt;=3),$D7,0))</f>
        <v/>
      </c>
      <c r="G7">
        <f>IF(Config!$G$2=0,0,IF(ABS(($A7-Config!$F$2)/Config!$G$2)&gt;3,$D7,0))</f>
        <v/>
      </c>
      <c r="H7">
        <f>IFERROR(NORM.DIST($A7,Config!$F$2,Config!$G$2,FALSE)*Config!$D$2*Config!$J$2,0)</f>
        <v/>
      </c>
    </row>
    <row r="8">
      <c r="A8" s="6">
        <f>Config!$K$2+6*Config!$J$2+Config!$J$2/2</f>
        <v/>
      </c>
      <c r="B8" s="6">
        <f>$A8-Config!$J$2/2</f>
        <v/>
      </c>
      <c r="C8" s="6">
        <f>$A8+Config!$J$2/2</f>
        <v/>
      </c>
      <c r="D8" s="6">
        <f>COUNTIFS(RawData!$C$2:$C$941,"LT",RawData!$G$2:$G$941,"&gt;="&amp;$B8,RawData!$G$2:$G$941,"&lt;"&amp;$C8,RawData!$G$2:$G$941,"&lt;&gt;0")</f>
        <v/>
      </c>
      <c r="E8" s="6">
        <f>IF(Config!$G$2=0,0,IF(ABS(($A8-Config!$F$2)/Config!$G$2)&lt;=2,$D8,0))</f>
        <v/>
      </c>
      <c r="F8" s="6">
        <f>IF(Config!$G$2=0,0,IF(AND(ABS(($A8-Config!$F$2)/Config!$G$2)&gt;2,ABS(($A8-Config!$F$2)/Config!$G$2)&lt;=3),$D8,0))</f>
        <v/>
      </c>
      <c r="G8" s="6">
        <f>IF(Config!$G$2=0,0,IF(ABS(($A8-Config!$F$2)/Config!$G$2)&gt;3,$D8,0))</f>
        <v/>
      </c>
      <c r="H8" s="6">
        <f>IFERROR(NORM.DIST($A8,Config!$F$2,Config!$G$2,FALSE)*Config!$D$2*Config!$J$2,0)</f>
        <v/>
      </c>
    </row>
    <row r="9">
      <c r="A9">
        <f>Config!$K$2+7*Config!$J$2+Config!$J$2/2</f>
        <v/>
      </c>
      <c r="B9">
        <f>$A9-Config!$J$2/2</f>
        <v/>
      </c>
      <c r="C9">
        <f>$A9+Config!$J$2/2</f>
        <v/>
      </c>
      <c r="D9">
        <f>COUNTIFS(RawData!$C$2:$C$941,"LT",RawData!$G$2:$G$941,"&gt;="&amp;$B9,RawData!$G$2:$G$941,"&lt;"&amp;$C9,RawData!$G$2:$G$941,"&lt;&gt;0")</f>
        <v/>
      </c>
      <c r="E9">
        <f>IF(Config!$G$2=0,0,IF(ABS(($A9-Config!$F$2)/Config!$G$2)&lt;=2,$D9,0))</f>
        <v/>
      </c>
      <c r="F9">
        <f>IF(Config!$G$2=0,0,IF(AND(ABS(($A9-Config!$F$2)/Config!$G$2)&gt;2,ABS(($A9-Config!$F$2)/Config!$G$2)&lt;=3),$D9,0))</f>
        <v/>
      </c>
      <c r="G9">
        <f>IF(Config!$G$2=0,0,IF(ABS(($A9-Config!$F$2)/Config!$G$2)&gt;3,$D9,0))</f>
        <v/>
      </c>
      <c r="H9">
        <f>IFERROR(NORM.DIST($A9,Config!$F$2,Config!$G$2,FALSE)*Config!$D$2*Config!$J$2,0)</f>
        <v/>
      </c>
    </row>
    <row r="10">
      <c r="A10" s="6">
        <f>Config!$K$2+8*Config!$J$2+Config!$J$2/2</f>
        <v/>
      </c>
      <c r="B10" s="6">
        <f>$A10-Config!$J$2/2</f>
        <v/>
      </c>
      <c r="C10" s="6">
        <f>$A10+Config!$J$2/2</f>
        <v/>
      </c>
      <c r="D10" s="6">
        <f>COUNTIFS(RawData!$C$2:$C$941,"LT",RawData!$G$2:$G$941,"&gt;="&amp;$B10,RawData!$G$2:$G$941,"&lt;"&amp;$C10,RawData!$G$2:$G$941,"&lt;&gt;0")</f>
        <v/>
      </c>
      <c r="E10" s="6">
        <f>IF(Config!$G$2=0,0,IF(ABS(($A10-Config!$F$2)/Config!$G$2)&lt;=2,$D10,0))</f>
        <v/>
      </c>
      <c r="F10" s="6">
        <f>IF(Config!$G$2=0,0,IF(AND(ABS(($A10-Config!$F$2)/Config!$G$2)&gt;2,ABS(($A10-Config!$F$2)/Config!$G$2)&lt;=3),$D10,0))</f>
        <v/>
      </c>
      <c r="G10" s="6">
        <f>IF(Config!$G$2=0,0,IF(ABS(($A10-Config!$F$2)/Config!$G$2)&gt;3,$D10,0))</f>
        <v/>
      </c>
      <c r="H10" s="6">
        <f>IFERROR(NORM.DIST($A10,Config!$F$2,Config!$G$2,FALSE)*Config!$D$2*Config!$J$2,0)</f>
        <v/>
      </c>
    </row>
    <row r="11">
      <c r="A11">
        <f>Config!$K$2+9*Config!$J$2+Config!$J$2/2</f>
        <v/>
      </c>
      <c r="B11">
        <f>$A11-Config!$J$2/2</f>
        <v/>
      </c>
      <c r="C11">
        <f>$A11+Config!$J$2/2</f>
        <v/>
      </c>
      <c r="D11">
        <f>COUNTIFS(RawData!$C$2:$C$941,"LT",RawData!$G$2:$G$941,"&gt;="&amp;$B11,RawData!$G$2:$G$941,"&lt;"&amp;$C11,RawData!$G$2:$G$941,"&lt;&gt;0")</f>
        <v/>
      </c>
      <c r="E11">
        <f>IF(Config!$G$2=0,0,IF(ABS(($A11-Config!$F$2)/Config!$G$2)&lt;=2,$D11,0))</f>
        <v/>
      </c>
      <c r="F11">
        <f>IF(Config!$G$2=0,0,IF(AND(ABS(($A11-Config!$F$2)/Config!$G$2)&gt;2,ABS(($A11-Config!$F$2)/Config!$G$2)&lt;=3),$D11,0))</f>
        <v/>
      </c>
      <c r="G11">
        <f>IF(Config!$G$2=0,0,IF(ABS(($A11-Config!$F$2)/Config!$G$2)&gt;3,$D11,0))</f>
        <v/>
      </c>
      <c r="H11">
        <f>IFERROR(NORM.DIST($A11,Config!$F$2,Config!$G$2,FALSE)*Config!$D$2*Config!$J$2,0)</f>
        <v/>
      </c>
    </row>
    <row r="12">
      <c r="A12" s="6">
        <f>Config!$K$2+10*Config!$J$2+Config!$J$2/2</f>
        <v/>
      </c>
      <c r="B12" s="6">
        <f>$A12-Config!$J$2/2</f>
        <v/>
      </c>
      <c r="C12" s="6">
        <f>$A12+Config!$J$2/2</f>
        <v/>
      </c>
      <c r="D12" s="6">
        <f>COUNTIFS(RawData!$C$2:$C$941,"LT",RawData!$G$2:$G$941,"&gt;="&amp;$B12,RawData!$G$2:$G$941,"&lt;"&amp;$C12,RawData!$G$2:$G$941,"&lt;&gt;0")</f>
        <v/>
      </c>
      <c r="E12" s="6">
        <f>IF(Config!$G$2=0,0,IF(ABS(($A12-Config!$F$2)/Config!$G$2)&lt;=2,$D12,0))</f>
        <v/>
      </c>
      <c r="F12" s="6">
        <f>IF(Config!$G$2=0,0,IF(AND(ABS(($A12-Config!$F$2)/Config!$G$2)&gt;2,ABS(($A12-Config!$F$2)/Config!$G$2)&lt;=3),$D12,0))</f>
        <v/>
      </c>
      <c r="G12" s="6">
        <f>IF(Config!$G$2=0,0,IF(ABS(($A12-Config!$F$2)/Config!$G$2)&gt;3,$D12,0))</f>
        <v/>
      </c>
      <c r="H12" s="6">
        <f>IFERROR(NORM.DIST($A12,Config!$F$2,Config!$G$2,FALSE)*Config!$D$2*Config!$J$2,0)</f>
        <v/>
      </c>
    </row>
    <row r="13">
      <c r="A13">
        <f>Config!$K$2+11*Config!$J$2+Config!$J$2/2</f>
        <v/>
      </c>
      <c r="B13">
        <f>$A13-Config!$J$2/2</f>
        <v/>
      </c>
      <c r="C13">
        <f>$A13+Config!$J$2/2</f>
        <v/>
      </c>
      <c r="D13">
        <f>COUNTIFS(RawData!$C$2:$C$941,"LT",RawData!$G$2:$G$941,"&gt;="&amp;$B13,RawData!$G$2:$G$941,"&lt;"&amp;$C13,RawData!$G$2:$G$941,"&lt;&gt;0")</f>
        <v/>
      </c>
      <c r="E13">
        <f>IF(Config!$G$2=0,0,IF(ABS(($A13-Config!$F$2)/Config!$G$2)&lt;=2,$D13,0))</f>
        <v/>
      </c>
      <c r="F13">
        <f>IF(Config!$G$2=0,0,IF(AND(ABS(($A13-Config!$F$2)/Config!$G$2)&gt;2,ABS(($A13-Config!$F$2)/Config!$G$2)&lt;=3),$D13,0))</f>
        <v/>
      </c>
      <c r="G13">
        <f>IF(Config!$G$2=0,0,IF(ABS(($A13-Config!$F$2)/Config!$G$2)&gt;3,$D13,0))</f>
        <v/>
      </c>
      <c r="H13">
        <f>IFERROR(NORM.DIST($A13,Config!$F$2,Config!$G$2,FALSE)*Config!$D$2*Config!$J$2,0)</f>
        <v/>
      </c>
    </row>
    <row r="14">
      <c r="A14" s="6">
        <f>Config!$K$2+12*Config!$J$2+Config!$J$2/2</f>
        <v/>
      </c>
      <c r="B14" s="6">
        <f>$A14-Config!$J$2/2</f>
        <v/>
      </c>
      <c r="C14" s="6">
        <f>$A14+Config!$J$2/2</f>
        <v/>
      </c>
      <c r="D14" s="6">
        <f>COUNTIFS(RawData!$C$2:$C$941,"LT",RawData!$G$2:$G$941,"&gt;="&amp;$B14,RawData!$G$2:$G$941,"&lt;"&amp;$C14,RawData!$G$2:$G$941,"&lt;&gt;0")</f>
        <v/>
      </c>
      <c r="E14" s="6">
        <f>IF(Config!$G$2=0,0,IF(ABS(($A14-Config!$F$2)/Config!$G$2)&lt;=2,$D14,0))</f>
        <v/>
      </c>
      <c r="F14" s="6">
        <f>IF(Config!$G$2=0,0,IF(AND(ABS(($A14-Config!$F$2)/Config!$G$2)&gt;2,ABS(($A14-Config!$F$2)/Config!$G$2)&lt;=3),$D14,0))</f>
        <v/>
      </c>
      <c r="G14" s="6">
        <f>IF(Config!$G$2=0,0,IF(ABS(($A14-Config!$F$2)/Config!$G$2)&gt;3,$D14,0))</f>
        <v/>
      </c>
      <c r="H14" s="6">
        <f>IFERROR(NORM.DIST($A14,Config!$F$2,Config!$G$2,FALSE)*Config!$D$2*Config!$J$2,0)</f>
        <v/>
      </c>
    </row>
    <row r="15">
      <c r="A15">
        <f>Config!$K$2+13*Config!$J$2+Config!$J$2/2</f>
        <v/>
      </c>
      <c r="B15">
        <f>$A15-Config!$J$2/2</f>
        <v/>
      </c>
      <c r="C15">
        <f>$A15+Config!$J$2/2</f>
        <v/>
      </c>
      <c r="D15">
        <f>COUNTIFS(RawData!$C$2:$C$941,"LT",RawData!$G$2:$G$941,"&gt;="&amp;$B15,RawData!$G$2:$G$941,"&lt;"&amp;$C15,RawData!$G$2:$G$941,"&lt;&gt;0")</f>
        <v/>
      </c>
      <c r="E15">
        <f>IF(Config!$G$2=0,0,IF(ABS(($A15-Config!$F$2)/Config!$G$2)&lt;=2,$D15,0))</f>
        <v/>
      </c>
      <c r="F15">
        <f>IF(Config!$G$2=0,0,IF(AND(ABS(($A15-Config!$F$2)/Config!$G$2)&gt;2,ABS(($A15-Config!$F$2)/Config!$G$2)&lt;=3),$D15,0))</f>
        <v/>
      </c>
      <c r="G15">
        <f>IF(Config!$G$2=0,0,IF(ABS(($A15-Config!$F$2)/Config!$G$2)&gt;3,$D15,0))</f>
        <v/>
      </c>
      <c r="H15">
        <f>IFERROR(NORM.DIST($A15,Config!$F$2,Config!$G$2,FALSE)*Config!$D$2*Config!$J$2,0)</f>
        <v/>
      </c>
    </row>
    <row r="16">
      <c r="A16" s="6">
        <f>Config!$K$2+14*Config!$J$2+Config!$J$2/2</f>
        <v/>
      </c>
      <c r="B16" s="6">
        <f>$A16-Config!$J$2/2</f>
        <v/>
      </c>
      <c r="C16" s="6">
        <f>$A16+Config!$J$2/2</f>
        <v/>
      </c>
      <c r="D16" s="6">
        <f>COUNTIFS(RawData!$C$2:$C$941,"LT",RawData!$G$2:$G$941,"&gt;="&amp;$B16,RawData!$G$2:$G$941,"&lt;"&amp;$C16,RawData!$G$2:$G$941,"&lt;&gt;0")</f>
        <v/>
      </c>
      <c r="E16" s="6">
        <f>IF(Config!$G$2=0,0,IF(ABS(($A16-Config!$F$2)/Config!$G$2)&lt;=2,$D16,0))</f>
        <v/>
      </c>
      <c r="F16" s="6">
        <f>IF(Config!$G$2=0,0,IF(AND(ABS(($A16-Config!$F$2)/Config!$G$2)&gt;2,ABS(($A16-Config!$F$2)/Config!$G$2)&lt;=3),$D16,0))</f>
        <v/>
      </c>
      <c r="G16" s="6">
        <f>IF(Config!$G$2=0,0,IF(ABS(($A16-Config!$F$2)/Config!$G$2)&gt;3,$D16,0))</f>
        <v/>
      </c>
      <c r="H16" s="6">
        <f>IFERROR(NORM.DIST($A16,Config!$F$2,Config!$G$2,FALSE)*Config!$D$2*Config!$J$2,0)</f>
        <v/>
      </c>
    </row>
    <row r="17">
      <c r="A17">
        <f>Config!$K$2+15*Config!$J$2+Config!$J$2/2</f>
        <v/>
      </c>
      <c r="B17">
        <f>$A17-Config!$J$2/2</f>
        <v/>
      </c>
      <c r="C17">
        <f>$A17+Config!$J$2/2</f>
        <v/>
      </c>
      <c r="D17">
        <f>COUNTIFS(RawData!$C$2:$C$941,"LT",RawData!$G$2:$G$941,"&gt;="&amp;$B17,RawData!$G$2:$G$941,"&lt;"&amp;$C17,RawData!$G$2:$G$941,"&lt;&gt;0")</f>
        <v/>
      </c>
      <c r="E17">
        <f>IF(Config!$G$2=0,0,IF(ABS(($A17-Config!$F$2)/Config!$G$2)&lt;=2,$D17,0))</f>
        <v/>
      </c>
      <c r="F17">
        <f>IF(Config!$G$2=0,0,IF(AND(ABS(($A17-Config!$F$2)/Config!$G$2)&gt;2,ABS(($A17-Config!$F$2)/Config!$G$2)&lt;=3),$D17,0))</f>
        <v/>
      </c>
      <c r="G17">
        <f>IF(Config!$G$2=0,0,IF(ABS(($A17-Config!$F$2)/Config!$G$2)&gt;3,$D17,0))</f>
        <v/>
      </c>
      <c r="H17">
        <f>IFERROR(NORM.DIST($A17,Config!$F$2,Config!$G$2,FALSE)*Config!$D$2*Config!$J$2,0)</f>
        <v/>
      </c>
    </row>
    <row r="18">
      <c r="A18" s="6">
        <f>Config!$K$2+16*Config!$J$2+Config!$J$2/2</f>
        <v/>
      </c>
      <c r="B18" s="6">
        <f>$A18-Config!$J$2/2</f>
        <v/>
      </c>
      <c r="C18" s="6">
        <f>$A18+Config!$J$2/2</f>
        <v/>
      </c>
      <c r="D18" s="6">
        <f>COUNTIFS(RawData!$C$2:$C$941,"LT",RawData!$G$2:$G$941,"&gt;="&amp;$B18,RawData!$G$2:$G$941,"&lt;"&amp;$C18,RawData!$G$2:$G$941,"&lt;&gt;0")</f>
        <v/>
      </c>
      <c r="E18" s="6">
        <f>IF(Config!$G$2=0,0,IF(ABS(($A18-Config!$F$2)/Config!$G$2)&lt;=2,$D18,0))</f>
        <v/>
      </c>
      <c r="F18" s="6">
        <f>IF(Config!$G$2=0,0,IF(AND(ABS(($A18-Config!$F$2)/Config!$G$2)&gt;2,ABS(($A18-Config!$F$2)/Config!$G$2)&lt;=3),$D18,0))</f>
        <v/>
      </c>
      <c r="G18" s="6">
        <f>IF(Config!$G$2=0,0,IF(ABS(($A18-Config!$F$2)/Config!$G$2)&gt;3,$D18,0))</f>
        <v/>
      </c>
      <c r="H18" s="6">
        <f>IFERROR(NORM.DIST($A18,Config!$F$2,Config!$G$2,FALSE)*Config!$D$2*Config!$J$2,0)</f>
        <v/>
      </c>
    </row>
    <row r="19">
      <c r="A19">
        <f>Config!$K$2+17*Config!$J$2+Config!$J$2/2</f>
        <v/>
      </c>
      <c r="B19">
        <f>$A19-Config!$J$2/2</f>
        <v/>
      </c>
      <c r="C19">
        <f>$A19+Config!$J$2/2</f>
        <v/>
      </c>
      <c r="D19">
        <f>COUNTIFS(RawData!$C$2:$C$941,"LT",RawData!$G$2:$G$941,"&gt;="&amp;$B19,RawData!$G$2:$G$941,"&lt;"&amp;$C19,RawData!$G$2:$G$941,"&lt;&gt;0")</f>
        <v/>
      </c>
      <c r="E19">
        <f>IF(Config!$G$2=0,0,IF(ABS(($A19-Config!$F$2)/Config!$G$2)&lt;=2,$D19,0))</f>
        <v/>
      </c>
      <c r="F19">
        <f>IF(Config!$G$2=0,0,IF(AND(ABS(($A19-Config!$F$2)/Config!$G$2)&gt;2,ABS(($A19-Config!$F$2)/Config!$G$2)&lt;=3),$D19,0))</f>
        <v/>
      </c>
      <c r="G19">
        <f>IF(Config!$G$2=0,0,IF(ABS(($A19-Config!$F$2)/Config!$G$2)&gt;3,$D19,0))</f>
        <v/>
      </c>
      <c r="H19">
        <f>IFERROR(NORM.DIST($A19,Config!$F$2,Config!$G$2,FALSE)*Config!$D$2*Config!$J$2,0)</f>
        <v/>
      </c>
    </row>
    <row r="20">
      <c r="A20" s="6">
        <f>Config!$K$2+18*Config!$J$2+Config!$J$2/2</f>
        <v/>
      </c>
      <c r="B20" s="6">
        <f>$A20-Config!$J$2/2</f>
        <v/>
      </c>
      <c r="C20" s="6">
        <f>$A20+Config!$J$2/2</f>
        <v/>
      </c>
      <c r="D20" s="6">
        <f>COUNTIFS(RawData!$C$2:$C$941,"LT",RawData!$G$2:$G$941,"&gt;="&amp;$B20,RawData!$G$2:$G$941,"&lt;"&amp;$C20,RawData!$G$2:$G$941,"&lt;&gt;0")</f>
        <v/>
      </c>
      <c r="E20" s="6">
        <f>IF(Config!$G$2=0,0,IF(ABS(($A20-Config!$F$2)/Config!$G$2)&lt;=2,$D20,0))</f>
        <v/>
      </c>
      <c r="F20" s="6">
        <f>IF(Config!$G$2=0,0,IF(AND(ABS(($A20-Config!$F$2)/Config!$G$2)&gt;2,ABS(($A20-Config!$F$2)/Config!$G$2)&lt;=3),$D20,0))</f>
        <v/>
      </c>
      <c r="G20" s="6">
        <f>IF(Config!$G$2=0,0,IF(ABS(($A20-Config!$F$2)/Config!$G$2)&gt;3,$D20,0))</f>
        <v/>
      </c>
      <c r="H20" s="6">
        <f>IFERROR(NORM.DIST($A20,Config!$F$2,Config!$G$2,FALSE)*Config!$D$2*Config!$J$2,0)</f>
        <v/>
      </c>
    </row>
    <row r="21">
      <c r="A21">
        <f>Config!$K$2+19*Config!$J$2+Config!$J$2/2</f>
        <v/>
      </c>
      <c r="B21">
        <f>$A21-Config!$J$2/2</f>
        <v/>
      </c>
      <c r="C21">
        <f>$A21+Config!$J$2/2</f>
        <v/>
      </c>
      <c r="D21">
        <f>COUNTIFS(RawData!$C$2:$C$941,"LT",RawData!$G$2:$G$941,"&gt;="&amp;$B21,RawData!$G$2:$G$941,"&lt;"&amp;$C21,RawData!$G$2:$G$941,"&lt;&gt;0")</f>
        <v/>
      </c>
      <c r="E21">
        <f>IF(Config!$G$2=0,0,IF(ABS(($A21-Config!$F$2)/Config!$G$2)&lt;=2,$D21,0))</f>
        <v/>
      </c>
      <c r="F21">
        <f>IF(Config!$G$2=0,0,IF(AND(ABS(($A21-Config!$F$2)/Config!$G$2)&gt;2,ABS(($A21-Config!$F$2)/Config!$G$2)&lt;=3),$D21,0))</f>
        <v/>
      </c>
      <c r="G21">
        <f>IF(Config!$G$2=0,0,IF(ABS(($A21-Config!$F$2)/Config!$G$2)&gt;3,$D21,0))</f>
        <v/>
      </c>
      <c r="H21">
        <f>IFERROR(NORM.DIST($A21,Config!$F$2,Config!$G$2,FALSE)*Config!$D$2*Config!$J$2,0)</f>
        <v/>
      </c>
    </row>
    <row r="22">
      <c r="A22" s="6">
        <f>Config!$K$2+20*Config!$J$2+Config!$J$2/2</f>
        <v/>
      </c>
      <c r="B22" s="6">
        <f>$A22-Config!$J$2/2</f>
        <v/>
      </c>
      <c r="C22" s="6">
        <f>$A22+Config!$J$2/2</f>
        <v/>
      </c>
      <c r="D22" s="6">
        <f>COUNTIFS(RawData!$C$2:$C$941,"LT",RawData!$G$2:$G$941,"&gt;="&amp;$B22,RawData!$G$2:$G$941,"&lt;"&amp;$C22,RawData!$G$2:$G$941,"&lt;&gt;0")</f>
        <v/>
      </c>
      <c r="E22" s="6">
        <f>IF(Config!$G$2=0,0,IF(ABS(($A22-Config!$F$2)/Config!$G$2)&lt;=2,$D22,0))</f>
        <v/>
      </c>
      <c r="F22" s="6">
        <f>IF(Config!$G$2=0,0,IF(AND(ABS(($A22-Config!$F$2)/Config!$G$2)&gt;2,ABS(($A22-Config!$F$2)/Config!$G$2)&lt;=3),$D22,0))</f>
        <v/>
      </c>
      <c r="G22" s="6">
        <f>IF(Config!$G$2=0,0,IF(ABS(($A22-Config!$F$2)/Config!$G$2)&gt;3,$D22,0))</f>
        <v/>
      </c>
      <c r="H22" s="6">
        <f>IFERROR(NORM.DIST($A22,Config!$F$2,Config!$G$2,FALSE)*Config!$D$2*Config!$J$2,0)</f>
        <v/>
      </c>
    </row>
    <row r="23">
      <c r="A23">
        <f>Config!$K$2+21*Config!$J$2+Config!$J$2/2</f>
        <v/>
      </c>
      <c r="B23">
        <f>$A23-Config!$J$2/2</f>
        <v/>
      </c>
      <c r="C23">
        <f>$A23+Config!$J$2/2</f>
        <v/>
      </c>
      <c r="D23">
        <f>COUNTIFS(RawData!$C$2:$C$941,"LT",RawData!$G$2:$G$941,"&gt;="&amp;$B23,RawData!$G$2:$G$941,"&lt;"&amp;$C23,RawData!$G$2:$G$941,"&lt;&gt;0")</f>
        <v/>
      </c>
      <c r="E23">
        <f>IF(Config!$G$2=0,0,IF(ABS(($A23-Config!$F$2)/Config!$G$2)&lt;=2,$D23,0))</f>
        <v/>
      </c>
      <c r="F23">
        <f>IF(Config!$G$2=0,0,IF(AND(ABS(($A23-Config!$F$2)/Config!$G$2)&gt;2,ABS(($A23-Config!$F$2)/Config!$G$2)&lt;=3),$D23,0))</f>
        <v/>
      </c>
      <c r="G23">
        <f>IF(Config!$G$2=0,0,IF(ABS(($A23-Config!$F$2)/Config!$G$2)&gt;3,$D23,0))</f>
        <v/>
      </c>
      <c r="H23">
        <f>IFERROR(NORM.DIST($A23,Config!$F$2,Config!$G$2,FALSE)*Config!$D$2*Config!$J$2,0)</f>
        <v/>
      </c>
    </row>
    <row r="24">
      <c r="A24" s="6">
        <f>Config!$K$2+22*Config!$J$2+Config!$J$2/2</f>
        <v/>
      </c>
      <c r="B24" s="6">
        <f>$A24-Config!$J$2/2</f>
        <v/>
      </c>
      <c r="C24" s="6">
        <f>$A24+Config!$J$2/2</f>
        <v/>
      </c>
      <c r="D24" s="6">
        <f>COUNTIFS(RawData!$C$2:$C$941,"LT",RawData!$G$2:$G$941,"&gt;="&amp;$B24,RawData!$G$2:$G$941,"&lt;"&amp;$C24,RawData!$G$2:$G$941,"&lt;&gt;0")</f>
        <v/>
      </c>
      <c r="E24" s="6">
        <f>IF(Config!$G$2=0,0,IF(ABS(($A24-Config!$F$2)/Config!$G$2)&lt;=2,$D24,0))</f>
        <v/>
      </c>
      <c r="F24" s="6">
        <f>IF(Config!$G$2=0,0,IF(AND(ABS(($A24-Config!$F$2)/Config!$G$2)&gt;2,ABS(($A24-Config!$F$2)/Config!$G$2)&lt;=3),$D24,0))</f>
        <v/>
      </c>
      <c r="G24" s="6">
        <f>IF(Config!$G$2=0,0,IF(ABS(($A24-Config!$F$2)/Config!$G$2)&gt;3,$D24,0))</f>
        <v/>
      </c>
      <c r="H24" s="6">
        <f>IFERROR(NORM.DIST($A24,Config!$F$2,Config!$G$2,FALSE)*Config!$D$2*Config!$J$2,0)</f>
        <v/>
      </c>
    </row>
    <row r="25">
      <c r="A25">
        <f>Config!$K$2+23*Config!$J$2+Config!$J$2/2</f>
        <v/>
      </c>
      <c r="B25">
        <f>$A25-Config!$J$2/2</f>
        <v/>
      </c>
      <c r="C25">
        <f>$A25+Config!$J$2/2</f>
        <v/>
      </c>
      <c r="D25">
        <f>COUNTIFS(RawData!$C$2:$C$941,"LT",RawData!$G$2:$G$941,"&gt;="&amp;$B25,RawData!$G$2:$G$941,"&lt;"&amp;$C25,RawData!$G$2:$G$941,"&lt;&gt;0")</f>
        <v/>
      </c>
      <c r="E25">
        <f>IF(Config!$G$2=0,0,IF(ABS(($A25-Config!$F$2)/Config!$G$2)&lt;=2,$D25,0))</f>
        <v/>
      </c>
      <c r="F25">
        <f>IF(Config!$G$2=0,0,IF(AND(ABS(($A25-Config!$F$2)/Config!$G$2)&gt;2,ABS(($A25-Config!$F$2)/Config!$G$2)&lt;=3),$D25,0))</f>
        <v/>
      </c>
      <c r="G25">
        <f>IF(Config!$G$2=0,0,IF(ABS(($A25-Config!$F$2)/Config!$G$2)&gt;3,$D25,0))</f>
        <v/>
      </c>
      <c r="H25">
        <f>IFERROR(NORM.DIST($A25,Config!$F$2,Config!$G$2,FALSE)*Config!$D$2*Config!$J$2,0)</f>
        <v/>
      </c>
    </row>
    <row r="26">
      <c r="A26" s="6">
        <f>Config!$K$2+24*Config!$J$2+Config!$J$2/2</f>
        <v/>
      </c>
      <c r="B26" s="6">
        <f>$A26-Config!$J$2/2</f>
        <v/>
      </c>
      <c r="C26" s="6">
        <f>$A26+Config!$J$2/2</f>
        <v/>
      </c>
      <c r="D26" s="6">
        <f>COUNTIFS(RawData!$C$2:$C$941,"LT",RawData!$G$2:$G$941,"&gt;="&amp;$B26,RawData!$G$2:$G$941,"&lt;"&amp;$C26,RawData!$G$2:$G$941,"&lt;&gt;0")</f>
        <v/>
      </c>
      <c r="E26" s="6">
        <f>IF(Config!$G$2=0,0,IF(ABS(($A26-Config!$F$2)/Config!$G$2)&lt;=2,$D26,0))</f>
        <v/>
      </c>
      <c r="F26" s="6">
        <f>IF(Config!$G$2=0,0,IF(AND(ABS(($A26-Config!$F$2)/Config!$G$2)&gt;2,ABS(($A26-Config!$F$2)/Config!$G$2)&lt;=3),$D26,0))</f>
        <v/>
      </c>
      <c r="G26" s="6">
        <f>IF(Config!$G$2=0,0,IF(ABS(($A26-Config!$F$2)/Config!$G$2)&gt;3,$D26,0))</f>
        <v/>
      </c>
      <c r="H26" s="6">
        <f>IFERROR(NORM.DIST($A26,Config!$F$2,Config!$G$2,FALSE)*Config!$D$2*Config!$J$2,0)</f>
        <v/>
      </c>
    </row>
    <row r="27">
      <c r="A27">
        <f>Config!$K$2+25*Config!$J$2+Config!$J$2/2</f>
        <v/>
      </c>
      <c r="B27">
        <f>$A27-Config!$J$2/2</f>
        <v/>
      </c>
      <c r="C27">
        <f>$A27+Config!$J$2/2</f>
        <v/>
      </c>
      <c r="D27">
        <f>COUNTIFS(RawData!$C$2:$C$941,"LT",RawData!$G$2:$G$941,"&gt;="&amp;$B27,RawData!$G$2:$G$941,"&lt;"&amp;$C27,RawData!$G$2:$G$941,"&lt;&gt;0")</f>
        <v/>
      </c>
      <c r="E27">
        <f>IF(Config!$G$2=0,0,IF(ABS(($A27-Config!$F$2)/Config!$G$2)&lt;=2,$D27,0))</f>
        <v/>
      </c>
      <c r="F27">
        <f>IF(Config!$G$2=0,0,IF(AND(ABS(($A27-Config!$F$2)/Config!$G$2)&gt;2,ABS(($A27-Config!$F$2)/Config!$G$2)&lt;=3),$D27,0))</f>
        <v/>
      </c>
      <c r="G27">
        <f>IF(Config!$G$2=0,0,IF(ABS(($A27-Config!$F$2)/Config!$G$2)&gt;3,$D27,0))</f>
        <v/>
      </c>
      <c r="H27">
        <f>IFERROR(NORM.DIST($A27,Config!$F$2,Config!$G$2,FALSE)*Config!$D$2*Config!$J$2,0)</f>
        <v/>
      </c>
    </row>
    <row r="28">
      <c r="A28" s="6">
        <f>Config!$K$2+26*Config!$J$2+Config!$J$2/2</f>
        <v/>
      </c>
      <c r="B28" s="6">
        <f>$A28-Config!$J$2/2</f>
        <v/>
      </c>
      <c r="C28" s="6">
        <f>$A28+Config!$J$2/2</f>
        <v/>
      </c>
      <c r="D28" s="6">
        <f>COUNTIFS(RawData!$C$2:$C$941,"LT",RawData!$G$2:$G$941,"&gt;="&amp;$B28,RawData!$G$2:$G$941,"&lt;"&amp;$C28,RawData!$G$2:$G$941,"&lt;&gt;0")</f>
        <v/>
      </c>
      <c r="E28" s="6">
        <f>IF(Config!$G$2=0,0,IF(ABS(($A28-Config!$F$2)/Config!$G$2)&lt;=2,$D28,0))</f>
        <v/>
      </c>
      <c r="F28" s="6">
        <f>IF(Config!$G$2=0,0,IF(AND(ABS(($A28-Config!$F$2)/Config!$G$2)&gt;2,ABS(($A28-Config!$F$2)/Config!$G$2)&lt;=3),$D28,0))</f>
        <v/>
      </c>
      <c r="G28" s="6">
        <f>IF(Config!$G$2=0,0,IF(ABS(($A28-Config!$F$2)/Config!$G$2)&gt;3,$D28,0))</f>
        <v/>
      </c>
      <c r="H28" s="6">
        <f>IFERROR(NORM.DIST($A28,Config!$F$2,Config!$G$2,FALSE)*Config!$D$2*Config!$J$2,0)</f>
        <v/>
      </c>
    </row>
    <row r="29">
      <c r="A29">
        <f>Config!$K$2+27*Config!$J$2+Config!$J$2/2</f>
        <v/>
      </c>
      <c r="B29">
        <f>$A29-Config!$J$2/2</f>
        <v/>
      </c>
      <c r="C29">
        <f>$A29+Config!$J$2/2</f>
        <v/>
      </c>
      <c r="D29">
        <f>COUNTIFS(RawData!$C$2:$C$941,"LT",RawData!$G$2:$G$941,"&gt;="&amp;$B29,RawData!$G$2:$G$941,"&lt;"&amp;$C29,RawData!$G$2:$G$941,"&lt;&gt;0")</f>
        <v/>
      </c>
      <c r="E29">
        <f>IF(Config!$G$2=0,0,IF(ABS(($A29-Config!$F$2)/Config!$G$2)&lt;=2,$D29,0))</f>
        <v/>
      </c>
      <c r="F29">
        <f>IF(Config!$G$2=0,0,IF(AND(ABS(($A29-Config!$F$2)/Config!$G$2)&gt;2,ABS(($A29-Config!$F$2)/Config!$G$2)&lt;=3),$D29,0))</f>
        <v/>
      </c>
      <c r="G29">
        <f>IF(Config!$G$2=0,0,IF(ABS(($A29-Config!$F$2)/Config!$G$2)&gt;3,$D29,0))</f>
        <v/>
      </c>
      <c r="H29">
        <f>IFERROR(NORM.DIST($A29,Config!$F$2,Config!$G$2,FALSE)*Config!$D$2*Config!$J$2,0)</f>
        <v/>
      </c>
    </row>
    <row r="30">
      <c r="A30" s="6">
        <f>Config!$K$2+28*Config!$J$2+Config!$J$2/2</f>
        <v/>
      </c>
      <c r="B30" s="6">
        <f>$A30-Config!$J$2/2</f>
        <v/>
      </c>
      <c r="C30" s="6">
        <f>$A30+Config!$J$2/2</f>
        <v/>
      </c>
      <c r="D30" s="6">
        <f>COUNTIFS(RawData!$C$2:$C$941,"LT",RawData!$G$2:$G$941,"&gt;="&amp;$B30,RawData!$G$2:$G$941,"&lt;"&amp;$C30,RawData!$G$2:$G$941,"&lt;&gt;0")</f>
        <v/>
      </c>
      <c r="E30" s="6">
        <f>IF(Config!$G$2=0,0,IF(ABS(($A30-Config!$F$2)/Config!$G$2)&lt;=2,$D30,0))</f>
        <v/>
      </c>
      <c r="F30" s="6">
        <f>IF(Config!$G$2=0,0,IF(AND(ABS(($A30-Config!$F$2)/Config!$G$2)&gt;2,ABS(($A30-Config!$F$2)/Config!$G$2)&lt;=3),$D30,0))</f>
        <v/>
      </c>
      <c r="G30" s="6">
        <f>IF(Config!$G$2=0,0,IF(ABS(($A30-Config!$F$2)/Config!$G$2)&gt;3,$D30,0))</f>
        <v/>
      </c>
      <c r="H30" s="6">
        <f>IFERROR(NORM.DIST($A30,Config!$F$2,Config!$G$2,FALSE)*Config!$D$2*Config!$J$2,0)</f>
        <v/>
      </c>
    </row>
    <row r="31">
      <c r="A31">
        <f>Config!$K$2+29*Config!$J$2+Config!$J$2/2</f>
        <v/>
      </c>
      <c r="B31">
        <f>$A31-Config!$J$2/2</f>
        <v/>
      </c>
      <c r="C31">
        <f>$A31+Config!$J$2/2</f>
        <v/>
      </c>
      <c r="D31">
        <f>COUNTIFS(RawData!$C$2:$C$941,"LT",RawData!$G$2:$G$941,"&gt;="&amp;$B31,RawData!$G$2:$G$941,"&lt;"&amp;$C31,RawData!$G$2:$G$941,"&lt;&gt;0")</f>
        <v/>
      </c>
      <c r="E31">
        <f>IF(Config!$G$2=0,0,IF(ABS(($A31-Config!$F$2)/Config!$G$2)&lt;=2,$D31,0))</f>
        <v/>
      </c>
      <c r="F31">
        <f>IF(Config!$G$2=0,0,IF(AND(ABS(($A31-Config!$F$2)/Config!$G$2)&gt;2,ABS(($A31-Config!$F$2)/Config!$G$2)&lt;=3),$D31,0))</f>
        <v/>
      </c>
      <c r="G31">
        <f>IF(Config!$G$2=0,0,IF(ABS(($A31-Config!$F$2)/Config!$G$2)&gt;3,$D31,0))</f>
        <v/>
      </c>
      <c r="H31">
        <f>IFERROR(NORM.DIST($A31,Config!$F$2,Config!$G$2,FALSE)*Config!$D$2*Config!$J$2,0)</f>
        <v/>
      </c>
    </row>
    <row r="33">
      <c r="A33" s="5" t="inlineStr">
        <is>
          <t>BinCenter</t>
        </is>
      </c>
      <c r="B33" s="5" t="inlineStr">
        <is>
          <t>BinLo</t>
        </is>
      </c>
      <c r="C33" s="5" t="inlineStr">
        <is>
          <t>BinHi</t>
        </is>
      </c>
      <c r="D33" s="5" t="inlineStr">
        <is>
          <t>TotalCount</t>
        </is>
      </c>
      <c r="E33" s="5" t="inlineStr">
        <is>
          <t>Normal</t>
        </is>
      </c>
      <c r="F33" s="5" t="inlineStr">
        <is>
          <t>Warning(2-3s)</t>
        </is>
      </c>
      <c r="G33" s="5" t="inlineStr">
        <is>
          <t>Outlier(&gt;3s)</t>
        </is>
      </c>
      <c r="H33" s="5" t="inlineStr">
        <is>
          <t>CurveY</t>
        </is>
      </c>
    </row>
    <row r="34">
      <c r="A34" s="6">
        <f>Config!$K$3+0*Config!$J$3+Config!$J$3/2</f>
        <v/>
      </c>
      <c r="B34" s="6">
        <f>$A34-Config!$J$3/2</f>
        <v/>
      </c>
      <c r="C34" s="6">
        <f>$A34+Config!$J$3/2</f>
        <v/>
      </c>
      <c r="D34" s="6">
        <f>COUNTIFS(RawData!$C$2:$C$941,"LT",RawData!$H$2:$H$941,"&gt;="&amp;$B34,RawData!$H$2:$H$941,"&lt;"&amp;$C34,RawData!$H$2:$H$941,"&lt;&gt;0")</f>
        <v/>
      </c>
      <c r="E34" s="6">
        <f>IF(Config!$G$3=0,0,IF(ABS(($A34-Config!$F$3)/Config!$G$3)&lt;=2,$D34,0))</f>
        <v/>
      </c>
      <c r="F34" s="6">
        <f>IF(Config!$G$3=0,0,IF(AND(ABS(($A34-Config!$F$3)/Config!$G$3)&gt;2,ABS(($A34-Config!$F$3)/Config!$G$3)&lt;=3),$D34,0))</f>
        <v/>
      </c>
      <c r="G34" s="6">
        <f>IF(Config!$G$3=0,0,IF(ABS(($A34-Config!$F$3)/Config!$G$3)&gt;3,$D34,0))</f>
        <v/>
      </c>
      <c r="H34" s="6">
        <f>IFERROR(NORM.DIST($A34,Config!$F$3,Config!$G$3,FALSE)*Config!$D$3*Config!$J$3,0)</f>
        <v/>
      </c>
    </row>
    <row r="35">
      <c r="A35">
        <f>Config!$K$3+1*Config!$J$3+Config!$J$3/2</f>
        <v/>
      </c>
      <c r="B35">
        <f>$A35-Config!$J$3/2</f>
        <v/>
      </c>
      <c r="C35">
        <f>$A35+Config!$J$3/2</f>
        <v/>
      </c>
      <c r="D35">
        <f>COUNTIFS(RawData!$C$2:$C$941,"LT",RawData!$H$2:$H$941,"&gt;="&amp;$B35,RawData!$H$2:$H$941,"&lt;"&amp;$C35,RawData!$H$2:$H$941,"&lt;&gt;0")</f>
        <v/>
      </c>
      <c r="E35">
        <f>IF(Config!$G$3=0,0,IF(ABS(($A35-Config!$F$3)/Config!$G$3)&lt;=2,$D35,0))</f>
        <v/>
      </c>
      <c r="F35">
        <f>IF(Config!$G$3=0,0,IF(AND(ABS(($A35-Config!$F$3)/Config!$G$3)&gt;2,ABS(($A35-Config!$F$3)/Config!$G$3)&lt;=3),$D35,0))</f>
        <v/>
      </c>
      <c r="G35">
        <f>IF(Config!$G$3=0,0,IF(ABS(($A35-Config!$F$3)/Config!$G$3)&gt;3,$D35,0))</f>
        <v/>
      </c>
      <c r="H35">
        <f>IFERROR(NORM.DIST($A35,Config!$F$3,Config!$G$3,FALSE)*Config!$D$3*Config!$J$3,0)</f>
        <v/>
      </c>
    </row>
    <row r="36">
      <c r="A36" s="6">
        <f>Config!$K$3+2*Config!$J$3+Config!$J$3/2</f>
        <v/>
      </c>
      <c r="B36" s="6">
        <f>$A36-Config!$J$3/2</f>
        <v/>
      </c>
      <c r="C36" s="6">
        <f>$A36+Config!$J$3/2</f>
        <v/>
      </c>
      <c r="D36" s="6">
        <f>COUNTIFS(RawData!$C$2:$C$941,"LT",RawData!$H$2:$H$941,"&gt;="&amp;$B36,RawData!$H$2:$H$941,"&lt;"&amp;$C36,RawData!$H$2:$H$941,"&lt;&gt;0")</f>
        <v/>
      </c>
      <c r="E36" s="6">
        <f>IF(Config!$G$3=0,0,IF(ABS(($A36-Config!$F$3)/Config!$G$3)&lt;=2,$D36,0))</f>
        <v/>
      </c>
      <c r="F36" s="6">
        <f>IF(Config!$G$3=0,0,IF(AND(ABS(($A36-Config!$F$3)/Config!$G$3)&gt;2,ABS(($A36-Config!$F$3)/Config!$G$3)&lt;=3),$D36,0))</f>
        <v/>
      </c>
      <c r="G36" s="6">
        <f>IF(Config!$G$3=0,0,IF(ABS(($A36-Config!$F$3)/Config!$G$3)&gt;3,$D36,0))</f>
        <v/>
      </c>
      <c r="H36" s="6">
        <f>IFERROR(NORM.DIST($A36,Config!$F$3,Config!$G$3,FALSE)*Config!$D$3*Config!$J$3,0)</f>
        <v/>
      </c>
    </row>
    <row r="37">
      <c r="A37">
        <f>Config!$K$3+3*Config!$J$3+Config!$J$3/2</f>
        <v/>
      </c>
      <c r="B37">
        <f>$A37-Config!$J$3/2</f>
        <v/>
      </c>
      <c r="C37">
        <f>$A37+Config!$J$3/2</f>
        <v/>
      </c>
      <c r="D37">
        <f>COUNTIFS(RawData!$C$2:$C$941,"LT",RawData!$H$2:$H$941,"&gt;="&amp;$B37,RawData!$H$2:$H$941,"&lt;"&amp;$C37,RawData!$H$2:$H$941,"&lt;&gt;0")</f>
        <v/>
      </c>
      <c r="E37">
        <f>IF(Config!$G$3=0,0,IF(ABS(($A37-Config!$F$3)/Config!$G$3)&lt;=2,$D37,0))</f>
        <v/>
      </c>
      <c r="F37">
        <f>IF(Config!$G$3=0,0,IF(AND(ABS(($A37-Config!$F$3)/Config!$G$3)&gt;2,ABS(($A37-Config!$F$3)/Config!$G$3)&lt;=3),$D37,0))</f>
        <v/>
      </c>
      <c r="G37">
        <f>IF(Config!$G$3=0,0,IF(ABS(($A37-Config!$F$3)/Config!$G$3)&gt;3,$D37,0))</f>
        <v/>
      </c>
      <c r="H37">
        <f>IFERROR(NORM.DIST($A37,Config!$F$3,Config!$G$3,FALSE)*Config!$D$3*Config!$J$3,0)</f>
        <v/>
      </c>
    </row>
    <row r="38">
      <c r="A38" s="6">
        <f>Config!$K$3+4*Config!$J$3+Config!$J$3/2</f>
        <v/>
      </c>
      <c r="B38" s="6">
        <f>$A38-Config!$J$3/2</f>
        <v/>
      </c>
      <c r="C38" s="6">
        <f>$A38+Config!$J$3/2</f>
        <v/>
      </c>
      <c r="D38" s="6">
        <f>COUNTIFS(RawData!$C$2:$C$941,"LT",RawData!$H$2:$H$941,"&gt;="&amp;$B38,RawData!$H$2:$H$941,"&lt;"&amp;$C38,RawData!$H$2:$H$941,"&lt;&gt;0")</f>
        <v/>
      </c>
      <c r="E38" s="6">
        <f>IF(Config!$G$3=0,0,IF(ABS(($A38-Config!$F$3)/Config!$G$3)&lt;=2,$D38,0))</f>
        <v/>
      </c>
      <c r="F38" s="6">
        <f>IF(Config!$G$3=0,0,IF(AND(ABS(($A38-Config!$F$3)/Config!$G$3)&gt;2,ABS(($A38-Config!$F$3)/Config!$G$3)&lt;=3),$D38,0))</f>
        <v/>
      </c>
      <c r="G38" s="6">
        <f>IF(Config!$G$3=0,0,IF(ABS(($A38-Config!$F$3)/Config!$G$3)&gt;3,$D38,0))</f>
        <v/>
      </c>
      <c r="H38" s="6">
        <f>IFERROR(NORM.DIST($A38,Config!$F$3,Config!$G$3,FALSE)*Config!$D$3*Config!$J$3,0)</f>
        <v/>
      </c>
    </row>
    <row r="39">
      <c r="A39">
        <f>Config!$K$3+5*Config!$J$3+Config!$J$3/2</f>
        <v/>
      </c>
      <c r="B39">
        <f>$A39-Config!$J$3/2</f>
        <v/>
      </c>
      <c r="C39">
        <f>$A39+Config!$J$3/2</f>
        <v/>
      </c>
      <c r="D39">
        <f>COUNTIFS(RawData!$C$2:$C$941,"LT",RawData!$H$2:$H$941,"&gt;="&amp;$B39,RawData!$H$2:$H$941,"&lt;"&amp;$C39,RawData!$H$2:$H$941,"&lt;&gt;0")</f>
        <v/>
      </c>
      <c r="E39">
        <f>IF(Config!$G$3=0,0,IF(ABS(($A39-Config!$F$3)/Config!$G$3)&lt;=2,$D39,0))</f>
        <v/>
      </c>
      <c r="F39">
        <f>IF(Config!$G$3=0,0,IF(AND(ABS(($A39-Config!$F$3)/Config!$G$3)&gt;2,ABS(($A39-Config!$F$3)/Config!$G$3)&lt;=3),$D39,0))</f>
        <v/>
      </c>
      <c r="G39">
        <f>IF(Config!$G$3=0,0,IF(ABS(($A39-Config!$F$3)/Config!$G$3)&gt;3,$D39,0))</f>
        <v/>
      </c>
      <c r="H39">
        <f>IFERROR(NORM.DIST($A39,Config!$F$3,Config!$G$3,FALSE)*Config!$D$3*Config!$J$3,0)</f>
        <v/>
      </c>
    </row>
    <row r="40">
      <c r="A40" s="6">
        <f>Config!$K$3+6*Config!$J$3+Config!$J$3/2</f>
        <v/>
      </c>
      <c r="B40" s="6">
        <f>$A40-Config!$J$3/2</f>
        <v/>
      </c>
      <c r="C40" s="6">
        <f>$A40+Config!$J$3/2</f>
        <v/>
      </c>
      <c r="D40" s="6">
        <f>COUNTIFS(RawData!$C$2:$C$941,"LT",RawData!$H$2:$H$941,"&gt;="&amp;$B40,RawData!$H$2:$H$941,"&lt;"&amp;$C40,RawData!$H$2:$H$941,"&lt;&gt;0")</f>
        <v/>
      </c>
      <c r="E40" s="6">
        <f>IF(Config!$G$3=0,0,IF(ABS(($A40-Config!$F$3)/Config!$G$3)&lt;=2,$D40,0))</f>
        <v/>
      </c>
      <c r="F40" s="6">
        <f>IF(Config!$G$3=0,0,IF(AND(ABS(($A40-Config!$F$3)/Config!$G$3)&gt;2,ABS(($A40-Config!$F$3)/Config!$G$3)&lt;=3),$D40,0))</f>
        <v/>
      </c>
      <c r="G40" s="6">
        <f>IF(Config!$G$3=0,0,IF(ABS(($A40-Config!$F$3)/Config!$G$3)&gt;3,$D40,0))</f>
        <v/>
      </c>
      <c r="H40" s="6">
        <f>IFERROR(NORM.DIST($A40,Config!$F$3,Config!$G$3,FALSE)*Config!$D$3*Config!$J$3,0)</f>
        <v/>
      </c>
    </row>
    <row r="41">
      <c r="A41">
        <f>Config!$K$3+7*Config!$J$3+Config!$J$3/2</f>
        <v/>
      </c>
      <c r="B41">
        <f>$A41-Config!$J$3/2</f>
        <v/>
      </c>
      <c r="C41">
        <f>$A41+Config!$J$3/2</f>
        <v/>
      </c>
      <c r="D41">
        <f>COUNTIFS(RawData!$C$2:$C$941,"LT",RawData!$H$2:$H$941,"&gt;="&amp;$B41,RawData!$H$2:$H$941,"&lt;"&amp;$C41,RawData!$H$2:$H$941,"&lt;&gt;0")</f>
        <v/>
      </c>
      <c r="E41">
        <f>IF(Config!$G$3=0,0,IF(ABS(($A41-Config!$F$3)/Config!$G$3)&lt;=2,$D41,0))</f>
        <v/>
      </c>
      <c r="F41">
        <f>IF(Config!$G$3=0,0,IF(AND(ABS(($A41-Config!$F$3)/Config!$G$3)&gt;2,ABS(($A41-Config!$F$3)/Config!$G$3)&lt;=3),$D41,0))</f>
        <v/>
      </c>
      <c r="G41">
        <f>IF(Config!$G$3=0,0,IF(ABS(($A41-Config!$F$3)/Config!$G$3)&gt;3,$D41,0))</f>
        <v/>
      </c>
      <c r="H41">
        <f>IFERROR(NORM.DIST($A41,Config!$F$3,Config!$G$3,FALSE)*Config!$D$3*Config!$J$3,0)</f>
        <v/>
      </c>
    </row>
    <row r="42">
      <c r="A42" s="6">
        <f>Config!$K$3+8*Config!$J$3+Config!$J$3/2</f>
        <v/>
      </c>
      <c r="B42" s="6">
        <f>$A42-Config!$J$3/2</f>
        <v/>
      </c>
      <c r="C42" s="6">
        <f>$A42+Config!$J$3/2</f>
        <v/>
      </c>
      <c r="D42" s="6">
        <f>COUNTIFS(RawData!$C$2:$C$941,"LT",RawData!$H$2:$H$941,"&gt;="&amp;$B42,RawData!$H$2:$H$941,"&lt;"&amp;$C42,RawData!$H$2:$H$941,"&lt;&gt;0")</f>
        <v/>
      </c>
      <c r="E42" s="6">
        <f>IF(Config!$G$3=0,0,IF(ABS(($A42-Config!$F$3)/Config!$G$3)&lt;=2,$D42,0))</f>
        <v/>
      </c>
      <c r="F42" s="6">
        <f>IF(Config!$G$3=0,0,IF(AND(ABS(($A42-Config!$F$3)/Config!$G$3)&gt;2,ABS(($A42-Config!$F$3)/Config!$G$3)&lt;=3),$D42,0))</f>
        <v/>
      </c>
      <c r="G42" s="6">
        <f>IF(Config!$G$3=0,0,IF(ABS(($A42-Config!$F$3)/Config!$G$3)&gt;3,$D42,0))</f>
        <v/>
      </c>
      <c r="H42" s="6">
        <f>IFERROR(NORM.DIST($A42,Config!$F$3,Config!$G$3,FALSE)*Config!$D$3*Config!$J$3,0)</f>
        <v/>
      </c>
    </row>
    <row r="43">
      <c r="A43">
        <f>Config!$K$3+9*Config!$J$3+Config!$J$3/2</f>
        <v/>
      </c>
      <c r="B43">
        <f>$A43-Config!$J$3/2</f>
        <v/>
      </c>
      <c r="C43">
        <f>$A43+Config!$J$3/2</f>
        <v/>
      </c>
      <c r="D43">
        <f>COUNTIFS(RawData!$C$2:$C$941,"LT",RawData!$H$2:$H$941,"&gt;="&amp;$B43,RawData!$H$2:$H$941,"&lt;"&amp;$C43,RawData!$H$2:$H$941,"&lt;&gt;0")</f>
        <v/>
      </c>
      <c r="E43">
        <f>IF(Config!$G$3=0,0,IF(ABS(($A43-Config!$F$3)/Config!$G$3)&lt;=2,$D43,0))</f>
        <v/>
      </c>
      <c r="F43">
        <f>IF(Config!$G$3=0,0,IF(AND(ABS(($A43-Config!$F$3)/Config!$G$3)&gt;2,ABS(($A43-Config!$F$3)/Config!$G$3)&lt;=3),$D43,0))</f>
        <v/>
      </c>
      <c r="G43">
        <f>IF(Config!$G$3=0,0,IF(ABS(($A43-Config!$F$3)/Config!$G$3)&gt;3,$D43,0))</f>
        <v/>
      </c>
      <c r="H43">
        <f>IFERROR(NORM.DIST($A43,Config!$F$3,Config!$G$3,FALSE)*Config!$D$3*Config!$J$3,0)</f>
        <v/>
      </c>
    </row>
    <row r="44">
      <c r="A44" s="6">
        <f>Config!$K$3+10*Config!$J$3+Config!$J$3/2</f>
        <v/>
      </c>
      <c r="B44" s="6">
        <f>$A44-Config!$J$3/2</f>
        <v/>
      </c>
      <c r="C44" s="6">
        <f>$A44+Config!$J$3/2</f>
        <v/>
      </c>
      <c r="D44" s="6">
        <f>COUNTIFS(RawData!$C$2:$C$941,"LT",RawData!$H$2:$H$941,"&gt;="&amp;$B44,RawData!$H$2:$H$941,"&lt;"&amp;$C44,RawData!$H$2:$H$941,"&lt;&gt;0")</f>
        <v/>
      </c>
      <c r="E44" s="6">
        <f>IF(Config!$G$3=0,0,IF(ABS(($A44-Config!$F$3)/Config!$G$3)&lt;=2,$D44,0))</f>
        <v/>
      </c>
      <c r="F44" s="6">
        <f>IF(Config!$G$3=0,0,IF(AND(ABS(($A44-Config!$F$3)/Config!$G$3)&gt;2,ABS(($A44-Config!$F$3)/Config!$G$3)&lt;=3),$D44,0))</f>
        <v/>
      </c>
      <c r="G44" s="6">
        <f>IF(Config!$G$3=0,0,IF(ABS(($A44-Config!$F$3)/Config!$G$3)&gt;3,$D44,0))</f>
        <v/>
      </c>
      <c r="H44" s="6">
        <f>IFERROR(NORM.DIST($A44,Config!$F$3,Config!$G$3,FALSE)*Config!$D$3*Config!$J$3,0)</f>
        <v/>
      </c>
    </row>
    <row r="45">
      <c r="A45">
        <f>Config!$K$3+11*Config!$J$3+Config!$J$3/2</f>
        <v/>
      </c>
      <c r="B45">
        <f>$A45-Config!$J$3/2</f>
        <v/>
      </c>
      <c r="C45">
        <f>$A45+Config!$J$3/2</f>
        <v/>
      </c>
      <c r="D45">
        <f>COUNTIFS(RawData!$C$2:$C$941,"LT",RawData!$H$2:$H$941,"&gt;="&amp;$B45,RawData!$H$2:$H$941,"&lt;"&amp;$C45,RawData!$H$2:$H$941,"&lt;&gt;0")</f>
        <v/>
      </c>
      <c r="E45">
        <f>IF(Config!$G$3=0,0,IF(ABS(($A45-Config!$F$3)/Config!$G$3)&lt;=2,$D45,0))</f>
        <v/>
      </c>
      <c r="F45">
        <f>IF(Config!$G$3=0,0,IF(AND(ABS(($A45-Config!$F$3)/Config!$G$3)&gt;2,ABS(($A45-Config!$F$3)/Config!$G$3)&lt;=3),$D45,0))</f>
        <v/>
      </c>
      <c r="G45">
        <f>IF(Config!$G$3=0,0,IF(ABS(($A45-Config!$F$3)/Config!$G$3)&gt;3,$D45,0))</f>
        <v/>
      </c>
      <c r="H45">
        <f>IFERROR(NORM.DIST($A45,Config!$F$3,Config!$G$3,FALSE)*Config!$D$3*Config!$J$3,0)</f>
        <v/>
      </c>
    </row>
    <row r="46">
      <c r="A46" s="6">
        <f>Config!$K$3+12*Config!$J$3+Config!$J$3/2</f>
        <v/>
      </c>
      <c r="B46" s="6">
        <f>$A46-Config!$J$3/2</f>
        <v/>
      </c>
      <c r="C46" s="6">
        <f>$A46+Config!$J$3/2</f>
        <v/>
      </c>
      <c r="D46" s="6">
        <f>COUNTIFS(RawData!$C$2:$C$941,"LT",RawData!$H$2:$H$941,"&gt;="&amp;$B46,RawData!$H$2:$H$941,"&lt;"&amp;$C46,RawData!$H$2:$H$941,"&lt;&gt;0")</f>
        <v/>
      </c>
      <c r="E46" s="6">
        <f>IF(Config!$G$3=0,0,IF(ABS(($A46-Config!$F$3)/Config!$G$3)&lt;=2,$D46,0))</f>
        <v/>
      </c>
      <c r="F46" s="6">
        <f>IF(Config!$G$3=0,0,IF(AND(ABS(($A46-Config!$F$3)/Config!$G$3)&gt;2,ABS(($A46-Config!$F$3)/Config!$G$3)&lt;=3),$D46,0))</f>
        <v/>
      </c>
      <c r="G46" s="6">
        <f>IF(Config!$G$3=0,0,IF(ABS(($A46-Config!$F$3)/Config!$G$3)&gt;3,$D46,0))</f>
        <v/>
      </c>
      <c r="H46" s="6">
        <f>IFERROR(NORM.DIST($A46,Config!$F$3,Config!$G$3,FALSE)*Config!$D$3*Config!$J$3,0)</f>
        <v/>
      </c>
    </row>
    <row r="47">
      <c r="A47">
        <f>Config!$K$3+13*Config!$J$3+Config!$J$3/2</f>
        <v/>
      </c>
      <c r="B47">
        <f>$A47-Config!$J$3/2</f>
        <v/>
      </c>
      <c r="C47">
        <f>$A47+Config!$J$3/2</f>
        <v/>
      </c>
      <c r="D47">
        <f>COUNTIFS(RawData!$C$2:$C$941,"LT",RawData!$H$2:$H$941,"&gt;="&amp;$B47,RawData!$H$2:$H$941,"&lt;"&amp;$C47,RawData!$H$2:$H$941,"&lt;&gt;0")</f>
        <v/>
      </c>
      <c r="E47">
        <f>IF(Config!$G$3=0,0,IF(ABS(($A47-Config!$F$3)/Config!$G$3)&lt;=2,$D47,0))</f>
        <v/>
      </c>
      <c r="F47">
        <f>IF(Config!$G$3=0,0,IF(AND(ABS(($A47-Config!$F$3)/Config!$G$3)&gt;2,ABS(($A47-Config!$F$3)/Config!$G$3)&lt;=3),$D47,0))</f>
        <v/>
      </c>
      <c r="G47">
        <f>IF(Config!$G$3=0,0,IF(ABS(($A47-Config!$F$3)/Config!$G$3)&gt;3,$D47,0))</f>
        <v/>
      </c>
      <c r="H47">
        <f>IFERROR(NORM.DIST($A47,Config!$F$3,Config!$G$3,FALSE)*Config!$D$3*Config!$J$3,0)</f>
        <v/>
      </c>
    </row>
    <row r="48">
      <c r="A48" s="6">
        <f>Config!$K$3+14*Config!$J$3+Config!$J$3/2</f>
        <v/>
      </c>
      <c r="B48" s="6">
        <f>$A48-Config!$J$3/2</f>
        <v/>
      </c>
      <c r="C48" s="6">
        <f>$A48+Config!$J$3/2</f>
        <v/>
      </c>
      <c r="D48" s="6">
        <f>COUNTIFS(RawData!$C$2:$C$941,"LT",RawData!$H$2:$H$941,"&gt;="&amp;$B48,RawData!$H$2:$H$941,"&lt;"&amp;$C48,RawData!$H$2:$H$941,"&lt;&gt;0")</f>
        <v/>
      </c>
      <c r="E48" s="6">
        <f>IF(Config!$G$3=0,0,IF(ABS(($A48-Config!$F$3)/Config!$G$3)&lt;=2,$D48,0))</f>
        <v/>
      </c>
      <c r="F48" s="6">
        <f>IF(Config!$G$3=0,0,IF(AND(ABS(($A48-Config!$F$3)/Config!$G$3)&gt;2,ABS(($A48-Config!$F$3)/Config!$G$3)&lt;=3),$D48,0))</f>
        <v/>
      </c>
      <c r="G48" s="6">
        <f>IF(Config!$G$3=0,0,IF(ABS(($A48-Config!$F$3)/Config!$G$3)&gt;3,$D48,0))</f>
        <v/>
      </c>
      <c r="H48" s="6">
        <f>IFERROR(NORM.DIST($A48,Config!$F$3,Config!$G$3,FALSE)*Config!$D$3*Config!$J$3,0)</f>
        <v/>
      </c>
    </row>
    <row r="49">
      <c r="A49">
        <f>Config!$K$3+15*Config!$J$3+Config!$J$3/2</f>
        <v/>
      </c>
      <c r="B49">
        <f>$A49-Config!$J$3/2</f>
        <v/>
      </c>
      <c r="C49">
        <f>$A49+Config!$J$3/2</f>
        <v/>
      </c>
      <c r="D49">
        <f>COUNTIFS(RawData!$C$2:$C$941,"LT",RawData!$H$2:$H$941,"&gt;="&amp;$B49,RawData!$H$2:$H$941,"&lt;"&amp;$C49,RawData!$H$2:$H$941,"&lt;&gt;0")</f>
        <v/>
      </c>
      <c r="E49">
        <f>IF(Config!$G$3=0,0,IF(ABS(($A49-Config!$F$3)/Config!$G$3)&lt;=2,$D49,0))</f>
        <v/>
      </c>
      <c r="F49">
        <f>IF(Config!$G$3=0,0,IF(AND(ABS(($A49-Config!$F$3)/Config!$G$3)&gt;2,ABS(($A49-Config!$F$3)/Config!$G$3)&lt;=3),$D49,0))</f>
        <v/>
      </c>
      <c r="G49">
        <f>IF(Config!$G$3=0,0,IF(ABS(($A49-Config!$F$3)/Config!$G$3)&gt;3,$D49,0))</f>
        <v/>
      </c>
      <c r="H49">
        <f>IFERROR(NORM.DIST($A49,Config!$F$3,Config!$G$3,FALSE)*Config!$D$3*Config!$J$3,0)</f>
        <v/>
      </c>
    </row>
    <row r="50">
      <c r="A50" s="6">
        <f>Config!$K$3+16*Config!$J$3+Config!$J$3/2</f>
        <v/>
      </c>
      <c r="B50" s="6">
        <f>$A50-Config!$J$3/2</f>
        <v/>
      </c>
      <c r="C50" s="6">
        <f>$A50+Config!$J$3/2</f>
        <v/>
      </c>
      <c r="D50" s="6">
        <f>COUNTIFS(RawData!$C$2:$C$941,"LT",RawData!$H$2:$H$941,"&gt;="&amp;$B50,RawData!$H$2:$H$941,"&lt;"&amp;$C50,RawData!$H$2:$H$941,"&lt;&gt;0")</f>
        <v/>
      </c>
      <c r="E50" s="6">
        <f>IF(Config!$G$3=0,0,IF(ABS(($A50-Config!$F$3)/Config!$G$3)&lt;=2,$D50,0))</f>
        <v/>
      </c>
      <c r="F50" s="6">
        <f>IF(Config!$G$3=0,0,IF(AND(ABS(($A50-Config!$F$3)/Config!$G$3)&gt;2,ABS(($A50-Config!$F$3)/Config!$G$3)&lt;=3),$D50,0))</f>
        <v/>
      </c>
      <c r="G50" s="6">
        <f>IF(Config!$G$3=0,0,IF(ABS(($A50-Config!$F$3)/Config!$G$3)&gt;3,$D50,0))</f>
        <v/>
      </c>
      <c r="H50" s="6">
        <f>IFERROR(NORM.DIST($A50,Config!$F$3,Config!$G$3,FALSE)*Config!$D$3*Config!$J$3,0)</f>
        <v/>
      </c>
    </row>
    <row r="51">
      <c r="A51">
        <f>Config!$K$3+17*Config!$J$3+Config!$J$3/2</f>
        <v/>
      </c>
      <c r="B51">
        <f>$A51-Config!$J$3/2</f>
        <v/>
      </c>
      <c r="C51">
        <f>$A51+Config!$J$3/2</f>
        <v/>
      </c>
      <c r="D51">
        <f>COUNTIFS(RawData!$C$2:$C$941,"LT",RawData!$H$2:$H$941,"&gt;="&amp;$B51,RawData!$H$2:$H$941,"&lt;"&amp;$C51,RawData!$H$2:$H$941,"&lt;&gt;0")</f>
        <v/>
      </c>
      <c r="E51">
        <f>IF(Config!$G$3=0,0,IF(ABS(($A51-Config!$F$3)/Config!$G$3)&lt;=2,$D51,0))</f>
        <v/>
      </c>
      <c r="F51">
        <f>IF(Config!$G$3=0,0,IF(AND(ABS(($A51-Config!$F$3)/Config!$G$3)&gt;2,ABS(($A51-Config!$F$3)/Config!$G$3)&lt;=3),$D51,0))</f>
        <v/>
      </c>
      <c r="G51">
        <f>IF(Config!$G$3=0,0,IF(ABS(($A51-Config!$F$3)/Config!$G$3)&gt;3,$D51,0))</f>
        <v/>
      </c>
      <c r="H51">
        <f>IFERROR(NORM.DIST($A51,Config!$F$3,Config!$G$3,FALSE)*Config!$D$3*Config!$J$3,0)</f>
        <v/>
      </c>
    </row>
    <row r="52">
      <c r="A52" s="6">
        <f>Config!$K$3+18*Config!$J$3+Config!$J$3/2</f>
        <v/>
      </c>
      <c r="B52" s="6">
        <f>$A52-Config!$J$3/2</f>
        <v/>
      </c>
      <c r="C52" s="6">
        <f>$A52+Config!$J$3/2</f>
        <v/>
      </c>
      <c r="D52" s="6">
        <f>COUNTIFS(RawData!$C$2:$C$941,"LT",RawData!$H$2:$H$941,"&gt;="&amp;$B52,RawData!$H$2:$H$941,"&lt;"&amp;$C52,RawData!$H$2:$H$941,"&lt;&gt;0")</f>
        <v/>
      </c>
      <c r="E52" s="6">
        <f>IF(Config!$G$3=0,0,IF(ABS(($A52-Config!$F$3)/Config!$G$3)&lt;=2,$D52,0))</f>
        <v/>
      </c>
      <c r="F52" s="6">
        <f>IF(Config!$G$3=0,0,IF(AND(ABS(($A52-Config!$F$3)/Config!$G$3)&gt;2,ABS(($A52-Config!$F$3)/Config!$G$3)&lt;=3),$D52,0))</f>
        <v/>
      </c>
      <c r="G52" s="6">
        <f>IF(Config!$G$3=0,0,IF(ABS(($A52-Config!$F$3)/Config!$G$3)&gt;3,$D52,0))</f>
        <v/>
      </c>
      <c r="H52" s="6">
        <f>IFERROR(NORM.DIST($A52,Config!$F$3,Config!$G$3,FALSE)*Config!$D$3*Config!$J$3,0)</f>
        <v/>
      </c>
    </row>
    <row r="53">
      <c r="A53">
        <f>Config!$K$3+19*Config!$J$3+Config!$J$3/2</f>
        <v/>
      </c>
      <c r="B53">
        <f>$A53-Config!$J$3/2</f>
        <v/>
      </c>
      <c r="C53">
        <f>$A53+Config!$J$3/2</f>
        <v/>
      </c>
      <c r="D53">
        <f>COUNTIFS(RawData!$C$2:$C$941,"LT",RawData!$H$2:$H$941,"&gt;="&amp;$B53,RawData!$H$2:$H$941,"&lt;"&amp;$C53,RawData!$H$2:$H$941,"&lt;&gt;0")</f>
        <v/>
      </c>
      <c r="E53">
        <f>IF(Config!$G$3=0,0,IF(ABS(($A53-Config!$F$3)/Config!$G$3)&lt;=2,$D53,0))</f>
        <v/>
      </c>
      <c r="F53">
        <f>IF(Config!$G$3=0,0,IF(AND(ABS(($A53-Config!$F$3)/Config!$G$3)&gt;2,ABS(($A53-Config!$F$3)/Config!$G$3)&lt;=3),$D53,0))</f>
        <v/>
      </c>
      <c r="G53">
        <f>IF(Config!$G$3=0,0,IF(ABS(($A53-Config!$F$3)/Config!$G$3)&gt;3,$D53,0))</f>
        <v/>
      </c>
      <c r="H53">
        <f>IFERROR(NORM.DIST($A53,Config!$F$3,Config!$G$3,FALSE)*Config!$D$3*Config!$J$3,0)</f>
        <v/>
      </c>
    </row>
    <row r="54">
      <c r="A54" s="6">
        <f>Config!$K$3+20*Config!$J$3+Config!$J$3/2</f>
        <v/>
      </c>
      <c r="B54" s="6">
        <f>$A54-Config!$J$3/2</f>
        <v/>
      </c>
      <c r="C54" s="6">
        <f>$A54+Config!$J$3/2</f>
        <v/>
      </c>
      <c r="D54" s="6">
        <f>COUNTIFS(RawData!$C$2:$C$941,"LT",RawData!$H$2:$H$941,"&gt;="&amp;$B54,RawData!$H$2:$H$941,"&lt;"&amp;$C54,RawData!$H$2:$H$941,"&lt;&gt;0")</f>
        <v/>
      </c>
      <c r="E54" s="6">
        <f>IF(Config!$G$3=0,0,IF(ABS(($A54-Config!$F$3)/Config!$G$3)&lt;=2,$D54,0))</f>
        <v/>
      </c>
      <c r="F54" s="6">
        <f>IF(Config!$G$3=0,0,IF(AND(ABS(($A54-Config!$F$3)/Config!$G$3)&gt;2,ABS(($A54-Config!$F$3)/Config!$G$3)&lt;=3),$D54,0))</f>
        <v/>
      </c>
      <c r="G54" s="6">
        <f>IF(Config!$G$3=0,0,IF(ABS(($A54-Config!$F$3)/Config!$G$3)&gt;3,$D54,0))</f>
        <v/>
      </c>
      <c r="H54" s="6">
        <f>IFERROR(NORM.DIST($A54,Config!$F$3,Config!$G$3,FALSE)*Config!$D$3*Config!$J$3,0)</f>
        <v/>
      </c>
    </row>
    <row r="55">
      <c r="A55">
        <f>Config!$K$3+21*Config!$J$3+Config!$J$3/2</f>
        <v/>
      </c>
      <c r="B55">
        <f>$A55-Config!$J$3/2</f>
        <v/>
      </c>
      <c r="C55">
        <f>$A55+Config!$J$3/2</f>
        <v/>
      </c>
      <c r="D55">
        <f>COUNTIFS(RawData!$C$2:$C$941,"LT",RawData!$H$2:$H$941,"&gt;="&amp;$B55,RawData!$H$2:$H$941,"&lt;"&amp;$C55,RawData!$H$2:$H$941,"&lt;&gt;0")</f>
        <v/>
      </c>
      <c r="E55">
        <f>IF(Config!$G$3=0,0,IF(ABS(($A55-Config!$F$3)/Config!$G$3)&lt;=2,$D55,0))</f>
        <v/>
      </c>
      <c r="F55">
        <f>IF(Config!$G$3=0,0,IF(AND(ABS(($A55-Config!$F$3)/Config!$G$3)&gt;2,ABS(($A55-Config!$F$3)/Config!$G$3)&lt;=3),$D55,0))</f>
        <v/>
      </c>
      <c r="G55">
        <f>IF(Config!$G$3=0,0,IF(ABS(($A55-Config!$F$3)/Config!$G$3)&gt;3,$D55,0))</f>
        <v/>
      </c>
      <c r="H55">
        <f>IFERROR(NORM.DIST($A55,Config!$F$3,Config!$G$3,FALSE)*Config!$D$3*Config!$J$3,0)</f>
        <v/>
      </c>
    </row>
    <row r="56">
      <c r="A56" s="6">
        <f>Config!$K$3+22*Config!$J$3+Config!$J$3/2</f>
        <v/>
      </c>
      <c r="B56" s="6">
        <f>$A56-Config!$J$3/2</f>
        <v/>
      </c>
      <c r="C56" s="6">
        <f>$A56+Config!$J$3/2</f>
        <v/>
      </c>
      <c r="D56" s="6">
        <f>COUNTIFS(RawData!$C$2:$C$941,"LT",RawData!$H$2:$H$941,"&gt;="&amp;$B56,RawData!$H$2:$H$941,"&lt;"&amp;$C56,RawData!$H$2:$H$941,"&lt;&gt;0")</f>
        <v/>
      </c>
      <c r="E56" s="6">
        <f>IF(Config!$G$3=0,0,IF(ABS(($A56-Config!$F$3)/Config!$G$3)&lt;=2,$D56,0))</f>
        <v/>
      </c>
      <c r="F56" s="6">
        <f>IF(Config!$G$3=0,0,IF(AND(ABS(($A56-Config!$F$3)/Config!$G$3)&gt;2,ABS(($A56-Config!$F$3)/Config!$G$3)&lt;=3),$D56,0))</f>
        <v/>
      </c>
      <c r="G56" s="6">
        <f>IF(Config!$G$3=0,0,IF(ABS(($A56-Config!$F$3)/Config!$G$3)&gt;3,$D56,0))</f>
        <v/>
      </c>
      <c r="H56" s="6">
        <f>IFERROR(NORM.DIST($A56,Config!$F$3,Config!$G$3,FALSE)*Config!$D$3*Config!$J$3,0)</f>
        <v/>
      </c>
    </row>
    <row r="57">
      <c r="A57">
        <f>Config!$K$3+23*Config!$J$3+Config!$J$3/2</f>
        <v/>
      </c>
      <c r="B57">
        <f>$A57-Config!$J$3/2</f>
        <v/>
      </c>
      <c r="C57">
        <f>$A57+Config!$J$3/2</f>
        <v/>
      </c>
      <c r="D57">
        <f>COUNTIFS(RawData!$C$2:$C$941,"LT",RawData!$H$2:$H$941,"&gt;="&amp;$B57,RawData!$H$2:$H$941,"&lt;"&amp;$C57,RawData!$H$2:$H$941,"&lt;&gt;0")</f>
        <v/>
      </c>
      <c r="E57">
        <f>IF(Config!$G$3=0,0,IF(ABS(($A57-Config!$F$3)/Config!$G$3)&lt;=2,$D57,0))</f>
        <v/>
      </c>
      <c r="F57">
        <f>IF(Config!$G$3=0,0,IF(AND(ABS(($A57-Config!$F$3)/Config!$G$3)&gt;2,ABS(($A57-Config!$F$3)/Config!$G$3)&lt;=3),$D57,0))</f>
        <v/>
      </c>
      <c r="G57">
        <f>IF(Config!$G$3=0,0,IF(ABS(($A57-Config!$F$3)/Config!$G$3)&gt;3,$D57,0))</f>
        <v/>
      </c>
      <c r="H57">
        <f>IFERROR(NORM.DIST($A57,Config!$F$3,Config!$G$3,FALSE)*Config!$D$3*Config!$J$3,0)</f>
        <v/>
      </c>
    </row>
    <row r="58">
      <c r="A58" s="6">
        <f>Config!$K$3+24*Config!$J$3+Config!$J$3/2</f>
        <v/>
      </c>
      <c r="B58" s="6">
        <f>$A58-Config!$J$3/2</f>
        <v/>
      </c>
      <c r="C58" s="6">
        <f>$A58+Config!$J$3/2</f>
        <v/>
      </c>
      <c r="D58" s="6">
        <f>COUNTIFS(RawData!$C$2:$C$941,"LT",RawData!$H$2:$H$941,"&gt;="&amp;$B58,RawData!$H$2:$H$941,"&lt;"&amp;$C58,RawData!$H$2:$H$941,"&lt;&gt;0")</f>
        <v/>
      </c>
      <c r="E58" s="6">
        <f>IF(Config!$G$3=0,0,IF(ABS(($A58-Config!$F$3)/Config!$G$3)&lt;=2,$D58,0))</f>
        <v/>
      </c>
      <c r="F58" s="6">
        <f>IF(Config!$G$3=0,0,IF(AND(ABS(($A58-Config!$F$3)/Config!$G$3)&gt;2,ABS(($A58-Config!$F$3)/Config!$G$3)&lt;=3),$D58,0))</f>
        <v/>
      </c>
      <c r="G58" s="6">
        <f>IF(Config!$G$3=0,0,IF(ABS(($A58-Config!$F$3)/Config!$G$3)&gt;3,$D58,0))</f>
        <v/>
      </c>
      <c r="H58" s="6">
        <f>IFERROR(NORM.DIST($A58,Config!$F$3,Config!$G$3,FALSE)*Config!$D$3*Config!$J$3,0)</f>
        <v/>
      </c>
    </row>
    <row r="59">
      <c r="A59">
        <f>Config!$K$3+25*Config!$J$3+Config!$J$3/2</f>
        <v/>
      </c>
      <c r="B59">
        <f>$A59-Config!$J$3/2</f>
        <v/>
      </c>
      <c r="C59">
        <f>$A59+Config!$J$3/2</f>
        <v/>
      </c>
      <c r="D59">
        <f>COUNTIFS(RawData!$C$2:$C$941,"LT",RawData!$H$2:$H$941,"&gt;="&amp;$B59,RawData!$H$2:$H$941,"&lt;"&amp;$C59,RawData!$H$2:$H$941,"&lt;&gt;0")</f>
        <v/>
      </c>
      <c r="E59">
        <f>IF(Config!$G$3=0,0,IF(ABS(($A59-Config!$F$3)/Config!$G$3)&lt;=2,$D59,0))</f>
        <v/>
      </c>
      <c r="F59">
        <f>IF(Config!$G$3=0,0,IF(AND(ABS(($A59-Config!$F$3)/Config!$G$3)&gt;2,ABS(($A59-Config!$F$3)/Config!$G$3)&lt;=3),$D59,0))</f>
        <v/>
      </c>
      <c r="G59">
        <f>IF(Config!$G$3=0,0,IF(ABS(($A59-Config!$F$3)/Config!$G$3)&gt;3,$D59,0))</f>
        <v/>
      </c>
      <c r="H59">
        <f>IFERROR(NORM.DIST($A59,Config!$F$3,Config!$G$3,FALSE)*Config!$D$3*Config!$J$3,0)</f>
        <v/>
      </c>
    </row>
    <row r="60">
      <c r="A60" s="6">
        <f>Config!$K$3+26*Config!$J$3+Config!$J$3/2</f>
        <v/>
      </c>
      <c r="B60" s="6">
        <f>$A60-Config!$J$3/2</f>
        <v/>
      </c>
      <c r="C60" s="6">
        <f>$A60+Config!$J$3/2</f>
        <v/>
      </c>
      <c r="D60" s="6">
        <f>COUNTIFS(RawData!$C$2:$C$941,"LT",RawData!$H$2:$H$941,"&gt;="&amp;$B60,RawData!$H$2:$H$941,"&lt;"&amp;$C60,RawData!$H$2:$H$941,"&lt;&gt;0")</f>
        <v/>
      </c>
      <c r="E60" s="6">
        <f>IF(Config!$G$3=0,0,IF(ABS(($A60-Config!$F$3)/Config!$G$3)&lt;=2,$D60,0))</f>
        <v/>
      </c>
      <c r="F60" s="6">
        <f>IF(Config!$G$3=0,0,IF(AND(ABS(($A60-Config!$F$3)/Config!$G$3)&gt;2,ABS(($A60-Config!$F$3)/Config!$G$3)&lt;=3),$D60,0))</f>
        <v/>
      </c>
      <c r="G60" s="6">
        <f>IF(Config!$G$3=0,0,IF(ABS(($A60-Config!$F$3)/Config!$G$3)&gt;3,$D60,0))</f>
        <v/>
      </c>
      <c r="H60" s="6">
        <f>IFERROR(NORM.DIST($A60,Config!$F$3,Config!$G$3,FALSE)*Config!$D$3*Config!$J$3,0)</f>
        <v/>
      </c>
    </row>
    <row r="61">
      <c r="A61">
        <f>Config!$K$3+27*Config!$J$3+Config!$J$3/2</f>
        <v/>
      </c>
      <c r="B61">
        <f>$A61-Config!$J$3/2</f>
        <v/>
      </c>
      <c r="C61">
        <f>$A61+Config!$J$3/2</f>
        <v/>
      </c>
      <c r="D61">
        <f>COUNTIFS(RawData!$C$2:$C$941,"LT",RawData!$H$2:$H$941,"&gt;="&amp;$B61,RawData!$H$2:$H$941,"&lt;"&amp;$C61,RawData!$H$2:$H$941,"&lt;&gt;0")</f>
        <v/>
      </c>
      <c r="E61">
        <f>IF(Config!$G$3=0,0,IF(ABS(($A61-Config!$F$3)/Config!$G$3)&lt;=2,$D61,0))</f>
        <v/>
      </c>
      <c r="F61">
        <f>IF(Config!$G$3=0,0,IF(AND(ABS(($A61-Config!$F$3)/Config!$G$3)&gt;2,ABS(($A61-Config!$F$3)/Config!$G$3)&lt;=3),$D61,0))</f>
        <v/>
      </c>
      <c r="G61">
        <f>IF(Config!$G$3=0,0,IF(ABS(($A61-Config!$F$3)/Config!$G$3)&gt;3,$D61,0))</f>
        <v/>
      </c>
      <c r="H61">
        <f>IFERROR(NORM.DIST($A61,Config!$F$3,Config!$G$3,FALSE)*Config!$D$3*Config!$J$3,0)</f>
        <v/>
      </c>
    </row>
    <row r="62">
      <c r="A62" s="6">
        <f>Config!$K$3+28*Config!$J$3+Config!$J$3/2</f>
        <v/>
      </c>
      <c r="B62" s="6">
        <f>$A62-Config!$J$3/2</f>
        <v/>
      </c>
      <c r="C62" s="6">
        <f>$A62+Config!$J$3/2</f>
        <v/>
      </c>
      <c r="D62" s="6">
        <f>COUNTIFS(RawData!$C$2:$C$941,"LT",RawData!$H$2:$H$941,"&gt;="&amp;$B62,RawData!$H$2:$H$941,"&lt;"&amp;$C62,RawData!$H$2:$H$941,"&lt;&gt;0")</f>
        <v/>
      </c>
      <c r="E62" s="6">
        <f>IF(Config!$G$3=0,0,IF(ABS(($A62-Config!$F$3)/Config!$G$3)&lt;=2,$D62,0))</f>
        <v/>
      </c>
      <c r="F62" s="6">
        <f>IF(Config!$G$3=0,0,IF(AND(ABS(($A62-Config!$F$3)/Config!$G$3)&gt;2,ABS(($A62-Config!$F$3)/Config!$G$3)&lt;=3),$D62,0))</f>
        <v/>
      </c>
      <c r="G62" s="6">
        <f>IF(Config!$G$3=0,0,IF(ABS(($A62-Config!$F$3)/Config!$G$3)&gt;3,$D62,0))</f>
        <v/>
      </c>
      <c r="H62" s="6">
        <f>IFERROR(NORM.DIST($A62,Config!$F$3,Config!$G$3,FALSE)*Config!$D$3*Config!$J$3,0)</f>
        <v/>
      </c>
    </row>
    <row r="63">
      <c r="A63">
        <f>Config!$K$3+29*Config!$J$3+Config!$J$3/2</f>
        <v/>
      </c>
      <c r="B63">
        <f>$A63-Config!$J$3/2</f>
        <v/>
      </c>
      <c r="C63">
        <f>$A63+Config!$J$3/2</f>
        <v/>
      </c>
      <c r="D63">
        <f>COUNTIFS(RawData!$C$2:$C$941,"LT",RawData!$H$2:$H$941,"&gt;="&amp;$B63,RawData!$H$2:$H$941,"&lt;"&amp;$C63,RawData!$H$2:$H$941,"&lt;&gt;0")</f>
        <v/>
      </c>
      <c r="E63">
        <f>IF(Config!$G$3=0,0,IF(ABS(($A63-Config!$F$3)/Config!$G$3)&lt;=2,$D63,0))</f>
        <v/>
      </c>
      <c r="F63">
        <f>IF(Config!$G$3=0,0,IF(AND(ABS(($A63-Config!$F$3)/Config!$G$3)&gt;2,ABS(($A63-Config!$F$3)/Config!$G$3)&lt;=3),$D63,0))</f>
        <v/>
      </c>
      <c r="G63">
        <f>IF(Config!$G$3=0,0,IF(ABS(($A63-Config!$F$3)/Config!$G$3)&gt;3,$D63,0))</f>
        <v/>
      </c>
      <c r="H63">
        <f>IFERROR(NORM.DIST($A63,Config!$F$3,Config!$G$3,FALSE)*Config!$D$3*Config!$J$3,0)</f>
        <v/>
      </c>
    </row>
    <row r="65">
      <c r="A65" s="5" t="inlineStr">
        <is>
          <t>BinCenter</t>
        </is>
      </c>
      <c r="B65" s="5" t="inlineStr">
        <is>
          <t>BinLo</t>
        </is>
      </c>
      <c r="C65" s="5" t="inlineStr">
        <is>
          <t>BinHi</t>
        </is>
      </c>
      <c r="D65" s="5" t="inlineStr">
        <is>
          <t>TotalCount</t>
        </is>
      </c>
      <c r="E65" s="5" t="inlineStr">
        <is>
          <t>Normal</t>
        </is>
      </c>
      <c r="F65" s="5" t="inlineStr">
        <is>
          <t>Warning(2-3s)</t>
        </is>
      </c>
      <c r="G65" s="5" t="inlineStr">
        <is>
          <t>Outlier(&gt;3s)</t>
        </is>
      </c>
      <c r="H65" s="5" t="inlineStr">
        <is>
          <t>CurveY</t>
        </is>
      </c>
    </row>
    <row r="66">
      <c r="A66" s="6">
        <f>Config!$K$4+0*Config!$J$4+Config!$J$4/2</f>
        <v/>
      </c>
      <c r="B66" s="6">
        <f>$A66-Config!$J$4/2</f>
        <v/>
      </c>
      <c r="C66" s="6">
        <f>$A66+Config!$J$4/2</f>
        <v/>
      </c>
      <c r="D66" s="6">
        <f>COUNTIFS(RawData!$C$2:$C$941,"LT",RawData!$I$2:$I$941,"&gt;="&amp;$B66,RawData!$I$2:$I$941,"&lt;"&amp;$C66,RawData!$I$2:$I$941,"&lt;&gt;0")</f>
        <v/>
      </c>
      <c r="E66" s="6">
        <f>IF(Config!$G$4=0,0,IF(ABS(($A66-Config!$F$4)/Config!$G$4)&lt;=2,$D66,0))</f>
        <v/>
      </c>
      <c r="F66" s="6">
        <f>IF(Config!$G$4=0,0,IF(AND(ABS(($A66-Config!$F$4)/Config!$G$4)&gt;2,ABS(($A66-Config!$F$4)/Config!$G$4)&lt;=3),$D66,0))</f>
        <v/>
      </c>
      <c r="G66" s="6">
        <f>IF(Config!$G$4=0,0,IF(ABS(($A66-Config!$F$4)/Config!$G$4)&gt;3,$D66,0))</f>
        <v/>
      </c>
      <c r="H66" s="6">
        <f>IFERROR(NORM.DIST($A66,Config!$F$4,Config!$G$4,FALSE)*Config!$D$4*Config!$J$4,0)</f>
        <v/>
      </c>
    </row>
    <row r="67">
      <c r="A67">
        <f>Config!$K$4+1*Config!$J$4+Config!$J$4/2</f>
        <v/>
      </c>
      <c r="B67">
        <f>$A67-Config!$J$4/2</f>
        <v/>
      </c>
      <c r="C67">
        <f>$A67+Config!$J$4/2</f>
        <v/>
      </c>
      <c r="D67">
        <f>COUNTIFS(RawData!$C$2:$C$941,"LT",RawData!$I$2:$I$941,"&gt;="&amp;$B67,RawData!$I$2:$I$941,"&lt;"&amp;$C67,RawData!$I$2:$I$941,"&lt;&gt;0")</f>
        <v/>
      </c>
      <c r="E67">
        <f>IF(Config!$G$4=0,0,IF(ABS(($A67-Config!$F$4)/Config!$G$4)&lt;=2,$D67,0))</f>
        <v/>
      </c>
      <c r="F67">
        <f>IF(Config!$G$4=0,0,IF(AND(ABS(($A67-Config!$F$4)/Config!$G$4)&gt;2,ABS(($A67-Config!$F$4)/Config!$G$4)&lt;=3),$D67,0))</f>
        <v/>
      </c>
      <c r="G67">
        <f>IF(Config!$G$4=0,0,IF(ABS(($A67-Config!$F$4)/Config!$G$4)&gt;3,$D67,0))</f>
        <v/>
      </c>
      <c r="H67">
        <f>IFERROR(NORM.DIST($A67,Config!$F$4,Config!$G$4,FALSE)*Config!$D$4*Config!$J$4,0)</f>
        <v/>
      </c>
    </row>
    <row r="68">
      <c r="A68" s="6">
        <f>Config!$K$4+2*Config!$J$4+Config!$J$4/2</f>
        <v/>
      </c>
      <c r="B68" s="6">
        <f>$A68-Config!$J$4/2</f>
        <v/>
      </c>
      <c r="C68" s="6">
        <f>$A68+Config!$J$4/2</f>
        <v/>
      </c>
      <c r="D68" s="6">
        <f>COUNTIFS(RawData!$C$2:$C$941,"LT",RawData!$I$2:$I$941,"&gt;="&amp;$B68,RawData!$I$2:$I$941,"&lt;"&amp;$C68,RawData!$I$2:$I$941,"&lt;&gt;0")</f>
        <v/>
      </c>
      <c r="E68" s="6">
        <f>IF(Config!$G$4=0,0,IF(ABS(($A68-Config!$F$4)/Config!$G$4)&lt;=2,$D68,0))</f>
        <v/>
      </c>
      <c r="F68" s="6">
        <f>IF(Config!$G$4=0,0,IF(AND(ABS(($A68-Config!$F$4)/Config!$G$4)&gt;2,ABS(($A68-Config!$F$4)/Config!$G$4)&lt;=3),$D68,0))</f>
        <v/>
      </c>
      <c r="G68" s="6">
        <f>IF(Config!$G$4=0,0,IF(ABS(($A68-Config!$F$4)/Config!$G$4)&gt;3,$D68,0))</f>
        <v/>
      </c>
      <c r="H68" s="6">
        <f>IFERROR(NORM.DIST($A68,Config!$F$4,Config!$G$4,FALSE)*Config!$D$4*Config!$J$4,0)</f>
        <v/>
      </c>
    </row>
    <row r="69">
      <c r="A69">
        <f>Config!$K$4+3*Config!$J$4+Config!$J$4/2</f>
        <v/>
      </c>
      <c r="B69">
        <f>$A69-Config!$J$4/2</f>
        <v/>
      </c>
      <c r="C69">
        <f>$A69+Config!$J$4/2</f>
        <v/>
      </c>
      <c r="D69">
        <f>COUNTIFS(RawData!$C$2:$C$941,"LT",RawData!$I$2:$I$941,"&gt;="&amp;$B69,RawData!$I$2:$I$941,"&lt;"&amp;$C69,RawData!$I$2:$I$941,"&lt;&gt;0")</f>
        <v/>
      </c>
      <c r="E69">
        <f>IF(Config!$G$4=0,0,IF(ABS(($A69-Config!$F$4)/Config!$G$4)&lt;=2,$D69,0))</f>
        <v/>
      </c>
      <c r="F69">
        <f>IF(Config!$G$4=0,0,IF(AND(ABS(($A69-Config!$F$4)/Config!$G$4)&gt;2,ABS(($A69-Config!$F$4)/Config!$G$4)&lt;=3),$D69,0))</f>
        <v/>
      </c>
      <c r="G69">
        <f>IF(Config!$G$4=0,0,IF(ABS(($A69-Config!$F$4)/Config!$G$4)&gt;3,$D69,0))</f>
        <v/>
      </c>
      <c r="H69">
        <f>IFERROR(NORM.DIST($A69,Config!$F$4,Config!$G$4,FALSE)*Config!$D$4*Config!$J$4,0)</f>
        <v/>
      </c>
    </row>
    <row r="70">
      <c r="A70" s="6">
        <f>Config!$K$4+4*Config!$J$4+Config!$J$4/2</f>
        <v/>
      </c>
      <c r="B70" s="6">
        <f>$A70-Config!$J$4/2</f>
        <v/>
      </c>
      <c r="C70" s="6">
        <f>$A70+Config!$J$4/2</f>
        <v/>
      </c>
      <c r="D70" s="6">
        <f>COUNTIFS(RawData!$C$2:$C$941,"LT",RawData!$I$2:$I$941,"&gt;="&amp;$B70,RawData!$I$2:$I$941,"&lt;"&amp;$C70,RawData!$I$2:$I$941,"&lt;&gt;0")</f>
        <v/>
      </c>
      <c r="E70" s="6">
        <f>IF(Config!$G$4=0,0,IF(ABS(($A70-Config!$F$4)/Config!$G$4)&lt;=2,$D70,0))</f>
        <v/>
      </c>
      <c r="F70" s="6">
        <f>IF(Config!$G$4=0,0,IF(AND(ABS(($A70-Config!$F$4)/Config!$G$4)&gt;2,ABS(($A70-Config!$F$4)/Config!$G$4)&lt;=3),$D70,0))</f>
        <v/>
      </c>
      <c r="G70" s="6">
        <f>IF(Config!$G$4=0,0,IF(ABS(($A70-Config!$F$4)/Config!$G$4)&gt;3,$D70,0))</f>
        <v/>
      </c>
      <c r="H70" s="6">
        <f>IFERROR(NORM.DIST($A70,Config!$F$4,Config!$G$4,FALSE)*Config!$D$4*Config!$J$4,0)</f>
        <v/>
      </c>
    </row>
    <row r="71">
      <c r="A71">
        <f>Config!$K$4+5*Config!$J$4+Config!$J$4/2</f>
        <v/>
      </c>
      <c r="B71">
        <f>$A71-Config!$J$4/2</f>
        <v/>
      </c>
      <c r="C71">
        <f>$A71+Config!$J$4/2</f>
        <v/>
      </c>
      <c r="D71">
        <f>COUNTIFS(RawData!$C$2:$C$941,"LT",RawData!$I$2:$I$941,"&gt;="&amp;$B71,RawData!$I$2:$I$941,"&lt;"&amp;$C71,RawData!$I$2:$I$941,"&lt;&gt;0")</f>
        <v/>
      </c>
      <c r="E71">
        <f>IF(Config!$G$4=0,0,IF(ABS(($A71-Config!$F$4)/Config!$G$4)&lt;=2,$D71,0))</f>
        <v/>
      </c>
      <c r="F71">
        <f>IF(Config!$G$4=0,0,IF(AND(ABS(($A71-Config!$F$4)/Config!$G$4)&gt;2,ABS(($A71-Config!$F$4)/Config!$G$4)&lt;=3),$D71,0))</f>
        <v/>
      </c>
      <c r="G71">
        <f>IF(Config!$G$4=0,0,IF(ABS(($A71-Config!$F$4)/Config!$G$4)&gt;3,$D71,0))</f>
        <v/>
      </c>
      <c r="H71">
        <f>IFERROR(NORM.DIST($A71,Config!$F$4,Config!$G$4,FALSE)*Config!$D$4*Config!$J$4,0)</f>
        <v/>
      </c>
    </row>
    <row r="72">
      <c r="A72" s="6">
        <f>Config!$K$4+6*Config!$J$4+Config!$J$4/2</f>
        <v/>
      </c>
      <c r="B72" s="6">
        <f>$A72-Config!$J$4/2</f>
        <v/>
      </c>
      <c r="C72" s="6">
        <f>$A72+Config!$J$4/2</f>
        <v/>
      </c>
      <c r="D72" s="6">
        <f>COUNTIFS(RawData!$C$2:$C$941,"LT",RawData!$I$2:$I$941,"&gt;="&amp;$B72,RawData!$I$2:$I$941,"&lt;"&amp;$C72,RawData!$I$2:$I$941,"&lt;&gt;0")</f>
        <v/>
      </c>
      <c r="E72" s="6">
        <f>IF(Config!$G$4=0,0,IF(ABS(($A72-Config!$F$4)/Config!$G$4)&lt;=2,$D72,0))</f>
        <v/>
      </c>
      <c r="F72" s="6">
        <f>IF(Config!$G$4=0,0,IF(AND(ABS(($A72-Config!$F$4)/Config!$G$4)&gt;2,ABS(($A72-Config!$F$4)/Config!$G$4)&lt;=3),$D72,0))</f>
        <v/>
      </c>
      <c r="G72" s="6">
        <f>IF(Config!$G$4=0,0,IF(ABS(($A72-Config!$F$4)/Config!$G$4)&gt;3,$D72,0))</f>
        <v/>
      </c>
      <c r="H72" s="6">
        <f>IFERROR(NORM.DIST($A72,Config!$F$4,Config!$G$4,FALSE)*Config!$D$4*Config!$J$4,0)</f>
        <v/>
      </c>
    </row>
    <row r="73">
      <c r="A73">
        <f>Config!$K$4+7*Config!$J$4+Config!$J$4/2</f>
        <v/>
      </c>
      <c r="B73">
        <f>$A73-Config!$J$4/2</f>
        <v/>
      </c>
      <c r="C73">
        <f>$A73+Config!$J$4/2</f>
        <v/>
      </c>
      <c r="D73">
        <f>COUNTIFS(RawData!$C$2:$C$941,"LT",RawData!$I$2:$I$941,"&gt;="&amp;$B73,RawData!$I$2:$I$941,"&lt;"&amp;$C73,RawData!$I$2:$I$941,"&lt;&gt;0")</f>
        <v/>
      </c>
      <c r="E73">
        <f>IF(Config!$G$4=0,0,IF(ABS(($A73-Config!$F$4)/Config!$G$4)&lt;=2,$D73,0))</f>
        <v/>
      </c>
      <c r="F73">
        <f>IF(Config!$G$4=0,0,IF(AND(ABS(($A73-Config!$F$4)/Config!$G$4)&gt;2,ABS(($A73-Config!$F$4)/Config!$G$4)&lt;=3),$D73,0))</f>
        <v/>
      </c>
      <c r="G73">
        <f>IF(Config!$G$4=0,0,IF(ABS(($A73-Config!$F$4)/Config!$G$4)&gt;3,$D73,0))</f>
        <v/>
      </c>
      <c r="H73">
        <f>IFERROR(NORM.DIST($A73,Config!$F$4,Config!$G$4,FALSE)*Config!$D$4*Config!$J$4,0)</f>
        <v/>
      </c>
    </row>
    <row r="74">
      <c r="A74" s="6">
        <f>Config!$K$4+8*Config!$J$4+Config!$J$4/2</f>
        <v/>
      </c>
      <c r="B74" s="6">
        <f>$A74-Config!$J$4/2</f>
        <v/>
      </c>
      <c r="C74" s="6">
        <f>$A74+Config!$J$4/2</f>
        <v/>
      </c>
      <c r="D74" s="6">
        <f>COUNTIFS(RawData!$C$2:$C$941,"LT",RawData!$I$2:$I$941,"&gt;="&amp;$B74,RawData!$I$2:$I$941,"&lt;"&amp;$C74,RawData!$I$2:$I$941,"&lt;&gt;0")</f>
        <v/>
      </c>
      <c r="E74" s="6">
        <f>IF(Config!$G$4=0,0,IF(ABS(($A74-Config!$F$4)/Config!$G$4)&lt;=2,$D74,0))</f>
        <v/>
      </c>
      <c r="F74" s="6">
        <f>IF(Config!$G$4=0,0,IF(AND(ABS(($A74-Config!$F$4)/Config!$G$4)&gt;2,ABS(($A74-Config!$F$4)/Config!$G$4)&lt;=3),$D74,0))</f>
        <v/>
      </c>
      <c r="G74" s="6">
        <f>IF(Config!$G$4=0,0,IF(ABS(($A74-Config!$F$4)/Config!$G$4)&gt;3,$D74,0))</f>
        <v/>
      </c>
      <c r="H74" s="6">
        <f>IFERROR(NORM.DIST($A74,Config!$F$4,Config!$G$4,FALSE)*Config!$D$4*Config!$J$4,0)</f>
        <v/>
      </c>
    </row>
    <row r="75">
      <c r="A75">
        <f>Config!$K$4+9*Config!$J$4+Config!$J$4/2</f>
        <v/>
      </c>
      <c r="B75">
        <f>$A75-Config!$J$4/2</f>
        <v/>
      </c>
      <c r="C75">
        <f>$A75+Config!$J$4/2</f>
        <v/>
      </c>
      <c r="D75">
        <f>COUNTIFS(RawData!$C$2:$C$941,"LT",RawData!$I$2:$I$941,"&gt;="&amp;$B75,RawData!$I$2:$I$941,"&lt;"&amp;$C75,RawData!$I$2:$I$941,"&lt;&gt;0")</f>
        <v/>
      </c>
      <c r="E75">
        <f>IF(Config!$G$4=0,0,IF(ABS(($A75-Config!$F$4)/Config!$G$4)&lt;=2,$D75,0))</f>
        <v/>
      </c>
      <c r="F75">
        <f>IF(Config!$G$4=0,0,IF(AND(ABS(($A75-Config!$F$4)/Config!$G$4)&gt;2,ABS(($A75-Config!$F$4)/Config!$G$4)&lt;=3),$D75,0))</f>
        <v/>
      </c>
      <c r="G75">
        <f>IF(Config!$G$4=0,0,IF(ABS(($A75-Config!$F$4)/Config!$G$4)&gt;3,$D75,0))</f>
        <v/>
      </c>
      <c r="H75">
        <f>IFERROR(NORM.DIST($A75,Config!$F$4,Config!$G$4,FALSE)*Config!$D$4*Config!$J$4,0)</f>
        <v/>
      </c>
    </row>
    <row r="76">
      <c r="A76" s="6">
        <f>Config!$K$4+10*Config!$J$4+Config!$J$4/2</f>
        <v/>
      </c>
      <c r="B76" s="6">
        <f>$A76-Config!$J$4/2</f>
        <v/>
      </c>
      <c r="C76" s="6">
        <f>$A76+Config!$J$4/2</f>
        <v/>
      </c>
      <c r="D76" s="6">
        <f>COUNTIFS(RawData!$C$2:$C$941,"LT",RawData!$I$2:$I$941,"&gt;="&amp;$B76,RawData!$I$2:$I$941,"&lt;"&amp;$C76,RawData!$I$2:$I$941,"&lt;&gt;0")</f>
        <v/>
      </c>
      <c r="E76" s="6">
        <f>IF(Config!$G$4=0,0,IF(ABS(($A76-Config!$F$4)/Config!$G$4)&lt;=2,$D76,0))</f>
        <v/>
      </c>
      <c r="F76" s="6">
        <f>IF(Config!$G$4=0,0,IF(AND(ABS(($A76-Config!$F$4)/Config!$G$4)&gt;2,ABS(($A76-Config!$F$4)/Config!$G$4)&lt;=3),$D76,0))</f>
        <v/>
      </c>
      <c r="G76" s="6">
        <f>IF(Config!$G$4=0,0,IF(ABS(($A76-Config!$F$4)/Config!$G$4)&gt;3,$D76,0))</f>
        <v/>
      </c>
      <c r="H76" s="6">
        <f>IFERROR(NORM.DIST($A76,Config!$F$4,Config!$G$4,FALSE)*Config!$D$4*Config!$J$4,0)</f>
        <v/>
      </c>
    </row>
    <row r="77">
      <c r="A77">
        <f>Config!$K$4+11*Config!$J$4+Config!$J$4/2</f>
        <v/>
      </c>
      <c r="B77">
        <f>$A77-Config!$J$4/2</f>
        <v/>
      </c>
      <c r="C77">
        <f>$A77+Config!$J$4/2</f>
        <v/>
      </c>
      <c r="D77">
        <f>COUNTIFS(RawData!$C$2:$C$941,"LT",RawData!$I$2:$I$941,"&gt;="&amp;$B77,RawData!$I$2:$I$941,"&lt;"&amp;$C77,RawData!$I$2:$I$941,"&lt;&gt;0")</f>
        <v/>
      </c>
      <c r="E77">
        <f>IF(Config!$G$4=0,0,IF(ABS(($A77-Config!$F$4)/Config!$G$4)&lt;=2,$D77,0))</f>
        <v/>
      </c>
      <c r="F77">
        <f>IF(Config!$G$4=0,0,IF(AND(ABS(($A77-Config!$F$4)/Config!$G$4)&gt;2,ABS(($A77-Config!$F$4)/Config!$G$4)&lt;=3),$D77,0))</f>
        <v/>
      </c>
      <c r="G77">
        <f>IF(Config!$G$4=0,0,IF(ABS(($A77-Config!$F$4)/Config!$G$4)&gt;3,$D77,0))</f>
        <v/>
      </c>
      <c r="H77">
        <f>IFERROR(NORM.DIST($A77,Config!$F$4,Config!$G$4,FALSE)*Config!$D$4*Config!$J$4,0)</f>
        <v/>
      </c>
    </row>
    <row r="78">
      <c r="A78" s="6">
        <f>Config!$K$4+12*Config!$J$4+Config!$J$4/2</f>
        <v/>
      </c>
      <c r="B78" s="6">
        <f>$A78-Config!$J$4/2</f>
        <v/>
      </c>
      <c r="C78" s="6">
        <f>$A78+Config!$J$4/2</f>
        <v/>
      </c>
      <c r="D78" s="6">
        <f>COUNTIFS(RawData!$C$2:$C$941,"LT",RawData!$I$2:$I$941,"&gt;="&amp;$B78,RawData!$I$2:$I$941,"&lt;"&amp;$C78,RawData!$I$2:$I$941,"&lt;&gt;0")</f>
        <v/>
      </c>
      <c r="E78" s="6">
        <f>IF(Config!$G$4=0,0,IF(ABS(($A78-Config!$F$4)/Config!$G$4)&lt;=2,$D78,0))</f>
        <v/>
      </c>
      <c r="F78" s="6">
        <f>IF(Config!$G$4=0,0,IF(AND(ABS(($A78-Config!$F$4)/Config!$G$4)&gt;2,ABS(($A78-Config!$F$4)/Config!$G$4)&lt;=3),$D78,0))</f>
        <v/>
      </c>
      <c r="G78" s="6">
        <f>IF(Config!$G$4=0,0,IF(ABS(($A78-Config!$F$4)/Config!$G$4)&gt;3,$D78,0))</f>
        <v/>
      </c>
      <c r="H78" s="6">
        <f>IFERROR(NORM.DIST($A78,Config!$F$4,Config!$G$4,FALSE)*Config!$D$4*Config!$J$4,0)</f>
        <v/>
      </c>
    </row>
    <row r="79">
      <c r="A79">
        <f>Config!$K$4+13*Config!$J$4+Config!$J$4/2</f>
        <v/>
      </c>
      <c r="B79">
        <f>$A79-Config!$J$4/2</f>
        <v/>
      </c>
      <c r="C79">
        <f>$A79+Config!$J$4/2</f>
        <v/>
      </c>
      <c r="D79">
        <f>COUNTIFS(RawData!$C$2:$C$941,"LT",RawData!$I$2:$I$941,"&gt;="&amp;$B79,RawData!$I$2:$I$941,"&lt;"&amp;$C79,RawData!$I$2:$I$941,"&lt;&gt;0")</f>
        <v/>
      </c>
      <c r="E79">
        <f>IF(Config!$G$4=0,0,IF(ABS(($A79-Config!$F$4)/Config!$G$4)&lt;=2,$D79,0))</f>
        <v/>
      </c>
      <c r="F79">
        <f>IF(Config!$G$4=0,0,IF(AND(ABS(($A79-Config!$F$4)/Config!$G$4)&gt;2,ABS(($A79-Config!$F$4)/Config!$G$4)&lt;=3),$D79,0))</f>
        <v/>
      </c>
      <c r="G79">
        <f>IF(Config!$G$4=0,0,IF(ABS(($A79-Config!$F$4)/Config!$G$4)&gt;3,$D79,0))</f>
        <v/>
      </c>
      <c r="H79">
        <f>IFERROR(NORM.DIST($A79,Config!$F$4,Config!$G$4,FALSE)*Config!$D$4*Config!$J$4,0)</f>
        <v/>
      </c>
    </row>
    <row r="80">
      <c r="A80" s="6">
        <f>Config!$K$4+14*Config!$J$4+Config!$J$4/2</f>
        <v/>
      </c>
      <c r="B80" s="6">
        <f>$A80-Config!$J$4/2</f>
        <v/>
      </c>
      <c r="C80" s="6">
        <f>$A80+Config!$J$4/2</f>
        <v/>
      </c>
      <c r="D80" s="6">
        <f>COUNTIFS(RawData!$C$2:$C$941,"LT",RawData!$I$2:$I$941,"&gt;="&amp;$B80,RawData!$I$2:$I$941,"&lt;"&amp;$C80,RawData!$I$2:$I$941,"&lt;&gt;0")</f>
        <v/>
      </c>
      <c r="E80" s="6">
        <f>IF(Config!$G$4=0,0,IF(ABS(($A80-Config!$F$4)/Config!$G$4)&lt;=2,$D80,0))</f>
        <v/>
      </c>
      <c r="F80" s="6">
        <f>IF(Config!$G$4=0,0,IF(AND(ABS(($A80-Config!$F$4)/Config!$G$4)&gt;2,ABS(($A80-Config!$F$4)/Config!$G$4)&lt;=3),$D80,0))</f>
        <v/>
      </c>
      <c r="G80" s="6">
        <f>IF(Config!$G$4=0,0,IF(ABS(($A80-Config!$F$4)/Config!$G$4)&gt;3,$D80,0))</f>
        <v/>
      </c>
      <c r="H80" s="6">
        <f>IFERROR(NORM.DIST($A80,Config!$F$4,Config!$G$4,FALSE)*Config!$D$4*Config!$J$4,0)</f>
        <v/>
      </c>
    </row>
    <row r="81">
      <c r="A81">
        <f>Config!$K$4+15*Config!$J$4+Config!$J$4/2</f>
        <v/>
      </c>
      <c r="B81">
        <f>$A81-Config!$J$4/2</f>
        <v/>
      </c>
      <c r="C81">
        <f>$A81+Config!$J$4/2</f>
        <v/>
      </c>
      <c r="D81">
        <f>COUNTIFS(RawData!$C$2:$C$941,"LT",RawData!$I$2:$I$941,"&gt;="&amp;$B81,RawData!$I$2:$I$941,"&lt;"&amp;$C81,RawData!$I$2:$I$941,"&lt;&gt;0")</f>
        <v/>
      </c>
      <c r="E81">
        <f>IF(Config!$G$4=0,0,IF(ABS(($A81-Config!$F$4)/Config!$G$4)&lt;=2,$D81,0))</f>
        <v/>
      </c>
      <c r="F81">
        <f>IF(Config!$G$4=0,0,IF(AND(ABS(($A81-Config!$F$4)/Config!$G$4)&gt;2,ABS(($A81-Config!$F$4)/Config!$G$4)&lt;=3),$D81,0))</f>
        <v/>
      </c>
      <c r="G81">
        <f>IF(Config!$G$4=0,0,IF(ABS(($A81-Config!$F$4)/Config!$G$4)&gt;3,$D81,0))</f>
        <v/>
      </c>
      <c r="H81">
        <f>IFERROR(NORM.DIST($A81,Config!$F$4,Config!$G$4,FALSE)*Config!$D$4*Config!$J$4,0)</f>
        <v/>
      </c>
    </row>
    <row r="82">
      <c r="A82" s="6">
        <f>Config!$K$4+16*Config!$J$4+Config!$J$4/2</f>
        <v/>
      </c>
      <c r="B82" s="6">
        <f>$A82-Config!$J$4/2</f>
        <v/>
      </c>
      <c r="C82" s="6">
        <f>$A82+Config!$J$4/2</f>
        <v/>
      </c>
      <c r="D82" s="6">
        <f>COUNTIFS(RawData!$C$2:$C$941,"LT",RawData!$I$2:$I$941,"&gt;="&amp;$B82,RawData!$I$2:$I$941,"&lt;"&amp;$C82,RawData!$I$2:$I$941,"&lt;&gt;0")</f>
        <v/>
      </c>
      <c r="E82" s="6">
        <f>IF(Config!$G$4=0,0,IF(ABS(($A82-Config!$F$4)/Config!$G$4)&lt;=2,$D82,0))</f>
        <v/>
      </c>
      <c r="F82" s="6">
        <f>IF(Config!$G$4=0,0,IF(AND(ABS(($A82-Config!$F$4)/Config!$G$4)&gt;2,ABS(($A82-Config!$F$4)/Config!$G$4)&lt;=3),$D82,0))</f>
        <v/>
      </c>
      <c r="G82" s="6">
        <f>IF(Config!$G$4=0,0,IF(ABS(($A82-Config!$F$4)/Config!$G$4)&gt;3,$D82,0))</f>
        <v/>
      </c>
      <c r="H82" s="6">
        <f>IFERROR(NORM.DIST($A82,Config!$F$4,Config!$G$4,FALSE)*Config!$D$4*Config!$J$4,0)</f>
        <v/>
      </c>
    </row>
    <row r="83">
      <c r="A83">
        <f>Config!$K$4+17*Config!$J$4+Config!$J$4/2</f>
        <v/>
      </c>
      <c r="B83">
        <f>$A83-Config!$J$4/2</f>
        <v/>
      </c>
      <c r="C83">
        <f>$A83+Config!$J$4/2</f>
        <v/>
      </c>
      <c r="D83">
        <f>COUNTIFS(RawData!$C$2:$C$941,"LT",RawData!$I$2:$I$941,"&gt;="&amp;$B83,RawData!$I$2:$I$941,"&lt;"&amp;$C83,RawData!$I$2:$I$941,"&lt;&gt;0")</f>
        <v/>
      </c>
      <c r="E83">
        <f>IF(Config!$G$4=0,0,IF(ABS(($A83-Config!$F$4)/Config!$G$4)&lt;=2,$D83,0))</f>
        <v/>
      </c>
      <c r="F83">
        <f>IF(Config!$G$4=0,0,IF(AND(ABS(($A83-Config!$F$4)/Config!$G$4)&gt;2,ABS(($A83-Config!$F$4)/Config!$G$4)&lt;=3),$D83,0))</f>
        <v/>
      </c>
      <c r="G83">
        <f>IF(Config!$G$4=0,0,IF(ABS(($A83-Config!$F$4)/Config!$G$4)&gt;3,$D83,0))</f>
        <v/>
      </c>
      <c r="H83">
        <f>IFERROR(NORM.DIST($A83,Config!$F$4,Config!$G$4,FALSE)*Config!$D$4*Config!$J$4,0)</f>
        <v/>
      </c>
    </row>
    <row r="84">
      <c r="A84" s="6">
        <f>Config!$K$4+18*Config!$J$4+Config!$J$4/2</f>
        <v/>
      </c>
      <c r="B84" s="6">
        <f>$A84-Config!$J$4/2</f>
        <v/>
      </c>
      <c r="C84" s="6">
        <f>$A84+Config!$J$4/2</f>
        <v/>
      </c>
      <c r="D84" s="6">
        <f>COUNTIFS(RawData!$C$2:$C$941,"LT",RawData!$I$2:$I$941,"&gt;="&amp;$B84,RawData!$I$2:$I$941,"&lt;"&amp;$C84,RawData!$I$2:$I$941,"&lt;&gt;0")</f>
        <v/>
      </c>
      <c r="E84" s="6">
        <f>IF(Config!$G$4=0,0,IF(ABS(($A84-Config!$F$4)/Config!$G$4)&lt;=2,$D84,0))</f>
        <v/>
      </c>
      <c r="F84" s="6">
        <f>IF(Config!$G$4=0,0,IF(AND(ABS(($A84-Config!$F$4)/Config!$G$4)&gt;2,ABS(($A84-Config!$F$4)/Config!$G$4)&lt;=3),$D84,0))</f>
        <v/>
      </c>
      <c r="G84" s="6">
        <f>IF(Config!$G$4=0,0,IF(ABS(($A84-Config!$F$4)/Config!$G$4)&gt;3,$D84,0))</f>
        <v/>
      </c>
      <c r="H84" s="6">
        <f>IFERROR(NORM.DIST($A84,Config!$F$4,Config!$G$4,FALSE)*Config!$D$4*Config!$J$4,0)</f>
        <v/>
      </c>
    </row>
    <row r="85">
      <c r="A85">
        <f>Config!$K$4+19*Config!$J$4+Config!$J$4/2</f>
        <v/>
      </c>
      <c r="B85">
        <f>$A85-Config!$J$4/2</f>
        <v/>
      </c>
      <c r="C85">
        <f>$A85+Config!$J$4/2</f>
        <v/>
      </c>
      <c r="D85">
        <f>COUNTIFS(RawData!$C$2:$C$941,"LT",RawData!$I$2:$I$941,"&gt;="&amp;$B85,RawData!$I$2:$I$941,"&lt;"&amp;$C85,RawData!$I$2:$I$941,"&lt;&gt;0")</f>
        <v/>
      </c>
      <c r="E85">
        <f>IF(Config!$G$4=0,0,IF(ABS(($A85-Config!$F$4)/Config!$G$4)&lt;=2,$D85,0))</f>
        <v/>
      </c>
      <c r="F85">
        <f>IF(Config!$G$4=0,0,IF(AND(ABS(($A85-Config!$F$4)/Config!$G$4)&gt;2,ABS(($A85-Config!$F$4)/Config!$G$4)&lt;=3),$D85,0))</f>
        <v/>
      </c>
      <c r="G85">
        <f>IF(Config!$G$4=0,0,IF(ABS(($A85-Config!$F$4)/Config!$G$4)&gt;3,$D85,0))</f>
        <v/>
      </c>
      <c r="H85">
        <f>IFERROR(NORM.DIST($A85,Config!$F$4,Config!$G$4,FALSE)*Config!$D$4*Config!$J$4,0)</f>
        <v/>
      </c>
    </row>
    <row r="86">
      <c r="A86" s="6">
        <f>Config!$K$4+20*Config!$J$4+Config!$J$4/2</f>
        <v/>
      </c>
      <c r="B86" s="6">
        <f>$A86-Config!$J$4/2</f>
        <v/>
      </c>
      <c r="C86" s="6">
        <f>$A86+Config!$J$4/2</f>
        <v/>
      </c>
      <c r="D86" s="6">
        <f>COUNTIFS(RawData!$C$2:$C$941,"LT",RawData!$I$2:$I$941,"&gt;="&amp;$B86,RawData!$I$2:$I$941,"&lt;"&amp;$C86,RawData!$I$2:$I$941,"&lt;&gt;0")</f>
        <v/>
      </c>
      <c r="E86" s="6">
        <f>IF(Config!$G$4=0,0,IF(ABS(($A86-Config!$F$4)/Config!$G$4)&lt;=2,$D86,0))</f>
        <v/>
      </c>
      <c r="F86" s="6">
        <f>IF(Config!$G$4=0,0,IF(AND(ABS(($A86-Config!$F$4)/Config!$G$4)&gt;2,ABS(($A86-Config!$F$4)/Config!$G$4)&lt;=3),$D86,0))</f>
        <v/>
      </c>
      <c r="G86" s="6">
        <f>IF(Config!$G$4=0,0,IF(ABS(($A86-Config!$F$4)/Config!$G$4)&gt;3,$D86,0))</f>
        <v/>
      </c>
      <c r="H86" s="6">
        <f>IFERROR(NORM.DIST($A86,Config!$F$4,Config!$G$4,FALSE)*Config!$D$4*Config!$J$4,0)</f>
        <v/>
      </c>
    </row>
    <row r="87">
      <c r="A87">
        <f>Config!$K$4+21*Config!$J$4+Config!$J$4/2</f>
        <v/>
      </c>
      <c r="B87">
        <f>$A87-Config!$J$4/2</f>
        <v/>
      </c>
      <c r="C87">
        <f>$A87+Config!$J$4/2</f>
        <v/>
      </c>
      <c r="D87">
        <f>COUNTIFS(RawData!$C$2:$C$941,"LT",RawData!$I$2:$I$941,"&gt;="&amp;$B87,RawData!$I$2:$I$941,"&lt;"&amp;$C87,RawData!$I$2:$I$941,"&lt;&gt;0")</f>
        <v/>
      </c>
      <c r="E87">
        <f>IF(Config!$G$4=0,0,IF(ABS(($A87-Config!$F$4)/Config!$G$4)&lt;=2,$D87,0))</f>
        <v/>
      </c>
      <c r="F87">
        <f>IF(Config!$G$4=0,0,IF(AND(ABS(($A87-Config!$F$4)/Config!$G$4)&gt;2,ABS(($A87-Config!$F$4)/Config!$G$4)&lt;=3),$D87,0))</f>
        <v/>
      </c>
      <c r="G87">
        <f>IF(Config!$G$4=0,0,IF(ABS(($A87-Config!$F$4)/Config!$G$4)&gt;3,$D87,0))</f>
        <v/>
      </c>
      <c r="H87">
        <f>IFERROR(NORM.DIST($A87,Config!$F$4,Config!$G$4,FALSE)*Config!$D$4*Config!$J$4,0)</f>
        <v/>
      </c>
    </row>
    <row r="88">
      <c r="A88" s="6">
        <f>Config!$K$4+22*Config!$J$4+Config!$J$4/2</f>
        <v/>
      </c>
      <c r="B88" s="6">
        <f>$A88-Config!$J$4/2</f>
        <v/>
      </c>
      <c r="C88" s="6">
        <f>$A88+Config!$J$4/2</f>
        <v/>
      </c>
      <c r="D88" s="6">
        <f>COUNTIFS(RawData!$C$2:$C$941,"LT",RawData!$I$2:$I$941,"&gt;="&amp;$B88,RawData!$I$2:$I$941,"&lt;"&amp;$C88,RawData!$I$2:$I$941,"&lt;&gt;0")</f>
        <v/>
      </c>
      <c r="E88" s="6">
        <f>IF(Config!$G$4=0,0,IF(ABS(($A88-Config!$F$4)/Config!$G$4)&lt;=2,$D88,0))</f>
        <v/>
      </c>
      <c r="F88" s="6">
        <f>IF(Config!$G$4=0,0,IF(AND(ABS(($A88-Config!$F$4)/Config!$G$4)&gt;2,ABS(($A88-Config!$F$4)/Config!$G$4)&lt;=3),$D88,0))</f>
        <v/>
      </c>
      <c r="G88" s="6">
        <f>IF(Config!$G$4=0,0,IF(ABS(($A88-Config!$F$4)/Config!$G$4)&gt;3,$D88,0))</f>
        <v/>
      </c>
      <c r="H88" s="6">
        <f>IFERROR(NORM.DIST($A88,Config!$F$4,Config!$G$4,FALSE)*Config!$D$4*Config!$J$4,0)</f>
        <v/>
      </c>
    </row>
    <row r="89">
      <c r="A89">
        <f>Config!$K$4+23*Config!$J$4+Config!$J$4/2</f>
        <v/>
      </c>
      <c r="B89">
        <f>$A89-Config!$J$4/2</f>
        <v/>
      </c>
      <c r="C89">
        <f>$A89+Config!$J$4/2</f>
        <v/>
      </c>
      <c r="D89">
        <f>COUNTIFS(RawData!$C$2:$C$941,"LT",RawData!$I$2:$I$941,"&gt;="&amp;$B89,RawData!$I$2:$I$941,"&lt;"&amp;$C89,RawData!$I$2:$I$941,"&lt;&gt;0")</f>
        <v/>
      </c>
      <c r="E89">
        <f>IF(Config!$G$4=0,0,IF(ABS(($A89-Config!$F$4)/Config!$G$4)&lt;=2,$D89,0))</f>
        <v/>
      </c>
      <c r="F89">
        <f>IF(Config!$G$4=0,0,IF(AND(ABS(($A89-Config!$F$4)/Config!$G$4)&gt;2,ABS(($A89-Config!$F$4)/Config!$G$4)&lt;=3),$D89,0))</f>
        <v/>
      </c>
      <c r="G89">
        <f>IF(Config!$G$4=0,0,IF(ABS(($A89-Config!$F$4)/Config!$G$4)&gt;3,$D89,0))</f>
        <v/>
      </c>
      <c r="H89">
        <f>IFERROR(NORM.DIST($A89,Config!$F$4,Config!$G$4,FALSE)*Config!$D$4*Config!$J$4,0)</f>
        <v/>
      </c>
    </row>
    <row r="90">
      <c r="A90" s="6">
        <f>Config!$K$4+24*Config!$J$4+Config!$J$4/2</f>
        <v/>
      </c>
      <c r="B90" s="6">
        <f>$A90-Config!$J$4/2</f>
        <v/>
      </c>
      <c r="C90" s="6">
        <f>$A90+Config!$J$4/2</f>
        <v/>
      </c>
      <c r="D90" s="6">
        <f>COUNTIFS(RawData!$C$2:$C$941,"LT",RawData!$I$2:$I$941,"&gt;="&amp;$B90,RawData!$I$2:$I$941,"&lt;"&amp;$C90,RawData!$I$2:$I$941,"&lt;&gt;0")</f>
        <v/>
      </c>
      <c r="E90" s="6">
        <f>IF(Config!$G$4=0,0,IF(ABS(($A90-Config!$F$4)/Config!$G$4)&lt;=2,$D90,0))</f>
        <v/>
      </c>
      <c r="F90" s="6">
        <f>IF(Config!$G$4=0,0,IF(AND(ABS(($A90-Config!$F$4)/Config!$G$4)&gt;2,ABS(($A90-Config!$F$4)/Config!$G$4)&lt;=3),$D90,0))</f>
        <v/>
      </c>
      <c r="G90" s="6">
        <f>IF(Config!$G$4=0,0,IF(ABS(($A90-Config!$F$4)/Config!$G$4)&gt;3,$D90,0))</f>
        <v/>
      </c>
      <c r="H90" s="6">
        <f>IFERROR(NORM.DIST($A90,Config!$F$4,Config!$G$4,FALSE)*Config!$D$4*Config!$J$4,0)</f>
        <v/>
      </c>
    </row>
    <row r="91">
      <c r="A91">
        <f>Config!$K$4+25*Config!$J$4+Config!$J$4/2</f>
        <v/>
      </c>
      <c r="B91">
        <f>$A91-Config!$J$4/2</f>
        <v/>
      </c>
      <c r="C91">
        <f>$A91+Config!$J$4/2</f>
        <v/>
      </c>
      <c r="D91">
        <f>COUNTIFS(RawData!$C$2:$C$941,"LT",RawData!$I$2:$I$941,"&gt;="&amp;$B91,RawData!$I$2:$I$941,"&lt;"&amp;$C91,RawData!$I$2:$I$941,"&lt;&gt;0")</f>
        <v/>
      </c>
      <c r="E91">
        <f>IF(Config!$G$4=0,0,IF(ABS(($A91-Config!$F$4)/Config!$G$4)&lt;=2,$D91,0))</f>
        <v/>
      </c>
      <c r="F91">
        <f>IF(Config!$G$4=0,0,IF(AND(ABS(($A91-Config!$F$4)/Config!$G$4)&gt;2,ABS(($A91-Config!$F$4)/Config!$G$4)&lt;=3),$D91,0))</f>
        <v/>
      </c>
      <c r="G91">
        <f>IF(Config!$G$4=0,0,IF(ABS(($A91-Config!$F$4)/Config!$G$4)&gt;3,$D91,0))</f>
        <v/>
      </c>
      <c r="H91">
        <f>IFERROR(NORM.DIST($A91,Config!$F$4,Config!$G$4,FALSE)*Config!$D$4*Config!$J$4,0)</f>
        <v/>
      </c>
    </row>
    <row r="92">
      <c r="A92" s="6">
        <f>Config!$K$4+26*Config!$J$4+Config!$J$4/2</f>
        <v/>
      </c>
      <c r="B92" s="6">
        <f>$A92-Config!$J$4/2</f>
        <v/>
      </c>
      <c r="C92" s="6">
        <f>$A92+Config!$J$4/2</f>
        <v/>
      </c>
      <c r="D92" s="6">
        <f>COUNTIFS(RawData!$C$2:$C$941,"LT",RawData!$I$2:$I$941,"&gt;="&amp;$B92,RawData!$I$2:$I$941,"&lt;"&amp;$C92,RawData!$I$2:$I$941,"&lt;&gt;0")</f>
        <v/>
      </c>
      <c r="E92" s="6">
        <f>IF(Config!$G$4=0,0,IF(ABS(($A92-Config!$F$4)/Config!$G$4)&lt;=2,$D92,0))</f>
        <v/>
      </c>
      <c r="F92" s="6">
        <f>IF(Config!$G$4=0,0,IF(AND(ABS(($A92-Config!$F$4)/Config!$G$4)&gt;2,ABS(($A92-Config!$F$4)/Config!$G$4)&lt;=3),$D92,0))</f>
        <v/>
      </c>
      <c r="G92" s="6">
        <f>IF(Config!$G$4=0,0,IF(ABS(($A92-Config!$F$4)/Config!$G$4)&gt;3,$D92,0))</f>
        <v/>
      </c>
      <c r="H92" s="6">
        <f>IFERROR(NORM.DIST($A92,Config!$F$4,Config!$G$4,FALSE)*Config!$D$4*Config!$J$4,0)</f>
        <v/>
      </c>
    </row>
    <row r="93">
      <c r="A93">
        <f>Config!$K$4+27*Config!$J$4+Config!$J$4/2</f>
        <v/>
      </c>
      <c r="B93">
        <f>$A93-Config!$J$4/2</f>
        <v/>
      </c>
      <c r="C93">
        <f>$A93+Config!$J$4/2</f>
        <v/>
      </c>
      <c r="D93">
        <f>COUNTIFS(RawData!$C$2:$C$941,"LT",RawData!$I$2:$I$941,"&gt;="&amp;$B93,RawData!$I$2:$I$941,"&lt;"&amp;$C93,RawData!$I$2:$I$941,"&lt;&gt;0")</f>
        <v/>
      </c>
      <c r="E93">
        <f>IF(Config!$G$4=0,0,IF(ABS(($A93-Config!$F$4)/Config!$G$4)&lt;=2,$D93,0))</f>
        <v/>
      </c>
      <c r="F93">
        <f>IF(Config!$G$4=0,0,IF(AND(ABS(($A93-Config!$F$4)/Config!$G$4)&gt;2,ABS(($A93-Config!$F$4)/Config!$G$4)&lt;=3),$D93,0))</f>
        <v/>
      </c>
      <c r="G93">
        <f>IF(Config!$G$4=0,0,IF(ABS(($A93-Config!$F$4)/Config!$G$4)&gt;3,$D93,0))</f>
        <v/>
      </c>
      <c r="H93">
        <f>IFERROR(NORM.DIST($A93,Config!$F$4,Config!$G$4,FALSE)*Config!$D$4*Config!$J$4,0)</f>
        <v/>
      </c>
    </row>
    <row r="94">
      <c r="A94" s="6">
        <f>Config!$K$4+28*Config!$J$4+Config!$J$4/2</f>
        <v/>
      </c>
      <c r="B94" s="6">
        <f>$A94-Config!$J$4/2</f>
        <v/>
      </c>
      <c r="C94" s="6">
        <f>$A94+Config!$J$4/2</f>
        <v/>
      </c>
      <c r="D94" s="6">
        <f>COUNTIFS(RawData!$C$2:$C$941,"LT",RawData!$I$2:$I$941,"&gt;="&amp;$B94,RawData!$I$2:$I$941,"&lt;"&amp;$C94,RawData!$I$2:$I$941,"&lt;&gt;0")</f>
        <v/>
      </c>
      <c r="E94" s="6">
        <f>IF(Config!$G$4=0,0,IF(ABS(($A94-Config!$F$4)/Config!$G$4)&lt;=2,$D94,0))</f>
        <v/>
      </c>
      <c r="F94" s="6">
        <f>IF(Config!$G$4=0,0,IF(AND(ABS(($A94-Config!$F$4)/Config!$G$4)&gt;2,ABS(($A94-Config!$F$4)/Config!$G$4)&lt;=3),$D94,0))</f>
        <v/>
      </c>
      <c r="G94" s="6">
        <f>IF(Config!$G$4=0,0,IF(ABS(($A94-Config!$F$4)/Config!$G$4)&gt;3,$D94,0))</f>
        <v/>
      </c>
      <c r="H94" s="6">
        <f>IFERROR(NORM.DIST($A94,Config!$F$4,Config!$G$4,FALSE)*Config!$D$4*Config!$J$4,0)</f>
        <v/>
      </c>
    </row>
    <row r="95">
      <c r="A95">
        <f>Config!$K$4+29*Config!$J$4+Config!$J$4/2</f>
        <v/>
      </c>
      <c r="B95">
        <f>$A95-Config!$J$4/2</f>
        <v/>
      </c>
      <c r="C95">
        <f>$A95+Config!$J$4/2</f>
        <v/>
      </c>
      <c r="D95">
        <f>COUNTIFS(RawData!$C$2:$C$941,"LT",RawData!$I$2:$I$941,"&gt;="&amp;$B95,RawData!$I$2:$I$941,"&lt;"&amp;$C95,RawData!$I$2:$I$941,"&lt;&gt;0")</f>
        <v/>
      </c>
      <c r="E95">
        <f>IF(Config!$G$4=0,0,IF(ABS(($A95-Config!$F$4)/Config!$G$4)&lt;=2,$D95,0))</f>
        <v/>
      </c>
      <c r="F95">
        <f>IF(Config!$G$4=0,0,IF(AND(ABS(($A95-Config!$F$4)/Config!$G$4)&gt;2,ABS(($A95-Config!$F$4)/Config!$G$4)&lt;=3),$D95,0))</f>
        <v/>
      </c>
      <c r="G95">
        <f>IF(Config!$G$4=0,0,IF(ABS(($A95-Config!$F$4)/Config!$G$4)&gt;3,$D95,0))</f>
        <v/>
      </c>
      <c r="H95">
        <f>IFERROR(NORM.DIST($A95,Config!$F$4,Config!$G$4,FALSE)*Config!$D$4*Config!$J$4,0)</f>
        <v/>
      </c>
    </row>
    <row r="97">
      <c r="A97" s="5" t="inlineStr">
        <is>
          <t>BinCenter</t>
        </is>
      </c>
      <c r="B97" s="5" t="inlineStr">
        <is>
          <t>BinLo</t>
        </is>
      </c>
      <c r="C97" s="5" t="inlineStr">
        <is>
          <t>BinHi</t>
        </is>
      </c>
      <c r="D97" s="5" t="inlineStr">
        <is>
          <t>TotalCount</t>
        </is>
      </c>
      <c r="E97" s="5" t="inlineStr">
        <is>
          <t>Normal</t>
        </is>
      </c>
      <c r="F97" s="5" t="inlineStr">
        <is>
          <t>Warning(2-3s)</t>
        </is>
      </c>
      <c r="G97" s="5" t="inlineStr">
        <is>
          <t>Outlier(&gt;3s)</t>
        </is>
      </c>
      <c r="H97" s="5" t="inlineStr">
        <is>
          <t>CurveY</t>
        </is>
      </c>
    </row>
    <row r="98">
      <c r="A98" s="6">
        <f>Config!$K$5+0*Config!$J$5+Config!$J$5/2</f>
        <v/>
      </c>
      <c r="B98" s="6">
        <f>$A98-Config!$J$5/2</f>
        <v/>
      </c>
      <c r="C98" s="6">
        <f>$A98+Config!$J$5/2</f>
        <v/>
      </c>
      <c r="D98" s="6">
        <f>COUNTIFS(RawData!$C$2:$C$941,"LT",RawData!$J$2:$J$941,"&gt;="&amp;$B98,RawData!$J$2:$J$941,"&lt;"&amp;$C98,RawData!$J$2:$J$941,"&lt;&gt;0")</f>
        <v/>
      </c>
      <c r="E98" s="6">
        <f>IF(Config!$G$5=0,0,IF(ABS(($A98-Config!$F$5)/Config!$G$5)&lt;=2,$D98,0))</f>
        <v/>
      </c>
      <c r="F98" s="6">
        <f>IF(Config!$G$5=0,0,IF(AND(ABS(($A98-Config!$F$5)/Config!$G$5)&gt;2,ABS(($A98-Config!$F$5)/Config!$G$5)&lt;=3),$D98,0))</f>
        <v/>
      </c>
      <c r="G98" s="6">
        <f>IF(Config!$G$5=0,0,IF(ABS(($A98-Config!$F$5)/Config!$G$5)&gt;3,$D98,0))</f>
        <v/>
      </c>
      <c r="H98" s="6">
        <f>IFERROR(NORM.DIST($A98,Config!$F$5,Config!$G$5,FALSE)*Config!$D$5*Config!$J$5,0)</f>
        <v/>
      </c>
    </row>
    <row r="99">
      <c r="A99">
        <f>Config!$K$5+1*Config!$J$5+Config!$J$5/2</f>
        <v/>
      </c>
      <c r="B99">
        <f>$A99-Config!$J$5/2</f>
        <v/>
      </c>
      <c r="C99">
        <f>$A99+Config!$J$5/2</f>
        <v/>
      </c>
      <c r="D99">
        <f>COUNTIFS(RawData!$C$2:$C$941,"LT",RawData!$J$2:$J$941,"&gt;="&amp;$B99,RawData!$J$2:$J$941,"&lt;"&amp;$C99,RawData!$J$2:$J$941,"&lt;&gt;0")</f>
        <v/>
      </c>
      <c r="E99">
        <f>IF(Config!$G$5=0,0,IF(ABS(($A99-Config!$F$5)/Config!$G$5)&lt;=2,$D99,0))</f>
        <v/>
      </c>
      <c r="F99">
        <f>IF(Config!$G$5=0,0,IF(AND(ABS(($A99-Config!$F$5)/Config!$G$5)&gt;2,ABS(($A99-Config!$F$5)/Config!$G$5)&lt;=3),$D99,0))</f>
        <v/>
      </c>
      <c r="G99">
        <f>IF(Config!$G$5=0,0,IF(ABS(($A99-Config!$F$5)/Config!$G$5)&gt;3,$D99,0))</f>
        <v/>
      </c>
      <c r="H99">
        <f>IFERROR(NORM.DIST($A99,Config!$F$5,Config!$G$5,FALSE)*Config!$D$5*Config!$J$5,0)</f>
        <v/>
      </c>
    </row>
    <row r="100">
      <c r="A100" s="6">
        <f>Config!$K$5+2*Config!$J$5+Config!$J$5/2</f>
        <v/>
      </c>
      <c r="B100" s="6">
        <f>$A100-Config!$J$5/2</f>
        <v/>
      </c>
      <c r="C100" s="6">
        <f>$A100+Config!$J$5/2</f>
        <v/>
      </c>
      <c r="D100" s="6">
        <f>COUNTIFS(RawData!$C$2:$C$941,"LT",RawData!$J$2:$J$941,"&gt;="&amp;$B100,RawData!$J$2:$J$941,"&lt;"&amp;$C100,RawData!$J$2:$J$941,"&lt;&gt;0")</f>
        <v/>
      </c>
      <c r="E100" s="6">
        <f>IF(Config!$G$5=0,0,IF(ABS(($A100-Config!$F$5)/Config!$G$5)&lt;=2,$D100,0))</f>
        <v/>
      </c>
      <c r="F100" s="6">
        <f>IF(Config!$G$5=0,0,IF(AND(ABS(($A100-Config!$F$5)/Config!$G$5)&gt;2,ABS(($A100-Config!$F$5)/Config!$G$5)&lt;=3),$D100,0))</f>
        <v/>
      </c>
      <c r="G100" s="6">
        <f>IF(Config!$G$5=0,0,IF(ABS(($A100-Config!$F$5)/Config!$G$5)&gt;3,$D100,0))</f>
        <v/>
      </c>
      <c r="H100" s="6">
        <f>IFERROR(NORM.DIST($A100,Config!$F$5,Config!$G$5,FALSE)*Config!$D$5*Config!$J$5,0)</f>
        <v/>
      </c>
    </row>
    <row r="101">
      <c r="A101">
        <f>Config!$K$5+3*Config!$J$5+Config!$J$5/2</f>
        <v/>
      </c>
      <c r="B101">
        <f>$A101-Config!$J$5/2</f>
        <v/>
      </c>
      <c r="C101">
        <f>$A101+Config!$J$5/2</f>
        <v/>
      </c>
      <c r="D101">
        <f>COUNTIFS(RawData!$C$2:$C$941,"LT",RawData!$J$2:$J$941,"&gt;="&amp;$B101,RawData!$J$2:$J$941,"&lt;"&amp;$C101,RawData!$J$2:$J$941,"&lt;&gt;0")</f>
        <v/>
      </c>
      <c r="E101">
        <f>IF(Config!$G$5=0,0,IF(ABS(($A101-Config!$F$5)/Config!$G$5)&lt;=2,$D101,0))</f>
        <v/>
      </c>
      <c r="F101">
        <f>IF(Config!$G$5=0,0,IF(AND(ABS(($A101-Config!$F$5)/Config!$G$5)&gt;2,ABS(($A101-Config!$F$5)/Config!$G$5)&lt;=3),$D101,0))</f>
        <v/>
      </c>
      <c r="G101">
        <f>IF(Config!$G$5=0,0,IF(ABS(($A101-Config!$F$5)/Config!$G$5)&gt;3,$D101,0))</f>
        <v/>
      </c>
      <c r="H101">
        <f>IFERROR(NORM.DIST($A101,Config!$F$5,Config!$G$5,FALSE)*Config!$D$5*Config!$J$5,0)</f>
        <v/>
      </c>
    </row>
    <row r="102">
      <c r="A102" s="6">
        <f>Config!$K$5+4*Config!$J$5+Config!$J$5/2</f>
        <v/>
      </c>
      <c r="B102" s="6">
        <f>$A102-Config!$J$5/2</f>
        <v/>
      </c>
      <c r="C102" s="6">
        <f>$A102+Config!$J$5/2</f>
        <v/>
      </c>
      <c r="D102" s="6">
        <f>COUNTIFS(RawData!$C$2:$C$941,"LT",RawData!$J$2:$J$941,"&gt;="&amp;$B102,RawData!$J$2:$J$941,"&lt;"&amp;$C102,RawData!$J$2:$J$941,"&lt;&gt;0")</f>
        <v/>
      </c>
      <c r="E102" s="6">
        <f>IF(Config!$G$5=0,0,IF(ABS(($A102-Config!$F$5)/Config!$G$5)&lt;=2,$D102,0))</f>
        <v/>
      </c>
      <c r="F102" s="6">
        <f>IF(Config!$G$5=0,0,IF(AND(ABS(($A102-Config!$F$5)/Config!$G$5)&gt;2,ABS(($A102-Config!$F$5)/Config!$G$5)&lt;=3),$D102,0))</f>
        <v/>
      </c>
      <c r="G102" s="6">
        <f>IF(Config!$G$5=0,0,IF(ABS(($A102-Config!$F$5)/Config!$G$5)&gt;3,$D102,0))</f>
        <v/>
      </c>
      <c r="H102" s="6">
        <f>IFERROR(NORM.DIST($A102,Config!$F$5,Config!$G$5,FALSE)*Config!$D$5*Config!$J$5,0)</f>
        <v/>
      </c>
    </row>
    <row r="103">
      <c r="A103">
        <f>Config!$K$5+5*Config!$J$5+Config!$J$5/2</f>
        <v/>
      </c>
      <c r="B103">
        <f>$A103-Config!$J$5/2</f>
        <v/>
      </c>
      <c r="C103">
        <f>$A103+Config!$J$5/2</f>
        <v/>
      </c>
      <c r="D103">
        <f>COUNTIFS(RawData!$C$2:$C$941,"LT",RawData!$J$2:$J$941,"&gt;="&amp;$B103,RawData!$J$2:$J$941,"&lt;"&amp;$C103,RawData!$J$2:$J$941,"&lt;&gt;0")</f>
        <v/>
      </c>
      <c r="E103">
        <f>IF(Config!$G$5=0,0,IF(ABS(($A103-Config!$F$5)/Config!$G$5)&lt;=2,$D103,0))</f>
        <v/>
      </c>
      <c r="F103">
        <f>IF(Config!$G$5=0,0,IF(AND(ABS(($A103-Config!$F$5)/Config!$G$5)&gt;2,ABS(($A103-Config!$F$5)/Config!$G$5)&lt;=3),$D103,0))</f>
        <v/>
      </c>
      <c r="G103">
        <f>IF(Config!$G$5=0,0,IF(ABS(($A103-Config!$F$5)/Config!$G$5)&gt;3,$D103,0))</f>
        <v/>
      </c>
      <c r="H103">
        <f>IFERROR(NORM.DIST($A103,Config!$F$5,Config!$G$5,FALSE)*Config!$D$5*Config!$J$5,0)</f>
        <v/>
      </c>
    </row>
    <row r="104">
      <c r="A104" s="6">
        <f>Config!$K$5+6*Config!$J$5+Config!$J$5/2</f>
        <v/>
      </c>
      <c r="B104" s="6">
        <f>$A104-Config!$J$5/2</f>
        <v/>
      </c>
      <c r="C104" s="6">
        <f>$A104+Config!$J$5/2</f>
        <v/>
      </c>
      <c r="D104" s="6">
        <f>COUNTIFS(RawData!$C$2:$C$941,"LT",RawData!$J$2:$J$941,"&gt;="&amp;$B104,RawData!$J$2:$J$941,"&lt;"&amp;$C104,RawData!$J$2:$J$941,"&lt;&gt;0")</f>
        <v/>
      </c>
      <c r="E104" s="6">
        <f>IF(Config!$G$5=0,0,IF(ABS(($A104-Config!$F$5)/Config!$G$5)&lt;=2,$D104,0))</f>
        <v/>
      </c>
      <c r="F104" s="6">
        <f>IF(Config!$G$5=0,0,IF(AND(ABS(($A104-Config!$F$5)/Config!$G$5)&gt;2,ABS(($A104-Config!$F$5)/Config!$G$5)&lt;=3),$D104,0))</f>
        <v/>
      </c>
      <c r="G104" s="6">
        <f>IF(Config!$G$5=0,0,IF(ABS(($A104-Config!$F$5)/Config!$G$5)&gt;3,$D104,0))</f>
        <v/>
      </c>
      <c r="H104" s="6">
        <f>IFERROR(NORM.DIST($A104,Config!$F$5,Config!$G$5,FALSE)*Config!$D$5*Config!$J$5,0)</f>
        <v/>
      </c>
    </row>
    <row r="105">
      <c r="A105">
        <f>Config!$K$5+7*Config!$J$5+Config!$J$5/2</f>
        <v/>
      </c>
      <c r="B105">
        <f>$A105-Config!$J$5/2</f>
        <v/>
      </c>
      <c r="C105">
        <f>$A105+Config!$J$5/2</f>
        <v/>
      </c>
      <c r="D105">
        <f>COUNTIFS(RawData!$C$2:$C$941,"LT",RawData!$J$2:$J$941,"&gt;="&amp;$B105,RawData!$J$2:$J$941,"&lt;"&amp;$C105,RawData!$J$2:$J$941,"&lt;&gt;0")</f>
        <v/>
      </c>
      <c r="E105">
        <f>IF(Config!$G$5=0,0,IF(ABS(($A105-Config!$F$5)/Config!$G$5)&lt;=2,$D105,0))</f>
        <v/>
      </c>
      <c r="F105">
        <f>IF(Config!$G$5=0,0,IF(AND(ABS(($A105-Config!$F$5)/Config!$G$5)&gt;2,ABS(($A105-Config!$F$5)/Config!$G$5)&lt;=3),$D105,0))</f>
        <v/>
      </c>
      <c r="G105">
        <f>IF(Config!$G$5=0,0,IF(ABS(($A105-Config!$F$5)/Config!$G$5)&gt;3,$D105,0))</f>
        <v/>
      </c>
      <c r="H105">
        <f>IFERROR(NORM.DIST($A105,Config!$F$5,Config!$G$5,FALSE)*Config!$D$5*Config!$J$5,0)</f>
        <v/>
      </c>
    </row>
    <row r="106">
      <c r="A106" s="6">
        <f>Config!$K$5+8*Config!$J$5+Config!$J$5/2</f>
        <v/>
      </c>
      <c r="B106" s="6">
        <f>$A106-Config!$J$5/2</f>
        <v/>
      </c>
      <c r="C106" s="6">
        <f>$A106+Config!$J$5/2</f>
        <v/>
      </c>
      <c r="D106" s="6">
        <f>COUNTIFS(RawData!$C$2:$C$941,"LT",RawData!$J$2:$J$941,"&gt;="&amp;$B106,RawData!$J$2:$J$941,"&lt;"&amp;$C106,RawData!$J$2:$J$941,"&lt;&gt;0")</f>
        <v/>
      </c>
      <c r="E106" s="6">
        <f>IF(Config!$G$5=0,0,IF(ABS(($A106-Config!$F$5)/Config!$G$5)&lt;=2,$D106,0))</f>
        <v/>
      </c>
      <c r="F106" s="6">
        <f>IF(Config!$G$5=0,0,IF(AND(ABS(($A106-Config!$F$5)/Config!$G$5)&gt;2,ABS(($A106-Config!$F$5)/Config!$G$5)&lt;=3),$D106,0))</f>
        <v/>
      </c>
      <c r="G106" s="6">
        <f>IF(Config!$G$5=0,0,IF(ABS(($A106-Config!$F$5)/Config!$G$5)&gt;3,$D106,0))</f>
        <v/>
      </c>
      <c r="H106" s="6">
        <f>IFERROR(NORM.DIST($A106,Config!$F$5,Config!$G$5,FALSE)*Config!$D$5*Config!$J$5,0)</f>
        <v/>
      </c>
    </row>
    <row r="107">
      <c r="A107">
        <f>Config!$K$5+9*Config!$J$5+Config!$J$5/2</f>
        <v/>
      </c>
      <c r="B107">
        <f>$A107-Config!$J$5/2</f>
        <v/>
      </c>
      <c r="C107">
        <f>$A107+Config!$J$5/2</f>
        <v/>
      </c>
      <c r="D107">
        <f>COUNTIFS(RawData!$C$2:$C$941,"LT",RawData!$J$2:$J$941,"&gt;="&amp;$B107,RawData!$J$2:$J$941,"&lt;"&amp;$C107,RawData!$J$2:$J$941,"&lt;&gt;0")</f>
        <v/>
      </c>
      <c r="E107">
        <f>IF(Config!$G$5=0,0,IF(ABS(($A107-Config!$F$5)/Config!$G$5)&lt;=2,$D107,0))</f>
        <v/>
      </c>
      <c r="F107">
        <f>IF(Config!$G$5=0,0,IF(AND(ABS(($A107-Config!$F$5)/Config!$G$5)&gt;2,ABS(($A107-Config!$F$5)/Config!$G$5)&lt;=3),$D107,0))</f>
        <v/>
      </c>
      <c r="G107">
        <f>IF(Config!$G$5=0,0,IF(ABS(($A107-Config!$F$5)/Config!$G$5)&gt;3,$D107,0))</f>
        <v/>
      </c>
      <c r="H107">
        <f>IFERROR(NORM.DIST($A107,Config!$F$5,Config!$G$5,FALSE)*Config!$D$5*Config!$J$5,0)</f>
        <v/>
      </c>
    </row>
    <row r="108">
      <c r="A108" s="6">
        <f>Config!$K$5+10*Config!$J$5+Config!$J$5/2</f>
        <v/>
      </c>
      <c r="B108" s="6">
        <f>$A108-Config!$J$5/2</f>
        <v/>
      </c>
      <c r="C108" s="6">
        <f>$A108+Config!$J$5/2</f>
        <v/>
      </c>
      <c r="D108" s="6">
        <f>COUNTIFS(RawData!$C$2:$C$941,"LT",RawData!$J$2:$J$941,"&gt;="&amp;$B108,RawData!$J$2:$J$941,"&lt;"&amp;$C108,RawData!$J$2:$J$941,"&lt;&gt;0")</f>
        <v/>
      </c>
      <c r="E108" s="6">
        <f>IF(Config!$G$5=0,0,IF(ABS(($A108-Config!$F$5)/Config!$G$5)&lt;=2,$D108,0))</f>
        <v/>
      </c>
      <c r="F108" s="6">
        <f>IF(Config!$G$5=0,0,IF(AND(ABS(($A108-Config!$F$5)/Config!$G$5)&gt;2,ABS(($A108-Config!$F$5)/Config!$G$5)&lt;=3),$D108,0))</f>
        <v/>
      </c>
      <c r="G108" s="6">
        <f>IF(Config!$G$5=0,0,IF(ABS(($A108-Config!$F$5)/Config!$G$5)&gt;3,$D108,0))</f>
        <v/>
      </c>
      <c r="H108" s="6">
        <f>IFERROR(NORM.DIST($A108,Config!$F$5,Config!$G$5,FALSE)*Config!$D$5*Config!$J$5,0)</f>
        <v/>
      </c>
    </row>
    <row r="109">
      <c r="A109">
        <f>Config!$K$5+11*Config!$J$5+Config!$J$5/2</f>
        <v/>
      </c>
      <c r="B109">
        <f>$A109-Config!$J$5/2</f>
        <v/>
      </c>
      <c r="C109">
        <f>$A109+Config!$J$5/2</f>
        <v/>
      </c>
      <c r="D109">
        <f>COUNTIFS(RawData!$C$2:$C$941,"LT",RawData!$J$2:$J$941,"&gt;="&amp;$B109,RawData!$J$2:$J$941,"&lt;"&amp;$C109,RawData!$J$2:$J$941,"&lt;&gt;0")</f>
        <v/>
      </c>
      <c r="E109">
        <f>IF(Config!$G$5=0,0,IF(ABS(($A109-Config!$F$5)/Config!$G$5)&lt;=2,$D109,0))</f>
        <v/>
      </c>
      <c r="F109">
        <f>IF(Config!$G$5=0,0,IF(AND(ABS(($A109-Config!$F$5)/Config!$G$5)&gt;2,ABS(($A109-Config!$F$5)/Config!$G$5)&lt;=3),$D109,0))</f>
        <v/>
      </c>
      <c r="G109">
        <f>IF(Config!$G$5=0,0,IF(ABS(($A109-Config!$F$5)/Config!$G$5)&gt;3,$D109,0))</f>
        <v/>
      </c>
      <c r="H109">
        <f>IFERROR(NORM.DIST($A109,Config!$F$5,Config!$G$5,FALSE)*Config!$D$5*Config!$J$5,0)</f>
        <v/>
      </c>
    </row>
    <row r="110">
      <c r="A110" s="6">
        <f>Config!$K$5+12*Config!$J$5+Config!$J$5/2</f>
        <v/>
      </c>
      <c r="B110" s="6">
        <f>$A110-Config!$J$5/2</f>
        <v/>
      </c>
      <c r="C110" s="6">
        <f>$A110+Config!$J$5/2</f>
        <v/>
      </c>
      <c r="D110" s="6">
        <f>COUNTIFS(RawData!$C$2:$C$941,"LT",RawData!$J$2:$J$941,"&gt;="&amp;$B110,RawData!$J$2:$J$941,"&lt;"&amp;$C110,RawData!$J$2:$J$941,"&lt;&gt;0")</f>
        <v/>
      </c>
      <c r="E110" s="6">
        <f>IF(Config!$G$5=0,0,IF(ABS(($A110-Config!$F$5)/Config!$G$5)&lt;=2,$D110,0))</f>
        <v/>
      </c>
      <c r="F110" s="6">
        <f>IF(Config!$G$5=0,0,IF(AND(ABS(($A110-Config!$F$5)/Config!$G$5)&gt;2,ABS(($A110-Config!$F$5)/Config!$G$5)&lt;=3),$D110,0))</f>
        <v/>
      </c>
      <c r="G110" s="6">
        <f>IF(Config!$G$5=0,0,IF(ABS(($A110-Config!$F$5)/Config!$G$5)&gt;3,$D110,0))</f>
        <v/>
      </c>
      <c r="H110" s="6">
        <f>IFERROR(NORM.DIST($A110,Config!$F$5,Config!$G$5,FALSE)*Config!$D$5*Config!$J$5,0)</f>
        <v/>
      </c>
    </row>
    <row r="111">
      <c r="A111">
        <f>Config!$K$5+13*Config!$J$5+Config!$J$5/2</f>
        <v/>
      </c>
      <c r="B111">
        <f>$A111-Config!$J$5/2</f>
        <v/>
      </c>
      <c r="C111">
        <f>$A111+Config!$J$5/2</f>
        <v/>
      </c>
      <c r="D111">
        <f>COUNTIFS(RawData!$C$2:$C$941,"LT",RawData!$J$2:$J$941,"&gt;="&amp;$B111,RawData!$J$2:$J$941,"&lt;"&amp;$C111,RawData!$J$2:$J$941,"&lt;&gt;0")</f>
        <v/>
      </c>
      <c r="E111">
        <f>IF(Config!$G$5=0,0,IF(ABS(($A111-Config!$F$5)/Config!$G$5)&lt;=2,$D111,0))</f>
        <v/>
      </c>
      <c r="F111">
        <f>IF(Config!$G$5=0,0,IF(AND(ABS(($A111-Config!$F$5)/Config!$G$5)&gt;2,ABS(($A111-Config!$F$5)/Config!$G$5)&lt;=3),$D111,0))</f>
        <v/>
      </c>
      <c r="G111">
        <f>IF(Config!$G$5=0,0,IF(ABS(($A111-Config!$F$5)/Config!$G$5)&gt;3,$D111,0))</f>
        <v/>
      </c>
      <c r="H111">
        <f>IFERROR(NORM.DIST($A111,Config!$F$5,Config!$G$5,FALSE)*Config!$D$5*Config!$J$5,0)</f>
        <v/>
      </c>
    </row>
    <row r="112">
      <c r="A112" s="6">
        <f>Config!$K$5+14*Config!$J$5+Config!$J$5/2</f>
        <v/>
      </c>
      <c r="B112" s="6">
        <f>$A112-Config!$J$5/2</f>
        <v/>
      </c>
      <c r="C112" s="6">
        <f>$A112+Config!$J$5/2</f>
        <v/>
      </c>
      <c r="D112" s="6">
        <f>COUNTIFS(RawData!$C$2:$C$941,"LT",RawData!$J$2:$J$941,"&gt;="&amp;$B112,RawData!$J$2:$J$941,"&lt;"&amp;$C112,RawData!$J$2:$J$941,"&lt;&gt;0")</f>
        <v/>
      </c>
      <c r="E112" s="6">
        <f>IF(Config!$G$5=0,0,IF(ABS(($A112-Config!$F$5)/Config!$G$5)&lt;=2,$D112,0))</f>
        <v/>
      </c>
      <c r="F112" s="6">
        <f>IF(Config!$G$5=0,0,IF(AND(ABS(($A112-Config!$F$5)/Config!$G$5)&gt;2,ABS(($A112-Config!$F$5)/Config!$G$5)&lt;=3),$D112,0))</f>
        <v/>
      </c>
      <c r="G112" s="6">
        <f>IF(Config!$G$5=0,0,IF(ABS(($A112-Config!$F$5)/Config!$G$5)&gt;3,$D112,0))</f>
        <v/>
      </c>
      <c r="H112" s="6">
        <f>IFERROR(NORM.DIST($A112,Config!$F$5,Config!$G$5,FALSE)*Config!$D$5*Config!$J$5,0)</f>
        <v/>
      </c>
    </row>
    <row r="113">
      <c r="A113">
        <f>Config!$K$5+15*Config!$J$5+Config!$J$5/2</f>
        <v/>
      </c>
      <c r="B113">
        <f>$A113-Config!$J$5/2</f>
        <v/>
      </c>
      <c r="C113">
        <f>$A113+Config!$J$5/2</f>
        <v/>
      </c>
      <c r="D113">
        <f>COUNTIFS(RawData!$C$2:$C$941,"LT",RawData!$J$2:$J$941,"&gt;="&amp;$B113,RawData!$J$2:$J$941,"&lt;"&amp;$C113,RawData!$J$2:$J$941,"&lt;&gt;0")</f>
        <v/>
      </c>
      <c r="E113">
        <f>IF(Config!$G$5=0,0,IF(ABS(($A113-Config!$F$5)/Config!$G$5)&lt;=2,$D113,0))</f>
        <v/>
      </c>
      <c r="F113">
        <f>IF(Config!$G$5=0,0,IF(AND(ABS(($A113-Config!$F$5)/Config!$G$5)&gt;2,ABS(($A113-Config!$F$5)/Config!$G$5)&lt;=3),$D113,0))</f>
        <v/>
      </c>
      <c r="G113">
        <f>IF(Config!$G$5=0,0,IF(ABS(($A113-Config!$F$5)/Config!$G$5)&gt;3,$D113,0))</f>
        <v/>
      </c>
      <c r="H113">
        <f>IFERROR(NORM.DIST($A113,Config!$F$5,Config!$G$5,FALSE)*Config!$D$5*Config!$J$5,0)</f>
        <v/>
      </c>
    </row>
    <row r="114">
      <c r="A114" s="6">
        <f>Config!$K$5+16*Config!$J$5+Config!$J$5/2</f>
        <v/>
      </c>
      <c r="B114" s="6">
        <f>$A114-Config!$J$5/2</f>
        <v/>
      </c>
      <c r="C114" s="6">
        <f>$A114+Config!$J$5/2</f>
        <v/>
      </c>
      <c r="D114" s="6">
        <f>COUNTIFS(RawData!$C$2:$C$941,"LT",RawData!$J$2:$J$941,"&gt;="&amp;$B114,RawData!$J$2:$J$941,"&lt;"&amp;$C114,RawData!$J$2:$J$941,"&lt;&gt;0")</f>
        <v/>
      </c>
      <c r="E114" s="6">
        <f>IF(Config!$G$5=0,0,IF(ABS(($A114-Config!$F$5)/Config!$G$5)&lt;=2,$D114,0))</f>
        <v/>
      </c>
      <c r="F114" s="6">
        <f>IF(Config!$G$5=0,0,IF(AND(ABS(($A114-Config!$F$5)/Config!$G$5)&gt;2,ABS(($A114-Config!$F$5)/Config!$G$5)&lt;=3),$D114,0))</f>
        <v/>
      </c>
      <c r="G114" s="6">
        <f>IF(Config!$G$5=0,0,IF(ABS(($A114-Config!$F$5)/Config!$G$5)&gt;3,$D114,0))</f>
        <v/>
      </c>
      <c r="H114" s="6">
        <f>IFERROR(NORM.DIST($A114,Config!$F$5,Config!$G$5,FALSE)*Config!$D$5*Config!$J$5,0)</f>
        <v/>
      </c>
    </row>
    <row r="115">
      <c r="A115">
        <f>Config!$K$5+17*Config!$J$5+Config!$J$5/2</f>
        <v/>
      </c>
      <c r="B115">
        <f>$A115-Config!$J$5/2</f>
        <v/>
      </c>
      <c r="C115">
        <f>$A115+Config!$J$5/2</f>
        <v/>
      </c>
      <c r="D115">
        <f>COUNTIFS(RawData!$C$2:$C$941,"LT",RawData!$J$2:$J$941,"&gt;="&amp;$B115,RawData!$J$2:$J$941,"&lt;"&amp;$C115,RawData!$J$2:$J$941,"&lt;&gt;0")</f>
        <v/>
      </c>
      <c r="E115">
        <f>IF(Config!$G$5=0,0,IF(ABS(($A115-Config!$F$5)/Config!$G$5)&lt;=2,$D115,0))</f>
        <v/>
      </c>
      <c r="F115">
        <f>IF(Config!$G$5=0,0,IF(AND(ABS(($A115-Config!$F$5)/Config!$G$5)&gt;2,ABS(($A115-Config!$F$5)/Config!$G$5)&lt;=3),$D115,0))</f>
        <v/>
      </c>
      <c r="G115">
        <f>IF(Config!$G$5=0,0,IF(ABS(($A115-Config!$F$5)/Config!$G$5)&gt;3,$D115,0))</f>
        <v/>
      </c>
      <c r="H115">
        <f>IFERROR(NORM.DIST($A115,Config!$F$5,Config!$G$5,FALSE)*Config!$D$5*Config!$J$5,0)</f>
        <v/>
      </c>
    </row>
    <row r="116">
      <c r="A116" s="6">
        <f>Config!$K$5+18*Config!$J$5+Config!$J$5/2</f>
        <v/>
      </c>
      <c r="B116" s="6">
        <f>$A116-Config!$J$5/2</f>
        <v/>
      </c>
      <c r="C116" s="6">
        <f>$A116+Config!$J$5/2</f>
        <v/>
      </c>
      <c r="D116" s="6">
        <f>COUNTIFS(RawData!$C$2:$C$941,"LT",RawData!$J$2:$J$941,"&gt;="&amp;$B116,RawData!$J$2:$J$941,"&lt;"&amp;$C116,RawData!$J$2:$J$941,"&lt;&gt;0")</f>
        <v/>
      </c>
      <c r="E116" s="6">
        <f>IF(Config!$G$5=0,0,IF(ABS(($A116-Config!$F$5)/Config!$G$5)&lt;=2,$D116,0))</f>
        <v/>
      </c>
      <c r="F116" s="6">
        <f>IF(Config!$G$5=0,0,IF(AND(ABS(($A116-Config!$F$5)/Config!$G$5)&gt;2,ABS(($A116-Config!$F$5)/Config!$G$5)&lt;=3),$D116,0))</f>
        <v/>
      </c>
      <c r="G116" s="6">
        <f>IF(Config!$G$5=0,0,IF(ABS(($A116-Config!$F$5)/Config!$G$5)&gt;3,$D116,0))</f>
        <v/>
      </c>
      <c r="H116" s="6">
        <f>IFERROR(NORM.DIST($A116,Config!$F$5,Config!$G$5,FALSE)*Config!$D$5*Config!$J$5,0)</f>
        <v/>
      </c>
    </row>
    <row r="117">
      <c r="A117">
        <f>Config!$K$5+19*Config!$J$5+Config!$J$5/2</f>
        <v/>
      </c>
      <c r="B117">
        <f>$A117-Config!$J$5/2</f>
        <v/>
      </c>
      <c r="C117">
        <f>$A117+Config!$J$5/2</f>
        <v/>
      </c>
      <c r="D117">
        <f>COUNTIFS(RawData!$C$2:$C$941,"LT",RawData!$J$2:$J$941,"&gt;="&amp;$B117,RawData!$J$2:$J$941,"&lt;"&amp;$C117,RawData!$J$2:$J$941,"&lt;&gt;0")</f>
        <v/>
      </c>
      <c r="E117">
        <f>IF(Config!$G$5=0,0,IF(ABS(($A117-Config!$F$5)/Config!$G$5)&lt;=2,$D117,0))</f>
        <v/>
      </c>
      <c r="F117">
        <f>IF(Config!$G$5=0,0,IF(AND(ABS(($A117-Config!$F$5)/Config!$G$5)&gt;2,ABS(($A117-Config!$F$5)/Config!$G$5)&lt;=3),$D117,0))</f>
        <v/>
      </c>
      <c r="G117">
        <f>IF(Config!$G$5=0,0,IF(ABS(($A117-Config!$F$5)/Config!$G$5)&gt;3,$D117,0))</f>
        <v/>
      </c>
      <c r="H117">
        <f>IFERROR(NORM.DIST($A117,Config!$F$5,Config!$G$5,FALSE)*Config!$D$5*Config!$J$5,0)</f>
        <v/>
      </c>
    </row>
    <row r="118">
      <c r="A118" s="6">
        <f>Config!$K$5+20*Config!$J$5+Config!$J$5/2</f>
        <v/>
      </c>
      <c r="B118" s="6">
        <f>$A118-Config!$J$5/2</f>
        <v/>
      </c>
      <c r="C118" s="6">
        <f>$A118+Config!$J$5/2</f>
        <v/>
      </c>
      <c r="D118" s="6">
        <f>COUNTIFS(RawData!$C$2:$C$941,"LT",RawData!$J$2:$J$941,"&gt;="&amp;$B118,RawData!$J$2:$J$941,"&lt;"&amp;$C118,RawData!$J$2:$J$941,"&lt;&gt;0")</f>
        <v/>
      </c>
      <c r="E118" s="6">
        <f>IF(Config!$G$5=0,0,IF(ABS(($A118-Config!$F$5)/Config!$G$5)&lt;=2,$D118,0))</f>
        <v/>
      </c>
      <c r="F118" s="6">
        <f>IF(Config!$G$5=0,0,IF(AND(ABS(($A118-Config!$F$5)/Config!$G$5)&gt;2,ABS(($A118-Config!$F$5)/Config!$G$5)&lt;=3),$D118,0))</f>
        <v/>
      </c>
      <c r="G118" s="6">
        <f>IF(Config!$G$5=0,0,IF(ABS(($A118-Config!$F$5)/Config!$G$5)&gt;3,$D118,0))</f>
        <v/>
      </c>
      <c r="H118" s="6">
        <f>IFERROR(NORM.DIST($A118,Config!$F$5,Config!$G$5,FALSE)*Config!$D$5*Config!$J$5,0)</f>
        <v/>
      </c>
    </row>
    <row r="119">
      <c r="A119">
        <f>Config!$K$5+21*Config!$J$5+Config!$J$5/2</f>
        <v/>
      </c>
      <c r="B119">
        <f>$A119-Config!$J$5/2</f>
        <v/>
      </c>
      <c r="C119">
        <f>$A119+Config!$J$5/2</f>
        <v/>
      </c>
      <c r="D119">
        <f>COUNTIFS(RawData!$C$2:$C$941,"LT",RawData!$J$2:$J$941,"&gt;="&amp;$B119,RawData!$J$2:$J$941,"&lt;"&amp;$C119,RawData!$J$2:$J$941,"&lt;&gt;0")</f>
        <v/>
      </c>
      <c r="E119">
        <f>IF(Config!$G$5=0,0,IF(ABS(($A119-Config!$F$5)/Config!$G$5)&lt;=2,$D119,0))</f>
        <v/>
      </c>
      <c r="F119">
        <f>IF(Config!$G$5=0,0,IF(AND(ABS(($A119-Config!$F$5)/Config!$G$5)&gt;2,ABS(($A119-Config!$F$5)/Config!$G$5)&lt;=3),$D119,0))</f>
        <v/>
      </c>
      <c r="G119">
        <f>IF(Config!$G$5=0,0,IF(ABS(($A119-Config!$F$5)/Config!$G$5)&gt;3,$D119,0))</f>
        <v/>
      </c>
      <c r="H119">
        <f>IFERROR(NORM.DIST($A119,Config!$F$5,Config!$G$5,FALSE)*Config!$D$5*Config!$J$5,0)</f>
        <v/>
      </c>
    </row>
    <row r="120">
      <c r="A120" s="6">
        <f>Config!$K$5+22*Config!$J$5+Config!$J$5/2</f>
        <v/>
      </c>
      <c r="B120" s="6">
        <f>$A120-Config!$J$5/2</f>
        <v/>
      </c>
      <c r="C120" s="6">
        <f>$A120+Config!$J$5/2</f>
        <v/>
      </c>
      <c r="D120" s="6">
        <f>COUNTIFS(RawData!$C$2:$C$941,"LT",RawData!$J$2:$J$941,"&gt;="&amp;$B120,RawData!$J$2:$J$941,"&lt;"&amp;$C120,RawData!$J$2:$J$941,"&lt;&gt;0")</f>
        <v/>
      </c>
      <c r="E120" s="6">
        <f>IF(Config!$G$5=0,0,IF(ABS(($A120-Config!$F$5)/Config!$G$5)&lt;=2,$D120,0))</f>
        <v/>
      </c>
      <c r="F120" s="6">
        <f>IF(Config!$G$5=0,0,IF(AND(ABS(($A120-Config!$F$5)/Config!$G$5)&gt;2,ABS(($A120-Config!$F$5)/Config!$G$5)&lt;=3),$D120,0))</f>
        <v/>
      </c>
      <c r="G120" s="6">
        <f>IF(Config!$G$5=0,0,IF(ABS(($A120-Config!$F$5)/Config!$G$5)&gt;3,$D120,0))</f>
        <v/>
      </c>
      <c r="H120" s="6">
        <f>IFERROR(NORM.DIST($A120,Config!$F$5,Config!$G$5,FALSE)*Config!$D$5*Config!$J$5,0)</f>
        <v/>
      </c>
    </row>
    <row r="121">
      <c r="A121">
        <f>Config!$K$5+23*Config!$J$5+Config!$J$5/2</f>
        <v/>
      </c>
      <c r="B121">
        <f>$A121-Config!$J$5/2</f>
        <v/>
      </c>
      <c r="C121">
        <f>$A121+Config!$J$5/2</f>
        <v/>
      </c>
      <c r="D121">
        <f>COUNTIFS(RawData!$C$2:$C$941,"LT",RawData!$J$2:$J$941,"&gt;="&amp;$B121,RawData!$J$2:$J$941,"&lt;"&amp;$C121,RawData!$J$2:$J$941,"&lt;&gt;0")</f>
        <v/>
      </c>
      <c r="E121">
        <f>IF(Config!$G$5=0,0,IF(ABS(($A121-Config!$F$5)/Config!$G$5)&lt;=2,$D121,0))</f>
        <v/>
      </c>
      <c r="F121">
        <f>IF(Config!$G$5=0,0,IF(AND(ABS(($A121-Config!$F$5)/Config!$G$5)&gt;2,ABS(($A121-Config!$F$5)/Config!$G$5)&lt;=3),$D121,0))</f>
        <v/>
      </c>
      <c r="G121">
        <f>IF(Config!$G$5=0,0,IF(ABS(($A121-Config!$F$5)/Config!$G$5)&gt;3,$D121,0))</f>
        <v/>
      </c>
      <c r="H121">
        <f>IFERROR(NORM.DIST($A121,Config!$F$5,Config!$G$5,FALSE)*Config!$D$5*Config!$J$5,0)</f>
        <v/>
      </c>
    </row>
    <row r="122">
      <c r="A122" s="6">
        <f>Config!$K$5+24*Config!$J$5+Config!$J$5/2</f>
        <v/>
      </c>
      <c r="B122" s="6">
        <f>$A122-Config!$J$5/2</f>
        <v/>
      </c>
      <c r="C122" s="6">
        <f>$A122+Config!$J$5/2</f>
        <v/>
      </c>
      <c r="D122" s="6">
        <f>COUNTIFS(RawData!$C$2:$C$941,"LT",RawData!$J$2:$J$941,"&gt;="&amp;$B122,RawData!$J$2:$J$941,"&lt;"&amp;$C122,RawData!$J$2:$J$941,"&lt;&gt;0")</f>
        <v/>
      </c>
      <c r="E122" s="6">
        <f>IF(Config!$G$5=0,0,IF(ABS(($A122-Config!$F$5)/Config!$G$5)&lt;=2,$D122,0))</f>
        <v/>
      </c>
      <c r="F122" s="6">
        <f>IF(Config!$G$5=0,0,IF(AND(ABS(($A122-Config!$F$5)/Config!$G$5)&gt;2,ABS(($A122-Config!$F$5)/Config!$G$5)&lt;=3),$D122,0))</f>
        <v/>
      </c>
      <c r="G122" s="6">
        <f>IF(Config!$G$5=0,0,IF(ABS(($A122-Config!$F$5)/Config!$G$5)&gt;3,$D122,0))</f>
        <v/>
      </c>
      <c r="H122" s="6">
        <f>IFERROR(NORM.DIST($A122,Config!$F$5,Config!$G$5,FALSE)*Config!$D$5*Config!$J$5,0)</f>
        <v/>
      </c>
    </row>
    <row r="123">
      <c r="A123">
        <f>Config!$K$5+25*Config!$J$5+Config!$J$5/2</f>
        <v/>
      </c>
      <c r="B123">
        <f>$A123-Config!$J$5/2</f>
        <v/>
      </c>
      <c r="C123">
        <f>$A123+Config!$J$5/2</f>
        <v/>
      </c>
      <c r="D123">
        <f>COUNTIFS(RawData!$C$2:$C$941,"LT",RawData!$J$2:$J$941,"&gt;="&amp;$B123,RawData!$J$2:$J$941,"&lt;"&amp;$C123,RawData!$J$2:$J$941,"&lt;&gt;0")</f>
        <v/>
      </c>
      <c r="E123">
        <f>IF(Config!$G$5=0,0,IF(ABS(($A123-Config!$F$5)/Config!$G$5)&lt;=2,$D123,0))</f>
        <v/>
      </c>
      <c r="F123">
        <f>IF(Config!$G$5=0,0,IF(AND(ABS(($A123-Config!$F$5)/Config!$G$5)&gt;2,ABS(($A123-Config!$F$5)/Config!$G$5)&lt;=3),$D123,0))</f>
        <v/>
      </c>
      <c r="G123">
        <f>IF(Config!$G$5=0,0,IF(ABS(($A123-Config!$F$5)/Config!$G$5)&gt;3,$D123,0))</f>
        <v/>
      </c>
      <c r="H123">
        <f>IFERROR(NORM.DIST($A123,Config!$F$5,Config!$G$5,FALSE)*Config!$D$5*Config!$J$5,0)</f>
        <v/>
      </c>
    </row>
    <row r="124">
      <c r="A124" s="6">
        <f>Config!$K$5+26*Config!$J$5+Config!$J$5/2</f>
        <v/>
      </c>
      <c r="B124" s="6">
        <f>$A124-Config!$J$5/2</f>
        <v/>
      </c>
      <c r="C124" s="6">
        <f>$A124+Config!$J$5/2</f>
        <v/>
      </c>
      <c r="D124" s="6">
        <f>COUNTIFS(RawData!$C$2:$C$941,"LT",RawData!$J$2:$J$941,"&gt;="&amp;$B124,RawData!$J$2:$J$941,"&lt;"&amp;$C124,RawData!$J$2:$J$941,"&lt;&gt;0")</f>
        <v/>
      </c>
      <c r="E124" s="6">
        <f>IF(Config!$G$5=0,0,IF(ABS(($A124-Config!$F$5)/Config!$G$5)&lt;=2,$D124,0))</f>
        <v/>
      </c>
      <c r="F124" s="6">
        <f>IF(Config!$G$5=0,0,IF(AND(ABS(($A124-Config!$F$5)/Config!$G$5)&gt;2,ABS(($A124-Config!$F$5)/Config!$G$5)&lt;=3),$D124,0))</f>
        <v/>
      </c>
      <c r="G124" s="6">
        <f>IF(Config!$G$5=0,0,IF(ABS(($A124-Config!$F$5)/Config!$G$5)&gt;3,$D124,0))</f>
        <v/>
      </c>
      <c r="H124" s="6">
        <f>IFERROR(NORM.DIST($A124,Config!$F$5,Config!$G$5,FALSE)*Config!$D$5*Config!$J$5,0)</f>
        <v/>
      </c>
    </row>
    <row r="125">
      <c r="A125">
        <f>Config!$K$5+27*Config!$J$5+Config!$J$5/2</f>
        <v/>
      </c>
      <c r="B125">
        <f>$A125-Config!$J$5/2</f>
        <v/>
      </c>
      <c r="C125">
        <f>$A125+Config!$J$5/2</f>
        <v/>
      </c>
      <c r="D125">
        <f>COUNTIFS(RawData!$C$2:$C$941,"LT",RawData!$J$2:$J$941,"&gt;="&amp;$B125,RawData!$J$2:$J$941,"&lt;"&amp;$C125,RawData!$J$2:$J$941,"&lt;&gt;0")</f>
        <v/>
      </c>
      <c r="E125">
        <f>IF(Config!$G$5=0,0,IF(ABS(($A125-Config!$F$5)/Config!$G$5)&lt;=2,$D125,0))</f>
        <v/>
      </c>
      <c r="F125">
        <f>IF(Config!$G$5=0,0,IF(AND(ABS(($A125-Config!$F$5)/Config!$G$5)&gt;2,ABS(($A125-Config!$F$5)/Config!$G$5)&lt;=3),$D125,0))</f>
        <v/>
      </c>
      <c r="G125">
        <f>IF(Config!$G$5=0,0,IF(ABS(($A125-Config!$F$5)/Config!$G$5)&gt;3,$D125,0))</f>
        <v/>
      </c>
      <c r="H125">
        <f>IFERROR(NORM.DIST($A125,Config!$F$5,Config!$G$5,FALSE)*Config!$D$5*Config!$J$5,0)</f>
        <v/>
      </c>
    </row>
    <row r="126">
      <c r="A126" s="6">
        <f>Config!$K$5+28*Config!$J$5+Config!$J$5/2</f>
        <v/>
      </c>
      <c r="B126" s="6">
        <f>$A126-Config!$J$5/2</f>
        <v/>
      </c>
      <c r="C126" s="6">
        <f>$A126+Config!$J$5/2</f>
        <v/>
      </c>
      <c r="D126" s="6">
        <f>COUNTIFS(RawData!$C$2:$C$941,"LT",RawData!$J$2:$J$941,"&gt;="&amp;$B126,RawData!$J$2:$J$941,"&lt;"&amp;$C126,RawData!$J$2:$J$941,"&lt;&gt;0")</f>
        <v/>
      </c>
      <c r="E126" s="6">
        <f>IF(Config!$G$5=0,0,IF(ABS(($A126-Config!$F$5)/Config!$G$5)&lt;=2,$D126,0))</f>
        <v/>
      </c>
      <c r="F126" s="6">
        <f>IF(Config!$G$5=0,0,IF(AND(ABS(($A126-Config!$F$5)/Config!$G$5)&gt;2,ABS(($A126-Config!$F$5)/Config!$G$5)&lt;=3),$D126,0))</f>
        <v/>
      </c>
      <c r="G126" s="6">
        <f>IF(Config!$G$5=0,0,IF(ABS(($A126-Config!$F$5)/Config!$G$5)&gt;3,$D126,0))</f>
        <v/>
      </c>
      <c r="H126" s="6">
        <f>IFERROR(NORM.DIST($A126,Config!$F$5,Config!$G$5,FALSE)*Config!$D$5*Config!$J$5,0)</f>
        <v/>
      </c>
    </row>
    <row r="127">
      <c r="A127">
        <f>Config!$K$5+29*Config!$J$5+Config!$J$5/2</f>
        <v/>
      </c>
      <c r="B127">
        <f>$A127-Config!$J$5/2</f>
        <v/>
      </c>
      <c r="C127">
        <f>$A127+Config!$J$5/2</f>
        <v/>
      </c>
      <c r="D127">
        <f>COUNTIFS(RawData!$C$2:$C$941,"LT",RawData!$J$2:$J$941,"&gt;="&amp;$B127,RawData!$J$2:$J$941,"&lt;"&amp;$C127,RawData!$J$2:$J$941,"&lt;&gt;0")</f>
        <v/>
      </c>
      <c r="E127">
        <f>IF(Config!$G$5=0,0,IF(ABS(($A127-Config!$F$5)/Config!$G$5)&lt;=2,$D127,0))</f>
        <v/>
      </c>
      <c r="F127">
        <f>IF(Config!$G$5=0,0,IF(AND(ABS(($A127-Config!$F$5)/Config!$G$5)&gt;2,ABS(($A127-Config!$F$5)/Config!$G$5)&lt;=3),$D127,0))</f>
        <v/>
      </c>
      <c r="G127">
        <f>IF(Config!$G$5=0,0,IF(ABS(($A127-Config!$F$5)/Config!$G$5)&gt;3,$D127,0))</f>
        <v/>
      </c>
      <c r="H127">
        <f>IFERROR(NORM.DIST($A127,Config!$F$5,Config!$G$5,FALSE)*Config!$D$5*Config!$J$5,0)</f>
        <v/>
      </c>
    </row>
    <row r="129">
      <c r="A129" s="5" t="inlineStr">
        <is>
          <t>BinCenter</t>
        </is>
      </c>
      <c r="B129" s="5" t="inlineStr">
        <is>
          <t>BinLo</t>
        </is>
      </c>
      <c r="C129" s="5" t="inlineStr">
        <is>
          <t>BinHi</t>
        </is>
      </c>
      <c r="D129" s="5" t="inlineStr">
        <is>
          <t>TotalCount</t>
        </is>
      </c>
      <c r="E129" s="5" t="inlineStr">
        <is>
          <t>Normal</t>
        </is>
      </c>
      <c r="F129" s="5" t="inlineStr">
        <is>
          <t>Warning(2-3s)</t>
        </is>
      </c>
      <c r="G129" s="5" t="inlineStr">
        <is>
          <t>Outlier(&gt;3s)</t>
        </is>
      </c>
      <c r="H129" s="5" t="inlineStr">
        <is>
          <t>CurveY</t>
        </is>
      </c>
    </row>
    <row r="130">
      <c r="A130" s="6">
        <f>Config!$K$6+0*Config!$J$6+Config!$J$6/2</f>
        <v/>
      </c>
      <c r="B130" s="6">
        <f>$A130-Config!$J$6/2</f>
        <v/>
      </c>
      <c r="C130" s="6">
        <f>$A130+Config!$J$6/2</f>
        <v/>
      </c>
      <c r="D130" s="6">
        <f>COUNTIFS(RawData!$C$2:$C$941,"LT",RawData!$K$2:$K$941,"&gt;="&amp;$B130,RawData!$K$2:$K$941,"&lt;"&amp;$C130,RawData!$K$2:$K$941,"&lt;&gt;0")</f>
        <v/>
      </c>
      <c r="E130" s="6">
        <f>IF(Config!$G$6=0,0,IF(ABS(($A130-Config!$F$6)/Config!$G$6)&lt;=2,$D130,0))</f>
        <v/>
      </c>
      <c r="F130" s="6">
        <f>IF(Config!$G$6=0,0,IF(AND(ABS(($A130-Config!$F$6)/Config!$G$6)&gt;2,ABS(($A130-Config!$F$6)/Config!$G$6)&lt;=3),$D130,0))</f>
        <v/>
      </c>
      <c r="G130" s="6">
        <f>IF(Config!$G$6=0,0,IF(ABS(($A130-Config!$F$6)/Config!$G$6)&gt;3,$D130,0))</f>
        <v/>
      </c>
      <c r="H130" s="6">
        <f>IFERROR(NORM.DIST($A130,Config!$F$6,Config!$G$6,FALSE)*Config!$D$6*Config!$J$6,0)</f>
        <v/>
      </c>
    </row>
    <row r="131">
      <c r="A131">
        <f>Config!$K$6+1*Config!$J$6+Config!$J$6/2</f>
        <v/>
      </c>
      <c r="B131">
        <f>$A131-Config!$J$6/2</f>
        <v/>
      </c>
      <c r="C131">
        <f>$A131+Config!$J$6/2</f>
        <v/>
      </c>
      <c r="D131">
        <f>COUNTIFS(RawData!$C$2:$C$941,"LT",RawData!$K$2:$K$941,"&gt;="&amp;$B131,RawData!$K$2:$K$941,"&lt;"&amp;$C131,RawData!$K$2:$K$941,"&lt;&gt;0")</f>
        <v/>
      </c>
      <c r="E131">
        <f>IF(Config!$G$6=0,0,IF(ABS(($A131-Config!$F$6)/Config!$G$6)&lt;=2,$D131,0))</f>
        <v/>
      </c>
      <c r="F131">
        <f>IF(Config!$G$6=0,0,IF(AND(ABS(($A131-Config!$F$6)/Config!$G$6)&gt;2,ABS(($A131-Config!$F$6)/Config!$G$6)&lt;=3),$D131,0))</f>
        <v/>
      </c>
      <c r="G131">
        <f>IF(Config!$G$6=0,0,IF(ABS(($A131-Config!$F$6)/Config!$G$6)&gt;3,$D131,0))</f>
        <v/>
      </c>
      <c r="H131">
        <f>IFERROR(NORM.DIST($A131,Config!$F$6,Config!$G$6,FALSE)*Config!$D$6*Config!$J$6,0)</f>
        <v/>
      </c>
    </row>
    <row r="132">
      <c r="A132" s="6">
        <f>Config!$K$6+2*Config!$J$6+Config!$J$6/2</f>
        <v/>
      </c>
      <c r="B132" s="6">
        <f>$A132-Config!$J$6/2</f>
        <v/>
      </c>
      <c r="C132" s="6">
        <f>$A132+Config!$J$6/2</f>
        <v/>
      </c>
      <c r="D132" s="6">
        <f>COUNTIFS(RawData!$C$2:$C$941,"LT",RawData!$K$2:$K$941,"&gt;="&amp;$B132,RawData!$K$2:$K$941,"&lt;"&amp;$C132,RawData!$K$2:$K$941,"&lt;&gt;0")</f>
        <v/>
      </c>
      <c r="E132" s="6">
        <f>IF(Config!$G$6=0,0,IF(ABS(($A132-Config!$F$6)/Config!$G$6)&lt;=2,$D132,0))</f>
        <v/>
      </c>
      <c r="F132" s="6">
        <f>IF(Config!$G$6=0,0,IF(AND(ABS(($A132-Config!$F$6)/Config!$G$6)&gt;2,ABS(($A132-Config!$F$6)/Config!$G$6)&lt;=3),$D132,0))</f>
        <v/>
      </c>
      <c r="G132" s="6">
        <f>IF(Config!$G$6=0,0,IF(ABS(($A132-Config!$F$6)/Config!$G$6)&gt;3,$D132,0))</f>
        <v/>
      </c>
      <c r="H132" s="6">
        <f>IFERROR(NORM.DIST($A132,Config!$F$6,Config!$G$6,FALSE)*Config!$D$6*Config!$J$6,0)</f>
        <v/>
      </c>
    </row>
    <row r="133">
      <c r="A133">
        <f>Config!$K$6+3*Config!$J$6+Config!$J$6/2</f>
        <v/>
      </c>
      <c r="B133">
        <f>$A133-Config!$J$6/2</f>
        <v/>
      </c>
      <c r="C133">
        <f>$A133+Config!$J$6/2</f>
        <v/>
      </c>
      <c r="D133">
        <f>COUNTIFS(RawData!$C$2:$C$941,"LT",RawData!$K$2:$K$941,"&gt;="&amp;$B133,RawData!$K$2:$K$941,"&lt;"&amp;$C133,RawData!$K$2:$K$941,"&lt;&gt;0")</f>
        <v/>
      </c>
      <c r="E133">
        <f>IF(Config!$G$6=0,0,IF(ABS(($A133-Config!$F$6)/Config!$G$6)&lt;=2,$D133,0))</f>
        <v/>
      </c>
      <c r="F133">
        <f>IF(Config!$G$6=0,0,IF(AND(ABS(($A133-Config!$F$6)/Config!$G$6)&gt;2,ABS(($A133-Config!$F$6)/Config!$G$6)&lt;=3),$D133,0))</f>
        <v/>
      </c>
      <c r="G133">
        <f>IF(Config!$G$6=0,0,IF(ABS(($A133-Config!$F$6)/Config!$G$6)&gt;3,$D133,0))</f>
        <v/>
      </c>
      <c r="H133">
        <f>IFERROR(NORM.DIST($A133,Config!$F$6,Config!$G$6,FALSE)*Config!$D$6*Config!$J$6,0)</f>
        <v/>
      </c>
    </row>
    <row r="134">
      <c r="A134" s="6">
        <f>Config!$K$6+4*Config!$J$6+Config!$J$6/2</f>
        <v/>
      </c>
      <c r="B134" s="6">
        <f>$A134-Config!$J$6/2</f>
        <v/>
      </c>
      <c r="C134" s="6">
        <f>$A134+Config!$J$6/2</f>
        <v/>
      </c>
      <c r="D134" s="6">
        <f>COUNTIFS(RawData!$C$2:$C$941,"LT",RawData!$K$2:$K$941,"&gt;="&amp;$B134,RawData!$K$2:$K$941,"&lt;"&amp;$C134,RawData!$K$2:$K$941,"&lt;&gt;0")</f>
        <v/>
      </c>
      <c r="E134" s="6">
        <f>IF(Config!$G$6=0,0,IF(ABS(($A134-Config!$F$6)/Config!$G$6)&lt;=2,$D134,0))</f>
        <v/>
      </c>
      <c r="F134" s="6">
        <f>IF(Config!$G$6=0,0,IF(AND(ABS(($A134-Config!$F$6)/Config!$G$6)&gt;2,ABS(($A134-Config!$F$6)/Config!$G$6)&lt;=3),$D134,0))</f>
        <v/>
      </c>
      <c r="G134" s="6">
        <f>IF(Config!$G$6=0,0,IF(ABS(($A134-Config!$F$6)/Config!$G$6)&gt;3,$D134,0))</f>
        <v/>
      </c>
      <c r="H134" s="6">
        <f>IFERROR(NORM.DIST($A134,Config!$F$6,Config!$G$6,FALSE)*Config!$D$6*Config!$J$6,0)</f>
        <v/>
      </c>
    </row>
    <row r="135">
      <c r="A135">
        <f>Config!$K$6+5*Config!$J$6+Config!$J$6/2</f>
        <v/>
      </c>
      <c r="B135">
        <f>$A135-Config!$J$6/2</f>
        <v/>
      </c>
      <c r="C135">
        <f>$A135+Config!$J$6/2</f>
        <v/>
      </c>
      <c r="D135">
        <f>COUNTIFS(RawData!$C$2:$C$941,"LT",RawData!$K$2:$K$941,"&gt;="&amp;$B135,RawData!$K$2:$K$941,"&lt;"&amp;$C135,RawData!$K$2:$K$941,"&lt;&gt;0")</f>
        <v/>
      </c>
      <c r="E135">
        <f>IF(Config!$G$6=0,0,IF(ABS(($A135-Config!$F$6)/Config!$G$6)&lt;=2,$D135,0))</f>
        <v/>
      </c>
      <c r="F135">
        <f>IF(Config!$G$6=0,0,IF(AND(ABS(($A135-Config!$F$6)/Config!$G$6)&gt;2,ABS(($A135-Config!$F$6)/Config!$G$6)&lt;=3),$D135,0))</f>
        <v/>
      </c>
      <c r="G135">
        <f>IF(Config!$G$6=0,0,IF(ABS(($A135-Config!$F$6)/Config!$G$6)&gt;3,$D135,0))</f>
        <v/>
      </c>
      <c r="H135">
        <f>IFERROR(NORM.DIST($A135,Config!$F$6,Config!$G$6,FALSE)*Config!$D$6*Config!$J$6,0)</f>
        <v/>
      </c>
    </row>
    <row r="136">
      <c r="A136" s="6">
        <f>Config!$K$6+6*Config!$J$6+Config!$J$6/2</f>
        <v/>
      </c>
      <c r="B136" s="6">
        <f>$A136-Config!$J$6/2</f>
        <v/>
      </c>
      <c r="C136" s="6">
        <f>$A136+Config!$J$6/2</f>
        <v/>
      </c>
      <c r="D136" s="6">
        <f>COUNTIFS(RawData!$C$2:$C$941,"LT",RawData!$K$2:$K$941,"&gt;="&amp;$B136,RawData!$K$2:$K$941,"&lt;"&amp;$C136,RawData!$K$2:$K$941,"&lt;&gt;0")</f>
        <v/>
      </c>
      <c r="E136" s="6">
        <f>IF(Config!$G$6=0,0,IF(ABS(($A136-Config!$F$6)/Config!$G$6)&lt;=2,$D136,0))</f>
        <v/>
      </c>
      <c r="F136" s="6">
        <f>IF(Config!$G$6=0,0,IF(AND(ABS(($A136-Config!$F$6)/Config!$G$6)&gt;2,ABS(($A136-Config!$F$6)/Config!$G$6)&lt;=3),$D136,0))</f>
        <v/>
      </c>
      <c r="G136" s="6">
        <f>IF(Config!$G$6=0,0,IF(ABS(($A136-Config!$F$6)/Config!$G$6)&gt;3,$D136,0))</f>
        <v/>
      </c>
      <c r="H136" s="6">
        <f>IFERROR(NORM.DIST($A136,Config!$F$6,Config!$G$6,FALSE)*Config!$D$6*Config!$J$6,0)</f>
        <v/>
      </c>
    </row>
    <row r="137">
      <c r="A137">
        <f>Config!$K$6+7*Config!$J$6+Config!$J$6/2</f>
        <v/>
      </c>
      <c r="B137">
        <f>$A137-Config!$J$6/2</f>
        <v/>
      </c>
      <c r="C137">
        <f>$A137+Config!$J$6/2</f>
        <v/>
      </c>
      <c r="D137">
        <f>COUNTIFS(RawData!$C$2:$C$941,"LT",RawData!$K$2:$K$941,"&gt;="&amp;$B137,RawData!$K$2:$K$941,"&lt;"&amp;$C137,RawData!$K$2:$K$941,"&lt;&gt;0")</f>
        <v/>
      </c>
      <c r="E137">
        <f>IF(Config!$G$6=0,0,IF(ABS(($A137-Config!$F$6)/Config!$G$6)&lt;=2,$D137,0))</f>
        <v/>
      </c>
      <c r="F137">
        <f>IF(Config!$G$6=0,0,IF(AND(ABS(($A137-Config!$F$6)/Config!$G$6)&gt;2,ABS(($A137-Config!$F$6)/Config!$G$6)&lt;=3),$D137,0))</f>
        <v/>
      </c>
      <c r="G137">
        <f>IF(Config!$G$6=0,0,IF(ABS(($A137-Config!$F$6)/Config!$G$6)&gt;3,$D137,0))</f>
        <v/>
      </c>
      <c r="H137">
        <f>IFERROR(NORM.DIST($A137,Config!$F$6,Config!$G$6,FALSE)*Config!$D$6*Config!$J$6,0)</f>
        <v/>
      </c>
    </row>
    <row r="138">
      <c r="A138" s="6">
        <f>Config!$K$6+8*Config!$J$6+Config!$J$6/2</f>
        <v/>
      </c>
      <c r="B138" s="6">
        <f>$A138-Config!$J$6/2</f>
        <v/>
      </c>
      <c r="C138" s="6">
        <f>$A138+Config!$J$6/2</f>
        <v/>
      </c>
      <c r="D138" s="6">
        <f>COUNTIFS(RawData!$C$2:$C$941,"LT",RawData!$K$2:$K$941,"&gt;="&amp;$B138,RawData!$K$2:$K$941,"&lt;"&amp;$C138,RawData!$K$2:$K$941,"&lt;&gt;0")</f>
        <v/>
      </c>
      <c r="E138" s="6">
        <f>IF(Config!$G$6=0,0,IF(ABS(($A138-Config!$F$6)/Config!$G$6)&lt;=2,$D138,0))</f>
        <v/>
      </c>
      <c r="F138" s="6">
        <f>IF(Config!$G$6=0,0,IF(AND(ABS(($A138-Config!$F$6)/Config!$G$6)&gt;2,ABS(($A138-Config!$F$6)/Config!$G$6)&lt;=3),$D138,0))</f>
        <v/>
      </c>
      <c r="G138" s="6">
        <f>IF(Config!$G$6=0,0,IF(ABS(($A138-Config!$F$6)/Config!$G$6)&gt;3,$D138,0))</f>
        <v/>
      </c>
      <c r="H138" s="6">
        <f>IFERROR(NORM.DIST($A138,Config!$F$6,Config!$G$6,FALSE)*Config!$D$6*Config!$J$6,0)</f>
        <v/>
      </c>
    </row>
    <row r="139">
      <c r="A139">
        <f>Config!$K$6+9*Config!$J$6+Config!$J$6/2</f>
        <v/>
      </c>
      <c r="B139">
        <f>$A139-Config!$J$6/2</f>
        <v/>
      </c>
      <c r="C139">
        <f>$A139+Config!$J$6/2</f>
        <v/>
      </c>
      <c r="D139">
        <f>COUNTIFS(RawData!$C$2:$C$941,"LT",RawData!$K$2:$K$941,"&gt;="&amp;$B139,RawData!$K$2:$K$941,"&lt;"&amp;$C139,RawData!$K$2:$K$941,"&lt;&gt;0")</f>
        <v/>
      </c>
      <c r="E139">
        <f>IF(Config!$G$6=0,0,IF(ABS(($A139-Config!$F$6)/Config!$G$6)&lt;=2,$D139,0))</f>
        <v/>
      </c>
      <c r="F139">
        <f>IF(Config!$G$6=0,0,IF(AND(ABS(($A139-Config!$F$6)/Config!$G$6)&gt;2,ABS(($A139-Config!$F$6)/Config!$G$6)&lt;=3),$D139,0))</f>
        <v/>
      </c>
      <c r="G139">
        <f>IF(Config!$G$6=0,0,IF(ABS(($A139-Config!$F$6)/Config!$G$6)&gt;3,$D139,0))</f>
        <v/>
      </c>
      <c r="H139">
        <f>IFERROR(NORM.DIST($A139,Config!$F$6,Config!$G$6,FALSE)*Config!$D$6*Config!$J$6,0)</f>
        <v/>
      </c>
    </row>
    <row r="140">
      <c r="A140" s="6">
        <f>Config!$K$6+10*Config!$J$6+Config!$J$6/2</f>
        <v/>
      </c>
      <c r="B140" s="6">
        <f>$A140-Config!$J$6/2</f>
        <v/>
      </c>
      <c r="C140" s="6">
        <f>$A140+Config!$J$6/2</f>
        <v/>
      </c>
      <c r="D140" s="6">
        <f>COUNTIFS(RawData!$C$2:$C$941,"LT",RawData!$K$2:$K$941,"&gt;="&amp;$B140,RawData!$K$2:$K$941,"&lt;"&amp;$C140,RawData!$K$2:$K$941,"&lt;&gt;0")</f>
        <v/>
      </c>
      <c r="E140" s="6">
        <f>IF(Config!$G$6=0,0,IF(ABS(($A140-Config!$F$6)/Config!$G$6)&lt;=2,$D140,0))</f>
        <v/>
      </c>
      <c r="F140" s="6">
        <f>IF(Config!$G$6=0,0,IF(AND(ABS(($A140-Config!$F$6)/Config!$G$6)&gt;2,ABS(($A140-Config!$F$6)/Config!$G$6)&lt;=3),$D140,0))</f>
        <v/>
      </c>
      <c r="G140" s="6">
        <f>IF(Config!$G$6=0,0,IF(ABS(($A140-Config!$F$6)/Config!$G$6)&gt;3,$D140,0))</f>
        <v/>
      </c>
      <c r="H140" s="6">
        <f>IFERROR(NORM.DIST($A140,Config!$F$6,Config!$G$6,FALSE)*Config!$D$6*Config!$J$6,0)</f>
        <v/>
      </c>
    </row>
    <row r="141">
      <c r="A141">
        <f>Config!$K$6+11*Config!$J$6+Config!$J$6/2</f>
        <v/>
      </c>
      <c r="B141">
        <f>$A141-Config!$J$6/2</f>
        <v/>
      </c>
      <c r="C141">
        <f>$A141+Config!$J$6/2</f>
        <v/>
      </c>
      <c r="D141">
        <f>COUNTIFS(RawData!$C$2:$C$941,"LT",RawData!$K$2:$K$941,"&gt;="&amp;$B141,RawData!$K$2:$K$941,"&lt;"&amp;$C141,RawData!$K$2:$K$941,"&lt;&gt;0")</f>
        <v/>
      </c>
      <c r="E141">
        <f>IF(Config!$G$6=0,0,IF(ABS(($A141-Config!$F$6)/Config!$G$6)&lt;=2,$D141,0))</f>
        <v/>
      </c>
      <c r="F141">
        <f>IF(Config!$G$6=0,0,IF(AND(ABS(($A141-Config!$F$6)/Config!$G$6)&gt;2,ABS(($A141-Config!$F$6)/Config!$G$6)&lt;=3),$D141,0))</f>
        <v/>
      </c>
      <c r="G141">
        <f>IF(Config!$G$6=0,0,IF(ABS(($A141-Config!$F$6)/Config!$G$6)&gt;3,$D141,0))</f>
        <v/>
      </c>
      <c r="H141">
        <f>IFERROR(NORM.DIST($A141,Config!$F$6,Config!$G$6,FALSE)*Config!$D$6*Config!$J$6,0)</f>
        <v/>
      </c>
    </row>
    <row r="142">
      <c r="A142" s="6">
        <f>Config!$K$6+12*Config!$J$6+Config!$J$6/2</f>
        <v/>
      </c>
      <c r="B142" s="6">
        <f>$A142-Config!$J$6/2</f>
        <v/>
      </c>
      <c r="C142" s="6">
        <f>$A142+Config!$J$6/2</f>
        <v/>
      </c>
      <c r="D142" s="6">
        <f>COUNTIFS(RawData!$C$2:$C$941,"LT",RawData!$K$2:$K$941,"&gt;="&amp;$B142,RawData!$K$2:$K$941,"&lt;"&amp;$C142,RawData!$K$2:$K$941,"&lt;&gt;0")</f>
        <v/>
      </c>
      <c r="E142" s="6">
        <f>IF(Config!$G$6=0,0,IF(ABS(($A142-Config!$F$6)/Config!$G$6)&lt;=2,$D142,0))</f>
        <v/>
      </c>
      <c r="F142" s="6">
        <f>IF(Config!$G$6=0,0,IF(AND(ABS(($A142-Config!$F$6)/Config!$G$6)&gt;2,ABS(($A142-Config!$F$6)/Config!$G$6)&lt;=3),$D142,0))</f>
        <v/>
      </c>
      <c r="G142" s="6">
        <f>IF(Config!$G$6=0,0,IF(ABS(($A142-Config!$F$6)/Config!$G$6)&gt;3,$D142,0))</f>
        <v/>
      </c>
      <c r="H142" s="6">
        <f>IFERROR(NORM.DIST($A142,Config!$F$6,Config!$G$6,FALSE)*Config!$D$6*Config!$J$6,0)</f>
        <v/>
      </c>
    </row>
    <row r="143">
      <c r="A143">
        <f>Config!$K$6+13*Config!$J$6+Config!$J$6/2</f>
        <v/>
      </c>
      <c r="B143">
        <f>$A143-Config!$J$6/2</f>
        <v/>
      </c>
      <c r="C143">
        <f>$A143+Config!$J$6/2</f>
        <v/>
      </c>
      <c r="D143">
        <f>COUNTIFS(RawData!$C$2:$C$941,"LT",RawData!$K$2:$K$941,"&gt;="&amp;$B143,RawData!$K$2:$K$941,"&lt;"&amp;$C143,RawData!$K$2:$K$941,"&lt;&gt;0")</f>
        <v/>
      </c>
      <c r="E143">
        <f>IF(Config!$G$6=0,0,IF(ABS(($A143-Config!$F$6)/Config!$G$6)&lt;=2,$D143,0))</f>
        <v/>
      </c>
      <c r="F143">
        <f>IF(Config!$G$6=0,0,IF(AND(ABS(($A143-Config!$F$6)/Config!$G$6)&gt;2,ABS(($A143-Config!$F$6)/Config!$G$6)&lt;=3),$D143,0))</f>
        <v/>
      </c>
      <c r="G143">
        <f>IF(Config!$G$6=0,0,IF(ABS(($A143-Config!$F$6)/Config!$G$6)&gt;3,$D143,0))</f>
        <v/>
      </c>
      <c r="H143">
        <f>IFERROR(NORM.DIST($A143,Config!$F$6,Config!$G$6,FALSE)*Config!$D$6*Config!$J$6,0)</f>
        <v/>
      </c>
    </row>
    <row r="144">
      <c r="A144" s="6">
        <f>Config!$K$6+14*Config!$J$6+Config!$J$6/2</f>
        <v/>
      </c>
      <c r="B144" s="6">
        <f>$A144-Config!$J$6/2</f>
        <v/>
      </c>
      <c r="C144" s="6">
        <f>$A144+Config!$J$6/2</f>
        <v/>
      </c>
      <c r="D144" s="6">
        <f>COUNTIFS(RawData!$C$2:$C$941,"LT",RawData!$K$2:$K$941,"&gt;="&amp;$B144,RawData!$K$2:$K$941,"&lt;"&amp;$C144,RawData!$K$2:$K$941,"&lt;&gt;0")</f>
        <v/>
      </c>
      <c r="E144" s="6">
        <f>IF(Config!$G$6=0,0,IF(ABS(($A144-Config!$F$6)/Config!$G$6)&lt;=2,$D144,0))</f>
        <v/>
      </c>
      <c r="F144" s="6">
        <f>IF(Config!$G$6=0,0,IF(AND(ABS(($A144-Config!$F$6)/Config!$G$6)&gt;2,ABS(($A144-Config!$F$6)/Config!$G$6)&lt;=3),$D144,0))</f>
        <v/>
      </c>
      <c r="G144" s="6">
        <f>IF(Config!$G$6=0,0,IF(ABS(($A144-Config!$F$6)/Config!$G$6)&gt;3,$D144,0))</f>
        <v/>
      </c>
      <c r="H144" s="6">
        <f>IFERROR(NORM.DIST($A144,Config!$F$6,Config!$G$6,FALSE)*Config!$D$6*Config!$J$6,0)</f>
        <v/>
      </c>
    </row>
    <row r="145">
      <c r="A145">
        <f>Config!$K$6+15*Config!$J$6+Config!$J$6/2</f>
        <v/>
      </c>
      <c r="B145">
        <f>$A145-Config!$J$6/2</f>
        <v/>
      </c>
      <c r="C145">
        <f>$A145+Config!$J$6/2</f>
        <v/>
      </c>
      <c r="D145">
        <f>COUNTIFS(RawData!$C$2:$C$941,"LT",RawData!$K$2:$K$941,"&gt;="&amp;$B145,RawData!$K$2:$K$941,"&lt;"&amp;$C145,RawData!$K$2:$K$941,"&lt;&gt;0")</f>
        <v/>
      </c>
      <c r="E145">
        <f>IF(Config!$G$6=0,0,IF(ABS(($A145-Config!$F$6)/Config!$G$6)&lt;=2,$D145,0))</f>
        <v/>
      </c>
      <c r="F145">
        <f>IF(Config!$G$6=0,0,IF(AND(ABS(($A145-Config!$F$6)/Config!$G$6)&gt;2,ABS(($A145-Config!$F$6)/Config!$G$6)&lt;=3),$D145,0))</f>
        <v/>
      </c>
      <c r="G145">
        <f>IF(Config!$G$6=0,0,IF(ABS(($A145-Config!$F$6)/Config!$G$6)&gt;3,$D145,0))</f>
        <v/>
      </c>
      <c r="H145">
        <f>IFERROR(NORM.DIST($A145,Config!$F$6,Config!$G$6,FALSE)*Config!$D$6*Config!$J$6,0)</f>
        <v/>
      </c>
    </row>
    <row r="146">
      <c r="A146" s="6">
        <f>Config!$K$6+16*Config!$J$6+Config!$J$6/2</f>
        <v/>
      </c>
      <c r="B146" s="6">
        <f>$A146-Config!$J$6/2</f>
        <v/>
      </c>
      <c r="C146" s="6">
        <f>$A146+Config!$J$6/2</f>
        <v/>
      </c>
      <c r="D146" s="6">
        <f>COUNTIFS(RawData!$C$2:$C$941,"LT",RawData!$K$2:$K$941,"&gt;="&amp;$B146,RawData!$K$2:$K$941,"&lt;"&amp;$C146,RawData!$K$2:$K$941,"&lt;&gt;0")</f>
        <v/>
      </c>
      <c r="E146" s="6">
        <f>IF(Config!$G$6=0,0,IF(ABS(($A146-Config!$F$6)/Config!$G$6)&lt;=2,$D146,0))</f>
        <v/>
      </c>
      <c r="F146" s="6">
        <f>IF(Config!$G$6=0,0,IF(AND(ABS(($A146-Config!$F$6)/Config!$G$6)&gt;2,ABS(($A146-Config!$F$6)/Config!$G$6)&lt;=3),$D146,0))</f>
        <v/>
      </c>
      <c r="G146" s="6">
        <f>IF(Config!$G$6=0,0,IF(ABS(($A146-Config!$F$6)/Config!$G$6)&gt;3,$D146,0))</f>
        <v/>
      </c>
      <c r="H146" s="6">
        <f>IFERROR(NORM.DIST($A146,Config!$F$6,Config!$G$6,FALSE)*Config!$D$6*Config!$J$6,0)</f>
        <v/>
      </c>
    </row>
    <row r="147">
      <c r="A147">
        <f>Config!$K$6+17*Config!$J$6+Config!$J$6/2</f>
        <v/>
      </c>
      <c r="B147">
        <f>$A147-Config!$J$6/2</f>
        <v/>
      </c>
      <c r="C147">
        <f>$A147+Config!$J$6/2</f>
        <v/>
      </c>
      <c r="D147">
        <f>COUNTIFS(RawData!$C$2:$C$941,"LT",RawData!$K$2:$K$941,"&gt;="&amp;$B147,RawData!$K$2:$K$941,"&lt;"&amp;$C147,RawData!$K$2:$K$941,"&lt;&gt;0")</f>
        <v/>
      </c>
      <c r="E147">
        <f>IF(Config!$G$6=0,0,IF(ABS(($A147-Config!$F$6)/Config!$G$6)&lt;=2,$D147,0))</f>
        <v/>
      </c>
      <c r="F147">
        <f>IF(Config!$G$6=0,0,IF(AND(ABS(($A147-Config!$F$6)/Config!$G$6)&gt;2,ABS(($A147-Config!$F$6)/Config!$G$6)&lt;=3),$D147,0))</f>
        <v/>
      </c>
      <c r="G147">
        <f>IF(Config!$G$6=0,0,IF(ABS(($A147-Config!$F$6)/Config!$G$6)&gt;3,$D147,0))</f>
        <v/>
      </c>
      <c r="H147">
        <f>IFERROR(NORM.DIST($A147,Config!$F$6,Config!$G$6,FALSE)*Config!$D$6*Config!$J$6,0)</f>
        <v/>
      </c>
    </row>
    <row r="148">
      <c r="A148" s="6">
        <f>Config!$K$6+18*Config!$J$6+Config!$J$6/2</f>
        <v/>
      </c>
      <c r="B148" s="6">
        <f>$A148-Config!$J$6/2</f>
        <v/>
      </c>
      <c r="C148" s="6">
        <f>$A148+Config!$J$6/2</f>
        <v/>
      </c>
      <c r="D148" s="6">
        <f>COUNTIFS(RawData!$C$2:$C$941,"LT",RawData!$K$2:$K$941,"&gt;="&amp;$B148,RawData!$K$2:$K$941,"&lt;"&amp;$C148,RawData!$K$2:$K$941,"&lt;&gt;0")</f>
        <v/>
      </c>
      <c r="E148" s="6">
        <f>IF(Config!$G$6=0,0,IF(ABS(($A148-Config!$F$6)/Config!$G$6)&lt;=2,$D148,0))</f>
        <v/>
      </c>
      <c r="F148" s="6">
        <f>IF(Config!$G$6=0,0,IF(AND(ABS(($A148-Config!$F$6)/Config!$G$6)&gt;2,ABS(($A148-Config!$F$6)/Config!$G$6)&lt;=3),$D148,0))</f>
        <v/>
      </c>
      <c r="G148" s="6">
        <f>IF(Config!$G$6=0,0,IF(ABS(($A148-Config!$F$6)/Config!$G$6)&gt;3,$D148,0))</f>
        <v/>
      </c>
      <c r="H148" s="6">
        <f>IFERROR(NORM.DIST($A148,Config!$F$6,Config!$G$6,FALSE)*Config!$D$6*Config!$J$6,0)</f>
        <v/>
      </c>
    </row>
    <row r="149">
      <c r="A149">
        <f>Config!$K$6+19*Config!$J$6+Config!$J$6/2</f>
        <v/>
      </c>
      <c r="B149">
        <f>$A149-Config!$J$6/2</f>
        <v/>
      </c>
      <c r="C149">
        <f>$A149+Config!$J$6/2</f>
        <v/>
      </c>
      <c r="D149">
        <f>COUNTIFS(RawData!$C$2:$C$941,"LT",RawData!$K$2:$K$941,"&gt;="&amp;$B149,RawData!$K$2:$K$941,"&lt;"&amp;$C149,RawData!$K$2:$K$941,"&lt;&gt;0")</f>
        <v/>
      </c>
      <c r="E149">
        <f>IF(Config!$G$6=0,0,IF(ABS(($A149-Config!$F$6)/Config!$G$6)&lt;=2,$D149,0))</f>
        <v/>
      </c>
      <c r="F149">
        <f>IF(Config!$G$6=0,0,IF(AND(ABS(($A149-Config!$F$6)/Config!$G$6)&gt;2,ABS(($A149-Config!$F$6)/Config!$G$6)&lt;=3),$D149,0))</f>
        <v/>
      </c>
      <c r="G149">
        <f>IF(Config!$G$6=0,0,IF(ABS(($A149-Config!$F$6)/Config!$G$6)&gt;3,$D149,0))</f>
        <v/>
      </c>
      <c r="H149">
        <f>IFERROR(NORM.DIST($A149,Config!$F$6,Config!$G$6,FALSE)*Config!$D$6*Config!$J$6,0)</f>
        <v/>
      </c>
    </row>
    <row r="150">
      <c r="A150" s="6">
        <f>Config!$K$6+20*Config!$J$6+Config!$J$6/2</f>
        <v/>
      </c>
      <c r="B150" s="6">
        <f>$A150-Config!$J$6/2</f>
        <v/>
      </c>
      <c r="C150" s="6">
        <f>$A150+Config!$J$6/2</f>
        <v/>
      </c>
      <c r="D150" s="6">
        <f>COUNTIFS(RawData!$C$2:$C$941,"LT",RawData!$K$2:$K$941,"&gt;="&amp;$B150,RawData!$K$2:$K$941,"&lt;"&amp;$C150,RawData!$K$2:$K$941,"&lt;&gt;0")</f>
        <v/>
      </c>
      <c r="E150" s="6">
        <f>IF(Config!$G$6=0,0,IF(ABS(($A150-Config!$F$6)/Config!$G$6)&lt;=2,$D150,0))</f>
        <v/>
      </c>
      <c r="F150" s="6">
        <f>IF(Config!$G$6=0,0,IF(AND(ABS(($A150-Config!$F$6)/Config!$G$6)&gt;2,ABS(($A150-Config!$F$6)/Config!$G$6)&lt;=3),$D150,0))</f>
        <v/>
      </c>
      <c r="G150" s="6">
        <f>IF(Config!$G$6=0,0,IF(ABS(($A150-Config!$F$6)/Config!$G$6)&gt;3,$D150,0))</f>
        <v/>
      </c>
      <c r="H150" s="6">
        <f>IFERROR(NORM.DIST($A150,Config!$F$6,Config!$G$6,FALSE)*Config!$D$6*Config!$J$6,0)</f>
        <v/>
      </c>
    </row>
    <row r="151">
      <c r="A151">
        <f>Config!$K$6+21*Config!$J$6+Config!$J$6/2</f>
        <v/>
      </c>
      <c r="B151">
        <f>$A151-Config!$J$6/2</f>
        <v/>
      </c>
      <c r="C151">
        <f>$A151+Config!$J$6/2</f>
        <v/>
      </c>
      <c r="D151">
        <f>COUNTIFS(RawData!$C$2:$C$941,"LT",RawData!$K$2:$K$941,"&gt;="&amp;$B151,RawData!$K$2:$K$941,"&lt;"&amp;$C151,RawData!$K$2:$K$941,"&lt;&gt;0")</f>
        <v/>
      </c>
      <c r="E151">
        <f>IF(Config!$G$6=0,0,IF(ABS(($A151-Config!$F$6)/Config!$G$6)&lt;=2,$D151,0))</f>
        <v/>
      </c>
      <c r="F151">
        <f>IF(Config!$G$6=0,0,IF(AND(ABS(($A151-Config!$F$6)/Config!$G$6)&gt;2,ABS(($A151-Config!$F$6)/Config!$G$6)&lt;=3),$D151,0))</f>
        <v/>
      </c>
      <c r="G151">
        <f>IF(Config!$G$6=0,0,IF(ABS(($A151-Config!$F$6)/Config!$G$6)&gt;3,$D151,0))</f>
        <v/>
      </c>
      <c r="H151">
        <f>IFERROR(NORM.DIST($A151,Config!$F$6,Config!$G$6,FALSE)*Config!$D$6*Config!$J$6,0)</f>
        <v/>
      </c>
    </row>
    <row r="152">
      <c r="A152" s="6">
        <f>Config!$K$6+22*Config!$J$6+Config!$J$6/2</f>
        <v/>
      </c>
      <c r="B152" s="6">
        <f>$A152-Config!$J$6/2</f>
        <v/>
      </c>
      <c r="C152" s="6">
        <f>$A152+Config!$J$6/2</f>
        <v/>
      </c>
      <c r="D152" s="6">
        <f>COUNTIFS(RawData!$C$2:$C$941,"LT",RawData!$K$2:$K$941,"&gt;="&amp;$B152,RawData!$K$2:$K$941,"&lt;"&amp;$C152,RawData!$K$2:$K$941,"&lt;&gt;0")</f>
        <v/>
      </c>
      <c r="E152" s="6">
        <f>IF(Config!$G$6=0,0,IF(ABS(($A152-Config!$F$6)/Config!$G$6)&lt;=2,$D152,0))</f>
        <v/>
      </c>
      <c r="F152" s="6">
        <f>IF(Config!$G$6=0,0,IF(AND(ABS(($A152-Config!$F$6)/Config!$G$6)&gt;2,ABS(($A152-Config!$F$6)/Config!$G$6)&lt;=3),$D152,0))</f>
        <v/>
      </c>
      <c r="G152" s="6">
        <f>IF(Config!$G$6=0,0,IF(ABS(($A152-Config!$F$6)/Config!$G$6)&gt;3,$D152,0))</f>
        <v/>
      </c>
      <c r="H152" s="6">
        <f>IFERROR(NORM.DIST($A152,Config!$F$6,Config!$G$6,FALSE)*Config!$D$6*Config!$J$6,0)</f>
        <v/>
      </c>
    </row>
    <row r="153">
      <c r="A153">
        <f>Config!$K$6+23*Config!$J$6+Config!$J$6/2</f>
        <v/>
      </c>
      <c r="B153">
        <f>$A153-Config!$J$6/2</f>
        <v/>
      </c>
      <c r="C153">
        <f>$A153+Config!$J$6/2</f>
        <v/>
      </c>
      <c r="D153">
        <f>COUNTIFS(RawData!$C$2:$C$941,"LT",RawData!$K$2:$K$941,"&gt;="&amp;$B153,RawData!$K$2:$K$941,"&lt;"&amp;$C153,RawData!$K$2:$K$941,"&lt;&gt;0")</f>
        <v/>
      </c>
      <c r="E153">
        <f>IF(Config!$G$6=0,0,IF(ABS(($A153-Config!$F$6)/Config!$G$6)&lt;=2,$D153,0))</f>
        <v/>
      </c>
      <c r="F153">
        <f>IF(Config!$G$6=0,0,IF(AND(ABS(($A153-Config!$F$6)/Config!$G$6)&gt;2,ABS(($A153-Config!$F$6)/Config!$G$6)&lt;=3),$D153,0))</f>
        <v/>
      </c>
      <c r="G153">
        <f>IF(Config!$G$6=0,0,IF(ABS(($A153-Config!$F$6)/Config!$G$6)&gt;3,$D153,0))</f>
        <v/>
      </c>
      <c r="H153">
        <f>IFERROR(NORM.DIST($A153,Config!$F$6,Config!$G$6,FALSE)*Config!$D$6*Config!$J$6,0)</f>
        <v/>
      </c>
    </row>
    <row r="154">
      <c r="A154" s="6">
        <f>Config!$K$6+24*Config!$J$6+Config!$J$6/2</f>
        <v/>
      </c>
      <c r="B154" s="6">
        <f>$A154-Config!$J$6/2</f>
        <v/>
      </c>
      <c r="C154" s="6">
        <f>$A154+Config!$J$6/2</f>
        <v/>
      </c>
      <c r="D154" s="6">
        <f>COUNTIFS(RawData!$C$2:$C$941,"LT",RawData!$K$2:$K$941,"&gt;="&amp;$B154,RawData!$K$2:$K$941,"&lt;"&amp;$C154,RawData!$K$2:$K$941,"&lt;&gt;0")</f>
        <v/>
      </c>
      <c r="E154" s="6">
        <f>IF(Config!$G$6=0,0,IF(ABS(($A154-Config!$F$6)/Config!$G$6)&lt;=2,$D154,0))</f>
        <v/>
      </c>
      <c r="F154" s="6">
        <f>IF(Config!$G$6=0,0,IF(AND(ABS(($A154-Config!$F$6)/Config!$G$6)&gt;2,ABS(($A154-Config!$F$6)/Config!$G$6)&lt;=3),$D154,0))</f>
        <v/>
      </c>
      <c r="G154" s="6">
        <f>IF(Config!$G$6=0,0,IF(ABS(($A154-Config!$F$6)/Config!$G$6)&gt;3,$D154,0))</f>
        <v/>
      </c>
      <c r="H154" s="6">
        <f>IFERROR(NORM.DIST($A154,Config!$F$6,Config!$G$6,FALSE)*Config!$D$6*Config!$J$6,0)</f>
        <v/>
      </c>
    </row>
    <row r="155">
      <c r="A155">
        <f>Config!$K$6+25*Config!$J$6+Config!$J$6/2</f>
        <v/>
      </c>
      <c r="B155">
        <f>$A155-Config!$J$6/2</f>
        <v/>
      </c>
      <c r="C155">
        <f>$A155+Config!$J$6/2</f>
        <v/>
      </c>
      <c r="D155">
        <f>COUNTIFS(RawData!$C$2:$C$941,"LT",RawData!$K$2:$K$941,"&gt;="&amp;$B155,RawData!$K$2:$K$941,"&lt;"&amp;$C155,RawData!$K$2:$K$941,"&lt;&gt;0")</f>
        <v/>
      </c>
      <c r="E155">
        <f>IF(Config!$G$6=0,0,IF(ABS(($A155-Config!$F$6)/Config!$G$6)&lt;=2,$D155,0))</f>
        <v/>
      </c>
      <c r="F155">
        <f>IF(Config!$G$6=0,0,IF(AND(ABS(($A155-Config!$F$6)/Config!$G$6)&gt;2,ABS(($A155-Config!$F$6)/Config!$G$6)&lt;=3),$D155,0))</f>
        <v/>
      </c>
      <c r="G155">
        <f>IF(Config!$G$6=0,0,IF(ABS(($A155-Config!$F$6)/Config!$G$6)&gt;3,$D155,0))</f>
        <v/>
      </c>
      <c r="H155">
        <f>IFERROR(NORM.DIST($A155,Config!$F$6,Config!$G$6,FALSE)*Config!$D$6*Config!$J$6,0)</f>
        <v/>
      </c>
    </row>
    <row r="156">
      <c r="A156" s="6">
        <f>Config!$K$6+26*Config!$J$6+Config!$J$6/2</f>
        <v/>
      </c>
      <c r="B156" s="6">
        <f>$A156-Config!$J$6/2</f>
        <v/>
      </c>
      <c r="C156" s="6">
        <f>$A156+Config!$J$6/2</f>
        <v/>
      </c>
      <c r="D156" s="6">
        <f>COUNTIFS(RawData!$C$2:$C$941,"LT",RawData!$K$2:$K$941,"&gt;="&amp;$B156,RawData!$K$2:$K$941,"&lt;"&amp;$C156,RawData!$K$2:$K$941,"&lt;&gt;0")</f>
        <v/>
      </c>
      <c r="E156" s="6">
        <f>IF(Config!$G$6=0,0,IF(ABS(($A156-Config!$F$6)/Config!$G$6)&lt;=2,$D156,0))</f>
        <v/>
      </c>
      <c r="F156" s="6">
        <f>IF(Config!$G$6=0,0,IF(AND(ABS(($A156-Config!$F$6)/Config!$G$6)&gt;2,ABS(($A156-Config!$F$6)/Config!$G$6)&lt;=3),$D156,0))</f>
        <v/>
      </c>
      <c r="G156" s="6">
        <f>IF(Config!$G$6=0,0,IF(ABS(($A156-Config!$F$6)/Config!$G$6)&gt;3,$D156,0))</f>
        <v/>
      </c>
      <c r="H156" s="6">
        <f>IFERROR(NORM.DIST($A156,Config!$F$6,Config!$G$6,FALSE)*Config!$D$6*Config!$J$6,0)</f>
        <v/>
      </c>
    </row>
    <row r="157">
      <c r="A157">
        <f>Config!$K$6+27*Config!$J$6+Config!$J$6/2</f>
        <v/>
      </c>
      <c r="B157">
        <f>$A157-Config!$J$6/2</f>
        <v/>
      </c>
      <c r="C157">
        <f>$A157+Config!$J$6/2</f>
        <v/>
      </c>
      <c r="D157">
        <f>COUNTIFS(RawData!$C$2:$C$941,"LT",RawData!$K$2:$K$941,"&gt;="&amp;$B157,RawData!$K$2:$K$941,"&lt;"&amp;$C157,RawData!$K$2:$K$941,"&lt;&gt;0")</f>
        <v/>
      </c>
      <c r="E157">
        <f>IF(Config!$G$6=0,0,IF(ABS(($A157-Config!$F$6)/Config!$G$6)&lt;=2,$D157,0))</f>
        <v/>
      </c>
      <c r="F157">
        <f>IF(Config!$G$6=0,0,IF(AND(ABS(($A157-Config!$F$6)/Config!$G$6)&gt;2,ABS(($A157-Config!$F$6)/Config!$G$6)&lt;=3),$D157,0))</f>
        <v/>
      </c>
      <c r="G157">
        <f>IF(Config!$G$6=0,0,IF(ABS(($A157-Config!$F$6)/Config!$G$6)&gt;3,$D157,0))</f>
        <v/>
      </c>
      <c r="H157">
        <f>IFERROR(NORM.DIST($A157,Config!$F$6,Config!$G$6,FALSE)*Config!$D$6*Config!$J$6,0)</f>
        <v/>
      </c>
    </row>
    <row r="158">
      <c r="A158" s="6">
        <f>Config!$K$6+28*Config!$J$6+Config!$J$6/2</f>
        <v/>
      </c>
      <c r="B158" s="6">
        <f>$A158-Config!$J$6/2</f>
        <v/>
      </c>
      <c r="C158" s="6">
        <f>$A158+Config!$J$6/2</f>
        <v/>
      </c>
      <c r="D158" s="6">
        <f>COUNTIFS(RawData!$C$2:$C$941,"LT",RawData!$K$2:$K$941,"&gt;="&amp;$B158,RawData!$K$2:$K$941,"&lt;"&amp;$C158,RawData!$K$2:$K$941,"&lt;&gt;0")</f>
        <v/>
      </c>
      <c r="E158" s="6">
        <f>IF(Config!$G$6=0,0,IF(ABS(($A158-Config!$F$6)/Config!$G$6)&lt;=2,$D158,0))</f>
        <v/>
      </c>
      <c r="F158" s="6">
        <f>IF(Config!$G$6=0,0,IF(AND(ABS(($A158-Config!$F$6)/Config!$G$6)&gt;2,ABS(($A158-Config!$F$6)/Config!$G$6)&lt;=3),$D158,0))</f>
        <v/>
      </c>
      <c r="G158" s="6">
        <f>IF(Config!$G$6=0,0,IF(ABS(($A158-Config!$F$6)/Config!$G$6)&gt;3,$D158,0))</f>
        <v/>
      </c>
      <c r="H158" s="6">
        <f>IFERROR(NORM.DIST($A158,Config!$F$6,Config!$G$6,FALSE)*Config!$D$6*Config!$J$6,0)</f>
        <v/>
      </c>
    </row>
    <row r="159">
      <c r="A159">
        <f>Config!$K$6+29*Config!$J$6+Config!$J$6/2</f>
        <v/>
      </c>
      <c r="B159">
        <f>$A159-Config!$J$6/2</f>
        <v/>
      </c>
      <c r="C159">
        <f>$A159+Config!$J$6/2</f>
        <v/>
      </c>
      <c r="D159">
        <f>COUNTIFS(RawData!$C$2:$C$941,"LT",RawData!$K$2:$K$941,"&gt;="&amp;$B159,RawData!$K$2:$K$941,"&lt;"&amp;$C159,RawData!$K$2:$K$941,"&lt;&gt;0")</f>
        <v/>
      </c>
      <c r="E159">
        <f>IF(Config!$G$6=0,0,IF(ABS(($A159-Config!$F$6)/Config!$G$6)&lt;=2,$D159,0))</f>
        <v/>
      </c>
      <c r="F159">
        <f>IF(Config!$G$6=0,0,IF(AND(ABS(($A159-Config!$F$6)/Config!$G$6)&gt;2,ABS(($A159-Config!$F$6)/Config!$G$6)&lt;=3),$D159,0))</f>
        <v/>
      </c>
      <c r="G159">
        <f>IF(Config!$G$6=0,0,IF(ABS(($A159-Config!$F$6)/Config!$G$6)&gt;3,$D159,0))</f>
        <v/>
      </c>
      <c r="H159">
        <f>IFERROR(NORM.DIST($A159,Config!$F$6,Config!$G$6,FALSE)*Config!$D$6*Config!$J$6,0)</f>
        <v/>
      </c>
    </row>
    <row r="161">
      <c r="A161" s="5" t="inlineStr">
        <is>
          <t>BinCenter</t>
        </is>
      </c>
      <c r="B161" s="5" t="inlineStr">
        <is>
          <t>BinLo</t>
        </is>
      </c>
      <c r="C161" s="5" t="inlineStr">
        <is>
          <t>BinHi</t>
        </is>
      </c>
      <c r="D161" s="5" t="inlineStr">
        <is>
          <t>TotalCount</t>
        </is>
      </c>
      <c r="E161" s="5" t="inlineStr">
        <is>
          <t>Normal</t>
        </is>
      </c>
      <c r="F161" s="5" t="inlineStr">
        <is>
          <t>Warning(2-3s)</t>
        </is>
      </c>
      <c r="G161" s="5" t="inlineStr">
        <is>
          <t>Outlier(&gt;3s)</t>
        </is>
      </c>
      <c r="H161" s="5" t="inlineStr">
        <is>
          <t>CurveY</t>
        </is>
      </c>
    </row>
    <row r="162">
      <c r="A162" s="6">
        <f>Config!$K$7+0*Config!$J$7+Config!$J$7/2</f>
        <v/>
      </c>
      <c r="B162" s="6">
        <f>$A162-Config!$J$7/2</f>
        <v/>
      </c>
      <c r="C162" s="6">
        <f>$A162+Config!$J$7/2</f>
        <v/>
      </c>
      <c r="D162" s="6">
        <f>COUNTIFS(RawData!$C$2:$C$941,"LT",RawData!$L$2:$L$941,"&gt;="&amp;$B162,RawData!$L$2:$L$941,"&lt;"&amp;$C162,RawData!$L$2:$L$941,"&lt;&gt;0")</f>
        <v/>
      </c>
      <c r="E162" s="6">
        <f>IF(Config!$G$7=0,0,IF(ABS(($A162-Config!$F$7)/Config!$G$7)&lt;=2,$D162,0))</f>
        <v/>
      </c>
      <c r="F162" s="6">
        <f>IF(Config!$G$7=0,0,IF(AND(ABS(($A162-Config!$F$7)/Config!$G$7)&gt;2,ABS(($A162-Config!$F$7)/Config!$G$7)&lt;=3),$D162,0))</f>
        <v/>
      </c>
      <c r="G162" s="6">
        <f>IF(Config!$G$7=0,0,IF(ABS(($A162-Config!$F$7)/Config!$G$7)&gt;3,$D162,0))</f>
        <v/>
      </c>
      <c r="H162" s="6">
        <f>IFERROR(NORM.DIST($A162,Config!$F$7,Config!$G$7,FALSE)*Config!$D$7*Config!$J$7,0)</f>
        <v/>
      </c>
    </row>
    <row r="163">
      <c r="A163">
        <f>Config!$K$7+1*Config!$J$7+Config!$J$7/2</f>
        <v/>
      </c>
      <c r="B163">
        <f>$A163-Config!$J$7/2</f>
        <v/>
      </c>
      <c r="C163">
        <f>$A163+Config!$J$7/2</f>
        <v/>
      </c>
      <c r="D163">
        <f>COUNTIFS(RawData!$C$2:$C$941,"LT",RawData!$L$2:$L$941,"&gt;="&amp;$B163,RawData!$L$2:$L$941,"&lt;"&amp;$C163,RawData!$L$2:$L$941,"&lt;&gt;0")</f>
        <v/>
      </c>
      <c r="E163">
        <f>IF(Config!$G$7=0,0,IF(ABS(($A163-Config!$F$7)/Config!$G$7)&lt;=2,$D163,0))</f>
        <v/>
      </c>
      <c r="F163">
        <f>IF(Config!$G$7=0,0,IF(AND(ABS(($A163-Config!$F$7)/Config!$G$7)&gt;2,ABS(($A163-Config!$F$7)/Config!$G$7)&lt;=3),$D163,0))</f>
        <v/>
      </c>
      <c r="G163">
        <f>IF(Config!$G$7=0,0,IF(ABS(($A163-Config!$F$7)/Config!$G$7)&gt;3,$D163,0))</f>
        <v/>
      </c>
      <c r="H163">
        <f>IFERROR(NORM.DIST($A163,Config!$F$7,Config!$G$7,FALSE)*Config!$D$7*Config!$J$7,0)</f>
        <v/>
      </c>
    </row>
    <row r="164">
      <c r="A164" s="6">
        <f>Config!$K$7+2*Config!$J$7+Config!$J$7/2</f>
        <v/>
      </c>
      <c r="B164" s="6">
        <f>$A164-Config!$J$7/2</f>
        <v/>
      </c>
      <c r="C164" s="6">
        <f>$A164+Config!$J$7/2</f>
        <v/>
      </c>
      <c r="D164" s="6">
        <f>COUNTIFS(RawData!$C$2:$C$941,"LT",RawData!$L$2:$L$941,"&gt;="&amp;$B164,RawData!$L$2:$L$941,"&lt;"&amp;$C164,RawData!$L$2:$L$941,"&lt;&gt;0")</f>
        <v/>
      </c>
      <c r="E164" s="6">
        <f>IF(Config!$G$7=0,0,IF(ABS(($A164-Config!$F$7)/Config!$G$7)&lt;=2,$D164,0))</f>
        <v/>
      </c>
      <c r="F164" s="6">
        <f>IF(Config!$G$7=0,0,IF(AND(ABS(($A164-Config!$F$7)/Config!$G$7)&gt;2,ABS(($A164-Config!$F$7)/Config!$G$7)&lt;=3),$D164,0))</f>
        <v/>
      </c>
      <c r="G164" s="6">
        <f>IF(Config!$G$7=0,0,IF(ABS(($A164-Config!$F$7)/Config!$G$7)&gt;3,$D164,0))</f>
        <v/>
      </c>
      <c r="H164" s="6">
        <f>IFERROR(NORM.DIST($A164,Config!$F$7,Config!$G$7,FALSE)*Config!$D$7*Config!$J$7,0)</f>
        <v/>
      </c>
    </row>
    <row r="165">
      <c r="A165">
        <f>Config!$K$7+3*Config!$J$7+Config!$J$7/2</f>
        <v/>
      </c>
      <c r="B165">
        <f>$A165-Config!$J$7/2</f>
        <v/>
      </c>
      <c r="C165">
        <f>$A165+Config!$J$7/2</f>
        <v/>
      </c>
      <c r="D165">
        <f>COUNTIFS(RawData!$C$2:$C$941,"LT",RawData!$L$2:$L$941,"&gt;="&amp;$B165,RawData!$L$2:$L$941,"&lt;"&amp;$C165,RawData!$L$2:$L$941,"&lt;&gt;0")</f>
        <v/>
      </c>
      <c r="E165">
        <f>IF(Config!$G$7=0,0,IF(ABS(($A165-Config!$F$7)/Config!$G$7)&lt;=2,$D165,0))</f>
        <v/>
      </c>
      <c r="F165">
        <f>IF(Config!$G$7=0,0,IF(AND(ABS(($A165-Config!$F$7)/Config!$G$7)&gt;2,ABS(($A165-Config!$F$7)/Config!$G$7)&lt;=3),$D165,0))</f>
        <v/>
      </c>
      <c r="G165">
        <f>IF(Config!$G$7=0,0,IF(ABS(($A165-Config!$F$7)/Config!$G$7)&gt;3,$D165,0))</f>
        <v/>
      </c>
      <c r="H165">
        <f>IFERROR(NORM.DIST($A165,Config!$F$7,Config!$G$7,FALSE)*Config!$D$7*Config!$J$7,0)</f>
        <v/>
      </c>
    </row>
    <row r="166">
      <c r="A166" s="6">
        <f>Config!$K$7+4*Config!$J$7+Config!$J$7/2</f>
        <v/>
      </c>
      <c r="B166" s="6">
        <f>$A166-Config!$J$7/2</f>
        <v/>
      </c>
      <c r="C166" s="6">
        <f>$A166+Config!$J$7/2</f>
        <v/>
      </c>
      <c r="D166" s="6">
        <f>COUNTIFS(RawData!$C$2:$C$941,"LT",RawData!$L$2:$L$941,"&gt;="&amp;$B166,RawData!$L$2:$L$941,"&lt;"&amp;$C166,RawData!$L$2:$L$941,"&lt;&gt;0")</f>
        <v/>
      </c>
      <c r="E166" s="6">
        <f>IF(Config!$G$7=0,0,IF(ABS(($A166-Config!$F$7)/Config!$G$7)&lt;=2,$D166,0))</f>
        <v/>
      </c>
      <c r="F166" s="6">
        <f>IF(Config!$G$7=0,0,IF(AND(ABS(($A166-Config!$F$7)/Config!$G$7)&gt;2,ABS(($A166-Config!$F$7)/Config!$G$7)&lt;=3),$D166,0))</f>
        <v/>
      </c>
      <c r="G166" s="6">
        <f>IF(Config!$G$7=0,0,IF(ABS(($A166-Config!$F$7)/Config!$G$7)&gt;3,$D166,0))</f>
        <v/>
      </c>
      <c r="H166" s="6">
        <f>IFERROR(NORM.DIST($A166,Config!$F$7,Config!$G$7,FALSE)*Config!$D$7*Config!$J$7,0)</f>
        <v/>
      </c>
    </row>
    <row r="167">
      <c r="A167">
        <f>Config!$K$7+5*Config!$J$7+Config!$J$7/2</f>
        <v/>
      </c>
      <c r="B167">
        <f>$A167-Config!$J$7/2</f>
        <v/>
      </c>
      <c r="C167">
        <f>$A167+Config!$J$7/2</f>
        <v/>
      </c>
      <c r="D167">
        <f>COUNTIFS(RawData!$C$2:$C$941,"LT",RawData!$L$2:$L$941,"&gt;="&amp;$B167,RawData!$L$2:$L$941,"&lt;"&amp;$C167,RawData!$L$2:$L$941,"&lt;&gt;0")</f>
        <v/>
      </c>
      <c r="E167">
        <f>IF(Config!$G$7=0,0,IF(ABS(($A167-Config!$F$7)/Config!$G$7)&lt;=2,$D167,0))</f>
        <v/>
      </c>
      <c r="F167">
        <f>IF(Config!$G$7=0,0,IF(AND(ABS(($A167-Config!$F$7)/Config!$G$7)&gt;2,ABS(($A167-Config!$F$7)/Config!$G$7)&lt;=3),$D167,0))</f>
        <v/>
      </c>
      <c r="G167">
        <f>IF(Config!$G$7=0,0,IF(ABS(($A167-Config!$F$7)/Config!$G$7)&gt;3,$D167,0))</f>
        <v/>
      </c>
      <c r="H167">
        <f>IFERROR(NORM.DIST($A167,Config!$F$7,Config!$G$7,FALSE)*Config!$D$7*Config!$J$7,0)</f>
        <v/>
      </c>
    </row>
    <row r="168">
      <c r="A168" s="6">
        <f>Config!$K$7+6*Config!$J$7+Config!$J$7/2</f>
        <v/>
      </c>
      <c r="B168" s="6">
        <f>$A168-Config!$J$7/2</f>
        <v/>
      </c>
      <c r="C168" s="6">
        <f>$A168+Config!$J$7/2</f>
        <v/>
      </c>
      <c r="D168" s="6">
        <f>COUNTIFS(RawData!$C$2:$C$941,"LT",RawData!$L$2:$L$941,"&gt;="&amp;$B168,RawData!$L$2:$L$941,"&lt;"&amp;$C168,RawData!$L$2:$L$941,"&lt;&gt;0")</f>
        <v/>
      </c>
      <c r="E168" s="6">
        <f>IF(Config!$G$7=0,0,IF(ABS(($A168-Config!$F$7)/Config!$G$7)&lt;=2,$D168,0))</f>
        <v/>
      </c>
      <c r="F168" s="6">
        <f>IF(Config!$G$7=0,0,IF(AND(ABS(($A168-Config!$F$7)/Config!$G$7)&gt;2,ABS(($A168-Config!$F$7)/Config!$G$7)&lt;=3),$D168,0))</f>
        <v/>
      </c>
      <c r="G168" s="6">
        <f>IF(Config!$G$7=0,0,IF(ABS(($A168-Config!$F$7)/Config!$G$7)&gt;3,$D168,0))</f>
        <v/>
      </c>
      <c r="H168" s="6">
        <f>IFERROR(NORM.DIST($A168,Config!$F$7,Config!$G$7,FALSE)*Config!$D$7*Config!$J$7,0)</f>
        <v/>
      </c>
    </row>
    <row r="169">
      <c r="A169">
        <f>Config!$K$7+7*Config!$J$7+Config!$J$7/2</f>
        <v/>
      </c>
      <c r="B169">
        <f>$A169-Config!$J$7/2</f>
        <v/>
      </c>
      <c r="C169">
        <f>$A169+Config!$J$7/2</f>
        <v/>
      </c>
      <c r="D169">
        <f>COUNTIFS(RawData!$C$2:$C$941,"LT",RawData!$L$2:$L$941,"&gt;="&amp;$B169,RawData!$L$2:$L$941,"&lt;"&amp;$C169,RawData!$L$2:$L$941,"&lt;&gt;0")</f>
        <v/>
      </c>
      <c r="E169">
        <f>IF(Config!$G$7=0,0,IF(ABS(($A169-Config!$F$7)/Config!$G$7)&lt;=2,$D169,0))</f>
        <v/>
      </c>
      <c r="F169">
        <f>IF(Config!$G$7=0,0,IF(AND(ABS(($A169-Config!$F$7)/Config!$G$7)&gt;2,ABS(($A169-Config!$F$7)/Config!$G$7)&lt;=3),$D169,0))</f>
        <v/>
      </c>
      <c r="G169">
        <f>IF(Config!$G$7=0,0,IF(ABS(($A169-Config!$F$7)/Config!$G$7)&gt;3,$D169,0))</f>
        <v/>
      </c>
      <c r="H169">
        <f>IFERROR(NORM.DIST($A169,Config!$F$7,Config!$G$7,FALSE)*Config!$D$7*Config!$J$7,0)</f>
        <v/>
      </c>
    </row>
    <row r="170">
      <c r="A170" s="6">
        <f>Config!$K$7+8*Config!$J$7+Config!$J$7/2</f>
        <v/>
      </c>
      <c r="B170" s="6">
        <f>$A170-Config!$J$7/2</f>
        <v/>
      </c>
      <c r="C170" s="6">
        <f>$A170+Config!$J$7/2</f>
        <v/>
      </c>
      <c r="D170" s="6">
        <f>COUNTIFS(RawData!$C$2:$C$941,"LT",RawData!$L$2:$L$941,"&gt;="&amp;$B170,RawData!$L$2:$L$941,"&lt;"&amp;$C170,RawData!$L$2:$L$941,"&lt;&gt;0")</f>
        <v/>
      </c>
      <c r="E170" s="6">
        <f>IF(Config!$G$7=0,0,IF(ABS(($A170-Config!$F$7)/Config!$G$7)&lt;=2,$D170,0))</f>
        <v/>
      </c>
      <c r="F170" s="6">
        <f>IF(Config!$G$7=0,0,IF(AND(ABS(($A170-Config!$F$7)/Config!$G$7)&gt;2,ABS(($A170-Config!$F$7)/Config!$G$7)&lt;=3),$D170,0))</f>
        <v/>
      </c>
      <c r="G170" s="6">
        <f>IF(Config!$G$7=0,0,IF(ABS(($A170-Config!$F$7)/Config!$G$7)&gt;3,$D170,0))</f>
        <v/>
      </c>
      <c r="H170" s="6">
        <f>IFERROR(NORM.DIST($A170,Config!$F$7,Config!$G$7,FALSE)*Config!$D$7*Config!$J$7,0)</f>
        <v/>
      </c>
    </row>
    <row r="171">
      <c r="A171">
        <f>Config!$K$7+9*Config!$J$7+Config!$J$7/2</f>
        <v/>
      </c>
      <c r="B171">
        <f>$A171-Config!$J$7/2</f>
        <v/>
      </c>
      <c r="C171">
        <f>$A171+Config!$J$7/2</f>
        <v/>
      </c>
      <c r="D171">
        <f>COUNTIFS(RawData!$C$2:$C$941,"LT",RawData!$L$2:$L$941,"&gt;="&amp;$B171,RawData!$L$2:$L$941,"&lt;"&amp;$C171,RawData!$L$2:$L$941,"&lt;&gt;0")</f>
        <v/>
      </c>
      <c r="E171">
        <f>IF(Config!$G$7=0,0,IF(ABS(($A171-Config!$F$7)/Config!$G$7)&lt;=2,$D171,0))</f>
        <v/>
      </c>
      <c r="F171">
        <f>IF(Config!$G$7=0,0,IF(AND(ABS(($A171-Config!$F$7)/Config!$G$7)&gt;2,ABS(($A171-Config!$F$7)/Config!$G$7)&lt;=3),$D171,0))</f>
        <v/>
      </c>
      <c r="G171">
        <f>IF(Config!$G$7=0,0,IF(ABS(($A171-Config!$F$7)/Config!$G$7)&gt;3,$D171,0))</f>
        <v/>
      </c>
      <c r="H171">
        <f>IFERROR(NORM.DIST($A171,Config!$F$7,Config!$G$7,FALSE)*Config!$D$7*Config!$J$7,0)</f>
        <v/>
      </c>
    </row>
    <row r="172">
      <c r="A172" s="6">
        <f>Config!$K$7+10*Config!$J$7+Config!$J$7/2</f>
        <v/>
      </c>
      <c r="B172" s="6">
        <f>$A172-Config!$J$7/2</f>
        <v/>
      </c>
      <c r="C172" s="6">
        <f>$A172+Config!$J$7/2</f>
        <v/>
      </c>
      <c r="D172" s="6">
        <f>COUNTIFS(RawData!$C$2:$C$941,"LT",RawData!$L$2:$L$941,"&gt;="&amp;$B172,RawData!$L$2:$L$941,"&lt;"&amp;$C172,RawData!$L$2:$L$941,"&lt;&gt;0")</f>
        <v/>
      </c>
      <c r="E172" s="6">
        <f>IF(Config!$G$7=0,0,IF(ABS(($A172-Config!$F$7)/Config!$G$7)&lt;=2,$D172,0))</f>
        <v/>
      </c>
      <c r="F172" s="6">
        <f>IF(Config!$G$7=0,0,IF(AND(ABS(($A172-Config!$F$7)/Config!$G$7)&gt;2,ABS(($A172-Config!$F$7)/Config!$G$7)&lt;=3),$D172,0))</f>
        <v/>
      </c>
      <c r="G172" s="6">
        <f>IF(Config!$G$7=0,0,IF(ABS(($A172-Config!$F$7)/Config!$G$7)&gt;3,$D172,0))</f>
        <v/>
      </c>
      <c r="H172" s="6">
        <f>IFERROR(NORM.DIST($A172,Config!$F$7,Config!$G$7,FALSE)*Config!$D$7*Config!$J$7,0)</f>
        <v/>
      </c>
    </row>
    <row r="173">
      <c r="A173">
        <f>Config!$K$7+11*Config!$J$7+Config!$J$7/2</f>
        <v/>
      </c>
      <c r="B173">
        <f>$A173-Config!$J$7/2</f>
        <v/>
      </c>
      <c r="C173">
        <f>$A173+Config!$J$7/2</f>
        <v/>
      </c>
      <c r="D173">
        <f>COUNTIFS(RawData!$C$2:$C$941,"LT",RawData!$L$2:$L$941,"&gt;="&amp;$B173,RawData!$L$2:$L$941,"&lt;"&amp;$C173,RawData!$L$2:$L$941,"&lt;&gt;0")</f>
        <v/>
      </c>
      <c r="E173">
        <f>IF(Config!$G$7=0,0,IF(ABS(($A173-Config!$F$7)/Config!$G$7)&lt;=2,$D173,0))</f>
        <v/>
      </c>
      <c r="F173">
        <f>IF(Config!$G$7=0,0,IF(AND(ABS(($A173-Config!$F$7)/Config!$G$7)&gt;2,ABS(($A173-Config!$F$7)/Config!$G$7)&lt;=3),$D173,0))</f>
        <v/>
      </c>
      <c r="G173">
        <f>IF(Config!$G$7=0,0,IF(ABS(($A173-Config!$F$7)/Config!$G$7)&gt;3,$D173,0))</f>
        <v/>
      </c>
      <c r="H173">
        <f>IFERROR(NORM.DIST($A173,Config!$F$7,Config!$G$7,FALSE)*Config!$D$7*Config!$J$7,0)</f>
        <v/>
      </c>
    </row>
    <row r="174">
      <c r="A174" s="6">
        <f>Config!$K$7+12*Config!$J$7+Config!$J$7/2</f>
        <v/>
      </c>
      <c r="B174" s="6">
        <f>$A174-Config!$J$7/2</f>
        <v/>
      </c>
      <c r="C174" s="6">
        <f>$A174+Config!$J$7/2</f>
        <v/>
      </c>
      <c r="D174" s="6">
        <f>COUNTIFS(RawData!$C$2:$C$941,"LT",RawData!$L$2:$L$941,"&gt;="&amp;$B174,RawData!$L$2:$L$941,"&lt;"&amp;$C174,RawData!$L$2:$L$941,"&lt;&gt;0")</f>
        <v/>
      </c>
      <c r="E174" s="6">
        <f>IF(Config!$G$7=0,0,IF(ABS(($A174-Config!$F$7)/Config!$G$7)&lt;=2,$D174,0))</f>
        <v/>
      </c>
      <c r="F174" s="6">
        <f>IF(Config!$G$7=0,0,IF(AND(ABS(($A174-Config!$F$7)/Config!$G$7)&gt;2,ABS(($A174-Config!$F$7)/Config!$G$7)&lt;=3),$D174,0))</f>
        <v/>
      </c>
      <c r="G174" s="6">
        <f>IF(Config!$G$7=0,0,IF(ABS(($A174-Config!$F$7)/Config!$G$7)&gt;3,$D174,0))</f>
        <v/>
      </c>
      <c r="H174" s="6">
        <f>IFERROR(NORM.DIST($A174,Config!$F$7,Config!$G$7,FALSE)*Config!$D$7*Config!$J$7,0)</f>
        <v/>
      </c>
    </row>
    <row r="175">
      <c r="A175">
        <f>Config!$K$7+13*Config!$J$7+Config!$J$7/2</f>
        <v/>
      </c>
      <c r="B175">
        <f>$A175-Config!$J$7/2</f>
        <v/>
      </c>
      <c r="C175">
        <f>$A175+Config!$J$7/2</f>
        <v/>
      </c>
      <c r="D175">
        <f>COUNTIFS(RawData!$C$2:$C$941,"LT",RawData!$L$2:$L$941,"&gt;="&amp;$B175,RawData!$L$2:$L$941,"&lt;"&amp;$C175,RawData!$L$2:$L$941,"&lt;&gt;0")</f>
        <v/>
      </c>
      <c r="E175">
        <f>IF(Config!$G$7=0,0,IF(ABS(($A175-Config!$F$7)/Config!$G$7)&lt;=2,$D175,0))</f>
        <v/>
      </c>
      <c r="F175">
        <f>IF(Config!$G$7=0,0,IF(AND(ABS(($A175-Config!$F$7)/Config!$G$7)&gt;2,ABS(($A175-Config!$F$7)/Config!$G$7)&lt;=3),$D175,0))</f>
        <v/>
      </c>
      <c r="G175">
        <f>IF(Config!$G$7=0,0,IF(ABS(($A175-Config!$F$7)/Config!$G$7)&gt;3,$D175,0))</f>
        <v/>
      </c>
      <c r="H175">
        <f>IFERROR(NORM.DIST($A175,Config!$F$7,Config!$G$7,FALSE)*Config!$D$7*Config!$J$7,0)</f>
        <v/>
      </c>
    </row>
    <row r="176">
      <c r="A176" s="6">
        <f>Config!$K$7+14*Config!$J$7+Config!$J$7/2</f>
        <v/>
      </c>
      <c r="B176" s="6">
        <f>$A176-Config!$J$7/2</f>
        <v/>
      </c>
      <c r="C176" s="6">
        <f>$A176+Config!$J$7/2</f>
        <v/>
      </c>
      <c r="D176" s="6">
        <f>COUNTIFS(RawData!$C$2:$C$941,"LT",RawData!$L$2:$L$941,"&gt;="&amp;$B176,RawData!$L$2:$L$941,"&lt;"&amp;$C176,RawData!$L$2:$L$941,"&lt;&gt;0")</f>
        <v/>
      </c>
      <c r="E176" s="6">
        <f>IF(Config!$G$7=0,0,IF(ABS(($A176-Config!$F$7)/Config!$G$7)&lt;=2,$D176,0))</f>
        <v/>
      </c>
      <c r="F176" s="6">
        <f>IF(Config!$G$7=0,0,IF(AND(ABS(($A176-Config!$F$7)/Config!$G$7)&gt;2,ABS(($A176-Config!$F$7)/Config!$G$7)&lt;=3),$D176,0))</f>
        <v/>
      </c>
      <c r="G176" s="6">
        <f>IF(Config!$G$7=0,0,IF(ABS(($A176-Config!$F$7)/Config!$G$7)&gt;3,$D176,0))</f>
        <v/>
      </c>
      <c r="H176" s="6">
        <f>IFERROR(NORM.DIST($A176,Config!$F$7,Config!$G$7,FALSE)*Config!$D$7*Config!$J$7,0)</f>
        <v/>
      </c>
    </row>
    <row r="177">
      <c r="A177">
        <f>Config!$K$7+15*Config!$J$7+Config!$J$7/2</f>
        <v/>
      </c>
      <c r="B177">
        <f>$A177-Config!$J$7/2</f>
        <v/>
      </c>
      <c r="C177">
        <f>$A177+Config!$J$7/2</f>
        <v/>
      </c>
      <c r="D177">
        <f>COUNTIFS(RawData!$C$2:$C$941,"LT",RawData!$L$2:$L$941,"&gt;="&amp;$B177,RawData!$L$2:$L$941,"&lt;"&amp;$C177,RawData!$L$2:$L$941,"&lt;&gt;0")</f>
        <v/>
      </c>
      <c r="E177">
        <f>IF(Config!$G$7=0,0,IF(ABS(($A177-Config!$F$7)/Config!$G$7)&lt;=2,$D177,0))</f>
        <v/>
      </c>
      <c r="F177">
        <f>IF(Config!$G$7=0,0,IF(AND(ABS(($A177-Config!$F$7)/Config!$G$7)&gt;2,ABS(($A177-Config!$F$7)/Config!$G$7)&lt;=3),$D177,0))</f>
        <v/>
      </c>
      <c r="G177">
        <f>IF(Config!$G$7=0,0,IF(ABS(($A177-Config!$F$7)/Config!$G$7)&gt;3,$D177,0))</f>
        <v/>
      </c>
      <c r="H177">
        <f>IFERROR(NORM.DIST($A177,Config!$F$7,Config!$G$7,FALSE)*Config!$D$7*Config!$J$7,0)</f>
        <v/>
      </c>
    </row>
    <row r="178">
      <c r="A178" s="6">
        <f>Config!$K$7+16*Config!$J$7+Config!$J$7/2</f>
        <v/>
      </c>
      <c r="B178" s="6">
        <f>$A178-Config!$J$7/2</f>
        <v/>
      </c>
      <c r="C178" s="6">
        <f>$A178+Config!$J$7/2</f>
        <v/>
      </c>
      <c r="D178" s="6">
        <f>COUNTIFS(RawData!$C$2:$C$941,"LT",RawData!$L$2:$L$941,"&gt;="&amp;$B178,RawData!$L$2:$L$941,"&lt;"&amp;$C178,RawData!$L$2:$L$941,"&lt;&gt;0")</f>
        <v/>
      </c>
      <c r="E178" s="6">
        <f>IF(Config!$G$7=0,0,IF(ABS(($A178-Config!$F$7)/Config!$G$7)&lt;=2,$D178,0))</f>
        <v/>
      </c>
      <c r="F178" s="6">
        <f>IF(Config!$G$7=0,0,IF(AND(ABS(($A178-Config!$F$7)/Config!$G$7)&gt;2,ABS(($A178-Config!$F$7)/Config!$G$7)&lt;=3),$D178,0))</f>
        <v/>
      </c>
      <c r="G178" s="6">
        <f>IF(Config!$G$7=0,0,IF(ABS(($A178-Config!$F$7)/Config!$G$7)&gt;3,$D178,0))</f>
        <v/>
      </c>
      <c r="H178" s="6">
        <f>IFERROR(NORM.DIST($A178,Config!$F$7,Config!$G$7,FALSE)*Config!$D$7*Config!$J$7,0)</f>
        <v/>
      </c>
    </row>
    <row r="179">
      <c r="A179">
        <f>Config!$K$7+17*Config!$J$7+Config!$J$7/2</f>
        <v/>
      </c>
      <c r="B179">
        <f>$A179-Config!$J$7/2</f>
        <v/>
      </c>
      <c r="C179">
        <f>$A179+Config!$J$7/2</f>
        <v/>
      </c>
      <c r="D179">
        <f>COUNTIFS(RawData!$C$2:$C$941,"LT",RawData!$L$2:$L$941,"&gt;="&amp;$B179,RawData!$L$2:$L$941,"&lt;"&amp;$C179,RawData!$L$2:$L$941,"&lt;&gt;0")</f>
        <v/>
      </c>
      <c r="E179">
        <f>IF(Config!$G$7=0,0,IF(ABS(($A179-Config!$F$7)/Config!$G$7)&lt;=2,$D179,0))</f>
        <v/>
      </c>
      <c r="F179">
        <f>IF(Config!$G$7=0,0,IF(AND(ABS(($A179-Config!$F$7)/Config!$G$7)&gt;2,ABS(($A179-Config!$F$7)/Config!$G$7)&lt;=3),$D179,0))</f>
        <v/>
      </c>
      <c r="G179">
        <f>IF(Config!$G$7=0,0,IF(ABS(($A179-Config!$F$7)/Config!$G$7)&gt;3,$D179,0))</f>
        <v/>
      </c>
      <c r="H179">
        <f>IFERROR(NORM.DIST($A179,Config!$F$7,Config!$G$7,FALSE)*Config!$D$7*Config!$J$7,0)</f>
        <v/>
      </c>
    </row>
    <row r="180">
      <c r="A180" s="6">
        <f>Config!$K$7+18*Config!$J$7+Config!$J$7/2</f>
        <v/>
      </c>
      <c r="B180" s="6">
        <f>$A180-Config!$J$7/2</f>
        <v/>
      </c>
      <c r="C180" s="6">
        <f>$A180+Config!$J$7/2</f>
        <v/>
      </c>
      <c r="D180" s="6">
        <f>COUNTIFS(RawData!$C$2:$C$941,"LT",RawData!$L$2:$L$941,"&gt;="&amp;$B180,RawData!$L$2:$L$941,"&lt;"&amp;$C180,RawData!$L$2:$L$941,"&lt;&gt;0")</f>
        <v/>
      </c>
      <c r="E180" s="6">
        <f>IF(Config!$G$7=0,0,IF(ABS(($A180-Config!$F$7)/Config!$G$7)&lt;=2,$D180,0))</f>
        <v/>
      </c>
      <c r="F180" s="6">
        <f>IF(Config!$G$7=0,0,IF(AND(ABS(($A180-Config!$F$7)/Config!$G$7)&gt;2,ABS(($A180-Config!$F$7)/Config!$G$7)&lt;=3),$D180,0))</f>
        <v/>
      </c>
      <c r="G180" s="6">
        <f>IF(Config!$G$7=0,0,IF(ABS(($A180-Config!$F$7)/Config!$G$7)&gt;3,$D180,0))</f>
        <v/>
      </c>
      <c r="H180" s="6">
        <f>IFERROR(NORM.DIST($A180,Config!$F$7,Config!$G$7,FALSE)*Config!$D$7*Config!$J$7,0)</f>
        <v/>
      </c>
    </row>
    <row r="181">
      <c r="A181">
        <f>Config!$K$7+19*Config!$J$7+Config!$J$7/2</f>
        <v/>
      </c>
      <c r="B181">
        <f>$A181-Config!$J$7/2</f>
        <v/>
      </c>
      <c r="C181">
        <f>$A181+Config!$J$7/2</f>
        <v/>
      </c>
      <c r="D181">
        <f>COUNTIFS(RawData!$C$2:$C$941,"LT",RawData!$L$2:$L$941,"&gt;="&amp;$B181,RawData!$L$2:$L$941,"&lt;"&amp;$C181,RawData!$L$2:$L$941,"&lt;&gt;0")</f>
        <v/>
      </c>
      <c r="E181">
        <f>IF(Config!$G$7=0,0,IF(ABS(($A181-Config!$F$7)/Config!$G$7)&lt;=2,$D181,0))</f>
        <v/>
      </c>
      <c r="F181">
        <f>IF(Config!$G$7=0,0,IF(AND(ABS(($A181-Config!$F$7)/Config!$G$7)&gt;2,ABS(($A181-Config!$F$7)/Config!$G$7)&lt;=3),$D181,0))</f>
        <v/>
      </c>
      <c r="G181">
        <f>IF(Config!$G$7=0,0,IF(ABS(($A181-Config!$F$7)/Config!$G$7)&gt;3,$D181,0))</f>
        <v/>
      </c>
      <c r="H181">
        <f>IFERROR(NORM.DIST($A181,Config!$F$7,Config!$G$7,FALSE)*Config!$D$7*Config!$J$7,0)</f>
        <v/>
      </c>
    </row>
    <row r="182">
      <c r="A182" s="6">
        <f>Config!$K$7+20*Config!$J$7+Config!$J$7/2</f>
        <v/>
      </c>
      <c r="B182" s="6">
        <f>$A182-Config!$J$7/2</f>
        <v/>
      </c>
      <c r="C182" s="6">
        <f>$A182+Config!$J$7/2</f>
        <v/>
      </c>
      <c r="D182" s="6">
        <f>COUNTIFS(RawData!$C$2:$C$941,"LT",RawData!$L$2:$L$941,"&gt;="&amp;$B182,RawData!$L$2:$L$941,"&lt;"&amp;$C182,RawData!$L$2:$L$941,"&lt;&gt;0")</f>
        <v/>
      </c>
      <c r="E182" s="6">
        <f>IF(Config!$G$7=0,0,IF(ABS(($A182-Config!$F$7)/Config!$G$7)&lt;=2,$D182,0))</f>
        <v/>
      </c>
      <c r="F182" s="6">
        <f>IF(Config!$G$7=0,0,IF(AND(ABS(($A182-Config!$F$7)/Config!$G$7)&gt;2,ABS(($A182-Config!$F$7)/Config!$G$7)&lt;=3),$D182,0))</f>
        <v/>
      </c>
      <c r="G182" s="6">
        <f>IF(Config!$G$7=0,0,IF(ABS(($A182-Config!$F$7)/Config!$G$7)&gt;3,$D182,0))</f>
        <v/>
      </c>
      <c r="H182" s="6">
        <f>IFERROR(NORM.DIST($A182,Config!$F$7,Config!$G$7,FALSE)*Config!$D$7*Config!$J$7,0)</f>
        <v/>
      </c>
    </row>
    <row r="183">
      <c r="A183">
        <f>Config!$K$7+21*Config!$J$7+Config!$J$7/2</f>
        <v/>
      </c>
      <c r="B183">
        <f>$A183-Config!$J$7/2</f>
        <v/>
      </c>
      <c r="C183">
        <f>$A183+Config!$J$7/2</f>
        <v/>
      </c>
      <c r="D183">
        <f>COUNTIFS(RawData!$C$2:$C$941,"LT",RawData!$L$2:$L$941,"&gt;="&amp;$B183,RawData!$L$2:$L$941,"&lt;"&amp;$C183,RawData!$L$2:$L$941,"&lt;&gt;0")</f>
        <v/>
      </c>
      <c r="E183">
        <f>IF(Config!$G$7=0,0,IF(ABS(($A183-Config!$F$7)/Config!$G$7)&lt;=2,$D183,0))</f>
        <v/>
      </c>
      <c r="F183">
        <f>IF(Config!$G$7=0,0,IF(AND(ABS(($A183-Config!$F$7)/Config!$G$7)&gt;2,ABS(($A183-Config!$F$7)/Config!$G$7)&lt;=3),$D183,0))</f>
        <v/>
      </c>
      <c r="G183">
        <f>IF(Config!$G$7=0,0,IF(ABS(($A183-Config!$F$7)/Config!$G$7)&gt;3,$D183,0))</f>
        <v/>
      </c>
      <c r="H183">
        <f>IFERROR(NORM.DIST($A183,Config!$F$7,Config!$G$7,FALSE)*Config!$D$7*Config!$J$7,0)</f>
        <v/>
      </c>
    </row>
    <row r="184">
      <c r="A184" s="6">
        <f>Config!$K$7+22*Config!$J$7+Config!$J$7/2</f>
        <v/>
      </c>
      <c r="B184" s="6">
        <f>$A184-Config!$J$7/2</f>
        <v/>
      </c>
      <c r="C184" s="6">
        <f>$A184+Config!$J$7/2</f>
        <v/>
      </c>
      <c r="D184" s="6">
        <f>COUNTIFS(RawData!$C$2:$C$941,"LT",RawData!$L$2:$L$941,"&gt;="&amp;$B184,RawData!$L$2:$L$941,"&lt;"&amp;$C184,RawData!$L$2:$L$941,"&lt;&gt;0")</f>
        <v/>
      </c>
      <c r="E184" s="6">
        <f>IF(Config!$G$7=0,0,IF(ABS(($A184-Config!$F$7)/Config!$G$7)&lt;=2,$D184,0))</f>
        <v/>
      </c>
      <c r="F184" s="6">
        <f>IF(Config!$G$7=0,0,IF(AND(ABS(($A184-Config!$F$7)/Config!$G$7)&gt;2,ABS(($A184-Config!$F$7)/Config!$G$7)&lt;=3),$D184,0))</f>
        <v/>
      </c>
      <c r="G184" s="6">
        <f>IF(Config!$G$7=0,0,IF(ABS(($A184-Config!$F$7)/Config!$G$7)&gt;3,$D184,0))</f>
        <v/>
      </c>
      <c r="H184" s="6">
        <f>IFERROR(NORM.DIST($A184,Config!$F$7,Config!$G$7,FALSE)*Config!$D$7*Config!$J$7,0)</f>
        <v/>
      </c>
    </row>
    <row r="185">
      <c r="A185">
        <f>Config!$K$7+23*Config!$J$7+Config!$J$7/2</f>
        <v/>
      </c>
      <c r="B185">
        <f>$A185-Config!$J$7/2</f>
        <v/>
      </c>
      <c r="C185">
        <f>$A185+Config!$J$7/2</f>
        <v/>
      </c>
      <c r="D185">
        <f>COUNTIFS(RawData!$C$2:$C$941,"LT",RawData!$L$2:$L$941,"&gt;="&amp;$B185,RawData!$L$2:$L$941,"&lt;"&amp;$C185,RawData!$L$2:$L$941,"&lt;&gt;0")</f>
        <v/>
      </c>
      <c r="E185">
        <f>IF(Config!$G$7=0,0,IF(ABS(($A185-Config!$F$7)/Config!$G$7)&lt;=2,$D185,0))</f>
        <v/>
      </c>
      <c r="F185">
        <f>IF(Config!$G$7=0,0,IF(AND(ABS(($A185-Config!$F$7)/Config!$G$7)&gt;2,ABS(($A185-Config!$F$7)/Config!$G$7)&lt;=3),$D185,0))</f>
        <v/>
      </c>
      <c r="G185">
        <f>IF(Config!$G$7=0,0,IF(ABS(($A185-Config!$F$7)/Config!$G$7)&gt;3,$D185,0))</f>
        <v/>
      </c>
      <c r="H185">
        <f>IFERROR(NORM.DIST($A185,Config!$F$7,Config!$G$7,FALSE)*Config!$D$7*Config!$J$7,0)</f>
        <v/>
      </c>
    </row>
    <row r="186">
      <c r="A186" s="6">
        <f>Config!$K$7+24*Config!$J$7+Config!$J$7/2</f>
        <v/>
      </c>
      <c r="B186" s="6">
        <f>$A186-Config!$J$7/2</f>
        <v/>
      </c>
      <c r="C186" s="6">
        <f>$A186+Config!$J$7/2</f>
        <v/>
      </c>
      <c r="D186" s="6">
        <f>COUNTIFS(RawData!$C$2:$C$941,"LT",RawData!$L$2:$L$941,"&gt;="&amp;$B186,RawData!$L$2:$L$941,"&lt;"&amp;$C186,RawData!$L$2:$L$941,"&lt;&gt;0")</f>
        <v/>
      </c>
      <c r="E186" s="6">
        <f>IF(Config!$G$7=0,0,IF(ABS(($A186-Config!$F$7)/Config!$G$7)&lt;=2,$D186,0))</f>
        <v/>
      </c>
      <c r="F186" s="6">
        <f>IF(Config!$G$7=0,0,IF(AND(ABS(($A186-Config!$F$7)/Config!$G$7)&gt;2,ABS(($A186-Config!$F$7)/Config!$G$7)&lt;=3),$D186,0))</f>
        <v/>
      </c>
      <c r="G186" s="6">
        <f>IF(Config!$G$7=0,0,IF(ABS(($A186-Config!$F$7)/Config!$G$7)&gt;3,$D186,0))</f>
        <v/>
      </c>
      <c r="H186" s="6">
        <f>IFERROR(NORM.DIST($A186,Config!$F$7,Config!$G$7,FALSE)*Config!$D$7*Config!$J$7,0)</f>
        <v/>
      </c>
    </row>
    <row r="187">
      <c r="A187">
        <f>Config!$K$7+25*Config!$J$7+Config!$J$7/2</f>
        <v/>
      </c>
      <c r="B187">
        <f>$A187-Config!$J$7/2</f>
        <v/>
      </c>
      <c r="C187">
        <f>$A187+Config!$J$7/2</f>
        <v/>
      </c>
      <c r="D187">
        <f>COUNTIFS(RawData!$C$2:$C$941,"LT",RawData!$L$2:$L$941,"&gt;="&amp;$B187,RawData!$L$2:$L$941,"&lt;"&amp;$C187,RawData!$L$2:$L$941,"&lt;&gt;0")</f>
        <v/>
      </c>
      <c r="E187">
        <f>IF(Config!$G$7=0,0,IF(ABS(($A187-Config!$F$7)/Config!$G$7)&lt;=2,$D187,0))</f>
        <v/>
      </c>
      <c r="F187">
        <f>IF(Config!$G$7=0,0,IF(AND(ABS(($A187-Config!$F$7)/Config!$G$7)&gt;2,ABS(($A187-Config!$F$7)/Config!$G$7)&lt;=3),$D187,0))</f>
        <v/>
      </c>
      <c r="G187">
        <f>IF(Config!$G$7=0,0,IF(ABS(($A187-Config!$F$7)/Config!$G$7)&gt;3,$D187,0))</f>
        <v/>
      </c>
      <c r="H187">
        <f>IFERROR(NORM.DIST($A187,Config!$F$7,Config!$G$7,FALSE)*Config!$D$7*Config!$J$7,0)</f>
        <v/>
      </c>
    </row>
    <row r="188">
      <c r="A188" s="6">
        <f>Config!$K$7+26*Config!$J$7+Config!$J$7/2</f>
        <v/>
      </c>
      <c r="B188" s="6">
        <f>$A188-Config!$J$7/2</f>
        <v/>
      </c>
      <c r="C188" s="6">
        <f>$A188+Config!$J$7/2</f>
        <v/>
      </c>
      <c r="D188" s="6">
        <f>COUNTIFS(RawData!$C$2:$C$941,"LT",RawData!$L$2:$L$941,"&gt;="&amp;$B188,RawData!$L$2:$L$941,"&lt;"&amp;$C188,RawData!$L$2:$L$941,"&lt;&gt;0")</f>
        <v/>
      </c>
      <c r="E188" s="6">
        <f>IF(Config!$G$7=0,0,IF(ABS(($A188-Config!$F$7)/Config!$G$7)&lt;=2,$D188,0))</f>
        <v/>
      </c>
      <c r="F188" s="6">
        <f>IF(Config!$G$7=0,0,IF(AND(ABS(($A188-Config!$F$7)/Config!$G$7)&gt;2,ABS(($A188-Config!$F$7)/Config!$G$7)&lt;=3),$D188,0))</f>
        <v/>
      </c>
      <c r="G188" s="6">
        <f>IF(Config!$G$7=0,0,IF(ABS(($A188-Config!$F$7)/Config!$G$7)&gt;3,$D188,0))</f>
        <v/>
      </c>
      <c r="H188" s="6">
        <f>IFERROR(NORM.DIST($A188,Config!$F$7,Config!$G$7,FALSE)*Config!$D$7*Config!$J$7,0)</f>
        <v/>
      </c>
    </row>
    <row r="189">
      <c r="A189">
        <f>Config!$K$7+27*Config!$J$7+Config!$J$7/2</f>
        <v/>
      </c>
      <c r="B189">
        <f>$A189-Config!$J$7/2</f>
        <v/>
      </c>
      <c r="C189">
        <f>$A189+Config!$J$7/2</f>
        <v/>
      </c>
      <c r="D189">
        <f>COUNTIFS(RawData!$C$2:$C$941,"LT",RawData!$L$2:$L$941,"&gt;="&amp;$B189,RawData!$L$2:$L$941,"&lt;"&amp;$C189,RawData!$L$2:$L$941,"&lt;&gt;0")</f>
        <v/>
      </c>
      <c r="E189">
        <f>IF(Config!$G$7=0,0,IF(ABS(($A189-Config!$F$7)/Config!$G$7)&lt;=2,$D189,0))</f>
        <v/>
      </c>
      <c r="F189">
        <f>IF(Config!$G$7=0,0,IF(AND(ABS(($A189-Config!$F$7)/Config!$G$7)&gt;2,ABS(($A189-Config!$F$7)/Config!$G$7)&lt;=3),$D189,0))</f>
        <v/>
      </c>
      <c r="G189">
        <f>IF(Config!$G$7=0,0,IF(ABS(($A189-Config!$F$7)/Config!$G$7)&gt;3,$D189,0))</f>
        <v/>
      </c>
      <c r="H189">
        <f>IFERROR(NORM.DIST($A189,Config!$F$7,Config!$G$7,FALSE)*Config!$D$7*Config!$J$7,0)</f>
        <v/>
      </c>
    </row>
    <row r="190">
      <c r="A190" s="6">
        <f>Config!$K$7+28*Config!$J$7+Config!$J$7/2</f>
        <v/>
      </c>
      <c r="B190" s="6">
        <f>$A190-Config!$J$7/2</f>
        <v/>
      </c>
      <c r="C190" s="6">
        <f>$A190+Config!$J$7/2</f>
        <v/>
      </c>
      <c r="D190" s="6">
        <f>COUNTIFS(RawData!$C$2:$C$941,"LT",RawData!$L$2:$L$941,"&gt;="&amp;$B190,RawData!$L$2:$L$941,"&lt;"&amp;$C190,RawData!$L$2:$L$941,"&lt;&gt;0")</f>
        <v/>
      </c>
      <c r="E190" s="6">
        <f>IF(Config!$G$7=0,0,IF(ABS(($A190-Config!$F$7)/Config!$G$7)&lt;=2,$D190,0))</f>
        <v/>
      </c>
      <c r="F190" s="6">
        <f>IF(Config!$G$7=0,0,IF(AND(ABS(($A190-Config!$F$7)/Config!$G$7)&gt;2,ABS(($A190-Config!$F$7)/Config!$G$7)&lt;=3),$D190,0))</f>
        <v/>
      </c>
      <c r="G190" s="6">
        <f>IF(Config!$G$7=0,0,IF(ABS(($A190-Config!$F$7)/Config!$G$7)&gt;3,$D190,0))</f>
        <v/>
      </c>
      <c r="H190" s="6">
        <f>IFERROR(NORM.DIST($A190,Config!$F$7,Config!$G$7,FALSE)*Config!$D$7*Config!$J$7,0)</f>
        <v/>
      </c>
    </row>
    <row r="191">
      <c r="A191">
        <f>Config!$K$7+29*Config!$J$7+Config!$J$7/2</f>
        <v/>
      </c>
      <c r="B191">
        <f>$A191-Config!$J$7/2</f>
        <v/>
      </c>
      <c r="C191">
        <f>$A191+Config!$J$7/2</f>
        <v/>
      </c>
      <c r="D191">
        <f>COUNTIFS(RawData!$C$2:$C$941,"LT",RawData!$L$2:$L$941,"&gt;="&amp;$B191,RawData!$L$2:$L$941,"&lt;"&amp;$C191,RawData!$L$2:$L$941,"&lt;&gt;0")</f>
        <v/>
      </c>
      <c r="E191">
        <f>IF(Config!$G$7=0,0,IF(ABS(($A191-Config!$F$7)/Config!$G$7)&lt;=2,$D191,0))</f>
        <v/>
      </c>
      <c r="F191">
        <f>IF(Config!$G$7=0,0,IF(AND(ABS(($A191-Config!$F$7)/Config!$G$7)&gt;2,ABS(($A191-Config!$F$7)/Config!$G$7)&lt;=3),$D191,0))</f>
        <v/>
      </c>
      <c r="G191">
        <f>IF(Config!$G$7=0,0,IF(ABS(($A191-Config!$F$7)/Config!$G$7)&gt;3,$D191,0))</f>
        <v/>
      </c>
      <c r="H191">
        <f>IFERROR(NORM.DIST($A191,Config!$F$7,Config!$G$7,FALSE)*Config!$D$7*Config!$J$7,0)</f>
        <v/>
      </c>
    </row>
    <row r="193">
      <c r="A193" s="5" t="inlineStr">
        <is>
          <t>BinCenter</t>
        </is>
      </c>
      <c r="B193" s="5" t="inlineStr">
        <is>
          <t>BinLo</t>
        </is>
      </c>
      <c r="C193" s="5" t="inlineStr">
        <is>
          <t>BinHi</t>
        </is>
      </c>
      <c r="D193" s="5" t="inlineStr">
        <is>
          <t>TotalCount</t>
        </is>
      </c>
      <c r="E193" s="5" t="inlineStr">
        <is>
          <t>Normal</t>
        </is>
      </c>
      <c r="F193" s="5" t="inlineStr">
        <is>
          <t>Warning(2-3s)</t>
        </is>
      </c>
      <c r="G193" s="5" t="inlineStr">
        <is>
          <t>Outlier(&gt;3s)</t>
        </is>
      </c>
      <c r="H193" s="5" t="inlineStr">
        <is>
          <t>CurveY</t>
        </is>
      </c>
    </row>
    <row r="194">
      <c r="A194" s="6">
        <f>Config!$K$8+0*Config!$J$8+Config!$J$8/2</f>
        <v/>
      </c>
      <c r="B194" s="6">
        <f>$A194-Config!$J$8/2</f>
        <v/>
      </c>
      <c r="C194" s="6">
        <f>$A194+Config!$J$8/2</f>
        <v/>
      </c>
      <c r="D194" s="6">
        <f>COUNTIFS(RawData!$C$2:$C$941,"LT",RawData!$M$2:$M$941,"&gt;="&amp;$B194,RawData!$M$2:$M$941,"&lt;"&amp;$C194,RawData!$M$2:$M$941,"&lt;&gt;0")</f>
        <v/>
      </c>
      <c r="E194" s="6">
        <f>IF(Config!$G$8=0,0,IF(ABS(($A194-Config!$F$8)/Config!$G$8)&lt;=2,$D194,0))</f>
        <v/>
      </c>
      <c r="F194" s="6">
        <f>IF(Config!$G$8=0,0,IF(AND(ABS(($A194-Config!$F$8)/Config!$G$8)&gt;2,ABS(($A194-Config!$F$8)/Config!$G$8)&lt;=3),$D194,0))</f>
        <v/>
      </c>
      <c r="G194" s="6">
        <f>IF(Config!$G$8=0,0,IF(ABS(($A194-Config!$F$8)/Config!$G$8)&gt;3,$D194,0))</f>
        <v/>
      </c>
      <c r="H194" s="6">
        <f>IFERROR(NORM.DIST($A194,Config!$F$8,Config!$G$8,FALSE)*Config!$D$8*Config!$J$8,0)</f>
        <v/>
      </c>
    </row>
    <row r="195">
      <c r="A195">
        <f>Config!$K$8+1*Config!$J$8+Config!$J$8/2</f>
        <v/>
      </c>
      <c r="B195">
        <f>$A195-Config!$J$8/2</f>
        <v/>
      </c>
      <c r="C195">
        <f>$A195+Config!$J$8/2</f>
        <v/>
      </c>
      <c r="D195">
        <f>COUNTIFS(RawData!$C$2:$C$941,"LT",RawData!$M$2:$M$941,"&gt;="&amp;$B195,RawData!$M$2:$M$941,"&lt;"&amp;$C195,RawData!$M$2:$M$941,"&lt;&gt;0")</f>
        <v/>
      </c>
      <c r="E195">
        <f>IF(Config!$G$8=0,0,IF(ABS(($A195-Config!$F$8)/Config!$G$8)&lt;=2,$D195,0))</f>
        <v/>
      </c>
      <c r="F195">
        <f>IF(Config!$G$8=0,0,IF(AND(ABS(($A195-Config!$F$8)/Config!$G$8)&gt;2,ABS(($A195-Config!$F$8)/Config!$G$8)&lt;=3),$D195,0))</f>
        <v/>
      </c>
      <c r="G195">
        <f>IF(Config!$G$8=0,0,IF(ABS(($A195-Config!$F$8)/Config!$G$8)&gt;3,$D195,0))</f>
        <v/>
      </c>
      <c r="H195">
        <f>IFERROR(NORM.DIST($A195,Config!$F$8,Config!$G$8,FALSE)*Config!$D$8*Config!$J$8,0)</f>
        <v/>
      </c>
    </row>
    <row r="196">
      <c r="A196" s="6">
        <f>Config!$K$8+2*Config!$J$8+Config!$J$8/2</f>
        <v/>
      </c>
      <c r="B196" s="6">
        <f>$A196-Config!$J$8/2</f>
        <v/>
      </c>
      <c r="C196" s="6">
        <f>$A196+Config!$J$8/2</f>
        <v/>
      </c>
      <c r="D196" s="6">
        <f>COUNTIFS(RawData!$C$2:$C$941,"LT",RawData!$M$2:$M$941,"&gt;="&amp;$B196,RawData!$M$2:$M$941,"&lt;"&amp;$C196,RawData!$M$2:$M$941,"&lt;&gt;0")</f>
        <v/>
      </c>
      <c r="E196" s="6">
        <f>IF(Config!$G$8=0,0,IF(ABS(($A196-Config!$F$8)/Config!$G$8)&lt;=2,$D196,0))</f>
        <v/>
      </c>
      <c r="F196" s="6">
        <f>IF(Config!$G$8=0,0,IF(AND(ABS(($A196-Config!$F$8)/Config!$G$8)&gt;2,ABS(($A196-Config!$F$8)/Config!$G$8)&lt;=3),$D196,0))</f>
        <v/>
      </c>
      <c r="G196" s="6">
        <f>IF(Config!$G$8=0,0,IF(ABS(($A196-Config!$F$8)/Config!$G$8)&gt;3,$D196,0))</f>
        <v/>
      </c>
      <c r="H196" s="6">
        <f>IFERROR(NORM.DIST($A196,Config!$F$8,Config!$G$8,FALSE)*Config!$D$8*Config!$J$8,0)</f>
        <v/>
      </c>
    </row>
    <row r="197">
      <c r="A197">
        <f>Config!$K$8+3*Config!$J$8+Config!$J$8/2</f>
        <v/>
      </c>
      <c r="B197">
        <f>$A197-Config!$J$8/2</f>
        <v/>
      </c>
      <c r="C197">
        <f>$A197+Config!$J$8/2</f>
        <v/>
      </c>
      <c r="D197">
        <f>COUNTIFS(RawData!$C$2:$C$941,"LT",RawData!$M$2:$M$941,"&gt;="&amp;$B197,RawData!$M$2:$M$941,"&lt;"&amp;$C197,RawData!$M$2:$M$941,"&lt;&gt;0")</f>
        <v/>
      </c>
      <c r="E197">
        <f>IF(Config!$G$8=0,0,IF(ABS(($A197-Config!$F$8)/Config!$G$8)&lt;=2,$D197,0))</f>
        <v/>
      </c>
      <c r="F197">
        <f>IF(Config!$G$8=0,0,IF(AND(ABS(($A197-Config!$F$8)/Config!$G$8)&gt;2,ABS(($A197-Config!$F$8)/Config!$G$8)&lt;=3),$D197,0))</f>
        <v/>
      </c>
      <c r="G197">
        <f>IF(Config!$G$8=0,0,IF(ABS(($A197-Config!$F$8)/Config!$G$8)&gt;3,$D197,0))</f>
        <v/>
      </c>
      <c r="H197">
        <f>IFERROR(NORM.DIST($A197,Config!$F$8,Config!$G$8,FALSE)*Config!$D$8*Config!$J$8,0)</f>
        <v/>
      </c>
    </row>
    <row r="198">
      <c r="A198" s="6">
        <f>Config!$K$8+4*Config!$J$8+Config!$J$8/2</f>
        <v/>
      </c>
      <c r="B198" s="6">
        <f>$A198-Config!$J$8/2</f>
        <v/>
      </c>
      <c r="C198" s="6">
        <f>$A198+Config!$J$8/2</f>
        <v/>
      </c>
      <c r="D198" s="6">
        <f>COUNTIFS(RawData!$C$2:$C$941,"LT",RawData!$M$2:$M$941,"&gt;="&amp;$B198,RawData!$M$2:$M$941,"&lt;"&amp;$C198,RawData!$M$2:$M$941,"&lt;&gt;0")</f>
        <v/>
      </c>
      <c r="E198" s="6">
        <f>IF(Config!$G$8=0,0,IF(ABS(($A198-Config!$F$8)/Config!$G$8)&lt;=2,$D198,0))</f>
        <v/>
      </c>
      <c r="F198" s="6">
        <f>IF(Config!$G$8=0,0,IF(AND(ABS(($A198-Config!$F$8)/Config!$G$8)&gt;2,ABS(($A198-Config!$F$8)/Config!$G$8)&lt;=3),$D198,0))</f>
        <v/>
      </c>
      <c r="G198" s="6">
        <f>IF(Config!$G$8=0,0,IF(ABS(($A198-Config!$F$8)/Config!$G$8)&gt;3,$D198,0))</f>
        <v/>
      </c>
      <c r="H198" s="6">
        <f>IFERROR(NORM.DIST($A198,Config!$F$8,Config!$G$8,FALSE)*Config!$D$8*Config!$J$8,0)</f>
        <v/>
      </c>
    </row>
    <row r="199">
      <c r="A199">
        <f>Config!$K$8+5*Config!$J$8+Config!$J$8/2</f>
        <v/>
      </c>
      <c r="B199">
        <f>$A199-Config!$J$8/2</f>
        <v/>
      </c>
      <c r="C199">
        <f>$A199+Config!$J$8/2</f>
        <v/>
      </c>
      <c r="D199">
        <f>COUNTIFS(RawData!$C$2:$C$941,"LT",RawData!$M$2:$M$941,"&gt;="&amp;$B199,RawData!$M$2:$M$941,"&lt;"&amp;$C199,RawData!$M$2:$M$941,"&lt;&gt;0")</f>
        <v/>
      </c>
      <c r="E199">
        <f>IF(Config!$G$8=0,0,IF(ABS(($A199-Config!$F$8)/Config!$G$8)&lt;=2,$D199,0))</f>
        <v/>
      </c>
      <c r="F199">
        <f>IF(Config!$G$8=0,0,IF(AND(ABS(($A199-Config!$F$8)/Config!$G$8)&gt;2,ABS(($A199-Config!$F$8)/Config!$G$8)&lt;=3),$D199,0))</f>
        <v/>
      </c>
      <c r="G199">
        <f>IF(Config!$G$8=0,0,IF(ABS(($A199-Config!$F$8)/Config!$G$8)&gt;3,$D199,0))</f>
        <v/>
      </c>
      <c r="H199">
        <f>IFERROR(NORM.DIST($A199,Config!$F$8,Config!$G$8,FALSE)*Config!$D$8*Config!$J$8,0)</f>
        <v/>
      </c>
    </row>
    <row r="200">
      <c r="A200" s="6">
        <f>Config!$K$8+6*Config!$J$8+Config!$J$8/2</f>
        <v/>
      </c>
      <c r="B200" s="6">
        <f>$A200-Config!$J$8/2</f>
        <v/>
      </c>
      <c r="C200" s="6">
        <f>$A200+Config!$J$8/2</f>
        <v/>
      </c>
      <c r="D200" s="6">
        <f>COUNTIFS(RawData!$C$2:$C$941,"LT",RawData!$M$2:$M$941,"&gt;="&amp;$B200,RawData!$M$2:$M$941,"&lt;"&amp;$C200,RawData!$M$2:$M$941,"&lt;&gt;0")</f>
        <v/>
      </c>
      <c r="E200" s="6">
        <f>IF(Config!$G$8=0,0,IF(ABS(($A200-Config!$F$8)/Config!$G$8)&lt;=2,$D200,0))</f>
        <v/>
      </c>
      <c r="F200" s="6">
        <f>IF(Config!$G$8=0,0,IF(AND(ABS(($A200-Config!$F$8)/Config!$G$8)&gt;2,ABS(($A200-Config!$F$8)/Config!$G$8)&lt;=3),$D200,0))</f>
        <v/>
      </c>
      <c r="G200" s="6">
        <f>IF(Config!$G$8=0,0,IF(ABS(($A200-Config!$F$8)/Config!$G$8)&gt;3,$D200,0))</f>
        <v/>
      </c>
      <c r="H200" s="6">
        <f>IFERROR(NORM.DIST($A200,Config!$F$8,Config!$G$8,FALSE)*Config!$D$8*Config!$J$8,0)</f>
        <v/>
      </c>
    </row>
    <row r="201">
      <c r="A201">
        <f>Config!$K$8+7*Config!$J$8+Config!$J$8/2</f>
        <v/>
      </c>
      <c r="B201">
        <f>$A201-Config!$J$8/2</f>
        <v/>
      </c>
      <c r="C201">
        <f>$A201+Config!$J$8/2</f>
        <v/>
      </c>
      <c r="D201">
        <f>COUNTIFS(RawData!$C$2:$C$941,"LT",RawData!$M$2:$M$941,"&gt;="&amp;$B201,RawData!$M$2:$M$941,"&lt;"&amp;$C201,RawData!$M$2:$M$941,"&lt;&gt;0")</f>
        <v/>
      </c>
      <c r="E201">
        <f>IF(Config!$G$8=0,0,IF(ABS(($A201-Config!$F$8)/Config!$G$8)&lt;=2,$D201,0))</f>
        <v/>
      </c>
      <c r="F201">
        <f>IF(Config!$G$8=0,0,IF(AND(ABS(($A201-Config!$F$8)/Config!$G$8)&gt;2,ABS(($A201-Config!$F$8)/Config!$G$8)&lt;=3),$D201,0))</f>
        <v/>
      </c>
      <c r="G201">
        <f>IF(Config!$G$8=0,0,IF(ABS(($A201-Config!$F$8)/Config!$G$8)&gt;3,$D201,0))</f>
        <v/>
      </c>
      <c r="H201">
        <f>IFERROR(NORM.DIST($A201,Config!$F$8,Config!$G$8,FALSE)*Config!$D$8*Config!$J$8,0)</f>
        <v/>
      </c>
    </row>
    <row r="202">
      <c r="A202" s="6">
        <f>Config!$K$8+8*Config!$J$8+Config!$J$8/2</f>
        <v/>
      </c>
      <c r="B202" s="6">
        <f>$A202-Config!$J$8/2</f>
        <v/>
      </c>
      <c r="C202" s="6">
        <f>$A202+Config!$J$8/2</f>
        <v/>
      </c>
      <c r="D202" s="6">
        <f>COUNTIFS(RawData!$C$2:$C$941,"LT",RawData!$M$2:$M$941,"&gt;="&amp;$B202,RawData!$M$2:$M$941,"&lt;"&amp;$C202,RawData!$M$2:$M$941,"&lt;&gt;0")</f>
        <v/>
      </c>
      <c r="E202" s="6">
        <f>IF(Config!$G$8=0,0,IF(ABS(($A202-Config!$F$8)/Config!$G$8)&lt;=2,$D202,0))</f>
        <v/>
      </c>
      <c r="F202" s="6">
        <f>IF(Config!$G$8=0,0,IF(AND(ABS(($A202-Config!$F$8)/Config!$G$8)&gt;2,ABS(($A202-Config!$F$8)/Config!$G$8)&lt;=3),$D202,0))</f>
        <v/>
      </c>
      <c r="G202" s="6">
        <f>IF(Config!$G$8=0,0,IF(ABS(($A202-Config!$F$8)/Config!$G$8)&gt;3,$D202,0))</f>
        <v/>
      </c>
      <c r="H202" s="6">
        <f>IFERROR(NORM.DIST($A202,Config!$F$8,Config!$G$8,FALSE)*Config!$D$8*Config!$J$8,0)</f>
        <v/>
      </c>
    </row>
    <row r="203">
      <c r="A203">
        <f>Config!$K$8+9*Config!$J$8+Config!$J$8/2</f>
        <v/>
      </c>
      <c r="B203">
        <f>$A203-Config!$J$8/2</f>
        <v/>
      </c>
      <c r="C203">
        <f>$A203+Config!$J$8/2</f>
        <v/>
      </c>
      <c r="D203">
        <f>COUNTIFS(RawData!$C$2:$C$941,"LT",RawData!$M$2:$M$941,"&gt;="&amp;$B203,RawData!$M$2:$M$941,"&lt;"&amp;$C203,RawData!$M$2:$M$941,"&lt;&gt;0")</f>
        <v/>
      </c>
      <c r="E203">
        <f>IF(Config!$G$8=0,0,IF(ABS(($A203-Config!$F$8)/Config!$G$8)&lt;=2,$D203,0))</f>
        <v/>
      </c>
      <c r="F203">
        <f>IF(Config!$G$8=0,0,IF(AND(ABS(($A203-Config!$F$8)/Config!$G$8)&gt;2,ABS(($A203-Config!$F$8)/Config!$G$8)&lt;=3),$D203,0))</f>
        <v/>
      </c>
      <c r="G203">
        <f>IF(Config!$G$8=0,0,IF(ABS(($A203-Config!$F$8)/Config!$G$8)&gt;3,$D203,0))</f>
        <v/>
      </c>
      <c r="H203">
        <f>IFERROR(NORM.DIST($A203,Config!$F$8,Config!$G$8,FALSE)*Config!$D$8*Config!$J$8,0)</f>
        <v/>
      </c>
    </row>
    <row r="204">
      <c r="A204" s="6">
        <f>Config!$K$8+10*Config!$J$8+Config!$J$8/2</f>
        <v/>
      </c>
      <c r="B204" s="6">
        <f>$A204-Config!$J$8/2</f>
        <v/>
      </c>
      <c r="C204" s="6">
        <f>$A204+Config!$J$8/2</f>
        <v/>
      </c>
      <c r="D204" s="6">
        <f>COUNTIFS(RawData!$C$2:$C$941,"LT",RawData!$M$2:$M$941,"&gt;="&amp;$B204,RawData!$M$2:$M$941,"&lt;"&amp;$C204,RawData!$M$2:$M$941,"&lt;&gt;0")</f>
        <v/>
      </c>
      <c r="E204" s="6">
        <f>IF(Config!$G$8=0,0,IF(ABS(($A204-Config!$F$8)/Config!$G$8)&lt;=2,$D204,0))</f>
        <v/>
      </c>
      <c r="F204" s="6">
        <f>IF(Config!$G$8=0,0,IF(AND(ABS(($A204-Config!$F$8)/Config!$G$8)&gt;2,ABS(($A204-Config!$F$8)/Config!$G$8)&lt;=3),$D204,0))</f>
        <v/>
      </c>
      <c r="G204" s="6">
        <f>IF(Config!$G$8=0,0,IF(ABS(($A204-Config!$F$8)/Config!$G$8)&gt;3,$D204,0))</f>
        <v/>
      </c>
      <c r="H204" s="6">
        <f>IFERROR(NORM.DIST($A204,Config!$F$8,Config!$G$8,FALSE)*Config!$D$8*Config!$J$8,0)</f>
        <v/>
      </c>
    </row>
    <row r="205">
      <c r="A205">
        <f>Config!$K$8+11*Config!$J$8+Config!$J$8/2</f>
        <v/>
      </c>
      <c r="B205">
        <f>$A205-Config!$J$8/2</f>
        <v/>
      </c>
      <c r="C205">
        <f>$A205+Config!$J$8/2</f>
        <v/>
      </c>
      <c r="D205">
        <f>COUNTIFS(RawData!$C$2:$C$941,"LT",RawData!$M$2:$M$941,"&gt;="&amp;$B205,RawData!$M$2:$M$941,"&lt;"&amp;$C205,RawData!$M$2:$M$941,"&lt;&gt;0")</f>
        <v/>
      </c>
      <c r="E205">
        <f>IF(Config!$G$8=0,0,IF(ABS(($A205-Config!$F$8)/Config!$G$8)&lt;=2,$D205,0))</f>
        <v/>
      </c>
      <c r="F205">
        <f>IF(Config!$G$8=0,0,IF(AND(ABS(($A205-Config!$F$8)/Config!$G$8)&gt;2,ABS(($A205-Config!$F$8)/Config!$G$8)&lt;=3),$D205,0))</f>
        <v/>
      </c>
      <c r="G205">
        <f>IF(Config!$G$8=0,0,IF(ABS(($A205-Config!$F$8)/Config!$G$8)&gt;3,$D205,0))</f>
        <v/>
      </c>
      <c r="H205">
        <f>IFERROR(NORM.DIST($A205,Config!$F$8,Config!$G$8,FALSE)*Config!$D$8*Config!$J$8,0)</f>
        <v/>
      </c>
    </row>
    <row r="206">
      <c r="A206" s="6">
        <f>Config!$K$8+12*Config!$J$8+Config!$J$8/2</f>
        <v/>
      </c>
      <c r="B206" s="6">
        <f>$A206-Config!$J$8/2</f>
        <v/>
      </c>
      <c r="C206" s="6">
        <f>$A206+Config!$J$8/2</f>
        <v/>
      </c>
      <c r="D206" s="6">
        <f>COUNTIFS(RawData!$C$2:$C$941,"LT",RawData!$M$2:$M$941,"&gt;="&amp;$B206,RawData!$M$2:$M$941,"&lt;"&amp;$C206,RawData!$M$2:$M$941,"&lt;&gt;0")</f>
        <v/>
      </c>
      <c r="E206" s="6">
        <f>IF(Config!$G$8=0,0,IF(ABS(($A206-Config!$F$8)/Config!$G$8)&lt;=2,$D206,0))</f>
        <v/>
      </c>
      <c r="F206" s="6">
        <f>IF(Config!$G$8=0,0,IF(AND(ABS(($A206-Config!$F$8)/Config!$G$8)&gt;2,ABS(($A206-Config!$F$8)/Config!$G$8)&lt;=3),$D206,0))</f>
        <v/>
      </c>
      <c r="G206" s="6">
        <f>IF(Config!$G$8=0,0,IF(ABS(($A206-Config!$F$8)/Config!$G$8)&gt;3,$D206,0))</f>
        <v/>
      </c>
      <c r="H206" s="6">
        <f>IFERROR(NORM.DIST($A206,Config!$F$8,Config!$G$8,FALSE)*Config!$D$8*Config!$J$8,0)</f>
        <v/>
      </c>
    </row>
    <row r="207">
      <c r="A207">
        <f>Config!$K$8+13*Config!$J$8+Config!$J$8/2</f>
        <v/>
      </c>
      <c r="B207">
        <f>$A207-Config!$J$8/2</f>
        <v/>
      </c>
      <c r="C207">
        <f>$A207+Config!$J$8/2</f>
        <v/>
      </c>
      <c r="D207">
        <f>COUNTIFS(RawData!$C$2:$C$941,"LT",RawData!$M$2:$M$941,"&gt;="&amp;$B207,RawData!$M$2:$M$941,"&lt;"&amp;$C207,RawData!$M$2:$M$941,"&lt;&gt;0")</f>
        <v/>
      </c>
      <c r="E207">
        <f>IF(Config!$G$8=0,0,IF(ABS(($A207-Config!$F$8)/Config!$G$8)&lt;=2,$D207,0))</f>
        <v/>
      </c>
      <c r="F207">
        <f>IF(Config!$G$8=0,0,IF(AND(ABS(($A207-Config!$F$8)/Config!$G$8)&gt;2,ABS(($A207-Config!$F$8)/Config!$G$8)&lt;=3),$D207,0))</f>
        <v/>
      </c>
      <c r="G207">
        <f>IF(Config!$G$8=0,0,IF(ABS(($A207-Config!$F$8)/Config!$G$8)&gt;3,$D207,0))</f>
        <v/>
      </c>
      <c r="H207">
        <f>IFERROR(NORM.DIST($A207,Config!$F$8,Config!$G$8,FALSE)*Config!$D$8*Config!$J$8,0)</f>
        <v/>
      </c>
    </row>
    <row r="208">
      <c r="A208" s="6">
        <f>Config!$K$8+14*Config!$J$8+Config!$J$8/2</f>
        <v/>
      </c>
      <c r="B208" s="6">
        <f>$A208-Config!$J$8/2</f>
        <v/>
      </c>
      <c r="C208" s="6">
        <f>$A208+Config!$J$8/2</f>
        <v/>
      </c>
      <c r="D208" s="6">
        <f>COUNTIFS(RawData!$C$2:$C$941,"LT",RawData!$M$2:$M$941,"&gt;="&amp;$B208,RawData!$M$2:$M$941,"&lt;"&amp;$C208,RawData!$M$2:$M$941,"&lt;&gt;0")</f>
        <v/>
      </c>
      <c r="E208" s="6">
        <f>IF(Config!$G$8=0,0,IF(ABS(($A208-Config!$F$8)/Config!$G$8)&lt;=2,$D208,0))</f>
        <v/>
      </c>
      <c r="F208" s="6">
        <f>IF(Config!$G$8=0,0,IF(AND(ABS(($A208-Config!$F$8)/Config!$G$8)&gt;2,ABS(($A208-Config!$F$8)/Config!$G$8)&lt;=3),$D208,0))</f>
        <v/>
      </c>
      <c r="G208" s="6">
        <f>IF(Config!$G$8=0,0,IF(ABS(($A208-Config!$F$8)/Config!$G$8)&gt;3,$D208,0))</f>
        <v/>
      </c>
      <c r="H208" s="6">
        <f>IFERROR(NORM.DIST($A208,Config!$F$8,Config!$G$8,FALSE)*Config!$D$8*Config!$J$8,0)</f>
        <v/>
      </c>
    </row>
    <row r="209">
      <c r="A209">
        <f>Config!$K$8+15*Config!$J$8+Config!$J$8/2</f>
        <v/>
      </c>
      <c r="B209">
        <f>$A209-Config!$J$8/2</f>
        <v/>
      </c>
      <c r="C209">
        <f>$A209+Config!$J$8/2</f>
        <v/>
      </c>
      <c r="D209">
        <f>COUNTIFS(RawData!$C$2:$C$941,"LT",RawData!$M$2:$M$941,"&gt;="&amp;$B209,RawData!$M$2:$M$941,"&lt;"&amp;$C209,RawData!$M$2:$M$941,"&lt;&gt;0")</f>
        <v/>
      </c>
      <c r="E209">
        <f>IF(Config!$G$8=0,0,IF(ABS(($A209-Config!$F$8)/Config!$G$8)&lt;=2,$D209,0))</f>
        <v/>
      </c>
      <c r="F209">
        <f>IF(Config!$G$8=0,0,IF(AND(ABS(($A209-Config!$F$8)/Config!$G$8)&gt;2,ABS(($A209-Config!$F$8)/Config!$G$8)&lt;=3),$D209,0))</f>
        <v/>
      </c>
      <c r="G209">
        <f>IF(Config!$G$8=0,0,IF(ABS(($A209-Config!$F$8)/Config!$G$8)&gt;3,$D209,0))</f>
        <v/>
      </c>
      <c r="H209">
        <f>IFERROR(NORM.DIST($A209,Config!$F$8,Config!$G$8,FALSE)*Config!$D$8*Config!$J$8,0)</f>
        <v/>
      </c>
    </row>
    <row r="210">
      <c r="A210" s="6">
        <f>Config!$K$8+16*Config!$J$8+Config!$J$8/2</f>
        <v/>
      </c>
      <c r="B210" s="6">
        <f>$A210-Config!$J$8/2</f>
        <v/>
      </c>
      <c r="C210" s="6">
        <f>$A210+Config!$J$8/2</f>
        <v/>
      </c>
      <c r="D210" s="6">
        <f>COUNTIFS(RawData!$C$2:$C$941,"LT",RawData!$M$2:$M$941,"&gt;="&amp;$B210,RawData!$M$2:$M$941,"&lt;"&amp;$C210,RawData!$M$2:$M$941,"&lt;&gt;0")</f>
        <v/>
      </c>
      <c r="E210" s="6">
        <f>IF(Config!$G$8=0,0,IF(ABS(($A210-Config!$F$8)/Config!$G$8)&lt;=2,$D210,0))</f>
        <v/>
      </c>
      <c r="F210" s="6">
        <f>IF(Config!$G$8=0,0,IF(AND(ABS(($A210-Config!$F$8)/Config!$G$8)&gt;2,ABS(($A210-Config!$F$8)/Config!$G$8)&lt;=3),$D210,0))</f>
        <v/>
      </c>
      <c r="G210" s="6">
        <f>IF(Config!$G$8=0,0,IF(ABS(($A210-Config!$F$8)/Config!$G$8)&gt;3,$D210,0))</f>
        <v/>
      </c>
      <c r="H210" s="6">
        <f>IFERROR(NORM.DIST($A210,Config!$F$8,Config!$G$8,FALSE)*Config!$D$8*Config!$J$8,0)</f>
        <v/>
      </c>
    </row>
    <row r="211">
      <c r="A211">
        <f>Config!$K$8+17*Config!$J$8+Config!$J$8/2</f>
        <v/>
      </c>
      <c r="B211">
        <f>$A211-Config!$J$8/2</f>
        <v/>
      </c>
      <c r="C211">
        <f>$A211+Config!$J$8/2</f>
        <v/>
      </c>
      <c r="D211">
        <f>COUNTIFS(RawData!$C$2:$C$941,"LT",RawData!$M$2:$M$941,"&gt;="&amp;$B211,RawData!$M$2:$M$941,"&lt;"&amp;$C211,RawData!$M$2:$M$941,"&lt;&gt;0")</f>
        <v/>
      </c>
      <c r="E211">
        <f>IF(Config!$G$8=0,0,IF(ABS(($A211-Config!$F$8)/Config!$G$8)&lt;=2,$D211,0))</f>
        <v/>
      </c>
      <c r="F211">
        <f>IF(Config!$G$8=0,0,IF(AND(ABS(($A211-Config!$F$8)/Config!$G$8)&gt;2,ABS(($A211-Config!$F$8)/Config!$G$8)&lt;=3),$D211,0))</f>
        <v/>
      </c>
      <c r="G211">
        <f>IF(Config!$G$8=0,0,IF(ABS(($A211-Config!$F$8)/Config!$G$8)&gt;3,$D211,0))</f>
        <v/>
      </c>
      <c r="H211">
        <f>IFERROR(NORM.DIST($A211,Config!$F$8,Config!$G$8,FALSE)*Config!$D$8*Config!$J$8,0)</f>
        <v/>
      </c>
    </row>
    <row r="212">
      <c r="A212" s="6">
        <f>Config!$K$8+18*Config!$J$8+Config!$J$8/2</f>
        <v/>
      </c>
      <c r="B212" s="6">
        <f>$A212-Config!$J$8/2</f>
        <v/>
      </c>
      <c r="C212" s="6">
        <f>$A212+Config!$J$8/2</f>
        <v/>
      </c>
      <c r="D212" s="6">
        <f>COUNTIFS(RawData!$C$2:$C$941,"LT",RawData!$M$2:$M$941,"&gt;="&amp;$B212,RawData!$M$2:$M$941,"&lt;"&amp;$C212,RawData!$M$2:$M$941,"&lt;&gt;0")</f>
        <v/>
      </c>
      <c r="E212" s="6">
        <f>IF(Config!$G$8=0,0,IF(ABS(($A212-Config!$F$8)/Config!$G$8)&lt;=2,$D212,0))</f>
        <v/>
      </c>
      <c r="F212" s="6">
        <f>IF(Config!$G$8=0,0,IF(AND(ABS(($A212-Config!$F$8)/Config!$G$8)&gt;2,ABS(($A212-Config!$F$8)/Config!$G$8)&lt;=3),$D212,0))</f>
        <v/>
      </c>
      <c r="G212" s="6">
        <f>IF(Config!$G$8=0,0,IF(ABS(($A212-Config!$F$8)/Config!$G$8)&gt;3,$D212,0))</f>
        <v/>
      </c>
      <c r="H212" s="6">
        <f>IFERROR(NORM.DIST($A212,Config!$F$8,Config!$G$8,FALSE)*Config!$D$8*Config!$J$8,0)</f>
        <v/>
      </c>
    </row>
    <row r="213">
      <c r="A213">
        <f>Config!$K$8+19*Config!$J$8+Config!$J$8/2</f>
        <v/>
      </c>
      <c r="B213">
        <f>$A213-Config!$J$8/2</f>
        <v/>
      </c>
      <c r="C213">
        <f>$A213+Config!$J$8/2</f>
        <v/>
      </c>
      <c r="D213">
        <f>COUNTIFS(RawData!$C$2:$C$941,"LT",RawData!$M$2:$M$941,"&gt;="&amp;$B213,RawData!$M$2:$M$941,"&lt;"&amp;$C213,RawData!$M$2:$M$941,"&lt;&gt;0")</f>
        <v/>
      </c>
      <c r="E213">
        <f>IF(Config!$G$8=0,0,IF(ABS(($A213-Config!$F$8)/Config!$G$8)&lt;=2,$D213,0))</f>
        <v/>
      </c>
      <c r="F213">
        <f>IF(Config!$G$8=0,0,IF(AND(ABS(($A213-Config!$F$8)/Config!$G$8)&gt;2,ABS(($A213-Config!$F$8)/Config!$G$8)&lt;=3),$D213,0))</f>
        <v/>
      </c>
      <c r="G213">
        <f>IF(Config!$G$8=0,0,IF(ABS(($A213-Config!$F$8)/Config!$G$8)&gt;3,$D213,0))</f>
        <v/>
      </c>
      <c r="H213">
        <f>IFERROR(NORM.DIST($A213,Config!$F$8,Config!$G$8,FALSE)*Config!$D$8*Config!$J$8,0)</f>
        <v/>
      </c>
    </row>
    <row r="214">
      <c r="A214" s="6">
        <f>Config!$K$8+20*Config!$J$8+Config!$J$8/2</f>
        <v/>
      </c>
      <c r="B214" s="6">
        <f>$A214-Config!$J$8/2</f>
        <v/>
      </c>
      <c r="C214" s="6">
        <f>$A214+Config!$J$8/2</f>
        <v/>
      </c>
      <c r="D214" s="6">
        <f>COUNTIFS(RawData!$C$2:$C$941,"LT",RawData!$M$2:$M$941,"&gt;="&amp;$B214,RawData!$M$2:$M$941,"&lt;"&amp;$C214,RawData!$M$2:$M$941,"&lt;&gt;0")</f>
        <v/>
      </c>
      <c r="E214" s="6">
        <f>IF(Config!$G$8=0,0,IF(ABS(($A214-Config!$F$8)/Config!$G$8)&lt;=2,$D214,0))</f>
        <v/>
      </c>
      <c r="F214" s="6">
        <f>IF(Config!$G$8=0,0,IF(AND(ABS(($A214-Config!$F$8)/Config!$G$8)&gt;2,ABS(($A214-Config!$F$8)/Config!$G$8)&lt;=3),$D214,0))</f>
        <v/>
      </c>
      <c r="G214" s="6">
        <f>IF(Config!$G$8=0,0,IF(ABS(($A214-Config!$F$8)/Config!$G$8)&gt;3,$D214,0))</f>
        <v/>
      </c>
      <c r="H214" s="6">
        <f>IFERROR(NORM.DIST($A214,Config!$F$8,Config!$G$8,FALSE)*Config!$D$8*Config!$J$8,0)</f>
        <v/>
      </c>
    </row>
    <row r="215">
      <c r="A215">
        <f>Config!$K$8+21*Config!$J$8+Config!$J$8/2</f>
        <v/>
      </c>
      <c r="B215">
        <f>$A215-Config!$J$8/2</f>
        <v/>
      </c>
      <c r="C215">
        <f>$A215+Config!$J$8/2</f>
        <v/>
      </c>
      <c r="D215">
        <f>COUNTIFS(RawData!$C$2:$C$941,"LT",RawData!$M$2:$M$941,"&gt;="&amp;$B215,RawData!$M$2:$M$941,"&lt;"&amp;$C215,RawData!$M$2:$M$941,"&lt;&gt;0")</f>
        <v/>
      </c>
      <c r="E215">
        <f>IF(Config!$G$8=0,0,IF(ABS(($A215-Config!$F$8)/Config!$G$8)&lt;=2,$D215,0))</f>
        <v/>
      </c>
      <c r="F215">
        <f>IF(Config!$G$8=0,0,IF(AND(ABS(($A215-Config!$F$8)/Config!$G$8)&gt;2,ABS(($A215-Config!$F$8)/Config!$G$8)&lt;=3),$D215,0))</f>
        <v/>
      </c>
      <c r="G215">
        <f>IF(Config!$G$8=0,0,IF(ABS(($A215-Config!$F$8)/Config!$G$8)&gt;3,$D215,0))</f>
        <v/>
      </c>
      <c r="H215">
        <f>IFERROR(NORM.DIST($A215,Config!$F$8,Config!$G$8,FALSE)*Config!$D$8*Config!$J$8,0)</f>
        <v/>
      </c>
    </row>
    <row r="216">
      <c r="A216" s="6">
        <f>Config!$K$8+22*Config!$J$8+Config!$J$8/2</f>
        <v/>
      </c>
      <c r="B216" s="6">
        <f>$A216-Config!$J$8/2</f>
        <v/>
      </c>
      <c r="C216" s="6">
        <f>$A216+Config!$J$8/2</f>
        <v/>
      </c>
      <c r="D216" s="6">
        <f>COUNTIFS(RawData!$C$2:$C$941,"LT",RawData!$M$2:$M$941,"&gt;="&amp;$B216,RawData!$M$2:$M$941,"&lt;"&amp;$C216,RawData!$M$2:$M$941,"&lt;&gt;0")</f>
        <v/>
      </c>
      <c r="E216" s="6">
        <f>IF(Config!$G$8=0,0,IF(ABS(($A216-Config!$F$8)/Config!$G$8)&lt;=2,$D216,0))</f>
        <v/>
      </c>
      <c r="F216" s="6">
        <f>IF(Config!$G$8=0,0,IF(AND(ABS(($A216-Config!$F$8)/Config!$G$8)&gt;2,ABS(($A216-Config!$F$8)/Config!$G$8)&lt;=3),$D216,0))</f>
        <v/>
      </c>
      <c r="G216" s="6">
        <f>IF(Config!$G$8=0,0,IF(ABS(($A216-Config!$F$8)/Config!$G$8)&gt;3,$D216,0))</f>
        <v/>
      </c>
      <c r="H216" s="6">
        <f>IFERROR(NORM.DIST($A216,Config!$F$8,Config!$G$8,FALSE)*Config!$D$8*Config!$J$8,0)</f>
        <v/>
      </c>
    </row>
    <row r="217">
      <c r="A217">
        <f>Config!$K$8+23*Config!$J$8+Config!$J$8/2</f>
        <v/>
      </c>
      <c r="B217">
        <f>$A217-Config!$J$8/2</f>
        <v/>
      </c>
      <c r="C217">
        <f>$A217+Config!$J$8/2</f>
        <v/>
      </c>
      <c r="D217">
        <f>COUNTIFS(RawData!$C$2:$C$941,"LT",RawData!$M$2:$M$941,"&gt;="&amp;$B217,RawData!$M$2:$M$941,"&lt;"&amp;$C217,RawData!$M$2:$M$941,"&lt;&gt;0")</f>
        <v/>
      </c>
      <c r="E217">
        <f>IF(Config!$G$8=0,0,IF(ABS(($A217-Config!$F$8)/Config!$G$8)&lt;=2,$D217,0))</f>
        <v/>
      </c>
      <c r="F217">
        <f>IF(Config!$G$8=0,0,IF(AND(ABS(($A217-Config!$F$8)/Config!$G$8)&gt;2,ABS(($A217-Config!$F$8)/Config!$G$8)&lt;=3),$D217,0))</f>
        <v/>
      </c>
      <c r="G217">
        <f>IF(Config!$G$8=0,0,IF(ABS(($A217-Config!$F$8)/Config!$G$8)&gt;3,$D217,0))</f>
        <v/>
      </c>
      <c r="H217">
        <f>IFERROR(NORM.DIST($A217,Config!$F$8,Config!$G$8,FALSE)*Config!$D$8*Config!$J$8,0)</f>
        <v/>
      </c>
    </row>
    <row r="218">
      <c r="A218" s="6">
        <f>Config!$K$8+24*Config!$J$8+Config!$J$8/2</f>
        <v/>
      </c>
      <c r="B218" s="6">
        <f>$A218-Config!$J$8/2</f>
        <v/>
      </c>
      <c r="C218" s="6">
        <f>$A218+Config!$J$8/2</f>
        <v/>
      </c>
      <c r="D218" s="6">
        <f>COUNTIFS(RawData!$C$2:$C$941,"LT",RawData!$M$2:$M$941,"&gt;="&amp;$B218,RawData!$M$2:$M$941,"&lt;"&amp;$C218,RawData!$M$2:$M$941,"&lt;&gt;0")</f>
        <v/>
      </c>
      <c r="E218" s="6">
        <f>IF(Config!$G$8=0,0,IF(ABS(($A218-Config!$F$8)/Config!$G$8)&lt;=2,$D218,0))</f>
        <v/>
      </c>
      <c r="F218" s="6">
        <f>IF(Config!$G$8=0,0,IF(AND(ABS(($A218-Config!$F$8)/Config!$G$8)&gt;2,ABS(($A218-Config!$F$8)/Config!$G$8)&lt;=3),$D218,0))</f>
        <v/>
      </c>
      <c r="G218" s="6">
        <f>IF(Config!$G$8=0,0,IF(ABS(($A218-Config!$F$8)/Config!$G$8)&gt;3,$D218,0))</f>
        <v/>
      </c>
      <c r="H218" s="6">
        <f>IFERROR(NORM.DIST($A218,Config!$F$8,Config!$G$8,FALSE)*Config!$D$8*Config!$J$8,0)</f>
        <v/>
      </c>
    </row>
    <row r="219">
      <c r="A219">
        <f>Config!$K$8+25*Config!$J$8+Config!$J$8/2</f>
        <v/>
      </c>
      <c r="B219">
        <f>$A219-Config!$J$8/2</f>
        <v/>
      </c>
      <c r="C219">
        <f>$A219+Config!$J$8/2</f>
        <v/>
      </c>
      <c r="D219">
        <f>COUNTIFS(RawData!$C$2:$C$941,"LT",RawData!$M$2:$M$941,"&gt;="&amp;$B219,RawData!$M$2:$M$941,"&lt;"&amp;$C219,RawData!$M$2:$M$941,"&lt;&gt;0")</f>
        <v/>
      </c>
      <c r="E219">
        <f>IF(Config!$G$8=0,0,IF(ABS(($A219-Config!$F$8)/Config!$G$8)&lt;=2,$D219,0))</f>
        <v/>
      </c>
      <c r="F219">
        <f>IF(Config!$G$8=0,0,IF(AND(ABS(($A219-Config!$F$8)/Config!$G$8)&gt;2,ABS(($A219-Config!$F$8)/Config!$G$8)&lt;=3),$D219,0))</f>
        <v/>
      </c>
      <c r="G219">
        <f>IF(Config!$G$8=0,0,IF(ABS(($A219-Config!$F$8)/Config!$G$8)&gt;3,$D219,0))</f>
        <v/>
      </c>
      <c r="H219">
        <f>IFERROR(NORM.DIST($A219,Config!$F$8,Config!$G$8,FALSE)*Config!$D$8*Config!$J$8,0)</f>
        <v/>
      </c>
    </row>
    <row r="220">
      <c r="A220" s="6">
        <f>Config!$K$8+26*Config!$J$8+Config!$J$8/2</f>
        <v/>
      </c>
      <c r="B220" s="6">
        <f>$A220-Config!$J$8/2</f>
        <v/>
      </c>
      <c r="C220" s="6">
        <f>$A220+Config!$J$8/2</f>
        <v/>
      </c>
      <c r="D220" s="6">
        <f>COUNTIFS(RawData!$C$2:$C$941,"LT",RawData!$M$2:$M$941,"&gt;="&amp;$B220,RawData!$M$2:$M$941,"&lt;"&amp;$C220,RawData!$M$2:$M$941,"&lt;&gt;0")</f>
        <v/>
      </c>
      <c r="E220" s="6">
        <f>IF(Config!$G$8=0,0,IF(ABS(($A220-Config!$F$8)/Config!$G$8)&lt;=2,$D220,0))</f>
        <v/>
      </c>
      <c r="F220" s="6">
        <f>IF(Config!$G$8=0,0,IF(AND(ABS(($A220-Config!$F$8)/Config!$G$8)&gt;2,ABS(($A220-Config!$F$8)/Config!$G$8)&lt;=3),$D220,0))</f>
        <v/>
      </c>
      <c r="G220" s="6">
        <f>IF(Config!$G$8=0,0,IF(ABS(($A220-Config!$F$8)/Config!$G$8)&gt;3,$D220,0))</f>
        <v/>
      </c>
      <c r="H220" s="6">
        <f>IFERROR(NORM.DIST($A220,Config!$F$8,Config!$G$8,FALSE)*Config!$D$8*Config!$J$8,0)</f>
        <v/>
      </c>
    </row>
    <row r="221">
      <c r="A221">
        <f>Config!$K$8+27*Config!$J$8+Config!$J$8/2</f>
        <v/>
      </c>
      <c r="B221">
        <f>$A221-Config!$J$8/2</f>
        <v/>
      </c>
      <c r="C221">
        <f>$A221+Config!$J$8/2</f>
        <v/>
      </c>
      <c r="D221">
        <f>COUNTIFS(RawData!$C$2:$C$941,"LT",RawData!$M$2:$M$941,"&gt;="&amp;$B221,RawData!$M$2:$M$941,"&lt;"&amp;$C221,RawData!$M$2:$M$941,"&lt;&gt;0")</f>
        <v/>
      </c>
      <c r="E221">
        <f>IF(Config!$G$8=0,0,IF(ABS(($A221-Config!$F$8)/Config!$G$8)&lt;=2,$D221,0))</f>
        <v/>
      </c>
      <c r="F221">
        <f>IF(Config!$G$8=0,0,IF(AND(ABS(($A221-Config!$F$8)/Config!$G$8)&gt;2,ABS(($A221-Config!$F$8)/Config!$G$8)&lt;=3),$D221,0))</f>
        <v/>
      </c>
      <c r="G221">
        <f>IF(Config!$G$8=0,0,IF(ABS(($A221-Config!$F$8)/Config!$G$8)&gt;3,$D221,0))</f>
        <v/>
      </c>
      <c r="H221">
        <f>IFERROR(NORM.DIST($A221,Config!$F$8,Config!$G$8,FALSE)*Config!$D$8*Config!$J$8,0)</f>
        <v/>
      </c>
    </row>
    <row r="222">
      <c r="A222" s="6">
        <f>Config!$K$8+28*Config!$J$8+Config!$J$8/2</f>
        <v/>
      </c>
      <c r="B222" s="6">
        <f>$A222-Config!$J$8/2</f>
        <v/>
      </c>
      <c r="C222" s="6">
        <f>$A222+Config!$J$8/2</f>
        <v/>
      </c>
      <c r="D222" s="6">
        <f>COUNTIFS(RawData!$C$2:$C$941,"LT",RawData!$M$2:$M$941,"&gt;="&amp;$B222,RawData!$M$2:$M$941,"&lt;"&amp;$C222,RawData!$M$2:$M$941,"&lt;&gt;0")</f>
        <v/>
      </c>
      <c r="E222" s="6">
        <f>IF(Config!$G$8=0,0,IF(ABS(($A222-Config!$F$8)/Config!$G$8)&lt;=2,$D222,0))</f>
        <v/>
      </c>
      <c r="F222" s="6">
        <f>IF(Config!$G$8=0,0,IF(AND(ABS(($A222-Config!$F$8)/Config!$G$8)&gt;2,ABS(($A222-Config!$F$8)/Config!$G$8)&lt;=3),$D222,0))</f>
        <v/>
      </c>
      <c r="G222" s="6">
        <f>IF(Config!$G$8=0,0,IF(ABS(($A222-Config!$F$8)/Config!$G$8)&gt;3,$D222,0))</f>
        <v/>
      </c>
      <c r="H222" s="6">
        <f>IFERROR(NORM.DIST($A222,Config!$F$8,Config!$G$8,FALSE)*Config!$D$8*Config!$J$8,0)</f>
        <v/>
      </c>
    </row>
    <row r="223">
      <c r="A223">
        <f>Config!$K$8+29*Config!$J$8+Config!$J$8/2</f>
        <v/>
      </c>
      <c r="B223">
        <f>$A223-Config!$J$8/2</f>
        <v/>
      </c>
      <c r="C223">
        <f>$A223+Config!$J$8/2</f>
        <v/>
      </c>
      <c r="D223">
        <f>COUNTIFS(RawData!$C$2:$C$941,"LT",RawData!$M$2:$M$941,"&gt;="&amp;$B223,RawData!$M$2:$M$941,"&lt;"&amp;$C223,RawData!$M$2:$M$941,"&lt;&gt;0")</f>
        <v/>
      </c>
      <c r="E223">
        <f>IF(Config!$G$8=0,0,IF(ABS(($A223-Config!$F$8)/Config!$G$8)&lt;=2,$D223,0))</f>
        <v/>
      </c>
      <c r="F223">
        <f>IF(Config!$G$8=0,0,IF(AND(ABS(($A223-Config!$F$8)/Config!$G$8)&gt;2,ABS(($A223-Config!$F$8)/Config!$G$8)&lt;=3),$D223,0))</f>
        <v/>
      </c>
      <c r="G223">
        <f>IF(Config!$G$8=0,0,IF(ABS(($A223-Config!$F$8)/Config!$G$8)&gt;3,$D223,0))</f>
        <v/>
      </c>
      <c r="H223">
        <f>IFERROR(NORM.DIST($A223,Config!$F$8,Config!$G$8,FALSE)*Config!$D$8*Config!$J$8,0)</f>
        <v/>
      </c>
    </row>
    <row r="225">
      <c r="A225" s="5" t="inlineStr">
        <is>
          <t>BinCenter</t>
        </is>
      </c>
      <c r="B225" s="5" t="inlineStr">
        <is>
          <t>BinLo</t>
        </is>
      </c>
      <c r="C225" s="5" t="inlineStr">
        <is>
          <t>BinHi</t>
        </is>
      </c>
      <c r="D225" s="5" t="inlineStr">
        <is>
          <t>TotalCount</t>
        </is>
      </c>
      <c r="E225" s="5" t="inlineStr">
        <is>
          <t>Normal</t>
        </is>
      </c>
      <c r="F225" s="5" t="inlineStr">
        <is>
          <t>Warning(2-3s)</t>
        </is>
      </c>
      <c r="G225" s="5" t="inlineStr">
        <is>
          <t>Outlier(&gt;3s)</t>
        </is>
      </c>
      <c r="H225" s="5" t="inlineStr">
        <is>
          <t>CurveY</t>
        </is>
      </c>
    </row>
    <row r="226">
      <c r="A226" s="6">
        <f>Config!$K$9+0*Config!$J$9+Config!$J$9/2</f>
        <v/>
      </c>
      <c r="B226" s="6">
        <f>$A226-Config!$J$9/2</f>
        <v/>
      </c>
      <c r="C226" s="6">
        <f>$A226+Config!$J$9/2</f>
        <v/>
      </c>
      <c r="D226" s="6">
        <f>COUNTIFS(RawData!$C$2:$C$941,"LT",RawData!$N$2:$N$941,"&gt;="&amp;$B226,RawData!$N$2:$N$941,"&lt;"&amp;$C226,RawData!$N$2:$N$941,"&lt;&gt;0")</f>
        <v/>
      </c>
      <c r="E226" s="6">
        <f>IF(Config!$G$9=0,0,IF(ABS(($A226-Config!$F$9)/Config!$G$9)&lt;=2,$D226,0))</f>
        <v/>
      </c>
      <c r="F226" s="6">
        <f>IF(Config!$G$9=0,0,IF(AND(ABS(($A226-Config!$F$9)/Config!$G$9)&gt;2,ABS(($A226-Config!$F$9)/Config!$G$9)&lt;=3),$D226,0))</f>
        <v/>
      </c>
      <c r="G226" s="6">
        <f>IF(Config!$G$9=0,0,IF(ABS(($A226-Config!$F$9)/Config!$G$9)&gt;3,$D226,0))</f>
        <v/>
      </c>
      <c r="H226" s="6">
        <f>IFERROR(NORM.DIST($A226,Config!$F$9,Config!$G$9,FALSE)*Config!$D$9*Config!$J$9,0)</f>
        <v/>
      </c>
    </row>
    <row r="227">
      <c r="A227">
        <f>Config!$K$9+1*Config!$J$9+Config!$J$9/2</f>
        <v/>
      </c>
      <c r="B227">
        <f>$A227-Config!$J$9/2</f>
        <v/>
      </c>
      <c r="C227">
        <f>$A227+Config!$J$9/2</f>
        <v/>
      </c>
      <c r="D227">
        <f>COUNTIFS(RawData!$C$2:$C$941,"LT",RawData!$N$2:$N$941,"&gt;="&amp;$B227,RawData!$N$2:$N$941,"&lt;"&amp;$C227,RawData!$N$2:$N$941,"&lt;&gt;0")</f>
        <v/>
      </c>
      <c r="E227">
        <f>IF(Config!$G$9=0,0,IF(ABS(($A227-Config!$F$9)/Config!$G$9)&lt;=2,$D227,0))</f>
        <v/>
      </c>
      <c r="F227">
        <f>IF(Config!$G$9=0,0,IF(AND(ABS(($A227-Config!$F$9)/Config!$G$9)&gt;2,ABS(($A227-Config!$F$9)/Config!$G$9)&lt;=3),$D227,0))</f>
        <v/>
      </c>
      <c r="G227">
        <f>IF(Config!$G$9=0,0,IF(ABS(($A227-Config!$F$9)/Config!$G$9)&gt;3,$D227,0))</f>
        <v/>
      </c>
      <c r="H227">
        <f>IFERROR(NORM.DIST($A227,Config!$F$9,Config!$G$9,FALSE)*Config!$D$9*Config!$J$9,0)</f>
        <v/>
      </c>
    </row>
    <row r="228">
      <c r="A228" s="6">
        <f>Config!$K$9+2*Config!$J$9+Config!$J$9/2</f>
        <v/>
      </c>
      <c r="B228" s="6">
        <f>$A228-Config!$J$9/2</f>
        <v/>
      </c>
      <c r="C228" s="6">
        <f>$A228+Config!$J$9/2</f>
        <v/>
      </c>
      <c r="D228" s="6">
        <f>COUNTIFS(RawData!$C$2:$C$941,"LT",RawData!$N$2:$N$941,"&gt;="&amp;$B228,RawData!$N$2:$N$941,"&lt;"&amp;$C228,RawData!$N$2:$N$941,"&lt;&gt;0")</f>
        <v/>
      </c>
      <c r="E228" s="6">
        <f>IF(Config!$G$9=0,0,IF(ABS(($A228-Config!$F$9)/Config!$G$9)&lt;=2,$D228,0))</f>
        <v/>
      </c>
      <c r="F228" s="6">
        <f>IF(Config!$G$9=0,0,IF(AND(ABS(($A228-Config!$F$9)/Config!$G$9)&gt;2,ABS(($A228-Config!$F$9)/Config!$G$9)&lt;=3),$D228,0))</f>
        <v/>
      </c>
      <c r="G228" s="6">
        <f>IF(Config!$G$9=0,0,IF(ABS(($A228-Config!$F$9)/Config!$G$9)&gt;3,$D228,0))</f>
        <v/>
      </c>
      <c r="H228" s="6">
        <f>IFERROR(NORM.DIST($A228,Config!$F$9,Config!$G$9,FALSE)*Config!$D$9*Config!$J$9,0)</f>
        <v/>
      </c>
    </row>
    <row r="229">
      <c r="A229">
        <f>Config!$K$9+3*Config!$J$9+Config!$J$9/2</f>
        <v/>
      </c>
      <c r="B229">
        <f>$A229-Config!$J$9/2</f>
        <v/>
      </c>
      <c r="C229">
        <f>$A229+Config!$J$9/2</f>
        <v/>
      </c>
      <c r="D229">
        <f>COUNTIFS(RawData!$C$2:$C$941,"LT",RawData!$N$2:$N$941,"&gt;="&amp;$B229,RawData!$N$2:$N$941,"&lt;"&amp;$C229,RawData!$N$2:$N$941,"&lt;&gt;0")</f>
        <v/>
      </c>
      <c r="E229">
        <f>IF(Config!$G$9=0,0,IF(ABS(($A229-Config!$F$9)/Config!$G$9)&lt;=2,$D229,0))</f>
        <v/>
      </c>
      <c r="F229">
        <f>IF(Config!$G$9=0,0,IF(AND(ABS(($A229-Config!$F$9)/Config!$G$9)&gt;2,ABS(($A229-Config!$F$9)/Config!$G$9)&lt;=3),$D229,0))</f>
        <v/>
      </c>
      <c r="G229">
        <f>IF(Config!$G$9=0,0,IF(ABS(($A229-Config!$F$9)/Config!$G$9)&gt;3,$D229,0))</f>
        <v/>
      </c>
      <c r="H229">
        <f>IFERROR(NORM.DIST($A229,Config!$F$9,Config!$G$9,FALSE)*Config!$D$9*Config!$J$9,0)</f>
        <v/>
      </c>
    </row>
    <row r="230">
      <c r="A230" s="6">
        <f>Config!$K$9+4*Config!$J$9+Config!$J$9/2</f>
        <v/>
      </c>
      <c r="B230" s="6">
        <f>$A230-Config!$J$9/2</f>
        <v/>
      </c>
      <c r="C230" s="6">
        <f>$A230+Config!$J$9/2</f>
        <v/>
      </c>
      <c r="D230" s="6">
        <f>COUNTIFS(RawData!$C$2:$C$941,"LT",RawData!$N$2:$N$941,"&gt;="&amp;$B230,RawData!$N$2:$N$941,"&lt;"&amp;$C230,RawData!$N$2:$N$941,"&lt;&gt;0")</f>
        <v/>
      </c>
      <c r="E230" s="6">
        <f>IF(Config!$G$9=0,0,IF(ABS(($A230-Config!$F$9)/Config!$G$9)&lt;=2,$D230,0))</f>
        <v/>
      </c>
      <c r="F230" s="6">
        <f>IF(Config!$G$9=0,0,IF(AND(ABS(($A230-Config!$F$9)/Config!$G$9)&gt;2,ABS(($A230-Config!$F$9)/Config!$G$9)&lt;=3),$D230,0))</f>
        <v/>
      </c>
      <c r="G230" s="6">
        <f>IF(Config!$G$9=0,0,IF(ABS(($A230-Config!$F$9)/Config!$G$9)&gt;3,$D230,0))</f>
        <v/>
      </c>
      <c r="H230" s="6">
        <f>IFERROR(NORM.DIST($A230,Config!$F$9,Config!$G$9,FALSE)*Config!$D$9*Config!$J$9,0)</f>
        <v/>
      </c>
    </row>
    <row r="231">
      <c r="A231">
        <f>Config!$K$9+5*Config!$J$9+Config!$J$9/2</f>
        <v/>
      </c>
      <c r="B231">
        <f>$A231-Config!$J$9/2</f>
        <v/>
      </c>
      <c r="C231">
        <f>$A231+Config!$J$9/2</f>
        <v/>
      </c>
      <c r="D231">
        <f>COUNTIFS(RawData!$C$2:$C$941,"LT",RawData!$N$2:$N$941,"&gt;="&amp;$B231,RawData!$N$2:$N$941,"&lt;"&amp;$C231,RawData!$N$2:$N$941,"&lt;&gt;0")</f>
        <v/>
      </c>
      <c r="E231">
        <f>IF(Config!$G$9=0,0,IF(ABS(($A231-Config!$F$9)/Config!$G$9)&lt;=2,$D231,0))</f>
        <v/>
      </c>
      <c r="F231">
        <f>IF(Config!$G$9=0,0,IF(AND(ABS(($A231-Config!$F$9)/Config!$G$9)&gt;2,ABS(($A231-Config!$F$9)/Config!$G$9)&lt;=3),$D231,0))</f>
        <v/>
      </c>
      <c r="G231">
        <f>IF(Config!$G$9=0,0,IF(ABS(($A231-Config!$F$9)/Config!$G$9)&gt;3,$D231,0))</f>
        <v/>
      </c>
      <c r="H231">
        <f>IFERROR(NORM.DIST($A231,Config!$F$9,Config!$G$9,FALSE)*Config!$D$9*Config!$J$9,0)</f>
        <v/>
      </c>
    </row>
    <row r="232">
      <c r="A232" s="6">
        <f>Config!$K$9+6*Config!$J$9+Config!$J$9/2</f>
        <v/>
      </c>
      <c r="B232" s="6">
        <f>$A232-Config!$J$9/2</f>
        <v/>
      </c>
      <c r="C232" s="6">
        <f>$A232+Config!$J$9/2</f>
        <v/>
      </c>
      <c r="D232" s="6">
        <f>COUNTIFS(RawData!$C$2:$C$941,"LT",RawData!$N$2:$N$941,"&gt;="&amp;$B232,RawData!$N$2:$N$941,"&lt;"&amp;$C232,RawData!$N$2:$N$941,"&lt;&gt;0")</f>
        <v/>
      </c>
      <c r="E232" s="6">
        <f>IF(Config!$G$9=0,0,IF(ABS(($A232-Config!$F$9)/Config!$G$9)&lt;=2,$D232,0))</f>
        <v/>
      </c>
      <c r="F232" s="6">
        <f>IF(Config!$G$9=0,0,IF(AND(ABS(($A232-Config!$F$9)/Config!$G$9)&gt;2,ABS(($A232-Config!$F$9)/Config!$G$9)&lt;=3),$D232,0))</f>
        <v/>
      </c>
      <c r="G232" s="6">
        <f>IF(Config!$G$9=0,0,IF(ABS(($A232-Config!$F$9)/Config!$G$9)&gt;3,$D232,0))</f>
        <v/>
      </c>
      <c r="H232" s="6">
        <f>IFERROR(NORM.DIST($A232,Config!$F$9,Config!$G$9,FALSE)*Config!$D$9*Config!$J$9,0)</f>
        <v/>
      </c>
    </row>
    <row r="233">
      <c r="A233">
        <f>Config!$K$9+7*Config!$J$9+Config!$J$9/2</f>
        <v/>
      </c>
      <c r="B233">
        <f>$A233-Config!$J$9/2</f>
        <v/>
      </c>
      <c r="C233">
        <f>$A233+Config!$J$9/2</f>
        <v/>
      </c>
      <c r="D233">
        <f>COUNTIFS(RawData!$C$2:$C$941,"LT",RawData!$N$2:$N$941,"&gt;="&amp;$B233,RawData!$N$2:$N$941,"&lt;"&amp;$C233,RawData!$N$2:$N$941,"&lt;&gt;0")</f>
        <v/>
      </c>
      <c r="E233">
        <f>IF(Config!$G$9=0,0,IF(ABS(($A233-Config!$F$9)/Config!$G$9)&lt;=2,$D233,0))</f>
        <v/>
      </c>
      <c r="F233">
        <f>IF(Config!$G$9=0,0,IF(AND(ABS(($A233-Config!$F$9)/Config!$G$9)&gt;2,ABS(($A233-Config!$F$9)/Config!$G$9)&lt;=3),$D233,0))</f>
        <v/>
      </c>
      <c r="G233">
        <f>IF(Config!$G$9=0,0,IF(ABS(($A233-Config!$F$9)/Config!$G$9)&gt;3,$D233,0))</f>
        <v/>
      </c>
      <c r="H233">
        <f>IFERROR(NORM.DIST($A233,Config!$F$9,Config!$G$9,FALSE)*Config!$D$9*Config!$J$9,0)</f>
        <v/>
      </c>
    </row>
    <row r="234">
      <c r="A234" s="6">
        <f>Config!$K$9+8*Config!$J$9+Config!$J$9/2</f>
        <v/>
      </c>
      <c r="B234" s="6">
        <f>$A234-Config!$J$9/2</f>
        <v/>
      </c>
      <c r="C234" s="6">
        <f>$A234+Config!$J$9/2</f>
        <v/>
      </c>
      <c r="D234" s="6">
        <f>COUNTIFS(RawData!$C$2:$C$941,"LT",RawData!$N$2:$N$941,"&gt;="&amp;$B234,RawData!$N$2:$N$941,"&lt;"&amp;$C234,RawData!$N$2:$N$941,"&lt;&gt;0")</f>
        <v/>
      </c>
      <c r="E234" s="6">
        <f>IF(Config!$G$9=0,0,IF(ABS(($A234-Config!$F$9)/Config!$G$9)&lt;=2,$D234,0))</f>
        <v/>
      </c>
      <c r="F234" s="6">
        <f>IF(Config!$G$9=0,0,IF(AND(ABS(($A234-Config!$F$9)/Config!$G$9)&gt;2,ABS(($A234-Config!$F$9)/Config!$G$9)&lt;=3),$D234,0))</f>
        <v/>
      </c>
      <c r="G234" s="6">
        <f>IF(Config!$G$9=0,0,IF(ABS(($A234-Config!$F$9)/Config!$G$9)&gt;3,$D234,0))</f>
        <v/>
      </c>
      <c r="H234" s="6">
        <f>IFERROR(NORM.DIST($A234,Config!$F$9,Config!$G$9,FALSE)*Config!$D$9*Config!$J$9,0)</f>
        <v/>
      </c>
    </row>
    <row r="235">
      <c r="A235">
        <f>Config!$K$9+9*Config!$J$9+Config!$J$9/2</f>
        <v/>
      </c>
      <c r="B235">
        <f>$A235-Config!$J$9/2</f>
        <v/>
      </c>
      <c r="C235">
        <f>$A235+Config!$J$9/2</f>
        <v/>
      </c>
      <c r="D235">
        <f>COUNTIFS(RawData!$C$2:$C$941,"LT",RawData!$N$2:$N$941,"&gt;="&amp;$B235,RawData!$N$2:$N$941,"&lt;"&amp;$C235,RawData!$N$2:$N$941,"&lt;&gt;0")</f>
        <v/>
      </c>
      <c r="E235">
        <f>IF(Config!$G$9=0,0,IF(ABS(($A235-Config!$F$9)/Config!$G$9)&lt;=2,$D235,0))</f>
        <v/>
      </c>
      <c r="F235">
        <f>IF(Config!$G$9=0,0,IF(AND(ABS(($A235-Config!$F$9)/Config!$G$9)&gt;2,ABS(($A235-Config!$F$9)/Config!$G$9)&lt;=3),$D235,0))</f>
        <v/>
      </c>
      <c r="G235">
        <f>IF(Config!$G$9=0,0,IF(ABS(($A235-Config!$F$9)/Config!$G$9)&gt;3,$D235,0))</f>
        <v/>
      </c>
      <c r="H235">
        <f>IFERROR(NORM.DIST($A235,Config!$F$9,Config!$G$9,FALSE)*Config!$D$9*Config!$J$9,0)</f>
        <v/>
      </c>
    </row>
    <row r="236">
      <c r="A236" s="6">
        <f>Config!$K$9+10*Config!$J$9+Config!$J$9/2</f>
        <v/>
      </c>
      <c r="B236" s="6">
        <f>$A236-Config!$J$9/2</f>
        <v/>
      </c>
      <c r="C236" s="6">
        <f>$A236+Config!$J$9/2</f>
        <v/>
      </c>
      <c r="D236" s="6">
        <f>COUNTIFS(RawData!$C$2:$C$941,"LT",RawData!$N$2:$N$941,"&gt;="&amp;$B236,RawData!$N$2:$N$941,"&lt;"&amp;$C236,RawData!$N$2:$N$941,"&lt;&gt;0")</f>
        <v/>
      </c>
      <c r="E236" s="6">
        <f>IF(Config!$G$9=0,0,IF(ABS(($A236-Config!$F$9)/Config!$G$9)&lt;=2,$D236,0))</f>
        <v/>
      </c>
      <c r="F236" s="6">
        <f>IF(Config!$G$9=0,0,IF(AND(ABS(($A236-Config!$F$9)/Config!$G$9)&gt;2,ABS(($A236-Config!$F$9)/Config!$G$9)&lt;=3),$D236,0))</f>
        <v/>
      </c>
      <c r="G236" s="6">
        <f>IF(Config!$G$9=0,0,IF(ABS(($A236-Config!$F$9)/Config!$G$9)&gt;3,$D236,0))</f>
        <v/>
      </c>
      <c r="H236" s="6">
        <f>IFERROR(NORM.DIST($A236,Config!$F$9,Config!$G$9,FALSE)*Config!$D$9*Config!$J$9,0)</f>
        <v/>
      </c>
    </row>
    <row r="237">
      <c r="A237">
        <f>Config!$K$9+11*Config!$J$9+Config!$J$9/2</f>
        <v/>
      </c>
      <c r="B237">
        <f>$A237-Config!$J$9/2</f>
        <v/>
      </c>
      <c r="C237">
        <f>$A237+Config!$J$9/2</f>
        <v/>
      </c>
      <c r="D237">
        <f>COUNTIFS(RawData!$C$2:$C$941,"LT",RawData!$N$2:$N$941,"&gt;="&amp;$B237,RawData!$N$2:$N$941,"&lt;"&amp;$C237,RawData!$N$2:$N$941,"&lt;&gt;0")</f>
        <v/>
      </c>
      <c r="E237">
        <f>IF(Config!$G$9=0,0,IF(ABS(($A237-Config!$F$9)/Config!$G$9)&lt;=2,$D237,0))</f>
        <v/>
      </c>
      <c r="F237">
        <f>IF(Config!$G$9=0,0,IF(AND(ABS(($A237-Config!$F$9)/Config!$G$9)&gt;2,ABS(($A237-Config!$F$9)/Config!$G$9)&lt;=3),$D237,0))</f>
        <v/>
      </c>
      <c r="G237">
        <f>IF(Config!$G$9=0,0,IF(ABS(($A237-Config!$F$9)/Config!$G$9)&gt;3,$D237,0))</f>
        <v/>
      </c>
      <c r="H237">
        <f>IFERROR(NORM.DIST($A237,Config!$F$9,Config!$G$9,FALSE)*Config!$D$9*Config!$J$9,0)</f>
        <v/>
      </c>
    </row>
    <row r="238">
      <c r="A238" s="6">
        <f>Config!$K$9+12*Config!$J$9+Config!$J$9/2</f>
        <v/>
      </c>
      <c r="B238" s="6">
        <f>$A238-Config!$J$9/2</f>
        <v/>
      </c>
      <c r="C238" s="6">
        <f>$A238+Config!$J$9/2</f>
        <v/>
      </c>
      <c r="D238" s="6">
        <f>COUNTIFS(RawData!$C$2:$C$941,"LT",RawData!$N$2:$N$941,"&gt;="&amp;$B238,RawData!$N$2:$N$941,"&lt;"&amp;$C238,RawData!$N$2:$N$941,"&lt;&gt;0")</f>
        <v/>
      </c>
      <c r="E238" s="6">
        <f>IF(Config!$G$9=0,0,IF(ABS(($A238-Config!$F$9)/Config!$G$9)&lt;=2,$D238,0))</f>
        <v/>
      </c>
      <c r="F238" s="6">
        <f>IF(Config!$G$9=0,0,IF(AND(ABS(($A238-Config!$F$9)/Config!$G$9)&gt;2,ABS(($A238-Config!$F$9)/Config!$G$9)&lt;=3),$D238,0))</f>
        <v/>
      </c>
      <c r="G238" s="6">
        <f>IF(Config!$G$9=0,0,IF(ABS(($A238-Config!$F$9)/Config!$G$9)&gt;3,$D238,0))</f>
        <v/>
      </c>
      <c r="H238" s="6">
        <f>IFERROR(NORM.DIST($A238,Config!$F$9,Config!$G$9,FALSE)*Config!$D$9*Config!$J$9,0)</f>
        <v/>
      </c>
    </row>
    <row r="239">
      <c r="A239">
        <f>Config!$K$9+13*Config!$J$9+Config!$J$9/2</f>
        <v/>
      </c>
      <c r="B239">
        <f>$A239-Config!$J$9/2</f>
        <v/>
      </c>
      <c r="C239">
        <f>$A239+Config!$J$9/2</f>
        <v/>
      </c>
      <c r="D239">
        <f>COUNTIFS(RawData!$C$2:$C$941,"LT",RawData!$N$2:$N$941,"&gt;="&amp;$B239,RawData!$N$2:$N$941,"&lt;"&amp;$C239,RawData!$N$2:$N$941,"&lt;&gt;0")</f>
        <v/>
      </c>
      <c r="E239">
        <f>IF(Config!$G$9=0,0,IF(ABS(($A239-Config!$F$9)/Config!$G$9)&lt;=2,$D239,0))</f>
        <v/>
      </c>
      <c r="F239">
        <f>IF(Config!$G$9=0,0,IF(AND(ABS(($A239-Config!$F$9)/Config!$G$9)&gt;2,ABS(($A239-Config!$F$9)/Config!$G$9)&lt;=3),$D239,0))</f>
        <v/>
      </c>
      <c r="G239">
        <f>IF(Config!$G$9=0,0,IF(ABS(($A239-Config!$F$9)/Config!$G$9)&gt;3,$D239,0))</f>
        <v/>
      </c>
      <c r="H239">
        <f>IFERROR(NORM.DIST($A239,Config!$F$9,Config!$G$9,FALSE)*Config!$D$9*Config!$J$9,0)</f>
        <v/>
      </c>
    </row>
    <row r="240">
      <c r="A240" s="6">
        <f>Config!$K$9+14*Config!$J$9+Config!$J$9/2</f>
        <v/>
      </c>
      <c r="B240" s="6">
        <f>$A240-Config!$J$9/2</f>
        <v/>
      </c>
      <c r="C240" s="6">
        <f>$A240+Config!$J$9/2</f>
        <v/>
      </c>
      <c r="D240" s="6">
        <f>COUNTIFS(RawData!$C$2:$C$941,"LT",RawData!$N$2:$N$941,"&gt;="&amp;$B240,RawData!$N$2:$N$941,"&lt;"&amp;$C240,RawData!$N$2:$N$941,"&lt;&gt;0")</f>
        <v/>
      </c>
      <c r="E240" s="6">
        <f>IF(Config!$G$9=0,0,IF(ABS(($A240-Config!$F$9)/Config!$G$9)&lt;=2,$D240,0))</f>
        <v/>
      </c>
      <c r="F240" s="6">
        <f>IF(Config!$G$9=0,0,IF(AND(ABS(($A240-Config!$F$9)/Config!$G$9)&gt;2,ABS(($A240-Config!$F$9)/Config!$G$9)&lt;=3),$D240,0))</f>
        <v/>
      </c>
      <c r="G240" s="6">
        <f>IF(Config!$G$9=0,0,IF(ABS(($A240-Config!$F$9)/Config!$G$9)&gt;3,$D240,0))</f>
        <v/>
      </c>
      <c r="H240" s="6">
        <f>IFERROR(NORM.DIST($A240,Config!$F$9,Config!$G$9,FALSE)*Config!$D$9*Config!$J$9,0)</f>
        <v/>
      </c>
    </row>
    <row r="241">
      <c r="A241">
        <f>Config!$K$9+15*Config!$J$9+Config!$J$9/2</f>
        <v/>
      </c>
      <c r="B241">
        <f>$A241-Config!$J$9/2</f>
        <v/>
      </c>
      <c r="C241">
        <f>$A241+Config!$J$9/2</f>
        <v/>
      </c>
      <c r="D241">
        <f>COUNTIFS(RawData!$C$2:$C$941,"LT",RawData!$N$2:$N$941,"&gt;="&amp;$B241,RawData!$N$2:$N$941,"&lt;"&amp;$C241,RawData!$N$2:$N$941,"&lt;&gt;0")</f>
        <v/>
      </c>
      <c r="E241">
        <f>IF(Config!$G$9=0,0,IF(ABS(($A241-Config!$F$9)/Config!$G$9)&lt;=2,$D241,0))</f>
        <v/>
      </c>
      <c r="F241">
        <f>IF(Config!$G$9=0,0,IF(AND(ABS(($A241-Config!$F$9)/Config!$G$9)&gt;2,ABS(($A241-Config!$F$9)/Config!$G$9)&lt;=3),$D241,0))</f>
        <v/>
      </c>
      <c r="G241">
        <f>IF(Config!$G$9=0,0,IF(ABS(($A241-Config!$F$9)/Config!$G$9)&gt;3,$D241,0))</f>
        <v/>
      </c>
      <c r="H241">
        <f>IFERROR(NORM.DIST($A241,Config!$F$9,Config!$G$9,FALSE)*Config!$D$9*Config!$J$9,0)</f>
        <v/>
      </c>
    </row>
    <row r="242">
      <c r="A242" s="6">
        <f>Config!$K$9+16*Config!$J$9+Config!$J$9/2</f>
        <v/>
      </c>
      <c r="B242" s="6">
        <f>$A242-Config!$J$9/2</f>
        <v/>
      </c>
      <c r="C242" s="6">
        <f>$A242+Config!$J$9/2</f>
        <v/>
      </c>
      <c r="D242" s="6">
        <f>COUNTIFS(RawData!$C$2:$C$941,"LT",RawData!$N$2:$N$941,"&gt;="&amp;$B242,RawData!$N$2:$N$941,"&lt;"&amp;$C242,RawData!$N$2:$N$941,"&lt;&gt;0")</f>
        <v/>
      </c>
      <c r="E242" s="6">
        <f>IF(Config!$G$9=0,0,IF(ABS(($A242-Config!$F$9)/Config!$G$9)&lt;=2,$D242,0))</f>
        <v/>
      </c>
      <c r="F242" s="6">
        <f>IF(Config!$G$9=0,0,IF(AND(ABS(($A242-Config!$F$9)/Config!$G$9)&gt;2,ABS(($A242-Config!$F$9)/Config!$G$9)&lt;=3),$D242,0))</f>
        <v/>
      </c>
      <c r="G242" s="6">
        <f>IF(Config!$G$9=0,0,IF(ABS(($A242-Config!$F$9)/Config!$G$9)&gt;3,$D242,0))</f>
        <v/>
      </c>
      <c r="H242" s="6">
        <f>IFERROR(NORM.DIST($A242,Config!$F$9,Config!$G$9,FALSE)*Config!$D$9*Config!$J$9,0)</f>
        <v/>
      </c>
    </row>
    <row r="243">
      <c r="A243">
        <f>Config!$K$9+17*Config!$J$9+Config!$J$9/2</f>
        <v/>
      </c>
      <c r="B243">
        <f>$A243-Config!$J$9/2</f>
        <v/>
      </c>
      <c r="C243">
        <f>$A243+Config!$J$9/2</f>
        <v/>
      </c>
      <c r="D243">
        <f>COUNTIFS(RawData!$C$2:$C$941,"LT",RawData!$N$2:$N$941,"&gt;="&amp;$B243,RawData!$N$2:$N$941,"&lt;"&amp;$C243,RawData!$N$2:$N$941,"&lt;&gt;0")</f>
        <v/>
      </c>
      <c r="E243">
        <f>IF(Config!$G$9=0,0,IF(ABS(($A243-Config!$F$9)/Config!$G$9)&lt;=2,$D243,0))</f>
        <v/>
      </c>
      <c r="F243">
        <f>IF(Config!$G$9=0,0,IF(AND(ABS(($A243-Config!$F$9)/Config!$G$9)&gt;2,ABS(($A243-Config!$F$9)/Config!$G$9)&lt;=3),$D243,0))</f>
        <v/>
      </c>
      <c r="G243">
        <f>IF(Config!$G$9=0,0,IF(ABS(($A243-Config!$F$9)/Config!$G$9)&gt;3,$D243,0))</f>
        <v/>
      </c>
      <c r="H243">
        <f>IFERROR(NORM.DIST($A243,Config!$F$9,Config!$G$9,FALSE)*Config!$D$9*Config!$J$9,0)</f>
        <v/>
      </c>
    </row>
    <row r="244">
      <c r="A244" s="6">
        <f>Config!$K$9+18*Config!$J$9+Config!$J$9/2</f>
        <v/>
      </c>
      <c r="B244" s="6">
        <f>$A244-Config!$J$9/2</f>
        <v/>
      </c>
      <c r="C244" s="6">
        <f>$A244+Config!$J$9/2</f>
        <v/>
      </c>
      <c r="D244" s="6">
        <f>COUNTIFS(RawData!$C$2:$C$941,"LT",RawData!$N$2:$N$941,"&gt;="&amp;$B244,RawData!$N$2:$N$941,"&lt;"&amp;$C244,RawData!$N$2:$N$941,"&lt;&gt;0")</f>
        <v/>
      </c>
      <c r="E244" s="6">
        <f>IF(Config!$G$9=0,0,IF(ABS(($A244-Config!$F$9)/Config!$G$9)&lt;=2,$D244,0))</f>
        <v/>
      </c>
      <c r="F244" s="6">
        <f>IF(Config!$G$9=0,0,IF(AND(ABS(($A244-Config!$F$9)/Config!$G$9)&gt;2,ABS(($A244-Config!$F$9)/Config!$G$9)&lt;=3),$D244,0))</f>
        <v/>
      </c>
      <c r="G244" s="6">
        <f>IF(Config!$G$9=0,0,IF(ABS(($A244-Config!$F$9)/Config!$G$9)&gt;3,$D244,0))</f>
        <v/>
      </c>
      <c r="H244" s="6">
        <f>IFERROR(NORM.DIST($A244,Config!$F$9,Config!$G$9,FALSE)*Config!$D$9*Config!$J$9,0)</f>
        <v/>
      </c>
    </row>
    <row r="245">
      <c r="A245">
        <f>Config!$K$9+19*Config!$J$9+Config!$J$9/2</f>
        <v/>
      </c>
      <c r="B245">
        <f>$A245-Config!$J$9/2</f>
        <v/>
      </c>
      <c r="C245">
        <f>$A245+Config!$J$9/2</f>
        <v/>
      </c>
      <c r="D245">
        <f>COUNTIFS(RawData!$C$2:$C$941,"LT",RawData!$N$2:$N$941,"&gt;="&amp;$B245,RawData!$N$2:$N$941,"&lt;"&amp;$C245,RawData!$N$2:$N$941,"&lt;&gt;0")</f>
        <v/>
      </c>
      <c r="E245">
        <f>IF(Config!$G$9=0,0,IF(ABS(($A245-Config!$F$9)/Config!$G$9)&lt;=2,$D245,0))</f>
        <v/>
      </c>
      <c r="F245">
        <f>IF(Config!$G$9=0,0,IF(AND(ABS(($A245-Config!$F$9)/Config!$G$9)&gt;2,ABS(($A245-Config!$F$9)/Config!$G$9)&lt;=3),$D245,0))</f>
        <v/>
      </c>
      <c r="G245">
        <f>IF(Config!$G$9=0,0,IF(ABS(($A245-Config!$F$9)/Config!$G$9)&gt;3,$D245,0))</f>
        <v/>
      </c>
      <c r="H245">
        <f>IFERROR(NORM.DIST($A245,Config!$F$9,Config!$G$9,FALSE)*Config!$D$9*Config!$J$9,0)</f>
        <v/>
      </c>
    </row>
    <row r="246">
      <c r="A246" s="6">
        <f>Config!$K$9+20*Config!$J$9+Config!$J$9/2</f>
        <v/>
      </c>
      <c r="B246" s="6">
        <f>$A246-Config!$J$9/2</f>
        <v/>
      </c>
      <c r="C246" s="6">
        <f>$A246+Config!$J$9/2</f>
        <v/>
      </c>
      <c r="D246" s="6">
        <f>COUNTIFS(RawData!$C$2:$C$941,"LT",RawData!$N$2:$N$941,"&gt;="&amp;$B246,RawData!$N$2:$N$941,"&lt;"&amp;$C246,RawData!$N$2:$N$941,"&lt;&gt;0")</f>
        <v/>
      </c>
      <c r="E246" s="6">
        <f>IF(Config!$G$9=0,0,IF(ABS(($A246-Config!$F$9)/Config!$G$9)&lt;=2,$D246,0))</f>
        <v/>
      </c>
      <c r="F246" s="6">
        <f>IF(Config!$G$9=0,0,IF(AND(ABS(($A246-Config!$F$9)/Config!$G$9)&gt;2,ABS(($A246-Config!$F$9)/Config!$G$9)&lt;=3),$D246,0))</f>
        <v/>
      </c>
      <c r="G246" s="6">
        <f>IF(Config!$G$9=0,0,IF(ABS(($A246-Config!$F$9)/Config!$G$9)&gt;3,$D246,0))</f>
        <v/>
      </c>
      <c r="H246" s="6">
        <f>IFERROR(NORM.DIST($A246,Config!$F$9,Config!$G$9,FALSE)*Config!$D$9*Config!$J$9,0)</f>
        <v/>
      </c>
    </row>
    <row r="247">
      <c r="A247">
        <f>Config!$K$9+21*Config!$J$9+Config!$J$9/2</f>
        <v/>
      </c>
      <c r="B247">
        <f>$A247-Config!$J$9/2</f>
        <v/>
      </c>
      <c r="C247">
        <f>$A247+Config!$J$9/2</f>
        <v/>
      </c>
      <c r="D247">
        <f>COUNTIFS(RawData!$C$2:$C$941,"LT",RawData!$N$2:$N$941,"&gt;="&amp;$B247,RawData!$N$2:$N$941,"&lt;"&amp;$C247,RawData!$N$2:$N$941,"&lt;&gt;0")</f>
        <v/>
      </c>
      <c r="E247">
        <f>IF(Config!$G$9=0,0,IF(ABS(($A247-Config!$F$9)/Config!$G$9)&lt;=2,$D247,0))</f>
        <v/>
      </c>
      <c r="F247">
        <f>IF(Config!$G$9=0,0,IF(AND(ABS(($A247-Config!$F$9)/Config!$G$9)&gt;2,ABS(($A247-Config!$F$9)/Config!$G$9)&lt;=3),$D247,0))</f>
        <v/>
      </c>
      <c r="G247">
        <f>IF(Config!$G$9=0,0,IF(ABS(($A247-Config!$F$9)/Config!$G$9)&gt;3,$D247,0))</f>
        <v/>
      </c>
      <c r="H247">
        <f>IFERROR(NORM.DIST($A247,Config!$F$9,Config!$G$9,FALSE)*Config!$D$9*Config!$J$9,0)</f>
        <v/>
      </c>
    </row>
    <row r="248">
      <c r="A248" s="6">
        <f>Config!$K$9+22*Config!$J$9+Config!$J$9/2</f>
        <v/>
      </c>
      <c r="B248" s="6">
        <f>$A248-Config!$J$9/2</f>
        <v/>
      </c>
      <c r="C248" s="6">
        <f>$A248+Config!$J$9/2</f>
        <v/>
      </c>
      <c r="D248" s="6">
        <f>COUNTIFS(RawData!$C$2:$C$941,"LT",RawData!$N$2:$N$941,"&gt;="&amp;$B248,RawData!$N$2:$N$941,"&lt;"&amp;$C248,RawData!$N$2:$N$941,"&lt;&gt;0")</f>
        <v/>
      </c>
      <c r="E248" s="6">
        <f>IF(Config!$G$9=0,0,IF(ABS(($A248-Config!$F$9)/Config!$G$9)&lt;=2,$D248,0))</f>
        <v/>
      </c>
      <c r="F248" s="6">
        <f>IF(Config!$G$9=0,0,IF(AND(ABS(($A248-Config!$F$9)/Config!$G$9)&gt;2,ABS(($A248-Config!$F$9)/Config!$G$9)&lt;=3),$D248,0))</f>
        <v/>
      </c>
      <c r="G248" s="6">
        <f>IF(Config!$G$9=0,0,IF(ABS(($A248-Config!$F$9)/Config!$G$9)&gt;3,$D248,0))</f>
        <v/>
      </c>
      <c r="H248" s="6">
        <f>IFERROR(NORM.DIST($A248,Config!$F$9,Config!$G$9,FALSE)*Config!$D$9*Config!$J$9,0)</f>
        <v/>
      </c>
    </row>
    <row r="249">
      <c r="A249">
        <f>Config!$K$9+23*Config!$J$9+Config!$J$9/2</f>
        <v/>
      </c>
      <c r="B249">
        <f>$A249-Config!$J$9/2</f>
        <v/>
      </c>
      <c r="C249">
        <f>$A249+Config!$J$9/2</f>
        <v/>
      </c>
      <c r="D249">
        <f>COUNTIFS(RawData!$C$2:$C$941,"LT",RawData!$N$2:$N$941,"&gt;="&amp;$B249,RawData!$N$2:$N$941,"&lt;"&amp;$C249,RawData!$N$2:$N$941,"&lt;&gt;0")</f>
        <v/>
      </c>
      <c r="E249">
        <f>IF(Config!$G$9=0,0,IF(ABS(($A249-Config!$F$9)/Config!$G$9)&lt;=2,$D249,0))</f>
        <v/>
      </c>
      <c r="F249">
        <f>IF(Config!$G$9=0,0,IF(AND(ABS(($A249-Config!$F$9)/Config!$G$9)&gt;2,ABS(($A249-Config!$F$9)/Config!$G$9)&lt;=3),$D249,0))</f>
        <v/>
      </c>
      <c r="G249">
        <f>IF(Config!$G$9=0,0,IF(ABS(($A249-Config!$F$9)/Config!$G$9)&gt;3,$D249,0))</f>
        <v/>
      </c>
      <c r="H249">
        <f>IFERROR(NORM.DIST($A249,Config!$F$9,Config!$G$9,FALSE)*Config!$D$9*Config!$J$9,0)</f>
        <v/>
      </c>
    </row>
    <row r="250">
      <c r="A250" s="6">
        <f>Config!$K$9+24*Config!$J$9+Config!$J$9/2</f>
        <v/>
      </c>
      <c r="B250" s="6">
        <f>$A250-Config!$J$9/2</f>
        <v/>
      </c>
      <c r="C250" s="6">
        <f>$A250+Config!$J$9/2</f>
        <v/>
      </c>
      <c r="D250" s="6">
        <f>COUNTIFS(RawData!$C$2:$C$941,"LT",RawData!$N$2:$N$941,"&gt;="&amp;$B250,RawData!$N$2:$N$941,"&lt;"&amp;$C250,RawData!$N$2:$N$941,"&lt;&gt;0")</f>
        <v/>
      </c>
      <c r="E250" s="6">
        <f>IF(Config!$G$9=0,0,IF(ABS(($A250-Config!$F$9)/Config!$G$9)&lt;=2,$D250,0))</f>
        <v/>
      </c>
      <c r="F250" s="6">
        <f>IF(Config!$G$9=0,0,IF(AND(ABS(($A250-Config!$F$9)/Config!$G$9)&gt;2,ABS(($A250-Config!$F$9)/Config!$G$9)&lt;=3),$D250,0))</f>
        <v/>
      </c>
      <c r="G250" s="6">
        <f>IF(Config!$G$9=0,0,IF(ABS(($A250-Config!$F$9)/Config!$G$9)&gt;3,$D250,0))</f>
        <v/>
      </c>
      <c r="H250" s="6">
        <f>IFERROR(NORM.DIST($A250,Config!$F$9,Config!$G$9,FALSE)*Config!$D$9*Config!$J$9,0)</f>
        <v/>
      </c>
    </row>
    <row r="251">
      <c r="A251">
        <f>Config!$K$9+25*Config!$J$9+Config!$J$9/2</f>
        <v/>
      </c>
      <c r="B251">
        <f>$A251-Config!$J$9/2</f>
        <v/>
      </c>
      <c r="C251">
        <f>$A251+Config!$J$9/2</f>
        <v/>
      </c>
      <c r="D251">
        <f>COUNTIFS(RawData!$C$2:$C$941,"LT",RawData!$N$2:$N$941,"&gt;="&amp;$B251,RawData!$N$2:$N$941,"&lt;"&amp;$C251,RawData!$N$2:$N$941,"&lt;&gt;0")</f>
        <v/>
      </c>
      <c r="E251">
        <f>IF(Config!$G$9=0,0,IF(ABS(($A251-Config!$F$9)/Config!$G$9)&lt;=2,$D251,0))</f>
        <v/>
      </c>
      <c r="F251">
        <f>IF(Config!$G$9=0,0,IF(AND(ABS(($A251-Config!$F$9)/Config!$G$9)&gt;2,ABS(($A251-Config!$F$9)/Config!$G$9)&lt;=3),$D251,0))</f>
        <v/>
      </c>
      <c r="G251">
        <f>IF(Config!$G$9=0,0,IF(ABS(($A251-Config!$F$9)/Config!$G$9)&gt;3,$D251,0))</f>
        <v/>
      </c>
      <c r="H251">
        <f>IFERROR(NORM.DIST($A251,Config!$F$9,Config!$G$9,FALSE)*Config!$D$9*Config!$J$9,0)</f>
        <v/>
      </c>
    </row>
    <row r="252">
      <c r="A252" s="6">
        <f>Config!$K$9+26*Config!$J$9+Config!$J$9/2</f>
        <v/>
      </c>
      <c r="B252" s="6">
        <f>$A252-Config!$J$9/2</f>
        <v/>
      </c>
      <c r="C252" s="6">
        <f>$A252+Config!$J$9/2</f>
        <v/>
      </c>
      <c r="D252" s="6">
        <f>COUNTIFS(RawData!$C$2:$C$941,"LT",RawData!$N$2:$N$941,"&gt;="&amp;$B252,RawData!$N$2:$N$941,"&lt;"&amp;$C252,RawData!$N$2:$N$941,"&lt;&gt;0")</f>
        <v/>
      </c>
      <c r="E252" s="6">
        <f>IF(Config!$G$9=0,0,IF(ABS(($A252-Config!$F$9)/Config!$G$9)&lt;=2,$D252,0))</f>
        <v/>
      </c>
      <c r="F252" s="6">
        <f>IF(Config!$G$9=0,0,IF(AND(ABS(($A252-Config!$F$9)/Config!$G$9)&gt;2,ABS(($A252-Config!$F$9)/Config!$G$9)&lt;=3),$D252,0))</f>
        <v/>
      </c>
      <c r="G252" s="6">
        <f>IF(Config!$G$9=0,0,IF(ABS(($A252-Config!$F$9)/Config!$G$9)&gt;3,$D252,0))</f>
        <v/>
      </c>
      <c r="H252" s="6">
        <f>IFERROR(NORM.DIST($A252,Config!$F$9,Config!$G$9,FALSE)*Config!$D$9*Config!$J$9,0)</f>
        <v/>
      </c>
    </row>
    <row r="253">
      <c r="A253">
        <f>Config!$K$9+27*Config!$J$9+Config!$J$9/2</f>
        <v/>
      </c>
      <c r="B253">
        <f>$A253-Config!$J$9/2</f>
        <v/>
      </c>
      <c r="C253">
        <f>$A253+Config!$J$9/2</f>
        <v/>
      </c>
      <c r="D253">
        <f>COUNTIFS(RawData!$C$2:$C$941,"LT",RawData!$N$2:$N$941,"&gt;="&amp;$B253,RawData!$N$2:$N$941,"&lt;"&amp;$C253,RawData!$N$2:$N$941,"&lt;&gt;0")</f>
        <v/>
      </c>
      <c r="E253">
        <f>IF(Config!$G$9=0,0,IF(ABS(($A253-Config!$F$9)/Config!$G$9)&lt;=2,$D253,0))</f>
        <v/>
      </c>
      <c r="F253">
        <f>IF(Config!$G$9=0,0,IF(AND(ABS(($A253-Config!$F$9)/Config!$G$9)&gt;2,ABS(($A253-Config!$F$9)/Config!$G$9)&lt;=3),$D253,0))</f>
        <v/>
      </c>
      <c r="G253">
        <f>IF(Config!$G$9=0,0,IF(ABS(($A253-Config!$F$9)/Config!$G$9)&gt;3,$D253,0))</f>
        <v/>
      </c>
      <c r="H253">
        <f>IFERROR(NORM.DIST($A253,Config!$F$9,Config!$G$9,FALSE)*Config!$D$9*Config!$J$9,0)</f>
        <v/>
      </c>
    </row>
    <row r="254">
      <c r="A254" s="6">
        <f>Config!$K$9+28*Config!$J$9+Config!$J$9/2</f>
        <v/>
      </c>
      <c r="B254" s="6">
        <f>$A254-Config!$J$9/2</f>
        <v/>
      </c>
      <c r="C254" s="6">
        <f>$A254+Config!$J$9/2</f>
        <v/>
      </c>
      <c r="D254" s="6">
        <f>COUNTIFS(RawData!$C$2:$C$941,"LT",RawData!$N$2:$N$941,"&gt;="&amp;$B254,RawData!$N$2:$N$941,"&lt;"&amp;$C254,RawData!$N$2:$N$941,"&lt;&gt;0")</f>
        <v/>
      </c>
      <c r="E254" s="6">
        <f>IF(Config!$G$9=0,0,IF(ABS(($A254-Config!$F$9)/Config!$G$9)&lt;=2,$D254,0))</f>
        <v/>
      </c>
      <c r="F254" s="6">
        <f>IF(Config!$G$9=0,0,IF(AND(ABS(($A254-Config!$F$9)/Config!$G$9)&gt;2,ABS(($A254-Config!$F$9)/Config!$G$9)&lt;=3),$D254,0))</f>
        <v/>
      </c>
      <c r="G254" s="6">
        <f>IF(Config!$G$9=0,0,IF(ABS(($A254-Config!$F$9)/Config!$G$9)&gt;3,$D254,0))</f>
        <v/>
      </c>
      <c r="H254" s="6">
        <f>IFERROR(NORM.DIST($A254,Config!$F$9,Config!$G$9,FALSE)*Config!$D$9*Config!$J$9,0)</f>
        <v/>
      </c>
    </row>
    <row r="255">
      <c r="A255">
        <f>Config!$K$9+29*Config!$J$9+Config!$J$9/2</f>
        <v/>
      </c>
      <c r="B255">
        <f>$A255-Config!$J$9/2</f>
        <v/>
      </c>
      <c r="C255">
        <f>$A255+Config!$J$9/2</f>
        <v/>
      </c>
      <c r="D255">
        <f>COUNTIFS(RawData!$C$2:$C$941,"LT",RawData!$N$2:$N$941,"&gt;="&amp;$B255,RawData!$N$2:$N$941,"&lt;"&amp;$C255,RawData!$N$2:$N$941,"&lt;&gt;0")</f>
        <v/>
      </c>
      <c r="E255">
        <f>IF(Config!$G$9=0,0,IF(ABS(($A255-Config!$F$9)/Config!$G$9)&lt;=2,$D255,0))</f>
        <v/>
      </c>
      <c r="F255">
        <f>IF(Config!$G$9=0,0,IF(AND(ABS(($A255-Config!$F$9)/Config!$G$9)&gt;2,ABS(($A255-Config!$F$9)/Config!$G$9)&lt;=3),$D255,0))</f>
        <v/>
      </c>
      <c r="G255">
        <f>IF(Config!$G$9=0,0,IF(ABS(($A255-Config!$F$9)/Config!$G$9)&gt;3,$D255,0))</f>
        <v/>
      </c>
      <c r="H255">
        <f>IFERROR(NORM.DIST($A255,Config!$F$9,Config!$G$9,FALSE)*Config!$D$9*Config!$J$9,0)</f>
        <v/>
      </c>
    </row>
    <row r="257">
      <c r="A257" s="5" t="inlineStr">
        <is>
          <t>BinCenter</t>
        </is>
      </c>
      <c r="B257" s="5" t="inlineStr">
        <is>
          <t>BinLo</t>
        </is>
      </c>
      <c r="C257" s="5" t="inlineStr">
        <is>
          <t>BinHi</t>
        </is>
      </c>
      <c r="D257" s="5" t="inlineStr">
        <is>
          <t>TotalCount</t>
        </is>
      </c>
      <c r="E257" s="5" t="inlineStr">
        <is>
          <t>Normal</t>
        </is>
      </c>
      <c r="F257" s="5" t="inlineStr">
        <is>
          <t>Warning(2-3s)</t>
        </is>
      </c>
      <c r="G257" s="5" t="inlineStr">
        <is>
          <t>Outlier(&gt;3s)</t>
        </is>
      </c>
      <c r="H257" s="5" t="inlineStr">
        <is>
          <t>CurveY</t>
        </is>
      </c>
    </row>
    <row r="258">
      <c r="A258" s="6">
        <f>Config!$K$10+0*Config!$J$10+Config!$J$10/2</f>
        <v/>
      </c>
      <c r="B258" s="6">
        <f>$A258-Config!$J$10/2</f>
        <v/>
      </c>
      <c r="C258" s="6">
        <f>$A258+Config!$J$10/2</f>
        <v/>
      </c>
      <c r="D258" s="6">
        <f>COUNTIFS(RawData!$C$2:$C$941,"LT",RawData!$O$2:$O$941,"&gt;="&amp;$B258,RawData!$O$2:$O$941,"&lt;"&amp;$C258,RawData!$O$2:$O$941,"&lt;&gt;0")</f>
        <v/>
      </c>
      <c r="E258" s="6">
        <f>IF(Config!$G$10=0,0,IF(ABS(($A258-Config!$F$10)/Config!$G$10)&lt;=2,$D258,0))</f>
        <v/>
      </c>
      <c r="F258" s="6">
        <f>IF(Config!$G$10=0,0,IF(AND(ABS(($A258-Config!$F$10)/Config!$G$10)&gt;2,ABS(($A258-Config!$F$10)/Config!$G$10)&lt;=3),$D258,0))</f>
        <v/>
      </c>
      <c r="G258" s="6">
        <f>IF(Config!$G$10=0,0,IF(ABS(($A258-Config!$F$10)/Config!$G$10)&gt;3,$D258,0))</f>
        <v/>
      </c>
      <c r="H258" s="6">
        <f>IFERROR(NORM.DIST($A258,Config!$F$10,Config!$G$10,FALSE)*Config!$D$10*Config!$J$10,0)</f>
        <v/>
      </c>
    </row>
    <row r="259">
      <c r="A259">
        <f>Config!$K$10+1*Config!$J$10+Config!$J$10/2</f>
        <v/>
      </c>
      <c r="B259">
        <f>$A259-Config!$J$10/2</f>
        <v/>
      </c>
      <c r="C259">
        <f>$A259+Config!$J$10/2</f>
        <v/>
      </c>
      <c r="D259">
        <f>COUNTIFS(RawData!$C$2:$C$941,"LT",RawData!$O$2:$O$941,"&gt;="&amp;$B259,RawData!$O$2:$O$941,"&lt;"&amp;$C259,RawData!$O$2:$O$941,"&lt;&gt;0")</f>
        <v/>
      </c>
      <c r="E259">
        <f>IF(Config!$G$10=0,0,IF(ABS(($A259-Config!$F$10)/Config!$G$10)&lt;=2,$D259,0))</f>
        <v/>
      </c>
      <c r="F259">
        <f>IF(Config!$G$10=0,0,IF(AND(ABS(($A259-Config!$F$10)/Config!$G$10)&gt;2,ABS(($A259-Config!$F$10)/Config!$G$10)&lt;=3),$D259,0))</f>
        <v/>
      </c>
      <c r="G259">
        <f>IF(Config!$G$10=0,0,IF(ABS(($A259-Config!$F$10)/Config!$G$10)&gt;3,$D259,0))</f>
        <v/>
      </c>
      <c r="H259">
        <f>IFERROR(NORM.DIST($A259,Config!$F$10,Config!$G$10,FALSE)*Config!$D$10*Config!$J$10,0)</f>
        <v/>
      </c>
    </row>
    <row r="260">
      <c r="A260" s="6">
        <f>Config!$K$10+2*Config!$J$10+Config!$J$10/2</f>
        <v/>
      </c>
      <c r="B260" s="6">
        <f>$A260-Config!$J$10/2</f>
        <v/>
      </c>
      <c r="C260" s="6">
        <f>$A260+Config!$J$10/2</f>
        <v/>
      </c>
      <c r="D260" s="6">
        <f>COUNTIFS(RawData!$C$2:$C$941,"LT",RawData!$O$2:$O$941,"&gt;="&amp;$B260,RawData!$O$2:$O$941,"&lt;"&amp;$C260,RawData!$O$2:$O$941,"&lt;&gt;0")</f>
        <v/>
      </c>
      <c r="E260" s="6">
        <f>IF(Config!$G$10=0,0,IF(ABS(($A260-Config!$F$10)/Config!$G$10)&lt;=2,$D260,0))</f>
        <v/>
      </c>
      <c r="F260" s="6">
        <f>IF(Config!$G$10=0,0,IF(AND(ABS(($A260-Config!$F$10)/Config!$G$10)&gt;2,ABS(($A260-Config!$F$10)/Config!$G$10)&lt;=3),$D260,0))</f>
        <v/>
      </c>
      <c r="G260" s="6">
        <f>IF(Config!$G$10=0,0,IF(ABS(($A260-Config!$F$10)/Config!$G$10)&gt;3,$D260,0))</f>
        <v/>
      </c>
      <c r="H260" s="6">
        <f>IFERROR(NORM.DIST($A260,Config!$F$10,Config!$G$10,FALSE)*Config!$D$10*Config!$J$10,0)</f>
        <v/>
      </c>
    </row>
    <row r="261">
      <c r="A261">
        <f>Config!$K$10+3*Config!$J$10+Config!$J$10/2</f>
        <v/>
      </c>
      <c r="B261">
        <f>$A261-Config!$J$10/2</f>
        <v/>
      </c>
      <c r="C261">
        <f>$A261+Config!$J$10/2</f>
        <v/>
      </c>
      <c r="D261">
        <f>COUNTIFS(RawData!$C$2:$C$941,"LT",RawData!$O$2:$O$941,"&gt;="&amp;$B261,RawData!$O$2:$O$941,"&lt;"&amp;$C261,RawData!$O$2:$O$941,"&lt;&gt;0")</f>
        <v/>
      </c>
      <c r="E261">
        <f>IF(Config!$G$10=0,0,IF(ABS(($A261-Config!$F$10)/Config!$G$10)&lt;=2,$D261,0))</f>
        <v/>
      </c>
      <c r="F261">
        <f>IF(Config!$G$10=0,0,IF(AND(ABS(($A261-Config!$F$10)/Config!$G$10)&gt;2,ABS(($A261-Config!$F$10)/Config!$G$10)&lt;=3),$D261,0))</f>
        <v/>
      </c>
      <c r="G261">
        <f>IF(Config!$G$10=0,0,IF(ABS(($A261-Config!$F$10)/Config!$G$10)&gt;3,$D261,0))</f>
        <v/>
      </c>
      <c r="H261">
        <f>IFERROR(NORM.DIST($A261,Config!$F$10,Config!$G$10,FALSE)*Config!$D$10*Config!$J$10,0)</f>
        <v/>
      </c>
    </row>
    <row r="262">
      <c r="A262" s="6">
        <f>Config!$K$10+4*Config!$J$10+Config!$J$10/2</f>
        <v/>
      </c>
      <c r="B262" s="6">
        <f>$A262-Config!$J$10/2</f>
        <v/>
      </c>
      <c r="C262" s="6">
        <f>$A262+Config!$J$10/2</f>
        <v/>
      </c>
      <c r="D262" s="6">
        <f>COUNTIFS(RawData!$C$2:$C$941,"LT",RawData!$O$2:$O$941,"&gt;="&amp;$B262,RawData!$O$2:$O$941,"&lt;"&amp;$C262,RawData!$O$2:$O$941,"&lt;&gt;0")</f>
        <v/>
      </c>
      <c r="E262" s="6">
        <f>IF(Config!$G$10=0,0,IF(ABS(($A262-Config!$F$10)/Config!$G$10)&lt;=2,$D262,0))</f>
        <v/>
      </c>
      <c r="F262" s="6">
        <f>IF(Config!$G$10=0,0,IF(AND(ABS(($A262-Config!$F$10)/Config!$G$10)&gt;2,ABS(($A262-Config!$F$10)/Config!$G$10)&lt;=3),$D262,0))</f>
        <v/>
      </c>
      <c r="G262" s="6">
        <f>IF(Config!$G$10=0,0,IF(ABS(($A262-Config!$F$10)/Config!$G$10)&gt;3,$D262,0))</f>
        <v/>
      </c>
      <c r="H262" s="6">
        <f>IFERROR(NORM.DIST($A262,Config!$F$10,Config!$G$10,FALSE)*Config!$D$10*Config!$J$10,0)</f>
        <v/>
      </c>
    </row>
    <row r="263">
      <c r="A263">
        <f>Config!$K$10+5*Config!$J$10+Config!$J$10/2</f>
        <v/>
      </c>
      <c r="B263">
        <f>$A263-Config!$J$10/2</f>
        <v/>
      </c>
      <c r="C263">
        <f>$A263+Config!$J$10/2</f>
        <v/>
      </c>
      <c r="D263">
        <f>COUNTIFS(RawData!$C$2:$C$941,"LT",RawData!$O$2:$O$941,"&gt;="&amp;$B263,RawData!$O$2:$O$941,"&lt;"&amp;$C263,RawData!$O$2:$O$941,"&lt;&gt;0")</f>
        <v/>
      </c>
      <c r="E263">
        <f>IF(Config!$G$10=0,0,IF(ABS(($A263-Config!$F$10)/Config!$G$10)&lt;=2,$D263,0))</f>
        <v/>
      </c>
      <c r="F263">
        <f>IF(Config!$G$10=0,0,IF(AND(ABS(($A263-Config!$F$10)/Config!$G$10)&gt;2,ABS(($A263-Config!$F$10)/Config!$G$10)&lt;=3),$D263,0))</f>
        <v/>
      </c>
      <c r="G263">
        <f>IF(Config!$G$10=0,0,IF(ABS(($A263-Config!$F$10)/Config!$G$10)&gt;3,$D263,0))</f>
        <v/>
      </c>
      <c r="H263">
        <f>IFERROR(NORM.DIST($A263,Config!$F$10,Config!$G$10,FALSE)*Config!$D$10*Config!$J$10,0)</f>
        <v/>
      </c>
    </row>
    <row r="264">
      <c r="A264" s="6">
        <f>Config!$K$10+6*Config!$J$10+Config!$J$10/2</f>
        <v/>
      </c>
      <c r="B264" s="6">
        <f>$A264-Config!$J$10/2</f>
        <v/>
      </c>
      <c r="C264" s="6">
        <f>$A264+Config!$J$10/2</f>
        <v/>
      </c>
      <c r="D264" s="6">
        <f>COUNTIFS(RawData!$C$2:$C$941,"LT",RawData!$O$2:$O$941,"&gt;="&amp;$B264,RawData!$O$2:$O$941,"&lt;"&amp;$C264,RawData!$O$2:$O$941,"&lt;&gt;0")</f>
        <v/>
      </c>
      <c r="E264" s="6">
        <f>IF(Config!$G$10=0,0,IF(ABS(($A264-Config!$F$10)/Config!$G$10)&lt;=2,$D264,0))</f>
        <v/>
      </c>
      <c r="F264" s="6">
        <f>IF(Config!$G$10=0,0,IF(AND(ABS(($A264-Config!$F$10)/Config!$G$10)&gt;2,ABS(($A264-Config!$F$10)/Config!$G$10)&lt;=3),$D264,0))</f>
        <v/>
      </c>
      <c r="G264" s="6">
        <f>IF(Config!$G$10=0,0,IF(ABS(($A264-Config!$F$10)/Config!$G$10)&gt;3,$D264,0))</f>
        <v/>
      </c>
      <c r="H264" s="6">
        <f>IFERROR(NORM.DIST($A264,Config!$F$10,Config!$G$10,FALSE)*Config!$D$10*Config!$J$10,0)</f>
        <v/>
      </c>
    </row>
    <row r="265">
      <c r="A265">
        <f>Config!$K$10+7*Config!$J$10+Config!$J$10/2</f>
        <v/>
      </c>
      <c r="B265">
        <f>$A265-Config!$J$10/2</f>
        <v/>
      </c>
      <c r="C265">
        <f>$A265+Config!$J$10/2</f>
        <v/>
      </c>
      <c r="D265">
        <f>COUNTIFS(RawData!$C$2:$C$941,"LT",RawData!$O$2:$O$941,"&gt;="&amp;$B265,RawData!$O$2:$O$941,"&lt;"&amp;$C265,RawData!$O$2:$O$941,"&lt;&gt;0")</f>
        <v/>
      </c>
      <c r="E265">
        <f>IF(Config!$G$10=0,0,IF(ABS(($A265-Config!$F$10)/Config!$G$10)&lt;=2,$D265,0))</f>
        <v/>
      </c>
      <c r="F265">
        <f>IF(Config!$G$10=0,0,IF(AND(ABS(($A265-Config!$F$10)/Config!$G$10)&gt;2,ABS(($A265-Config!$F$10)/Config!$G$10)&lt;=3),$D265,0))</f>
        <v/>
      </c>
      <c r="G265">
        <f>IF(Config!$G$10=0,0,IF(ABS(($A265-Config!$F$10)/Config!$G$10)&gt;3,$D265,0))</f>
        <v/>
      </c>
      <c r="H265">
        <f>IFERROR(NORM.DIST($A265,Config!$F$10,Config!$G$10,FALSE)*Config!$D$10*Config!$J$10,0)</f>
        <v/>
      </c>
    </row>
    <row r="266">
      <c r="A266" s="6">
        <f>Config!$K$10+8*Config!$J$10+Config!$J$10/2</f>
        <v/>
      </c>
      <c r="B266" s="6">
        <f>$A266-Config!$J$10/2</f>
        <v/>
      </c>
      <c r="C266" s="6">
        <f>$A266+Config!$J$10/2</f>
        <v/>
      </c>
      <c r="D266" s="6">
        <f>COUNTIFS(RawData!$C$2:$C$941,"LT",RawData!$O$2:$O$941,"&gt;="&amp;$B266,RawData!$O$2:$O$941,"&lt;"&amp;$C266,RawData!$O$2:$O$941,"&lt;&gt;0")</f>
        <v/>
      </c>
      <c r="E266" s="6">
        <f>IF(Config!$G$10=0,0,IF(ABS(($A266-Config!$F$10)/Config!$G$10)&lt;=2,$D266,0))</f>
        <v/>
      </c>
      <c r="F266" s="6">
        <f>IF(Config!$G$10=0,0,IF(AND(ABS(($A266-Config!$F$10)/Config!$G$10)&gt;2,ABS(($A266-Config!$F$10)/Config!$G$10)&lt;=3),$D266,0))</f>
        <v/>
      </c>
      <c r="G266" s="6">
        <f>IF(Config!$G$10=0,0,IF(ABS(($A266-Config!$F$10)/Config!$G$10)&gt;3,$D266,0))</f>
        <v/>
      </c>
      <c r="H266" s="6">
        <f>IFERROR(NORM.DIST($A266,Config!$F$10,Config!$G$10,FALSE)*Config!$D$10*Config!$J$10,0)</f>
        <v/>
      </c>
    </row>
    <row r="267">
      <c r="A267">
        <f>Config!$K$10+9*Config!$J$10+Config!$J$10/2</f>
        <v/>
      </c>
      <c r="B267">
        <f>$A267-Config!$J$10/2</f>
        <v/>
      </c>
      <c r="C267">
        <f>$A267+Config!$J$10/2</f>
        <v/>
      </c>
      <c r="D267">
        <f>COUNTIFS(RawData!$C$2:$C$941,"LT",RawData!$O$2:$O$941,"&gt;="&amp;$B267,RawData!$O$2:$O$941,"&lt;"&amp;$C267,RawData!$O$2:$O$941,"&lt;&gt;0")</f>
        <v/>
      </c>
      <c r="E267">
        <f>IF(Config!$G$10=0,0,IF(ABS(($A267-Config!$F$10)/Config!$G$10)&lt;=2,$D267,0))</f>
        <v/>
      </c>
      <c r="F267">
        <f>IF(Config!$G$10=0,0,IF(AND(ABS(($A267-Config!$F$10)/Config!$G$10)&gt;2,ABS(($A267-Config!$F$10)/Config!$G$10)&lt;=3),$D267,0))</f>
        <v/>
      </c>
      <c r="G267">
        <f>IF(Config!$G$10=0,0,IF(ABS(($A267-Config!$F$10)/Config!$G$10)&gt;3,$D267,0))</f>
        <v/>
      </c>
      <c r="H267">
        <f>IFERROR(NORM.DIST($A267,Config!$F$10,Config!$G$10,FALSE)*Config!$D$10*Config!$J$10,0)</f>
        <v/>
      </c>
    </row>
    <row r="268">
      <c r="A268" s="6">
        <f>Config!$K$10+10*Config!$J$10+Config!$J$10/2</f>
        <v/>
      </c>
      <c r="B268" s="6">
        <f>$A268-Config!$J$10/2</f>
        <v/>
      </c>
      <c r="C268" s="6">
        <f>$A268+Config!$J$10/2</f>
        <v/>
      </c>
      <c r="D268" s="6">
        <f>COUNTIFS(RawData!$C$2:$C$941,"LT",RawData!$O$2:$O$941,"&gt;="&amp;$B268,RawData!$O$2:$O$941,"&lt;"&amp;$C268,RawData!$O$2:$O$941,"&lt;&gt;0")</f>
        <v/>
      </c>
      <c r="E268" s="6">
        <f>IF(Config!$G$10=0,0,IF(ABS(($A268-Config!$F$10)/Config!$G$10)&lt;=2,$D268,0))</f>
        <v/>
      </c>
      <c r="F268" s="6">
        <f>IF(Config!$G$10=0,0,IF(AND(ABS(($A268-Config!$F$10)/Config!$G$10)&gt;2,ABS(($A268-Config!$F$10)/Config!$G$10)&lt;=3),$D268,0))</f>
        <v/>
      </c>
      <c r="G268" s="6">
        <f>IF(Config!$G$10=0,0,IF(ABS(($A268-Config!$F$10)/Config!$G$10)&gt;3,$D268,0))</f>
        <v/>
      </c>
      <c r="H268" s="6">
        <f>IFERROR(NORM.DIST($A268,Config!$F$10,Config!$G$10,FALSE)*Config!$D$10*Config!$J$10,0)</f>
        <v/>
      </c>
    </row>
    <row r="269">
      <c r="A269">
        <f>Config!$K$10+11*Config!$J$10+Config!$J$10/2</f>
        <v/>
      </c>
      <c r="B269">
        <f>$A269-Config!$J$10/2</f>
        <v/>
      </c>
      <c r="C269">
        <f>$A269+Config!$J$10/2</f>
        <v/>
      </c>
      <c r="D269">
        <f>COUNTIFS(RawData!$C$2:$C$941,"LT",RawData!$O$2:$O$941,"&gt;="&amp;$B269,RawData!$O$2:$O$941,"&lt;"&amp;$C269,RawData!$O$2:$O$941,"&lt;&gt;0")</f>
        <v/>
      </c>
      <c r="E269">
        <f>IF(Config!$G$10=0,0,IF(ABS(($A269-Config!$F$10)/Config!$G$10)&lt;=2,$D269,0))</f>
        <v/>
      </c>
      <c r="F269">
        <f>IF(Config!$G$10=0,0,IF(AND(ABS(($A269-Config!$F$10)/Config!$G$10)&gt;2,ABS(($A269-Config!$F$10)/Config!$G$10)&lt;=3),$D269,0))</f>
        <v/>
      </c>
      <c r="G269">
        <f>IF(Config!$G$10=0,0,IF(ABS(($A269-Config!$F$10)/Config!$G$10)&gt;3,$D269,0))</f>
        <v/>
      </c>
      <c r="H269">
        <f>IFERROR(NORM.DIST($A269,Config!$F$10,Config!$G$10,FALSE)*Config!$D$10*Config!$J$10,0)</f>
        <v/>
      </c>
    </row>
    <row r="270">
      <c r="A270" s="6">
        <f>Config!$K$10+12*Config!$J$10+Config!$J$10/2</f>
        <v/>
      </c>
      <c r="B270" s="6">
        <f>$A270-Config!$J$10/2</f>
        <v/>
      </c>
      <c r="C270" s="6">
        <f>$A270+Config!$J$10/2</f>
        <v/>
      </c>
      <c r="D270" s="6">
        <f>COUNTIFS(RawData!$C$2:$C$941,"LT",RawData!$O$2:$O$941,"&gt;="&amp;$B270,RawData!$O$2:$O$941,"&lt;"&amp;$C270,RawData!$O$2:$O$941,"&lt;&gt;0")</f>
        <v/>
      </c>
      <c r="E270" s="6">
        <f>IF(Config!$G$10=0,0,IF(ABS(($A270-Config!$F$10)/Config!$G$10)&lt;=2,$D270,0))</f>
        <v/>
      </c>
      <c r="F270" s="6">
        <f>IF(Config!$G$10=0,0,IF(AND(ABS(($A270-Config!$F$10)/Config!$G$10)&gt;2,ABS(($A270-Config!$F$10)/Config!$G$10)&lt;=3),$D270,0))</f>
        <v/>
      </c>
      <c r="G270" s="6">
        <f>IF(Config!$G$10=0,0,IF(ABS(($A270-Config!$F$10)/Config!$G$10)&gt;3,$D270,0))</f>
        <v/>
      </c>
      <c r="H270" s="6">
        <f>IFERROR(NORM.DIST($A270,Config!$F$10,Config!$G$10,FALSE)*Config!$D$10*Config!$J$10,0)</f>
        <v/>
      </c>
    </row>
    <row r="271">
      <c r="A271">
        <f>Config!$K$10+13*Config!$J$10+Config!$J$10/2</f>
        <v/>
      </c>
      <c r="B271">
        <f>$A271-Config!$J$10/2</f>
        <v/>
      </c>
      <c r="C271">
        <f>$A271+Config!$J$10/2</f>
        <v/>
      </c>
      <c r="D271">
        <f>COUNTIFS(RawData!$C$2:$C$941,"LT",RawData!$O$2:$O$941,"&gt;="&amp;$B271,RawData!$O$2:$O$941,"&lt;"&amp;$C271,RawData!$O$2:$O$941,"&lt;&gt;0")</f>
        <v/>
      </c>
      <c r="E271">
        <f>IF(Config!$G$10=0,0,IF(ABS(($A271-Config!$F$10)/Config!$G$10)&lt;=2,$D271,0))</f>
        <v/>
      </c>
      <c r="F271">
        <f>IF(Config!$G$10=0,0,IF(AND(ABS(($A271-Config!$F$10)/Config!$G$10)&gt;2,ABS(($A271-Config!$F$10)/Config!$G$10)&lt;=3),$D271,0))</f>
        <v/>
      </c>
      <c r="G271">
        <f>IF(Config!$G$10=0,0,IF(ABS(($A271-Config!$F$10)/Config!$G$10)&gt;3,$D271,0))</f>
        <v/>
      </c>
      <c r="H271">
        <f>IFERROR(NORM.DIST($A271,Config!$F$10,Config!$G$10,FALSE)*Config!$D$10*Config!$J$10,0)</f>
        <v/>
      </c>
    </row>
    <row r="272">
      <c r="A272" s="6">
        <f>Config!$K$10+14*Config!$J$10+Config!$J$10/2</f>
        <v/>
      </c>
      <c r="B272" s="6">
        <f>$A272-Config!$J$10/2</f>
        <v/>
      </c>
      <c r="C272" s="6">
        <f>$A272+Config!$J$10/2</f>
        <v/>
      </c>
      <c r="D272" s="6">
        <f>COUNTIFS(RawData!$C$2:$C$941,"LT",RawData!$O$2:$O$941,"&gt;="&amp;$B272,RawData!$O$2:$O$941,"&lt;"&amp;$C272,RawData!$O$2:$O$941,"&lt;&gt;0")</f>
        <v/>
      </c>
      <c r="E272" s="6">
        <f>IF(Config!$G$10=0,0,IF(ABS(($A272-Config!$F$10)/Config!$G$10)&lt;=2,$D272,0))</f>
        <v/>
      </c>
      <c r="F272" s="6">
        <f>IF(Config!$G$10=0,0,IF(AND(ABS(($A272-Config!$F$10)/Config!$G$10)&gt;2,ABS(($A272-Config!$F$10)/Config!$G$10)&lt;=3),$D272,0))</f>
        <v/>
      </c>
      <c r="G272" s="6">
        <f>IF(Config!$G$10=0,0,IF(ABS(($A272-Config!$F$10)/Config!$G$10)&gt;3,$D272,0))</f>
        <v/>
      </c>
      <c r="H272" s="6">
        <f>IFERROR(NORM.DIST($A272,Config!$F$10,Config!$G$10,FALSE)*Config!$D$10*Config!$J$10,0)</f>
        <v/>
      </c>
    </row>
    <row r="273">
      <c r="A273">
        <f>Config!$K$10+15*Config!$J$10+Config!$J$10/2</f>
        <v/>
      </c>
      <c r="B273">
        <f>$A273-Config!$J$10/2</f>
        <v/>
      </c>
      <c r="C273">
        <f>$A273+Config!$J$10/2</f>
        <v/>
      </c>
      <c r="D273">
        <f>COUNTIFS(RawData!$C$2:$C$941,"LT",RawData!$O$2:$O$941,"&gt;="&amp;$B273,RawData!$O$2:$O$941,"&lt;"&amp;$C273,RawData!$O$2:$O$941,"&lt;&gt;0")</f>
        <v/>
      </c>
      <c r="E273">
        <f>IF(Config!$G$10=0,0,IF(ABS(($A273-Config!$F$10)/Config!$G$10)&lt;=2,$D273,0))</f>
        <v/>
      </c>
      <c r="F273">
        <f>IF(Config!$G$10=0,0,IF(AND(ABS(($A273-Config!$F$10)/Config!$G$10)&gt;2,ABS(($A273-Config!$F$10)/Config!$G$10)&lt;=3),$D273,0))</f>
        <v/>
      </c>
      <c r="G273">
        <f>IF(Config!$G$10=0,0,IF(ABS(($A273-Config!$F$10)/Config!$G$10)&gt;3,$D273,0))</f>
        <v/>
      </c>
      <c r="H273">
        <f>IFERROR(NORM.DIST($A273,Config!$F$10,Config!$G$10,FALSE)*Config!$D$10*Config!$J$10,0)</f>
        <v/>
      </c>
    </row>
    <row r="274">
      <c r="A274" s="6">
        <f>Config!$K$10+16*Config!$J$10+Config!$J$10/2</f>
        <v/>
      </c>
      <c r="B274" s="6">
        <f>$A274-Config!$J$10/2</f>
        <v/>
      </c>
      <c r="C274" s="6">
        <f>$A274+Config!$J$10/2</f>
        <v/>
      </c>
      <c r="D274" s="6">
        <f>COUNTIFS(RawData!$C$2:$C$941,"LT",RawData!$O$2:$O$941,"&gt;="&amp;$B274,RawData!$O$2:$O$941,"&lt;"&amp;$C274,RawData!$O$2:$O$941,"&lt;&gt;0")</f>
        <v/>
      </c>
      <c r="E274" s="6">
        <f>IF(Config!$G$10=0,0,IF(ABS(($A274-Config!$F$10)/Config!$G$10)&lt;=2,$D274,0))</f>
        <v/>
      </c>
      <c r="F274" s="6">
        <f>IF(Config!$G$10=0,0,IF(AND(ABS(($A274-Config!$F$10)/Config!$G$10)&gt;2,ABS(($A274-Config!$F$10)/Config!$G$10)&lt;=3),$D274,0))</f>
        <v/>
      </c>
      <c r="G274" s="6">
        <f>IF(Config!$G$10=0,0,IF(ABS(($A274-Config!$F$10)/Config!$G$10)&gt;3,$D274,0))</f>
        <v/>
      </c>
      <c r="H274" s="6">
        <f>IFERROR(NORM.DIST($A274,Config!$F$10,Config!$G$10,FALSE)*Config!$D$10*Config!$J$10,0)</f>
        <v/>
      </c>
    </row>
    <row r="275">
      <c r="A275">
        <f>Config!$K$10+17*Config!$J$10+Config!$J$10/2</f>
        <v/>
      </c>
      <c r="B275">
        <f>$A275-Config!$J$10/2</f>
        <v/>
      </c>
      <c r="C275">
        <f>$A275+Config!$J$10/2</f>
        <v/>
      </c>
      <c r="D275">
        <f>COUNTIFS(RawData!$C$2:$C$941,"LT",RawData!$O$2:$O$941,"&gt;="&amp;$B275,RawData!$O$2:$O$941,"&lt;"&amp;$C275,RawData!$O$2:$O$941,"&lt;&gt;0")</f>
        <v/>
      </c>
      <c r="E275">
        <f>IF(Config!$G$10=0,0,IF(ABS(($A275-Config!$F$10)/Config!$G$10)&lt;=2,$D275,0))</f>
        <v/>
      </c>
      <c r="F275">
        <f>IF(Config!$G$10=0,0,IF(AND(ABS(($A275-Config!$F$10)/Config!$G$10)&gt;2,ABS(($A275-Config!$F$10)/Config!$G$10)&lt;=3),$D275,0))</f>
        <v/>
      </c>
      <c r="G275">
        <f>IF(Config!$G$10=0,0,IF(ABS(($A275-Config!$F$10)/Config!$G$10)&gt;3,$D275,0))</f>
        <v/>
      </c>
      <c r="H275">
        <f>IFERROR(NORM.DIST($A275,Config!$F$10,Config!$G$10,FALSE)*Config!$D$10*Config!$J$10,0)</f>
        <v/>
      </c>
    </row>
    <row r="276">
      <c r="A276" s="6">
        <f>Config!$K$10+18*Config!$J$10+Config!$J$10/2</f>
        <v/>
      </c>
      <c r="B276" s="6">
        <f>$A276-Config!$J$10/2</f>
        <v/>
      </c>
      <c r="C276" s="6">
        <f>$A276+Config!$J$10/2</f>
        <v/>
      </c>
      <c r="D276" s="6">
        <f>COUNTIFS(RawData!$C$2:$C$941,"LT",RawData!$O$2:$O$941,"&gt;="&amp;$B276,RawData!$O$2:$O$941,"&lt;"&amp;$C276,RawData!$O$2:$O$941,"&lt;&gt;0")</f>
        <v/>
      </c>
      <c r="E276" s="6">
        <f>IF(Config!$G$10=0,0,IF(ABS(($A276-Config!$F$10)/Config!$G$10)&lt;=2,$D276,0))</f>
        <v/>
      </c>
      <c r="F276" s="6">
        <f>IF(Config!$G$10=0,0,IF(AND(ABS(($A276-Config!$F$10)/Config!$G$10)&gt;2,ABS(($A276-Config!$F$10)/Config!$G$10)&lt;=3),$D276,0))</f>
        <v/>
      </c>
      <c r="G276" s="6">
        <f>IF(Config!$G$10=0,0,IF(ABS(($A276-Config!$F$10)/Config!$G$10)&gt;3,$D276,0))</f>
        <v/>
      </c>
      <c r="H276" s="6">
        <f>IFERROR(NORM.DIST($A276,Config!$F$10,Config!$G$10,FALSE)*Config!$D$10*Config!$J$10,0)</f>
        <v/>
      </c>
    </row>
    <row r="277">
      <c r="A277">
        <f>Config!$K$10+19*Config!$J$10+Config!$J$10/2</f>
        <v/>
      </c>
      <c r="B277">
        <f>$A277-Config!$J$10/2</f>
        <v/>
      </c>
      <c r="C277">
        <f>$A277+Config!$J$10/2</f>
        <v/>
      </c>
      <c r="D277">
        <f>COUNTIFS(RawData!$C$2:$C$941,"LT",RawData!$O$2:$O$941,"&gt;="&amp;$B277,RawData!$O$2:$O$941,"&lt;"&amp;$C277,RawData!$O$2:$O$941,"&lt;&gt;0")</f>
        <v/>
      </c>
      <c r="E277">
        <f>IF(Config!$G$10=0,0,IF(ABS(($A277-Config!$F$10)/Config!$G$10)&lt;=2,$D277,0))</f>
        <v/>
      </c>
      <c r="F277">
        <f>IF(Config!$G$10=0,0,IF(AND(ABS(($A277-Config!$F$10)/Config!$G$10)&gt;2,ABS(($A277-Config!$F$10)/Config!$G$10)&lt;=3),$D277,0))</f>
        <v/>
      </c>
      <c r="G277">
        <f>IF(Config!$G$10=0,0,IF(ABS(($A277-Config!$F$10)/Config!$G$10)&gt;3,$D277,0))</f>
        <v/>
      </c>
      <c r="H277">
        <f>IFERROR(NORM.DIST($A277,Config!$F$10,Config!$G$10,FALSE)*Config!$D$10*Config!$J$10,0)</f>
        <v/>
      </c>
    </row>
    <row r="278">
      <c r="A278" s="6">
        <f>Config!$K$10+20*Config!$J$10+Config!$J$10/2</f>
        <v/>
      </c>
      <c r="B278" s="6">
        <f>$A278-Config!$J$10/2</f>
        <v/>
      </c>
      <c r="C278" s="6">
        <f>$A278+Config!$J$10/2</f>
        <v/>
      </c>
      <c r="D278" s="6">
        <f>COUNTIFS(RawData!$C$2:$C$941,"LT",RawData!$O$2:$O$941,"&gt;="&amp;$B278,RawData!$O$2:$O$941,"&lt;"&amp;$C278,RawData!$O$2:$O$941,"&lt;&gt;0")</f>
        <v/>
      </c>
      <c r="E278" s="6">
        <f>IF(Config!$G$10=0,0,IF(ABS(($A278-Config!$F$10)/Config!$G$10)&lt;=2,$D278,0))</f>
        <v/>
      </c>
      <c r="F278" s="6">
        <f>IF(Config!$G$10=0,0,IF(AND(ABS(($A278-Config!$F$10)/Config!$G$10)&gt;2,ABS(($A278-Config!$F$10)/Config!$G$10)&lt;=3),$D278,0))</f>
        <v/>
      </c>
      <c r="G278" s="6">
        <f>IF(Config!$G$10=0,0,IF(ABS(($A278-Config!$F$10)/Config!$G$10)&gt;3,$D278,0))</f>
        <v/>
      </c>
      <c r="H278" s="6">
        <f>IFERROR(NORM.DIST($A278,Config!$F$10,Config!$G$10,FALSE)*Config!$D$10*Config!$J$10,0)</f>
        <v/>
      </c>
    </row>
    <row r="279">
      <c r="A279">
        <f>Config!$K$10+21*Config!$J$10+Config!$J$10/2</f>
        <v/>
      </c>
      <c r="B279">
        <f>$A279-Config!$J$10/2</f>
        <v/>
      </c>
      <c r="C279">
        <f>$A279+Config!$J$10/2</f>
        <v/>
      </c>
      <c r="D279">
        <f>COUNTIFS(RawData!$C$2:$C$941,"LT",RawData!$O$2:$O$941,"&gt;="&amp;$B279,RawData!$O$2:$O$941,"&lt;"&amp;$C279,RawData!$O$2:$O$941,"&lt;&gt;0")</f>
        <v/>
      </c>
      <c r="E279">
        <f>IF(Config!$G$10=0,0,IF(ABS(($A279-Config!$F$10)/Config!$G$10)&lt;=2,$D279,0))</f>
        <v/>
      </c>
      <c r="F279">
        <f>IF(Config!$G$10=0,0,IF(AND(ABS(($A279-Config!$F$10)/Config!$G$10)&gt;2,ABS(($A279-Config!$F$10)/Config!$G$10)&lt;=3),$D279,0))</f>
        <v/>
      </c>
      <c r="G279">
        <f>IF(Config!$G$10=0,0,IF(ABS(($A279-Config!$F$10)/Config!$G$10)&gt;3,$D279,0))</f>
        <v/>
      </c>
      <c r="H279">
        <f>IFERROR(NORM.DIST($A279,Config!$F$10,Config!$G$10,FALSE)*Config!$D$10*Config!$J$10,0)</f>
        <v/>
      </c>
    </row>
    <row r="280">
      <c r="A280" s="6">
        <f>Config!$K$10+22*Config!$J$10+Config!$J$10/2</f>
        <v/>
      </c>
      <c r="B280" s="6">
        <f>$A280-Config!$J$10/2</f>
        <v/>
      </c>
      <c r="C280" s="6">
        <f>$A280+Config!$J$10/2</f>
        <v/>
      </c>
      <c r="D280" s="6">
        <f>COUNTIFS(RawData!$C$2:$C$941,"LT",RawData!$O$2:$O$941,"&gt;="&amp;$B280,RawData!$O$2:$O$941,"&lt;"&amp;$C280,RawData!$O$2:$O$941,"&lt;&gt;0")</f>
        <v/>
      </c>
      <c r="E280" s="6">
        <f>IF(Config!$G$10=0,0,IF(ABS(($A280-Config!$F$10)/Config!$G$10)&lt;=2,$D280,0))</f>
        <v/>
      </c>
      <c r="F280" s="6">
        <f>IF(Config!$G$10=0,0,IF(AND(ABS(($A280-Config!$F$10)/Config!$G$10)&gt;2,ABS(($A280-Config!$F$10)/Config!$G$10)&lt;=3),$D280,0))</f>
        <v/>
      </c>
      <c r="G280" s="6">
        <f>IF(Config!$G$10=0,0,IF(ABS(($A280-Config!$F$10)/Config!$G$10)&gt;3,$D280,0))</f>
        <v/>
      </c>
      <c r="H280" s="6">
        <f>IFERROR(NORM.DIST($A280,Config!$F$10,Config!$G$10,FALSE)*Config!$D$10*Config!$J$10,0)</f>
        <v/>
      </c>
    </row>
    <row r="281">
      <c r="A281">
        <f>Config!$K$10+23*Config!$J$10+Config!$J$10/2</f>
        <v/>
      </c>
      <c r="B281">
        <f>$A281-Config!$J$10/2</f>
        <v/>
      </c>
      <c r="C281">
        <f>$A281+Config!$J$10/2</f>
        <v/>
      </c>
      <c r="D281">
        <f>COUNTIFS(RawData!$C$2:$C$941,"LT",RawData!$O$2:$O$941,"&gt;="&amp;$B281,RawData!$O$2:$O$941,"&lt;"&amp;$C281,RawData!$O$2:$O$941,"&lt;&gt;0")</f>
        <v/>
      </c>
      <c r="E281">
        <f>IF(Config!$G$10=0,0,IF(ABS(($A281-Config!$F$10)/Config!$G$10)&lt;=2,$D281,0))</f>
        <v/>
      </c>
      <c r="F281">
        <f>IF(Config!$G$10=0,0,IF(AND(ABS(($A281-Config!$F$10)/Config!$G$10)&gt;2,ABS(($A281-Config!$F$10)/Config!$G$10)&lt;=3),$D281,0))</f>
        <v/>
      </c>
      <c r="G281">
        <f>IF(Config!$G$10=0,0,IF(ABS(($A281-Config!$F$10)/Config!$G$10)&gt;3,$D281,0))</f>
        <v/>
      </c>
      <c r="H281">
        <f>IFERROR(NORM.DIST($A281,Config!$F$10,Config!$G$10,FALSE)*Config!$D$10*Config!$J$10,0)</f>
        <v/>
      </c>
    </row>
    <row r="282">
      <c r="A282" s="6">
        <f>Config!$K$10+24*Config!$J$10+Config!$J$10/2</f>
        <v/>
      </c>
      <c r="B282" s="6">
        <f>$A282-Config!$J$10/2</f>
        <v/>
      </c>
      <c r="C282" s="6">
        <f>$A282+Config!$J$10/2</f>
        <v/>
      </c>
      <c r="D282" s="6">
        <f>COUNTIFS(RawData!$C$2:$C$941,"LT",RawData!$O$2:$O$941,"&gt;="&amp;$B282,RawData!$O$2:$O$941,"&lt;"&amp;$C282,RawData!$O$2:$O$941,"&lt;&gt;0")</f>
        <v/>
      </c>
      <c r="E282" s="6">
        <f>IF(Config!$G$10=0,0,IF(ABS(($A282-Config!$F$10)/Config!$G$10)&lt;=2,$D282,0))</f>
        <v/>
      </c>
      <c r="F282" s="6">
        <f>IF(Config!$G$10=0,0,IF(AND(ABS(($A282-Config!$F$10)/Config!$G$10)&gt;2,ABS(($A282-Config!$F$10)/Config!$G$10)&lt;=3),$D282,0))</f>
        <v/>
      </c>
      <c r="G282" s="6">
        <f>IF(Config!$G$10=0,0,IF(ABS(($A282-Config!$F$10)/Config!$G$10)&gt;3,$D282,0))</f>
        <v/>
      </c>
      <c r="H282" s="6">
        <f>IFERROR(NORM.DIST($A282,Config!$F$10,Config!$G$10,FALSE)*Config!$D$10*Config!$J$10,0)</f>
        <v/>
      </c>
    </row>
    <row r="283">
      <c r="A283">
        <f>Config!$K$10+25*Config!$J$10+Config!$J$10/2</f>
        <v/>
      </c>
      <c r="B283">
        <f>$A283-Config!$J$10/2</f>
        <v/>
      </c>
      <c r="C283">
        <f>$A283+Config!$J$10/2</f>
        <v/>
      </c>
      <c r="D283">
        <f>COUNTIFS(RawData!$C$2:$C$941,"LT",RawData!$O$2:$O$941,"&gt;="&amp;$B283,RawData!$O$2:$O$941,"&lt;"&amp;$C283,RawData!$O$2:$O$941,"&lt;&gt;0")</f>
        <v/>
      </c>
      <c r="E283">
        <f>IF(Config!$G$10=0,0,IF(ABS(($A283-Config!$F$10)/Config!$G$10)&lt;=2,$D283,0))</f>
        <v/>
      </c>
      <c r="F283">
        <f>IF(Config!$G$10=0,0,IF(AND(ABS(($A283-Config!$F$10)/Config!$G$10)&gt;2,ABS(($A283-Config!$F$10)/Config!$G$10)&lt;=3),$D283,0))</f>
        <v/>
      </c>
      <c r="G283">
        <f>IF(Config!$G$10=0,0,IF(ABS(($A283-Config!$F$10)/Config!$G$10)&gt;3,$D283,0))</f>
        <v/>
      </c>
      <c r="H283">
        <f>IFERROR(NORM.DIST($A283,Config!$F$10,Config!$G$10,FALSE)*Config!$D$10*Config!$J$10,0)</f>
        <v/>
      </c>
    </row>
    <row r="284">
      <c r="A284" s="6">
        <f>Config!$K$10+26*Config!$J$10+Config!$J$10/2</f>
        <v/>
      </c>
      <c r="B284" s="6">
        <f>$A284-Config!$J$10/2</f>
        <v/>
      </c>
      <c r="C284" s="6">
        <f>$A284+Config!$J$10/2</f>
        <v/>
      </c>
      <c r="D284" s="6">
        <f>COUNTIFS(RawData!$C$2:$C$941,"LT",RawData!$O$2:$O$941,"&gt;="&amp;$B284,RawData!$O$2:$O$941,"&lt;"&amp;$C284,RawData!$O$2:$O$941,"&lt;&gt;0")</f>
        <v/>
      </c>
      <c r="E284" s="6">
        <f>IF(Config!$G$10=0,0,IF(ABS(($A284-Config!$F$10)/Config!$G$10)&lt;=2,$D284,0))</f>
        <v/>
      </c>
      <c r="F284" s="6">
        <f>IF(Config!$G$10=0,0,IF(AND(ABS(($A284-Config!$F$10)/Config!$G$10)&gt;2,ABS(($A284-Config!$F$10)/Config!$G$10)&lt;=3),$D284,0))</f>
        <v/>
      </c>
      <c r="G284" s="6">
        <f>IF(Config!$G$10=0,0,IF(ABS(($A284-Config!$F$10)/Config!$G$10)&gt;3,$D284,0))</f>
        <v/>
      </c>
      <c r="H284" s="6">
        <f>IFERROR(NORM.DIST($A284,Config!$F$10,Config!$G$10,FALSE)*Config!$D$10*Config!$J$10,0)</f>
        <v/>
      </c>
    </row>
    <row r="285">
      <c r="A285">
        <f>Config!$K$10+27*Config!$J$10+Config!$J$10/2</f>
        <v/>
      </c>
      <c r="B285">
        <f>$A285-Config!$J$10/2</f>
        <v/>
      </c>
      <c r="C285">
        <f>$A285+Config!$J$10/2</f>
        <v/>
      </c>
      <c r="D285">
        <f>COUNTIFS(RawData!$C$2:$C$941,"LT",RawData!$O$2:$O$941,"&gt;="&amp;$B285,RawData!$O$2:$O$941,"&lt;"&amp;$C285,RawData!$O$2:$O$941,"&lt;&gt;0")</f>
        <v/>
      </c>
      <c r="E285">
        <f>IF(Config!$G$10=0,0,IF(ABS(($A285-Config!$F$10)/Config!$G$10)&lt;=2,$D285,0))</f>
        <v/>
      </c>
      <c r="F285">
        <f>IF(Config!$G$10=0,0,IF(AND(ABS(($A285-Config!$F$10)/Config!$G$10)&gt;2,ABS(($A285-Config!$F$10)/Config!$G$10)&lt;=3),$D285,0))</f>
        <v/>
      </c>
      <c r="G285">
        <f>IF(Config!$G$10=0,0,IF(ABS(($A285-Config!$F$10)/Config!$G$10)&gt;3,$D285,0))</f>
        <v/>
      </c>
      <c r="H285">
        <f>IFERROR(NORM.DIST($A285,Config!$F$10,Config!$G$10,FALSE)*Config!$D$10*Config!$J$10,0)</f>
        <v/>
      </c>
    </row>
    <row r="286">
      <c r="A286" s="6">
        <f>Config!$K$10+28*Config!$J$10+Config!$J$10/2</f>
        <v/>
      </c>
      <c r="B286" s="6">
        <f>$A286-Config!$J$10/2</f>
        <v/>
      </c>
      <c r="C286" s="6">
        <f>$A286+Config!$J$10/2</f>
        <v/>
      </c>
      <c r="D286" s="6">
        <f>COUNTIFS(RawData!$C$2:$C$941,"LT",RawData!$O$2:$O$941,"&gt;="&amp;$B286,RawData!$O$2:$O$941,"&lt;"&amp;$C286,RawData!$O$2:$O$941,"&lt;&gt;0")</f>
        <v/>
      </c>
      <c r="E286" s="6">
        <f>IF(Config!$G$10=0,0,IF(ABS(($A286-Config!$F$10)/Config!$G$10)&lt;=2,$D286,0))</f>
        <v/>
      </c>
      <c r="F286" s="6">
        <f>IF(Config!$G$10=0,0,IF(AND(ABS(($A286-Config!$F$10)/Config!$G$10)&gt;2,ABS(($A286-Config!$F$10)/Config!$G$10)&lt;=3),$D286,0))</f>
        <v/>
      </c>
      <c r="G286" s="6">
        <f>IF(Config!$G$10=0,0,IF(ABS(($A286-Config!$F$10)/Config!$G$10)&gt;3,$D286,0))</f>
        <v/>
      </c>
      <c r="H286" s="6">
        <f>IFERROR(NORM.DIST($A286,Config!$F$10,Config!$G$10,FALSE)*Config!$D$10*Config!$J$10,0)</f>
        <v/>
      </c>
    </row>
    <row r="287">
      <c r="A287">
        <f>Config!$K$10+29*Config!$J$10+Config!$J$10/2</f>
        <v/>
      </c>
      <c r="B287">
        <f>$A287-Config!$J$10/2</f>
        <v/>
      </c>
      <c r="C287">
        <f>$A287+Config!$J$10/2</f>
        <v/>
      </c>
      <c r="D287">
        <f>COUNTIFS(RawData!$C$2:$C$941,"LT",RawData!$O$2:$O$941,"&gt;="&amp;$B287,RawData!$O$2:$O$941,"&lt;"&amp;$C287,RawData!$O$2:$O$941,"&lt;&gt;0")</f>
        <v/>
      </c>
      <c r="E287">
        <f>IF(Config!$G$10=0,0,IF(ABS(($A287-Config!$F$10)/Config!$G$10)&lt;=2,$D287,0))</f>
        <v/>
      </c>
      <c r="F287">
        <f>IF(Config!$G$10=0,0,IF(AND(ABS(($A287-Config!$F$10)/Config!$G$10)&gt;2,ABS(($A287-Config!$F$10)/Config!$G$10)&lt;=3),$D287,0))</f>
        <v/>
      </c>
      <c r="G287">
        <f>IF(Config!$G$10=0,0,IF(ABS(($A287-Config!$F$10)/Config!$G$10)&gt;3,$D287,0))</f>
        <v/>
      </c>
      <c r="H287">
        <f>IFERROR(NORM.DIST($A287,Config!$F$10,Config!$G$10,FALSE)*Config!$D$10*Config!$J$10,0)</f>
        <v/>
      </c>
    </row>
    <row r="289">
      <c r="A289" s="5" t="inlineStr">
        <is>
          <t>BinCenter</t>
        </is>
      </c>
      <c r="B289" s="5" t="inlineStr">
        <is>
          <t>BinLo</t>
        </is>
      </c>
      <c r="C289" s="5" t="inlineStr">
        <is>
          <t>BinHi</t>
        </is>
      </c>
      <c r="D289" s="5" t="inlineStr">
        <is>
          <t>TotalCount</t>
        </is>
      </c>
      <c r="E289" s="5" t="inlineStr">
        <is>
          <t>Normal</t>
        </is>
      </c>
      <c r="F289" s="5" t="inlineStr">
        <is>
          <t>Warning(2-3s)</t>
        </is>
      </c>
      <c r="G289" s="5" t="inlineStr">
        <is>
          <t>Outlier(&gt;3s)</t>
        </is>
      </c>
      <c r="H289" s="5" t="inlineStr">
        <is>
          <t>CurveY</t>
        </is>
      </c>
    </row>
    <row r="290">
      <c r="A290" s="6">
        <f>Config!$K$11+0*Config!$J$11+Config!$J$11/2</f>
        <v/>
      </c>
      <c r="B290" s="6">
        <f>$A290-Config!$J$11/2</f>
        <v/>
      </c>
      <c r="C290" s="6">
        <f>$A290+Config!$J$11/2</f>
        <v/>
      </c>
      <c r="D290" s="6">
        <f>COUNTIFS(RawData!$C$2:$C$941,"LT",RawData!$P$2:$P$941,"&gt;="&amp;$B290,RawData!$P$2:$P$941,"&lt;"&amp;$C290,RawData!$P$2:$P$941,"&lt;&gt;0")</f>
        <v/>
      </c>
      <c r="E290" s="6">
        <f>IF(Config!$G$11=0,0,IF(ABS(($A290-Config!$F$11)/Config!$G$11)&lt;=2,$D290,0))</f>
        <v/>
      </c>
      <c r="F290" s="6">
        <f>IF(Config!$G$11=0,0,IF(AND(ABS(($A290-Config!$F$11)/Config!$G$11)&gt;2,ABS(($A290-Config!$F$11)/Config!$G$11)&lt;=3),$D290,0))</f>
        <v/>
      </c>
      <c r="G290" s="6">
        <f>IF(Config!$G$11=0,0,IF(ABS(($A290-Config!$F$11)/Config!$G$11)&gt;3,$D290,0))</f>
        <v/>
      </c>
      <c r="H290" s="6">
        <f>IFERROR(NORM.DIST($A290,Config!$F$11,Config!$G$11,FALSE)*Config!$D$11*Config!$J$11,0)</f>
        <v/>
      </c>
    </row>
    <row r="291">
      <c r="A291">
        <f>Config!$K$11+1*Config!$J$11+Config!$J$11/2</f>
        <v/>
      </c>
      <c r="B291">
        <f>$A291-Config!$J$11/2</f>
        <v/>
      </c>
      <c r="C291">
        <f>$A291+Config!$J$11/2</f>
        <v/>
      </c>
      <c r="D291">
        <f>COUNTIFS(RawData!$C$2:$C$941,"LT",RawData!$P$2:$P$941,"&gt;="&amp;$B291,RawData!$P$2:$P$941,"&lt;"&amp;$C291,RawData!$P$2:$P$941,"&lt;&gt;0")</f>
        <v/>
      </c>
      <c r="E291">
        <f>IF(Config!$G$11=0,0,IF(ABS(($A291-Config!$F$11)/Config!$G$11)&lt;=2,$D291,0))</f>
        <v/>
      </c>
      <c r="F291">
        <f>IF(Config!$G$11=0,0,IF(AND(ABS(($A291-Config!$F$11)/Config!$G$11)&gt;2,ABS(($A291-Config!$F$11)/Config!$G$11)&lt;=3),$D291,0))</f>
        <v/>
      </c>
      <c r="G291">
        <f>IF(Config!$G$11=0,0,IF(ABS(($A291-Config!$F$11)/Config!$G$11)&gt;3,$D291,0))</f>
        <v/>
      </c>
      <c r="H291">
        <f>IFERROR(NORM.DIST($A291,Config!$F$11,Config!$G$11,FALSE)*Config!$D$11*Config!$J$11,0)</f>
        <v/>
      </c>
    </row>
    <row r="292">
      <c r="A292" s="6">
        <f>Config!$K$11+2*Config!$J$11+Config!$J$11/2</f>
        <v/>
      </c>
      <c r="B292" s="6">
        <f>$A292-Config!$J$11/2</f>
        <v/>
      </c>
      <c r="C292" s="6">
        <f>$A292+Config!$J$11/2</f>
        <v/>
      </c>
      <c r="D292" s="6">
        <f>COUNTIFS(RawData!$C$2:$C$941,"LT",RawData!$P$2:$P$941,"&gt;="&amp;$B292,RawData!$P$2:$P$941,"&lt;"&amp;$C292,RawData!$P$2:$P$941,"&lt;&gt;0")</f>
        <v/>
      </c>
      <c r="E292" s="6">
        <f>IF(Config!$G$11=0,0,IF(ABS(($A292-Config!$F$11)/Config!$G$11)&lt;=2,$D292,0))</f>
        <v/>
      </c>
      <c r="F292" s="6">
        <f>IF(Config!$G$11=0,0,IF(AND(ABS(($A292-Config!$F$11)/Config!$G$11)&gt;2,ABS(($A292-Config!$F$11)/Config!$G$11)&lt;=3),$D292,0))</f>
        <v/>
      </c>
      <c r="G292" s="6">
        <f>IF(Config!$G$11=0,0,IF(ABS(($A292-Config!$F$11)/Config!$G$11)&gt;3,$D292,0))</f>
        <v/>
      </c>
      <c r="H292" s="6">
        <f>IFERROR(NORM.DIST($A292,Config!$F$11,Config!$G$11,FALSE)*Config!$D$11*Config!$J$11,0)</f>
        <v/>
      </c>
    </row>
    <row r="293">
      <c r="A293">
        <f>Config!$K$11+3*Config!$J$11+Config!$J$11/2</f>
        <v/>
      </c>
      <c r="B293">
        <f>$A293-Config!$J$11/2</f>
        <v/>
      </c>
      <c r="C293">
        <f>$A293+Config!$J$11/2</f>
        <v/>
      </c>
      <c r="D293">
        <f>COUNTIFS(RawData!$C$2:$C$941,"LT",RawData!$P$2:$P$941,"&gt;="&amp;$B293,RawData!$P$2:$P$941,"&lt;"&amp;$C293,RawData!$P$2:$P$941,"&lt;&gt;0")</f>
        <v/>
      </c>
      <c r="E293">
        <f>IF(Config!$G$11=0,0,IF(ABS(($A293-Config!$F$11)/Config!$G$11)&lt;=2,$D293,0))</f>
        <v/>
      </c>
      <c r="F293">
        <f>IF(Config!$G$11=0,0,IF(AND(ABS(($A293-Config!$F$11)/Config!$G$11)&gt;2,ABS(($A293-Config!$F$11)/Config!$G$11)&lt;=3),$D293,0))</f>
        <v/>
      </c>
      <c r="G293">
        <f>IF(Config!$G$11=0,0,IF(ABS(($A293-Config!$F$11)/Config!$G$11)&gt;3,$D293,0))</f>
        <v/>
      </c>
      <c r="H293">
        <f>IFERROR(NORM.DIST($A293,Config!$F$11,Config!$G$11,FALSE)*Config!$D$11*Config!$J$11,0)</f>
        <v/>
      </c>
    </row>
    <row r="294">
      <c r="A294" s="6">
        <f>Config!$K$11+4*Config!$J$11+Config!$J$11/2</f>
        <v/>
      </c>
      <c r="B294" s="6">
        <f>$A294-Config!$J$11/2</f>
        <v/>
      </c>
      <c r="C294" s="6">
        <f>$A294+Config!$J$11/2</f>
        <v/>
      </c>
      <c r="D294" s="6">
        <f>COUNTIFS(RawData!$C$2:$C$941,"LT",RawData!$P$2:$P$941,"&gt;="&amp;$B294,RawData!$P$2:$P$941,"&lt;"&amp;$C294,RawData!$P$2:$P$941,"&lt;&gt;0")</f>
        <v/>
      </c>
      <c r="E294" s="6">
        <f>IF(Config!$G$11=0,0,IF(ABS(($A294-Config!$F$11)/Config!$G$11)&lt;=2,$D294,0))</f>
        <v/>
      </c>
      <c r="F294" s="6">
        <f>IF(Config!$G$11=0,0,IF(AND(ABS(($A294-Config!$F$11)/Config!$G$11)&gt;2,ABS(($A294-Config!$F$11)/Config!$G$11)&lt;=3),$D294,0))</f>
        <v/>
      </c>
      <c r="G294" s="6">
        <f>IF(Config!$G$11=0,0,IF(ABS(($A294-Config!$F$11)/Config!$G$11)&gt;3,$D294,0))</f>
        <v/>
      </c>
      <c r="H294" s="6">
        <f>IFERROR(NORM.DIST($A294,Config!$F$11,Config!$G$11,FALSE)*Config!$D$11*Config!$J$11,0)</f>
        <v/>
      </c>
    </row>
    <row r="295">
      <c r="A295">
        <f>Config!$K$11+5*Config!$J$11+Config!$J$11/2</f>
        <v/>
      </c>
      <c r="B295">
        <f>$A295-Config!$J$11/2</f>
        <v/>
      </c>
      <c r="C295">
        <f>$A295+Config!$J$11/2</f>
        <v/>
      </c>
      <c r="D295">
        <f>COUNTIFS(RawData!$C$2:$C$941,"LT",RawData!$P$2:$P$941,"&gt;="&amp;$B295,RawData!$P$2:$P$941,"&lt;"&amp;$C295,RawData!$P$2:$P$941,"&lt;&gt;0")</f>
        <v/>
      </c>
      <c r="E295">
        <f>IF(Config!$G$11=0,0,IF(ABS(($A295-Config!$F$11)/Config!$G$11)&lt;=2,$D295,0))</f>
        <v/>
      </c>
      <c r="F295">
        <f>IF(Config!$G$11=0,0,IF(AND(ABS(($A295-Config!$F$11)/Config!$G$11)&gt;2,ABS(($A295-Config!$F$11)/Config!$G$11)&lt;=3),$D295,0))</f>
        <v/>
      </c>
      <c r="G295">
        <f>IF(Config!$G$11=0,0,IF(ABS(($A295-Config!$F$11)/Config!$G$11)&gt;3,$D295,0))</f>
        <v/>
      </c>
      <c r="H295">
        <f>IFERROR(NORM.DIST($A295,Config!$F$11,Config!$G$11,FALSE)*Config!$D$11*Config!$J$11,0)</f>
        <v/>
      </c>
    </row>
    <row r="296">
      <c r="A296" s="6">
        <f>Config!$K$11+6*Config!$J$11+Config!$J$11/2</f>
        <v/>
      </c>
      <c r="B296" s="6">
        <f>$A296-Config!$J$11/2</f>
        <v/>
      </c>
      <c r="C296" s="6">
        <f>$A296+Config!$J$11/2</f>
        <v/>
      </c>
      <c r="D296" s="6">
        <f>COUNTIFS(RawData!$C$2:$C$941,"LT",RawData!$P$2:$P$941,"&gt;="&amp;$B296,RawData!$P$2:$P$941,"&lt;"&amp;$C296,RawData!$P$2:$P$941,"&lt;&gt;0")</f>
        <v/>
      </c>
      <c r="E296" s="6">
        <f>IF(Config!$G$11=0,0,IF(ABS(($A296-Config!$F$11)/Config!$G$11)&lt;=2,$D296,0))</f>
        <v/>
      </c>
      <c r="F296" s="6">
        <f>IF(Config!$G$11=0,0,IF(AND(ABS(($A296-Config!$F$11)/Config!$G$11)&gt;2,ABS(($A296-Config!$F$11)/Config!$G$11)&lt;=3),$D296,0))</f>
        <v/>
      </c>
      <c r="G296" s="6">
        <f>IF(Config!$G$11=0,0,IF(ABS(($A296-Config!$F$11)/Config!$G$11)&gt;3,$D296,0))</f>
        <v/>
      </c>
      <c r="H296" s="6">
        <f>IFERROR(NORM.DIST($A296,Config!$F$11,Config!$G$11,FALSE)*Config!$D$11*Config!$J$11,0)</f>
        <v/>
      </c>
    </row>
    <row r="297">
      <c r="A297">
        <f>Config!$K$11+7*Config!$J$11+Config!$J$11/2</f>
        <v/>
      </c>
      <c r="B297">
        <f>$A297-Config!$J$11/2</f>
        <v/>
      </c>
      <c r="C297">
        <f>$A297+Config!$J$11/2</f>
        <v/>
      </c>
      <c r="D297">
        <f>COUNTIFS(RawData!$C$2:$C$941,"LT",RawData!$P$2:$P$941,"&gt;="&amp;$B297,RawData!$P$2:$P$941,"&lt;"&amp;$C297,RawData!$P$2:$P$941,"&lt;&gt;0")</f>
        <v/>
      </c>
      <c r="E297">
        <f>IF(Config!$G$11=0,0,IF(ABS(($A297-Config!$F$11)/Config!$G$11)&lt;=2,$D297,0))</f>
        <v/>
      </c>
      <c r="F297">
        <f>IF(Config!$G$11=0,0,IF(AND(ABS(($A297-Config!$F$11)/Config!$G$11)&gt;2,ABS(($A297-Config!$F$11)/Config!$G$11)&lt;=3),$D297,0))</f>
        <v/>
      </c>
      <c r="G297">
        <f>IF(Config!$G$11=0,0,IF(ABS(($A297-Config!$F$11)/Config!$G$11)&gt;3,$D297,0))</f>
        <v/>
      </c>
      <c r="H297">
        <f>IFERROR(NORM.DIST($A297,Config!$F$11,Config!$G$11,FALSE)*Config!$D$11*Config!$J$11,0)</f>
        <v/>
      </c>
    </row>
    <row r="298">
      <c r="A298" s="6">
        <f>Config!$K$11+8*Config!$J$11+Config!$J$11/2</f>
        <v/>
      </c>
      <c r="B298" s="6">
        <f>$A298-Config!$J$11/2</f>
        <v/>
      </c>
      <c r="C298" s="6">
        <f>$A298+Config!$J$11/2</f>
        <v/>
      </c>
      <c r="D298" s="6">
        <f>COUNTIFS(RawData!$C$2:$C$941,"LT",RawData!$P$2:$P$941,"&gt;="&amp;$B298,RawData!$P$2:$P$941,"&lt;"&amp;$C298,RawData!$P$2:$P$941,"&lt;&gt;0")</f>
        <v/>
      </c>
      <c r="E298" s="6">
        <f>IF(Config!$G$11=0,0,IF(ABS(($A298-Config!$F$11)/Config!$G$11)&lt;=2,$D298,0))</f>
        <v/>
      </c>
      <c r="F298" s="6">
        <f>IF(Config!$G$11=0,0,IF(AND(ABS(($A298-Config!$F$11)/Config!$G$11)&gt;2,ABS(($A298-Config!$F$11)/Config!$G$11)&lt;=3),$D298,0))</f>
        <v/>
      </c>
      <c r="G298" s="6">
        <f>IF(Config!$G$11=0,0,IF(ABS(($A298-Config!$F$11)/Config!$G$11)&gt;3,$D298,0))</f>
        <v/>
      </c>
      <c r="H298" s="6">
        <f>IFERROR(NORM.DIST($A298,Config!$F$11,Config!$G$11,FALSE)*Config!$D$11*Config!$J$11,0)</f>
        <v/>
      </c>
    </row>
    <row r="299">
      <c r="A299">
        <f>Config!$K$11+9*Config!$J$11+Config!$J$11/2</f>
        <v/>
      </c>
      <c r="B299">
        <f>$A299-Config!$J$11/2</f>
        <v/>
      </c>
      <c r="C299">
        <f>$A299+Config!$J$11/2</f>
        <v/>
      </c>
      <c r="D299">
        <f>COUNTIFS(RawData!$C$2:$C$941,"LT",RawData!$P$2:$P$941,"&gt;="&amp;$B299,RawData!$P$2:$P$941,"&lt;"&amp;$C299,RawData!$P$2:$P$941,"&lt;&gt;0")</f>
        <v/>
      </c>
      <c r="E299">
        <f>IF(Config!$G$11=0,0,IF(ABS(($A299-Config!$F$11)/Config!$G$11)&lt;=2,$D299,0))</f>
        <v/>
      </c>
      <c r="F299">
        <f>IF(Config!$G$11=0,0,IF(AND(ABS(($A299-Config!$F$11)/Config!$G$11)&gt;2,ABS(($A299-Config!$F$11)/Config!$G$11)&lt;=3),$D299,0))</f>
        <v/>
      </c>
      <c r="G299">
        <f>IF(Config!$G$11=0,0,IF(ABS(($A299-Config!$F$11)/Config!$G$11)&gt;3,$D299,0))</f>
        <v/>
      </c>
      <c r="H299">
        <f>IFERROR(NORM.DIST($A299,Config!$F$11,Config!$G$11,FALSE)*Config!$D$11*Config!$J$11,0)</f>
        <v/>
      </c>
    </row>
    <row r="300">
      <c r="A300" s="6">
        <f>Config!$K$11+10*Config!$J$11+Config!$J$11/2</f>
        <v/>
      </c>
      <c r="B300" s="6">
        <f>$A300-Config!$J$11/2</f>
        <v/>
      </c>
      <c r="C300" s="6">
        <f>$A300+Config!$J$11/2</f>
        <v/>
      </c>
      <c r="D300" s="6">
        <f>COUNTIFS(RawData!$C$2:$C$941,"LT",RawData!$P$2:$P$941,"&gt;="&amp;$B300,RawData!$P$2:$P$941,"&lt;"&amp;$C300,RawData!$P$2:$P$941,"&lt;&gt;0")</f>
        <v/>
      </c>
      <c r="E300" s="6">
        <f>IF(Config!$G$11=0,0,IF(ABS(($A300-Config!$F$11)/Config!$G$11)&lt;=2,$D300,0))</f>
        <v/>
      </c>
      <c r="F300" s="6">
        <f>IF(Config!$G$11=0,0,IF(AND(ABS(($A300-Config!$F$11)/Config!$G$11)&gt;2,ABS(($A300-Config!$F$11)/Config!$G$11)&lt;=3),$D300,0))</f>
        <v/>
      </c>
      <c r="G300" s="6">
        <f>IF(Config!$G$11=0,0,IF(ABS(($A300-Config!$F$11)/Config!$G$11)&gt;3,$D300,0))</f>
        <v/>
      </c>
      <c r="H300" s="6">
        <f>IFERROR(NORM.DIST($A300,Config!$F$11,Config!$G$11,FALSE)*Config!$D$11*Config!$J$11,0)</f>
        <v/>
      </c>
    </row>
    <row r="301">
      <c r="A301">
        <f>Config!$K$11+11*Config!$J$11+Config!$J$11/2</f>
        <v/>
      </c>
      <c r="B301">
        <f>$A301-Config!$J$11/2</f>
        <v/>
      </c>
      <c r="C301">
        <f>$A301+Config!$J$11/2</f>
        <v/>
      </c>
      <c r="D301">
        <f>COUNTIFS(RawData!$C$2:$C$941,"LT",RawData!$P$2:$P$941,"&gt;="&amp;$B301,RawData!$P$2:$P$941,"&lt;"&amp;$C301,RawData!$P$2:$P$941,"&lt;&gt;0")</f>
        <v/>
      </c>
      <c r="E301">
        <f>IF(Config!$G$11=0,0,IF(ABS(($A301-Config!$F$11)/Config!$G$11)&lt;=2,$D301,0))</f>
        <v/>
      </c>
      <c r="F301">
        <f>IF(Config!$G$11=0,0,IF(AND(ABS(($A301-Config!$F$11)/Config!$G$11)&gt;2,ABS(($A301-Config!$F$11)/Config!$G$11)&lt;=3),$D301,0))</f>
        <v/>
      </c>
      <c r="G301">
        <f>IF(Config!$G$11=0,0,IF(ABS(($A301-Config!$F$11)/Config!$G$11)&gt;3,$D301,0))</f>
        <v/>
      </c>
      <c r="H301">
        <f>IFERROR(NORM.DIST($A301,Config!$F$11,Config!$G$11,FALSE)*Config!$D$11*Config!$J$11,0)</f>
        <v/>
      </c>
    </row>
    <row r="302">
      <c r="A302" s="6">
        <f>Config!$K$11+12*Config!$J$11+Config!$J$11/2</f>
        <v/>
      </c>
      <c r="B302" s="6">
        <f>$A302-Config!$J$11/2</f>
        <v/>
      </c>
      <c r="C302" s="6">
        <f>$A302+Config!$J$11/2</f>
        <v/>
      </c>
      <c r="D302" s="6">
        <f>COUNTIFS(RawData!$C$2:$C$941,"LT",RawData!$P$2:$P$941,"&gt;="&amp;$B302,RawData!$P$2:$P$941,"&lt;"&amp;$C302,RawData!$P$2:$P$941,"&lt;&gt;0")</f>
        <v/>
      </c>
      <c r="E302" s="6">
        <f>IF(Config!$G$11=0,0,IF(ABS(($A302-Config!$F$11)/Config!$G$11)&lt;=2,$D302,0))</f>
        <v/>
      </c>
      <c r="F302" s="6">
        <f>IF(Config!$G$11=0,0,IF(AND(ABS(($A302-Config!$F$11)/Config!$G$11)&gt;2,ABS(($A302-Config!$F$11)/Config!$G$11)&lt;=3),$D302,0))</f>
        <v/>
      </c>
      <c r="G302" s="6">
        <f>IF(Config!$G$11=0,0,IF(ABS(($A302-Config!$F$11)/Config!$G$11)&gt;3,$D302,0))</f>
        <v/>
      </c>
      <c r="H302" s="6">
        <f>IFERROR(NORM.DIST($A302,Config!$F$11,Config!$G$11,FALSE)*Config!$D$11*Config!$J$11,0)</f>
        <v/>
      </c>
    </row>
    <row r="303">
      <c r="A303">
        <f>Config!$K$11+13*Config!$J$11+Config!$J$11/2</f>
        <v/>
      </c>
      <c r="B303">
        <f>$A303-Config!$J$11/2</f>
        <v/>
      </c>
      <c r="C303">
        <f>$A303+Config!$J$11/2</f>
        <v/>
      </c>
      <c r="D303">
        <f>COUNTIFS(RawData!$C$2:$C$941,"LT",RawData!$P$2:$P$941,"&gt;="&amp;$B303,RawData!$P$2:$P$941,"&lt;"&amp;$C303,RawData!$P$2:$P$941,"&lt;&gt;0")</f>
        <v/>
      </c>
      <c r="E303">
        <f>IF(Config!$G$11=0,0,IF(ABS(($A303-Config!$F$11)/Config!$G$11)&lt;=2,$D303,0))</f>
        <v/>
      </c>
      <c r="F303">
        <f>IF(Config!$G$11=0,0,IF(AND(ABS(($A303-Config!$F$11)/Config!$G$11)&gt;2,ABS(($A303-Config!$F$11)/Config!$G$11)&lt;=3),$D303,0))</f>
        <v/>
      </c>
      <c r="G303">
        <f>IF(Config!$G$11=0,0,IF(ABS(($A303-Config!$F$11)/Config!$G$11)&gt;3,$D303,0))</f>
        <v/>
      </c>
      <c r="H303">
        <f>IFERROR(NORM.DIST($A303,Config!$F$11,Config!$G$11,FALSE)*Config!$D$11*Config!$J$11,0)</f>
        <v/>
      </c>
    </row>
    <row r="304">
      <c r="A304" s="6">
        <f>Config!$K$11+14*Config!$J$11+Config!$J$11/2</f>
        <v/>
      </c>
      <c r="B304" s="6">
        <f>$A304-Config!$J$11/2</f>
        <v/>
      </c>
      <c r="C304" s="6">
        <f>$A304+Config!$J$11/2</f>
        <v/>
      </c>
      <c r="D304" s="6">
        <f>COUNTIFS(RawData!$C$2:$C$941,"LT",RawData!$P$2:$P$941,"&gt;="&amp;$B304,RawData!$P$2:$P$941,"&lt;"&amp;$C304,RawData!$P$2:$P$941,"&lt;&gt;0")</f>
        <v/>
      </c>
      <c r="E304" s="6">
        <f>IF(Config!$G$11=0,0,IF(ABS(($A304-Config!$F$11)/Config!$G$11)&lt;=2,$D304,0))</f>
        <v/>
      </c>
      <c r="F304" s="6">
        <f>IF(Config!$G$11=0,0,IF(AND(ABS(($A304-Config!$F$11)/Config!$G$11)&gt;2,ABS(($A304-Config!$F$11)/Config!$G$11)&lt;=3),$D304,0))</f>
        <v/>
      </c>
      <c r="G304" s="6">
        <f>IF(Config!$G$11=0,0,IF(ABS(($A304-Config!$F$11)/Config!$G$11)&gt;3,$D304,0))</f>
        <v/>
      </c>
      <c r="H304" s="6">
        <f>IFERROR(NORM.DIST($A304,Config!$F$11,Config!$G$11,FALSE)*Config!$D$11*Config!$J$11,0)</f>
        <v/>
      </c>
    </row>
    <row r="305">
      <c r="A305">
        <f>Config!$K$11+15*Config!$J$11+Config!$J$11/2</f>
        <v/>
      </c>
      <c r="B305">
        <f>$A305-Config!$J$11/2</f>
        <v/>
      </c>
      <c r="C305">
        <f>$A305+Config!$J$11/2</f>
        <v/>
      </c>
      <c r="D305">
        <f>COUNTIFS(RawData!$C$2:$C$941,"LT",RawData!$P$2:$P$941,"&gt;="&amp;$B305,RawData!$P$2:$P$941,"&lt;"&amp;$C305,RawData!$P$2:$P$941,"&lt;&gt;0")</f>
        <v/>
      </c>
      <c r="E305">
        <f>IF(Config!$G$11=0,0,IF(ABS(($A305-Config!$F$11)/Config!$G$11)&lt;=2,$D305,0))</f>
        <v/>
      </c>
      <c r="F305">
        <f>IF(Config!$G$11=0,0,IF(AND(ABS(($A305-Config!$F$11)/Config!$G$11)&gt;2,ABS(($A305-Config!$F$11)/Config!$G$11)&lt;=3),$D305,0))</f>
        <v/>
      </c>
      <c r="G305">
        <f>IF(Config!$G$11=0,0,IF(ABS(($A305-Config!$F$11)/Config!$G$11)&gt;3,$D305,0))</f>
        <v/>
      </c>
      <c r="H305">
        <f>IFERROR(NORM.DIST($A305,Config!$F$11,Config!$G$11,FALSE)*Config!$D$11*Config!$J$11,0)</f>
        <v/>
      </c>
    </row>
    <row r="306">
      <c r="A306" s="6">
        <f>Config!$K$11+16*Config!$J$11+Config!$J$11/2</f>
        <v/>
      </c>
      <c r="B306" s="6">
        <f>$A306-Config!$J$11/2</f>
        <v/>
      </c>
      <c r="C306" s="6">
        <f>$A306+Config!$J$11/2</f>
        <v/>
      </c>
      <c r="D306" s="6">
        <f>COUNTIFS(RawData!$C$2:$C$941,"LT",RawData!$P$2:$P$941,"&gt;="&amp;$B306,RawData!$P$2:$P$941,"&lt;"&amp;$C306,RawData!$P$2:$P$941,"&lt;&gt;0")</f>
        <v/>
      </c>
      <c r="E306" s="6">
        <f>IF(Config!$G$11=0,0,IF(ABS(($A306-Config!$F$11)/Config!$G$11)&lt;=2,$D306,0))</f>
        <v/>
      </c>
      <c r="F306" s="6">
        <f>IF(Config!$G$11=0,0,IF(AND(ABS(($A306-Config!$F$11)/Config!$G$11)&gt;2,ABS(($A306-Config!$F$11)/Config!$G$11)&lt;=3),$D306,0))</f>
        <v/>
      </c>
      <c r="G306" s="6">
        <f>IF(Config!$G$11=0,0,IF(ABS(($A306-Config!$F$11)/Config!$G$11)&gt;3,$D306,0))</f>
        <v/>
      </c>
      <c r="H306" s="6">
        <f>IFERROR(NORM.DIST($A306,Config!$F$11,Config!$G$11,FALSE)*Config!$D$11*Config!$J$11,0)</f>
        <v/>
      </c>
    </row>
    <row r="307">
      <c r="A307">
        <f>Config!$K$11+17*Config!$J$11+Config!$J$11/2</f>
        <v/>
      </c>
      <c r="B307">
        <f>$A307-Config!$J$11/2</f>
        <v/>
      </c>
      <c r="C307">
        <f>$A307+Config!$J$11/2</f>
        <v/>
      </c>
      <c r="D307">
        <f>COUNTIFS(RawData!$C$2:$C$941,"LT",RawData!$P$2:$P$941,"&gt;="&amp;$B307,RawData!$P$2:$P$941,"&lt;"&amp;$C307,RawData!$P$2:$P$941,"&lt;&gt;0")</f>
        <v/>
      </c>
      <c r="E307">
        <f>IF(Config!$G$11=0,0,IF(ABS(($A307-Config!$F$11)/Config!$G$11)&lt;=2,$D307,0))</f>
        <v/>
      </c>
      <c r="F307">
        <f>IF(Config!$G$11=0,0,IF(AND(ABS(($A307-Config!$F$11)/Config!$G$11)&gt;2,ABS(($A307-Config!$F$11)/Config!$G$11)&lt;=3),$D307,0))</f>
        <v/>
      </c>
      <c r="G307">
        <f>IF(Config!$G$11=0,0,IF(ABS(($A307-Config!$F$11)/Config!$G$11)&gt;3,$D307,0))</f>
        <v/>
      </c>
      <c r="H307">
        <f>IFERROR(NORM.DIST($A307,Config!$F$11,Config!$G$11,FALSE)*Config!$D$11*Config!$J$11,0)</f>
        <v/>
      </c>
    </row>
    <row r="308">
      <c r="A308" s="6">
        <f>Config!$K$11+18*Config!$J$11+Config!$J$11/2</f>
        <v/>
      </c>
      <c r="B308" s="6">
        <f>$A308-Config!$J$11/2</f>
        <v/>
      </c>
      <c r="C308" s="6">
        <f>$A308+Config!$J$11/2</f>
        <v/>
      </c>
      <c r="D308" s="6">
        <f>COUNTIFS(RawData!$C$2:$C$941,"LT",RawData!$P$2:$P$941,"&gt;="&amp;$B308,RawData!$P$2:$P$941,"&lt;"&amp;$C308,RawData!$P$2:$P$941,"&lt;&gt;0")</f>
        <v/>
      </c>
      <c r="E308" s="6">
        <f>IF(Config!$G$11=0,0,IF(ABS(($A308-Config!$F$11)/Config!$G$11)&lt;=2,$D308,0))</f>
        <v/>
      </c>
      <c r="F308" s="6">
        <f>IF(Config!$G$11=0,0,IF(AND(ABS(($A308-Config!$F$11)/Config!$G$11)&gt;2,ABS(($A308-Config!$F$11)/Config!$G$11)&lt;=3),$D308,0))</f>
        <v/>
      </c>
      <c r="G308" s="6">
        <f>IF(Config!$G$11=0,0,IF(ABS(($A308-Config!$F$11)/Config!$G$11)&gt;3,$D308,0))</f>
        <v/>
      </c>
      <c r="H308" s="6">
        <f>IFERROR(NORM.DIST($A308,Config!$F$11,Config!$G$11,FALSE)*Config!$D$11*Config!$J$11,0)</f>
        <v/>
      </c>
    </row>
    <row r="309">
      <c r="A309">
        <f>Config!$K$11+19*Config!$J$11+Config!$J$11/2</f>
        <v/>
      </c>
      <c r="B309">
        <f>$A309-Config!$J$11/2</f>
        <v/>
      </c>
      <c r="C309">
        <f>$A309+Config!$J$11/2</f>
        <v/>
      </c>
      <c r="D309">
        <f>COUNTIFS(RawData!$C$2:$C$941,"LT",RawData!$P$2:$P$941,"&gt;="&amp;$B309,RawData!$P$2:$P$941,"&lt;"&amp;$C309,RawData!$P$2:$P$941,"&lt;&gt;0")</f>
        <v/>
      </c>
      <c r="E309">
        <f>IF(Config!$G$11=0,0,IF(ABS(($A309-Config!$F$11)/Config!$G$11)&lt;=2,$D309,0))</f>
        <v/>
      </c>
      <c r="F309">
        <f>IF(Config!$G$11=0,0,IF(AND(ABS(($A309-Config!$F$11)/Config!$G$11)&gt;2,ABS(($A309-Config!$F$11)/Config!$G$11)&lt;=3),$D309,0))</f>
        <v/>
      </c>
      <c r="G309">
        <f>IF(Config!$G$11=0,0,IF(ABS(($A309-Config!$F$11)/Config!$G$11)&gt;3,$D309,0))</f>
        <v/>
      </c>
      <c r="H309">
        <f>IFERROR(NORM.DIST($A309,Config!$F$11,Config!$G$11,FALSE)*Config!$D$11*Config!$J$11,0)</f>
        <v/>
      </c>
    </row>
    <row r="310">
      <c r="A310" s="6">
        <f>Config!$K$11+20*Config!$J$11+Config!$J$11/2</f>
        <v/>
      </c>
      <c r="B310" s="6">
        <f>$A310-Config!$J$11/2</f>
        <v/>
      </c>
      <c r="C310" s="6">
        <f>$A310+Config!$J$11/2</f>
        <v/>
      </c>
      <c r="D310" s="6">
        <f>COUNTIFS(RawData!$C$2:$C$941,"LT",RawData!$P$2:$P$941,"&gt;="&amp;$B310,RawData!$P$2:$P$941,"&lt;"&amp;$C310,RawData!$P$2:$P$941,"&lt;&gt;0")</f>
        <v/>
      </c>
      <c r="E310" s="6">
        <f>IF(Config!$G$11=0,0,IF(ABS(($A310-Config!$F$11)/Config!$G$11)&lt;=2,$D310,0))</f>
        <v/>
      </c>
      <c r="F310" s="6">
        <f>IF(Config!$G$11=0,0,IF(AND(ABS(($A310-Config!$F$11)/Config!$G$11)&gt;2,ABS(($A310-Config!$F$11)/Config!$G$11)&lt;=3),$D310,0))</f>
        <v/>
      </c>
      <c r="G310" s="6">
        <f>IF(Config!$G$11=0,0,IF(ABS(($A310-Config!$F$11)/Config!$G$11)&gt;3,$D310,0))</f>
        <v/>
      </c>
      <c r="H310" s="6">
        <f>IFERROR(NORM.DIST($A310,Config!$F$11,Config!$G$11,FALSE)*Config!$D$11*Config!$J$11,0)</f>
        <v/>
      </c>
    </row>
    <row r="311">
      <c r="A311">
        <f>Config!$K$11+21*Config!$J$11+Config!$J$11/2</f>
        <v/>
      </c>
      <c r="B311">
        <f>$A311-Config!$J$11/2</f>
        <v/>
      </c>
      <c r="C311">
        <f>$A311+Config!$J$11/2</f>
        <v/>
      </c>
      <c r="D311">
        <f>COUNTIFS(RawData!$C$2:$C$941,"LT",RawData!$P$2:$P$941,"&gt;="&amp;$B311,RawData!$P$2:$P$941,"&lt;"&amp;$C311,RawData!$P$2:$P$941,"&lt;&gt;0")</f>
        <v/>
      </c>
      <c r="E311">
        <f>IF(Config!$G$11=0,0,IF(ABS(($A311-Config!$F$11)/Config!$G$11)&lt;=2,$D311,0))</f>
        <v/>
      </c>
      <c r="F311">
        <f>IF(Config!$G$11=0,0,IF(AND(ABS(($A311-Config!$F$11)/Config!$G$11)&gt;2,ABS(($A311-Config!$F$11)/Config!$G$11)&lt;=3),$D311,0))</f>
        <v/>
      </c>
      <c r="G311">
        <f>IF(Config!$G$11=0,0,IF(ABS(($A311-Config!$F$11)/Config!$G$11)&gt;3,$D311,0))</f>
        <v/>
      </c>
      <c r="H311">
        <f>IFERROR(NORM.DIST($A311,Config!$F$11,Config!$G$11,FALSE)*Config!$D$11*Config!$J$11,0)</f>
        <v/>
      </c>
    </row>
    <row r="312">
      <c r="A312" s="6">
        <f>Config!$K$11+22*Config!$J$11+Config!$J$11/2</f>
        <v/>
      </c>
      <c r="B312" s="6">
        <f>$A312-Config!$J$11/2</f>
        <v/>
      </c>
      <c r="C312" s="6">
        <f>$A312+Config!$J$11/2</f>
        <v/>
      </c>
      <c r="D312" s="6">
        <f>COUNTIFS(RawData!$C$2:$C$941,"LT",RawData!$P$2:$P$941,"&gt;="&amp;$B312,RawData!$P$2:$P$941,"&lt;"&amp;$C312,RawData!$P$2:$P$941,"&lt;&gt;0")</f>
        <v/>
      </c>
      <c r="E312" s="6">
        <f>IF(Config!$G$11=0,0,IF(ABS(($A312-Config!$F$11)/Config!$G$11)&lt;=2,$D312,0))</f>
        <v/>
      </c>
      <c r="F312" s="6">
        <f>IF(Config!$G$11=0,0,IF(AND(ABS(($A312-Config!$F$11)/Config!$G$11)&gt;2,ABS(($A312-Config!$F$11)/Config!$G$11)&lt;=3),$D312,0))</f>
        <v/>
      </c>
      <c r="G312" s="6">
        <f>IF(Config!$G$11=0,0,IF(ABS(($A312-Config!$F$11)/Config!$G$11)&gt;3,$D312,0))</f>
        <v/>
      </c>
      <c r="H312" s="6">
        <f>IFERROR(NORM.DIST($A312,Config!$F$11,Config!$G$11,FALSE)*Config!$D$11*Config!$J$11,0)</f>
        <v/>
      </c>
    </row>
    <row r="313">
      <c r="A313">
        <f>Config!$K$11+23*Config!$J$11+Config!$J$11/2</f>
        <v/>
      </c>
      <c r="B313">
        <f>$A313-Config!$J$11/2</f>
        <v/>
      </c>
      <c r="C313">
        <f>$A313+Config!$J$11/2</f>
        <v/>
      </c>
      <c r="D313">
        <f>COUNTIFS(RawData!$C$2:$C$941,"LT",RawData!$P$2:$P$941,"&gt;="&amp;$B313,RawData!$P$2:$P$941,"&lt;"&amp;$C313,RawData!$P$2:$P$941,"&lt;&gt;0")</f>
        <v/>
      </c>
      <c r="E313">
        <f>IF(Config!$G$11=0,0,IF(ABS(($A313-Config!$F$11)/Config!$G$11)&lt;=2,$D313,0))</f>
        <v/>
      </c>
      <c r="F313">
        <f>IF(Config!$G$11=0,0,IF(AND(ABS(($A313-Config!$F$11)/Config!$G$11)&gt;2,ABS(($A313-Config!$F$11)/Config!$G$11)&lt;=3),$D313,0))</f>
        <v/>
      </c>
      <c r="G313">
        <f>IF(Config!$G$11=0,0,IF(ABS(($A313-Config!$F$11)/Config!$G$11)&gt;3,$D313,0))</f>
        <v/>
      </c>
      <c r="H313">
        <f>IFERROR(NORM.DIST($A313,Config!$F$11,Config!$G$11,FALSE)*Config!$D$11*Config!$J$11,0)</f>
        <v/>
      </c>
    </row>
    <row r="314">
      <c r="A314" s="6">
        <f>Config!$K$11+24*Config!$J$11+Config!$J$11/2</f>
        <v/>
      </c>
      <c r="B314" s="6">
        <f>$A314-Config!$J$11/2</f>
        <v/>
      </c>
      <c r="C314" s="6">
        <f>$A314+Config!$J$11/2</f>
        <v/>
      </c>
      <c r="D314" s="6">
        <f>COUNTIFS(RawData!$C$2:$C$941,"LT",RawData!$P$2:$P$941,"&gt;="&amp;$B314,RawData!$P$2:$P$941,"&lt;"&amp;$C314,RawData!$P$2:$P$941,"&lt;&gt;0")</f>
        <v/>
      </c>
      <c r="E314" s="6">
        <f>IF(Config!$G$11=0,0,IF(ABS(($A314-Config!$F$11)/Config!$G$11)&lt;=2,$D314,0))</f>
        <v/>
      </c>
      <c r="F314" s="6">
        <f>IF(Config!$G$11=0,0,IF(AND(ABS(($A314-Config!$F$11)/Config!$G$11)&gt;2,ABS(($A314-Config!$F$11)/Config!$G$11)&lt;=3),$D314,0))</f>
        <v/>
      </c>
      <c r="G314" s="6">
        <f>IF(Config!$G$11=0,0,IF(ABS(($A314-Config!$F$11)/Config!$G$11)&gt;3,$D314,0))</f>
        <v/>
      </c>
      <c r="H314" s="6">
        <f>IFERROR(NORM.DIST($A314,Config!$F$11,Config!$G$11,FALSE)*Config!$D$11*Config!$J$11,0)</f>
        <v/>
      </c>
    </row>
    <row r="315">
      <c r="A315">
        <f>Config!$K$11+25*Config!$J$11+Config!$J$11/2</f>
        <v/>
      </c>
      <c r="B315">
        <f>$A315-Config!$J$11/2</f>
        <v/>
      </c>
      <c r="C315">
        <f>$A315+Config!$J$11/2</f>
        <v/>
      </c>
      <c r="D315">
        <f>COUNTIFS(RawData!$C$2:$C$941,"LT",RawData!$P$2:$P$941,"&gt;="&amp;$B315,RawData!$P$2:$P$941,"&lt;"&amp;$C315,RawData!$P$2:$P$941,"&lt;&gt;0")</f>
        <v/>
      </c>
      <c r="E315">
        <f>IF(Config!$G$11=0,0,IF(ABS(($A315-Config!$F$11)/Config!$G$11)&lt;=2,$D315,0))</f>
        <v/>
      </c>
      <c r="F315">
        <f>IF(Config!$G$11=0,0,IF(AND(ABS(($A315-Config!$F$11)/Config!$G$11)&gt;2,ABS(($A315-Config!$F$11)/Config!$G$11)&lt;=3),$D315,0))</f>
        <v/>
      </c>
      <c r="G315">
        <f>IF(Config!$G$11=0,0,IF(ABS(($A315-Config!$F$11)/Config!$G$11)&gt;3,$D315,0))</f>
        <v/>
      </c>
      <c r="H315">
        <f>IFERROR(NORM.DIST($A315,Config!$F$11,Config!$G$11,FALSE)*Config!$D$11*Config!$J$11,0)</f>
        <v/>
      </c>
    </row>
    <row r="316">
      <c r="A316" s="6">
        <f>Config!$K$11+26*Config!$J$11+Config!$J$11/2</f>
        <v/>
      </c>
      <c r="B316" s="6">
        <f>$A316-Config!$J$11/2</f>
        <v/>
      </c>
      <c r="C316" s="6">
        <f>$A316+Config!$J$11/2</f>
        <v/>
      </c>
      <c r="D316" s="6">
        <f>COUNTIFS(RawData!$C$2:$C$941,"LT",RawData!$P$2:$P$941,"&gt;="&amp;$B316,RawData!$P$2:$P$941,"&lt;"&amp;$C316,RawData!$P$2:$P$941,"&lt;&gt;0")</f>
        <v/>
      </c>
      <c r="E316" s="6">
        <f>IF(Config!$G$11=0,0,IF(ABS(($A316-Config!$F$11)/Config!$G$11)&lt;=2,$D316,0))</f>
        <v/>
      </c>
      <c r="F316" s="6">
        <f>IF(Config!$G$11=0,0,IF(AND(ABS(($A316-Config!$F$11)/Config!$G$11)&gt;2,ABS(($A316-Config!$F$11)/Config!$G$11)&lt;=3),$D316,0))</f>
        <v/>
      </c>
      <c r="G316" s="6">
        <f>IF(Config!$G$11=0,0,IF(ABS(($A316-Config!$F$11)/Config!$G$11)&gt;3,$D316,0))</f>
        <v/>
      </c>
      <c r="H316" s="6">
        <f>IFERROR(NORM.DIST($A316,Config!$F$11,Config!$G$11,FALSE)*Config!$D$11*Config!$J$11,0)</f>
        <v/>
      </c>
    </row>
    <row r="317">
      <c r="A317">
        <f>Config!$K$11+27*Config!$J$11+Config!$J$11/2</f>
        <v/>
      </c>
      <c r="B317">
        <f>$A317-Config!$J$11/2</f>
        <v/>
      </c>
      <c r="C317">
        <f>$A317+Config!$J$11/2</f>
        <v/>
      </c>
      <c r="D317">
        <f>COUNTIFS(RawData!$C$2:$C$941,"LT",RawData!$P$2:$P$941,"&gt;="&amp;$B317,RawData!$P$2:$P$941,"&lt;"&amp;$C317,RawData!$P$2:$P$941,"&lt;&gt;0")</f>
        <v/>
      </c>
      <c r="E317">
        <f>IF(Config!$G$11=0,0,IF(ABS(($A317-Config!$F$11)/Config!$G$11)&lt;=2,$D317,0))</f>
        <v/>
      </c>
      <c r="F317">
        <f>IF(Config!$G$11=0,0,IF(AND(ABS(($A317-Config!$F$11)/Config!$G$11)&gt;2,ABS(($A317-Config!$F$11)/Config!$G$11)&lt;=3),$D317,0))</f>
        <v/>
      </c>
      <c r="G317">
        <f>IF(Config!$G$11=0,0,IF(ABS(($A317-Config!$F$11)/Config!$G$11)&gt;3,$D317,0))</f>
        <v/>
      </c>
      <c r="H317">
        <f>IFERROR(NORM.DIST($A317,Config!$F$11,Config!$G$11,FALSE)*Config!$D$11*Config!$J$11,0)</f>
        <v/>
      </c>
    </row>
    <row r="318">
      <c r="A318" s="6">
        <f>Config!$K$11+28*Config!$J$11+Config!$J$11/2</f>
        <v/>
      </c>
      <c r="B318" s="6">
        <f>$A318-Config!$J$11/2</f>
        <v/>
      </c>
      <c r="C318" s="6">
        <f>$A318+Config!$J$11/2</f>
        <v/>
      </c>
      <c r="D318" s="6">
        <f>COUNTIFS(RawData!$C$2:$C$941,"LT",RawData!$P$2:$P$941,"&gt;="&amp;$B318,RawData!$P$2:$P$941,"&lt;"&amp;$C318,RawData!$P$2:$P$941,"&lt;&gt;0")</f>
        <v/>
      </c>
      <c r="E318" s="6">
        <f>IF(Config!$G$11=0,0,IF(ABS(($A318-Config!$F$11)/Config!$G$11)&lt;=2,$D318,0))</f>
        <v/>
      </c>
      <c r="F318" s="6">
        <f>IF(Config!$G$11=0,0,IF(AND(ABS(($A318-Config!$F$11)/Config!$G$11)&gt;2,ABS(($A318-Config!$F$11)/Config!$G$11)&lt;=3),$D318,0))</f>
        <v/>
      </c>
      <c r="G318" s="6">
        <f>IF(Config!$G$11=0,0,IF(ABS(($A318-Config!$F$11)/Config!$G$11)&gt;3,$D318,0))</f>
        <v/>
      </c>
      <c r="H318" s="6">
        <f>IFERROR(NORM.DIST($A318,Config!$F$11,Config!$G$11,FALSE)*Config!$D$11*Config!$J$11,0)</f>
        <v/>
      </c>
    </row>
    <row r="319">
      <c r="A319">
        <f>Config!$K$11+29*Config!$J$11+Config!$J$11/2</f>
        <v/>
      </c>
      <c r="B319">
        <f>$A319-Config!$J$11/2</f>
        <v/>
      </c>
      <c r="C319">
        <f>$A319+Config!$J$11/2</f>
        <v/>
      </c>
      <c r="D319">
        <f>COUNTIFS(RawData!$C$2:$C$941,"LT",RawData!$P$2:$P$941,"&gt;="&amp;$B319,RawData!$P$2:$P$941,"&lt;"&amp;$C319,RawData!$P$2:$P$941,"&lt;&gt;0")</f>
        <v/>
      </c>
      <c r="E319">
        <f>IF(Config!$G$11=0,0,IF(ABS(($A319-Config!$F$11)/Config!$G$11)&lt;=2,$D319,0))</f>
        <v/>
      </c>
      <c r="F319">
        <f>IF(Config!$G$11=0,0,IF(AND(ABS(($A319-Config!$F$11)/Config!$G$11)&gt;2,ABS(($A319-Config!$F$11)/Config!$G$11)&lt;=3),$D319,0))</f>
        <v/>
      </c>
      <c r="G319">
        <f>IF(Config!$G$11=0,0,IF(ABS(($A319-Config!$F$11)/Config!$G$11)&gt;3,$D319,0))</f>
        <v/>
      </c>
      <c r="H319">
        <f>IFERROR(NORM.DIST($A319,Config!$F$11,Config!$G$11,FALSE)*Config!$D$11*Config!$J$11,0)</f>
        <v/>
      </c>
    </row>
    <row r="321">
      <c r="A321" s="5" t="inlineStr">
        <is>
          <t>BinCenter</t>
        </is>
      </c>
      <c r="B321" s="5" t="inlineStr">
        <is>
          <t>BinLo</t>
        </is>
      </c>
      <c r="C321" s="5" t="inlineStr">
        <is>
          <t>BinHi</t>
        </is>
      </c>
      <c r="D321" s="5" t="inlineStr">
        <is>
          <t>TotalCount</t>
        </is>
      </c>
      <c r="E321" s="5" t="inlineStr">
        <is>
          <t>Normal</t>
        </is>
      </c>
      <c r="F321" s="5" t="inlineStr">
        <is>
          <t>Warning(2-3s)</t>
        </is>
      </c>
      <c r="G321" s="5" t="inlineStr">
        <is>
          <t>Outlier(&gt;3s)</t>
        </is>
      </c>
      <c r="H321" s="5" t="inlineStr">
        <is>
          <t>CurveY</t>
        </is>
      </c>
    </row>
    <row r="322">
      <c r="A322" s="6">
        <f>Config!$K$12+0*Config!$J$12+Config!$J$12/2</f>
        <v/>
      </c>
      <c r="B322" s="6">
        <f>$A322-Config!$J$12/2</f>
        <v/>
      </c>
      <c r="C322" s="6">
        <f>$A322+Config!$J$12/2</f>
        <v/>
      </c>
      <c r="D322" s="6">
        <f>COUNTIFS(RawData!$C$2:$C$941,"LT",RawData!$Q$2:$Q$941,"&gt;="&amp;$B322,RawData!$Q$2:$Q$941,"&lt;"&amp;$C322,RawData!$Q$2:$Q$941,"&lt;&gt;0")</f>
        <v/>
      </c>
      <c r="E322" s="6">
        <f>IF(Config!$G$12=0,0,IF(ABS(($A322-Config!$F$12)/Config!$G$12)&lt;=2,$D322,0))</f>
        <v/>
      </c>
      <c r="F322" s="6">
        <f>IF(Config!$G$12=0,0,IF(AND(ABS(($A322-Config!$F$12)/Config!$G$12)&gt;2,ABS(($A322-Config!$F$12)/Config!$G$12)&lt;=3),$D322,0))</f>
        <v/>
      </c>
      <c r="G322" s="6">
        <f>IF(Config!$G$12=0,0,IF(ABS(($A322-Config!$F$12)/Config!$G$12)&gt;3,$D322,0))</f>
        <v/>
      </c>
      <c r="H322" s="6">
        <f>IFERROR(NORM.DIST($A322,Config!$F$12,Config!$G$12,FALSE)*Config!$D$12*Config!$J$12,0)</f>
        <v/>
      </c>
    </row>
    <row r="323">
      <c r="A323">
        <f>Config!$K$12+1*Config!$J$12+Config!$J$12/2</f>
        <v/>
      </c>
      <c r="B323">
        <f>$A323-Config!$J$12/2</f>
        <v/>
      </c>
      <c r="C323">
        <f>$A323+Config!$J$12/2</f>
        <v/>
      </c>
      <c r="D323">
        <f>COUNTIFS(RawData!$C$2:$C$941,"LT",RawData!$Q$2:$Q$941,"&gt;="&amp;$B323,RawData!$Q$2:$Q$941,"&lt;"&amp;$C323,RawData!$Q$2:$Q$941,"&lt;&gt;0")</f>
        <v/>
      </c>
      <c r="E323">
        <f>IF(Config!$G$12=0,0,IF(ABS(($A323-Config!$F$12)/Config!$G$12)&lt;=2,$D323,0))</f>
        <v/>
      </c>
      <c r="F323">
        <f>IF(Config!$G$12=0,0,IF(AND(ABS(($A323-Config!$F$12)/Config!$G$12)&gt;2,ABS(($A323-Config!$F$12)/Config!$G$12)&lt;=3),$D323,0))</f>
        <v/>
      </c>
      <c r="G323">
        <f>IF(Config!$G$12=0,0,IF(ABS(($A323-Config!$F$12)/Config!$G$12)&gt;3,$D323,0))</f>
        <v/>
      </c>
      <c r="H323">
        <f>IFERROR(NORM.DIST($A323,Config!$F$12,Config!$G$12,FALSE)*Config!$D$12*Config!$J$12,0)</f>
        <v/>
      </c>
    </row>
    <row r="324">
      <c r="A324" s="6">
        <f>Config!$K$12+2*Config!$J$12+Config!$J$12/2</f>
        <v/>
      </c>
      <c r="B324" s="6">
        <f>$A324-Config!$J$12/2</f>
        <v/>
      </c>
      <c r="C324" s="6">
        <f>$A324+Config!$J$12/2</f>
        <v/>
      </c>
      <c r="D324" s="6">
        <f>COUNTIFS(RawData!$C$2:$C$941,"LT",RawData!$Q$2:$Q$941,"&gt;="&amp;$B324,RawData!$Q$2:$Q$941,"&lt;"&amp;$C324,RawData!$Q$2:$Q$941,"&lt;&gt;0")</f>
        <v/>
      </c>
      <c r="E324" s="6">
        <f>IF(Config!$G$12=0,0,IF(ABS(($A324-Config!$F$12)/Config!$G$12)&lt;=2,$D324,0))</f>
        <v/>
      </c>
      <c r="F324" s="6">
        <f>IF(Config!$G$12=0,0,IF(AND(ABS(($A324-Config!$F$12)/Config!$G$12)&gt;2,ABS(($A324-Config!$F$12)/Config!$G$12)&lt;=3),$D324,0))</f>
        <v/>
      </c>
      <c r="G324" s="6">
        <f>IF(Config!$G$12=0,0,IF(ABS(($A324-Config!$F$12)/Config!$G$12)&gt;3,$D324,0))</f>
        <v/>
      </c>
      <c r="H324" s="6">
        <f>IFERROR(NORM.DIST($A324,Config!$F$12,Config!$G$12,FALSE)*Config!$D$12*Config!$J$12,0)</f>
        <v/>
      </c>
    </row>
    <row r="325">
      <c r="A325">
        <f>Config!$K$12+3*Config!$J$12+Config!$J$12/2</f>
        <v/>
      </c>
      <c r="B325">
        <f>$A325-Config!$J$12/2</f>
        <v/>
      </c>
      <c r="C325">
        <f>$A325+Config!$J$12/2</f>
        <v/>
      </c>
      <c r="D325">
        <f>COUNTIFS(RawData!$C$2:$C$941,"LT",RawData!$Q$2:$Q$941,"&gt;="&amp;$B325,RawData!$Q$2:$Q$941,"&lt;"&amp;$C325,RawData!$Q$2:$Q$941,"&lt;&gt;0")</f>
        <v/>
      </c>
      <c r="E325">
        <f>IF(Config!$G$12=0,0,IF(ABS(($A325-Config!$F$12)/Config!$G$12)&lt;=2,$D325,0))</f>
        <v/>
      </c>
      <c r="F325">
        <f>IF(Config!$G$12=0,0,IF(AND(ABS(($A325-Config!$F$12)/Config!$G$12)&gt;2,ABS(($A325-Config!$F$12)/Config!$G$12)&lt;=3),$D325,0))</f>
        <v/>
      </c>
      <c r="G325">
        <f>IF(Config!$G$12=0,0,IF(ABS(($A325-Config!$F$12)/Config!$G$12)&gt;3,$D325,0))</f>
        <v/>
      </c>
      <c r="H325">
        <f>IFERROR(NORM.DIST($A325,Config!$F$12,Config!$G$12,FALSE)*Config!$D$12*Config!$J$12,0)</f>
        <v/>
      </c>
    </row>
    <row r="326">
      <c r="A326" s="6">
        <f>Config!$K$12+4*Config!$J$12+Config!$J$12/2</f>
        <v/>
      </c>
      <c r="B326" s="6">
        <f>$A326-Config!$J$12/2</f>
        <v/>
      </c>
      <c r="C326" s="6">
        <f>$A326+Config!$J$12/2</f>
        <v/>
      </c>
      <c r="D326" s="6">
        <f>COUNTIFS(RawData!$C$2:$C$941,"LT",RawData!$Q$2:$Q$941,"&gt;="&amp;$B326,RawData!$Q$2:$Q$941,"&lt;"&amp;$C326,RawData!$Q$2:$Q$941,"&lt;&gt;0")</f>
        <v/>
      </c>
      <c r="E326" s="6">
        <f>IF(Config!$G$12=0,0,IF(ABS(($A326-Config!$F$12)/Config!$G$12)&lt;=2,$D326,0))</f>
        <v/>
      </c>
      <c r="F326" s="6">
        <f>IF(Config!$G$12=0,0,IF(AND(ABS(($A326-Config!$F$12)/Config!$G$12)&gt;2,ABS(($A326-Config!$F$12)/Config!$G$12)&lt;=3),$D326,0))</f>
        <v/>
      </c>
      <c r="G326" s="6">
        <f>IF(Config!$G$12=0,0,IF(ABS(($A326-Config!$F$12)/Config!$G$12)&gt;3,$D326,0))</f>
        <v/>
      </c>
      <c r="H326" s="6">
        <f>IFERROR(NORM.DIST($A326,Config!$F$12,Config!$G$12,FALSE)*Config!$D$12*Config!$J$12,0)</f>
        <v/>
      </c>
    </row>
    <row r="327">
      <c r="A327">
        <f>Config!$K$12+5*Config!$J$12+Config!$J$12/2</f>
        <v/>
      </c>
      <c r="B327">
        <f>$A327-Config!$J$12/2</f>
        <v/>
      </c>
      <c r="C327">
        <f>$A327+Config!$J$12/2</f>
        <v/>
      </c>
      <c r="D327">
        <f>COUNTIFS(RawData!$C$2:$C$941,"LT",RawData!$Q$2:$Q$941,"&gt;="&amp;$B327,RawData!$Q$2:$Q$941,"&lt;"&amp;$C327,RawData!$Q$2:$Q$941,"&lt;&gt;0")</f>
        <v/>
      </c>
      <c r="E327">
        <f>IF(Config!$G$12=0,0,IF(ABS(($A327-Config!$F$12)/Config!$G$12)&lt;=2,$D327,0))</f>
        <v/>
      </c>
      <c r="F327">
        <f>IF(Config!$G$12=0,0,IF(AND(ABS(($A327-Config!$F$12)/Config!$G$12)&gt;2,ABS(($A327-Config!$F$12)/Config!$G$12)&lt;=3),$D327,0))</f>
        <v/>
      </c>
      <c r="G327">
        <f>IF(Config!$G$12=0,0,IF(ABS(($A327-Config!$F$12)/Config!$G$12)&gt;3,$D327,0))</f>
        <v/>
      </c>
      <c r="H327">
        <f>IFERROR(NORM.DIST($A327,Config!$F$12,Config!$G$12,FALSE)*Config!$D$12*Config!$J$12,0)</f>
        <v/>
      </c>
    </row>
    <row r="328">
      <c r="A328" s="6">
        <f>Config!$K$12+6*Config!$J$12+Config!$J$12/2</f>
        <v/>
      </c>
      <c r="B328" s="6">
        <f>$A328-Config!$J$12/2</f>
        <v/>
      </c>
      <c r="C328" s="6">
        <f>$A328+Config!$J$12/2</f>
        <v/>
      </c>
      <c r="D328" s="6">
        <f>COUNTIFS(RawData!$C$2:$C$941,"LT",RawData!$Q$2:$Q$941,"&gt;="&amp;$B328,RawData!$Q$2:$Q$941,"&lt;"&amp;$C328,RawData!$Q$2:$Q$941,"&lt;&gt;0")</f>
        <v/>
      </c>
      <c r="E328" s="6">
        <f>IF(Config!$G$12=0,0,IF(ABS(($A328-Config!$F$12)/Config!$G$12)&lt;=2,$D328,0))</f>
        <v/>
      </c>
      <c r="F328" s="6">
        <f>IF(Config!$G$12=0,0,IF(AND(ABS(($A328-Config!$F$12)/Config!$G$12)&gt;2,ABS(($A328-Config!$F$12)/Config!$G$12)&lt;=3),$D328,0))</f>
        <v/>
      </c>
      <c r="G328" s="6">
        <f>IF(Config!$G$12=0,0,IF(ABS(($A328-Config!$F$12)/Config!$G$12)&gt;3,$D328,0))</f>
        <v/>
      </c>
      <c r="H328" s="6">
        <f>IFERROR(NORM.DIST($A328,Config!$F$12,Config!$G$12,FALSE)*Config!$D$12*Config!$J$12,0)</f>
        <v/>
      </c>
    </row>
    <row r="329">
      <c r="A329">
        <f>Config!$K$12+7*Config!$J$12+Config!$J$12/2</f>
        <v/>
      </c>
      <c r="B329">
        <f>$A329-Config!$J$12/2</f>
        <v/>
      </c>
      <c r="C329">
        <f>$A329+Config!$J$12/2</f>
        <v/>
      </c>
      <c r="D329">
        <f>COUNTIFS(RawData!$C$2:$C$941,"LT",RawData!$Q$2:$Q$941,"&gt;="&amp;$B329,RawData!$Q$2:$Q$941,"&lt;"&amp;$C329,RawData!$Q$2:$Q$941,"&lt;&gt;0")</f>
        <v/>
      </c>
      <c r="E329">
        <f>IF(Config!$G$12=0,0,IF(ABS(($A329-Config!$F$12)/Config!$G$12)&lt;=2,$D329,0))</f>
        <v/>
      </c>
      <c r="F329">
        <f>IF(Config!$G$12=0,0,IF(AND(ABS(($A329-Config!$F$12)/Config!$G$12)&gt;2,ABS(($A329-Config!$F$12)/Config!$G$12)&lt;=3),$D329,0))</f>
        <v/>
      </c>
      <c r="G329">
        <f>IF(Config!$G$12=0,0,IF(ABS(($A329-Config!$F$12)/Config!$G$12)&gt;3,$D329,0))</f>
        <v/>
      </c>
      <c r="H329">
        <f>IFERROR(NORM.DIST($A329,Config!$F$12,Config!$G$12,FALSE)*Config!$D$12*Config!$J$12,0)</f>
        <v/>
      </c>
    </row>
    <row r="330">
      <c r="A330" s="6">
        <f>Config!$K$12+8*Config!$J$12+Config!$J$12/2</f>
        <v/>
      </c>
      <c r="B330" s="6">
        <f>$A330-Config!$J$12/2</f>
        <v/>
      </c>
      <c r="C330" s="6">
        <f>$A330+Config!$J$12/2</f>
        <v/>
      </c>
      <c r="D330" s="6">
        <f>COUNTIFS(RawData!$C$2:$C$941,"LT",RawData!$Q$2:$Q$941,"&gt;="&amp;$B330,RawData!$Q$2:$Q$941,"&lt;"&amp;$C330,RawData!$Q$2:$Q$941,"&lt;&gt;0")</f>
        <v/>
      </c>
      <c r="E330" s="6">
        <f>IF(Config!$G$12=0,0,IF(ABS(($A330-Config!$F$12)/Config!$G$12)&lt;=2,$D330,0))</f>
        <v/>
      </c>
      <c r="F330" s="6">
        <f>IF(Config!$G$12=0,0,IF(AND(ABS(($A330-Config!$F$12)/Config!$G$12)&gt;2,ABS(($A330-Config!$F$12)/Config!$G$12)&lt;=3),$D330,0))</f>
        <v/>
      </c>
      <c r="G330" s="6">
        <f>IF(Config!$G$12=0,0,IF(ABS(($A330-Config!$F$12)/Config!$G$12)&gt;3,$D330,0))</f>
        <v/>
      </c>
      <c r="H330" s="6">
        <f>IFERROR(NORM.DIST($A330,Config!$F$12,Config!$G$12,FALSE)*Config!$D$12*Config!$J$12,0)</f>
        <v/>
      </c>
    </row>
    <row r="331">
      <c r="A331">
        <f>Config!$K$12+9*Config!$J$12+Config!$J$12/2</f>
        <v/>
      </c>
      <c r="B331">
        <f>$A331-Config!$J$12/2</f>
        <v/>
      </c>
      <c r="C331">
        <f>$A331+Config!$J$12/2</f>
        <v/>
      </c>
      <c r="D331">
        <f>COUNTIFS(RawData!$C$2:$C$941,"LT",RawData!$Q$2:$Q$941,"&gt;="&amp;$B331,RawData!$Q$2:$Q$941,"&lt;"&amp;$C331,RawData!$Q$2:$Q$941,"&lt;&gt;0")</f>
        <v/>
      </c>
      <c r="E331">
        <f>IF(Config!$G$12=0,0,IF(ABS(($A331-Config!$F$12)/Config!$G$12)&lt;=2,$D331,0))</f>
        <v/>
      </c>
      <c r="F331">
        <f>IF(Config!$G$12=0,0,IF(AND(ABS(($A331-Config!$F$12)/Config!$G$12)&gt;2,ABS(($A331-Config!$F$12)/Config!$G$12)&lt;=3),$D331,0))</f>
        <v/>
      </c>
      <c r="G331">
        <f>IF(Config!$G$12=0,0,IF(ABS(($A331-Config!$F$12)/Config!$G$12)&gt;3,$D331,0))</f>
        <v/>
      </c>
      <c r="H331">
        <f>IFERROR(NORM.DIST($A331,Config!$F$12,Config!$G$12,FALSE)*Config!$D$12*Config!$J$12,0)</f>
        <v/>
      </c>
    </row>
    <row r="332">
      <c r="A332" s="6">
        <f>Config!$K$12+10*Config!$J$12+Config!$J$12/2</f>
        <v/>
      </c>
      <c r="B332" s="6">
        <f>$A332-Config!$J$12/2</f>
        <v/>
      </c>
      <c r="C332" s="6">
        <f>$A332+Config!$J$12/2</f>
        <v/>
      </c>
      <c r="D332" s="6">
        <f>COUNTIFS(RawData!$C$2:$C$941,"LT",RawData!$Q$2:$Q$941,"&gt;="&amp;$B332,RawData!$Q$2:$Q$941,"&lt;"&amp;$C332,RawData!$Q$2:$Q$941,"&lt;&gt;0")</f>
        <v/>
      </c>
      <c r="E332" s="6">
        <f>IF(Config!$G$12=0,0,IF(ABS(($A332-Config!$F$12)/Config!$G$12)&lt;=2,$D332,0))</f>
        <v/>
      </c>
      <c r="F332" s="6">
        <f>IF(Config!$G$12=0,0,IF(AND(ABS(($A332-Config!$F$12)/Config!$G$12)&gt;2,ABS(($A332-Config!$F$12)/Config!$G$12)&lt;=3),$D332,0))</f>
        <v/>
      </c>
      <c r="G332" s="6">
        <f>IF(Config!$G$12=0,0,IF(ABS(($A332-Config!$F$12)/Config!$G$12)&gt;3,$D332,0))</f>
        <v/>
      </c>
      <c r="H332" s="6">
        <f>IFERROR(NORM.DIST($A332,Config!$F$12,Config!$G$12,FALSE)*Config!$D$12*Config!$J$12,0)</f>
        <v/>
      </c>
    </row>
    <row r="333">
      <c r="A333">
        <f>Config!$K$12+11*Config!$J$12+Config!$J$12/2</f>
        <v/>
      </c>
      <c r="B333">
        <f>$A333-Config!$J$12/2</f>
        <v/>
      </c>
      <c r="C333">
        <f>$A333+Config!$J$12/2</f>
        <v/>
      </c>
      <c r="D333">
        <f>COUNTIFS(RawData!$C$2:$C$941,"LT",RawData!$Q$2:$Q$941,"&gt;="&amp;$B333,RawData!$Q$2:$Q$941,"&lt;"&amp;$C333,RawData!$Q$2:$Q$941,"&lt;&gt;0")</f>
        <v/>
      </c>
      <c r="E333">
        <f>IF(Config!$G$12=0,0,IF(ABS(($A333-Config!$F$12)/Config!$G$12)&lt;=2,$D333,0))</f>
        <v/>
      </c>
      <c r="F333">
        <f>IF(Config!$G$12=0,0,IF(AND(ABS(($A333-Config!$F$12)/Config!$G$12)&gt;2,ABS(($A333-Config!$F$12)/Config!$G$12)&lt;=3),$D333,0))</f>
        <v/>
      </c>
      <c r="G333">
        <f>IF(Config!$G$12=0,0,IF(ABS(($A333-Config!$F$12)/Config!$G$12)&gt;3,$D333,0))</f>
        <v/>
      </c>
      <c r="H333">
        <f>IFERROR(NORM.DIST($A333,Config!$F$12,Config!$G$12,FALSE)*Config!$D$12*Config!$J$12,0)</f>
        <v/>
      </c>
    </row>
    <row r="334">
      <c r="A334" s="6">
        <f>Config!$K$12+12*Config!$J$12+Config!$J$12/2</f>
        <v/>
      </c>
      <c r="B334" s="6">
        <f>$A334-Config!$J$12/2</f>
        <v/>
      </c>
      <c r="C334" s="6">
        <f>$A334+Config!$J$12/2</f>
        <v/>
      </c>
      <c r="D334" s="6">
        <f>COUNTIFS(RawData!$C$2:$C$941,"LT",RawData!$Q$2:$Q$941,"&gt;="&amp;$B334,RawData!$Q$2:$Q$941,"&lt;"&amp;$C334,RawData!$Q$2:$Q$941,"&lt;&gt;0")</f>
        <v/>
      </c>
      <c r="E334" s="6">
        <f>IF(Config!$G$12=0,0,IF(ABS(($A334-Config!$F$12)/Config!$G$12)&lt;=2,$D334,0))</f>
        <v/>
      </c>
      <c r="F334" s="6">
        <f>IF(Config!$G$12=0,0,IF(AND(ABS(($A334-Config!$F$12)/Config!$G$12)&gt;2,ABS(($A334-Config!$F$12)/Config!$G$12)&lt;=3),$D334,0))</f>
        <v/>
      </c>
      <c r="G334" s="6">
        <f>IF(Config!$G$12=0,0,IF(ABS(($A334-Config!$F$12)/Config!$G$12)&gt;3,$D334,0))</f>
        <v/>
      </c>
      <c r="H334" s="6">
        <f>IFERROR(NORM.DIST($A334,Config!$F$12,Config!$G$12,FALSE)*Config!$D$12*Config!$J$12,0)</f>
        <v/>
      </c>
    </row>
    <row r="335">
      <c r="A335">
        <f>Config!$K$12+13*Config!$J$12+Config!$J$12/2</f>
        <v/>
      </c>
      <c r="B335">
        <f>$A335-Config!$J$12/2</f>
        <v/>
      </c>
      <c r="C335">
        <f>$A335+Config!$J$12/2</f>
        <v/>
      </c>
      <c r="D335">
        <f>COUNTIFS(RawData!$C$2:$C$941,"LT",RawData!$Q$2:$Q$941,"&gt;="&amp;$B335,RawData!$Q$2:$Q$941,"&lt;"&amp;$C335,RawData!$Q$2:$Q$941,"&lt;&gt;0")</f>
        <v/>
      </c>
      <c r="E335">
        <f>IF(Config!$G$12=0,0,IF(ABS(($A335-Config!$F$12)/Config!$G$12)&lt;=2,$D335,0))</f>
        <v/>
      </c>
      <c r="F335">
        <f>IF(Config!$G$12=0,0,IF(AND(ABS(($A335-Config!$F$12)/Config!$G$12)&gt;2,ABS(($A335-Config!$F$12)/Config!$G$12)&lt;=3),$D335,0))</f>
        <v/>
      </c>
      <c r="G335">
        <f>IF(Config!$G$12=0,0,IF(ABS(($A335-Config!$F$12)/Config!$G$12)&gt;3,$D335,0))</f>
        <v/>
      </c>
      <c r="H335">
        <f>IFERROR(NORM.DIST($A335,Config!$F$12,Config!$G$12,FALSE)*Config!$D$12*Config!$J$12,0)</f>
        <v/>
      </c>
    </row>
    <row r="336">
      <c r="A336" s="6">
        <f>Config!$K$12+14*Config!$J$12+Config!$J$12/2</f>
        <v/>
      </c>
      <c r="B336" s="6">
        <f>$A336-Config!$J$12/2</f>
        <v/>
      </c>
      <c r="C336" s="6">
        <f>$A336+Config!$J$12/2</f>
        <v/>
      </c>
      <c r="D336" s="6">
        <f>COUNTIFS(RawData!$C$2:$C$941,"LT",RawData!$Q$2:$Q$941,"&gt;="&amp;$B336,RawData!$Q$2:$Q$941,"&lt;"&amp;$C336,RawData!$Q$2:$Q$941,"&lt;&gt;0")</f>
        <v/>
      </c>
      <c r="E336" s="6">
        <f>IF(Config!$G$12=0,0,IF(ABS(($A336-Config!$F$12)/Config!$G$12)&lt;=2,$D336,0))</f>
        <v/>
      </c>
      <c r="F336" s="6">
        <f>IF(Config!$G$12=0,0,IF(AND(ABS(($A336-Config!$F$12)/Config!$G$12)&gt;2,ABS(($A336-Config!$F$12)/Config!$G$12)&lt;=3),$D336,0))</f>
        <v/>
      </c>
      <c r="G336" s="6">
        <f>IF(Config!$G$12=0,0,IF(ABS(($A336-Config!$F$12)/Config!$G$12)&gt;3,$D336,0))</f>
        <v/>
      </c>
      <c r="H336" s="6">
        <f>IFERROR(NORM.DIST($A336,Config!$F$12,Config!$G$12,FALSE)*Config!$D$12*Config!$J$12,0)</f>
        <v/>
      </c>
    </row>
    <row r="337">
      <c r="A337">
        <f>Config!$K$12+15*Config!$J$12+Config!$J$12/2</f>
        <v/>
      </c>
      <c r="B337">
        <f>$A337-Config!$J$12/2</f>
        <v/>
      </c>
      <c r="C337">
        <f>$A337+Config!$J$12/2</f>
        <v/>
      </c>
      <c r="D337">
        <f>COUNTIFS(RawData!$C$2:$C$941,"LT",RawData!$Q$2:$Q$941,"&gt;="&amp;$B337,RawData!$Q$2:$Q$941,"&lt;"&amp;$C337,RawData!$Q$2:$Q$941,"&lt;&gt;0")</f>
        <v/>
      </c>
      <c r="E337">
        <f>IF(Config!$G$12=0,0,IF(ABS(($A337-Config!$F$12)/Config!$G$12)&lt;=2,$D337,0))</f>
        <v/>
      </c>
      <c r="F337">
        <f>IF(Config!$G$12=0,0,IF(AND(ABS(($A337-Config!$F$12)/Config!$G$12)&gt;2,ABS(($A337-Config!$F$12)/Config!$G$12)&lt;=3),$D337,0))</f>
        <v/>
      </c>
      <c r="G337">
        <f>IF(Config!$G$12=0,0,IF(ABS(($A337-Config!$F$12)/Config!$G$12)&gt;3,$D337,0))</f>
        <v/>
      </c>
      <c r="H337">
        <f>IFERROR(NORM.DIST($A337,Config!$F$12,Config!$G$12,FALSE)*Config!$D$12*Config!$J$12,0)</f>
        <v/>
      </c>
    </row>
    <row r="338">
      <c r="A338" s="6">
        <f>Config!$K$12+16*Config!$J$12+Config!$J$12/2</f>
        <v/>
      </c>
      <c r="B338" s="6">
        <f>$A338-Config!$J$12/2</f>
        <v/>
      </c>
      <c r="C338" s="6">
        <f>$A338+Config!$J$12/2</f>
        <v/>
      </c>
      <c r="D338" s="6">
        <f>COUNTIFS(RawData!$C$2:$C$941,"LT",RawData!$Q$2:$Q$941,"&gt;="&amp;$B338,RawData!$Q$2:$Q$941,"&lt;"&amp;$C338,RawData!$Q$2:$Q$941,"&lt;&gt;0")</f>
        <v/>
      </c>
      <c r="E338" s="6">
        <f>IF(Config!$G$12=0,0,IF(ABS(($A338-Config!$F$12)/Config!$G$12)&lt;=2,$D338,0))</f>
        <v/>
      </c>
      <c r="F338" s="6">
        <f>IF(Config!$G$12=0,0,IF(AND(ABS(($A338-Config!$F$12)/Config!$G$12)&gt;2,ABS(($A338-Config!$F$12)/Config!$G$12)&lt;=3),$D338,0))</f>
        <v/>
      </c>
      <c r="G338" s="6">
        <f>IF(Config!$G$12=0,0,IF(ABS(($A338-Config!$F$12)/Config!$G$12)&gt;3,$D338,0))</f>
        <v/>
      </c>
      <c r="H338" s="6">
        <f>IFERROR(NORM.DIST($A338,Config!$F$12,Config!$G$12,FALSE)*Config!$D$12*Config!$J$12,0)</f>
        <v/>
      </c>
    </row>
    <row r="339">
      <c r="A339">
        <f>Config!$K$12+17*Config!$J$12+Config!$J$12/2</f>
        <v/>
      </c>
      <c r="B339">
        <f>$A339-Config!$J$12/2</f>
        <v/>
      </c>
      <c r="C339">
        <f>$A339+Config!$J$12/2</f>
        <v/>
      </c>
      <c r="D339">
        <f>COUNTIFS(RawData!$C$2:$C$941,"LT",RawData!$Q$2:$Q$941,"&gt;="&amp;$B339,RawData!$Q$2:$Q$941,"&lt;"&amp;$C339,RawData!$Q$2:$Q$941,"&lt;&gt;0")</f>
        <v/>
      </c>
      <c r="E339">
        <f>IF(Config!$G$12=0,0,IF(ABS(($A339-Config!$F$12)/Config!$G$12)&lt;=2,$D339,0))</f>
        <v/>
      </c>
      <c r="F339">
        <f>IF(Config!$G$12=0,0,IF(AND(ABS(($A339-Config!$F$12)/Config!$G$12)&gt;2,ABS(($A339-Config!$F$12)/Config!$G$12)&lt;=3),$D339,0))</f>
        <v/>
      </c>
      <c r="G339">
        <f>IF(Config!$G$12=0,0,IF(ABS(($A339-Config!$F$12)/Config!$G$12)&gt;3,$D339,0))</f>
        <v/>
      </c>
      <c r="H339">
        <f>IFERROR(NORM.DIST($A339,Config!$F$12,Config!$G$12,FALSE)*Config!$D$12*Config!$J$12,0)</f>
        <v/>
      </c>
    </row>
    <row r="340">
      <c r="A340" s="6">
        <f>Config!$K$12+18*Config!$J$12+Config!$J$12/2</f>
        <v/>
      </c>
      <c r="B340" s="6">
        <f>$A340-Config!$J$12/2</f>
        <v/>
      </c>
      <c r="C340" s="6">
        <f>$A340+Config!$J$12/2</f>
        <v/>
      </c>
      <c r="D340" s="6">
        <f>COUNTIFS(RawData!$C$2:$C$941,"LT",RawData!$Q$2:$Q$941,"&gt;="&amp;$B340,RawData!$Q$2:$Q$941,"&lt;"&amp;$C340,RawData!$Q$2:$Q$941,"&lt;&gt;0")</f>
        <v/>
      </c>
      <c r="E340" s="6">
        <f>IF(Config!$G$12=0,0,IF(ABS(($A340-Config!$F$12)/Config!$G$12)&lt;=2,$D340,0))</f>
        <v/>
      </c>
      <c r="F340" s="6">
        <f>IF(Config!$G$12=0,0,IF(AND(ABS(($A340-Config!$F$12)/Config!$G$12)&gt;2,ABS(($A340-Config!$F$12)/Config!$G$12)&lt;=3),$D340,0))</f>
        <v/>
      </c>
      <c r="G340" s="6">
        <f>IF(Config!$G$12=0,0,IF(ABS(($A340-Config!$F$12)/Config!$G$12)&gt;3,$D340,0))</f>
        <v/>
      </c>
      <c r="H340" s="6">
        <f>IFERROR(NORM.DIST($A340,Config!$F$12,Config!$G$12,FALSE)*Config!$D$12*Config!$J$12,0)</f>
        <v/>
      </c>
    </row>
    <row r="341">
      <c r="A341">
        <f>Config!$K$12+19*Config!$J$12+Config!$J$12/2</f>
        <v/>
      </c>
      <c r="B341">
        <f>$A341-Config!$J$12/2</f>
        <v/>
      </c>
      <c r="C341">
        <f>$A341+Config!$J$12/2</f>
        <v/>
      </c>
      <c r="D341">
        <f>COUNTIFS(RawData!$C$2:$C$941,"LT",RawData!$Q$2:$Q$941,"&gt;="&amp;$B341,RawData!$Q$2:$Q$941,"&lt;"&amp;$C341,RawData!$Q$2:$Q$941,"&lt;&gt;0")</f>
        <v/>
      </c>
      <c r="E341">
        <f>IF(Config!$G$12=0,0,IF(ABS(($A341-Config!$F$12)/Config!$G$12)&lt;=2,$D341,0))</f>
        <v/>
      </c>
      <c r="F341">
        <f>IF(Config!$G$12=0,0,IF(AND(ABS(($A341-Config!$F$12)/Config!$G$12)&gt;2,ABS(($A341-Config!$F$12)/Config!$G$12)&lt;=3),$D341,0))</f>
        <v/>
      </c>
      <c r="G341">
        <f>IF(Config!$G$12=0,0,IF(ABS(($A341-Config!$F$12)/Config!$G$12)&gt;3,$D341,0))</f>
        <v/>
      </c>
      <c r="H341">
        <f>IFERROR(NORM.DIST($A341,Config!$F$12,Config!$G$12,FALSE)*Config!$D$12*Config!$J$12,0)</f>
        <v/>
      </c>
    </row>
    <row r="342">
      <c r="A342" s="6">
        <f>Config!$K$12+20*Config!$J$12+Config!$J$12/2</f>
        <v/>
      </c>
      <c r="B342" s="6">
        <f>$A342-Config!$J$12/2</f>
        <v/>
      </c>
      <c r="C342" s="6">
        <f>$A342+Config!$J$12/2</f>
        <v/>
      </c>
      <c r="D342" s="6">
        <f>COUNTIFS(RawData!$C$2:$C$941,"LT",RawData!$Q$2:$Q$941,"&gt;="&amp;$B342,RawData!$Q$2:$Q$941,"&lt;"&amp;$C342,RawData!$Q$2:$Q$941,"&lt;&gt;0")</f>
        <v/>
      </c>
      <c r="E342" s="6">
        <f>IF(Config!$G$12=0,0,IF(ABS(($A342-Config!$F$12)/Config!$G$12)&lt;=2,$D342,0))</f>
        <v/>
      </c>
      <c r="F342" s="6">
        <f>IF(Config!$G$12=0,0,IF(AND(ABS(($A342-Config!$F$12)/Config!$G$12)&gt;2,ABS(($A342-Config!$F$12)/Config!$G$12)&lt;=3),$D342,0))</f>
        <v/>
      </c>
      <c r="G342" s="6">
        <f>IF(Config!$G$12=0,0,IF(ABS(($A342-Config!$F$12)/Config!$G$12)&gt;3,$D342,0))</f>
        <v/>
      </c>
      <c r="H342" s="6">
        <f>IFERROR(NORM.DIST($A342,Config!$F$12,Config!$G$12,FALSE)*Config!$D$12*Config!$J$12,0)</f>
        <v/>
      </c>
    </row>
    <row r="343">
      <c r="A343">
        <f>Config!$K$12+21*Config!$J$12+Config!$J$12/2</f>
        <v/>
      </c>
      <c r="B343">
        <f>$A343-Config!$J$12/2</f>
        <v/>
      </c>
      <c r="C343">
        <f>$A343+Config!$J$12/2</f>
        <v/>
      </c>
      <c r="D343">
        <f>COUNTIFS(RawData!$C$2:$C$941,"LT",RawData!$Q$2:$Q$941,"&gt;="&amp;$B343,RawData!$Q$2:$Q$941,"&lt;"&amp;$C343,RawData!$Q$2:$Q$941,"&lt;&gt;0")</f>
        <v/>
      </c>
      <c r="E343">
        <f>IF(Config!$G$12=0,0,IF(ABS(($A343-Config!$F$12)/Config!$G$12)&lt;=2,$D343,0))</f>
        <v/>
      </c>
      <c r="F343">
        <f>IF(Config!$G$12=0,0,IF(AND(ABS(($A343-Config!$F$12)/Config!$G$12)&gt;2,ABS(($A343-Config!$F$12)/Config!$G$12)&lt;=3),$D343,0))</f>
        <v/>
      </c>
      <c r="G343">
        <f>IF(Config!$G$12=0,0,IF(ABS(($A343-Config!$F$12)/Config!$G$12)&gt;3,$D343,0))</f>
        <v/>
      </c>
      <c r="H343">
        <f>IFERROR(NORM.DIST($A343,Config!$F$12,Config!$G$12,FALSE)*Config!$D$12*Config!$J$12,0)</f>
        <v/>
      </c>
    </row>
    <row r="344">
      <c r="A344" s="6">
        <f>Config!$K$12+22*Config!$J$12+Config!$J$12/2</f>
        <v/>
      </c>
      <c r="B344" s="6">
        <f>$A344-Config!$J$12/2</f>
        <v/>
      </c>
      <c r="C344" s="6">
        <f>$A344+Config!$J$12/2</f>
        <v/>
      </c>
      <c r="D344" s="6">
        <f>COUNTIFS(RawData!$C$2:$C$941,"LT",RawData!$Q$2:$Q$941,"&gt;="&amp;$B344,RawData!$Q$2:$Q$941,"&lt;"&amp;$C344,RawData!$Q$2:$Q$941,"&lt;&gt;0")</f>
        <v/>
      </c>
      <c r="E344" s="6">
        <f>IF(Config!$G$12=0,0,IF(ABS(($A344-Config!$F$12)/Config!$G$12)&lt;=2,$D344,0))</f>
        <v/>
      </c>
      <c r="F344" s="6">
        <f>IF(Config!$G$12=0,0,IF(AND(ABS(($A344-Config!$F$12)/Config!$G$12)&gt;2,ABS(($A344-Config!$F$12)/Config!$G$12)&lt;=3),$D344,0))</f>
        <v/>
      </c>
      <c r="G344" s="6">
        <f>IF(Config!$G$12=0,0,IF(ABS(($A344-Config!$F$12)/Config!$G$12)&gt;3,$D344,0))</f>
        <v/>
      </c>
      <c r="H344" s="6">
        <f>IFERROR(NORM.DIST($A344,Config!$F$12,Config!$G$12,FALSE)*Config!$D$12*Config!$J$12,0)</f>
        <v/>
      </c>
    </row>
    <row r="345">
      <c r="A345">
        <f>Config!$K$12+23*Config!$J$12+Config!$J$12/2</f>
        <v/>
      </c>
      <c r="B345">
        <f>$A345-Config!$J$12/2</f>
        <v/>
      </c>
      <c r="C345">
        <f>$A345+Config!$J$12/2</f>
        <v/>
      </c>
      <c r="D345">
        <f>COUNTIFS(RawData!$C$2:$C$941,"LT",RawData!$Q$2:$Q$941,"&gt;="&amp;$B345,RawData!$Q$2:$Q$941,"&lt;"&amp;$C345,RawData!$Q$2:$Q$941,"&lt;&gt;0")</f>
        <v/>
      </c>
      <c r="E345">
        <f>IF(Config!$G$12=0,0,IF(ABS(($A345-Config!$F$12)/Config!$G$12)&lt;=2,$D345,0))</f>
        <v/>
      </c>
      <c r="F345">
        <f>IF(Config!$G$12=0,0,IF(AND(ABS(($A345-Config!$F$12)/Config!$G$12)&gt;2,ABS(($A345-Config!$F$12)/Config!$G$12)&lt;=3),$D345,0))</f>
        <v/>
      </c>
      <c r="G345">
        <f>IF(Config!$G$12=0,0,IF(ABS(($A345-Config!$F$12)/Config!$G$12)&gt;3,$D345,0))</f>
        <v/>
      </c>
      <c r="H345">
        <f>IFERROR(NORM.DIST($A345,Config!$F$12,Config!$G$12,FALSE)*Config!$D$12*Config!$J$12,0)</f>
        <v/>
      </c>
    </row>
    <row r="346">
      <c r="A346" s="6">
        <f>Config!$K$12+24*Config!$J$12+Config!$J$12/2</f>
        <v/>
      </c>
      <c r="B346" s="6">
        <f>$A346-Config!$J$12/2</f>
        <v/>
      </c>
      <c r="C346" s="6">
        <f>$A346+Config!$J$12/2</f>
        <v/>
      </c>
      <c r="D346" s="6">
        <f>COUNTIFS(RawData!$C$2:$C$941,"LT",RawData!$Q$2:$Q$941,"&gt;="&amp;$B346,RawData!$Q$2:$Q$941,"&lt;"&amp;$C346,RawData!$Q$2:$Q$941,"&lt;&gt;0")</f>
        <v/>
      </c>
      <c r="E346" s="6">
        <f>IF(Config!$G$12=0,0,IF(ABS(($A346-Config!$F$12)/Config!$G$12)&lt;=2,$D346,0))</f>
        <v/>
      </c>
      <c r="F346" s="6">
        <f>IF(Config!$G$12=0,0,IF(AND(ABS(($A346-Config!$F$12)/Config!$G$12)&gt;2,ABS(($A346-Config!$F$12)/Config!$G$12)&lt;=3),$D346,0))</f>
        <v/>
      </c>
      <c r="G346" s="6">
        <f>IF(Config!$G$12=0,0,IF(ABS(($A346-Config!$F$12)/Config!$G$12)&gt;3,$D346,0))</f>
        <v/>
      </c>
      <c r="H346" s="6">
        <f>IFERROR(NORM.DIST($A346,Config!$F$12,Config!$G$12,FALSE)*Config!$D$12*Config!$J$12,0)</f>
        <v/>
      </c>
    </row>
    <row r="347">
      <c r="A347">
        <f>Config!$K$12+25*Config!$J$12+Config!$J$12/2</f>
        <v/>
      </c>
      <c r="B347">
        <f>$A347-Config!$J$12/2</f>
        <v/>
      </c>
      <c r="C347">
        <f>$A347+Config!$J$12/2</f>
        <v/>
      </c>
      <c r="D347">
        <f>COUNTIFS(RawData!$C$2:$C$941,"LT",RawData!$Q$2:$Q$941,"&gt;="&amp;$B347,RawData!$Q$2:$Q$941,"&lt;"&amp;$C347,RawData!$Q$2:$Q$941,"&lt;&gt;0")</f>
        <v/>
      </c>
      <c r="E347">
        <f>IF(Config!$G$12=0,0,IF(ABS(($A347-Config!$F$12)/Config!$G$12)&lt;=2,$D347,0))</f>
        <v/>
      </c>
      <c r="F347">
        <f>IF(Config!$G$12=0,0,IF(AND(ABS(($A347-Config!$F$12)/Config!$G$12)&gt;2,ABS(($A347-Config!$F$12)/Config!$G$12)&lt;=3),$D347,0))</f>
        <v/>
      </c>
      <c r="G347">
        <f>IF(Config!$G$12=0,0,IF(ABS(($A347-Config!$F$12)/Config!$G$12)&gt;3,$D347,0))</f>
        <v/>
      </c>
      <c r="H347">
        <f>IFERROR(NORM.DIST($A347,Config!$F$12,Config!$G$12,FALSE)*Config!$D$12*Config!$J$12,0)</f>
        <v/>
      </c>
    </row>
    <row r="348">
      <c r="A348" s="6">
        <f>Config!$K$12+26*Config!$J$12+Config!$J$12/2</f>
        <v/>
      </c>
      <c r="B348" s="6">
        <f>$A348-Config!$J$12/2</f>
        <v/>
      </c>
      <c r="C348" s="6">
        <f>$A348+Config!$J$12/2</f>
        <v/>
      </c>
      <c r="D348" s="6">
        <f>COUNTIFS(RawData!$C$2:$C$941,"LT",RawData!$Q$2:$Q$941,"&gt;="&amp;$B348,RawData!$Q$2:$Q$941,"&lt;"&amp;$C348,RawData!$Q$2:$Q$941,"&lt;&gt;0")</f>
        <v/>
      </c>
      <c r="E348" s="6">
        <f>IF(Config!$G$12=0,0,IF(ABS(($A348-Config!$F$12)/Config!$G$12)&lt;=2,$D348,0))</f>
        <v/>
      </c>
      <c r="F348" s="6">
        <f>IF(Config!$G$12=0,0,IF(AND(ABS(($A348-Config!$F$12)/Config!$G$12)&gt;2,ABS(($A348-Config!$F$12)/Config!$G$12)&lt;=3),$D348,0))</f>
        <v/>
      </c>
      <c r="G348" s="6">
        <f>IF(Config!$G$12=0,0,IF(ABS(($A348-Config!$F$12)/Config!$G$12)&gt;3,$D348,0))</f>
        <v/>
      </c>
      <c r="H348" s="6">
        <f>IFERROR(NORM.DIST($A348,Config!$F$12,Config!$G$12,FALSE)*Config!$D$12*Config!$J$12,0)</f>
        <v/>
      </c>
    </row>
    <row r="349">
      <c r="A349">
        <f>Config!$K$12+27*Config!$J$12+Config!$J$12/2</f>
        <v/>
      </c>
      <c r="B349">
        <f>$A349-Config!$J$12/2</f>
        <v/>
      </c>
      <c r="C349">
        <f>$A349+Config!$J$12/2</f>
        <v/>
      </c>
      <c r="D349">
        <f>COUNTIFS(RawData!$C$2:$C$941,"LT",RawData!$Q$2:$Q$941,"&gt;="&amp;$B349,RawData!$Q$2:$Q$941,"&lt;"&amp;$C349,RawData!$Q$2:$Q$941,"&lt;&gt;0")</f>
        <v/>
      </c>
      <c r="E349">
        <f>IF(Config!$G$12=0,0,IF(ABS(($A349-Config!$F$12)/Config!$G$12)&lt;=2,$D349,0))</f>
        <v/>
      </c>
      <c r="F349">
        <f>IF(Config!$G$12=0,0,IF(AND(ABS(($A349-Config!$F$12)/Config!$G$12)&gt;2,ABS(($A349-Config!$F$12)/Config!$G$12)&lt;=3),$D349,0))</f>
        <v/>
      </c>
      <c r="G349">
        <f>IF(Config!$G$12=0,0,IF(ABS(($A349-Config!$F$12)/Config!$G$12)&gt;3,$D349,0))</f>
        <v/>
      </c>
      <c r="H349">
        <f>IFERROR(NORM.DIST($A349,Config!$F$12,Config!$G$12,FALSE)*Config!$D$12*Config!$J$12,0)</f>
        <v/>
      </c>
    </row>
    <row r="350">
      <c r="A350" s="6">
        <f>Config!$K$12+28*Config!$J$12+Config!$J$12/2</f>
        <v/>
      </c>
      <c r="B350" s="6">
        <f>$A350-Config!$J$12/2</f>
        <v/>
      </c>
      <c r="C350" s="6">
        <f>$A350+Config!$J$12/2</f>
        <v/>
      </c>
      <c r="D350" s="6">
        <f>COUNTIFS(RawData!$C$2:$C$941,"LT",RawData!$Q$2:$Q$941,"&gt;="&amp;$B350,RawData!$Q$2:$Q$941,"&lt;"&amp;$C350,RawData!$Q$2:$Q$941,"&lt;&gt;0")</f>
        <v/>
      </c>
      <c r="E350" s="6">
        <f>IF(Config!$G$12=0,0,IF(ABS(($A350-Config!$F$12)/Config!$G$12)&lt;=2,$D350,0))</f>
        <v/>
      </c>
      <c r="F350" s="6">
        <f>IF(Config!$G$12=0,0,IF(AND(ABS(($A350-Config!$F$12)/Config!$G$12)&gt;2,ABS(($A350-Config!$F$12)/Config!$G$12)&lt;=3),$D350,0))</f>
        <v/>
      </c>
      <c r="G350" s="6">
        <f>IF(Config!$G$12=0,0,IF(ABS(($A350-Config!$F$12)/Config!$G$12)&gt;3,$D350,0))</f>
        <v/>
      </c>
      <c r="H350" s="6">
        <f>IFERROR(NORM.DIST($A350,Config!$F$12,Config!$G$12,FALSE)*Config!$D$12*Config!$J$12,0)</f>
        <v/>
      </c>
    </row>
    <row r="351">
      <c r="A351">
        <f>Config!$K$12+29*Config!$J$12+Config!$J$12/2</f>
        <v/>
      </c>
      <c r="B351">
        <f>$A351-Config!$J$12/2</f>
        <v/>
      </c>
      <c r="C351">
        <f>$A351+Config!$J$12/2</f>
        <v/>
      </c>
      <c r="D351">
        <f>COUNTIFS(RawData!$C$2:$C$941,"LT",RawData!$Q$2:$Q$941,"&gt;="&amp;$B351,RawData!$Q$2:$Q$941,"&lt;"&amp;$C351,RawData!$Q$2:$Q$941,"&lt;&gt;0")</f>
        <v/>
      </c>
      <c r="E351">
        <f>IF(Config!$G$12=0,0,IF(ABS(($A351-Config!$F$12)/Config!$G$12)&lt;=2,$D351,0))</f>
        <v/>
      </c>
      <c r="F351">
        <f>IF(Config!$G$12=0,0,IF(AND(ABS(($A351-Config!$F$12)/Config!$G$12)&gt;2,ABS(($A351-Config!$F$12)/Config!$G$12)&lt;=3),$D351,0))</f>
        <v/>
      </c>
      <c r="G351">
        <f>IF(Config!$G$12=0,0,IF(ABS(($A351-Config!$F$12)/Config!$G$12)&gt;3,$D351,0))</f>
        <v/>
      </c>
      <c r="H351">
        <f>IFERROR(NORM.DIST($A351,Config!$F$12,Config!$G$12,FALSE)*Config!$D$12*Config!$J$12,0)</f>
        <v/>
      </c>
    </row>
    <row r="353">
      <c r="A353" s="5" t="inlineStr">
        <is>
          <t>BinCenter</t>
        </is>
      </c>
      <c r="B353" s="5" t="inlineStr">
        <is>
          <t>BinLo</t>
        </is>
      </c>
      <c r="C353" s="5" t="inlineStr">
        <is>
          <t>BinHi</t>
        </is>
      </c>
      <c r="D353" s="5" t="inlineStr">
        <is>
          <t>TotalCount</t>
        </is>
      </c>
      <c r="E353" s="5" t="inlineStr">
        <is>
          <t>Normal</t>
        </is>
      </c>
      <c r="F353" s="5" t="inlineStr">
        <is>
          <t>Warning(2-3s)</t>
        </is>
      </c>
      <c r="G353" s="5" t="inlineStr">
        <is>
          <t>Outlier(&gt;3s)</t>
        </is>
      </c>
      <c r="H353" s="5" t="inlineStr">
        <is>
          <t>CurveY</t>
        </is>
      </c>
    </row>
    <row r="354">
      <c r="A354" s="6">
        <f>Config!$K$13+0*Config!$J$13+Config!$J$13/2</f>
        <v/>
      </c>
      <c r="B354" s="6">
        <f>$A354-Config!$J$13/2</f>
        <v/>
      </c>
      <c r="C354" s="6">
        <f>$A354+Config!$J$13/2</f>
        <v/>
      </c>
      <c r="D354" s="6">
        <f>COUNTIFS(RawData!$C$2:$C$941,"LT",RawData!$R$2:$R$941,"&gt;="&amp;$B354,RawData!$R$2:$R$941,"&lt;"&amp;$C354,RawData!$R$2:$R$941,"&lt;&gt;0")</f>
        <v/>
      </c>
      <c r="E354" s="6">
        <f>IF(Config!$G$13=0,0,IF(ABS(($A354-Config!$F$13)/Config!$G$13)&lt;=2,$D354,0))</f>
        <v/>
      </c>
      <c r="F354" s="6">
        <f>IF(Config!$G$13=0,0,IF(AND(ABS(($A354-Config!$F$13)/Config!$G$13)&gt;2,ABS(($A354-Config!$F$13)/Config!$G$13)&lt;=3),$D354,0))</f>
        <v/>
      </c>
      <c r="G354" s="6">
        <f>IF(Config!$G$13=0,0,IF(ABS(($A354-Config!$F$13)/Config!$G$13)&gt;3,$D354,0))</f>
        <v/>
      </c>
      <c r="H354" s="6">
        <f>IFERROR(NORM.DIST($A354,Config!$F$13,Config!$G$13,FALSE)*Config!$D$13*Config!$J$13,0)</f>
        <v/>
      </c>
    </row>
    <row r="355">
      <c r="A355">
        <f>Config!$K$13+1*Config!$J$13+Config!$J$13/2</f>
        <v/>
      </c>
      <c r="B355">
        <f>$A355-Config!$J$13/2</f>
        <v/>
      </c>
      <c r="C355">
        <f>$A355+Config!$J$13/2</f>
        <v/>
      </c>
      <c r="D355">
        <f>COUNTIFS(RawData!$C$2:$C$941,"LT",RawData!$R$2:$R$941,"&gt;="&amp;$B355,RawData!$R$2:$R$941,"&lt;"&amp;$C355,RawData!$R$2:$R$941,"&lt;&gt;0")</f>
        <v/>
      </c>
      <c r="E355">
        <f>IF(Config!$G$13=0,0,IF(ABS(($A355-Config!$F$13)/Config!$G$13)&lt;=2,$D355,0))</f>
        <v/>
      </c>
      <c r="F355">
        <f>IF(Config!$G$13=0,0,IF(AND(ABS(($A355-Config!$F$13)/Config!$G$13)&gt;2,ABS(($A355-Config!$F$13)/Config!$G$13)&lt;=3),$D355,0))</f>
        <v/>
      </c>
      <c r="G355">
        <f>IF(Config!$G$13=0,0,IF(ABS(($A355-Config!$F$13)/Config!$G$13)&gt;3,$D355,0))</f>
        <v/>
      </c>
      <c r="H355">
        <f>IFERROR(NORM.DIST($A355,Config!$F$13,Config!$G$13,FALSE)*Config!$D$13*Config!$J$13,0)</f>
        <v/>
      </c>
    </row>
    <row r="356">
      <c r="A356" s="6">
        <f>Config!$K$13+2*Config!$J$13+Config!$J$13/2</f>
        <v/>
      </c>
      <c r="B356" s="6">
        <f>$A356-Config!$J$13/2</f>
        <v/>
      </c>
      <c r="C356" s="6">
        <f>$A356+Config!$J$13/2</f>
        <v/>
      </c>
      <c r="D356" s="6">
        <f>COUNTIFS(RawData!$C$2:$C$941,"LT",RawData!$R$2:$R$941,"&gt;="&amp;$B356,RawData!$R$2:$R$941,"&lt;"&amp;$C356,RawData!$R$2:$R$941,"&lt;&gt;0")</f>
        <v/>
      </c>
      <c r="E356" s="6">
        <f>IF(Config!$G$13=0,0,IF(ABS(($A356-Config!$F$13)/Config!$G$13)&lt;=2,$D356,0))</f>
        <v/>
      </c>
      <c r="F356" s="6">
        <f>IF(Config!$G$13=0,0,IF(AND(ABS(($A356-Config!$F$13)/Config!$G$13)&gt;2,ABS(($A356-Config!$F$13)/Config!$G$13)&lt;=3),$D356,0))</f>
        <v/>
      </c>
      <c r="G356" s="6">
        <f>IF(Config!$G$13=0,0,IF(ABS(($A356-Config!$F$13)/Config!$G$13)&gt;3,$D356,0))</f>
        <v/>
      </c>
      <c r="H356" s="6">
        <f>IFERROR(NORM.DIST($A356,Config!$F$13,Config!$G$13,FALSE)*Config!$D$13*Config!$J$13,0)</f>
        <v/>
      </c>
    </row>
    <row r="357">
      <c r="A357">
        <f>Config!$K$13+3*Config!$J$13+Config!$J$13/2</f>
        <v/>
      </c>
      <c r="B357">
        <f>$A357-Config!$J$13/2</f>
        <v/>
      </c>
      <c r="C357">
        <f>$A357+Config!$J$13/2</f>
        <v/>
      </c>
      <c r="D357">
        <f>COUNTIFS(RawData!$C$2:$C$941,"LT",RawData!$R$2:$R$941,"&gt;="&amp;$B357,RawData!$R$2:$R$941,"&lt;"&amp;$C357,RawData!$R$2:$R$941,"&lt;&gt;0")</f>
        <v/>
      </c>
      <c r="E357">
        <f>IF(Config!$G$13=0,0,IF(ABS(($A357-Config!$F$13)/Config!$G$13)&lt;=2,$D357,0))</f>
        <v/>
      </c>
      <c r="F357">
        <f>IF(Config!$G$13=0,0,IF(AND(ABS(($A357-Config!$F$13)/Config!$G$13)&gt;2,ABS(($A357-Config!$F$13)/Config!$G$13)&lt;=3),$D357,0))</f>
        <v/>
      </c>
      <c r="G357">
        <f>IF(Config!$G$13=0,0,IF(ABS(($A357-Config!$F$13)/Config!$G$13)&gt;3,$D357,0))</f>
        <v/>
      </c>
      <c r="H357">
        <f>IFERROR(NORM.DIST($A357,Config!$F$13,Config!$G$13,FALSE)*Config!$D$13*Config!$J$13,0)</f>
        <v/>
      </c>
    </row>
    <row r="358">
      <c r="A358" s="6">
        <f>Config!$K$13+4*Config!$J$13+Config!$J$13/2</f>
        <v/>
      </c>
      <c r="B358" s="6">
        <f>$A358-Config!$J$13/2</f>
        <v/>
      </c>
      <c r="C358" s="6">
        <f>$A358+Config!$J$13/2</f>
        <v/>
      </c>
      <c r="D358" s="6">
        <f>COUNTIFS(RawData!$C$2:$C$941,"LT",RawData!$R$2:$R$941,"&gt;="&amp;$B358,RawData!$R$2:$R$941,"&lt;"&amp;$C358,RawData!$R$2:$R$941,"&lt;&gt;0")</f>
        <v/>
      </c>
      <c r="E358" s="6">
        <f>IF(Config!$G$13=0,0,IF(ABS(($A358-Config!$F$13)/Config!$G$13)&lt;=2,$D358,0))</f>
        <v/>
      </c>
      <c r="F358" s="6">
        <f>IF(Config!$G$13=0,0,IF(AND(ABS(($A358-Config!$F$13)/Config!$G$13)&gt;2,ABS(($A358-Config!$F$13)/Config!$G$13)&lt;=3),$D358,0))</f>
        <v/>
      </c>
      <c r="G358" s="6">
        <f>IF(Config!$G$13=0,0,IF(ABS(($A358-Config!$F$13)/Config!$G$13)&gt;3,$D358,0))</f>
        <v/>
      </c>
      <c r="H358" s="6">
        <f>IFERROR(NORM.DIST($A358,Config!$F$13,Config!$G$13,FALSE)*Config!$D$13*Config!$J$13,0)</f>
        <v/>
      </c>
    </row>
    <row r="359">
      <c r="A359">
        <f>Config!$K$13+5*Config!$J$13+Config!$J$13/2</f>
        <v/>
      </c>
      <c r="B359">
        <f>$A359-Config!$J$13/2</f>
        <v/>
      </c>
      <c r="C359">
        <f>$A359+Config!$J$13/2</f>
        <v/>
      </c>
      <c r="D359">
        <f>COUNTIFS(RawData!$C$2:$C$941,"LT",RawData!$R$2:$R$941,"&gt;="&amp;$B359,RawData!$R$2:$R$941,"&lt;"&amp;$C359,RawData!$R$2:$R$941,"&lt;&gt;0")</f>
        <v/>
      </c>
      <c r="E359">
        <f>IF(Config!$G$13=0,0,IF(ABS(($A359-Config!$F$13)/Config!$G$13)&lt;=2,$D359,0))</f>
        <v/>
      </c>
      <c r="F359">
        <f>IF(Config!$G$13=0,0,IF(AND(ABS(($A359-Config!$F$13)/Config!$G$13)&gt;2,ABS(($A359-Config!$F$13)/Config!$G$13)&lt;=3),$D359,0))</f>
        <v/>
      </c>
      <c r="G359">
        <f>IF(Config!$G$13=0,0,IF(ABS(($A359-Config!$F$13)/Config!$G$13)&gt;3,$D359,0))</f>
        <v/>
      </c>
      <c r="H359">
        <f>IFERROR(NORM.DIST($A359,Config!$F$13,Config!$G$13,FALSE)*Config!$D$13*Config!$J$13,0)</f>
        <v/>
      </c>
    </row>
    <row r="360">
      <c r="A360" s="6">
        <f>Config!$K$13+6*Config!$J$13+Config!$J$13/2</f>
        <v/>
      </c>
      <c r="B360" s="6">
        <f>$A360-Config!$J$13/2</f>
        <v/>
      </c>
      <c r="C360" s="6">
        <f>$A360+Config!$J$13/2</f>
        <v/>
      </c>
      <c r="D360" s="6">
        <f>COUNTIFS(RawData!$C$2:$C$941,"LT",RawData!$R$2:$R$941,"&gt;="&amp;$B360,RawData!$R$2:$R$941,"&lt;"&amp;$C360,RawData!$R$2:$R$941,"&lt;&gt;0")</f>
        <v/>
      </c>
      <c r="E360" s="6">
        <f>IF(Config!$G$13=0,0,IF(ABS(($A360-Config!$F$13)/Config!$G$13)&lt;=2,$D360,0))</f>
        <v/>
      </c>
      <c r="F360" s="6">
        <f>IF(Config!$G$13=0,0,IF(AND(ABS(($A360-Config!$F$13)/Config!$G$13)&gt;2,ABS(($A360-Config!$F$13)/Config!$G$13)&lt;=3),$D360,0))</f>
        <v/>
      </c>
      <c r="G360" s="6">
        <f>IF(Config!$G$13=0,0,IF(ABS(($A360-Config!$F$13)/Config!$G$13)&gt;3,$D360,0))</f>
        <v/>
      </c>
      <c r="H360" s="6">
        <f>IFERROR(NORM.DIST($A360,Config!$F$13,Config!$G$13,FALSE)*Config!$D$13*Config!$J$13,0)</f>
        <v/>
      </c>
    </row>
    <row r="361">
      <c r="A361">
        <f>Config!$K$13+7*Config!$J$13+Config!$J$13/2</f>
        <v/>
      </c>
      <c r="B361">
        <f>$A361-Config!$J$13/2</f>
        <v/>
      </c>
      <c r="C361">
        <f>$A361+Config!$J$13/2</f>
        <v/>
      </c>
      <c r="D361">
        <f>COUNTIFS(RawData!$C$2:$C$941,"LT",RawData!$R$2:$R$941,"&gt;="&amp;$B361,RawData!$R$2:$R$941,"&lt;"&amp;$C361,RawData!$R$2:$R$941,"&lt;&gt;0")</f>
        <v/>
      </c>
      <c r="E361">
        <f>IF(Config!$G$13=0,0,IF(ABS(($A361-Config!$F$13)/Config!$G$13)&lt;=2,$D361,0))</f>
        <v/>
      </c>
      <c r="F361">
        <f>IF(Config!$G$13=0,0,IF(AND(ABS(($A361-Config!$F$13)/Config!$G$13)&gt;2,ABS(($A361-Config!$F$13)/Config!$G$13)&lt;=3),$D361,0))</f>
        <v/>
      </c>
      <c r="G361">
        <f>IF(Config!$G$13=0,0,IF(ABS(($A361-Config!$F$13)/Config!$G$13)&gt;3,$D361,0))</f>
        <v/>
      </c>
      <c r="H361">
        <f>IFERROR(NORM.DIST($A361,Config!$F$13,Config!$G$13,FALSE)*Config!$D$13*Config!$J$13,0)</f>
        <v/>
      </c>
    </row>
    <row r="362">
      <c r="A362" s="6">
        <f>Config!$K$13+8*Config!$J$13+Config!$J$13/2</f>
        <v/>
      </c>
      <c r="B362" s="6">
        <f>$A362-Config!$J$13/2</f>
        <v/>
      </c>
      <c r="C362" s="6">
        <f>$A362+Config!$J$13/2</f>
        <v/>
      </c>
      <c r="D362" s="6">
        <f>COUNTIFS(RawData!$C$2:$C$941,"LT",RawData!$R$2:$R$941,"&gt;="&amp;$B362,RawData!$R$2:$R$941,"&lt;"&amp;$C362,RawData!$R$2:$R$941,"&lt;&gt;0")</f>
        <v/>
      </c>
      <c r="E362" s="6">
        <f>IF(Config!$G$13=0,0,IF(ABS(($A362-Config!$F$13)/Config!$G$13)&lt;=2,$D362,0))</f>
        <v/>
      </c>
      <c r="F362" s="6">
        <f>IF(Config!$G$13=0,0,IF(AND(ABS(($A362-Config!$F$13)/Config!$G$13)&gt;2,ABS(($A362-Config!$F$13)/Config!$G$13)&lt;=3),$D362,0))</f>
        <v/>
      </c>
      <c r="G362" s="6">
        <f>IF(Config!$G$13=0,0,IF(ABS(($A362-Config!$F$13)/Config!$G$13)&gt;3,$D362,0))</f>
        <v/>
      </c>
      <c r="H362" s="6">
        <f>IFERROR(NORM.DIST($A362,Config!$F$13,Config!$G$13,FALSE)*Config!$D$13*Config!$J$13,0)</f>
        <v/>
      </c>
    </row>
    <row r="363">
      <c r="A363">
        <f>Config!$K$13+9*Config!$J$13+Config!$J$13/2</f>
        <v/>
      </c>
      <c r="B363">
        <f>$A363-Config!$J$13/2</f>
        <v/>
      </c>
      <c r="C363">
        <f>$A363+Config!$J$13/2</f>
        <v/>
      </c>
      <c r="D363">
        <f>COUNTIFS(RawData!$C$2:$C$941,"LT",RawData!$R$2:$R$941,"&gt;="&amp;$B363,RawData!$R$2:$R$941,"&lt;"&amp;$C363,RawData!$R$2:$R$941,"&lt;&gt;0")</f>
        <v/>
      </c>
      <c r="E363">
        <f>IF(Config!$G$13=0,0,IF(ABS(($A363-Config!$F$13)/Config!$G$13)&lt;=2,$D363,0))</f>
        <v/>
      </c>
      <c r="F363">
        <f>IF(Config!$G$13=0,0,IF(AND(ABS(($A363-Config!$F$13)/Config!$G$13)&gt;2,ABS(($A363-Config!$F$13)/Config!$G$13)&lt;=3),$D363,0))</f>
        <v/>
      </c>
      <c r="G363">
        <f>IF(Config!$G$13=0,0,IF(ABS(($A363-Config!$F$13)/Config!$G$13)&gt;3,$D363,0))</f>
        <v/>
      </c>
      <c r="H363">
        <f>IFERROR(NORM.DIST($A363,Config!$F$13,Config!$G$13,FALSE)*Config!$D$13*Config!$J$13,0)</f>
        <v/>
      </c>
    </row>
    <row r="364">
      <c r="A364" s="6">
        <f>Config!$K$13+10*Config!$J$13+Config!$J$13/2</f>
        <v/>
      </c>
      <c r="B364" s="6">
        <f>$A364-Config!$J$13/2</f>
        <v/>
      </c>
      <c r="C364" s="6">
        <f>$A364+Config!$J$13/2</f>
        <v/>
      </c>
      <c r="D364" s="6">
        <f>COUNTIFS(RawData!$C$2:$C$941,"LT",RawData!$R$2:$R$941,"&gt;="&amp;$B364,RawData!$R$2:$R$941,"&lt;"&amp;$C364,RawData!$R$2:$R$941,"&lt;&gt;0")</f>
        <v/>
      </c>
      <c r="E364" s="6">
        <f>IF(Config!$G$13=0,0,IF(ABS(($A364-Config!$F$13)/Config!$G$13)&lt;=2,$D364,0))</f>
        <v/>
      </c>
      <c r="F364" s="6">
        <f>IF(Config!$G$13=0,0,IF(AND(ABS(($A364-Config!$F$13)/Config!$G$13)&gt;2,ABS(($A364-Config!$F$13)/Config!$G$13)&lt;=3),$D364,0))</f>
        <v/>
      </c>
      <c r="G364" s="6">
        <f>IF(Config!$G$13=0,0,IF(ABS(($A364-Config!$F$13)/Config!$G$13)&gt;3,$D364,0))</f>
        <v/>
      </c>
      <c r="H364" s="6">
        <f>IFERROR(NORM.DIST($A364,Config!$F$13,Config!$G$13,FALSE)*Config!$D$13*Config!$J$13,0)</f>
        <v/>
      </c>
    </row>
    <row r="365">
      <c r="A365">
        <f>Config!$K$13+11*Config!$J$13+Config!$J$13/2</f>
        <v/>
      </c>
      <c r="B365">
        <f>$A365-Config!$J$13/2</f>
        <v/>
      </c>
      <c r="C365">
        <f>$A365+Config!$J$13/2</f>
        <v/>
      </c>
      <c r="D365">
        <f>COUNTIFS(RawData!$C$2:$C$941,"LT",RawData!$R$2:$R$941,"&gt;="&amp;$B365,RawData!$R$2:$R$941,"&lt;"&amp;$C365,RawData!$R$2:$R$941,"&lt;&gt;0")</f>
        <v/>
      </c>
      <c r="E365">
        <f>IF(Config!$G$13=0,0,IF(ABS(($A365-Config!$F$13)/Config!$G$13)&lt;=2,$D365,0))</f>
        <v/>
      </c>
      <c r="F365">
        <f>IF(Config!$G$13=0,0,IF(AND(ABS(($A365-Config!$F$13)/Config!$G$13)&gt;2,ABS(($A365-Config!$F$13)/Config!$G$13)&lt;=3),$D365,0))</f>
        <v/>
      </c>
      <c r="G365">
        <f>IF(Config!$G$13=0,0,IF(ABS(($A365-Config!$F$13)/Config!$G$13)&gt;3,$D365,0))</f>
        <v/>
      </c>
      <c r="H365">
        <f>IFERROR(NORM.DIST($A365,Config!$F$13,Config!$G$13,FALSE)*Config!$D$13*Config!$J$13,0)</f>
        <v/>
      </c>
    </row>
    <row r="366">
      <c r="A366" s="6">
        <f>Config!$K$13+12*Config!$J$13+Config!$J$13/2</f>
        <v/>
      </c>
      <c r="B366" s="6">
        <f>$A366-Config!$J$13/2</f>
        <v/>
      </c>
      <c r="C366" s="6">
        <f>$A366+Config!$J$13/2</f>
        <v/>
      </c>
      <c r="D366" s="6">
        <f>COUNTIFS(RawData!$C$2:$C$941,"LT",RawData!$R$2:$R$941,"&gt;="&amp;$B366,RawData!$R$2:$R$941,"&lt;"&amp;$C366,RawData!$R$2:$R$941,"&lt;&gt;0")</f>
        <v/>
      </c>
      <c r="E366" s="6">
        <f>IF(Config!$G$13=0,0,IF(ABS(($A366-Config!$F$13)/Config!$G$13)&lt;=2,$D366,0))</f>
        <v/>
      </c>
      <c r="F366" s="6">
        <f>IF(Config!$G$13=0,0,IF(AND(ABS(($A366-Config!$F$13)/Config!$G$13)&gt;2,ABS(($A366-Config!$F$13)/Config!$G$13)&lt;=3),$D366,0))</f>
        <v/>
      </c>
      <c r="G366" s="6">
        <f>IF(Config!$G$13=0,0,IF(ABS(($A366-Config!$F$13)/Config!$G$13)&gt;3,$D366,0))</f>
        <v/>
      </c>
      <c r="H366" s="6">
        <f>IFERROR(NORM.DIST($A366,Config!$F$13,Config!$G$13,FALSE)*Config!$D$13*Config!$J$13,0)</f>
        <v/>
      </c>
    </row>
    <row r="367">
      <c r="A367">
        <f>Config!$K$13+13*Config!$J$13+Config!$J$13/2</f>
        <v/>
      </c>
      <c r="B367">
        <f>$A367-Config!$J$13/2</f>
        <v/>
      </c>
      <c r="C367">
        <f>$A367+Config!$J$13/2</f>
        <v/>
      </c>
      <c r="D367">
        <f>COUNTIFS(RawData!$C$2:$C$941,"LT",RawData!$R$2:$R$941,"&gt;="&amp;$B367,RawData!$R$2:$R$941,"&lt;"&amp;$C367,RawData!$R$2:$R$941,"&lt;&gt;0")</f>
        <v/>
      </c>
      <c r="E367">
        <f>IF(Config!$G$13=0,0,IF(ABS(($A367-Config!$F$13)/Config!$G$13)&lt;=2,$D367,0))</f>
        <v/>
      </c>
      <c r="F367">
        <f>IF(Config!$G$13=0,0,IF(AND(ABS(($A367-Config!$F$13)/Config!$G$13)&gt;2,ABS(($A367-Config!$F$13)/Config!$G$13)&lt;=3),$D367,0))</f>
        <v/>
      </c>
      <c r="G367">
        <f>IF(Config!$G$13=0,0,IF(ABS(($A367-Config!$F$13)/Config!$G$13)&gt;3,$D367,0))</f>
        <v/>
      </c>
      <c r="H367">
        <f>IFERROR(NORM.DIST($A367,Config!$F$13,Config!$G$13,FALSE)*Config!$D$13*Config!$J$13,0)</f>
        <v/>
      </c>
    </row>
    <row r="368">
      <c r="A368" s="6">
        <f>Config!$K$13+14*Config!$J$13+Config!$J$13/2</f>
        <v/>
      </c>
      <c r="B368" s="6">
        <f>$A368-Config!$J$13/2</f>
        <v/>
      </c>
      <c r="C368" s="6">
        <f>$A368+Config!$J$13/2</f>
        <v/>
      </c>
      <c r="D368" s="6">
        <f>COUNTIFS(RawData!$C$2:$C$941,"LT",RawData!$R$2:$R$941,"&gt;="&amp;$B368,RawData!$R$2:$R$941,"&lt;"&amp;$C368,RawData!$R$2:$R$941,"&lt;&gt;0")</f>
        <v/>
      </c>
      <c r="E368" s="6">
        <f>IF(Config!$G$13=0,0,IF(ABS(($A368-Config!$F$13)/Config!$G$13)&lt;=2,$D368,0))</f>
        <v/>
      </c>
      <c r="F368" s="6">
        <f>IF(Config!$G$13=0,0,IF(AND(ABS(($A368-Config!$F$13)/Config!$G$13)&gt;2,ABS(($A368-Config!$F$13)/Config!$G$13)&lt;=3),$D368,0))</f>
        <v/>
      </c>
      <c r="G368" s="6">
        <f>IF(Config!$G$13=0,0,IF(ABS(($A368-Config!$F$13)/Config!$G$13)&gt;3,$D368,0))</f>
        <v/>
      </c>
      <c r="H368" s="6">
        <f>IFERROR(NORM.DIST($A368,Config!$F$13,Config!$G$13,FALSE)*Config!$D$13*Config!$J$13,0)</f>
        <v/>
      </c>
    </row>
    <row r="369">
      <c r="A369">
        <f>Config!$K$13+15*Config!$J$13+Config!$J$13/2</f>
        <v/>
      </c>
      <c r="B369">
        <f>$A369-Config!$J$13/2</f>
        <v/>
      </c>
      <c r="C369">
        <f>$A369+Config!$J$13/2</f>
        <v/>
      </c>
      <c r="D369">
        <f>COUNTIFS(RawData!$C$2:$C$941,"LT",RawData!$R$2:$R$941,"&gt;="&amp;$B369,RawData!$R$2:$R$941,"&lt;"&amp;$C369,RawData!$R$2:$R$941,"&lt;&gt;0")</f>
        <v/>
      </c>
      <c r="E369">
        <f>IF(Config!$G$13=0,0,IF(ABS(($A369-Config!$F$13)/Config!$G$13)&lt;=2,$D369,0))</f>
        <v/>
      </c>
      <c r="F369">
        <f>IF(Config!$G$13=0,0,IF(AND(ABS(($A369-Config!$F$13)/Config!$G$13)&gt;2,ABS(($A369-Config!$F$13)/Config!$G$13)&lt;=3),$D369,0))</f>
        <v/>
      </c>
      <c r="G369">
        <f>IF(Config!$G$13=0,0,IF(ABS(($A369-Config!$F$13)/Config!$G$13)&gt;3,$D369,0))</f>
        <v/>
      </c>
      <c r="H369">
        <f>IFERROR(NORM.DIST($A369,Config!$F$13,Config!$G$13,FALSE)*Config!$D$13*Config!$J$13,0)</f>
        <v/>
      </c>
    </row>
    <row r="370">
      <c r="A370" s="6">
        <f>Config!$K$13+16*Config!$J$13+Config!$J$13/2</f>
        <v/>
      </c>
      <c r="B370" s="6">
        <f>$A370-Config!$J$13/2</f>
        <v/>
      </c>
      <c r="C370" s="6">
        <f>$A370+Config!$J$13/2</f>
        <v/>
      </c>
      <c r="D370" s="6">
        <f>COUNTIFS(RawData!$C$2:$C$941,"LT",RawData!$R$2:$R$941,"&gt;="&amp;$B370,RawData!$R$2:$R$941,"&lt;"&amp;$C370,RawData!$R$2:$R$941,"&lt;&gt;0")</f>
        <v/>
      </c>
      <c r="E370" s="6">
        <f>IF(Config!$G$13=0,0,IF(ABS(($A370-Config!$F$13)/Config!$G$13)&lt;=2,$D370,0))</f>
        <v/>
      </c>
      <c r="F370" s="6">
        <f>IF(Config!$G$13=0,0,IF(AND(ABS(($A370-Config!$F$13)/Config!$G$13)&gt;2,ABS(($A370-Config!$F$13)/Config!$G$13)&lt;=3),$D370,0))</f>
        <v/>
      </c>
      <c r="G370" s="6">
        <f>IF(Config!$G$13=0,0,IF(ABS(($A370-Config!$F$13)/Config!$G$13)&gt;3,$D370,0))</f>
        <v/>
      </c>
      <c r="H370" s="6">
        <f>IFERROR(NORM.DIST($A370,Config!$F$13,Config!$G$13,FALSE)*Config!$D$13*Config!$J$13,0)</f>
        <v/>
      </c>
    </row>
    <row r="371">
      <c r="A371">
        <f>Config!$K$13+17*Config!$J$13+Config!$J$13/2</f>
        <v/>
      </c>
      <c r="B371">
        <f>$A371-Config!$J$13/2</f>
        <v/>
      </c>
      <c r="C371">
        <f>$A371+Config!$J$13/2</f>
        <v/>
      </c>
      <c r="D371">
        <f>COUNTIFS(RawData!$C$2:$C$941,"LT",RawData!$R$2:$R$941,"&gt;="&amp;$B371,RawData!$R$2:$R$941,"&lt;"&amp;$C371,RawData!$R$2:$R$941,"&lt;&gt;0")</f>
        <v/>
      </c>
      <c r="E371">
        <f>IF(Config!$G$13=0,0,IF(ABS(($A371-Config!$F$13)/Config!$G$13)&lt;=2,$D371,0))</f>
        <v/>
      </c>
      <c r="F371">
        <f>IF(Config!$G$13=0,0,IF(AND(ABS(($A371-Config!$F$13)/Config!$G$13)&gt;2,ABS(($A371-Config!$F$13)/Config!$G$13)&lt;=3),$D371,0))</f>
        <v/>
      </c>
      <c r="G371">
        <f>IF(Config!$G$13=0,0,IF(ABS(($A371-Config!$F$13)/Config!$G$13)&gt;3,$D371,0))</f>
        <v/>
      </c>
      <c r="H371">
        <f>IFERROR(NORM.DIST($A371,Config!$F$13,Config!$G$13,FALSE)*Config!$D$13*Config!$J$13,0)</f>
        <v/>
      </c>
    </row>
    <row r="372">
      <c r="A372" s="6">
        <f>Config!$K$13+18*Config!$J$13+Config!$J$13/2</f>
        <v/>
      </c>
      <c r="B372" s="6">
        <f>$A372-Config!$J$13/2</f>
        <v/>
      </c>
      <c r="C372" s="6">
        <f>$A372+Config!$J$13/2</f>
        <v/>
      </c>
      <c r="D372" s="6">
        <f>COUNTIFS(RawData!$C$2:$C$941,"LT",RawData!$R$2:$R$941,"&gt;="&amp;$B372,RawData!$R$2:$R$941,"&lt;"&amp;$C372,RawData!$R$2:$R$941,"&lt;&gt;0")</f>
        <v/>
      </c>
      <c r="E372" s="6">
        <f>IF(Config!$G$13=0,0,IF(ABS(($A372-Config!$F$13)/Config!$G$13)&lt;=2,$D372,0))</f>
        <v/>
      </c>
      <c r="F372" s="6">
        <f>IF(Config!$G$13=0,0,IF(AND(ABS(($A372-Config!$F$13)/Config!$G$13)&gt;2,ABS(($A372-Config!$F$13)/Config!$G$13)&lt;=3),$D372,0))</f>
        <v/>
      </c>
      <c r="G372" s="6">
        <f>IF(Config!$G$13=0,0,IF(ABS(($A372-Config!$F$13)/Config!$G$13)&gt;3,$D372,0))</f>
        <v/>
      </c>
      <c r="H372" s="6">
        <f>IFERROR(NORM.DIST($A372,Config!$F$13,Config!$G$13,FALSE)*Config!$D$13*Config!$J$13,0)</f>
        <v/>
      </c>
    </row>
    <row r="373">
      <c r="A373">
        <f>Config!$K$13+19*Config!$J$13+Config!$J$13/2</f>
        <v/>
      </c>
      <c r="B373">
        <f>$A373-Config!$J$13/2</f>
        <v/>
      </c>
      <c r="C373">
        <f>$A373+Config!$J$13/2</f>
        <v/>
      </c>
      <c r="D373">
        <f>COUNTIFS(RawData!$C$2:$C$941,"LT",RawData!$R$2:$R$941,"&gt;="&amp;$B373,RawData!$R$2:$R$941,"&lt;"&amp;$C373,RawData!$R$2:$R$941,"&lt;&gt;0")</f>
        <v/>
      </c>
      <c r="E373">
        <f>IF(Config!$G$13=0,0,IF(ABS(($A373-Config!$F$13)/Config!$G$13)&lt;=2,$D373,0))</f>
        <v/>
      </c>
      <c r="F373">
        <f>IF(Config!$G$13=0,0,IF(AND(ABS(($A373-Config!$F$13)/Config!$G$13)&gt;2,ABS(($A373-Config!$F$13)/Config!$G$13)&lt;=3),$D373,0))</f>
        <v/>
      </c>
      <c r="G373">
        <f>IF(Config!$G$13=0,0,IF(ABS(($A373-Config!$F$13)/Config!$G$13)&gt;3,$D373,0))</f>
        <v/>
      </c>
      <c r="H373">
        <f>IFERROR(NORM.DIST($A373,Config!$F$13,Config!$G$13,FALSE)*Config!$D$13*Config!$J$13,0)</f>
        <v/>
      </c>
    </row>
    <row r="374">
      <c r="A374" s="6">
        <f>Config!$K$13+20*Config!$J$13+Config!$J$13/2</f>
        <v/>
      </c>
      <c r="B374" s="6">
        <f>$A374-Config!$J$13/2</f>
        <v/>
      </c>
      <c r="C374" s="6">
        <f>$A374+Config!$J$13/2</f>
        <v/>
      </c>
      <c r="D374" s="6">
        <f>COUNTIFS(RawData!$C$2:$C$941,"LT",RawData!$R$2:$R$941,"&gt;="&amp;$B374,RawData!$R$2:$R$941,"&lt;"&amp;$C374,RawData!$R$2:$R$941,"&lt;&gt;0")</f>
        <v/>
      </c>
      <c r="E374" s="6">
        <f>IF(Config!$G$13=0,0,IF(ABS(($A374-Config!$F$13)/Config!$G$13)&lt;=2,$D374,0))</f>
        <v/>
      </c>
      <c r="F374" s="6">
        <f>IF(Config!$G$13=0,0,IF(AND(ABS(($A374-Config!$F$13)/Config!$G$13)&gt;2,ABS(($A374-Config!$F$13)/Config!$G$13)&lt;=3),$D374,0))</f>
        <v/>
      </c>
      <c r="G374" s="6">
        <f>IF(Config!$G$13=0,0,IF(ABS(($A374-Config!$F$13)/Config!$G$13)&gt;3,$D374,0))</f>
        <v/>
      </c>
      <c r="H374" s="6">
        <f>IFERROR(NORM.DIST($A374,Config!$F$13,Config!$G$13,FALSE)*Config!$D$13*Config!$J$13,0)</f>
        <v/>
      </c>
    </row>
    <row r="375">
      <c r="A375">
        <f>Config!$K$13+21*Config!$J$13+Config!$J$13/2</f>
        <v/>
      </c>
      <c r="B375">
        <f>$A375-Config!$J$13/2</f>
        <v/>
      </c>
      <c r="C375">
        <f>$A375+Config!$J$13/2</f>
        <v/>
      </c>
      <c r="D375">
        <f>COUNTIFS(RawData!$C$2:$C$941,"LT",RawData!$R$2:$R$941,"&gt;="&amp;$B375,RawData!$R$2:$R$941,"&lt;"&amp;$C375,RawData!$R$2:$R$941,"&lt;&gt;0")</f>
        <v/>
      </c>
      <c r="E375">
        <f>IF(Config!$G$13=0,0,IF(ABS(($A375-Config!$F$13)/Config!$G$13)&lt;=2,$D375,0))</f>
        <v/>
      </c>
      <c r="F375">
        <f>IF(Config!$G$13=0,0,IF(AND(ABS(($A375-Config!$F$13)/Config!$G$13)&gt;2,ABS(($A375-Config!$F$13)/Config!$G$13)&lt;=3),$D375,0))</f>
        <v/>
      </c>
      <c r="G375">
        <f>IF(Config!$G$13=0,0,IF(ABS(($A375-Config!$F$13)/Config!$G$13)&gt;3,$D375,0))</f>
        <v/>
      </c>
      <c r="H375">
        <f>IFERROR(NORM.DIST($A375,Config!$F$13,Config!$G$13,FALSE)*Config!$D$13*Config!$J$13,0)</f>
        <v/>
      </c>
    </row>
    <row r="376">
      <c r="A376" s="6">
        <f>Config!$K$13+22*Config!$J$13+Config!$J$13/2</f>
        <v/>
      </c>
      <c r="B376" s="6">
        <f>$A376-Config!$J$13/2</f>
        <v/>
      </c>
      <c r="C376" s="6">
        <f>$A376+Config!$J$13/2</f>
        <v/>
      </c>
      <c r="D376" s="6">
        <f>COUNTIFS(RawData!$C$2:$C$941,"LT",RawData!$R$2:$R$941,"&gt;="&amp;$B376,RawData!$R$2:$R$941,"&lt;"&amp;$C376,RawData!$R$2:$R$941,"&lt;&gt;0")</f>
        <v/>
      </c>
      <c r="E376" s="6">
        <f>IF(Config!$G$13=0,0,IF(ABS(($A376-Config!$F$13)/Config!$G$13)&lt;=2,$D376,0))</f>
        <v/>
      </c>
      <c r="F376" s="6">
        <f>IF(Config!$G$13=0,0,IF(AND(ABS(($A376-Config!$F$13)/Config!$G$13)&gt;2,ABS(($A376-Config!$F$13)/Config!$G$13)&lt;=3),$D376,0))</f>
        <v/>
      </c>
      <c r="G376" s="6">
        <f>IF(Config!$G$13=0,0,IF(ABS(($A376-Config!$F$13)/Config!$G$13)&gt;3,$D376,0))</f>
        <v/>
      </c>
      <c r="H376" s="6">
        <f>IFERROR(NORM.DIST($A376,Config!$F$13,Config!$G$13,FALSE)*Config!$D$13*Config!$J$13,0)</f>
        <v/>
      </c>
    </row>
    <row r="377">
      <c r="A377">
        <f>Config!$K$13+23*Config!$J$13+Config!$J$13/2</f>
        <v/>
      </c>
      <c r="B377">
        <f>$A377-Config!$J$13/2</f>
        <v/>
      </c>
      <c r="C377">
        <f>$A377+Config!$J$13/2</f>
        <v/>
      </c>
      <c r="D377">
        <f>COUNTIFS(RawData!$C$2:$C$941,"LT",RawData!$R$2:$R$941,"&gt;="&amp;$B377,RawData!$R$2:$R$941,"&lt;"&amp;$C377,RawData!$R$2:$R$941,"&lt;&gt;0")</f>
        <v/>
      </c>
      <c r="E377">
        <f>IF(Config!$G$13=0,0,IF(ABS(($A377-Config!$F$13)/Config!$G$13)&lt;=2,$D377,0))</f>
        <v/>
      </c>
      <c r="F377">
        <f>IF(Config!$G$13=0,0,IF(AND(ABS(($A377-Config!$F$13)/Config!$G$13)&gt;2,ABS(($A377-Config!$F$13)/Config!$G$13)&lt;=3),$D377,0))</f>
        <v/>
      </c>
      <c r="G377">
        <f>IF(Config!$G$13=0,0,IF(ABS(($A377-Config!$F$13)/Config!$G$13)&gt;3,$D377,0))</f>
        <v/>
      </c>
      <c r="H377">
        <f>IFERROR(NORM.DIST($A377,Config!$F$13,Config!$G$13,FALSE)*Config!$D$13*Config!$J$13,0)</f>
        <v/>
      </c>
    </row>
    <row r="378">
      <c r="A378" s="6">
        <f>Config!$K$13+24*Config!$J$13+Config!$J$13/2</f>
        <v/>
      </c>
      <c r="B378" s="6">
        <f>$A378-Config!$J$13/2</f>
        <v/>
      </c>
      <c r="C378" s="6">
        <f>$A378+Config!$J$13/2</f>
        <v/>
      </c>
      <c r="D378" s="6">
        <f>COUNTIFS(RawData!$C$2:$C$941,"LT",RawData!$R$2:$R$941,"&gt;="&amp;$B378,RawData!$R$2:$R$941,"&lt;"&amp;$C378,RawData!$R$2:$R$941,"&lt;&gt;0")</f>
        <v/>
      </c>
      <c r="E378" s="6">
        <f>IF(Config!$G$13=0,0,IF(ABS(($A378-Config!$F$13)/Config!$G$13)&lt;=2,$D378,0))</f>
        <v/>
      </c>
      <c r="F378" s="6">
        <f>IF(Config!$G$13=0,0,IF(AND(ABS(($A378-Config!$F$13)/Config!$G$13)&gt;2,ABS(($A378-Config!$F$13)/Config!$G$13)&lt;=3),$D378,0))</f>
        <v/>
      </c>
      <c r="G378" s="6">
        <f>IF(Config!$G$13=0,0,IF(ABS(($A378-Config!$F$13)/Config!$G$13)&gt;3,$D378,0))</f>
        <v/>
      </c>
      <c r="H378" s="6">
        <f>IFERROR(NORM.DIST($A378,Config!$F$13,Config!$G$13,FALSE)*Config!$D$13*Config!$J$13,0)</f>
        <v/>
      </c>
    </row>
    <row r="379">
      <c r="A379">
        <f>Config!$K$13+25*Config!$J$13+Config!$J$13/2</f>
        <v/>
      </c>
      <c r="B379">
        <f>$A379-Config!$J$13/2</f>
        <v/>
      </c>
      <c r="C379">
        <f>$A379+Config!$J$13/2</f>
        <v/>
      </c>
      <c r="D379">
        <f>COUNTIFS(RawData!$C$2:$C$941,"LT",RawData!$R$2:$R$941,"&gt;="&amp;$B379,RawData!$R$2:$R$941,"&lt;"&amp;$C379,RawData!$R$2:$R$941,"&lt;&gt;0")</f>
        <v/>
      </c>
      <c r="E379">
        <f>IF(Config!$G$13=0,0,IF(ABS(($A379-Config!$F$13)/Config!$G$13)&lt;=2,$D379,0))</f>
        <v/>
      </c>
      <c r="F379">
        <f>IF(Config!$G$13=0,0,IF(AND(ABS(($A379-Config!$F$13)/Config!$G$13)&gt;2,ABS(($A379-Config!$F$13)/Config!$G$13)&lt;=3),$D379,0))</f>
        <v/>
      </c>
      <c r="G379">
        <f>IF(Config!$G$13=0,0,IF(ABS(($A379-Config!$F$13)/Config!$G$13)&gt;3,$D379,0))</f>
        <v/>
      </c>
      <c r="H379">
        <f>IFERROR(NORM.DIST($A379,Config!$F$13,Config!$G$13,FALSE)*Config!$D$13*Config!$J$13,0)</f>
        <v/>
      </c>
    </row>
    <row r="380">
      <c r="A380" s="6">
        <f>Config!$K$13+26*Config!$J$13+Config!$J$13/2</f>
        <v/>
      </c>
      <c r="B380" s="6">
        <f>$A380-Config!$J$13/2</f>
        <v/>
      </c>
      <c r="C380" s="6">
        <f>$A380+Config!$J$13/2</f>
        <v/>
      </c>
      <c r="D380" s="6">
        <f>COUNTIFS(RawData!$C$2:$C$941,"LT",RawData!$R$2:$R$941,"&gt;="&amp;$B380,RawData!$R$2:$R$941,"&lt;"&amp;$C380,RawData!$R$2:$R$941,"&lt;&gt;0")</f>
        <v/>
      </c>
      <c r="E380" s="6">
        <f>IF(Config!$G$13=0,0,IF(ABS(($A380-Config!$F$13)/Config!$G$13)&lt;=2,$D380,0))</f>
        <v/>
      </c>
      <c r="F380" s="6">
        <f>IF(Config!$G$13=0,0,IF(AND(ABS(($A380-Config!$F$13)/Config!$G$13)&gt;2,ABS(($A380-Config!$F$13)/Config!$G$13)&lt;=3),$D380,0))</f>
        <v/>
      </c>
      <c r="G380" s="6">
        <f>IF(Config!$G$13=0,0,IF(ABS(($A380-Config!$F$13)/Config!$G$13)&gt;3,$D380,0))</f>
        <v/>
      </c>
      <c r="H380" s="6">
        <f>IFERROR(NORM.DIST($A380,Config!$F$13,Config!$G$13,FALSE)*Config!$D$13*Config!$J$13,0)</f>
        <v/>
      </c>
    </row>
    <row r="381">
      <c r="A381">
        <f>Config!$K$13+27*Config!$J$13+Config!$J$13/2</f>
        <v/>
      </c>
      <c r="B381">
        <f>$A381-Config!$J$13/2</f>
        <v/>
      </c>
      <c r="C381">
        <f>$A381+Config!$J$13/2</f>
        <v/>
      </c>
      <c r="D381">
        <f>COUNTIFS(RawData!$C$2:$C$941,"LT",RawData!$R$2:$R$941,"&gt;="&amp;$B381,RawData!$R$2:$R$941,"&lt;"&amp;$C381,RawData!$R$2:$R$941,"&lt;&gt;0")</f>
        <v/>
      </c>
      <c r="E381">
        <f>IF(Config!$G$13=0,0,IF(ABS(($A381-Config!$F$13)/Config!$G$13)&lt;=2,$D381,0))</f>
        <v/>
      </c>
      <c r="F381">
        <f>IF(Config!$G$13=0,0,IF(AND(ABS(($A381-Config!$F$13)/Config!$G$13)&gt;2,ABS(($A381-Config!$F$13)/Config!$G$13)&lt;=3),$D381,0))</f>
        <v/>
      </c>
      <c r="G381">
        <f>IF(Config!$G$13=0,0,IF(ABS(($A381-Config!$F$13)/Config!$G$13)&gt;3,$D381,0))</f>
        <v/>
      </c>
      <c r="H381">
        <f>IFERROR(NORM.DIST($A381,Config!$F$13,Config!$G$13,FALSE)*Config!$D$13*Config!$J$13,0)</f>
        <v/>
      </c>
    </row>
    <row r="382">
      <c r="A382" s="6">
        <f>Config!$K$13+28*Config!$J$13+Config!$J$13/2</f>
        <v/>
      </c>
      <c r="B382" s="6">
        <f>$A382-Config!$J$13/2</f>
        <v/>
      </c>
      <c r="C382" s="6">
        <f>$A382+Config!$J$13/2</f>
        <v/>
      </c>
      <c r="D382" s="6">
        <f>COUNTIFS(RawData!$C$2:$C$941,"LT",RawData!$R$2:$R$941,"&gt;="&amp;$B382,RawData!$R$2:$R$941,"&lt;"&amp;$C382,RawData!$R$2:$R$941,"&lt;&gt;0")</f>
        <v/>
      </c>
      <c r="E382" s="6">
        <f>IF(Config!$G$13=0,0,IF(ABS(($A382-Config!$F$13)/Config!$G$13)&lt;=2,$D382,0))</f>
        <v/>
      </c>
      <c r="F382" s="6">
        <f>IF(Config!$G$13=0,0,IF(AND(ABS(($A382-Config!$F$13)/Config!$G$13)&gt;2,ABS(($A382-Config!$F$13)/Config!$G$13)&lt;=3),$D382,0))</f>
        <v/>
      </c>
      <c r="G382" s="6">
        <f>IF(Config!$G$13=0,0,IF(ABS(($A382-Config!$F$13)/Config!$G$13)&gt;3,$D382,0))</f>
        <v/>
      </c>
      <c r="H382" s="6">
        <f>IFERROR(NORM.DIST($A382,Config!$F$13,Config!$G$13,FALSE)*Config!$D$13*Config!$J$13,0)</f>
        <v/>
      </c>
    </row>
    <row r="383">
      <c r="A383">
        <f>Config!$K$13+29*Config!$J$13+Config!$J$13/2</f>
        <v/>
      </c>
      <c r="B383">
        <f>$A383-Config!$J$13/2</f>
        <v/>
      </c>
      <c r="C383">
        <f>$A383+Config!$J$13/2</f>
        <v/>
      </c>
      <c r="D383">
        <f>COUNTIFS(RawData!$C$2:$C$941,"LT",RawData!$R$2:$R$941,"&gt;="&amp;$B383,RawData!$R$2:$R$941,"&lt;"&amp;$C383,RawData!$R$2:$R$941,"&lt;&gt;0")</f>
        <v/>
      </c>
      <c r="E383">
        <f>IF(Config!$G$13=0,0,IF(ABS(($A383-Config!$F$13)/Config!$G$13)&lt;=2,$D383,0))</f>
        <v/>
      </c>
      <c r="F383">
        <f>IF(Config!$G$13=0,0,IF(AND(ABS(($A383-Config!$F$13)/Config!$G$13)&gt;2,ABS(($A383-Config!$F$13)/Config!$G$13)&lt;=3),$D383,0))</f>
        <v/>
      </c>
      <c r="G383">
        <f>IF(Config!$G$13=0,0,IF(ABS(($A383-Config!$F$13)/Config!$G$13)&gt;3,$D383,0))</f>
        <v/>
      </c>
      <c r="H383">
        <f>IFERROR(NORM.DIST($A383,Config!$F$13,Config!$G$13,FALSE)*Config!$D$13*Config!$J$13,0)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BinCenter</t>
        </is>
      </c>
      <c r="B1" s="5" t="inlineStr">
        <is>
          <t>BinLo</t>
        </is>
      </c>
      <c r="C1" s="5" t="inlineStr">
        <is>
          <t>BinHi</t>
        </is>
      </c>
      <c r="D1" s="5" t="inlineStr">
        <is>
          <t>TotalCount</t>
        </is>
      </c>
      <c r="E1" s="5" t="inlineStr">
        <is>
          <t>Normal</t>
        </is>
      </c>
      <c r="F1" s="5" t="inlineStr">
        <is>
          <t>Warning(2-3s)</t>
        </is>
      </c>
      <c r="G1" s="5" t="inlineStr">
        <is>
          <t>Outlier(&gt;3s)</t>
        </is>
      </c>
      <c r="H1" s="5" t="inlineStr">
        <is>
          <t>CurveY</t>
        </is>
      </c>
    </row>
    <row r="2">
      <c r="A2" s="6">
        <f>Config!$K$14+0*Config!$J$14+Config!$J$14/2</f>
        <v/>
      </c>
      <c r="B2" s="6">
        <f>$A2-Config!$J$14/2</f>
        <v/>
      </c>
      <c r="C2" s="6">
        <f>$A2+Config!$J$14/2</f>
        <v/>
      </c>
      <c r="D2" s="6">
        <f>COUNTIFS(RawData!$C$2:$C$941,"MT",RawData!$G$2:$G$941,"&gt;="&amp;$B2,RawData!$G$2:$G$941,"&lt;"&amp;$C2,RawData!$G$2:$G$941,"&lt;&gt;0")</f>
        <v/>
      </c>
      <c r="E2" s="6">
        <f>IF(Config!$G$14=0,0,IF(ABS(($A2-Config!$F$14)/Config!$G$14)&lt;=2,$D2,0))</f>
        <v/>
      </c>
      <c r="F2" s="6">
        <f>IF(Config!$G$14=0,0,IF(AND(ABS(($A2-Config!$F$14)/Config!$G$14)&gt;2,ABS(($A2-Config!$F$14)/Config!$G$14)&lt;=3),$D2,0))</f>
        <v/>
      </c>
      <c r="G2" s="6">
        <f>IF(Config!$G$14=0,0,IF(ABS(($A2-Config!$F$14)/Config!$G$14)&gt;3,$D2,0))</f>
        <v/>
      </c>
      <c r="H2" s="6">
        <f>IFERROR(NORM.DIST($A2,Config!$F$14,Config!$G$14,FALSE)*Config!$D$14*Config!$J$14,0)</f>
        <v/>
      </c>
    </row>
    <row r="3">
      <c r="A3">
        <f>Config!$K$14+1*Config!$J$14+Config!$J$14/2</f>
        <v/>
      </c>
      <c r="B3">
        <f>$A3-Config!$J$14/2</f>
        <v/>
      </c>
      <c r="C3">
        <f>$A3+Config!$J$14/2</f>
        <v/>
      </c>
      <c r="D3">
        <f>COUNTIFS(RawData!$C$2:$C$941,"MT",RawData!$G$2:$G$941,"&gt;="&amp;$B3,RawData!$G$2:$G$941,"&lt;"&amp;$C3,RawData!$G$2:$G$941,"&lt;&gt;0")</f>
        <v/>
      </c>
      <c r="E3">
        <f>IF(Config!$G$14=0,0,IF(ABS(($A3-Config!$F$14)/Config!$G$14)&lt;=2,$D3,0))</f>
        <v/>
      </c>
      <c r="F3">
        <f>IF(Config!$G$14=0,0,IF(AND(ABS(($A3-Config!$F$14)/Config!$G$14)&gt;2,ABS(($A3-Config!$F$14)/Config!$G$14)&lt;=3),$D3,0))</f>
        <v/>
      </c>
      <c r="G3">
        <f>IF(Config!$G$14=0,0,IF(ABS(($A3-Config!$F$14)/Config!$G$14)&gt;3,$D3,0))</f>
        <v/>
      </c>
      <c r="H3">
        <f>IFERROR(NORM.DIST($A3,Config!$F$14,Config!$G$14,FALSE)*Config!$D$14*Config!$J$14,0)</f>
        <v/>
      </c>
    </row>
    <row r="4">
      <c r="A4" s="6">
        <f>Config!$K$14+2*Config!$J$14+Config!$J$14/2</f>
        <v/>
      </c>
      <c r="B4" s="6">
        <f>$A4-Config!$J$14/2</f>
        <v/>
      </c>
      <c r="C4" s="6">
        <f>$A4+Config!$J$14/2</f>
        <v/>
      </c>
      <c r="D4" s="6">
        <f>COUNTIFS(RawData!$C$2:$C$941,"MT",RawData!$G$2:$G$941,"&gt;="&amp;$B4,RawData!$G$2:$G$941,"&lt;"&amp;$C4,RawData!$G$2:$G$941,"&lt;&gt;0")</f>
        <v/>
      </c>
      <c r="E4" s="6">
        <f>IF(Config!$G$14=0,0,IF(ABS(($A4-Config!$F$14)/Config!$G$14)&lt;=2,$D4,0))</f>
        <v/>
      </c>
      <c r="F4" s="6">
        <f>IF(Config!$G$14=0,0,IF(AND(ABS(($A4-Config!$F$14)/Config!$G$14)&gt;2,ABS(($A4-Config!$F$14)/Config!$G$14)&lt;=3),$D4,0))</f>
        <v/>
      </c>
      <c r="G4" s="6">
        <f>IF(Config!$G$14=0,0,IF(ABS(($A4-Config!$F$14)/Config!$G$14)&gt;3,$D4,0))</f>
        <v/>
      </c>
      <c r="H4" s="6">
        <f>IFERROR(NORM.DIST($A4,Config!$F$14,Config!$G$14,FALSE)*Config!$D$14*Config!$J$14,0)</f>
        <v/>
      </c>
    </row>
    <row r="5">
      <c r="A5">
        <f>Config!$K$14+3*Config!$J$14+Config!$J$14/2</f>
        <v/>
      </c>
      <c r="B5">
        <f>$A5-Config!$J$14/2</f>
        <v/>
      </c>
      <c r="C5">
        <f>$A5+Config!$J$14/2</f>
        <v/>
      </c>
      <c r="D5">
        <f>COUNTIFS(RawData!$C$2:$C$941,"MT",RawData!$G$2:$G$941,"&gt;="&amp;$B5,RawData!$G$2:$G$941,"&lt;"&amp;$C5,RawData!$G$2:$G$941,"&lt;&gt;0")</f>
        <v/>
      </c>
      <c r="E5">
        <f>IF(Config!$G$14=0,0,IF(ABS(($A5-Config!$F$14)/Config!$G$14)&lt;=2,$D5,0))</f>
        <v/>
      </c>
      <c r="F5">
        <f>IF(Config!$G$14=0,0,IF(AND(ABS(($A5-Config!$F$14)/Config!$G$14)&gt;2,ABS(($A5-Config!$F$14)/Config!$G$14)&lt;=3),$D5,0))</f>
        <v/>
      </c>
      <c r="G5">
        <f>IF(Config!$G$14=0,0,IF(ABS(($A5-Config!$F$14)/Config!$G$14)&gt;3,$D5,0))</f>
        <v/>
      </c>
      <c r="H5">
        <f>IFERROR(NORM.DIST($A5,Config!$F$14,Config!$G$14,FALSE)*Config!$D$14*Config!$J$14,0)</f>
        <v/>
      </c>
    </row>
    <row r="6">
      <c r="A6" s="6">
        <f>Config!$K$14+4*Config!$J$14+Config!$J$14/2</f>
        <v/>
      </c>
      <c r="B6" s="6">
        <f>$A6-Config!$J$14/2</f>
        <v/>
      </c>
      <c r="C6" s="6">
        <f>$A6+Config!$J$14/2</f>
        <v/>
      </c>
      <c r="D6" s="6">
        <f>COUNTIFS(RawData!$C$2:$C$941,"MT",RawData!$G$2:$G$941,"&gt;="&amp;$B6,RawData!$G$2:$G$941,"&lt;"&amp;$C6,RawData!$G$2:$G$941,"&lt;&gt;0")</f>
        <v/>
      </c>
      <c r="E6" s="6">
        <f>IF(Config!$G$14=0,0,IF(ABS(($A6-Config!$F$14)/Config!$G$14)&lt;=2,$D6,0))</f>
        <v/>
      </c>
      <c r="F6" s="6">
        <f>IF(Config!$G$14=0,0,IF(AND(ABS(($A6-Config!$F$14)/Config!$G$14)&gt;2,ABS(($A6-Config!$F$14)/Config!$G$14)&lt;=3),$D6,0))</f>
        <v/>
      </c>
      <c r="G6" s="6">
        <f>IF(Config!$G$14=0,0,IF(ABS(($A6-Config!$F$14)/Config!$G$14)&gt;3,$D6,0))</f>
        <v/>
      </c>
      <c r="H6" s="6">
        <f>IFERROR(NORM.DIST($A6,Config!$F$14,Config!$G$14,FALSE)*Config!$D$14*Config!$J$14,0)</f>
        <v/>
      </c>
    </row>
    <row r="7">
      <c r="A7">
        <f>Config!$K$14+5*Config!$J$14+Config!$J$14/2</f>
        <v/>
      </c>
      <c r="B7">
        <f>$A7-Config!$J$14/2</f>
        <v/>
      </c>
      <c r="C7">
        <f>$A7+Config!$J$14/2</f>
        <v/>
      </c>
      <c r="D7">
        <f>COUNTIFS(RawData!$C$2:$C$941,"MT",RawData!$G$2:$G$941,"&gt;="&amp;$B7,RawData!$G$2:$G$941,"&lt;"&amp;$C7,RawData!$G$2:$G$941,"&lt;&gt;0")</f>
        <v/>
      </c>
      <c r="E7">
        <f>IF(Config!$G$14=0,0,IF(ABS(($A7-Config!$F$14)/Config!$G$14)&lt;=2,$D7,0))</f>
        <v/>
      </c>
      <c r="F7">
        <f>IF(Config!$G$14=0,0,IF(AND(ABS(($A7-Config!$F$14)/Config!$G$14)&gt;2,ABS(($A7-Config!$F$14)/Config!$G$14)&lt;=3),$D7,0))</f>
        <v/>
      </c>
      <c r="G7">
        <f>IF(Config!$G$14=0,0,IF(ABS(($A7-Config!$F$14)/Config!$G$14)&gt;3,$D7,0))</f>
        <v/>
      </c>
      <c r="H7">
        <f>IFERROR(NORM.DIST($A7,Config!$F$14,Config!$G$14,FALSE)*Config!$D$14*Config!$J$14,0)</f>
        <v/>
      </c>
    </row>
    <row r="8">
      <c r="A8" s="6">
        <f>Config!$K$14+6*Config!$J$14+Config!$J$14/2</f>
        <v/>
      </c>
      <c r="B8" s="6">
        <f>$A8-Config!$J$14/2</f>
        <v/>
      </c>
      <c r="C8" s="6">
        <f>$A8+Config!$J$14/2</f>
        <v/>
      </c>
      <c r="D8" s="6">
        <f>COUNTIFS(RawData!$C$2:$C$941,"MT",RawData!$G$2:$G$941,"&gt;="&amp;$B8,RawData!$G$2:$G$941,"&lt;"&amp;$C8,RawData!$G$2:$G$941,"&lt;&gt;0")</f>
        <v/>
      </c>
      <c r="E8" s="6">
        <f>IF(Config!$G$14=0,0,IF(ABS(($A8-Config!$F$14)/Config!$G$14)&lt;=2,$D8,0))</f>
        <v/>
      </c>
      <c r="F8" s="6">
        <f>IF(Config!$G$14=0,0,IF(AND(ABS(($A8-Config!$F$14)/Config!$G$14)&gt;2,ABS(($A8-Config!$F$14)/Config!$G$14)&lt;=3),$D8,0))</f>
        <v/>
      </c>
      <c r="G8" s="6">
        <f>IF(Config!$G$14=0,0,IF(ABS(($A8-Config!$F$14)/Config!$G$14)&gt;3,$D8,0))</f>
        <v/>
      </c>
      <c r="H8" s="6">
        <f>IFERROR(NORM.DIST($A8,Config!$F$14,Config!$G$14,FALSE)*Config!$D$14*Config!$J$14,0)</f>
        <v/>
      </c>
    </row>
    <row r="9">
      <c r="A9">
        <f>Config!$K$14+7*Config!$J$14+Config!$J$14/2</f>
        <v/>
      </c>
      <c r="B9">
        <f>$A9-Config!$J$14/2</f>
        <v/>
      </c>
      <c r="C9">
        <f>$A9+Config!$J$14/2</f>
        <v/>
      </c>
      <c r="D9">
        <f>COUNTIFS(RawData!$C$2:$C$941,"MT",RawData!$G$2:$G$941,"&gt;="&amp;$B9,RawData!$G$2:$G$941,"&lt;"&amp;$C9,RawData!$G$2:$G$941,"&lt;&gt;0")</f>
        <v/>
      </c>
      <c r="E9">
        <f>IF(Config!$G$14=0,0,IF(ABS(($A9-Config!$F$14)/Config!$G$14)&lt;=2,$D9,0))</f>
        <v/>
      </c>
      <c r="F9">
        <f>IF(Config!$G$14=0,0,IF(AND(ABS(($A9-Config!$F$14)/Config!$G$14)&gt;2,ABS(($A9-Config!$F$14)/Config!$G$14)&lt;=3),$D9,0))</f>
        <v/>
      </c>
      <c r="G9">
        <f>IF(Config!$G$14=0,0,IF(ABS(($A9-Config!$F$14)/Config!$G$14)&gt;3,$D9,0))</f>
        <v/>
      </c>
      <c r="H9">
        <f>IFERROR(NORM.DIST($A9,Config!$F$14,Config!$G$14,FALSE)*Config!$D$14*Config!$J$14,0)</f>
        <v/>
      </c>
    </row>
    <row r="10">
      <c r="A10" s="6">
        <f>Config!$K$14+8*Config!$J$14+Config!$J$14/2</f>
        <v/>
      </c>
      <c r="B10" s="6">
        <f>$A10-Config!$J$14/2</f>
        <v/>
      </c>
      <c r="C10" s="6">
        <f>$A10+Config!$J$14/2</f>
        <v/>
      </c>
      <c r="D10" s="6">
        <f>COUNTIFS(RawData!$C$2:$C$941,"MT",RawData!$G$2:$G$941,"&gt;="&amp;$B10,RawData!$G$2:$G$941,"&lt;"&amp;$C10,RawData!$G$2:$G$941,"&lt;&gt;0")</f>
        <v/>
      </c>
      <c r="E10" s="6">
        <f>IF(Config!$G$14=0,0,IF(ABS(($A10-Config!$F$14)/Config!$G$14)&lt;=2,$D10,0))</f>
        <v/>
      </c>
      <c r="F10" s="6">
        <f>IF(Config!$G$14=0,0,IF(AND(ABS(($A10-Config!$F$14)/Config!$G$14)&gt;2,ABS(($A10-Config!$F$14)/Config!$G$14)&lt;=3),$D10,0))</f>
        <v/>
      </c>
      <c r="G10" s="6">
        <f>IF(Config!$G$14=0,0,IF(ABS(($A10-Config!$F$14)/Config!$G$14)&gt;3,$D10,0))</f>
        <v/>
      </c>
      <c r="H10" s="6">
        <f>IFERROR(NORM.DIST($A10,Config!$F$14,Config!$G$14,FALSE)*Config!$D$14*Config!$J$14,0)</f>
        <v/>
      </c>
    </row>
    <row r="11">
      <c r="A11">
        <f>Config!$K$14+9*Config!$J$14+Config!$J$14/2</f>
        <v/>
      </c>
      <c r="B11">
        <f>$A11-Config!$J$14/2</f>
        <v/>
      </c>
      <c r="C11">
        <f>$A11+Config!$J$14/2</f>
        <v/>
      </c>
      <c r="D11">
        <f>COUNTIFS(RawData!$C$2:$C$941,"MT",RawData!$G$2:$G$941,"&gt;="&amp;$B11,RawData!$G$2:$G$941,"&lt;"&amp;$C11,RawData!$G$2:$G$941,"&lt;&gt;0")</f>
        <v/>
      </c>
      <c r="E11">
        <f>IF(Config!$G$14=0,0,IF(ABS(($A11-Config!$F$14)/Config!$G$14)&lt;=2,$D11,0))</f>
        <v/>
      </c>
      <c r="F11">
        <f>IF(Config!$G$14=0,0,IF(AND(ABS(($A11-Config!$F$14)/Config!$G$14)&gt;2,ABS(($A11-Config!$F$14)/Config!$G$14)&lt;=3),$D11,0))</f>
        <v/>
      </c>
      <c r="G11">
        <f>IF(Config!$G$14=0,0,IF(ABS(($A11-Config!$F$14)/Config!$G$14)&gt;3,$D11,0))</f>
        <v/>
      </c>
      <c r="H11">
        <f>IFERROR(NORM.DIST($A11,Config!$F$14,Config!$G$14,FALSE)*Config!$D$14*Config!$J$14,0)</f>
        <v/>
      </c>
    </row>
    <row r="12">
      <c r="A12" s="6">
        <f>Config!$K$14+10*Config!$J$14+Config!$J$14/2</f>
        <v/>
      </c>
      <c r="B12" s="6">
        <f>$A12-Config!$J$14/2</f>
        <v/>
      </c>
      <c r="C12" s="6">
        <f>$A12+Config!$J$14/2</f>
        <v/>
      </c>
      <c r="D12" s="6">
        <f>COUNTIFS(RawData!$C$2:$C$941,"MT",RawData!$G$2:$G$941,"&gt;="&amp;$B12,RawData!$G$2:$G$941,"&lt;"&amp;$C12,RawData!$G$2:$G$941,"&lt;&gt;0")</f>
        <v/>
      </c>
      <c r="E12" s="6">
        <f>IF(Config!$G$14=0,0,IF(ABS(($A12-Config!$F$14)/Config!$G$14)&lt;=2,$D12,0))</f>
        <v/>
      </c>
      <c r="F12" s="6">
        <f>IF(Config!$G$14=0,0,IF(AND(ABS(($A12-Config!$F$14)/Config!$G$14)&gt;2,ABS(($A12-Config!$F$14)/Config!$G$14)&lt;=3),$D12,0))</f>
        <v/>
      </c>
      <c r="G12" s="6">
        <f>IF(Config!$G$14=0,0,IF(ABS(($A12-Config!$F$14)/Config!$G$14)&gt;3,$D12,0))</f>
        <v/>
      </c>
      <c r="H12" s="6">
        <f>IFERROR(NORM.DIST($A12,Config!$F$14,Config!$G$14,FALSE)*Config!$D$14*Config!$J$14,0)</f>
        <v/>
      </c>
    </row>
    <row r="13">
      <c r="A13">
        <f>Config!$K$14+11*Config!$J$14+Config!$J$14/2</f>
        <v/>
      </c>
      <c r="B13">
        <f>$A13-Config!$J$14/2</f>
        <v/>
      </c>
      <c r="C13">
        <f>$A13+Config!$J$14/2</f>
        <v/>
      </c>
      <c r="D13">
        <f>COUNTIFS(RawData!$C$2:$C$941,"MT",RawData!$G$2:$G$941,"&gt;="&amp;$B13,RawData!$G$2:$G$941,"&lt;"&amp;$C13,RawData!$G$2:$G$941,"&lt;&gt;0")</f>
        <v/>
      </c>
      <c r="E13">
        <f>IF(Config!$G$14=0,0,IF(ABS(($A13-Config!$F$14)/Config!$G$14)&lt;=2,$D13,0))</f>
        <v/>
      </c>
      <c r="F13">
        <f>IF(Config!$G$14=0,0,IF(AND(ABS(($A13-Config!$F$14)/Config!$G$14)&gt;2,ABS(($A13-Config!$F$14)/Config!$G$14)&lt;=3),$D13,0))</f>
        <v/>
      </c>
      <c r="G13">
        <f>IF(Config!$G$14=0,0,IF(ABS(($A13-Config!$F$14)/Config!$G$14)&gt;3,$D13,0))</f>
        <v/>
      </c>
      <c r="H13">
        <f>IFERROR(NORM.DIST($A13,Config!$F$14,Config!$G$14,FALSE)*Config!$D$14*Config!$J$14,0)</f>
        <v/>
      </c>
    </row>
    <row r="14">
      <c r="A14" s="6">
        <f>Config!$K$14+12*Config!$J$14+Config!$J$14/2</f>
        <v/>
      </c>
      <c r="B14" s="6">
        <f>$A14-Config!$J$14/2</f>
        <v/>
      </c>
      <c r="C14" s="6">
        <f>$A14+Config!$J$14/2</f>
        <v/>
      </c>
      <c r="D14" s="6">
        <f>COUNTIFS(RawData!$C$2:$C$941,"MT",RawData!$G$2:$G$941,"&gt;="&amp;$B14,RawData!$G$2:$G$941,"&lt;"&amp;$C14,RawData!$G$2:$G$941,"&lt;&gt;0")</f>
        <v/>
      </c>
      <c r="E14" s="6">
        <f>IF(Config!$G$14=0,0,IF(ABS(($A14-Config!$F$14)/Config!$G$14)&lt;=2,$D14,0))</f>
        <v/>
      </c>
      <c r="F14" s="6">
        <f>IF(Config!$G$14=0,0,IF(AND(ABS(($A14-Config!$F$14)/Config!$G$14)&gt;2,ABS(($A14-Config!$F$14)/Config!$G$14)&lt;=3),$D14,0))</f>
        <v/>
      </c>
      <c r="G14" s="6">
        <f>IF(Config!$G$14=0,0,IF(ABS(($A14-Config!$F$14)/Config!$G$14)&gt;3,$D14,0))</f>
        <v/>
      </c>
      <c r="H14" s="6">
        <f>IFERROR(NORM.DIST($A14,Config!$F$14,Config!$G$14,FALSE)*Config!$D$14*Config!$J$14,0)</f>
        <v/>
      </c>
    </row>
    <row r="15">
      <c r="A15">
        <f>Config!$K$14+13*Config!$J$14+Config!$J$14/2</f>
        <v/>
      </c>
      <c r="B15">
        <f>$A15-Config!$J$14/2</f>
        <v/>
      </c>
      <c r="C15">
        <f>$A15+Config!$J$14/2</f>
        <v/>
      </c>
      <c r="D15">
        <f>COUNTIFS(RawData!$C$2:$C$941,"MT",RawData!$G$2:$G$941,"&gt;="&amp;$B15,RawData!$G$2:$G$941,"&lt;"&amp;$C15,RawData!$G$2:$G$941,"&lt;&gt;0")</f>
        <v/>
      </c>
      <c r="E15">
        <f>IF(Config!$G$14=0,0,IF(ABS(($A15-Config!$F$14)/Config!$G$14)&lt;=2,$D15,0))</f>
        <v/>
      </c>
      <c r="F15">
        <f>IF(Config!$G$14=0,0,IF(AND(ABS(($A15-Config!$F$14)/Config!$G$14)&gt;2,ABS(($A15-Config!$F$14)/Config!$G$14)&lt;=3),$D15,0))</f>
        <v/>
      </c>
      <c r="G15">
        <f>IF(Config!$G$14=0,0,IF(ABS(($A15-Config!$F$14)/Config!$G$14)&gt;3,$D15,0))</f>
        <v/>
      </c>
      <c r="H15">
        <f>IFERROR(NORM.DIST($A15,Config!$F$14,Config!$G$14,FALSE)*Config!$D$14*Config!$J$14,0)</f>
        <v/>
      </c>
    </row>
    <row r="16">
      <c r="A16" s="6">
        <f>Config!$K$14+14*Config!$J$14+Config!$J$14/2</f>
        <v/>
      </c>
      <c r="B16" s="6">
        <f>$A16-Config!$J$14/2</f>
        <v/>
      </c>
      <c r="C16" s="6">
        <f>$A16+Config!$J$14/2</f>
        <v/>
      </c>
      <c r="D16" s="6">
        <f>COUNTIFS(RawData!$C$2:$C$941,"MT",RawData!$G$2:$G$941,"&gt;="&amp;$B16,RawData!$G$2:$G$941,"&lt;"&amp;$C16,RawData!$G$2:$G$941,"&lt;&gt;0")</f>
        <v/>
      </c>
      <c r="E16" s="6">
        <f>IF(Config!$G$14=0,0,IF(ABS(($A16-Config!$F$14)/Config!$G$14)&lt;=2,$D16,0))</f>
        <v/>
      </c>
      <c r="F16" s="6">
        <f>IF(Config!$G$14=0,0,IF(AND(ABS(($A16-Config!$F$14)/Config!$G$14)&gt;2,ABS(($A16-Config!$F$14)/Config!$G$14)&lt;=3),$D16,0))</f>
        <v/>
      </c>
      <c r="G16" s="6">
        <f>IF(Config!$G$14=0,0,IF(ABS(($A16-Config!$F$14)/Config!$G$14)&gt;3,$D16,0))</f>
        <v/>
      </c>
      <c r="H16" s="6">
        <f>IFERROR(NORM.DIST($A16,Config!$F$14,Config!$G$14,FALSE)*Config!$D$14*Config!$J$14,0)</f>
        <v/>
      </c>
    </row>
    <row r="17">
      <c r="A17">
        <f>Config!$K$14+15*Config!$J$14+Config!$J$14/2</f>
        <v/>
      </c>
      <c r="B17">
        <f>$A17-Config!$J$14/2</f>
        <v/>
      </c>
      <c r="C17">
        <f>$A17+Config!$J$14/2</f>
        <v/>
      </c>
      <c r="D17">
        <f>COUNTIFS(RawData!$C$2:$C$941,"MT",RawData!$G$2:$G$941,"&gt;="&amp;$B17,RawData!$G$2:$G$941,"&lt;"&amp;$C17,RawData!$G$2:$G$941,"&lt;&gt;0")</f>
        <v/>
      </c>
      <c r="E17">
        <f>IF(Config!$G$14=0,0,IF(ABS(($A17-Config!$F$14)/Config!$G$14)&lt;=2,$D17,0))</f>
        <v/>
      </c>
      <c r="F17">
        <f>IF(Config!$G$14=0,0,IF(AND(ABS(($A17-Config!$F$14)/Config!$G$14)&gt;2,ABS(($A17-Config!$F$14)/Config!$G$14)&lt;=3),$D17,0))</f>
        <v/>
      </c>
      <c r="G17">
        <f>IF(Config!$G$14=0,0,IF(ABS(($A17-Config!$F$14)/Config!$G$14)&gt;3,$D17,0))</f>
        <v/>
      </c>
      <c r="H17">
        <f>IFERROR(NORM.DIST($A17,Config!$F$14,Config!$G$14,FALSE)*Config!$D$14*Config!$J$14,0)</f>
        <v/>
      </c>
    </row>
    <row r="18">
      <c r="A18" s="6">
        <f>Config!$K$14+16*Config!$J$14+Config!$J$14/2</f>
        <v/>
      </c>
      <c r="B18" s="6">
        <f>$A18-Config!$J$14/2</f>
        <v/>
      </c>
      <c r="C18" s="6">
        <f>$A18+Config!$J$14/2</f>
        <v/>
      </c>
      <c r="D18" s="6">
        <f>COUNTIFS(RawData!$C$2:$C$941,"MT",RawData!$G$2:$G$941,"&gt;="&amp;$B18,RawData!$G$2:$G$941,"&lt;"&amp;$C18,RawData!$G$2:$G$941,"&lt;&gt;0")</f>
        <v/>
      </c>
      <c r="E18" s="6">
        <f>IF(Config!$G$14=0,0,IF(ABS(($A18-Config!$F$14)/Config!$G$14)&lt;=2,$D18,0))</f>
        <v/>
      </c>
      <c r="F18" s="6">
        <f>IF(Config!$G$14=0,0,IF(AND(ABS(($A18-Config!$F$14)/Config!$G$14)&gt;2,ABS(($A18-Config!$F$14)/Config!$G$14)&lt;=3),$D18,0))</f>
        <v/>
      </c>
      <c r="G18" s="6">
        <f>IF(Config!$G$14=0,0,IF(ABS(($A18-Config!$F$14)/Config!$G$14)&gt;3,$D18,0))</f>
        <v/>
      </c>
      <c r="H18" s="6">
        <f>IFERROR(NORM.DIST($A18,Config!$F$14,Config!$G$14,FALSE)*Config!$D$14*Config!$J$14,0)</f>
        <v/>
      </c>
    </row>
    <row r="19">
      <c r="A19">
        <f>Config!$K$14+17*Config!$J$14+Config!$J$14/2</f>
        <v/>
      </c>
      <c r="B19">
        <f>$A19-Config!$J$14/2</f>
        <v/>
      </c>
      <c r="C19">
        <f>$A19+Config!$J$14/2</f>
        <v/>
      </c>
      <c r="D19">
        <f>COUNTIFS(RawData!$C$2:$C$941,"MT",RawData!$G$2:$G$941,"&gt;="&amp;$B19,RawData!$G$2:$G$941,"&lt;"&amp;$C19,RawData!$G$2:$G$941,"&lt;&gt;0")</f>
        <v/>
      </c>
      <c r="E19">
        <f>IF(Config!$G$14=0,0,IF(ABS(($A19-Config!$F$14)/Config!$G$14)&lt;=2,$D19,0))</f>
        <v/>
      </c>
      <c r="F19">
        <f>IF(Config!$G$14=0,0,IF(AND(ABS(($A19-Config!$F$14)/Config!$G$14)&gt;2,ABS(($A19-Config!$F$14)/Config!$G$14)&lt;=3),$D19,0))</f>
        <v/>
      </c>
      <c r="G19">
        <f>IF(Config!$G$14=0,0,IF(ABS(($A19-Config!$F$14)/Config!$G$14)&gt;3,$D19,0))</f>
        <v/>
      </c>
      <c r="H19">
        <f>IFERROR(NORM.DIST($A19,Config!$F$14,Config!$G$14,FALSE)*Config!$D$14*Config!$J$14,0)</f>
        <v/>
      </c>
    </row>
    <row r="20">
      <c r="A20" s="6">
        <f>Config!$K$14+18*Config!$J$14+Config!$J$14/2</f>
        <v/>
      </c>
      <c r="B20" s="6">
        <f>$A20-Config!$J$14/2</f>
        <v/>
      </c>
      <c r="C20" s="6">
        <f>$A20+Config!$J$14/2</f>
        <v/>
      </c>
      <c r="D20" s="6">
        <f>COUNTIFS(RawData!$C$2:$C$941,"MT",RawData!$G$2:$G$941,"&gt;="&amp;$B20,RawData!$G$2:$G$941,"&lt;"&amp;$C20,RawData!$G$2:$G$941,"&lt;&gt;0")</f>
        <v/>
      </c>
      <c r="E20" s="6">
        <f>IF(Config!$G$14=0,0,IF(ABS(($A20-Config!$F$14)/Config!$G$14)&lt;=2,$D20,0))</f>
        <v/>
      </c>
      <c r="F20" s="6">
        <f>IF(Config!$G$14=0,0,IF(AND(ABS(($A20-Config!$F$14)/Config!$G$14)&gt;2,ABS(($A20-Config!$F$14)/Config!$G$14)&lt;=3),$D20,0))</f>
        <v/>
      </c>
      <c r="G20" s="6">
        <f>IF(Config!$G$14=0,0,IF(ABS(($A20-Config!$F$14)/Config!$G$14)&gt;3,$D20,0))</f>
        <v/>
      </c>
      <c r="H20" s="6">
        <f>IFERROR(NORM.DIST($A20,Config!$F$14,Config!$G$14,FALSE)*Config!$D$14*Config!$J$14,0)</f>
        <v/>
      </c>
    </row>
    <row r="21">
      <c r="A21">
        <f>Config!$K$14+19*Config!$J$14+Config!$J$14/2</f>
        <v/>
      </c>
      <c r="B21">
        <f>$A21-Config!$J$14/2</f>
        <v/>
      </c>
      <c r="C21">
        <f>$A21+Config!$J$14/2</f>
        <v/>
      </c>
      <c r="D21">
        <f>COUNTIFS(RawData!$C$2:$C$941,"MT",RawData!$G$2:$G$941,"&gt;="&amp;$B21,RawData!$G$2:$G$941,"&lt;"&amp;$C21,RawData!$G$2:$G$941,"&lt;&gt;0")</f>
        <v/>
      </c>
      <c r="E21">
        <f>IF(Config!$G$14=0,0,IF(ABS(($A21-Config!$F$14)/Config!$G$14)&lt;=2,$D21,0))</f>
        <v/>
      </c>
      <c r="F21">
        <f>IF(Config!$G$14=0,0,IF(AND(ABS(($A21-Config!$F$14)/Config!$G$14)&gt;2,ABS(($A21-Config!$F$14)/Config!$G$14)&lt;=3),$D21,0))</f>
        <v/>
      </c>
      <c r="G21">
        <f>IF(Config!$G$14=0,0,IF(ABS(($A21-Config!$F$14)/Config!$G$14)&gt;3,$D21,0))</f>
        <v/>
      </c>
      <c r="H21">
        <f>IFERROR(NORM.DIST($A21,Config!$F$14,Config!$G$14,FALSE)*Config!$D$14*Config!$J$14,0)</f>
        <v/>
      </c>
    </row>
    <row r="22">
      <c r="A22" s="6">
        <f>Config!$K$14+20*Config!$J$14+Config!$J$14/2</f>
        <v/>
      </c>
      <c r="B22" s="6">
        <f>$A22-Config!$J$14/2</f>
        <v/>
      </c>
      <c r="C22" s="6">
        <f>$A22+Config!$J$14/2</f>
        <v/>
      </c>
      <c r="D22" s="6">
        <f>COUNTIFS(RawData!$C$2:$C$941,"MT",RawData!$G$2:$G$941,"&gt;="&amp;$B22,RawData!$G$2:$G$941,"&lt;"&amp;$C22,RawData!$G$2:$G$941,"&lt;&gt;0")</f>
        <v/>
      </c>
      <c r="E22" s="6">
        <f>IF(Config!$G$14=0,0,IF(ABS(($A22-Config!$F$14)/Config!$G$14)&lt;=2,$D22,0))</f>
        <v/>
      </c>
      <c r="F22" s="6">
        <f>IF(Config!$G$14=0,0,IF(AND(ABS(($A22-Config!$F$14)/Config!$G$14)&gt;2,ABS(($A22-Config!$F$14)/Config!$G$14)&lt;=3),$D22,0))</f>
        <v/>
      </c>
      <c r="G22" s="6">
        <f>IF(Config!$G$14=0,0,IF(ABS(($A22-Config!$F$14)/Config!$G$14)&gt;3,$D22,0))</f>
        <v/>
      </c>
      <c r="H22" s="6">
        <f>IFERROR(NORM.DIST($A22,Config!$F$14,Config!$G$14,FALSE)*Config!$D$14*Config!$J$14,0)</f>
        <v/>
      </c>
    </row>
    <row r="23">
      <c r="A23">
        <f>Config!$K$14+21*Config!$J$14+Config!$J$14/2</f>
        <v/>
      </c>
      <c r="B23">
        <f>$A23-Config!$J$14/2</f>
        <v/>
      </c>
      <c r="C23">
        <f>$A23+Config!$J$14/2</f>
        <v/>
      </c>
      <c r="D23">
        <f>COUNTIFS(RawData!$C$2:$C$941,"MT",RawData!$G$2:$G$941,"&gt;="&amp;$B23,RawData!$G$2:$G$941,"&lt;"&amp;$C23,RawData!$G$2:$G$941,"&lt;&gt;0")</f>
        <v/>
      </c>
      <c r="E23">
        <f>IF(Config!$G$14=0,0,IF(ABS(($A23-Config!$F$14)/Config!$G$14)&lt;=2,$D23,0))</f>
        <v/>
      </c>
      <c r="F23">
        <f>IF(Config!$G$14=0,0,IF(AND(ABS(($A23-Config!$F$14)/Config!$G$14)&gt;2,ABS(($A23-Config!$F$14)/Config!$G$14)&lt;=3),$D23,0))</f>
        <v/>
      </c>
      <c r="G23">
        <f>IF(Config!$G$14=0,0,IF(ABS(($A23-Config!$F$14)/Config!$G$14)&gt;3,$D23,0))</f>
        <v/>
      </c>
      <c r="H23">
        <f>IFERROR(NORM.DIST($A23,Config!$F$14,Config!$G$14,FALSE)*Config!$D$14*Config!$J$14,0)</f>
        <v/>
      </c>
    </row>
    <row r="24">
      <c r="A24" s="6">
        <f>Config!$K$14+22*Config!$J$14+Config!$J$14/2</f>
        <v/>
      </c>
      <c r="B24" s="6">
        <f>$A24-Config!$J$14/2</f>
        <v/>
      </c>
      <c r="C24" s="6">
        <f>$A24+Config!$J$14/2</f>
        <v/>
      </c>
      <c r="D24" s="6">
        <f>COUNTIFS(RawData!$C$2:$C$941,"MT",RawData!$G$2:$G$941,"&gt;="&amp;$B24,RawData!$G$2:$G$941,"&lt;"&amp;$C24,RawData!$G$2:$G$941,"&lt;&gt;0")</f>
        <v/>
      </c>
      <c r="E24" s="6">
        <f>IF(Config!$G$14=0,0,IF(ABS(($A24-Config!$F$14)/Config!$G$14)&lt;=2,$D24,0))</f>
        <v/>
      </c>
      <c r="F24" s="6">
        <f>IF(Config!$G$14=0,0,IF(AND(ABS(($A24-Config!$F$14)/Config!$G$14)&gt;2,ABS(($A24-Config!$F$14)/Config!$G$14)&lt;=3),$D24,0))</f>
        <v/>
      </c>
      <c r="G24" s="6">
        <f>IF(Config!$G$14=0,0,IF(ABS(($A24-Config!$F$14)/Config!$G$14)&gt;3,$D24,0))</f>
        <v/>
      </c>
      <c r="H24" s="6">
        <f>IFERROR(NORM.DIST($A24,Config!$F$14,Config!$G$14,FALSE)*Config!$D$14*Config!$J$14,0)</f>
        <v/>
      </c>
    </row>
    <row r="25">
      <c r="A25">
        <f>Config!$K$14+23*Config!$J$14+Config!$J$14/2</f>
        <v/>
      </c>
      <c r="B25">
        <f>$A25-Config!$J$14/2</f>
        <v/>
      </c>
      <c r="C25">
        <f>$A25+Config!$J$14/2</f>
        <v/>
      </c>
      <c r="D25">
        <f>COUNTIFS(RawData!$C$2:$C$941,"MT",RawData!$G$2:$G$941,"&gt;="&amp;$B25,RawData!$G$2:$G$941,"&lt;"&amp;$C25,RawData!$G$2:$G$941,"&lt;&gt;0")</f>
        <v/>
      </c>
      <c r="E25">
        <f>IF(Config!$G$14=0,0,IF(ABS(($A25-Config!$F$14)/Config!$G$14)&lt;=2,$D25,0))</f>
        <v/>
      </c>
      <c r="F25">
        <f>IF(Config!$G$14=0,0,IF(AND(ABS(($A25-Config!$F$14)/Config!$G$14)&gt;2,ABS(($A25-Config!$F$14)/Config!$G$14)&lt;=3),$D25,0))</f>
        <v/>
      </c>
      <c r="G25">
        <f>IF(Config!$G$14=0,0,IF(ABS(($A25-Config!$F$14)/Config!$G$14)&gt;3,$D25,0))</f>
        <v/>
      </c>
      <c r="H25">
        <f>IFERROR(NORM.DIST($A25,Config!$F$14,Config!$G$14,FALSE)*Config!$D$14*Config!$J$14,0)</f>
        <v/>
      </c>
    </row>
    <row r="26">
      <c r="A26" s="6">
        <f>Config!$K$14+24*Config!$J$14+Config!$J$14/2</f>
        <v/>
      </c>
      <c r="B26" s="6">
        <f>$A26-Config!$J$14/2</f>
        <v/>
      </c>
      <c r="C26" s="6">
        <f>$A26+Config!$J$14/2</f>
        <v/>
      </c>
      <c r="D26" s="6">
        <f>COUNTIFS(RawData!$C$2:$C$941,"MT",RawData!$G$2:$G$941,"&gt;="&amp;$B26,RawData!$G$2:$G$941,"&lt;"&amp;$C26,RawData!$G$2:$G$941,"&lt;&gt;0")</f>
        <v/>
      </c>
      <c r="E26" s="6">
        <f>IF(Config!$G$14=0,0,IF(ABS(($A26-Config!$F$14)/Config!$G$14)&lt;=2,$D26,0))</f>
        <v/>
      </c>
      <c r="F26" s="6">
        <f>IF(Config!$G$14=0,0,IF(AND(ABS(($A26-Config!$F$14)/Config!$G$14)&gt;2,ABS(($A26-Config!$F$14)/Config!$G$14)&lt;=3),$D26,0))</f>
        <v/>
      </c>
      <c r="G26" s="6">
        <f>IF(Config!$G$14=0,0,IF(ABS(($A26-Config!$F$14)/Config!$G$14)&gt;3,$D26,0))</f>
        <v/>
      </c>
      <c r="H26" s="6">
        <f>IFERROR(NORM.DIST($A26,Config!$F$14,Config!$G$14,FALSE)*Config!$D$14*Config!$J$14,0)</f>
        <v/>
      </c>
    </row>
    <row r="27">
      <c r="A27">
        <f>Config!$K$14+25*Config!$J$14+Config!$J$14/2</f>
        <v/>
      </c>
      <c r="B27">
        <f>$A27-Config!$J$14/2</f>
        <v/>
      </c>
      <c r="C27">
        <f>$A27+Config!$J$14/2</f>
        <v/>
      </c>
      <c r="D27">
        <f>COUNTIFS(RawData!$C$2:$C$941,"MT",RawData!$G$2:$G$941,"&gt;="&amp;$B27,RawData!$G$2:$G$941,"&lt;"&amp;$C27,RawData!$G$2:$G$941,"&lt;&gt;0")</f>
        <v/>
      </c>
      <c r="E27">
        <f>IF(Config!$G$14=0,0,IF(ABS(($A27-Config!$F$14)/Config!$G$14)&lt;=2,$D27,0))</f>
        <v/>
      </c>
      <c r="F27">
        <f>IF(Config!$G$14=0,0,IF(AND(ABS(($A27-Config!$F$14)/Config!$G$14)&gt;2,ABS(($A27-Config!$F$14)/Config!$G$14)&lt;=3),$D27,0))</f>
        <v/>
      </c>
      <c r="G27">
        <f>IF(Config!$G$14=0,0,IF(ABS(($A27-Config!$F$14)/Config!$G$14)&gt;3,$D27,0))</f>
        <v/>
      </c>
      <c r="H27">
        <f>IFERROR(NORM.DIST($A27,Config!$F$14,Config!$G$14,FALSE)*Config!$D$14*Config!$J$14,0)</f>
        <v/>
      </c>
    </row>
    <row r="28">
      <c r="A28" s="6">
        <f>Config!$K$14+26*Config!$J$14+Config!$J$14/2</f>
        <v/>
      </c>
      <c r="B28" s="6">
        <f>$A28-Config!$J$14/2</f>
        <v/>
      </c>
      <c r="C28" s="6">
        <f>$A28+Config!$J$14/2</f>
        <v/>
      </c>
      <c r="D28" s="6">
        <f>COUNTIFS(RawData!$C$2:$C$941,"MT",RawData!$G$2:$G$941,"&gt;="&amp;$B28,RawData!$G$2:$G$941,"&lt;"&amp;$C28,RawData!$G$2:$G$941,"&lt;&gt;0")</f>
        <v/>
      </c>
      <c r="E28" s="6">
        <f>IF(Config!$G$14=0,0,IF(ABS(($A28-Config!$F$14)/Config!$G$14)&lt;=2,$D28,0))</f>
        <v/>
      </c>
      <c r="F28" s="6">
        <f>IF(Config!$G$14=0,0,IF(AND(ABS(($A28-Config!$F$14)/Config!$G$14)&gt;2,ABS(($A28-Config!$F$14)/Config!$G$14)&lt;=3),$D28,0))</f>
        <v/>
      </c>
      <c r="G28" s="6">
        <f>IF(Config!$G$14=0,0,IF(ABS(($A28-Config!$F$14)/Config!$G$14)&gt;3,$D28,0))</f>
        <v/>
      </c>
      <c r="H28" s="6">
        <f>IFERROR(NORM.DIST($A28,Config!$F$14,Config!$G$14,FALSE)*Config!$D$14*Config!$J$14,0)</f>
        <v/>
      </c>
    </row>
    <row r="29">
      <c r="A29">
        <f>Config!$K$14+27*Config!$J$14+Config!$J$14/2</f>
        <v/>
      </c>
      <c r="B29">
        <f>$A29-Config!$J$14/2</f>
        <v/>
      </c>
      <c r="C29">
        <f>$A29+Config!$J$14/2</f>
        <v/>
      </c>
      <c r="D29">
        <f>COUNTIFS(RawData!$C$2:$C$941,"MT",RawData!$G$2:$G$941,"&gt;="&amp;$B29,RawData!$G$2:$G$941,"&lt;"&amp;$C29,RawData!$G$2:$G$941,"&lt;&gt;0")</f>
        <v/>
      </c>
      <c r="E29">
        <f>IF(Config!$G$14=0,0,IF(ABS(($A29-Config!$F$14)/Config!$G$14)&lt;=2,$D29,0))</f>
        <v/>
      </c>
      <c r="F29">
        <f>IF(Config!$G$14=0,0,IF(AND(ABS(($A29-Config!$F$14)/Config!$G$14)&gt;2,ABS(($A29-Config!$F$14)/Config!$G$14)&lt;=3),$D29,0))</f>
        <v/>
      </c>
      <c r="G29">
        <f>IF(Config!$G$14=0,0,IF(ABS(($A29-Config!$F$14)/Config!$G$14)&gt;3,$D29,0))</f>
        <v/>
      </c>
      <c r="H29">
        <f>IFERROR(NORM.DIST($A29,Config!$F$14,Config!$G$14,FALSE)*Config!$D$14*Config!$J$14,0)</f>
        <v/>
      </c>
    </row>
    <row r="30">
      <c r="A30" s="6">
        <f>Config!$K$14+28*Config!$J$14+Config!$J$14/2</f>
        <v/>
      </c>
      <c r="B30" s="6">
        <f>$A30-Config!$J$14/2</f>
        <v/>
      </c>
      <c r="C30" s="6">
        <f>$A30+Config!$J$14/2</f>
        <v/>
      </c>
      <c r="D30" s="6">
        <f>COUNTIFS(RawData!$C$2:$C$941,"MT",RawData!$G$2:$G$941,"&gt;="&amp;$B30,RawData!$G$2:$G$941,"&lt;"&amp;$C30,RawData!$G$2:$G$941,"&lt;&gt;0")</f>
        <v/>
      </c>
      <c r="E30" s="6">
        <f>IF(Config!$G$14=0,0,IF(ABS(($A30-Config!$F$14)/Config!$G$14)&lt;=2,$D30,0))</f>
        <v/>
      </c>
      <c r="F30" s="6">
        <f>IF(Config!$G$14=0,0,IF(AND(ABS(($A30-Config!$F$14)/Config!$G$14)&gt;2,ABS(($A30-Config!$F$14)/Config!$G$14)&lt;=3),$D30,0))</f>
        <v/>
      </c>
      <c r="G30" s="6">
        <f>IF(Config!$G$14=0,0,IF(ABS(($A30-Config!$F$14)/Config!$G$14)&gt;3,$D30,0))</f>
        <v/>
      </c>
      <c r="H30" s="6">
        <f>IFERROR(NORM.DIST($A30,Config!$F$14,Config!$G$14,FALSE)*Config!$D$14*Config!$J$14,0)</f>
        <v/>
      </c>
    </row>
    <row r="31">
      <c r="A31">
        <f>Config!$K$14+29*Config!$J$14+Config!$J$14/2</f>
        <v/>
      </c>
      <c r="B31">
        <f>$A31-Config!$J$14/2</f>
        <v/>
      </c>
      <c r="C31">
        <f>$A31+Config!$J$14/2</f>
        <v/>
      </c>
      <c r="D31">
        <f>COUNTIFS(RawData!$C$2:$C$941,"MT",RawData!$G$2:$G$941,"&gt;="&amp;$B31,RawData!$G$2:$G$941,"&lt;"&amp;$C31,RawData!$G$2:$G$941,"&lt;&gt;0")</f>
        <v/>
      </c>
      <c r="E31">
        <f>IF(Config!$G$14=0,0,IF(ABS(($A31-Config!$F$14)/Config!$G$14)&lt;=2,$D31,0))</f>
        <v/>
      </c>
      <c r="F31">
        <f>IF(Config!$G$14=0,0,IF(AND(ABS(($A31-Config!$F$14)/Config!$G$14)&gt;2,ABS(($A31-Config!$F$14)/Config!$G$14)&lt;=3),$D31,0))</f>
        <v/>
      </c>
      <c r="G31">
        <f>IF(Config!$G$14=0,0,IF(ABS(($A31-Config!$F$14)/Config!$G$14)&gt;3,$D31,0))</f>
        <v/>
      </c>
      <c r="H31">
        <f>IFERROR(NORM.DIST($A31,Config!$F$14,Config!$G$14,FALSE)*Config!$D$14*Config!$J$14,0)</f>
        <v/>
      </c>
    </row>
    <row r="33">
      <c r="A33" s="5" t="inlineStr">
        <is>
          <t>BinCenter</t>
        </is>
      </c>
      <c r="B33" s="5" t="inlineStr">
        <is>
          <t>BinLo</t>
        </is>
      </c>
      <c r="C33" s="5" t="inlineStr">
        <is>
          <t>BinHi</t>
        </is>
      </c>
      <c r="D33" s="5" t="inlineStr">
        <is>
          <t>TotalCount</t>
        </is>
      </c>
      <c r="E33" s="5" t="inlineStr">
        <is>
          <t>Normal</t>
        </is>
      </c>
      <c r="F33" s="5" t="inlineStr">
        <is>
          <t>Warning(2-3s)</t>
        </is>
      </c>
      <c r="G33" s="5" t="inlineStr">
        <is>
          <t>Outlier(&gt;3s)</t>
        </is>
      </c>
      <c r="H33" s="5" t="inlineStr">
        <is>
          <t>CurveY</t>
        </is>
      </c>
    </row>
    <row r="34">
      <c r="A34" s="6">
        <f>Config!$K$15+0*Config!$J$15+Config!$J$15/2</f>
        <v/>
      </c>
      <c r="B34" s="6">
        <f>$A34-Config!$J$15/2</f>
        <v/>
      </c>
      <c r="C34" s="6">
        <f>$A34+Config!$J$15/2</f>
        <v/>
      </c>
      <c r="D34" s="6">
        <f>COUNTIFS(RawData!$C$2:$C$941,"MT",RawData!$H$2:$H$941,"&gt;="&amp;$B34,RawData!$H$2:$H$941,"&lt;"&amp;$C34,RawData!$H$2:$H$941,"&lt;&gt;0")</f>
        <v/>
      </c>
      <c r="E34" s="6">
        <f>IF(Config!$G$15=0,0,IF(ABS(($A34-Config!$F$15)/Config!$G$15)&lt;=2,$D34,0))</f>
        <v/>
      </c>
      <c r="F34" s="6">
        <f>IF(Config!$G$15=0,0,IF(AND(ABS(($A34-Config!$F$15)/Config!$G$15)&gt;2,ABS(($A34-Config!$F$15)/Config!$G$15)&lt;=3),$D34,0))</f>
        <v/>
      </c>
      <c r="G34" s="6">
        <f>IF(Config!$G$15=0,0,IF(ABS(($A34-Config!$F$15)/Config!$G$15)&gt;3,$D34,0))</f>
        <v/>
      </c>
      <c r="H34" s="6">
        <f>IFERROR(NORM.DIST($A34,Config!$F$15,Config!$G$15,FALSE)*Config!$D$15*Config!$J$15,0)</f>
        <v/>
      </c>
    </row>
    <row r="35">
      <c r="A35">
        <f>Config!$K$15+1*Config!$J$15+Config!$J$15/2</f>
        <v/>
      </c>
      <c r="B35">
        <f>$A35-Config!$J$15/2</f>
        <v/>
      </c>
      <c r="C35">
        <f>$A35+Config!$J$15/2</f>
        <v/>
      </c>
      <c r="D35">
        <f>COUNTIFS(RawData!$C$2:$C$941,"MT",RawData!$H$2:$H$941,"&gt;="&amp;$B35,RawData!$H$2:$H$941,"&lt;"&amp;$C35,RawData!$H$2:$H$941,"&lt;&gt;0")</f>
        <v/>
      </c>
      <c r="E35">
        <f>IF(Config!$G$15=0,0,IF(ABS(($A35-Config!$F$15)/Config!$G$15)&lt;=2,$D35,0))</f>
        <v/>
      </c>
      <c r="F35">
        <f>IF(Config!$G$15=0,0,IF(AND(ABS(($A35-Config!$F$15)/Config!$G$15)&gt;2,ABS(($A35-Config!$F$15)/Config!$G$15)&lt;=3),$D35,0))</f>
        <v/>
      </c>
      <c r="G35">
        <f>IF(Config!$G$15=0,0,IF(ABS(($A35-Config!$F$15)/Config!$G$15)&gt;3,$D35,0))</f>
        <v/>
      </c>
      <c r="H35">
        <f>IFERROR(NORM.DIST($A35,Config!$F$15,Config!$G$15,FALSE)*Config!$D$15*Config!$J$15,0)</f>
        <v/>
      </c>
    </row>
    <row r="36">
      <c r="A36" s="6">
        <f>Config!$K$15+2*Config!$J$15+Config!$J$15/2</f>
        <v/>
      </c>
      <c r="B36" s="6">
        <f>$A36-Config!$J$15/2</f>
        <v/>
      </c>
      <c r="C36" s="6">
        <f>$A36+Config!$J$15/2</f>
        <v/>
      </c>
      <c r="D36" s="6">
        <f>COUNTIFS(RawData!$C$2:$C$941,"MT",RawData!$H$2:$H$941,"&gt;="&amp;$B36,RawData!$H$2:$H$941,"&lt;"&amp;$C36,RawData!$H$2:$H$941,"&lt;&gt;0")</f>
        <v/>
      </c>
      <c r="E36" s="6">
        <f>IF(Config!$G$15=0,0,IF(ABS(($A36-Config!$F$15)/Config!$G$15)&lt;=2,$D36,0))</f>
        <v/>
      </c>
      <c r="F36" s="6">
        <f>IF(Config!$G$15=0,0,IF(AND(ABS(($A36-Config!$F$15)/Config!$G$15)&gt;2,ABS(($A36-Config!$F$15)/Config!$G$15)&lt;=3),$D36,0))</f>
        <v/>
      </c>
      <c r="G36" s="6">
        <f>IF(Config!$G$15=0,0,IF(ABS(($A36-Config!$F$15)/Config!$G$15)&gt;3,$D36,0))</f>
        <v/>
      </c>
      <c r="H36" s="6">
        <f>IFERROR(NORM.DIST($A36,Config!$F$15,Config!$G$15,FALSE)*Config!$D$15*Config!$J$15,0)</f>
        <v/>
      </c>
    </row>
    <row r="37">
      <c r="A37">
        <f>Config!$K$15+3*Config!$J$15+Config!$J$15/2</f>
        <v/>
      </c>
      <c r="B37">
        <f>$A37-Config!$J$15/2</f>
        <v/>
      </c>
      <c r="C37">
        <f>$A37+Config!$J$15/2</f>
        <v/>
      </c>
      <c r="D37">
        <f>COUNTIFS(RawData!$C$2:$C$941,"MT",RawData!$H$2:$H$941,"&gt;="&amp;$B37,RawData!$H$2:$H$941,"&lt;"&amp;$C37,RawData!$H$2:$H$941,"&lt;&gt;0")</f>
        <v/>
      </c>
      <c r="E37">
        <f>IF(Config!$G$15=0,0,IF(ABS(($A37-Config!$F$15)/Config!$G$15)&lt;=2,$D37,0))</f>
        <v/>
      </c>
      <c r="F37">
        <f>IF(Config!$G$15=0,0,IF(AND(ABS(($A37-Config!$F$15)/Config!$G$15)&gt;2,ABS(($A37-Config!$F$15)/Config!$G$15)&lt;=3),$D37,0))</f>
        <v/>
      </c>
      <c r="G37">
        <f>IF(Config!$G$15=0,0,IF(ABS(($A37-Config!$F$15)/Config!$G$15)&gt;3,$D37,0))</f>
        <v/>
      </c>
      <c r="H37">
        <f>IFERROR(NORM.DIST($A37,Config!$F$15,Config!$G$15,FALSE)*Config!$D$15*Config!$J$15,0)</f>
        <v/>
      </c>
    </row>
    <row r="38">
      <c r="A38" s="6">
        <f>Config!$K$15+4*Config!$J$15+Config!$J$15/2</f>
        <v/>
      </c>
      <c r="B38" s="6">
        <f>$A38-Config!$J$15/2</f>
        <v/>
      </c>
      <c r="C38" s="6">
        <f>$A38+Config!$J$15/2</f>
        <v/>
      </c>
      <c r="D38" s="6">
        <f>COUNTIFS(RawData!$C$2:$C$941,"MT",RawData!$H$2:$H$941,"&gt;="&amp;$B38,RawData!$H$2:$H$941,"&lt;"&amp;$C38,RawData!$H$2:$H$941,"&lt;&gt;0")</f>
        <v/>
      </c>
      <c r="E38" s="6">
        <f>IF(Config!$G$15=0,0,IF(ABS(($A38-Config!$F$15)/Config!$G$15)&lt;=2,$D38,0))</f>
        <v/>
      </c>
      <c r="F38" s="6">
        <f>IF(Config!$G$15=0,0,IF(AND(ABS(($A38-Config!$F$15)/Config!$G$15)&gt;2,ABS(($A38-Config!$F$15)/Config!$G$15)&lt;=3),$D38,0))</f>
        <v/>
      </c>
      <c r="G38" s="6">
        <f>IF(Config!$G$15=0,0,IF(ABS(($A38-Config!$F$15)/Config!$G$15)&gt;3,$D38,0))</f>
        <v/>
      </c>
      <c r="H38" s="6">
        <f>IFERROR(NORM.DIST($A38,Config!$F$15,Config!$G$15,FALSE)*Config!$D$15*Config!$J$15,0)</f>
        <v/>
      </c>
    </row>
    <row r="39">
      <c r="A39">
        <f>Config!$K$15+5*Config!$J$15+Config!$J$15/2</f>
        <v/>
      </c>
      <c r="B39">
        <f>$A39-Config!$J$15/2</f>
        <v/>
      </c>
      <c r="C39">
        <f>$A39+Config!$J$15/2</f>
        <v/>
      </c>
      <c r="D39">
        <f>COUNTIFS(RawData!$C$2:$C$941,"MT",RawData!$H$2:$H$941,"&gt;="&amp;$B39,RawData!$H$2:$H$941,"&lt;"&amp;$C39,RawData!$H$2:$H$941,"&lt;&gt;0")</f>
        <v/>
      </c>
      <c r="E39">
        <f>IF(Config!$G$15=0,0,IF(ABS(($A39-Config!$F$15)/Config!$G$15)&lt;=2,$D39,0))</f>
        <v/>
      </c>
      <c r="F39">
        <f>IF(Config!$G$15=0,0,IF(AND(ABS(($A39-Config!$F$15)/Config!$G$15)&gt;2,ABS(($A39-Config!$F$15)/Config!$G$15)&lt;=3),$D39,0))</f>
        <v/>
      </c>
      <c r="G39">
        <f>IF(Config!$G$15=0,0,IF(ABS(($A39-Config!$F$15)/Config!$G$15)&gt;3,$D39,0))</f>
        <v/>
      </c>
      <c r="H39">
        <f>IFERROR(NORM.DIST($A39,Config!$F$15,Config!$G$15,FALSE)*Config!$D$15*Config!$J$15,0)</f>
        <v/>
      </c>
    </row>
    <row r="40">
      <c r="A40" s="6">
        <f>Config!$K$15+6*Config!$J$15+Config!$J$15/2</f>
        <v/>
      </c>
      <c r="B40" s="6">
        <f>$A40-Config!$J$15/2</f>
        <v/>
      </c>
      <c r="C40" s="6">
        <f>$A40+Config!$J$15/2</f>
        <v/>
      </c>
      <c r="D40" s="6">
        <f>COUNTIFS(RawData!$C$2:$C$941,"MT",RawData!$H$2:$H$941,"&gt;="&amp;$B40,RawData!$H$2:$H$941,"&lt;"&amp;$C40,RawData!$H$2:$H$941,"&lt;&gt;0")</f>
        <v/>
      </c>
      <c r="E40" s="6">
        <f>IF(Config!$G$15=0,0,IF(ABS(($A40-Config!$F$15)/Config!$G$15)&lt;=2,$D40,0))</f>
        <v/>
      </c>
      <c r="F40" s="6">
        <f>IF(Config!$G$15=0,0,IF(AND(ABS(($A40-Config!$F$15)/Config!$G$15)&gt;2,ABS(($A40-Config!$F$15)/Config!$G$15)&lt;=3),$D40,0))</f>
        <v/>
      </c>
      <c r="G40" s="6">
        <f>IF(Config!$G$15=0,0,IF(ABS(($A40-Config!$F$15)/Config!$G$15)&gt;3,$D40,0))</f>
        <v/>
      </c>
      <c r="H40" s="6">
        <f>IFERROR(NORM.DIST($A40,Config!$F$15,Config!$G$15,FALSE)*Config!$D$15*Config!$J$15,0)</f>
        <v/>
      </c>
    </row>
    <row r="41">
      <c r="A41">
        <f>Config!$K$15+7*Config!$J$15+Config!$J$15/2</f>
        <v/>
      </c>
      <c r="B41">
        <f>$A41-Config!$J$15/2</f>
        <v/>
      </c>
      <c r="C41">
        <f>$A41+Config!$J$15/2</f>
        <v/>
      </c>
      <c r="D41">
        <f>COUNTIFS(RawData!$C$2:$C$941,"MT",RawData!$H$2:$H$941,"&gt;="&amp;$B41,RawData!$H$2:$H$941,"&lt;"&amp;$C41,RawData!$H$2:$H$941,"&lt;&gt;0")</f>
        <v/>
      </c>
      <c r="E41">
        <f>IF(Config!$G$15=0,0,IF(ABS(($A41-Config!$F$15)/Config!$G$15)&lt;=2,$D41,0))</f>
        <v/>
      </c>
      <c r="F41">
        <f>IF(Config!$G$15=0,0,IF(AND(ABS(($A41-Config!$F$15)/Config!$G$15)&gt;2,ABS(($A41-Config!$F$15)/Config!$G$15)&lt;=3),$D41,0))</f>
        <v/>
      </c>
      <c r="G41">
        <f>IF(Config!$G$15=0,0,IF(ABS(($A41-Config!$F$15)/Config!$G$15)&gt;3,$D41,0))</f>
        <v/>
      </c>
      <c r="H41">
        <f>IFERROR(NORM.DIST($A41,Config!$F$15,Config!$G$15,FALSE)*Config!$D$15*Config!$J$15,0)</f>
        <v/>
      </c>
    </row>
    <row r="42">
      <c r="A42" s="6">
        <f>Config!$K$15+8*Config!$J$15+Config!$J$15/2</f>
        <v/>
      </c>
      <c r="B42" s="6">
        <f>$A42-Config!$J$15/2</f>
        <v/>
      </c>
      <c r="C42" s="6">
        <f>$A42+Config!$J$15/2</f>
        <v/>
      </c>
      <c r="D42" s="6">
        <f>COUNTIFS(RawData!$C$2:$C$941,"MT",RawData!$H$2:$H$941,"&gt;="&amp;$B42,RawData!$H$2:$H$941,"&lt;"&amp;$C42,RawData!$H$2:$H$941,"&lt;&gt;0")</f>
        <v/>
      </c>
      <c r="E42" s="6">
        <f>IF(Config!$G$15=0,0,IF(ABS(($A42-Config!$F$15)/Config!$G$15)&lt;=2,$D42,0))</f>
        <v/>
      </c>
      <c r="F42" s="6">
        <f>IF(Config!$G$15=0,0,IF(AND(ABS(($A42-Config!$F$15)/Config!$G$15)&gt;2,ABS(($A42-Config!$F$15)/Config!$G$15)&lt;=3),$D42,0))</f>
        <v/>
      </c>
      <c r="G42" s="6">
        <f>IF(Config!$G$15=0,0,IF(ABS(($A42-Config!$F$15)/Config!$G$15)&gt;3,$D42,0))</f>
        <v/>
      </c>
      <c r="H42" s="6">
        <f>IFERROR(NORM.DIST($A42,Config!$F$15,Config!$G$15,FALSE)*Config!$D$15*Config!$J$15,0)</f>
        <v/>
      </c>
    </row>
    <row r="43">
      <c r="A43">
        <f>Config!$K$15+9*Config!$J$15+Config!$J$15/2</f>
        <v/>
      </c>
      <c r="B43">
        <f>$A43-Config!$J$15/2</f>
        <v/>
      </c>
      <c r="C43">
        <f>$A43+Config!$J$15/2</f>
        <v/>
      </c>
      <c r="D43">
        <f>COUNTIFS(RawData!$C$2:$C$941,"MT",RawData!$H$2:$H$941,"&gt;="&amp;$B43,RawData!$H$2:$H$941,"&lt;"&amp;$C43,RawData!$H$2:$H$941,"&lt;&gt;0")</f>
        <v/>
      </c>
      <c r="E43">
        <f>IF(Config!$G$15=0,0,IF(ABS(($A43-Config!$F$15)/Config!$G$15)&lt;=2,$D43,0))</f>
        <v/>
      </c>
      <c r="F43">
        <f>IF(Config!$G$15=0,0,IF(AND(ABS(($A43-Config!$F$15)/Config!$G$15)&gt;2,ABS(($A43-Config!$F$15)/Config!$G$15)&lt;=3),$D43,0))</f>
        <v/>
      </c>
      <c r="G43">
        <f>IF(Config!$G$15=0,0,IF(ABS(($A43-Config!$F$15)/Config!$G$15)&gt;3,$D43,0))</f>
        <v/>
      </c>
      <c r="H43">
        <f>IFERROR(NORM.DIST($A43,Config!$F$15,Config!$G$15,FALSE)*Config!$D$15*Config!$J$15,0)</f>
        <v/>
      </c>
    </row>
    <row r="44">
      <c r="A44" s="6">
        <f>Config!$K$15+10*Config!$J$15+Config!$J$15/2</f>
        <v/>
      </c>
      <c r="B44" s="6">
        <f>$A44-Config!$J$15/2</f>
        <v/>
      </c>
      <c r="C44" s="6">
        <f>$A44+Config!$J$15/2</f>
        <v/>
      </c>
      <c r="D44" s="6">
        <f>COUNTIFS(RawData!$C$2:$C$941,"MT",RawData!$H$2:$H$941,"&gt;="&amp;$B44,RawData!$H$2:$H$941,"&lt;"&amp;$C44,RawData!$H$2:$H$941,"&lt;&gt;0")</f>
        <v/>
      </c>
      <c r="E44" s="6">
        <f>IF(Config!$G$15=0,0,IF(ABS(($A44-Config!$F$15)/Config!$G$15)&lt;=2,$D44,0))</f>
        <v/>
      </c>
      <c r="F44" s="6">
        <f>IF(Config!$G$15=0,0,IF(AND(ABS(($A44-Config!$F$15)/Config!$G$15)&gt;2,ABS(($A44-Config!$F$15)/Config!$G$15)&lt;=3),$D44,0))</f>
        <v/>
      </c>
      <c r="G44" s="6">
        <f>IF(Config!$G$15=0,0,IF(ABS(($A44-Config!$F$15)/Config!$G$15)&gt;3,$D44,0))</f>
        <v/>
      </c>
      <c r="H44" s="6">
        <f>IFERROR(NORM.DIST($A44,Config!$F$15,Config!$G$15,FALSE)*Config!$D$15*Config!$J$15,0)</f>
        <v/>
      </c>
    </row>
    <row r="45">
      <c r="A45">
        <f>Config!$K$15+11*Config!$J$15+Config!$J$15/2</f>
        <v/>
      </c>
      <c r="B45">
        <f>$A45-Config!$J$15/2</f>
        <v/>
      </c>
      <c r="C45">
        <f>$A45+Config!$J$15/2</f>
        <v/>
      </c>
      <c r="D45">
        <f>COUNTIFS(RawData!$C$2:$C$941,"MT",RawData!$H$2:$H$941,"&gt;="&amp;$B45,RawData!$H$2:$H$941,"&lt;"&amp;$C45,RawData!$H$2:$H$941,"&lt;&gt;0")</f>
        <v/>
      </c>
      <c r="E45">
        <f>IF(Config!$G$15=0,0,IF(ABS(($A45-Config!$F$15)/Config!$G$15)&lt;=2,$D45,0))</f>
        <v/>
      </c>
      <c r="F45">
        <f>IF(Config!$G$15=0,0,IF(AND(ABS(($A45-Config!$F$15)/Config!$G$15)&gt;2,ABS(($A45-Config!$F$15)/Config!$G$15)&lt;=3),$D45,0))</f>
        <v/>
      </c>
      <c r="G45">
        <f>IF(Config!$G$15=0,0,IF(ABS(($A45-Config!$F$15)/Config!$G$15)&gt;3,$D45,0))</f>
        <v/>
      </c>
      <c r="H45">
        <f>IFERROR(NORM.DIST($A45,Config!$F$15,Config!$G$15,FALSE)*Config!$D$15*Config!$J$15,0)</f>
        <v/>
      </c>
    </row>
    <row r="46">
      <c r="A46" s="6">
        <f>Config!$K$15+12*Config!$J$15+Config!$J$15/2</f>
        <v/>
      </c>
      <c r="B46" s="6">
        <f>$A46-Config!$J$15/2</f>
        <v/>
      </c>
      <c r="C46" s="6">
        <f>$A46+Config!$J$15/2</f>
        <v/>
      </c>
      <c r="D46" s="6">
        <f>COUNTIFS(RawData!$C$2:$C$941,"MT",RawData!$H$2:$H$941,"&gt;="&amp;$B46,RawData!$H$2:$H$941,"&lt;"&amp;$C46,RawData!$H$2:$H$941,"&lt;&gt;0")</f>
        <v/>
      </c>
      <c r="E46" s="6">
        <f>IF(Config!$G$15=0,0,IF(ABS(($A46-Config!$F$15)/Config!$G$15)&lt;=2,$D46,0))</f>
        <v/>
      </c>
      <c r="F46" s="6">
        <f>IF(Config!$G$15=0,0,IF(AND(ABS(($A46-Config!$F$15)/Config!$G$15)&gt;2,ABS(($A46-Config!$F$15)/Config!$G$15)&lt;=3),$D46,0))</f>
        <v/>
      </c>
      <c r="G46" s="6">
        <f>IF(Config!$G$15=0,0,IF(ABS(($A46-Config!$F$15)/Config!$G$15)&gt;3,$D46,0))</f>
        <v/>
      </c>
      <c r="H46" s="6">
        <f>IFERROR(NORM.DIST($A46,Config!$F$15,Config!$G$15,FALSE)*Config!$D$15*Config!$J$15,0)</f>
        <v/>
      </c>
    </row>
    <row r="47">
      <c r="A47">
        <f>Config!$K$15+13*Config!$J$15+Config!$J$15/2</f>
        <v/>
      </c>
      <c r="B47">
        <f>$A47-Config!$J$15/2</f>
        <v/>
      </c>
      <c r="C47">
        <f>$A47+Config!$J$15/2</f>
        <v/>
      </c>
      <c r="D47">
        <f>COUNTIFS(RawData!$C$2:$C$941,"MT",RawData!$H$2:$H$941,"&gt;="&amp;$B47,RawData!$H$2:$H$941,"&lt;"&amp;$C47,RawData!$H$2:$H$941,"&lt;&gt;0")</f>
        <v/>
      </c>
      <c r="E47">
        <f>IF(Config!$G$15=0,0,IF(ABS(($A47-Config!$F$15)/Config!$G$15)&lt;=2,$D47,0))</f>
        <v/>
      </c>
      <c r="F47">
        <f>IF(Config!$G$15=0,0,IF(AND(ABS(($A47-Config!$F$15)/Config!$G$15)&gt;2,ABS(($A47-Config!$F$15)/Config!$G$15)&lt;=3),$D47,0))</f>
        <v/>
      </c>
      <c r="G47">
        <f>IF(Config!$G$15=0,0,IF(ABS(($A47-Config!$F$15)/Config!$G$15)&gt;3,$D47,0))</f>
        <v/>
      </c>
      <c r="H47">
        <f>IFERROR(NORM.DIST($A47,Config!$F$15,Config!$G$15,FALSE)*Config!$D$15*Config!$J$15,0)</f>
        <v/>
      </c>
    </row>
    <row r="48">
      <c r="A48" s="6">
        <f>Config!$K$15+14*Config!$J$15+Config!$J$15/2</f>
        <v/>
      </c>
      <c r="B48" s="6">
        <f>$A48-Config!$J$15/2</f>
        <v/>
      </c>
      <c r="C48" s="6">
        <f>$A48+Config!$J$15/2</f>
        <v/>
      </c>
      <c r="D48" s="6">
        <f>COUNTIFS(RawData!$C$2:$C$941,"MT",RawData!$H$2:$H$941,"&gt;="&amp;$B48,RawData!$H$2:$H$941,"&lt;"&amp;$C48,RawData!$H$2:$H$941,"&lt;&gt;0")</f>
        <v/>
      </c>
      <c r="E48" s="6">
        <f>IF(Config!$G$15=0,0,IF(ABS(($A48-Config!$F$15)/Config!$G$15)&lt;=2,$D48,0))</f>
        <v/>
      </c>
      <c r="F48" s="6">
        <f>IF(Config!$G$15=0,0,IF(AND(ABS(($A48-Config!$F$15)/Config!$G$15)&gt;2,ABS(($A48-Config!$F$15)/Config!$G$15)&lt;=3),$D48,0))</f>
        <v/>
      </c>
      <c r="G48" s="6">
        <f>IF(Config!$G$15=0,0,IF(ABS(($A48-Config!$F$15)/Config!$G$15)&gt;3,$D48,0))</f>
        <v/>
      </c>
      <c r="H48" s="6">
        <f>IFERROR(NORM.DIST($A48,Config!$F$15,Config!$G$15,FALSE)*Config!$D$15*Config!$J$15,0)</f>
        <v/>
      </c>
    </row>
    <row r="49">
      <c r="A49">
        <f>Config!$K$15+15*Config!$J$15+Config!$J$15/2</f>
        <v/>
      </c>
      <c r="B49">
        <f>$A49-Config!$J$15/2</f>
        <v/>
      </c>
      <c r="C49">
        <f>$A49+Config!$J$15/2</f>
        <v/>
      </c>
      <c r="D49">
        <f>COUNTIFS(RawData!$C$2:$C$941,"MT",RawData!$H$2:$H$941,"&gt;="&amp;$B49,RawData!$H$2:$H$941,"&lt;"&amp;$C49,RawData!$H$2:$H$941,"&lt;&gt;0")</f>
        <v/>
      </c>
      <c r="E49">
        <f>IF(Config!$G$15=0,0,IF(ABS(($A49-Config!$F$15)/Config!$G$15)&lt;=2,$D49,0))</f>
        <v/>
      </c>
      <c r="F49">
        <f>IF(Config!$G$15=0,0,IF(AND(ABS(($A49-Config!$F$15)/Config!$G$15)&gt;2,ABS(($A49-Config!$F$15)/Config!$G$15)&lt;=3),$D49,0))</f>
        <v/>
      </c>
      <c r="G49">
        <f>IF(Config!$G$15=0,0,IF(ABS(($A49-Config!$F$15)/Config!$G$15)&gt;3,$D49,0))</f>
        <v/>
      </c>
      <c r="H49">
        <f>IFERROR(NORM.DIST($A49,Config!$F$15,Config!$G$15,FALSE)*Config!$D$15*Config!$J$15,0)</f>
        <v/>
      </c>
    </row>
    <row r="50">
      <c r="A50" s="6">
        <f>Config!$K$15+16*Config!$J$15+Config!$J$15/2</f>
        <v/>
      </c>
      <c r="B50" s="6">
        <f>$A50-Config!$J$15/2</f>
        <v/>
      </c>
      <c r="C50" s="6">
        <f>$A50+Config!$J$15/2</f>
        <v/>
      </c>
      <c r="D50" s="6">
        <f>COUNTIFS(RawData!$C$2:$C$941,"MT",RawData!$H$2:$H$941,"&gt;="&amp;$B50,RawData!$H$2:$H$941,"&lt;"&amp;$C50,RawData!$H$2:$H$941,"&lt;&gt;0")</f>
        <v/>
      </c>
      <c r="E50" s="6">
        <f>IF(Config!$G$15=0,0,IF(ABS(($A50-Config!$F$15)/Config!$G$15)&lt;=2,$D50,0))</f>
        <v/>
      </c>
      <c r="F50" s="6">
        <f>IF(Config!$G$15=0,0,IF(AND(ABS(($A50-Config!$F$15)/Config!$G$15)&gt;2,ABS(($A50-Config!$F$15)/Config!$G$15)&lt;=3),$D50,0))</f>
        <v/>
      </c>
      <c r="G50" s="6">
        <f>IF(Config!$G$15=0,0,IF(ABS(($A50-Config!$F$15)/Config!$G$15)&gt;3,$D50,0))</f>
        <v/>
      </c>
      <c r="H50" s="6">
        <f>IFERROR(NORM.DIST($A50,Config!$F$15,Config!$G$15,FALSE)*Config!$D$15*Config!$J$15,0)</f>
        <v/>
      </c>
    </row>
    <row r="51">
      <c r="A51">
        <f>Config!$K$15+17*Config!$J$15+Config!$J$15/2</f>
        <v/>
      </c>
      <c r="B51">
        <f>$A51-Config!$J$15/2</f>
        <v/>
      </c>
      <c r="C51">
        <f>$A51+Config!$J$15/2</f>
        <v/>
      </c>
      <c r="D51">
        <f>COUNTIFS(RawData!$C$2:$C$941,"MT",RawData!$H$2:$H$941,"&gt;="&amp;$B51,RawData!$H$2:$H$941,"&lt;"&amp;$C51,RawData!$H$2:$H$941,"&lt;&gt;0")</f>
        <v/>
      </c>
      <c r="E51">
        <f>IF(Config!$G$15=0,0,IF(ABS(($A51-Config!$F$15)/Config!$G$15)&lt;=2,$D51,0))</f>
        <v/>
      </c>
      <c r="F51">
        <f>IF(Config!$G$15=0,0,IF(AND(ABS(($A51-Config!$F$15)/Config!$G$15)&gt;2,ABS(($A51-Config!$F$15)/Config!$G$15)&lt;=3),$D51,0))</f>
        <v/>
      </c>
      <c r="G51">
        <f>IF(Config!$G$15=0,0,IF(ABS(($A51-Config!$F$15)/Config!$G$15)&gt;3,$D51,0))</f>
        <v/>
      </c>
      <c r="H51">
        <f>IFERROR(NORM.DIST($A51,Config!$F$15,Config!$G$15,FALSE)*Config!$D$15*Config!$J$15,0)</f>
        <v/>
      </c>
    </row>
    <row r="52">
      <c r="A52" s="6">
        <f>Config!$K$15+18*Config!$J$15+Config!$J$15/2</f>
        <v/>
      </c>
      <c r="B52" s="6">
        <f>$A52-Config!$J$15/2</f>
        <v/>
      </c>
      <c r="C52" s="6">
        <f>$A52+Config!$J$15/2</f>
        <v/>
      </c>
      <c r="D52" s="6">
        <f>COUNTIFS(RawData!$C$2:$C$941,"MT",RawData!$H$2:$H$941,"&gt;="&amp;$B52,RawData!$H$2:$H$941,"&lt;"&amp;$C52,RawData!$H$2:$H$941,"&lt;&gt;0")</f>
        <v/>
      </c>
      <c r="E52" s="6">
        <f>IF(Config!$G$15=0,0,IF(ABS(($A52-Config!$F$15)/Config!$G$15)&lt;=2,$D52,0))</f>
        <v/>
      </c>
      <c r="F52" s="6">
        <f>IF(Config!$G$15=0,0,IF(AND(ABS(($A52-Config!$F$15)/Config!$G$15)&gt;2,ABS(($A52-Config!$F$15)/Config!$G$15)&lt;=3),$D52,0))</f>
        <v/>
      </c>
      <c r="G52" s="6">
        <f>IF(Config!$G$15=0,0,IF(ABS(($A52-Config!$F$15)/Config!$G$15)&gt;3,$D52,0))</f>
        <v/>
      </c>
      <c r="H52" s="6">
        <f>IFERROR(NORM.DIST($A52,Config!$F$15,Config!$G$15,FALSE)*Config!$D$15*Config!$J$15,0)</f>
        <v/>
      </c>
    </row>
    <row r="53">
      <c r="A53">
        <f>Config!$K$15+19*Config!$J$15+Config!$J$15/2</f>
        <v/>
      </c>
      <c r="B53">
        <f>$A53-Config!$J$15/2</f>
        <v/>
      </c>
      <c r="C53">
        <f>$A53+Config!$J$15/2</f>
        <v/>
      </c>
      <c r="D53">
        <f>COUNTIFS(RawData!$C$2:$C$941,"MT",RawData!$H$2:$H$941,"&gt;="&amp;$B53,RawData!$H$2:$H$941,"&lt;"&amp;$C53,RawData!$H$2:$H$941,"&lt;&gt;0")</f>
        <v/>
      </c>
      <c r="E53">
        <f>IF(Config!$G$15=0,0,IF(ABS(($A53-Config!$F$15)/Config!$G$15)&lt;=2,$D53,0))</f>
        <v/>
      </c>
      <c r="F53">
        <f>IF(Config!$G$15=0,0,IF(AND(ABS(($A53-Config!$F$15)/Config!$G$15)&gt;2,ABS(($A53-Config!$F$15)/Config!$G$15)&lt;=3),$D53,0))</f>
        <v/>
      </c>
      <c r="G53">
        <f>IF(Config!$G$15=0,0,IF(ABS(($A53-Config!$F$15)/Config!$G$15)&gt;3,$D53,0))</f>
        <v/>
      </c>
      <c r="H53">
        <f>IFERROR(NORM.DIST($A53,Config!$F$15,Config!$G$15,FALSE)*Config!$D$15*Config!$J$15,0)</f>
        <v/>
      </c>
    </row>
    <row r="54">
      <c r="A54" s="6">
        <f>Config!$K$15+20*Config!$J$15+Config!$J$15/2</f>
        <v/>
      </c>
      <c r="B54" s="6">
        <f>$A54-Config!$J$15/2</f>
        <v/>
      </c>
      <c r="C54" s="6">
        <f>$A54+Config!$J$15/2</f>
        <v/>
      </c>
      <c r="D54" s="6">
        <f>COUNTIFS(RawData!$C$2:$C$941,"MT",RawData!$H$2:$H$941,"&gt;="&amp;$B54,RawData!$H$2:$H$941,"&lt;"&amp;$C54,RawData!$H$2:$H$941,"&lt;&gt;0")</f>
        <v/>
      </c>
      <c r="E54" s="6">
        <f>IF(Config!$G$15=0,0,IF(ABS(($A54-Config!$F$15)/Config!$G$15)&lt;=2,$D54,0))</f>
        <v/>
      </c>
      <c r="F54" s="6">
        <f>IF(Config!$G$15=0,0,IF(AND(ABS(($A54-Config!$F$15)/Config!$G$15)&gt;2,ABS(($A54-Config!$F$15)/Config!$G$15)&lt;=3),$D54,0))</f>
        <v/>
      </c>
      <c r="G54" s="6">
        <f>IF(Config!$G$15=0,0,IF(ABS(($A54-Config!$F$15)/Config!$G$15)&gt;3,$D54,0))</f>
        <v/>
      </c>
      <c r="H54" s="6">
        <f>IFERROR(NORM.DIST($A54,Config!$F$15,Config!$G$15,FALSE)*Config!$D$15*Config!$J$15,0)</f>
        <v/>
      </c>
    </row>
    <row r="55">
      <c r="A55">
        <f>Config!$K$15+21*Config!$J$15+Config!$J$15/2</f>
        <v/>
      </c>
      <c r="B55">
        <f>$A55-Config!$J$15/2</f>
        <v/>
      </c>
      <c r="C55">
        <f>$A55+Config!$J$15/2</f>
        <v/>
      </c>
      <c r="D55">
        <f>COUNTIFS(RawData!$C$2:$C$941,"MT",RawData!$H$2:$H$941,"&gt;="&amp;$B55,RawData!$H$2:$H$941,"&lt;"&amp;$C55,RawData!$H$2:$H$941,"&lt;&gt;0")</f>
        <v/>
      </c>
      <c r="E55">
        <f>IF(Config!$G$15=0,0,IF(ABS(($A55-Config!$F$15)/Config!$G$15)&lt;=2,$D55,0))</f>
        <v/>
      </c>
      <c r="F55">
        <f>IF(Config!$G$15=0,0,IF(AND(ABS(($A55-Config!$F$15)/Config!$G$15)&gt;2,ABS(($A55-Config!$F$15)/Config!$G$15)&lt;=3),$D55,0))</f>
        <v/>
      </c>
      <c r="G55">
        <f>IF(Config!$G$15=0,0,IF(ABS(($A55-Config!$F$15)/Config!$G$15)&gt;3,$D55,0))</f>
        <v/>
      </c>
      <c r="H55">
        <f>IFERROR(NORM.DIST($A55,Config!$F$15,Config!$G$15,FALSE)*Config!$D$15*Config!$J$15,0)</f>
        <v/>
      </c>
    </row>
    <row r="56">
      <c r="A56" s="6">
        <f>Config!$K$15+22*Config!$J$15+Config!$J$15/2</f>
        <v/>
      </c>
      <c r="B56" s="6">
        <f>$A56-Config!$J$15/2</f>
        <v/>
      </c>
      <c r="C56" s="6">
        <f>$A56+Config!$J$15/2</f>
        <v/>
      </c>
      <c r="D56" s="6">
        <f>COUNTIFS(RawData!$C$2:$C$941,"MT",RawData!$H$2:$H$941,"&gt;="&amp;$B56,RawData!$H$2:$H$941,"&lt;"&amp;$C56,RawData!$H$2:$H$941,"&lt;&gt;0")</f>
        <v/>
      </c>
      <c r="E56" s="6">
        <f>IF(Config!$G$15=0,0,IF(ABS(($A56-Config!$F$15)/Config!$G$15)&lt;=2,$D56,0))</f>
        <v/>
      </c>
      <c r="F56" s="6">
        <f>IF(Config!$G$15=0,0,IF(AND(ABS(($A56-Config!$F$15)/Config!$G$15)&gt;2,ABS(($A56-Config!$F$15)/Config!$G$15)&lt;=3),$D56,0))</f>
        <v/>
      </c>
      <c r="G56" s="6">
        <f>IF(Config!$G$15=0,0,IF(ABS(($A56-Config!$F$15)/Config!$G$15)&gt;3,$D56,0))</f>
        <v/>
      </c>
      <c r="H56" s="6">
        <f>IFERROR(NORM.DIST($A56,Config!$F$15,Config!$G$15,FALSE)*Config!$D$15*Config!$J$15,0)</f>
        <v/>
      </c>
    </row>
    <row r="57">
      <c r="A57">
        <f>Config!$K$15+23*Config!$J$15+Config!$J$15/2</f>
        <v/>
      </c>
      <c r="B57">
        <f>$A57-Config!$J$15/2</f>
        <v/>
      </c>
      <c r="C57">
        <f>$A57+Config!$J$15/2</f>
        <v/>
      </c>
      <c r="D57">
        <f>COUNTIFS(RawData!$C$2:$C$941,"MT",RawData!$H$2:$H$941,"&gt;="&amp;$B57,RawData!$H$2:$H$941,"&lt;"&amp;$C57,RawData!$H$2:$H$941,"&lt;&gt;0")</f>
        <v/>
      </c>
      <c r="E57">
        <f>IF(Config!$G$15=0,0,IF(ABS(($A57-Config!$F$15)/Config!$G$15)&lt;=2,$D57,0))</f>
        <v/>
      </c>
      <c r="F57">
        <f>IF(Config!$G$15=0,0,IF(AND(ABS(($A57-Config!$F$15)/Config!$G$15)&gt;2,ABS(($A57-Config!$F$15)/Config!$G$15)&lt;=3),$D57,0))</f>
        <v/>
      </c>
      <c r="G57">
        <f>IF(Config!$G$15=0,0,IF(ABS(($A57-Config!$F$15)/Config!$G$15)&gt;3,$D57,0))</f>
        <v/>
      </c>
      <c r="H57">
        <f>IFERROR(NORM.DIST($A57,Config!$F$15,Config!$G$15,FALSE)*Config!$D$15*Config!$J$15,0)</f>
        <v/>
      </c>
    </row>
    <row r="58">
      <c r="A58" s="6">
        <f>Config!$K$15+24*Config!$J$15+Config!$J$15/2</f>
        <v/>
      </c>
      <c r="B58" s="6">
        <f>$A58-Config!$J$15/2</f>
        <v/>
      </c>
      <c r="C58" s="6">
        <f>$A58+Config!$J$15/2</f>
        <v/>
      </c>
      <c r="D58" s="6">
        <f>COUNTIFS(RawData!$C$2:$C$941,"MT",RawData!$H$2:$H$941,"&gt;="&amp;$B58,RawData!$H$2:$H$941,"&lt;"&amp;$C58,RawData!$H$2:$H$941,"&lt;&gt;0")</f>
        <v/>
      </c>
      <c r="E58" s="6">
        <f>IF(Config!$G$15=0,0,IF(ABS(($A58-Config!$F$15)/Config!$G$15)&lt;=2,$D58,0))</f>
        <v/>
      </c>
      <c r="F58" s="6">
        <f>IF(Config!$G$15=0,0,IF(AND(ABS(($A58-Config!$F$15)/Config!$G$15)&gt;2,ABS(($A58-Config!$F$15)/Config!$G$15)&lt;=3),$D58,0))</f>
        <v/>
      </c>
      <c r="G58" s="6">
        <f>IF(Config!$G$15=0,0,IF(ABS(($A58-Config!$F$15)/Config!$G$15)&gt;3,$D58,0))</f>
        <v/>
      </c>
      <c r="H58" s="6">
        <f>IFERROR(NORM.DIST($A58,Config!$F$15,Config!$G$15,FALSE)*Config!$D$15*Config!$J$15,0)</f>
        <v/>
      </c>
    </row>
    <row r="59">
      <c r="A59">
        <f>Config!$K$15+25*Config!$J$15+Config!$J$15/2</f>
        <v/>
      </c>
      <c r="B59">
        <f>$A59-Config!$J$15/2</f>
        <v/>
      </c>
      <c r="C59">
        <f>$A59+Config!$J$15/2</f>
        <v/>
      </c>
      <c r="D59">
        <f>COUNTIFS(RawData!$C$2:$C$941,"MT",RawData!$H$2:$H$941,"&gt;="&amp;$B59,RawData!$H$2:$H$941,"&lt;"&amp;$C59,RawData!$H$2:$H$941,"&lt;&gt;0")</f>
        <v/>
      </c>
      <c r="E59">
        <f>IF(Config!$G$15=0,0,IF(ABS(($A59-Config!$F$15)/Config!$G$15)&lt;=2,$D59,0))</f>
        <v/>
      </c>
      <c r="F59">
        <f>IF(Config!$G$15=0,0,IF(AND(ABS(($A59-Config!$F$15)/Config!$G$15)&gt;2,ABS(($A59-Config!$F$15)/Config!$G$15)&lt;=3),$D59,0))</f>
        <v/>
      </c>
      <c r="G59">
        <f>IF(Config!$G$15=0,0,IF(ABS(($A59-Config!$F$15)/Config!$G$15)&gt;3,$D59,0))</f>
        <v/>
      </c>
      <c r="H59">
        <f>IFERROR(NORM.DIST($A59,Config!$F$15,Config!$G$15,FALSE)*Config!$D$15*Config!$J$15,0)</f>
        <v/>
      </c>
    </row>
    <row r="60">
      <c r="A60" s="6">
        <f>Config!$K$15+26*Config!$J$15+Config!$J$15/2</f>
        <v/>
      </c>
      <c r="B60" s="6">
        <f>$A60-Config!$J$15/2</f>
        <v/>
      </c>
      <c r="C60" s="6">
        <f>$A60+Config!$J$15/2</f>
        <v/>
      </c>
      <c r="D60" s="6">
        <f>COUNTIFS(RawData!$C$2:$C$941,"MT",RawData!$H$2:$H$941,"&gt;="&amp;$B60,RawData!$H$2:$H$941,"&lt;"&amp;$C60,RawData!$H$2:$H$941,"&lt;&gt;0")</f>
        <v/>
      </c>
      <c r="E60" s="6">
        <f>IF(Config!$G$15=0,0,IF(ABS(($A60-Config!$F$15)/Config!$G$15)&lt;=2,$D60,0))</f>
        <v/>
      </c>
      <c r="F60" s="6">
        <f>IF(Config!$G$15=0,0,IF(AND(ABS(($A60-Config!$F$15)/Config!$G$15)&gt;2,ABS(($A60-Config!$F$15)/Config!$G$15)&lt;=3),$D60,0))</f>
        <v/>
      </c>
      <c r="G60" s="6">
        <f>IF(Config!$G$15=0,0,IF(ABS(($A60-Config!$F$15)/Config!$G$15)&gt;3,$D60,0))</f>
        <v/>
      </c>
      <c r="H60" s="6">
        <f>IFERROR(NORM.DIST($A60,Config!$F$15,Config!$G$15,FALSE)*Config!$D$15*Config!$J$15,0)</f>
        <v/>
      </c>
    </row>
    <row r="61">
      <c r="A61">
        <f>Config!$K$15+27*Config!$J$15+Config!$J$15/2</f>
        <v/>
      </c>
      <c r="B61">
        <f>$A61-Config!$J$15/2</f>
        <v/>
      </c>
      <c r="C61">
        <f>$A61+Config!$J$15/2</f>
        <v/>
      </c>
      <c r="D61">
        <f>COUNTIFS(RawData!$C$2:$C$941,"MT",RawData!$H$2:$H$941,"&gt;="&amp;$B61,RawData!$H$2:$H$941,"&lt;"&amp;$C61,RawData!$H$2:$H$941,"&lt;&gt;0")</f>
        <v/>
      </c>
      <c r="E61">
        <f>IF(Config!$G$15=0,0,IF(ABS(($A61-Config!$F$15)/Config!$G$15)&lt;=2,$D61,0))</f>
        <v/>
      </c>
      <c r="F61">
        <f>IF(Config!$G$15=0,0,IF(AND(ABS(($A61-Config!$F$15)/Config!$G$15)&gt;2,ABS(($A61-Config!$F$15)/Config!$G$15)&lt;=3),$D61,0))</f>
        <v/>
      </c>
      <c r="G61">
        <f>IF(Config!$G$15=0,0,IF(ABS(($A61-Config!$F$15)/Config!$G$15)&gt;3,$D61,0))</f>
        <v/>
      </c>
      <c r="H61">
        <f>IFERROR(NORM.DIST($A61,Config!$F$15,Config!$G$15,FALSE)*Config!$D$15*Config!$J$15,0)</f>
        <v/>
      </c>
    </row>
    <row r="62">
      <c r="A62" s="6">
        <f>Config!$K$15+28*Config!$J$15+Config!$J$15/2</f>
        <v/>
      </c>
      <c r="B62" s="6">
        <f>$A62-Config!$J$15/2</f>
        <v/>
      </c>
      <c r="C62" s="6">
        <f>$A62+Config!$J$15/2</f>
        <v/>
      </c>
      <c r="D62" s="6">
        <f>COUNTIFS(RawData!$C$2:$C$941,"MT",RawData!$H$2:$H$941,"&gt;="&amp;$B62,RawData!$H$2:$H$941,"&lt;"&amp;$C62,RawData!$H$2:$H$941,"&lt;&gt;0")</f>
        <v/>
      </c>
      <c r="E62" s="6">
        <f>IF(Config!$G$15=0,0,IF(ABS(($A62-Config!$F$15)/Config!$G$15)&lt;=2,$D62,0))</f>
        <v/>
      </c>
      <c r="F62" s="6">
        <f>IF(Config!$G$15=0,0,IF(AND(ABS(($A62-Config!$F$15)/Config!$G$15)&gt;2,ABS(($A62-Config!$F$15)/Config!$G$15)&lt;=3),$D62,0))</f>
        <v/>
      </c>
      <c r="G62" s="6">
        <f>IF(Config!$G$15=0,0,IF(ABS(($A62-Config!$F$15)/Config!$G$15)&gt;3,$D62,0))</f>
        <v/>
      </c>
      <c r="H62" s="6">
        <f>IFERROR(NORM.DIST($A62,Config!$F$15,Config!$G$15,FALSE)*Config!$D$15*Config!$J$15,0)</f>
        <v/>
      </c>
    </row>
    <row r="63">
      <c r="A63">
        <f>Config!$K$15+29*Config!$J$15+Config!$J$15/2</f>
        <v/>
      </c>
      <c r="B63">
        <f>$A63-Config!$J$15/2</f>
        <v/>
      </c>
      <c r="C63">
        <f>$A63+Config!$J$15/2</f>
        <v/>
      </c>
      <c r="D63">
        <f>COUNTIFS(RawData!$C$2:$C$941,"MT",RawData!$H$2:$H$941,"&gt;="&amp;$B63,RawData!$H$2:$H$941,"&lt;"&amp;$C63,RawData!$H$2:$H$941,"&lt;&gt;0")</f>
        <v/>
      </c>
      <c r="E63">
        <f>IF(Config!$G$15=0,0,IF(ABS(($A63-Config!$F$15)/Config!$G$15)&lt;=2,$D63,0))</f>
        <v/>
      </c>
      <c r="F63">
        <f>IF(Config!$G$15=0,0,IF(AND(ABS(($A63-Config!$F$15)/Config!$G$15)&gt;2,ABS(($A63-Config!$F$15)/Config!$G$15)&lt;=3),$D63,0))</f>
        <v/>
      </c>
      <c r="G63">
        <f>IF(Config!$G$15=0,0,IF(ABS(($A63-Config!$F$15)/Config!$G$15)&gt;3,$D63,0))</f>
        <v/>
      </c>
      <c r="H63">
        <f>IFERROR(NORM.DIST($A63,Config!$F$15,Config!$G$15,FALSE)*Config!$D$15*Config!$J$15,0)</f>
        <v/>
      </c>
    </row>
    <row r="65">
      <c r="A65" s="5" t="inlineStr">
        <is>
          <t>BinCenter</t>
        </is>
      </c>
      <c r="B65" s="5" t="inlineStr">
        <is>
          <t>BinLo</t>
        </is>
      </c>
      <c r="C65" s="5" t="inlineStr">
        <is>
          <t>BinHi</t>
        </is>
      </c>
      <c r="D65" s="5" t="inlineStr">
        <is>
          <t>TotalCount</t>
        </is>
      </c>
      <c r="E65" s="5" t="inlineStr">
        <is>
          <t>Normal</t>
        </is>
      </c>
      <c r="F65" s="5" t="inlineStr">
        <is>
          <t>Warning(2-3s)</t>
        </is>
      </c>
      <c r="G65" s="5" t="inlineStr">
        <is>
          <t>Outlier(&gt;3s)</t>
        </is>
      </c>
      <c r="H65" s="5" t="inlineStr">
        <is>
          <t>CurveY</t>
        </is>
      </c>
    </row>
    <row r="66">
      <c r="A66" s="6">
        <f>Config!$K$16+0*Config!$J$16+Config!$J$16/2</f>
        <v/>
      </c>
      <c r="B66" s="6">
        <f>$A66-Config!$J$16/2</f>
        <v/>
      </c>
      <c r="C66" s="6">
        <f>$A66+Config!$J$16/2</f>
        <v/>
      </c>
      <c r="D66" s="6">
        <f>COUNTIFS(RawData!$C$2:$C$941,"MT",RawData!$I$2:$I$941,"&gt;="&amp;$B66,RawData!$I$2:$I$941,"&lt;"&amp;$C66,RawData!$I$2:$I$941,"&lt;&gt;0")</f>
        <v/>
      </c>
      <c r="E66" s="6">
        <f>IF(Config!$G$16=0,0,IF(ABS(($A66-Config!$F$16)/Config!$G$16)&lt;=2,$D66,0))</f>
        <v/>
      </c>
      <c r="F66" s="6">
        <f>IF(Config!$G$16=0,0,IF(AND(ABS(($A66-Config!$F$16)/Config!$G$16)&gt;2,ABS(($A66-Config!$F$16)/Config!$G$16)&lt;=3),$D66,0))</f>
        <v/>
      </c>
      <c r="G66" s="6">
        <f>IF(Config!$G$16=0,0,IF(ABS(($A66-Config!$F$16)/Config!$G$16)&gt;3,$D66,0))</f>
        <v/>
      </c>
      <c r="H66" s="6">
        <f>IFERROR(NORM.DIST($A66,Config!$F$16,Config!$G$16,FALSE)*Config!$D$16*Config!$J$16,0)</f>
        <v/>
      </c>
    </row>
    <row r="67">
      <c r="A67">
        <f>Config!$K$16+1*Config!$J$16+Config!$J$16/2</f>
        <v/>
      </c>
      <c r="B67">
        <f>$A67-Config!$J$16/2</f>
        <v/>
      </c>
      <c r="C67">
        <f>$A67+Config!$J$16/2</f>
        <v/>
      </c>
      <c r="D67">
        <f>COUNTIFS(RawData!$C$2:$C$941,"MT",RawData!$I$2:$I$941,"&gt;="&amp;$B67,RawData!$I$2:$I$941,"&lt;"&amp;$C67,RawData!$I$2:$I$941,"&lt;&gt;0")</f>
        <v/>
      </c>
      <c r="E67">
        <f>IF(Config!$G$16=0,0,IF(ABS(($A67-Config!$F$16)/Config!$G$16)&lt;=2,$D67,0))</f>
        <v/>
      </c>
      <c r="F67">
        <f>IF(Config!$G$16=0,0,IF(AND(ABS(($A67-Config!$F$16)/Config!$G$16)&gt;2,ABS(($A67-Config!$F$16)/Config!$G$16)&lt;=3),$D67,0))</f>
        <v/>
      </c>
      <c r="G67">
        <f>IF(Config!$G$16=0,0,IF(ABS(($A67-Config!$F$16)/Config!$G$16)&gt;3,$D67,0))</f>
        <v/>
      </c>
      <c r="H67">
        <f>IFERROR(NORM.DIST($A67,Config!$F$16,Config!$G$16,FALSE)*Config!$D$16*Config!$J$16,0)</f>
        <v/>
      </c>
    </row>
    <row r="68">
      <c r="A68" s="6">
        <f>Config!$K$16+2*Config!$J$16+Config!$J$16/2</f>
        <v/>
      </c>
      <c r="B68" s="6">
        <f>$A68-Config!$J$16/2</f>
        <v/>
      </c>
      <c r="C68" s="6">
        <f>$A68+Config!$J$16/2</f>
        <v/>
      </c>
      <c r="D68" s="6">
        <f>COUNTIFS(RawData!$C$2:$C$941,"MT",RawData!$I$2:$I$941,"&gt;="&amp;$B68,RawData!$I$2:$I$941,"&lt;"&amp;$C68,RawData!$I$2:$I$941,"&lt;&gt;0")</f>
        <v/>
      </c>
      <c r="E68" s="6">
        <f>IF(Config!$G$16=0,0,IF(ABS(($A68-Config!$F$16)/Config!$G$16)&lt;=2,$D68,0))</f>
        <v/>
      </c>
      <c r="F68" s="6">
        <f>IF(Config!$G$16=0,0,IF(AND(ABS(($A68-Config!$F$16)/Config!$G$16)&gt;2,ABS(($A68-Config!$F$16)/Config!$G$16)&lt;=3),$D68,0))</f>
        <v/>
      </c>
      <c r="G68" s="6">
        <f>IF(Config!$G$16=0,0,IF(ABS(($A68-Config!$F$16)/Config!$G$16)&gt;3,$D68,0))</f>
        <v/>
      </c>
      <c r="H68" s="6">
        <f>IFERROR(NORM.DIST($A68,Config!$F$16,Config!$G$16,FALSE)*Config!$D$16*Config!$J$16,0)</f>
        <v/>
      </c>
    </row>
    <row r="69">
      <c r="A69">
        <f>Config!$K$16+3*Config!$J$16+Config!$J$16/2</f>
        <v/>
      </c>
      <c r="B69">
        <f>$A69-Config!$J$16/2</f>
        <v/>
      </c>
      <c r="C69">
        <f>$A69+Config!$J$16/2</f>
        <v/>
      </c>
      <c r="D69">
        <f>COUNTIFS(RawData!$C$2:$C$941,"MT",RawData!$I$2:$I$941,"&gt;="&amp;$B69,RawData!$I$2:$I$941,"&lt;"&amp;$C69,RawData!$I$2:$I$941,"&lt;&gt;0")</f>
        <v/>
      </c>
      <c r="E69">
        <f>IF(Config!$G$16=0,0,IF(ABS(($A69-Config!$F$16)/Config!$G$16)&lt;=2,$D69,0))</f>
        <v/>
      </c>
      <c r="F69">
        <f>IF(Config!$G$16=0,0,IF(AND(ABS(($A69-Config!$F$16)/Config!$G$16)&gt;2,ABS(($A69-Config!$F$16)/Config!$G$16)&lt;=3),$D69,0))</f>
        <v/>
      </c>
      <c r="G69">
        <f>IF(Config!$G$16=0,0,IF(ABS(($A69-Config!$F$16)/Config!$G$16)&gt;3,$D69,0))</f>
        <v/>
      </c>
      <c r="H69">
        <f>IFERROR(NORM.DIST($A69,Config!$F$16,Config!$G$16,FALSE)*Config!$D$16*Config!$J$16,0)</f>
        <v/>
      </c>
    </row>
    <row r="70">
      <c r="A70" s="6">
        <f>Config!$K$16+4*Config!$J$16+Config!$J$16/2</f>
        <v/>
      </c>
      <c r="B70" s="6">
        <f>$A70-Config!$J$16/2</f>
        <v/>
      </c>
      <c r="C70" s="6">
        <f>$A70+Config!$J$16/2</f>
        <v/>
      </c>
      <c r="D70" s="6">
        <f>COUNTIFS(RawData!$C$2:$C$941,"MT",RawData!$I$2:$I$941,"&gt;="&amp;$B70,RawData!$I$2:$I$941,"&lt;"&amp;$C70,RawData!$I$2:$I$941,"&lt;&gt;0")</f>
        <v/>
      </c>
      <c r="E70" s="6">
        <f>IF(Config!$G$16=0,0,IF(ABS(($A70-Config!$F$16)/Config!$G$16)&lt;=2,$D70,0))</f>
        <v/>
      </c>
      <c r="F70" s="6">
        <f>IF(Config!$G$16=0,0,IF(AND(ABS(($A70-Config!$F$16)/Config!$G$16)&gt;2,ABS(($A70-Config!$F$16)/Config!$G$16)&lt;=3),$D70,0))</f>
        <v/>
      </c>
      <c r="G70" s="6">
        <f>IF(Config!$G$16=0,0,IF(ABS(($A70-Config!$F$16)/Config!$G$16)&gt;3,$D70,0))</f>
        <v/>
      </c>
      <c r="H70" s="6">
        <f>IFERROR(NORM.DIST($A70,Config!$F$16,Config!$G$16,FALSE)*Config!$D$16*Config!$J$16,0)</f>
        <v/>
      </c>
    </row>
    <row r="71">
      <c r="A71">
        <f>Config!$K$16+5*Config!$J$16+Config!$J$16/2</f>
        <v/>
      </c>
      <c r="B71">
        <f>$A71-Config!$J$16/2</f>
        <v/>
      </c>
      <c r="C71">
        <f>$A71+Config!$J$16/2</f>
        <v/>
      </c>
      <c r="D71">
        <f>COUNTIFS(RawData!$C$2:$C$941,"MT",RawData!$I$2:$I$941,"&gt;="&amp;$B71,RawData!$I$2:$I$941,"&lt;"&amp;$C71,RawData!$I$2:$I$941,"&lt;&gt;0")</f>
        <v/>
      </c>
      <c r="E71">
        <f>IF(Config!$G$16=0,0,IF(ABS(($A71-Config!$F$16)/Config!$G$16)&lt;=2,$D71,0))</f>
        <v/>
      </c>
      <c r="F71">
        <f>IF(Config!$G$16=0,0,IF(AND(ABS(($A71-Config!$F$16)/Config!$G$16)&gt;2,ABS(($A71-Config!$F$16)/Config!$G$16)&lt;=3),$D71,0))</f>
        <v/>
      </c>
      <c r="G71">
        <f>IF(Config!$G$16=0,0,IF(ABS(($A71-Config!$F$16)/Config!$G$16)&gt;3,$D71,0))</f>
        <v/>
      </c>
      <c r="H71">
        <f>IFERROR(NORM.DIST($A71,Config!$F$16,Config!$G$16,FALSE)*Config!$D$16*Config!$J$16,0)</f>
        <v/>
      </c>
    </row>
    <row r="72">
      <c r="A72" s="6">
        <f>Config!$K$16+6*Config!$J$16+Config!$J$16/2</f>
        <v/>
      </c>
      <c r="B72" s="6">
        <f>$A72-Config!$J$16/2</f>
        <v/>
      </c>
      <c r="C72" s="6">
        <f>$A72+Config!$J$16/2</f>
        <v/>
      </c>
      <c r="D72" s="6">
        <f>COUNTIFS(RawData!$C$2:$C$941,"MT",RawData!$I$2:$I$941,"&gt;="&amp;$B72,RawData!$I$2:$I$941,"&lt;"&amp;$C72,RawData!$I$2:$I$941,"&lt;&gt;0")</f>
        <v/>
      </c>
      <c r="E72" s="6">
        <f>IF(Config!$G$16=0,0,IF(ABS(($A72-Config!$F$16)/Config!$G$16)&lt;=2,$D72,0))</f>
        <v/>
      </c>
      <c r="F72" s="6">
        <f>IF(Config!$G$16=0,0,IF(AND(ABS(($A72-Config!$F$16)/Config!$G$16)&gt;2,ABS(($A72-Config!$F$16)/Config!$G$16)&lt;=3),$D72,0))</f>
        <v/>
      </c>
      <c r="G72" s="6">
        <f>IF(Config!$G$16=0,0,IF(ABS(($A72-Config!$F$16)/Config!$G$16)&gt;3,$D72,0))</f>
        <v/>
      </c>
      <c r="H72" s="6">
        <f>IFERROR(NORM.DIST($A72,Config!$F$16,Config!$G$16,FALSE)*Config!$D$16*Config!$J$16,0)</f>
        <v/>
      </c>
    </row>
    <row r="73">
      <c r="A73">
        <f>Config!$K$16+7*Config!$J$16+Config!$J$16/2</f>
        <v/>
      </c>
      <c r="B73">
        <f>$A73-Config!$J$16/2</f>
        <v/>
      </c>
      <c r="C73">
        <f>$A73+Config!$J$16/2</f>
        <v/>
      </c>
      <c r="D73">
        <f>COUNTIFS(RawData!$C$2:$C$941,"MT",RawData!$I$2:$I$941,"&gt;="&amp;$B73,RawData!$I$2:$I$941,"&lt;"&amp;$C73,RawData!$I$2:$I$941,"&lt;&gt;0")</f>
        <v/>
      </c>
      <c r="E73">
        <f>IF(Config!$G$16=0,0,IF(ABS(($A73-Config!$F$16)/Config!$G$16)&lt;=2,$D73,0))</f>
        <v/>
      </c>
      <c r="F73">
        <f>IF(Config!$G$16=0,0,IF(AND(ABS(($A73-Config!$F$16)/Config!$G$16)&gt;2,ABS(($A73-Config!$F$16)/Config!$G$16)&lt;=3),$D73,0))</f>
        <v/>
      </c>
      <c r="G73">
        <f>IF(Config!$G$16=0,0,IF(ABS(($A73-Config!$F$16)/Config!$G$16)&gt;3,$D73,0))</f>
        <v/>
      </c>
      <c r="H73">
        <f>IFERROR(NORM.DIST($A73,Config!$F$16,Config!$G$16,FALSE)*Config!$D$16*Config!$J$16,0)</f>
        <v/>
      </c>
    </row>
    <row r="74">
      <c r="A74" s="6">
        <f>Config!$K$16+8*Config!$J$16+Config!$J$16/2</f>
        <v/>
      </c>
      <c r="B74" s="6">
        <f>$A74-Config!$J$16/2</f>
        <v/>
      </c>
      <c r="C74" s="6">
        <f>$A74+Config!$J$16/2</f>
        <v/>
      </c>
      <c r="D74" s="6">
        <f>COUNTIFS(RawData!$C$2:$C$941,"MT",RawData!$I$2:$I$941,"&gt;="&amp;$B74,RawData!$I$2:$I$941,"&lt;"&amp;$C74,RawData!$I$2:$I$941,"&lt;&gt;0")</f>
        <v/>
      </c>
      <c r="E74" s="6">
        <f>IF(Config!$G$16=0,0,IF(ABS(($A74-Config!$F$16)/Config!$G$16)&lt;=2,$D74,0))</f>
        <v/>
      </c>
      <c r="F74" s="6">
        <f>IF(Config!$G$16=0,0,IF(AND(ABS(($A74-Config!$F$16)/Config!$G$16)&gt;2,ABS(($A74-Config!$F$16)/Config!$G$16)&lt;=3),$D74,0))</f>
        <v/>
      </c>
      <c r="G74" s="6">
        <f>IF(Config!$G$16=0,0,IF(ABS(($A74-Config!$F$16)/Config!$G$16)&gt;3,$D74,0))</f>
        <v/>
      </c>
      <c r="H74" s="6">
        <f>IFERROR(NORM.DIST($A74,Config!$F$16,Config!$G$16,FALSE)*Config!$D$16*Config!$J$16,0)</f>
        <v/>
      </c>
    </row>
    <row r="75">
      <c r="A75">
        <f>Config!$K$16+9*Config!$J$16+Config!$J$16/2</f>
        <v/>
      </c>
      <c r="B75">
        <f>$A75-Config!$J$16/2</f>
        <v/>
      </c>
      <c r="C75">
        <f>$A75+Config!$J$16/2</f>
        <v/>
      </c>
      <c r="D75">
        <f>COUNTIFS(RawData!$C$2:$C$941,"MT",RawData!$I$2:$I$941,"&gt;="&amp;$B75,RawData!$I$2:$I$941,"&lt;"&amp;$C75,RawData!$I$2:$I$941,"&lt;&gt;0")</f>
        <v/>
      </c>
      <c r="E75">
        <f>IF(Config!$G$16=0,0,IF(ABS(($A75-Config!$F$16)/Config!$G$16)&lt;=2,$D75,0))</f>
        <v/>
      </c>
      <c r="F75">
        <f>IF(Config!$G$16=0,0,IF(AND(ABS(($A75-Config!$F$16)/Config!$G$16)&gt;2,ABS(($A75-Config!$F$16)/Config!$G$16)&lt;=3),$D75,0))</f>
        <v/>
      </c>
      <c r="G75">
        <f>IF(Config!$G$16=0,0,IF(ABS(($A75-Config!$F$16)/Config!$G$16)&gt;3,$D75,0))</f>
        <v/>
      </c>
      <c r="H75">
        <f>IFERROR(NORM.DIST($A75,Config!$F$16,Config!$G$16,FALSE)*Config!$D$16*Config!$J$16,0)</f>
        <v/>
      </c>
    </row>
    <row r="76">
      <c r="A76" s="6">
        <f>Config!$K$16+10*Config!$J$16+Config!$J$16/2</f>
        <v/>
      </c>
      <c r="B76" s="6">
        <f>$A76-Config!$J$16/2</f>
        <v/>
      </c>
      <c r="C76" s="6">
        <f>$A76+Config!$J$16/2</f>
        <v/>
      </c>
      <c r="D76" s="6">
        <f>COUNTIFS(RawData!$C$2:$C$941,"MT",RawData!$I$2:$I$941,"&gt;="&amp;$B76,RawData!$I$2:$I$941,"&lt;"&amp;$C76,RawData!$I$2:$I$941,"&lt;&gt;0")</f>
        <v/>
      </c>
      <c r="E76" s="6">
        <f>IF(Config!$G$16=0,0,IF(ABS(($A76-Config!$F$16)/Config!$G$16)&lt;=2,$D76,0))</f>
        <v/>
      </c>
      <c r="F76" s="6">
        <f>IF(Config!$G$16=0,0,IF(AND(ABS(($A76-Config!$F$16)/Config!$G$16)&gt;2,ABS(($A76-Config!$F$16)/Config!$G$16)&lt;=3),$D76,0))</f>
        <v/>
      </c>
      <c r="G76" s="6">
        <f>IF(Config!$G$16=0,0,IF(ABS(($A76-Config!$F$16)/Config!$G$16)&gt;3,$D76,0))</f>
        <v/>
      </c>
      <c r="H76" s="6">
        <f>IFERROR(NORM.DIST($A76,Config!$F$16,Config!$G$16,FALSE)*Config!$D$16*Config!$J$16,0)</f>
        <v/>
      </c>
    </row>
    <row r="77">
      <c r="A77">
        <f>Config!$K$16+11*Config!$J$16+Config!$J$16/2</f>
        <v/>
      </c>
      <c r="B77">
        <f>$A77-Config!$J$16/2</f>
        <v/>
      </c>
      <c r="C77">
        <f>$A77+Config!$J$16/2</f>
        <v/>
      </c>
      <c r="D77">
        <f>COUNTIFS(RawData!$C$2:$C$941,"MT",RawData!$I$2:$I$941,"&gt;="&amp;$B77,RawData!$I$2:$I$941,"&lt;"&amp;$C77,RawData!$I$2:$I$941,"&lt;&gt;0")</f>
        <v/>
      </c>
      <c r="E77">
        <f>IF(Config!$G$16=0,0,IF(ABS(($A77-Config!$F$16)/Config!$G$16)&lt;=2,$D77,0))</f>
        <v/>
      </c>
      <c r="F77">
        <f>IF(Config!$G$16=0,0,IF(AND(ABS(($A77-Config!$F$16)/Config!$G$16)&gt;2,ABS(($A77-Config!$F$16)/Config!$G$16)&lt;=3),$D77,0))</f>
        <v/>
      </c>
      <c r="G77">
        <f>IF(Config!$G$16=0,0,IF(ABS(($A77-Config!$F$16)/Config!$G$16)&gt;3,$D77,0))</f>
        <v/>
      </c>
      <c r="H77">
        <f>IFERROR(NORM.DIST($A77,Config!$F$16,Config!$G$16,FALSE)*Config!$D$16*Config!$J$16,0)</f>
        <v/>
      </c>
    </row>
    <row r="78">
      <c r="A78" s="6">
        <f>Config!$K$16+12*Config!$J$16+Config!$J$16/2</f>
        <v/>
      </c>
      <c r="B78" s="6">
        <f>$A78-Config!$J$16/2</f>
        <v/>
      </c>
      <c r="C78" s="6">
        <f>$A78+Config!$J$16/2</f>
        <v/>
      </c>
      <c r="D78" s="6">
        <f>COUNTIFS(RawData!$C$2:$C$941,"MT",RawData!$I$2:$I$941,"&gt;="&amp;$B78,RawData!$I$2:$I$941,"&lt;"&amp;$C78,RawData!$I$2:$I$941,"&lt;&gt;0")</f>
        <v/>
      </c>
      <c r="E78" s="6">
        <f>IF(Config!$G$16=0,0,IF(ABS(($A78-Config!$F$16)/Config!$G$16)&lt;=2,$D78,0))</f>
        <v/>
      </c>
      <c r="F78" s="6">
        <f>IF(Config!$G$16=0,0,IF(AND(ABS(($A78-Config!$F$16)/Config!$G$16)&gt;2,ABS(($A78-Config!$F$16)/Config!$G$16)&lt;=3),$D78,0))</f>
        <v/>
      </c>
      <c r="G78" s="6">
        <f>IF(Config!$G$16=0,0,IF(ABS(($A78-Config!$F$16)/Config!$G$16)&gt;3,$D78,0))</f>
        <v/>
      </c>
      <c r="H78" s="6">
        <f>IFERROR(NORM.DIST($A78,Config!$F$16,Config!$G$16,FALSE)*Config!$D$16*Config!$J$16,0)</f>
        <v/>
      </c>
    </row>
    <row r="79">
      <c r="A79">
        <f>Config!$K$16+13*Config!$J$16+Config!$J$16/2</f>
        <v/>
      </c>
      <c r="B79">
        <f>$A79-Config!$J$16/2</f>
        <v/>
      </c>
      <c r="C79">
        <f>$A79+Config!$J$16/2</f>
        <v/>
      </c>
      <c r="D79">
        <f>COUNTIFS(RawData!$C$2:$C$941,"MT",RawData!$I$2:$I$941,"&gt;="&amp;$B79,RawData!$I$2:$I$941,"&lt;"&amp;$C79,RawData!$I$2:$I$941,"&lt;&gt;0")</f>
        <v/>
      </c>
      <c r="E79">
        <f>IF(Config!$G$16=0,0,IF(ABS(($A79-Config!$F$16)/Config!$G$16)&lt;=2,$D79,0))</f>
        <v/>
      </c>
      <c r="F79">
        <f>IF(Config!$G$16=0,0,IF(AND(ABS(($A79-Config!$F$16)/Config!$G$16)&gt;2,ABS(($A79-Config!$F$16)/Config!$G$16)&lt;=3),$D79,0))</f>
        <v/>
      </c>
      <c r="G79">
        <f>IF(Config!$G$16=0,0,IF(ABS(($A79-Config!$F$16)/Config!$G$16)&gt;3,$D79,0))</f>
        <v/>
      </c>
      <c r="H79">
        <f>IFERROR(NORM.DIST($A79,Config!$F$16,Config!$G$16,FALSE)*Config!$D$16*Config!$J$16,0)</f>
        <v/>
      </c>
    </row>
    <row r="80">
      <c r="A80" s="6">
        <f>Config!$K$16+14*Config!$J$16+Config!$J$16/2</f>
        <v/>
      </c>
      <c r="B80" s="6">
        <f>$A80-Config!$J$16/2</f>
        <v/>
      </c>
      <c r="C80" s="6">
        <f>$A80+Config!$J$16/2</f>
        <v/>
      </c>
      <c r="D80" s="6">
        <f>COUNTIFS(RawData!$C$2:$C$941,"MT",RawData!$I$2:$I$941,"&gt;="&amp;$B80,RawData!$I$2:$I$941,"&lt;"&amp;$C80,RawData!$I$2:$I$941,"&lt;&gt;0")</f>
        <v/>
      </c>
      <c r="E80" s="6">
        <f>IF(Config!$G$16=0,0,IF(ABS(($A80-Config!$F$16)/Config!$G$16)&lt;=2,$D80,0))</f>
        <v/>
      </c>
      <c r="F80" s="6">
        <f>IF(Config!$G$16=0,0,IF(AND(ABS(($A80-Config!$F$16)/Config!$G$16)&gt;2,ABS(($A80-Config!$F$16)/Config!$G$16)&lt;=3),$D80,0))</f>
        <v/>
      </c>
      <c r="G80" s="6">
        <f>IF(Config!$G$16=0,0,IF(ABS(($A80-Config!$F$16)/Config!$G$16)&gt;3,$D80,0))</f>
        <v/>
      </c>
      <c r="H80" s="6">
        <f>IFERROR(NORM.DIST($A80,Config!$F$16,Config!$G$16,FALSE)*Config!$D$16*Config!$J$16,0)</f>
        <v/>
      </c>
    </row>
    <row r="81">
      <c r="A81">
        <f>Config!$K$16+15*Config!$J$16+Config!$J$16/2</f>
        <v/>
      </c>
      <c r="B81">
        <f>$A81-Config!$J$16/2</f>
        <v/>
      </c>
      <c r="C81">
        <f>$A81+Config!$J$16/2</f>
        <v/>
      </c>
      <c r="D81">
        <f>COUNTIFS(RawData!$C$2:$C$941,"MT",RawData!$I$2:$I$941,"&gt;="&amp;$B81,RawData!$I$2:$I$941,"&lt;"&amp;$C81,RawData!$I$2:$I$941,"&lt;&gt;0")</f>
        <v/>
      </c>
      <c r="E81">
        <f>IF(Config!$G$16=0,0,IF(ABS(($A81-Config!$F$16)/Config!$G$16)&lt;=2,$D81,0))</f>
        <v/>
      </c>
      <c r="F81">
        <f>IF(Config!$G$16=0,0,IF(AND(ABS(($A81-Config!$F$16)/Config!$G$16)&gt;2,ABS(($A81-Config!$F$16)/Config!$G$16)&lt;=3),$D81,0))</f>
        <v/>
      </c>
      <c r="G81">
        <f>IF(Config!$G$16=0,0,IF(ABS(($A81-Config!$F$16)/Config!$G$16)&gt;3,$D81,0))</f>
        <v/>
      </c>
      <c r="H81">
        <f>IFERROR(NORM.DIST($A81,Config!$F$16,Config!$G$16,FALSE)*Config!$D$16*Config!$J$16,0)</f>
        <v/>
      </c>
    </row>
    <row r="82">
      <c r="A82" s="6">
        <f>Config!$K$16+16*Config!$J$16+Config!$J$16/2</f>
        <v/>
      </c>
      <c r="B82" s="6">
        <f>$A82-Config!$J$16/2</f>
        <v/>
      </c>
      <c r="C82" s="6">
        <f>$A82+Config!$J$16/2</f>
        <v/>
      </c>
      <c r="D82" s="6">
        <f>COUNTIFS(RawData!$C$2:$C$941,"MT",RawData!$I$2:$I$941,"&gt;="&amp;$B82,RawData!$I$2:$I$941,"&lt;"&amp;$C82,RawData!$I$2:$I$941,"&lt;&gt;0")</f>
        <v/>
      </c>
      <c r="E82" s="6">
        <f>IF(Config!$G$16=0,0,IF(ABS(($A82-Config!$F$16)/Config!$G$16)&lt;=2,$D82,0))</f>
        <v/>
      </c>
      <c r="F82" s="6">
        <f>IF(Config!$G$16=0,0,IF(AND(ABS(($A82-Config!$F$16)/Config!$G$16)&gt;2,ABS(($A82-Config!$F$16)/Config!$G$16)&lt;=3),$D82,0))</f>
        <v/>
      </c>
      <c r="G82" s="6">
        <f>IF(Config!$G$16=0,0,IF(ABS(($A82-Config!$F$16)/Config!$G$16)&gt;3,$D82,0))</f>
        <v/>
      </c>
      <c r="H82" s="6">
        <f>IFERROR(NORM.DIST($A82,Config!$F$16,Config!$G$16,FALSE)*Config!$D$16*Config!$J$16,0)</f>
        <v/>
      </c>
    </row>
    <row r="83">
      <c r="A83">
        <f>Config!$K$16+17*Config!$J$16+Config!$J$16/2</f>
        <v/>
      </c>
      <c r="B83">
        <f>$A83-Config!$J$16/2</f>
        <v/>
      </c>
      <c r="C83">
        <f>$A83+Config!$J$16/2</f>
        <v/>
      </c>
      <c r="D83">
        <f>COUNTIFS(RawData!$C$2:$C$941,"MT",RawData!$I$2:$I$941,"&gt;="&amp;$B83,RawData!$I$2:$I$941,"&lt;"&amp;$C83,RawData!$I$2:$I$941,"&lt;&gt;0")</f>
        <v/>
      </c>
      <c r="E83">
        <f>IF(Config!$G$16=0,0,IF(ABS(($A83-Config!$F$16)/Config!$G$16)&lt;=2,$D83,0))</f>
        <v/>
      </c>
      <c r="F83">
        <f>IF(Config!$G$16=0,0,IF(AND(ABS(($A83-Config!$F$16)/Config!$G$16)&gt;2,ABS(($A83-Config!$F$16)/Config!$G$16)&lt;=3),$D83,0))</f>
        <v/>
      </c>
      <c r="G83">
        <f>IF(Config!$G$16=0,0,IF(ABS(($A83-Config!$F$16)/Config!$G$16)&gt;3,$D83,0))</f>
        <v/>
      </c>
      <c r="H83">
        <f>IFERROR(NORM.DIST($A83,Config!$F$16,Config!$G$16,FALSE)*Config!$D$16*Config!$J$16,0)</f>
        <v/>
      </c>
    </row>
    <row r="84">
      <c r="A84" s="6">
        <f>Config!$K$16+18*Config!$J$16+Config!$J$16/2</f>
        <v/>
      </c>
      <c r="B84" s="6">
        <f>$A84-Config!$J$16/2</f>
        <v/>
      </c>
      <c r="C84" s="6">
        <f>$A84+Config!$J$16/2</f>
        <v/>
      </c>
      <c r="D84" s="6">
        <f>COUNTIFS(RawData!$C$2:$C$941,"MT",RawData!$I$2:$I$941,"&gt;="&amp;$B84,RawData!$I$2:$I$941,"&lt;"&amp;$C84,RawData!$I$2:$I$941,"&lt;&gt;0")</f>
        <v/>
      </c>
      <c r="E84" s="6">
        <f>IF(Config!$G$16=0,0,IF(ABS(($A84-Config!$F$16)/Config!$G$16)&lt;=2,$D84,0))</f>
        <v/>
      </c>
      <c r="F84" s="6">
        <f>IF(Config!$G$16=0,0,IF(AND(ABS(($A84-Config!$F$16)/Config!$G$16)&gt;2,ABS(($A84-Config!$F$16)/Config!$G$16)&lt;=3),$D84,0))</f>
        <v/>
      </c>
      <c r="G84" s="6">
        <f>IF(Config!$G$16=0,0,IF(ABS(($A84-Config!$F$16)/Config!$G$16)&gt;3,$D84,0))</f>
        <v/>
      </c>
      <c r="H84" s="6">
        <f>IFERROR(NORM.DIST($A84,Config!$F$16,Config!$G$16,FALSE)*Config!$D$16*Config!$J$16,0)</f>
        <v/>
      </c>
    </row>
    <row r="85">
      <c r="A85">
        <f>Config!$K$16+19*Config!$J$16+Config!$J$16/2</f>
        <v/>
      </c>
      <c r="B85">
        <f>$A85-Config!$J$16/2</f>
        <v/>
      </c>
      <c r="C85">
        <f>$A85+Config!$J$16/2</f>
        <v/>
      </c>
      <c r="D85">
        <f>COUNTIFS(RawData!$C$2:$C$941,"MT",RawData!$I$2:$I$941,"&gt;="&amp;$B85,RawData!$I$2:$I$941,"&lt;"&amp;$C85,RawData!$I$2:$I$941,"&lt;&gt;0")</f>
        <v/>
      </c>
      <c r="E85">
        <f>IF(Config!$G$16=0,0,IF(ABS(($A85-Config!$F$16)/Config!$G$16)&lt;=2,$D85,0))</f>
        <v/>
      </c>
      <c r="F85">
        <f>IF(Config!$G$16=0,0,IF(AND(ABS(($A85-Config!$F$16)/Config!$G$16)&gt;2,ABS(($A85-Config!$F$16)/Config!$G$16)&lt;=3),$D85,0))</f>
        <v/>
      </c>
      <c r="G85">
        <f>IF(Config!$G$16=0,0,IF(ABS(($A85-Config!$F$16)/Config!$G$16)&gt;3,$D85,0))</f>
        <v/>
      </c>
      <c r="H85">
        <f>IFERROR(NORM.DIST($A85,Config!$F$16,Config!$G$16,FALSE)*Config!$D$16*Config!$J$16,0)</f>
        <v/>
      </c>
    </row>
    <row r="86">
      <c r="A86" s="6">
        <f>Config!$K$16+20*Config!$J$16+Config!$J$16/2</f>
        <v/>
      </c>
      <c r="B86" s="6">
        <f>$A86-Config!$J$16/2</f>
        <v/>
      </c>
      <c r="C86" s="6">
        <f>$A86+Config!$J$16/2</f>
        <v/>
      </c>
      <c r="D86" s="6">
        <f>COUNTIFS(RawData!$C$2:$C$941,"MT",RawData!$I$2:$I$941,"&gt;="&amp;$B86,RawData!$I$2:$I$941,"&lt;"&amp;$C86,RawData!$I$2:$I$941,"&lt;&gt;0")</f>
        <v/>
      </c>
      <c r="E86" s="6">
        <f>IF(Config!$G$16=0,0,IF(ABS(($A86-Config!$F$16)/Config!$G$16)&lt;=2,$D86,0))</f>
        <v/>
      </c>
      <c r="F86" s="6">
        <f>IF(Config!$G$16=0,0,IF(AND(ABS(($A86-Config!$F$16)/Config!$G$16)&gt;2,ABS(($A86-Config!$F$16)/Config!$G$16)&lt;=3),$D86,0))</f>
        <v/>
      </c>
      <c r="G86" s="6">
        <f>IF(Config!$G$16=0,0,IF(ABS(($A86-Config!$F$16)/Config!$G$16)&gt;3,$D86,0))</f>
        <v/>
      </c>
      <c r="H86" s="6">
        <f>IFERROR(NORM.DIST($A86,Config!$F$16,Config!$G$16,FALSE)*Config!$D$16*Config!$J$16,0)</f>
        <v/>
      </c>
    </row>
    <row r="87">
      <c r="A87">
        <f>Config!$K$16+21*Config!$J$16+Config!$J$16/2</f>
        <v/>
      </c>
      <c r="B87">
        <f>$A87-Config!$J$16/2</f>
        <v/>
      </c>
      <c r="C87">
        <f>$A87+Config!$J$16/2</f>
        <v/>
      </c>
      <c r="D87">
        <f>COUNTIFS(RawData!$C$2:$C$941,"MT",RawData!$I$2:$I$941,"&gt;="&amp;$B87,RawData!$I$2:$I$941,"&lt;"&amp;$C87,RawData!$I$2:$I$941,"&lt;&gt;0")</f>
        <v/>
      </c>
      <c r="E87">
        <f>IF(Config!$G$16=0,0,IF(ABS(($A87-Config!$F$16)/Config!$G$16)&lt;=2,$D87,0))</f>
        <v/>
      </c>
      <c r="F87">
        <f>IF(Config!$G$16=0,0,IF(AND(ABS(($A87-Config!$F$16)/Config!$G$16)&gt;2,ABS(($A87-Config!$F$16)/Config!$G$16)&lt;=3),$D87,0))</f>
        <v/>
      </c>
      <c r="G87">
        <f>IF(Config!$G$16=0,0,IF(ABS(($A87-Config!$F$16)/Config!$G$16)&gt;3,$D87,0))</f>
        <v/>
      </c>
      <c r="H87">
        <f>IFERROR(NORM.DIST($A87,Config!$F$16,Config!$G$16,FALSE)*Config!$D$16*Config!$J$16,0)</f>
        <v/>
      </c>
    </row>
    <row r="88">
      <c r="A88" s="6">
        <f>Config!$K$16+22*Config!$J$16+Config!$J$16/2</f>
        <v/>
      </c>
      <c r="B88" s="6">
        <f>$A88-Config!$J$16/2</f>
        <v/>
      </c>
      <c r="C88" s="6">
        <f>$A88+Config!$J$16/2</f>
        <v/>
      </c>
      <c r="D88" s="6">
        <f>COUNTIFS(RawData!$C$2:$C$941,"MT",RawData!$I$2:$I$941,"&gt;="&amp;$B88,RawData!$I$2:$I$941,"&lt;"&amp;$C88,RawData!$I$2:$I$941,"&lt;&gt;0")</f>
        <v/>
      </c>
      <c r="E88" s="6">
        <f>IF(Config!$G$16=0,0,IF(ABS(($A88-Config!$F$16)/Config!$G$16)&lt;=2,$D88,0))</f>
        <v/>
      </c>
      <c r="F88" s="6">
        <f>IF(Config!$G$16=0,0,IF(AND(ABS(($A88-Config!$F$16)/Config!$G$16)&gt;2,ABS(($A88-Config!$F$16)/Config!$G$16)&lt;=3),$D88,0))</f>
        <v/>
      </c>
      <c r="G88" s="6">
        <f>IF(Config!$G$16=0,0,IF(ABS(($A88-Config!$F$16)/Config!$G$16)&gt;3,$D88,0))</f>
        <v/>
      </c>
      <c r="H88" s="6">
        <f>IFERROR(NORM.DIST($A88,Config!$F$16,Config!$G$16,FALSE)*Config!$D$16*Config!$J$16,0)</f>
        <v/>
      </c>
    </row>
    <row r="89">
      <c r="A89">
        <f>Config!$K$16+23*Config!$J$16+Config!$J$16/2</f>
        <v/>
      </c>
      <c r="B89">
        <f>$A89-Config!$J$16/2</f>
        <v/>
      </c>
      <c r="C89">
        <f>$A89+Config!$J$16/2</f>
        <v/>
      </c>
      <c r="D89">
        <f>COUNTIFS(RawData!$C$2:$C$941,"MT",RawData!$I$2:$I$941,"&gt;="&amp;$B89,RawData!$I$2:$I$941,"&lt;"&amp;$C89,RawData!$I$2:$I$941,"&lt;&gt;0")</f>
        <v/>
      </c>
      <c r="E89">
        <f>IF(Config!$G$16=0,0,IF(ABS(($A89-Config!$F$16)/Config!$G$16)&lt;=2,$D89,0))</f>
        <v/>
      </c>
      <c r="F89">
        <f>IF(Config!$G$16=0,0,IF(AND(ABS(($A89-Config!$F$16)/Config!$G$16)&gt;2,ABS(($A89-Config!$F$16)/Config!$G$16)&lt;=3),$D89,0))</f>
        <v/>
      </c>
      <c r="G89">
        <f>IF(Config!$G$16=0,0,IF(ABS(($A89-Config!$F$16)/Config!$G$16)&gt;3,$D89,0))</f>
        <v/>
      </c>
      <c r="H89">
        <f>IFERROR(NORM.DIST($A89,Config!$F$16,Config!$G$16,FALSE)*Config!$D$16*Config!$J$16,0)</f>
        <v/>
      </c>
    </row>
    <row r="90">
      <c r="A90" s="6">
        <f>Config!$K$16+24*Config!$J$16+Config!$J$16/2</f>
        <v/>
      </c>
      <c r="B90" s="6">
        <f>$A90-Config!$J$16/2</f>
        <v/>
      </c>
      <c r="C90" s="6">
        <f>$A90+Config!$J$16/2</f>
        <v/>
      </c>
      <c r="D90" s="6">
        <f>COUNTIFS(RawData!$C$2:$C$941,"MT",RawData!$I$2:$I$941,"&gt;="&amp;$B90,RawData!$I$2:$I$941,"&lt;"&amp;$C90,RawData!$I$2:$I$941,"&lt;&gt;0")</f>
        <v/>
      </c>
      <c r="E90" s="6">
        <f>IF(Config!$G$16=0,0,IF(ABS(($A90-Config!$F$16)/Config!$G$16)&lt;=2,$D90,0))</f>
        <v/>
      </c>
      <c r="F90" s="6">
        <f>IF(Config!$G$16=0,0,IF(AND(ABS(($A90-Config!$F$16)/Config!$G$16)&gt;2,ABS(($A90-Config!$F$16)/Config!$G$16)&lt;=3),$D90,0))</f>
        <v/>
      </c>
      <c r="G90" s="6">
        <f>IF(Config!$G$16=0,0,IF(ABS(($A90-Config!$F$16)/Config!$G$16)&gt;3,$D90,0))</f>
        <v/>
      </c>
      <c r="H90" s="6">
        <f>IFERROR(NORM.DIST($A90,Config!$F$16,Config!$G$16,FALSE)*Config!$D$16*Config!$J$16,0)</f>
        <v/>
      </c>
    </row>
    <row r="91">
      <c r="A91">
        <f>Config!$K$16+25*Config!$J$16+Config!$J$16/2</f>
        <v/>
      </c>
      <c r="B91">
        <f>$A91-Config!$J$16/2</f>
        <v/>
      </c>
      <c r="C91">
        <f>$A91+Config!$J$16/2</f>
        <v/>
      </c>
      <c r="D91">
        <f>COUNTIFS(RawData!$C$2:$C$941,"MT",RawData!$I$2:$I$941,"&gt;="&amp;$B91,RawData!$I$2:$I$941,"&lt;"&amp;$C91,RawData!$I$2:$I$941,"&lt;&gt;0")</f>
        <v/>
      </c>
      <c r="E91">
        <f>IF(Config!$G$16=0,0,IF(ABS(($A91-Config!$F$16)/Config!$G$16)&lt;=2,$D91,0))</f>
        <v/>
      </c>
      <c r="F91">
        <f>IF(Config!$G$16=0,0,IF(AND(ABS(($A91-Config!$F$16)/Config!$G$16)&gt;2,ABS(($A91-Config!$F$16)/Config!$G$16)&lt;=3),$D91,0))</f>
        <v/>
      </c>
      <c r="G91">
        <f>IF(Config!$G$16=0,0,IF(ABS(($A91-Config!$F$16)/Config!$G$16)&gt;3,$D91,0))</f>
        <v/>
      </c>
      <c r="H91">
        <f>IFERROR(NORM.DIST($A91,Config!$F$16,Config!$G$16,FALSE)*Config!$D$16*Config!$J$16,0)</f>
        <v/>
      </c>
    </row>
    <row r="92">
      <c r="A92" s="6">
        <f>Config!$K$16+26*Config!$J$16+Config!$J$16/2</f>
        <v/>
      </c>
      <c r="B92" s="6">
        <f>$A92-Config!$J$16/2</f>
        <v/>
      </c>
      <c r="C92" s="6">
        <f>$A92+Config!$J$16/2</f>
        <v/>
      </c>
      <c r="D92" s="6">
        <f>COUNTIFS(RawData!$C$2:$C$941,"MT",RawData!$I$2:$I$941,"&gt;="&amp;$B92,RawData!$I$2:$I$941,"&lt;"&amp;$C92,RawData!$I$2:$I$941,"&lt;&gt;0")</f>
        <v/>
      </c>
      <c r="E92" s="6">
        <f>IF(Config!$G$16=0,0,IF(ABS(($A92-Config!$F$16)/Config!$G$16)&lt;=2,$D92,0))</f>
        <v/>
      </c>
      <c r="F92" s="6">
        <f>IF(Config!$G$16=0,0,IF(AND(ABS(($A92-Config!$F$16)/Config!$G$16)&gt;2,ABS(($A92-Config!$F$16)/Config!$G$16)&lt;=3),$D92,0))</f>
        <v/>
      </c>
      <c r="G92" s="6">
        <f>IF(Config!$G$16=0,0,IF(ABS(($A92-Config!$F$16)/Config!$G$16)&gt;3,$D92,0))</f>
        <v/>
      </c>
      <c r="H92" s="6">
        <f>IFERROR(NORM.DIST($A92,Config!$F$16,Config!$G$16,FALSE)*Config!$D$16*Config!$J$16,0)</f>
        <v/>
      </c>
    </row>
    <row r="93">
      <c r="A93">
        <f>Config!$K$16+27*Config!$J$16+Config!$J$16/2</f>
        <v/>
      </c>
      <c r="B93">
        <f>$A93-Config!$J$16/2</f>
        <v/>
      </c>
      <c r="C93">
        <f>$A93+Config!$J$16/2</f>
        <v/>
      </c>
      <c r="D93">
        <f>COUNTIFS(RawData!$C$2:$C$941,"MT",RawData!$I$2:$I$941,"&gt;="&amp;$B93,RawData!$I$2:$I$941,"&lt;"&amp;$C93,RawData!$I$2:$I$941,"&lt;&gt;0")</f>
        <v/>
      </c>
      <c r="E93">
        <f>IF(Config!$G$16=0,0,IF(ABS(($A93-Config!$F$16)/Config!$G$16)&lt;=2,$D93,0))</f>
        <v/>
      </c>
      <c r="F93">
        <f>IF(Config!$G$16=0,0,IF(AND(ABS(($A93-Config!$F$16)/Config!$G$16)&gt;2,ABS(($A93-Config!$F$16)/Config!$G$16)&lt;=3),$D93,0))</f>
        <v/>
      </c>
      <c r="G93">
        <f>IF(Config!$G$16=0,0,IF(ABS(($A93-Config!$F$16)/Config!$G$16)&gt;3,$D93,0))</f>
        <v/>
      </c>
      <c r="H93">
        <f>IFERROR(NORM.DIST($A93,Config!$F$16,Config!$G$16,FALSE)*Config!$D$16*Config!$J$16,0)</f>
        <v/>
      </c>
    </row>
    <row r="94">
      <c r="A94" s="6">
        <f>Config!$K$16+28*Config!$J$16+Config!$J$16/2</f>
        <v/>
      </c>
      <c r="B94" s="6">
        <f>$A94-Config!$J$16/2</f>
        <v/>
      </c>
      <c r="C94" s="6">
        <f>$A94+Config!$J$16/2</f>
        <v/>
      </c>
      <c r="D94" s="6">
        <f>COUNTIFS(RawData!$C$2:$C$941,"MT",RawData!$I$2:$I$941,"&gt;="&amp;$B94,RawData!$I$2:$I$941,"&lt;"&amp;$C94,RawData!$I$2:$I$941,"&lt;&gt;0")</f>
        <v/>
      </c>
      <c r="E94" s="6">
        <f>IF(Config!$G$16=0,0,IF(ABS(($A94-Config!$F$16)/Config!$G$16)&lt;=2,$D94,0))</f>
        <v/>
      </c>
      <c r="F94" s="6">
        <f>IF(Config!$G$16=0,0,IF(AND(ABS(($A94-Config!$F$16)/Config!$G$16)&gt;2,ABS(($A94-Config!$F$16)/Config!$G$16)&lt;=3),$D94,0))</f>
        <v/>
      </c>
      <c r="G94" s="6">
        <f>IF(Config!$G$16=0,0,IF(ABS(($A94-Config!$F$16)/Config!$G$16)&gt;3,$D94,0))</f>
        <v/>
      </c>
      <c r="H94" s="6">
        <f>IFERROR(NORM.DIST($A94,Config!$F$16,Config!$G$16,FALSE)*Config!$D$16*Config!$J$16,0)</f>
        <v/>
      </c>
    </row>
    <row r="95">
      <c r="A95">
        <f>Config!$K$16+29*Config!$J$16+Config!$J$16/2</f>
        <v/>
      </c>
      <c r="B95">
        <f>$A95-Config!$J$16/2</f>
        <v/>
      </c>
      <c r="C95">
        <f>$A95+Config!$J$16/2</f>
        <v/>
      </c>
      <c r="D95">
        <f>COUNTIFS(RawData!$C$2:$C$941,"MT",RawData!$I$2:$I$941,"&gt;="&amp;$B95,RawData!$I$2:$I$941,"&lt;"&amp;$C95,RawData!$I$2:$I$941,"&lt;&gt;0")</f>
        <v/>
      </c>
      <c r="E95">
        <f>IF(Config!$G$16=0,0,IF(ABS(($A95-Config!$F$16)/Config!$G$16)&lt;=2,$D95,0))</f>
        <v/>
      </c>
      <c r="F95">
        <f>IF(Config!$G$16=0,0,IF(AND(ABS(($A95-Config!$F$16)/Config!$G$16)&gt;2,ABS(($A95-Config!$F$16)/Config!$G$16)&lt;=3),$D95,0))</f>
        <v/>
      </c>
      <c r="G95">
        <f>IF(Config!$G$16=0,0,IF(ABS(($A95-Config!$F$16)/Config!$G$16)&gt;3,$D95,0))</f>
        <v/>
      </c>
      <c r="H95">
        <f>IFERROR(NORM.DIST($A95,Config!$F$16,Config!$G$16,FALSE)*Config!$D$16*Config!$J$16,0)</f>
        <v/>
      </c>
    </row>
    <row r="97">
      <c r="A97" s="5" t="inlineStr">
        <is>
          <t>BinCenter</t>
        </is>
      </c>
      <c r="B97" s="5" t="inlineStr">
        <is>
          <t>BinLo</t>
        </is>
      </c>
      <c r="C97" s="5" t="inlineStr">
        <is>
          <t>BinHi</t>
        </is>
      </c>
      <c r="D97" s="5" t="inlineStr">
        <is>
          <t>TotalCount</t>
        </is>
      </c>
      <c r="E97" s="5" t="inlineStr">
        <is>
          <t>Normal</t>
        </is>
      </c>
      <c r="F97" s="5" t="inlineStr">
        <is>
          <t>Warning(2-3s)</t>
        </is>
      </c>
      <c r="G97" s="5" t="inlineStr">
        <is>
          <t>Outlier(&gt;3s)</t>
        </is>
      </c>
      <c r="H97" s="5" t="inlineStr">
        <is>
          <t>CurveY</t>
        </is>
      </c>
    </row>
    <row r="98">
      <c r="A98" s="6">
        <f>Config!$K$17+0*Config!$J$17+Config!$J$17/2</f>
        <v/>
      </c>
      <c r="B98" s="6">
        <f>$A98-Config!$J$17/2</f>
        <v/>
      </c>
      <c r="C98" s="6">
        <f>$A98+Config!$J$17/2</f>
        <v/>
      </c>
      <c r="D98" s="6">
        <f>COUNTIFS(RawData!$C$2:$C$941,"MT",RawData!$J$2:$J$941,"&gt;="&amp;$B98,RawData!$J$2:$J$941,"&lt;"&amp;$C98,RawData!$J$2:$J$941,"&lt;&gt;0")</f>
        <v/>
      </c>
      <c r="E98" s="6">
        <f>IF(Config!$G$17=0,0,IF(ABS(($A98-Config!$F$17)/Config!$G$17)&lt;=2,$D98,0))</f>
        <v/>
      </c>
      <c r="F98" s="6">
        <f>IF(Config!$G$17=0,0,IF(AND(ABS(($A98-Config!$F$17)/Config!$G$17)&gt;2,ABS(($A98-Config!$F$17)/Config!$G$17)&lt;=3),$D98,0))</f>
        <v/>
      </c>
      <c r="G98" s="6">
        <f>IF(Config!$G$17=0,0,IF(ABS(($A98-Config!$F$17)/Config!$G$17)&gt;3,$D98,0))</f>
        <v/>
      </c>
      <c r="H98" s="6">
        <f>IFERROR(NORM.DIST($A98,Config!$F$17,Config!$G$17,FALSE)*Config!$D$17*Config!$J$17,0)</f>
        <v/>
      </c>
    </row>
    <row r="99">
      <c r="A99">
        <f>Config!$K$17+1*Config!$J$17+Config!$J$17/2</f>
        <v/>
      </c>
      <c r="B99">
        <f>$A99-Config!$J$17/2</f>
        <v/>
      </c>
      <c r="C99">
        <f>$A99+Config!$J$17/2</f>
        <v/>
      </c>
      <c r="D99">
        <f>COUNTIFS(RawData!$C$2:$C$941,"MT",RawData!$J$2:$J$941,"&gt;="&amp;$B99,RawData!$J$2:$J$941,"&lt;"&amp;$C99,RawData!$J$2:$J$941,"&lt;&gt;0")</f>
        <v/>
      </c>
      <c r="E99">
        <f>IF(Config!$G$17=0,0,IF(ABS(($A99-Config!$F$17)/Config!$G$17)&lt;=2,$D99,0))</f>
        <v/>
      </c>
      <c r="F99">
        <f>IF(Config!$G$17=0,0,IF(AND(ABS(($A99-Config!$F$17)/Config!$G$17)&gt;2,ABS(($A99-Config!$F$17)/Config!$G$17)&lt;=3),$D99,0))</f>
        <v/>
      </c>
      <c r="G99">
        <f>IF(Config!$G$17=0,0,IF(ABS(($A99-Config!$F$17)/Config!$G$17)&gt;3,$D99,0))</f>
        <v/>
      </c>
      <c r="H99">
        <f>IFERROR(NORM.DIST($A99,Config!$F$17,Config!$G$17,FALSE)*Config!$D$17*Config!$J$17,0)</f>
        <v/>
      </c>
    </row>
    <row r="100">
      <c r="A100" s="6">
        <f>Config!$K$17+2*Config!$J$17+Config!$J$17/2</f>
        <v/>
      </c>
      <c r="B100" s="6">
        <f>$A100-Config!$J$17/2</f>
        <v/>
      </c>
      <c r="C100" s="6">
        <f>$A100+Config!$J$17/2</f>
        <v/>
      </c>
      <c r="D100" s="6">
        <f>COUNTIFS(RawData!$C$2:$C$941,"MT",RawData!$J$2:$J$941,"&gt;="&amp;$B100,RawData!$J$2:$J$941,"&lt;"&amp;$C100,RawData!$J$2:$J$941,"&lt;&gt;0")</f>
        <v/>
      </c>
      <c r="E100" s="6">
        <f>IF(Config!$G$17=0,0,IF(ABS(($A100-Config!$F$17)/Config!$G$17)&lt;=2,$D100,0))</f>
        <v/>
      </c>
      <c r="F100" s="6">
        <f>IF(Config!$G$17=0,0,IF(AND(ABS(($A100-Config!$F$17)/Config!$G$17)&gt;2,ABS(($A100-Config!$F$17)/Config!$G$17)&lt;=3),$D100,0))</f>
        <v/>
      </c>
      <c r="G100" s="6">
        <f>IF(Config!$G$17=0,0,IF(ABS(($A100-Config!$F$17)/Config!$G$17)&gt;3,$D100,0))</f>
        <v/>
      </c>
      <c r="H100" s="6">
        <f>IFERROR(NORM.DIST($A100,Config!$F$17,Config!$G$17,FALSE)*Config!$D$17*Config!$J$17,0)</f>
        <v/>
      </c>
    </row>
    <row r="101">
      <c r="A101">
        <f>Config!$K$17+3*Config!$J$17+Config!$J$17/2</f>
        <v/>
      </c>
      <c r="B101">
        <f>$A101-Config!$J$17/2</f>
        <v/>
      </c>
      <c r="C101">
        <f>$A101+Config!$J$17/2</f>
        <v/>
      </c>
      <c r="D101">
        <f>COUNTIFS(RawData!$C$2:$C$941,"MT",RawData!$J$2:$J$941,"&gt;="&amp;$B101,RawData!$J$2:$J$941,"&lt;"&amp;$C101,RawData!$J$2:$J$941,"&lt;&gt;0")</f>
        <v/>
      </c>
      <c r="E101">
        <f>IF(Config!$G$17=0,0,IF(ABS(($A101-Config!$F$17)/Config!$G$17)&lt;=2,$D101,0))</f>
        <v/>
      </c>
      <c r="F101">
        <f>IF(Config!$G$17=0,0,IF(AND(ABS(($A101-Config!$F$17)/Config!$G$17)&gt;2,ABS(($A101-Config!$F$17)/Config!$G$17)&lt;=3),$D101,0))</f>
        <v/>
      </c>
      <c r="G101">
        <f>IF(Config!$G$17=0,0,IF(ABS(($A101-Config!$F$17)/Config!$G$17)&gt;3,$D101,0))</f>
        <v/>
      </c>
      <c r="H101">
        <f>IFERROR(NORM.DIST($A101,Config!$F$17,Config!$G$17,FALSE)*Config!$D$17*Config!$J$17,0)</f>
        <v/>
      </c>
    </row>
    <row r="102">
      <c r="A102" s="6">
        <f>Config!$K$17+4*Config!$J$17+Config!$J$17/2</f>
        <v/>
      </c>
      <c r="B102" s="6">
        <f>$A102-Config!$J$17/2</f>
        <v/>
      </c>
      <c r="C102" s="6">
        <f>$A102+Config!$J$17/2</f>
        <v/>
      </c>
      <c r="D102" s="6">
        <f>COUNTIFS(RawData!$C$2:$C$941,"MT",RawData!$J$2:$J$941,"&gt;="&amp;$B102,RawData!$J$2:$J$941,"&lt;"&amp;$C102,RawData!$J$2:$J$941,"&lt;&gt;0")</f>
        <v/>
      </c>
      <c r="E102" s="6">
        <f>IF(Config!$G$17=0,0,IF(ABS(($A102-Config!$F$17)/Config!$G$17)&lt;=2,$D102,0))</f>
        <v/>
      </c>
      <c r="F102" s="6">
        <f>IF(Config!$G$17=0,0,IF(AND(ABS(($A102-Config!$F$17)/Config!$G$17)&gt;2,ABS(($A102-Config!$F$17)/Config!$G$17)&lt;=3),$D102,0))</f>
        <v/>
      </c>
      <c r="G102" s="6">
        <f>IF(Config!$G$17=0,0,IF(ABS(($A102-Config!$F$17)/Config!$G$17)&gt;3,$D102,0))</f>
        <v/>
      </c>
      <c r="H102" s="6">
        <f>IFERROR(NORM.DIST($A102,Config!$F$17,Config!$G$17,FALSE)*Config!$D$17*Config!$J$17,0)</f>
        <v/>
      </c>
    </row>
    <row r="103">
      <c r="A103">
        <f>Config!$K$17+5*Config!$J$17+Config!$J$17/2</f>
        <v/>
      </c>
      <c r="B103">
        <f>$A103-Config!$J$17/2</f>
        <v/>
      </c>
      <c r="C103">
        <f>$A103+Config!$J$17/2</f>
        <v/>
      </c>
      <c r="D103">
        <f>COUNTIFS(RawData!$C$2:$C$941,"MT",RawData!$J$2:$J$941,"&gt;="&amp;$B103,RawData!$J$2:$J$941,"&lt;"&amp;$C103,RawData!$J$2:$J$941,"&lt;&gt;0")</f>
        <v/>
      </c>
      <c r="E103">
        <f>IF(Config!$G$17=0,0,IF(ABS(($A103-Config!$F$17)/Config!$G$17)&lt;=2,$D103,0))</f>
        <v/>
      </c>
      <c r="F103">
        <f>IF(Config!$G$17=0,0,IF(AND(ABS(($A103-Config!$F$17)/Config!$G$17)&gt;2,ABS(($A103-Config!$F$17)/Config!$G$17)&lt;=3),$D103,0))</f>
        <v/>
      </c>
      <c r="G103">
        <f>IF(Config!$G$17=0,0,IF(ABS(($A103-Config!$F$17)/Config!$G$17)&gt;3,$D103,0))</f>
        <v/>
      </c>
      <c r="H103">
        <f>IFERROR(NORM.DIST($A103,Config!$F$17,Config!$G$17,FALSE)*Config!$D$17*Config!$J$17,0)</f>
        <v/>
      </c>
    </row>
    <row r="104">
      <c r="A104" s="6">
        <f>Config!$K$17+6*Config!$J$17+Config!$J$17/2</f>
        <v/>
      </c>
      <c r="B104" s="6">
        <f>$A104-Config!$J$17/2</f>
        <v/>
      </c>
      <c r="C104" s="6">
        <f>$A104+Config!$J$17/2</f>
        <v/>
      </c>
      <c r="D104" s="6">
        <f>COUNTIFS(RawData!$C$2:$C$941,"MT",RawData!$J$2:$J$941,"&gt;="&amp;$B104,RawData!$J$2:$J$941,"&lt;"&amp;$C104,RawData!$J$2:$J$941,"&lt;&gt;0")</f>
        <v/>
      </c>
      <c r="E104" s="6">
        <f>IF(Config!$G$17=0,0,IF(ABS(($A104-Config!$F$17)/Config!$G$17)&lt;=2,$D104,0))</f>
        <v/>
      </c>
      <c r="F104" s="6">
        <f>IF(Config!$G$17=0,0,IF(AND(ABS(($A104-Config!$F$17)/Config!$G$17)&gt;2,ABS(($A104-Config!$F$17)/Config!$G$17)&lt;=3),$D104,0))</f>
        <v/>
      </c>
      <c r="G104" s="6">
        <f>IF(Config!$G$17=0,0,IF(ABS(($A104-Config!$F$17)/Config!$G$17)&gt;3,$D104,0))</f>
        <v/>
      </c>
      <c r="H104" s="6">
        <f>IFERROR(NORM.DIST($A104,Config!$F$17,Config!$G$17,FALSE)*Config!$D$17*Config!$J$17,0)</f>
        <v/>
      </c>
    </row>
    <row r="105">
      <c r="A105">
        <f>Config!$K$17+7*Config!$J$17+Config!$J$17/2</f>
        <v/>
      </c>
      <c r="B105">
        <f>$A105-Config!$J$17/2</f>
        <v/>
      </c>
      <c r="C105">
        <f>$A105+Config!$J$17/2</f>
        <v/>
      </c>
      <c r="D105">
        <f>COUNTIFS(RawData!$C$2:$C$941,"MT",RawData!$J$2:$J$941,"&gt;="&amp;$B105,RawData!$J$2:$J$941,"&lt;"&amp;$C105,RawData!$J$2:$J$941,"&lt;&gt;0")</f>
        <v/>
      </c>
      <c r="E105">
        <f>IF(Config!$G$17=0,0,IF(ABS(($A105-Config!$F$17)/Config!$G$17)&lt;=2,$D105,0))</f>
        <v/>
      </c>
      <c r="F105">
        <f>IF(Config!$G$17=0,0,IF(AND(ABS(($A105-Config!$F$17)/Config!$G$17)&gt;2,ABS(($A105-Config!$F$17)/Config!$G$17)&lt;=3),$D105,0))</f>
        <v/>
      </c>
      <c r="G105">
        <f>IF(Config!$G$17=0,0,IF(ABS(($A105-Config!$F$17)/Config!$G$17)&gt;3,$D105,0))</f>
        <v/>
      </c>
      <c r="H105">
        <f>IFERROR(NORM.DIST($A105,Config!$F$17,Config!$G$17,FALSE)*Config!$D$17*Config!$J$17,0)</f>
        <v/>
      </c>
    </row>
    <row r="106">
      <c r="A106" s="6">
        <f>Config!$K$17+8*Config!$J$17+Config!$J$17/2</f>
        <v/>
      </c>
      <c r="B106" s="6">
        <f>$A106-Config!$J$17/2</f>
        <v/>
      </c>
      <c r="C106" s="6">
        <f>$A106+Config!$J$17/2</f>
        <v/>
      </c>
      <c r="D106" s="6">
        <f>COUNTIFS(RawData!$C$2:$C$941,"MT",RawData!$J$2:$J$941,"&gt;="&amp;$B106,RawData!$J$2:$J$941,"&lt;"&amp;$C106,RawData!$J$2:$J$941,"&lt;&gt;0")</f>
        <v/>
      </c>
      <c r="E106" s="6">
        <f>IF(Config!$G$17=0,0,IF(ABS(($A106-Config!$F$17)/Config!$G$17)&lt;=2,$D106,0))</f>
        <v/>
      </c>
      <c r="F106" s="6">
        <f>IF(Config!$G$17=0,0,IF(AND(ABS(($A106-Config!$F$17)/Config!$G$17)&gt;2,ABS(($A106-Config!$F$17)/Config!$G$17)&lt;=3),$D106,0))</f>
        <v/>
      </c>
      <c r="G106" s="6">
        <f>IF(Config!$G$17=0,0,IF(ABS(($A106-Config!$F$17)/Config!$G$17)&gt;3,$D106,0))</f>
        <v/>
      </c>
      <c r="H106" s="6">
        <f>IFERROR(NORM.DIST($A106,Config!$F$17,Config!$G$17,FALSE)*Config!$D$17*Config!$J$17,0)</f>
        <v/>
      </c>
    </row>
    <row r="107">
      <c r="A107">
        <f>Config!$K$17+9*Config!$J$17+Config!$J$17/2</f>
        <v/>
      </c>
      <c r="B107">
        <f>$A107-Config!$J$17/2</f>
        <v/>
      </c>
      <c r="C107">
        <f>$A107+Config!$J$17/2</f>
        <v/>
      </c>
      <c r="D107">
        <f>COUNTIFS(RawData!$C$2:$C$941,"MT",RawData!$J$2:$J$941,"&gt;="&amp;$B107,RawData!$J$2:$J$941,"&lt;"&amp;$C107,RawData!$J$2:$J$941,"&lt;&gt;0")</f>
        <v/>
      </c>
      <c r="E107">
        <f>IF(Config!$G$17=0,0,IF(ABS(($A107-Config!$F$17)/Config!$G$17)&lt;=2,$D107,0))</f>
        <v/>
      </c>
      <c r="F107">
        <f>IF(Config!$G$17=0,0,IF(AND(ABS(($A107-Config!$F$17)/Config!$G$17)&gt;2,ABS(($A107-Config!$F$17)/Config!$G$17)&lt;=3),$D107,0))</f>
        <v/>
      </c>
      <c r="G107">
        <f>IF(Config!$G$17=0,0,IF(ABS(($A107-Config!$F$17)/Config!$G$17)&gt;3,$D107,0))</f>
        <v/>
      </c>
      <c r="H107">
        <f>IFERROR(NORM.DIST($A107,Config!$F$17,Config!$G$17,FALSE)*Config!$D$17*Config!$J$17,0)</f>
        <v/>
      </c>
    </row>
    <row r="108">
      <c r="A108" s="6">
        <f>Config!$K$17+10*Config!$J$17+Config!$J$17/2</f>
        <v/>
      </c>
      <c r="B108" s="6">
        <f>$A108-Config!$J$17/2</f>
        <v/>
      </c>
      <c r="C108" s="6">
        <f>$A108+Config!$J$17/2</f>
        <v/>
      </c>
      <c r="D108" s="6">
        <f>COUNTIFS(RawData!$C$2:$C$941,"MT",RawData!$J$2:$J$941,"&gt;="&amp;$B108,RawData!$J$2:$J$941,"&lt;"&amp;$C108,RawData!$J$2:$J$941,"&lt;&gt;0")</f>
        <v/>
      </c>
      <c r="E108" s="6">
        <f>IF(Config!$G$17=0,0,IF(ABS(($A108-Config!$F$17)/Config!$G$17)&lt;=2,$D108,0))</f>
        <v/>
      </c>
      <c r="F108" s="6">
        <f>IF(Config!$G$17=0,0,IF(AND(ABS(($A108-Config!$F$17)/Config!$G$17)&gt;2,ABS(($A108-Config!$F$17)/Config!$G$17)&lt;=3),$D108,0))</f>
        <v/>
      </c>
      <c r="G108" s="6">
        <f>IF(Config!$G$17=0,0,IF(ABS(($A108-Config!$F$17)/Config!$G$17)&gt;3,$D108,0))</f>
        <v/>
      </c>
      <c r="H108" s="6">
        <f>IFERROR(NORM.DIST($A108,Config!$F$17,Config!$G$17,FALSE)*Config!$D$17*Config!$J$17,0)</f>
        <v/>
      </c>
    </row>
    <row r="109">
      <c r="A109">
        <f>Config!$K$17+11*Config!$J$17+Config!$J$17/2</f>
        <v/>
      </c>
      <c r="B109">
        <f>$A109-Config!$J$17/2</f>
        <v/>
      </c>
      <c r="C109">
        <f>$A109+Config!$J$17/2</f>
        <v/>
      </c>
      <c r="D109">
        <f>COUNTIFS(RawData!$C$2:$C$941,"MT",RawData!$J$2:$J$941,"&gt;="&amp;$B109,RawData!$J$2:$J$941,"&lt;"&amp;$C109,RawData!$J$2:$J$941,"&lt;&gt;0")</f>
        <v/>
      </c>
      <c r="E109">
        <f>IF(Config!$G$17=0,0,IF(ABS(($A109-Config!$F$17)/Config!$G$17)&lt;=2,$D109,0))</f>
        <v/>
      </c>
      <c r="F109">
        <f>IF(Config!$G$17=0,0,IF(AND(ABS(($A109-Config!$F$17)/Config!$G$17)&gt;2,ABS(($A109-Config!$F$17)/Config!$G$17)&lt;=3),$D109,0))</f>
        <v/>
      </c>
      <c r="G109">
        <f>IF(Config!$G$17=0,0,IF(ABS(($A109-Config!$F$17)/Config!$G$17)&gt;3,$D109,0))</f>
        <v/>
      </c>
      <c r="H109">
        <f>IFERROR(NORM.DIST($A109,Config!$F$17,Config!$G$17,FALSE)*Config!$D$17*Config!$J$17,0)</f>
        <v/>
      </c>
    </row>
    <row r="110">
      <c r="A110" s="6">
        <f>Config!$K$17+12*Config!$J$17+Config!$J$17/2</f>
        <v/>
      </c>
      <c r="B110" s="6">
        <f>$A110-Config!$J$17/2</f>
        <v/>
      </c>
      <c r="C110" s="6">
        <f>$A110+Config!$J$17/2</f>
        <v/>
      </c>
      <c r="D110" s="6">
        <f>COUNTIFS(RawData!$C$2:$C$941,"MT",RawData!$J$2:$J$941,"&gt;="&amp;$B110,RawData!$J$2:$J$941,"&lt;"&amp;$C110,RawData!$J$2:$J$941,"&lt;&gt;0")</f>
        <v/>
      </c>
      <c r="E110" s="6">
        <f>IF(Config!$G$17=0,0,IF(ABS(($A110-Config!$F$17)/Config!$G$17)&lt;=2,$D110,0))</f>
        <v/>
      </c>
      <c r="F110" s="6">
        <f>IF(Config!$G$17=0,0,IF(AND(ABS(($A110-Config!$F$17)/Config!$G$17)&gt;2,ABS(($A110-Config!$F$17)/Config!$G$17)&lt;=3),$D110,0))</f>
        <v/>
      </c>
      <c r="G110" s="6">
        <f>IF(Config!$G$17=0,0,IF(ABS(($A110-Config!$F$17)/Config!$G$17)&gt;3,$D110,0))</f>
        <v/>
      </c>
      <c r="H110" s="6">
        <f>IFERROR(NORM.DIST($A110,Config!$F$17,Config!$G$17,FALSE)*Config!$D$17*Config!$J$17,0)</f>
        <v/>
      </c>
    </row>
    <row r="111">
      <c r="A111">
        <f>Config!$K$17+13*Config!$J$17+Config!$J$17/2</f>
        <v/>
      </c>
      <c r="B111">
        <f>$A111-Config!$J$17/2</f>
        <v/>
      </c>
      <c r="C111">
        <f>$A111+Config!$J$17/2</f>
        <v/>
      </c>
      <c r="D111">
        <f>COUNTIFS(RawData!$C$2:$C$941,"MT",RawData!$J$2:$J$941,"&gt;="&amp;$B111,RawData!$J$2:$J$941,"&lt;"&amp;$C111,RawData!$J$2:$J$941,"&lt;&gt;0")</f>
        <v/>
      </c>
      <c r="E111">
        <f>IF(Config!$G$17=0,0,IF(ABS(($A111-Config!$F$17)/Config!$G$17)&lt;=2,$D111,0))</f>
        <v/>
      </c>
      <c r="F111">
        <f>IF(Config!$G$17=0,0,IF(AND(ABS(($A111-Config!$F$17)/Config!$G$17)&gt;2,ABS(($A111-Config!$F$17)/Config!$G$17)&lt;=3),$D111,0))</f>
        <v/>
      </c>
      <c r="G111">
        <f>IF(Config!$G$17=0,0,IF(ABS(($A111-Config!$F$17)/Config!$G$17)&gt;3,$D111,0))</f>
        <v/>
      </c>
      <c r="H111">
        <f>IFERROR(NORM.DIST($A111,Config!$F$17,Config!$G$17,FALSE)*Config!$D$17*Config!$J$17,0)</f>
        <v/>
      </c>
    </row>
    <row r="112">
      <c r="A112" s="6">
        <f>Config!$K$17+14*Config!$J$17+Config!$J$17/2</f>
        <v/>
      </c>
      <c r="B112" s="6">
        <f>$A112-Config!$J$17/2</f>
        <v/>
      </c>
      <c r="C112" s="6">
        <f>$A112+Config!$J$17/2</f>
        <v/>
      </c>
      <c r="D112" s="6">
        <f>COUNTIFS(RawData!$C$2:$C$941,"MT",RawData!$J$2:$J$941,"&gt;="&amp;$B112,RawData!$J$2:$J$941,"&lt;"&amp;$C112,RawData!$J$2:$J$941,"&lt;&gt;0")</f>
        <v/>
      </c>
      <c r="E112" s="6">
        <f>IF(Config!$G$17=0,0,IF(ABS(($A112-Config!$F$17)/Config!$G$17)&lt;=2,$D112,0))</f>
        <v/>
      </c>
      <c r="F112" s="6">
        <f>IF(Config!$G$17=0,0,IF(AND(ABS(($A112-Config!$F$17)/Config!$G$17)&gt;2,ABS(($A112-Config!$F$17)/Config!$G$17)&lt;=3),$D112,0))</f>
        <v/>
      </c>
      <c r="G112" s="6">
        <f>IF(Config!$G$17=0,0,IF(ABS(($A112-Config!$F$17)/Config!$G$17)&gt;3,$D112,0))</f>
        <v/>
      </c>
      <c r="H112" s="6">
        <f>IFERROR(NORM.DIST($A112,Config!$F$17,Config!$G$17,FALSE)*Config!$D$17*Config!$J$17,0)</f>
        <v/>
      </c>
    </row>
    <row r="113">
      <c r="A113">
        <f>Config!$K$17+15*Config!$J$17+Config!$J$17/2</f>
        <v/>
      </c>
      <c r="B113">
        <f>$A113-Config!$J$17/2</f>
        <v/>
      </c>
      <c r="C113">
        <f>$A113+Config!$J$17/2</f>
        <v/>
      </c>
      <c r="D113">
        <f>COUNTIFS(RawData!$C$2:$C$941,"MT",RawData!$J$2:$J$941,"&gt;="&amp;$B113,RawData!$J$2:$J$941,"&lt;"&amp;$C113,RawData!$J$2:$J$941,"&lt;&gt;0")</f>
        <v/>
      </c>
      <c r="E113">
        <f>IF(Config!$G$17=0,0,IF(ABS(($A113-Config!$F$17)/Config!$G$17)&lt;=2,$D113,0))</f>
        <v/>
      </c>
      <c r="F113">
        <f>IF(Config!$G$17=0,0,IF(AND(ABS(($A113-Config!$F$17)/Config!$G$17)&gt;2,ABS(($A113-Config!$F$17)/Config!$G$17)&lt;=3),$D113,0))</f>
        <v/>
      </c>
      <c r="G113">
        <f>IF(Config!$G$17=0,0,IF(ABS(($A113-Config!$F$17)/Config!$G$17)&gt;3,$D113,0))</f>
        <v/>
      </c>
      <c r="H113">
        <f>IFERROR(NORM.DIST($A113,Config!$F$17,Config!$G$17,FALSE)*Config!$D$17*Config!$J$17,0)</f>
        <v/>
      </c>
    </row>
    <row r="114">
      <c r="A114" s="6">
        <f>Config!$K$17+16*Config!$J$17+Config!$J$17/2</f>
        <v/>
      </c>
      <c r="B114" s="6">
        <f>$A114-Config!$J$17/2</f>
        <v/>
      </c>
      <c r="C114" s="6">
        <f>$A114+Config!$J$17/2</f>
        <v/>
      </c>
      <c r="D114" s="6">
        <f>COUNTIFS(RawData!$C$2:$C$941,"MT",RawData!$J$2:$J$941,"&gt;="&amp;$B114,RawData!$J$2:$J$941,"&lt;"&amp;$C114,RawData!$J$2:$J$941,"&lt;&gt;0")</f>
        <v/>
      </c>
      <c r="E114" s="6">
        <f>IF(Config!$G$17=0,0,IF(ABS(($A114-Config!$F$17)/Config!$G$17)&lt;=2,$D114,0))</f>
        <v/>
      </c>
      <c r="F114" s="6">
        <f>IF(Config!$G$17=0,0,IF(AND(ABS(($A114-Config!$F$17)/Config!$G$17)&gt;2,ABS(($A114-Config!$F$17)/Config!$G$17)&lt;=3),$D114,0))</f>
        <v/>
      </c>
      <c r="G114" s="6">
        <f>IF(Config!$G$17=0,0,IF(ABS(($A114-Config!$F$17)/Config!$G$17)&gt;3,$D114,0))</f>
        <v/>
      </c>
      <c r="H114" s="6">
        <f>IFERROR(NORM.DIST($A114,Config!$F$17,Config!$G$17,FALSE)*Config!$D$17*Config!$J$17,0)</f>
        <v/>
      </c>
    </row>
    <row r="115">
      <c r="A115">
        <f>Config!$K$17+17*Config!$J$17+Config!$J$17/2</f>
        <v/>
      </c>
      <c r="B115">
        <f>$A115-Config!$J$17/2</f>
        <v/>
      </c>
      <c r="C115">
        <f>$A115+Config!$J$17/2</f>
        <v/>
      </c>
      <c r="D115">
        <f>COUNTIFS(RawData!$C$2:$C$941,"MT",RawData!$J$2:$J$941,"&gt;="&amp;$B115,RawData!$J$2:$J$941,"&lt;"&amp;$C115,RawData!$J$2:$J$941,"&lt;&gt;0")</f>
        <v/>
      </c>
      <c r="E115">
        <f>IF(Config!$G$17=0,0,IF(ABS(($A115-Config!$F$17)/Config!$G$17)&lt;=2,$D115,0))</f>
        <v/>
      </c>
      <c r="F115">
        <f>IF(Config!$G$17=0,0,IF(AND(ABS(($A115-Config!$F$17)/Config!$G$17)&gt;2,ABS(($A115-Config!$F$17)/Config!$G$17)&lt;=3),$D115,0))</f>
        <v/>
      </c>
      <c r="G115">
        <f>IF(Config!$G$17=0,0,IF(ABS(($A115-Config!$F$17)/Config!$G$17)&gt;3,$D115,0))</f>
        <v/>
      </c>
      <c r="H115">
        <f>IFERROR(NORM.DIST($A115,Config!$F$17,Config!$G$17,FALSE)*Config!$D$17*Config!$J$17,0)</f>
        <v/>
      </c>
    </row>
    <row r="116">
      <c r="A116" s="6">
        <f>Config!$K$17+18*Config!$J$17+Config!$J$17/2</f>
        <v/>
      </c>
      <c r="B116" s="6">
        <f>$A116-Config!$J$17/2</f>
        <v/>
      </c>
      <c r="C116" s="6">
        <f>$A116+Config!$J$17/2</f>
        <v/>
      </c>
      <c r="D116" s="6">
        <f>COUNTIFS(RawData!$C$2:$C$941,"MT",RawData!$J$2:$J$941,"&gt;="&amp;$B116,RawData!$J$2:$J$941,"&lt;"&amp;$C116,RawData!$J$2:$J$941,"&lt;&gt;0")</f>
        <v/>
      </c>
      <c r="E116" s="6">
        <f>IF(Config!$G$17=0,0,IF(ABS(($A116-Config!$F$17)/Config!$G$17)&lt;=2,$D116,0))</f>
        <v/>
      </c>
      <c r="F116" s="6">
        <f>IF(Config!$G$17=0,0,IF(AND(ABS(($A116-Config!$F$17)/Config!$G$17)&gt;2,ABS(($A116-Config!$F$17)/Config!$G$17)&lt;=3),$D116,0))</f>
        <v/>
      </c>
      <c r="G116" s="6">
        <f>IF(Config!$G$17=0,0,IF(ABS(($A116-Config!$F$17)/Config!$G$17)&gt;3,$D116,0))</f>
        <v/>
      </c>
      <c r="H116" s="6">
        <f>IFERROR(NORM.DIST($A116,Config!$F$17,Config!$G$17,FALSE)*Config!$D$17*Config!$J$17,0)</f>
        <v/>
      </c>
    </row>
    <row r="117">
      <c r="A117">
        <f>Config!$K$17+19*Config!$J$17+Config!$J$17/2</f>
        <v/>
      </c>
      <c r="B117">
        <f>$A117-Config!$J$17/2</f>
        <v/>
      </c>
      <c r="C117">
        <f>$A117+Config!$J$17/2</f>
        <v/>
      </c>
      <c r="D117">
        <f>COUNTIFS(RawData!$C$2:$C$941,"MT",RawData!$J$2:$J$941,"&gt;="&amp;$B117,RawData!$J$2:$J$941,"&lt;"&amp;$C117,RawData!$J$2:$J$941,"&lt;&gt;0")</f>
        <v/>
      </c>
      <c r="E117">
        <f>IF(Config!$G$17=0,0,IF(ABS(($A117-Config!$F$17)/Config!$G$17)&lt;=2,$D117,0))</f>
        <v/>
      </c>
      <c r="F117">
        <f>IF(Config!$G$17=0,0,IF(AND(ABS(($A117-Config!$F$17)/Config!$G$17)&gt;2,ABS(($A117-Config!$F$17)/Config!$G$17)&lt;=3),$D117,0))</f>
        <v/>
      </c>
      <c r="G117">
        <f>IF(Config!$G$17=0,0,IF(ABS(($A117-Config!$F$17)/Config!$G$17)&gt;3,$D117,0))</f>
        <v/>
      </c>
      <c r="H117">
        <f>IFERROR(NORM.DIST($A117,Config!$F$17,Config!$G$17,FALSE)*Config!$D$17*Config!$J$17,0)</f>
        <v/>
      </c>
    </row>
    <row r="118">
      <c r="A118" s="6">
        <f>Config!$K$17+20*Config!$J$17+Config!$J$17/2</f>
        <v/>
      </c>
      <c r="B118" s="6">
        <f>$A118-Config!$J$17/2</f>
        <v/>
      </c>
      <c r="C118" s="6">
        <f>$A118+Config!$J$17/2</f>
        <v/>
      </c>
      <c r="D118" s="6">
        <f>COUNTIFS(RawData!$C$2:$C$941,"MT",RawData!$J$2:$J$941,"&gt;="&amp;$B118,RawData!$J$2:$J$941,"&lt;"&amp;$C118,RawData!$J$2:$J$941,"&lt;&gt;0")</f>
        <v/>
      </c>
      <c r="E118" s="6">
        <f>IF(Config!$G$17=0,0,IF(ABS(($A118-Config!$F$17)/Config!$G$17)&lt;=2,$D118,0))</f>
        <v/>
      </c>
      <c r="F118" s="6">
        <f>IF(Config!$G$17=0,0,IF(AND(ABS(($A118-Config!$F$17)/Config!$G$17)&gt;2,ABS(($A118-Config!$F$17)/Config!$G$17)&lt;=3),$D118,0))</f>
        <v/>
      </c>
      <c r="G118" s="6">
        <f>IF(Config!$G$17=0,0,IF(ABS(($A118-Config!$F$17)/Config!$G$17)&gt;3,$D118,0))</f>
        <v/>
      </c>
      <c r="H118" s="6">
        <f>IFERROR(NORM.DIST($A118,Config!$F$17,Config!$G$17,FALSE)*Config!$D$17*Config!$J$17,0)</f>
        <v/>
      </c>
    </row>
    <row r="119">
      <c r="A119">
        <f>Config!$K$17+21*Config!$J$17+Config!$J$17/2</f>
        <v/>
      </c>
      <c r="B119">
        <f>$A119-Config!$J$17/2</f>
        <v/>
      </c>
      <c r="C119">
        <f>$A119+Config!$J$17/2</f>
        <v/>
      </c>
      <c r="D119">
        <f>COUNTIFS(RawData!$C$2:$C$941,"MT",RawData!$J$2:$J$941,"&gt;="&amp;$B119,RawData!$J$2:$J$941,"&lt;"&amp;$C119,RawData!$J$2:$J$941,"&lt;&gt;0")</f>
        <v/>
      </c>
      <c r="E119">
        <f>IF(Config!$G$17=0,0,IF(ABS(($A119-Config!$F$17)/Config!$G$17)&lt;=2,$D119,0))</f>
        <v/>
      </c>
      <c r="F119">
        <f>IF(Config!$G$17=0,0,IF(AND(ABS(($A119-Config!$F$17)/Config!$G$17)&gt;2,ABS(($A119-Config!$F$17)/Config!$G$17)&lt;=3),$D119,0))</f>
        <v/>
      </c>
      <c r="G119">
        <f>IF(Config!$G$17=0,0,IF(ABS(($A119-Config!$F$17)/Config!$G$17)&gt;3,$D119,0))</f>
        <v/>
      </c>
      <c r="H119">
        <f>IFERROR(NORM.DIST($A119,Config!$F$17,Config!$G$17,FALSE)*Config!$D$17*Config!$J$17,0)</f>
        <v/>
      </c>
    </row>
    <row r="120">
      <c r="A120" s="6">
        <f>Config!$K$17+22*Config!$J$17+Config!$J$17/2</f>
        <v/>
      </c>
      <c r="B120" s="6">
        <f>$A120-Config!$J$17/2</f>
        <v/>
      </c>
      <c r="C120" s="6">
        <f>$A120+Config!$J$17/2</f>
        <v/>
      </c>
      <c r="D120" s="6">
        <f>COUNTIFS(RawData!$C$2:$C$941,"MT",RawData!$J$2:$J$941,"&gt;="&amp;$B120,RawData!$J$2:$J$941,"&lt;"&amp;$C120,RawData!$J$2:$J$941,"&lt;&gt;0")</f>
        <v/>
      </c>
      <c r="E120" s="6">
        <f>IF(Config!$G$17=0,0,IF(ABS(($A120-Config!$F$17)/Config!$G$17)&lt;=2,$D120,0))</f>
        <v/>
      </c>
      <c r="F120" s="6">
        <f>IF(Config!$G$17=0,0,IF(AND(ABS(($A120-Config!$F$17)/Config!$G$17)&gt;2,ABS(($A120-Config!$F$17)/Config!$G$17)&lt;=3),$D120,0))</f>
        <v/>
      </c>
      <c r="G120" s="6">
        <f>IF(Config!$G$17=0,0,IF(ABS(($A120-Config!$F$17)/Config!$G$17)&gt;3,$D120,0))</f>
        <v/>
      </c>
      <c r="H120" s="6">
        <f>IFERROR(NORM.DIST($A120,Config!$F$17,Config!$G$17,FALSE)*Config!$D$17*Config!$J$17,0)</f>
        <v/>
      </c>
    </row>
    <row r="121">
      <c r="A121">
        <f>Config!$K$17+23*Config!$J$17+Config!$J$17/2</f>
        <v/>
      </c>
      <c r="B121">
        <f>$A121-Config!$J$17/2</f>
        <v/>
      </c>
      <c r="C121">
        <f>$A121+Config!$J$17/2</f>
        <v/>
      </c>
      <c r="D121">
        <f>COUNTIFS(RawData!$C$2:$C$941,"MT",RawData!$J$2:$J$941,"&gt;="&amp;$B121,RawData!$J$2:$J$941,"&lt;"&amp;$C121,RawData!$J$2:$J$941,"&lt;&gt;0")</f>
        <v/>
      </c>
      <c r="E121">
        <f>IF(Config!$G$17=0,0,IF(ABS(($A121-Config!$F$17)/Config!$G$17)&lt;=2,$D121,0))</f>
        <v/>
      </c>
      <c r="F121">
        <f>IF(Config!$G$17=0,0,IF(AND(ABS(($A121-Config!$F$17)/Config!$G$17)&gt;2,ABS(($A121-Config!$F$17)/Config!$G$17)&lt;=3),$D121,0))</f>
        <v/>
      </c>
      <c r="G121">
        <f>IF(Config!$G$17=0,0,IF(ABS(($A121-Config!$F$17)/Config!$G$17)&gt;3,$D121,0))</f>
        <v/>
      </c>
      <c r="H121">
        <f>IFERROR(NORM.DIST($A121,Config!$F$17,Config!$G$17,FALSE)*Config!$D$17*Config!$J$17,0)</f>
        <v/>
      </c>
    </row>
    <row r="122">
      <c r="A122" s="6">
        <f>Config!$K$17+24*Config!$J$17+Config!$J$17/2</f>
        <v/>
      </c>
      <c r="B122" s="6">
        <f>$A122-Config!$J$17/2</f>
        <v/>
      </c>
      <c r="C122" s="6">
        <f>$A122+Config!$J$17/2</f>
        <v/>
      </c>
      <c r="D122" s="6">
        <f>COUNTIFS(RawData!$C$2:$C$941,"MT",RawData!$J$2:$J$941,"&gt;="&amp;$B122,RawData!$J$2:$J$941,"&lt;"&amp;$C122,RawData!$J$2:$J$941,"&lt;&gt;0")</f>
        <v/>
      </c>
      <c r="E122" s="6">
        <f>IF(Config!$G$17=0,0,IF(ABS(($A122-Config!$F$17)/Config!$G$17)&lt;=2,$D122,0))</f>
        <v/>
      </c>
      <c r="F122" s="6">
        <f>IF(Config!$G$17=0,0,IF(AND(ABS(($A122-Config!$F$17)/Config!$G$17)&gt;2,ABS(($A122-Config!$F$17)/Config!$G$17)&lt;=3),$D122,0))</f>
        <v/>
      </c>
      <c r="G122" s="6">
        <f>IF(Config!$G$17=0,0,IF(ABS(($A122-Config!$F$17)/Config!$G$17)&gt;3,$D122,0))</f>
        <v/>
      </c>
      <c r="H122" s="6">
        <f>IFERROR(NORM.DIST($A122,Config!$F$17,Config!$G$17,FALSE)*Config!$D$17*Config!$J$17,0)</f>
        <v/>
      </c>
    </row>
    <row r="123">
      <c r="A123">
        <f>Config!$K$17+25*Config!$J$17+Config!$J$17/2</f>
        <v/>
      </c>
      <c r="B123">
        <f>$A123-Config!$J$17/2</f>
        <v/>
      </c>
      <c r="C123">
        <f>$A123+Config!$J$17/2</f>
        <v/>
      </c>
      <c r="D123">
        <f>COUNTIFS(RawData!$C$2:$C$941,"MT",RawData!$J$2:$J$941,"&gt;="&amp;$B123,RawData!$J$2:$J$941,"&lt;"&amp;$C123,RawData!$J$2:$J$941,"&lt;&gt;0")</f>
        <v/>
      </c>
      <c r="E123">
        <f>IF(Config!$G$17=0,0,IF(ABS(($A123-Config!$F$17)/Config!$G$17)&lt;=2,$D123,0))</f>
        <v/>
      </c>
      <c r="F123">
        <f>IF(Config!$G$17=0,0,IF(AND(ABS(($A123-Config!$F$17)/Config!$G$17)&gt;2,ABS(($A123-Config!$F$17)/Config!$G$17)&lt;=3),$D123,0))</f>
        <v/>
      </c>
      <c r="G123">
        <f>IF(Config!$G$17=0,0,IF(ABS(($A123-Config!$F$17)/Config!$G$17)&gt;3,$D123,0))</f>
        <v/>
      </c>
      <c r="H123">
        <f>IFERROR(NORM.DIST($A123,Config!$F$17,Config!$G$17,FALSE)*Config!$D$17*Config!$J$17,0)</f>
        <v/>
      </c>
    </row>
    <row r="124">
      <c r="A124" s="6">
        <f>Config!$K$17+26*Config!$J$17+Config!$J$17/2</f>
        <v/>
      </c>
      <c r="B124" s="6">
        <f>$A124-Config!$J$17/2</f>
        <v/>
      </c>
      <c r="C124" s="6">
        <f>$A124+Config!$J$17/2</f>
        <v/>
      </c>
      <c r="D124" s="6">
        <f>COUNTIFS(RawData!$C$2:$C$941,"MT",RawData!$J$2:$J$941,"&gt;="&amp;$B124,RawData!$J$2:$J$941,"&lt;"&amp;$C124,RawData!$J$2:$J$941,"&lt;&gt;0")</f>
        <v/>
      </c>
      <c r="E124" s="6">
        <f>IF(Config!$G$17=0,0,IF(ABS(($A124-Config!$F$17)/Config!$G$17)&lt;=2,$D124,0))</f>
        <v/>
      </c>
      <c r="F124" s="6">
        <f>IF(Config!$G$17=0,0,IF(AND(ABS(($A124-Config!$F$17)/Config!$G$17)&gt;2,ABS(($A124-Config!$F$17)/Config!$G$17)&lt;=3),$D124,0))</f>
        <v/>
      </c>
      <c r="G124" s="6">
        <f>IF(Config!$G$17=0,0,IF(ABS(($A124-Config!$F$17)/Config!$G$17)&gt;3,$D124,0))</f>
        <v/>
      </c>
      <c r="H124" s="6">
        <f>IFERROR(NORM.DIST($A124,Config!$F$17,Config!$G$17,FALSE)*Config!$D$17*Config!$J$17,0)</f>
        <v/>
      </c>
    </row>
    <row r="125">
      <c r="A125">
        <f>Config!$K$17+27*Config!$J$17+Config!$J$17/2</f>
        <v/>
      </c>
      <c r="B125">
        <f>$A125-Config!$J$17/2</f>
        <v/>
      </c>
      <c r="C125">
        <f>$A125+Config!$J$17/2</f>
        <v/>
      </c>
      <c r="D125">
        <f>COUNTIFS(RawData!$C$2:$C$941,"MT",RawData!$J$2:$J$941,"&gt;="&amp;$B125,RawData!$J$2:$J$941,"&lt;"&amp;$C125,RawData!$J$2:$J$941,"&lt;&gt;0")</f>
        <v/>
      </c>
      <c r="E125">
        <f>IF(Config!$G$17=0,0,IF(ABS(($A125-Config!$F$17)/Config!$G$17)&lt;=2,$D125,0))</f>
        <v/>
      </c>
      <c r="F125">
        <f>IF(Config!$G$17=0,0,IF(AND(ABS(($A125-Config!$F$17)/Config!$G$17)&gt;2,ABS(($A125-Config!$F$17)/Config!$G$17)&lt;=3),$D125,0))</f>
        <v/>
      </c>
      <c r="G125">
        <f>IF(Config!$G$17=0,0,IF(ABS(($A125-Config!$F$17)/Config!$G$17)&gt;3,$D125,0))</f>
        <v/>
      </c>
      <c r="H125">
        <f>IFERROR(NORM.DIST($A125,Config!$F$17,Config!$G$17,FALSE)*Config!$D$17*Config!$J$17,0)</f>
        <v/>
      </c>
    </row>
    <row r="126">
      <c r="A126" s="6">
        <f>Config!$K$17+28*Config!$J$17+Config!$J$17/2</f>
        <v/>
      </c>
      <c r="B126" s="6">
        <f>$A126-Config!$J$17/2</f>
        <v/>
      </c>
      <c r="C126" s="6">
        <f>$A126+Config!$J$17/2</f>
        <v/>
      </c>
      <c r="D126" s="6">
        <f>COUNTIFS(RawData!$C$2:$C$941,"MT",RawData!$J$2:$J$941,"&gt;="&amp;$B126,RawData!$J$2:$J$941,"&lt;"&amp;$C126,RawData!$J$2:$J$941,"&lt;&gt;0")</f>
        <v/>
      </c>
      <c r="E126" s="6">
        <f>IF(Config!$G$17=0,0,IF(ABS(($A126-Config!$F$17)/Config!$G$17)&lt;=2,$D126,0))</f>
        <v/>
      </c>
      <c r="F126" s="6">
        <f>IF(Config!$G$17=0,0,IF(AND(ABS(($A126-Config!$F$17)/Config!$G$17)&gt;2,ABS(($A126-Config!$F$17)/Config!$G$17)&lt;=3),$D126,0))</f>
        <v/>
      </c>
      <c r="G126" s="6">
        <f>IF(Config!$G$17=0,0,IF(ABS(($A126-Config!$F$17)/Config!$G$17)&gt;3,$D126,0))</f>
        <v/>
      </c>
      <c r="H126" s="6">
        <f>IFERROR(NORM.DIST($A126,Config!$F$17,Config!$G$17,FALSE)*Config!$D$17*Config!$J$17,0)</f>
        <v/>
      </c>
    </row>
    <row r="127">
      <c r="A127">
        <f>Config!$K$17+29*Config!$J$17+Config!$J$17/2</f>
        <v/>
      </c>
      <c r="B127">
        <f>$A127-Config!$J$17/2</f>
        <v/>
      </c>
      <c r="C127">
        <f>$A127+Config!$J$17/2</f>
        <v/>
      </c>
      <c r="D127">
        <f>COUNTIFS(RawData!$C$2:$C$941,"MT",RawData!$J$2:$J$941,"&gt;="&amp;$B127,RawData!$J$2:$J$941,"&lt;"&amp;$C127,RawData!$J$2:$J$941,"&lt;&gt;0")</f>
        <v/>
      </c>
      <c r="E127">
        <f>IF(Config!$G$17=0,0,IF(ABS(($A127-Config!$F$17)/Config!$G$17)&lt;=2,$D127,0))</f>
        <v/>
      </c>
      <c r="F127">
        <f>IF(Config!$G$17=0,0,IF(AND(ABS(($A127-Config!$F$17)/Config!$G$17)&gt;2,ABS(($A127-Config!$F$17)/Config!$G$17)&lt;=3),$D127,0))</f>
        <v/>
      </c>
      <c r="G127">
        <f>IF(Config!$G$17=0,0,IF(ABS(($A127-Config!$F$17)/Config!$G$17)&gt;3,$D127,0))</f>
        <v/>
      </c>
      <c r="H127">
        <f>IFERROR(NORM.DIST($A127,Config!$F$17,Config!$G$17,FALSE)*Config!$D$17*Config!$J$17,0)</f>
        <v/>
      </c>
    </row>
    <row r="129">
      <c r="A129" s="5" t="inlineStr">
        <is>
          <t>BinCenter</t>
        </is>
      </c>
      <c r="B129" s="5" t="inlineStr">
        <is>
          <t>BinLo</t>
        </is>
      </c>
      <c r="C129" s="5" t="inlineStr">
        <is>
          <t>BinHi</t>
        </is>
      </c>
      <c r="D129" s="5" t="inlineStr">
        <is>
          <t>TotalCount</t>
        </is>
      </c>
      <c r="E129" s="5" t="inlineStr">
        <is>
          <t>Normal</t>
        </is>
      </c>
      <c r="F129" s="5" t="inlineStr">
        <is>
          <t>Warning(2-3s)</t>
        </is>
      </c>
      <c r="G129" s="5" t="inlineStr">
        <is>
          <t>Outlier(&gt;3s)</t>
        </is>
      </c>
      <c r="H129" s="5" t="inlineStr">
        <is>
          <t>CurveY</t>
        </is>
      </c>
    </row>
    <row r="130">
      <c r="A130" s="6">
        <f>Config!$K$18+0*Config!$J$18+Config!$J$18/2</f>
        <v/>
      </c>
      <c r="B130" s="6">
        <f>$A130-Config!$J$18/2</f>
        <v/>
      </c>
      <c r="C130" s="6">
        <f>$A130+Config!$J$18/2</f>
        <v/>
      </c>
      <c r="D130" s="6">
        <f>COUNTIFS(RawData!$C$2:$C$941,"MT",RawData!$K$2:$K$941,"&gt;="&amp;$B130,RawData!$K$2:$K$941,"&lt;"&amp;$C130,RawData!$K$2:$K$941,"&lt;&gt;0")</f>
        <v/>
      </c>
      <c r="E130" s="6">
        <f>IF(Config!$G$18=0,0,IF(ABS(($A130-Config!$F$18)/Config!$G$18)&lt;=2,$D130,0))</f>
        <v/>
      </c>
      <c r="F130" s="6">
        <f>IF(Config!$G$18=0,0,IF(AND(ABS(($A130-Config!$F$18)/Config!$G$18)&gt;2,ABS(($A130-Config!$F$18)/Config!$G$18)&lt;=3),$D130,0))</f>
        <v/>
      </c>
      <c r="G130" s="6">
        <f>IF(Config!$G$18=0,0,IF(ABS(($A130-Config!$F$18)/Config!$G$18)&gt;3,$D130,0))</f>
        <v/>
      </c>
      <c r="H130" s="6">
        <f>IFERROR(NORM.DIST($A130,Config!$F$18,Config!$G$18,FALSE)*Config!$D$18*Config!$J$18,0)</f>
        <v/>
      </c>
    </row>
    <row r="131">
      <c r="A131">
        <f>Config!$K$18+1*Config!$J$18+Config!$J$18/2</f>
        <v/>
      </c>
      <c r="B131">
        <f>$A131-Config!$J$18/2</f>
        <v/>
      </c>
      <c r="C131">
        <f>$A131+Config!$J$18/2</f>
        <v/>
      </c>
      <c r="D131">
        <f>COUNTIFS(RawData!$C$2:$C$941,"MT",RawData!$K$2:$K$941,"&gt;="&amp;$B131,RawData!$K$2:$K$941,"&lt;"&amp;$C131,RawData!$K$2:$K$941,"&lt;&gt;0")</f>
        <v/>
      </c>
      <c r="E131">
        <f>IF(Config!$G$18=0,0,IF(ABS(($A131-Config!$F$18)/Config!$G$18)&lt;=2,$D131,0))</f>
        <v/>
      </c>
      <c r="F131">
        <f>IF(Config!$G$18=0,0,IF(AND(ABS(($A131-Config!$F$18)/Config!$G$18)&gt;2,ABS(($A131-Config!$F$18)/Config!$G$18)&lt;=3),$D131,0))</f>
        <v/>
      </c>
      <c r="G131">
        <f>IF(Config!$G$18=0,0,IF(ABS(($A131-Config!$F$18)/Config!$G$18)&gt;3,$D131,0))</f>
        <v/>
      </c>
      <c r="H131">
        <f>IFERROR(NORM.DIST($A131,Config!$F$18,Config!$G$18,FALSE)*Config!$D$18*Config!$J$18,0)</f>
        <v/>
      </c>
    </row>
    <row r="132">
      <c r="A132" s="6">
        <f>Config!$K$18+2*Config!$J$18+Config!$J$18/2</f>
        <v/>
      </c>
      <c r="B132" s="6">
        <f>$A132-Config!$J$18/2</f>
        <v/>
      </c>
      <c r="C132" s="6">
        <f>$A132+Config!$J$18/2</f>
        <v/>
      </c>
      <c r="D132" s="6">
        <f>COUNTIFS(RawData!$C$2:$C$941,"MT",RawData!$K$2:$K$941,"&gt;="&amp;$B132,RawData!$K$2:$K$941,"&lt;"&amp;$C132,RawData!$K$2:$K$941,"&lt;&gt;0")</f>
        <v/>
      </c>
      <c r="E132" s="6">
        <f>IF(Config!$G$18=0,0,IF(ABS(($A132-Config!$F$18)/Config!$G$18)&lt;=2,$D132,0))</f>
        <v/>
      </c>
      <c r="F132" s="6">
        <f>IF(Config!$G$18=0,0,IF(AND(ABS(($A132-Config!$F$18)/Config!$G$18)&gt;2,ABS(($A132-Config!$F$18)/Config!$G$18)&lt;=3),$D132,0))</f>
        <v/>
      </c>
      <c r="G132" s="6">
        <f>IF(Config!$G$18=0,0,IF(ABS(($A132-Config!$F$18)/Config!$G$18)&gt;3,$D132,0))</f>
        <v/>
      </c>
      <c r="H132" s="6">
        <f>IFERROR(NORM.DIST($A132,Config!$F$18,Config!$G$18,FALSE)*Config!$D$18*Config!$J$18,0)</f>
        <v/>
      </c>
    </row>
    <row r="133">
      <c r="A133">
        <f>Config!$K$18+3*Config!$J$18+Config!$J$18/2</f>
        <v/>
      </c>
      <c r="B133">
        <f>$A133-Config!$J$18/2</f>
        <v/>
      </c>
      <c r="C133">
        <f>$A133+Config!$J$18/2</f>
        <v/>
      </c>
      <c r="D133">
        <f>COUNTIFS(RawData!$C$2:$C$941,"MT",RawData!$K$2:$K$941,"&gt;="&amp;$B133,RawData!$K$2:$K$941,"&lt;"&amp;$C133,RawData!$K$2:$K$941,"&lt;&gt;0")</f>
        <v/>
      </c>
      <c r="E133">
        <f>IF(Config!$G$18=0,0,IF(ABS(($A133-Config!$F$18)/Config!$G$18)&lt;=2,$D133,0))</f>
        <v/>
      </c>
      <c r="F133">
        <f>IF(Config!$G$18=0,0,IF(AND(ABS(($A133-Config!$F$18)/Config!$G$18)&gt;2,ABS(($A133-Config!$F$18)/Config!$G$18)&lt;=3),$D133,0))</f>
        <v/>
      </c>
      <c r="G133">
        <f>IF(Config!$G$18=0,0,IF(ABS(($A133-Config!$F$18)/Config!$G$18)&gt;3,$D133,0))</f>
        <v/>
      </c>
      <c r="H133">
        <f>IFERROR(NORM.DIST($A133,Config!$F$18,Config!$G$18,FALSE)*Config!$D$18*Config!$J$18,0)</f>
        <v/>
      </c>
    </row>
    <row r="134">
      <c r="A134" s="6">
        <f>Config!$K$18+4*Config!$J$18+Config!$J$18/2</f>
        <v/>
      </c>
      <c r="B134" s="6">
        <f>$A134-Config!$J$18/2</f>
        <v/>
      </c>
      <c r="C134" s="6">
        <f>$A134+Config!$J$18/2</f>
        <v/>
      </c>
      <c r="D134" s="6">
        <f>COUNTIFS(RawData!$C$2:$C$941,"MT",RawData!$K$2:$K$941,"&gt;="&amp;$B134,RawData!$K$2:$K$941,"&lt;"&amp;$C134,RawData!$K$2:$K$941,"&lt;&gt;0")</f>
        <v/>
      </c>
      <c r="E134" s="6">
        <f>IF(Config!$G$18=0,0,IF(ABS(($A134-Config!$F$18)/Config!$G$18)&lt;=2,$D134,0))</f>
        <v/>
      </c>
      <c r="F134" s="6">
        <f>IF(Config!$G$18=0,0,IF(AND(ABS(($A134-Config!$F$18)/Config!$G$18)&gt;2,ABS(($A134-Config!$F$18)/Config!$G$18)&lt;=3),$D134,0))</f>
        <v/>
      </c>
      <c r="G134" s="6">
        <f>IF(Config!$G$18=0,0,IF(ABS(($A134-Config!$F$18)/Config!$G$18)&gt;3,$D134,0))</f>
        <v/>
      </c>
      <c r="H134" s="6">
        <f>IFERROR(NORM.DIST($A134,Config!$F$18,Config!$G$18,FALSE)*Config!$D$18*Config!$J$18,0)</f>
        <v/>
      </c>
    </row>
    <row r="135">
      <c r="A135">
        <f>Config!$K$18+5*Config!$J$18+Config!$J$18/2</f>
        <v/>
      </c>
      <c r="B135">
        <f>$A135-Config!$J$18/2</f>
        <v/>
      </c>
      <c r="C135">
        <f>$A135+Config!$J$18/2</f>
        <v/>
      </c>
      <c r="D135">
        <f>COUNTIFS(RawData!$C$2:$C$941,"MT",RawData!$K$2:$K$941,"&gt;="&amp;$B135,RawData!$K$2:$K$941,"&lt;"&amp;$C135,RawData!$K$2:$K$941,"&lt;&gt;0")</f>
        <v/>
      </c>
      <c r="E135">
        <f>IF(Config!$G$18=0,0,IF(ABS(($A135-Config!$F$18)/Config!$G$18)&lt;=2,$D135,0))</f>
        <v/>
      </c>
      <c r="F135">
        <f>IF(Config!$G$18=0,0,IF(AND(ABS(($A135-Config!$F$18)/Config!$G$18)&gt;2,ABS(($A135-Config!$F$18)/Config!$G$18)&lt;=3),$D135,0))</f>
        <v/>
      </c>
      <c r="G135">
        <f>IF(Config!$G$18=0,0,IF(ABS(($A135-Config!$F$18)/Config!$G$18)&gt;3,$D135,0))</f>
        <v/>
      </c>
      <c r="H135">
        <f>IFERROR(NORM.DIST($A135,Config!$F$18,Config!$G$18,FALSE)*Config!$D$18*Config!$J$18,0)</f>
        <v/>
      </c>
    </row>
    <row r="136">
      <c r="A136" s="6">
        <f>Config!$K$18+6*Config!$J$18+Config!$J$18/2</f>
        <v/>
      </c>
      <c r="B136" s="6">
        <f>$A136-Config!$J$18/2</f>
        <v/>
      </c>
      <c r="C136" s="6">
        <f>$A136+Config!$J$18/2</f>
        <v/>
      </c>
      <c r="D136" s="6">
        <f>COUNTIFS(RawData!$C$2:$C$941,"MT",RawData!$K$2:$K$941,"&gt;="&amp;$B136,RawData!$K$2:$K$941,"&lt;"&amp;$C136,RawData!$K$2:$K$941,"&lt;&gt;0")</f>
        <v/>
      </c>
      <c r="E136" s="6">
        <f>IF(Config!$G$18=0,0,IF(ABS(($A136-Config!$F$18)/Config!$G$18)&lt;=2,$D136,0))</f>
        <v/>
      </c>
      <c r="F136" s="6">
        <f>IF(Config!$G$18=0,0,IF(AND(ABS(($A136-Config!$F$18)/Config!$G$18)&gt;2,ABS(($A136-Config!$F$18)/Config!$G$18)&lt;=3),$D136,0))</f>
        <v/>
      </c>
      <c r="G136" s="6">
        <f>IF(Config!$G$18=0,0,IF(ABS(($A136-Config!$F$18)/Config!$G$18)&gt;3,$D136,0))</f>
        <v/>
      </c>
      <c r="H136" s="6">
        <f>IFERROR(NORM.DIST($A136,Config!$F$18,Config!$G$18,FALSE)*Config!$D$18*Config!$J$18,0)</f>
        <v/>
      </c>
    </row>
    <row r="137">
      <c r="A137">
        <f>Config!$K$18+7*Config!$J$18+Config!$J$18/2</f>
        <v/>
      </c>
      <c r="B137">
        <f>$A137-Config!$J$18/2</f>
        <v/>
      </c>
      <c r="C137">
        <f>$A137+Config!$J$18/2</f>
        <v/>
      </c>
      <c r="D137">
        <f>COUNTIFS(RawData!$C$2:$C$941,"MT",RawData!$K$2:$K$941,"&gt;="&amp;$B137,RawData!$K$2:$K$941,"&lt;"&amp;$C137,RawData!$K$2:$K$941,"&lt;&gt;0")</f>
        <v/>
      </c>
      <c r="E137">
        <f>IF(Config!$G$18=0,0,IF(ABS(($A137-Config!$F$18)/Config!$G$18)&lt;=2,$D137,0))</f>
        <v/>
      </c>
      <c r="F137">
        <f>IF(Config!$G$18=0,0,IF(AND(ABS(($A137-Config!$F$18)/Config!$G$18)&gt;2,ABS(($A137-Config!$F$18)/Config!$G$18)&lt;=3),$D137,0))</f>
        <v/>
      </c>
      <c r="G137">
        <f>IF(Config!$G$18=0,0,IF(ABS(($A137-Config!$F$18)/Config!$G$18)&gt;3,$D137,0))</f>
        <v/>
      </c>
      <c r="H137">
        <f>IFERROR(NORM.DIST($A137,Config!$F$18,Config!$G$18,FALSE)*Config!$D$18*Config!$J$18,0)</f>
        <v/>
      </c>
    </row>
    <row r="138">
      <c r="A138" s="6">
        <f>Config!$K$18+8*Config!$J$18+Config!$J$18/2</f>
        <v/>
      </c>
      <c r="B138" s="6">
        <f>$A138-Config!$J$18/2</f>
        <v/>
      </c>
      <c r="C138" s="6">
        <f>$A138+Config!$J$18/2</f>
        <v/>
      </c>
      <c r="D138" s="6">
        <f>COUNTIFS(RawData!$C$2:$C$941,"MT",RawData!$K$2:$K$941,"&gt;="&amp;$B138,RawData!$K$2:$K$941,"&lt;"&amp;$C138,RawData!$K$2:$K$941,"&lt;&gt;0")</f>
        <v/>
      </c>
      <c r="E138" s="6">
        <f>IF(Config!$G$18=0,0,IF(ABS(($A138-Config!$F$18)/Config!$G$18)&lt;=2,$D138,0))</f>
        <v/>
      </c>
      <c r="F138" s="6">
        <f>IF(Config!$G$18=0,0,IF(AND(ABS(($A138-Config!$F$18)/Config!$G$18)&gt;2,ABS(($A138-Config!$F$18)/Config!$G$18)&lt;=3),$D138,0))</f>
        <v/>
      </c>
      <c r="G138" s="6">
        <f>IF(Config!$G$18=0,0,IF(ABS(($A138-Config!$F$18)/Config!$G$18)&gt;3,$D138,0))</f>
        <v/>
      </c>
      <c r="H138" s="6">
        <f>IFERROR(NORM.DIST($A138,Config!$F$18,Config!$G$18,FALSE)*Config!$D$18*Config!$J$18,0)</f>
        <v/>
      </c>
    </row>
    <row r="139">
      <c r="A139">
        <f>Config!$K$18+9*Config!$J$18+Config!$J$18/2</f>
        <v/>
      </c>
      <c r="B139">
        <f>$A139-Config!$J$18/2</f>
        <v/>
      </c>
      <c r="C139">
        <f>$A139+Config!$J$18/2</f>
        <v/>
      </c>
      <c r="D139">
        <f>COUNTIFS(RawData!$C$2:$C$941,"MT",RawData!$K$2:$K$941,"&gt;="&amp;$B139,RawData!$K$2:$K$941,"&lt;"&amp;$C139,RawData!$K$2:$K$941,"&lt;&gt;0")</f>
        <v/>
      </c>
      <c r="E139">
        <f>IF(Config!$G$18=0,0,IF(ABS(($A139-Config!$F$18)/Config!$G$18)&lt;=2,$D139,0))</f>
        <v/>
      </c>
      <c r="F139">
        <f>IF(Config!$G$18=0,0,IF(AND(ABS(($A139-Config!$F$18)/Config!$G$18)&gt;2,ABS(($A139-Config!$F$18)/Config!$G$18)&lt;=3),$D139,0))</f>
        <v/>
      </c>
      <c r="G139">
        <f>IF(Config!$G$18=0,0,IF(ABS(($A139-Config!$F$18)/Config!$G$18)&gt;3,$D139,0))</f>
        <v/>
      </c>
      <c r="H139">
        <f>IFERROR(NORM.DIST($A139,Config!$F$18,Config!$G$18,FALSE)*Config!$D$18*Config!$J$18,0)</f>
        <v/>
      </c>
    </row>
    <row r="140">
      <c r="A140" s="6">
        <f>Config!$K$18+10*Config!$J$18+Config!$J$18/2</f>
        <v/>
      </c>
      <c r="B140" s="6">
        <f>$A140-Config!$J$18/2</f>
        <v/>
      </c>
      <c r="C140" s="6">
        <f>$A140+Config!$J$18/2</f>
        <v/>
      </c>
      <c r="D140" s="6">
        <f>COUNTIFS(RawData!$C$2:$C$941,"MT",RawData!$K$2:$K$941,"&gt;="&amp;$B140,RawData!$K$2:$K$941,"&lt;"&amp;$C140,RawData!$K$2:$K$941,"&lt;&gt;0")</f>
        <v/>
      </c>
      <c r="E140" s="6">
        <f>IF(Config!$G$18=0,0,IF(ABS(($A140-Config!$F$18)/Config!$G$18)&lt;=2,$D140,0))</f>
        <v/>
      </c>
      <c r="F140" s="6">
        <f>IF(Config!$G$18=0,0,IF(AND(ABS(($A140-Config!$F$18)/Config!$G$18)&gt;2,ABS(($A140-Config!$F$18)/Config!$G$18)&lt;=3),$D140,0))</f>
        <v/>
      </c>
      <c r="G140" s="6">
        <f>IF(Config!$G$18=0,0,IF(ABS(($A140-Config!$F$18)/Config!$G$18)&gt;3,$D140,0))</f>
        <v/>
      </c>
      <c r="H140" s="6">
        <f>IFERROR(NORM.DIST($A140,Config!$F$18,Config!$G$18,FALSE)*Config!$D$18*Config!$J$18,0)</f>
        <v/>
      </c>
    </row>
    <row r="141">
      <c r="A141">
        <f>Config!$K$18+11*Config!$J$18+Config!$J$18/2</f>
        <v/>
      </c>
      <c r="B141">
        <f>$A141-Config!$J$18/2</f>
        <v/>
      </c>
      <c r="C141">
        <f>$A141+Config!$J$18/2</f>
        <v/>
      </c>
      <c r="D141">
        <f>COUNTIFS(RawData!$C$2:$C$941,"MT",RawData!$K$2:$K$941,"&gt;="&amp;$B141,RawData!$K$2:$K$941,"&lt;"&amp;$C141,RawData!$K$2:$K$941,"&lt;&gt;0")</f>
        <v/>
      </c>
      <c r="E141">
        <f>IF(Config!$G$18=0,0,IF(ABS(($A141-Config!$F$18)/Config!$G$18)&lt;=2,$D141,0))</f>
        <v/>
      </c>
      <c r="F141">
        <f>IF(Config!$G$18=0,0,IF(AND(ABS(($A141-Config!$F$18)/Config!$G$18)&gt;2,ABS(($A141-Config!$F$18)/Config!$G$18)&lt;=3),$D141,0))</f>
        <v/>
      </c>
      <c r="G141">
        <f>IF(Config!$G$18=0,0,IF(ABS(($A141-Config!$F$18)/Config!$G$18)&gt;3,$D141,0))</f>
        <v/>
      </c>
      <c r="H141">
        <f>IFERROR(NORM.DIST($A141,Config!$F$18,Config!$G$18,FALSE)*Config!$D$18*Config!$J$18,0)</f>
        <v/>
      </c>
    </row>
    <row r="142">
      <c r="A142" s="6">
        <f>Config!$K$18+12*Config!$J$18+Config!$J$18/2</f>
        <v/>
      </c>
      <c r="B142" s="6">
        <f>$A142-Config!$J$18/2</f>
        <v/>
      </c>
      <c r="C142" s="6">
        <f>$A142+Config!$J$18/2</f>
        <v/>
      </c>
      <c r="D142" s="6">
        <f>COUNTIFS(RawData!$C$2:$C$941,"MT",RawData!$K$2:$K$941,"&gt;="&amp;$B142,RawData!$K$2:$K$941,"&lt;"&amp;$C142,RawData!$K$2:$K$941,"&lt;&gt;0")</f>
        <v/>
      </c>
      <c r="E142" s="6">
        <f>IF(Config!$G$18=0,0,IF(ABS(($A142-Config!$F$18)/Config!$G$18)&lt;=2,$D142,0))</f>
        <v/>
      </c>
      <c r="F142" s="6">
        <f>IF(Config!$G$18=0,0,IF(AND(ABS(($A142-Config!$F$18)/Config!$G$18)&gt;2,ABS(($A142-Config!$F$18)/Config!$G$18)&lt;=3),$D142,0))</f>
        <v/>
      </c>
      <c r="G142" s="6">
        <f>IF(Config!$G$18=0,0,IF(ABS(($A142-Config!$F$18)/Config!$G$18)&gt;3,$D142,0))</f>
        <v/>
      </c>
      <c r="H142" s="6">
        <f>IFERROR(NORM.DIST($A142,Config!$F$18,Config!$G$18,FALSE)*Config!$D$18*Config!$J$18,0)</f>
        <v/>
      </c>
    </row>
    <row r="143">
      <c r="A143">
        <f>Config!$K$18+13*Config!$J$18+Config!$J$18/2</f>
        <v/>
      </c>
      <c r="B143">
        <f>$A143-Config!$J$18/2</f>
        <v/>
      </c>
      <c r="C143">
        <f>$A143+Config!$J$18/2</f>
        <v/>
      </c>
      <c r="D143">
        <f>COUNTIFS(RawData!$C$2:$C$941,"MT",RawData!$K$2:$K$941,"&gt;="&amp;$B143,RawData!$K$2:$K$941,"&lt;"&amp;$C143,RawData!$K$2:$K$941,"&lt;&gt;0")</f>
        <v/>
      </c>
      <c r="E143">
        <f>IF(Config!$G$18=0,0,IF(ABS(($A143-Config!$F$18)/Config!$G$18)&lt;=2,$D143,0))</f>
        <v/>
      </c>
      <c r="F143">
        <f>IF(Config!$G$18=0,0,IF(AND(ABS(($A143-Config!$F$18)/Config!$G$18)&gt;2,ABS(($A143-Config!$F$18)/Config!$G$18)&lt;=3),$D143,0))</f>
        <v/>
      </c>
      <c r="G143">
        <f>IF(Config!$G$18=0,0,IF(ABS(($A143-Config!$F$18)/Config!$G$18)&gt;3,$D143,0))</f>
        <v/>
      </c>
      <c r="H143">
        <f>IFERROR(NORM.DIST($A143,Config!$F$18,Config!$G$18,FALSE)*Config!$D$18*Config!$J$18,0)</f>
        <v/>
      </c>
    </row>
    <row r="144">
      <c r="A144" s="6">
        <f>Config!$K$18+14*Config!$J$18+Config!$J$18/2</f>
        <v/>
      </c>
      <c r="B144" s="6">
        <f>$A144-Config!$J$18/2</f>
        <v/>
      </c>
      <c r="C144" s="6">
        <f>$A144+Config!$J$18/2</f>
        <v/>
      </c>
      <c r="D144" s="6">
        <f>COUNTIFS(RawData!$C$2:$C$941,"MT",RawData!$K$2:$K$941,"&gt;="&amp;$B144,RawData!$K$2:$K$941,"&lt;"&amp;$C144,RawData!$K$2:$K$941,"&lt;&gt;0")</f>
        <v/>
      </c>
      <c r="E144" s="6">
        <f>IF(Config!$G$18=0,0,IF(ABS(($A144-Config!$F$18)/Config!$G$18)&lt;=2,$D144,0))</f>
        <v/>
      </c>
      <c r="F144" s="6">
        <f>IF(Config!$G$18=0,0,IF(AND(ABS(($A144-Config!$F$18)/Config!$G$18)&gt;2,ABS(($A144-Config!$F$18)/Config!$G$18)&lt;=3),$D144,0))</f>
        <v/>
      </c>
      <c r="G144" s="6">
        <f>IF(Config!$G$18=0,0,IF(ABS(($A144-Config!$F$18)/Config!$G$18)&gt;3,$D144,0))</f>
        <v/>
      </c>
      <c r="H144" s="6">
        <f>IFERROR(NORM.DIST($A144,Config!$F$18,Config!$G$18,FALSE)*Config!$D$18*Config!$J$18,0)</f>
        <v/>
      </c>
    </row>
    <row r="145">
      <c r="A145">
        <f>Config!$K$18+15*Config!$J$18+Config!$J$18/2</f>
        <v/>
      </c>
      <c r="B145">
        <f>$A145-Config!$J$18/2</f>
        <v/>
      </c>
      <c r="C145">
        <f>$A145+Config!$J$18/2</f>
        <v/>
      </c>
      <c r="D145">
        <f>COUNTIFS(RawData!$C$2:$C$941,"MT",RawData!$K$2:$K$941,"&gt;="&amp;$B145,RawData!$K$2:$K$941,"&lt;"&amp;$C145,RawData!$K$2:$K$941,"&lt;&gt;0")</f>
        <v/>
      </c>
      <c r="E145">
        <f>IF(Config!$G$18=0,0,IF(ABS(($A145-Config!$F$18)/Config!$G$18)&lt;=2,$D145,0))</f>
        <v/>
      </c>
      <c r="F145">
        <f>IF(Config!$G$18=0,0,IF(AND(ABS(($A145-Config!$F$18)/Config!$G$18)&gt;2,ABS(($A145-Config!$F$18)/Config!$G$18)&lt;=3),$D145,0))</f>
        <v/>
      </c>
      <c r="G145">
        <f>IF(Config!$G$18=0,0,IF(ABS(($A145-Config!$F$18)/Config!$G$18)&gt;3,$D145,0))</f>
        <v/>
      </c>
      <c r="H145">
        <f>IFERROR(NORM.DIST($A145,Config!$F$18,Config!$G$18,FALSE)*Config!$D$18*Config!$J$18,0)</f>
        <v/>
      </c>
    </row>
    <row r="146">
      <c r="A146" s="6">
        <f>Config!$K$18+16*Config!$J$18+Config!$J$18/2</f>
        <v/>
      </c>
      <c r="B146" s="6">
        <f>$A146-Config!$J$18/2</f>
        <v/>
      </c>
      <c r="C146" s="6">
        <f>$A146+Config!$J$18/2</f>
        <v/>
      </c>
      <c r="D146" s="6">
        <f>COUNTIFS(RawData!$C$2:$C$941,"MT",RawData!$K$2:$K$941,"&gt;="&amp;$B146,RawData!$K$2:$K$941,"&lt;"&amp;$C146,RawData!$K$2:$K$941,"&lt;&gt;0")</f>
        <v/>
      </c>
      <c r="E146" s="6">
        <f>IF(Config!$G$18=0,0,IF(ABS(($A146-Config!$F$18)/Config!$G$18)&lt;=2,$D146,0))</f>
        <v/>
      </c>
      <c r="F146" s="6">
        <f>IF(Config!$G$18=0,0,IF(AND(ABS(($A146-Config!$F$18)/Config!$G$18)&gt;2,ABS(($A146-Config!$F$18)/Config!$G$18)&lt;=3),$D146,0))</f>
        <v/>
      </c>
      <c r="G146" s="6">
        <f>IF(Config!$G$18=0,0,IF(ABS(($A146-Config!$F$18)/Config!$G$18)&gt;3,$D146,0))</f>
        <v/>
      </c>
      <c r="H146" s="6">
        <f>IFERROR(NORM.DIST($A146,Config!$F$18,Config!$G$18,FALSE)*Config!$D$18*Config!$J$18,0)</f>
        <v/>
      </c>
    </row>
    <row r="147">
      <c r="A147">
        <f>Config!$K$18+17*Config!$J$18+Config!$J$18/2</f>
        <v/>
      </c>
      <c r="B147">
        <f>$A147-Config!$J$18/2</f>
        <v/>
      </c>
      <c r="C147">
        <f>$A147+Config!$J$18/2</f>
        <v/>
      </c>
      <c r="D147">
        <f>COUNTIFS(RawData!$C$2:$C$941,"MT",RawData!$K$2:$K$941,"&gt;="&amp;$B147,RawData!$K$2:$K$941,"&lt;"&amp;$C147,RawData!$K$2:$K$941,"&lt;&gt;0")</f>
        <v/>
      </c>
      <c r="E147">
        <f>IF(Config!$G$18=0,0,IF(ABS(($A147-Config!$F$18)/Config!$G$18)&lt;=2,$D147,0))</f>
        <v/>
      </c>
      <c r="F147">
        <f>IF(Config!$G$18=0,0,IF(AND(ABS(($A147-Config!$F$18)/Config!$G$18)&gt;2,ABS(($A147-Config!$F$18)/Config!$G$18)&lt;=3),$D147,0))</f>
        <v/>
      </c>
      <c r="G147">
        <f>IF(Config!$G$18=0,0,IF(ABS(($A147-Config!$F$18)/Config!$G$18)&gt;3,$D147,0))</f>
        <v/>
      </c>
      <c r="H147">
        <f>IFERROR(NORM.DIST($A147,Config!$F$18,Config!$G$18,FALSE)*Config!$D$18*Config!$J$18,0)</f>
        <v/>
      </c>
    </row>
    <row r="148">
      <c r="A148" s="6">
        <f>Config!$K$18+18*Config!$J$18+Config!$J$18/2</f>
        <v/>
      </c>
      <c r="B148" s="6">
        <f>$A148-Config!$J$18/2</f>
        <v/>
      </c>
      <c r="C148" s="6">
        <f>$A148+Config!$J$18/2</f>
        <v/>
      </c>
      <c r="D148" s="6">
        <f>COUNTIFS(RawData!$C$2:$C$941,"MT",RawData!$K$2:$K$941,"&gt;="&amp;$B148,RawData!$K$2:$K$941,"&lt;"&amp;$C148,RawData!$K$2:$K$941,"&lt;&gt;0")</f>
        <v/>
      </c>
      <c r="E148" s="6">
        <f>IF(Config!$G$18=0,0,IF(ABS(($A148-Config!$F$18)/Config!$G$18)&lt;=2,$D148,0))</f>
        <v/>
      </c>
      <c r="F148" s="6">
        <f>IF(Config!$G$18=0,0,IF(AND(ABS(($A148-Config!$F$18)/Config!$G$18)&gt;2,ABS(($A148-Config!$F$18)/Config!$G$18)&lt;=3),$D148,0))</f>
        <v/>
      </c>
      <c r="G148" s="6">
        <f>IF(Config!$G$18=0,0,IF(ABS(($A148-Config!$F$18)/Config!$G$18)&gt;3,$D148,0))</f>
        <v/>
      </c>
      <c r="H148" s="6">
        <f>IFERROR(NORM.DIST($A148,Config!$F$18,Config!$G$18,FALSE)*Config!$D$18*Config!$J$18,0)</f>
        <v/>
      </c>
    </row>
    <row r="149">
      <c r="A149">
        <f>Config!$K$18+19*Config!$J$18+Config!$J$18/2</f>
        <v/>
      </c>
      <c r="B149">
        <f>$A149-Config!$J$18/2</f>
        <v/>
      </c>
      <c r="C149">
        <f>$A149+Config!$J$18/2</f>
        <v/>
      </c>
      <c r="D149">
        <f>COUNTIFS(RawData!$C$2:$C$941,"MT",RawData!$K$2:$K$941,"&gt;="&amp;$B149,RawData!$K$2:$K$941,"&lt;"&amp;$C149,RawData!$K$2:$K$941,"&lt;&gt;0")</f>
        <v/>
      </c>
      <c r="E149">
        <f>IF(Config!$G$18=0,0,IF(ABS(($A149-Config!$F$18)/Config!$G$18)&lt;=2,$D149,0))</f>
        <v/>
      </c>
      <c r="F149">
        <f>IF(Config!$G$18=0,0,IF(AND(ABS(($A149-Config!$F$18)/Config!$G$18)&gt;2,ABS(($A149-Config!$F$18)/Config!$G$18)&lt;=3),$D149,0))</f>
        <v/>
      </c>
      <c r="G149">
        <f>IF(Config!$G$18=0,0,IF(ABS(($A149-Config!$F$18)/Config!$G$18)&gt;3,$D149,0))</f>
        <v/>
      </c>
      <c r="H149">
        <f>IFERROR(NORM.DIST($A149,Config!$F$18,Config!$G$18,FALSE)*Config!$D$18*Config!$J$18,0)</f>
        <v/>
      </c>
    </row>
    <row r="150">
      <c r="A150" s="6">
        <f>Config!$K$18+20*Config!$J$18+Config!$J$18/2</f>
        <v/>
      </c>
      <c r="B150" s="6">
        <f>$A150-Config!$J$18/2</f>
        <v/>
      </c>
      <c r="C150" s="6">
        <f>$A150+Config!$J$18/2</f>
        <v/>
      </c>
      <c r="D150" s="6">
        <f>COUNTIFS(RawData!$C$2:$C$941,"MT",RawData!$K$2:$K$941,"&gt;="&amp;$B150,RawData!$K$2:$K$941,"&lt;"&amp;$C150,RawData!$K$2:$K$941,"&lt;&gt;0")</f>
        <v/>
      </c>
      <c r="E150" s="6">
        <f>IF(Config!$G$18=0,0,IF(ABS(($A150-Config!$F$18)/Config!$G$18)&lt;=2,$D150,0))</f>
        <v/>
      </c>
      <c r="F150" s="6">
        <f>IF(Config!$G$18=0,0,IF(AND(ABS(($A150-Config!$F$18)/Config!$G$18)&gt;2,ABS(($A150-Config!$F$18)/Config!$G$18)&lt;=3),$D150,0))</f>
        <v/>
      </c>
      <c r="G150" s="6">
        <f>IF(Config!$G$18=0,0,IF(ABS(($A150-Config!$F$18)/Config!$G$18)&gt;3,$D150,0))</f>
        <v/>
      </c>
      <c r="H150" s="6">
        <f>IFERROR(NORM.DIST($A150,Config!$F$18,Config!$G$18,FALSE)*Config!$D$18*Config!$J$18,0)</f>
        <v/>
      </c>
    </row>
    <row r="151">
      <c r="A151">
        <f>Config!$K$18+21*Config!$J$18+Config!$J$18/2</f>
        <v/>
      </c>
      <c r="B151">
        <f>$A151-Config!$J$18/2</f>
        <v/>
      </c>
      <c r="C151">
        <f>$A151+Config!$J$18/2</f>
        <v/>
      </c>
      <c r="D151">
        <f>COUNTIFS(RawData!$C$2:$C$941,"MT",RawData!$K$2:$K$941,"&gt;="&amp;$B151,RawData!$K$2:$K$941,"&lt;"&amp;$C151,RawData!$K$2:$K$941,"&lt;&gt;0")</f>
        <v/>
      </c>
      <c r="E151">
        <f>IF(Config!$G$18=0,0,IF(ABS(($A151-Config!$F$18)/Config!$G$18)&lt;=2,$D151,0))</f>
        <v/>
      </c>
      <c r="F151">
        <f>IF(Config!$G$18=0,0,IF(AND(ABS(($A151-Config!$F$18)/Config!$G$18)&gt;2,ABS(($A151-Config!$F$18)/Config!$G$18)&lt;=3),$D151,0))</f>
        <v/>
      </c>
      <c r="G151">
        <f>IF(Config!$G$18=0,0,IF(ABS(($A151-Config!$F$18)/Config!$G$18)&gt;3,$D151,0))</f>
        <v/>
      </c>
      <c r="H151">
        <f>IFERROR(NORM.DIST($A151,Config!$F$18,Config!$G$18,FALSE)*Config!$D$18*Config!$J$18,0)</f>
        <v/>
      </c>
    </row>
    <row r="152">
      <c r="A152" s="6">
        <f>Config!$K$18+22*Config!$J$18+Config!$J$18/2</f>
        <v/>
      </c>
      <c r="B152" s="6">
        <f>$A152-Config!$J$18/2</f>
        <v/>
      </c>
      <c r="C152" s="6">
        <f>$A152+Config!$J$18/2</f>
        <v/>
      </c>
      <c r="D152" s="6">
        <f>COUNTIFS(RawData!$C$2:$C$941,"MT",RawData!$K$2:$K$941,"&gt;="&amp;$B152,RawData!$K$2:$K$941,"&lt;"&amp;$C152,RawData!$K$2:$K$941,"&lt;&gt;0")</f>
        <v/>
      </c>
      <c r="E152" s="6">
        <f>IF(Config!$G$18=0,0,IF(ABS(($A152-Config!$F$18)/Config!$G$18)&lt;=2,$D152,0))</f>
        <v/>
      </c>
      <c r="F152" s="6">
        <f>IF(Config!$G$18=0,0,IF(AND(ABS(($A152-Config!$F$18)/Config!$G$18)&gt;2,ABS(($A152-Config!$F$18)/Config!$G$18)&lt;=3),$D152,0))</f>
        <v/>
      </c>
      <c r="G152" s="6">
        <f>IF(Config!$G$18=0,0,IF(ABS(($A152-Config!$F$18)/Config!$G$18)&gt;3,$D152,0))</f>
        <v/>
      </c>
      <c r="H152" s="6">
        <f>IFERROR(NORM.DIST($A152,Config!$F$18,Config!$G$18,FALSE)*Config!$D$18*Config!$J$18,0)</f>
        <v/>
      </c>
    </row>
    <row r="153">
      <c r="A153">
        <f>Config!$K$18+23*Config!$J$18+Config!$J$18/2</f>
        <v/>
      </c>
      <c r="B153">
        <f>$A153-Config!$J$18/2</f>
        <v/>
      </c>
      <c r="C153">
        <f>$A153+Config!$J$18/2</f>
        <v/>
      </c>
      <c r="D153">
        <f>COUNTIFS(RawData!$C$2:$C$941,"MT",RawData!$K$2:$K$941,"&gt;="&amp;$B153,RawData!$K$2:$K$941,"&lt;"&amp;$C153,RawData!$K$2:$K$941,"&lt;&gt;0")</f>
        <v/>
      </c>
      <c r="E153">
        <f>IF(Config!$G$18=0,0,IF(ABS(($A153-Config!$F$18)/Config!$G$18)&lt;=2,$D153,0))</f>
        <v/>
      </c>
      <c r="F153">
        <f>IF(Config!$G$18=0,0,IF(AND(ABS(($A153-Config!$F$18)/Config!$G$18)&gt;2,ABS(($A153-Config!$F$18)/Config!$G$18)&lt;=3),$D153,0))</f>
        <v/>
      </c>
      <c r="G153">
        <f>IF(Config!$G$18=0,0,IF(ABS(($A153-Config!$F$18)/Config!$G$18)&gt;3,$D153,0))</f>
        <v/>
      </c>
      <c r="H153">
        <f>IFERROR(NORM.DIST($A153,Config!$F$18,Config!$G$18,FALSE)*Config!$D$18*Config!$J$18,0)</f>
        <v/>
      </c>
    </row>
    <row r="154">
      <c r="A154" s="6">
        <f>Config!$K$18+24*Config!$J$18+Config!$J$18/2</f>
        <v/>
      </c>
      <c r="B154" s="6">
        <f>$A154-Config!$J$18/2</f>
        <v/>
      </c>
      <c r="C154" s="6">
        <f>$A154+Config!$J$18/2</f>
        <v/>
      </c>
      <c r="D154" s="6">
        <f>COUNTIFS(RawData!$C$2:$C$941,"MT",RawData!$K$2:$K$941,"&gt;="&amp;$B154,RawData!$K$2:$K$941,"&lt;"&amp;$C154,RawData!$K$2:$K$941,"&lt;&gt;0")</f>
        <v/>
      </c>
      <c r="E154" s="6">
        <f>IF(Config!$G$18=0,0,IF(ABS(($A154-Config!$F$18)/Config!$G$18)&lt;=2,$D154,0))</f>
        <v/>
      </c>
      <c r="F154" s="6">
        <f>IF(Config!$G$18=0,0,IF(AND(ABS(($A154-Config!$F$18)/Config!$G$18)&gt;2,ABS(($A154-Config!$F$18)/Config!$G$18)&lt;=3),$D154,0))</f>
        <v/>
      </c>
      <c r="G154" s="6">
        <f>IF(Config!$G$18=0,0,IF(ABS(($A154-Config!$F$18)/Config!$G$18)&gt;3,$D154,0))</f>
        <v/>
      </c>
      <c r="H154" s="6">
        <f>IFERROR(NORM.DIST($A154,Config!$F$18,Config!$G$18,FALSE)*Config!$D$18*Config!$J$18,0)</f>
        <v/>
      </c>
    </row>
    <row r="155">
      <c r="A155">
        <f>Config!$K$18+25*Config!$J$18+Config!$J$18/2</f>
        <v/>
      </c>
      <c r="B155">
        <f>$A155-Config!$J$18/2</f>
        <v/>
      </c>
      <c r="C155">
        <f>$A155+Config!$J$18/2</f>
        <v/>
      </c>
      <c r="D155">
        <f>COUNTIFS(RawData!$C$2:$C$941,"MT",RawData!$K$2:$K$941,"&gt;="&amp;$B155,RawData!$K$2:$K$941,"&lt;"&amp;$C155,RawData!$K$2:$K$941,"&lt;&gt;0")</f>
        <v/>
      </c>
      <c r="E155">
        <f>IF(Config!$G$18=0,0,IF(ABS(($A155-Config!$F$18)/Config!$G$18)&lt;=2,$D155,0))</f>
        <v/>
      </c>
      <c r="F155">
        <f>IF(Config!$G$18=0,0,IF(AND(ABS(($A155-Config!$F$18)/Config!$G$18)&gt;2,ABS(($A155-Config!$F$18)/Config!$G$18)&lt;=3),$D155,0))</f>
        <v/>
      </c>
      <c r="G155">
        <f>IF(Config!$G$18=0,0,IF(ABS(($A155-Config!$F$18)/Config!$G$18)&gt;3,$D155,0))</f>
        <v/>
      </c>
      <c r="H155">
        <f>IFERROR(NORM.DIST($A155,Config!$F$18,Config!$G$18,FALSE)*Config!$D$18*Config!$J$18,0)</f>
        <v/>
      </c>
    </row>
    <row r="156">
      <c r="A156" s="6">
        <f>Config!$K$18+26*Config!$J$18+Config!$J$18/2</f>
        <v/>
      </c>
      <c r="B156" s="6">
        <f>$A156-Config!$J$18/2</f>
        <v/>
      </c>
      <c r="C156" s="6">
        <f>$A156+Config!$J$18/2</f>
        <v/>
      </c>
      <c r="D156" s="6">
        <f>COUNTIFS(RawData!$C$2:$C$941,"MT",RawData!$K$2:$K$941,"&gt;="&amp;$B156,RawData!$K$2:$K$941,"&lt;"&amp;$C156,RawData!$K$2:$K$941,"&lt;&gt;0")</f>
        <v/>
      </c>
      <c r="E156" s="6">
        <f>IF(Config!$G$18=0,0,IF(ABS(($A156-Config!$F$18)/Config!$G$18)&lt;=2,$D156,0))</f>
        <v/>
      </c>
      <c r="F156" s="6">
        <f>IF(Config!$G$18=0,0,IF(AND(ABS(($A156-Config!$F$18)/Config!$G$18)&gt;2,ABS(($A156-Config!$F$18)/Config!$G$18)&lt;=3),$D156,0))</f>
        <v/>
      </c>
      <c r="G156" s="6">
        <f>IF(Config!$G$18=0,0,IF(ABS(($A156-Config!$F$18)/Config!$G$18)&gt;3,$D156,0))</f>
        <v/>
      </c>
      <c r="H156" s="6">
        <f>IFERROR(NORM.DIST($A156,Config!$F$18,Config!$G$18,FALSE)*Config!$D$18*Config!$J$18,0)</f>
        <v/>
      </c>
    </row>
    <row r="157">
      <c r="A157">
        <f>Config!$K$18+27*Config!$J$18+Config!$J$18/2</f>
        <v/>
      </c>
      <c r="B157">
        <f>$A157-Config!$J$18/2</f>
        <v/>
      </c>
      <c r="C157">
        <f>$A157+Config!$J$18/2</f>
        <v/>
      </c>
      <c r="D157">
        <f>COUNTIFS(RawData!$C$2:$C$941,"MT",RawData!$K$2:$K$941,"&gt;="&amp;$B157,RawData!$K$2:$K$941,"&lt;"&amp;$C157,RawData!$K$2:$K$941,"&lt;&gt;0")</f>
        <v/>
      </c>
      <c r="E157">
        <f>IF(Config!$G$18=0,0,IF(ABS(($A157-Config!$F$18)/Config!$G$18)&lt;=2,$D157,0))</f>
        <v/>
      </c>
      <c r="F157">
        <f>IF(Config!$G$18=0,0,IF(AND(ABS(($A157-Config!$F$18)/Config!$G$18)&gt;2,ABS(($A157-Config!$F$18)/Config!$G$18)&lt;=3),$D157,0))</f>
        <v/>
      </c>
      <c r="G157">
        <f>IF(Config!$G$18=0,0,IF(ABS(($A157-Config!$F$18)/Config!$G$18)&gt;3,$D157,0))</f>
        <v/>
      </c>
      <c r="H157">
        <f>IFERROR(NORM.DIST($A157,Config!$F$18,Config!$G$18,FALSE)*Config!$D$18*Config!$J$18,0)</f>
        <v/>
      </c>
    </row>
    <row r="158">
      <c r="A158" s="6">
        <f>Config!$K$18+28*Config!$J$18+Config!$J$18/2</f>
        <v/>
      </c>
      <c r="B158" s="6">
        <f>$A158-Config!$J$18/2</f>
        <v/>
      </c>
      <c r="C158" s="6">
        <f>$A158+Config!$J$18/2</f>
        <v/>
      </c>
      <c r="D158" s="6">
        <f>COUNTIFS(RawData!$C$2:$C$941,"MT",RawData!$K$2:$K$941,"&gt;="&amp;$B158,RawData!$K$2:$K$941,"&lt;"&amp;$C158,RawData!$K$2:$K$941,"&lt;&gt;0")</f>
        <v/>
      </c>
      <c r="E158" s="6">
        <f>IF(Config!$G$18=0,0,IF(ABS(($A158-Config!$F$18)/Config!$G$18)&lt;=2,$D158,0))</f>
        <v/>
      </c>
      <c r="F158" s="6">
        <f>IF(Config!$G$18=0,0,IF(AND(ABS(($A158-Config!$F$18)/Config!$G$18)&gt;2,ABS(($A158-Config!$F$18)/Config!$G$18)&lt;=3),$D158,0))</f>
        <v/>
      </c>
      <c r="G158" s="6">
        <f>IF(Config!$G$18=0,0,IF(ABS(($A158-Config!$F$18)/Config!$G$18)&gt;3,$D158,0))</f>
        <v/>
      </c>
      <c r="H158" s="6">
        <f>IFERROR(NORM.DIST($A158,Config!$F$18,Config!$G$18,FALSE)*Config!$D$18*Config!$J$18,0)</f>
        <v/>
      </c>
    </row>
    <row r="159">
      <c r="A159">
        <f>Config!$K$18+29*Config!$J$18+Config!$J$18/2</f>
        <v/>
      </c>
      <c r="B159">
        <f>$A159-Config!$J$18/2</f>
        <v/>
      </c>
      <c r="C159">
        <f>$A159+Config!$J$18/2</f>
        <v/>
      </c>
      <c r="D159">
        <f>COUNTIFS(RawData!$C$2:$C$941,"MT",RawData!$K$2:$K$941,"&gt;="&amp;$B159,RawData!$K$2:$K$941,"&lt;"&amp;$C159,RawData!$K$2:$K$941,"&lt;&gt;0")</f>
        <v/>
      </c>
      <c r="E159">
        <f>IF(Config!$G$18=0,0,IF(ABS(($A159-Config!$F$18)/Config!$G$18)&lt;=2,$D159,0))</f>
        <v/>
      </c>
      <c r="F159">
        <f>IF(Config!$G$18=0,0,IF(AND(ABS(($A159-Config!$F$18)/Config!$G$18)&gt;2,ABS(($A159-Config!$F$18)/Config!$G$18)&lt;=3),$D159,0))</f>
        <v/>
      </c>
      <c r="G159">
        <f>IF(Config!$G$18=0,0,IF(ABS(($A159-Config!$F$18)/Config!$G$18)&gt;3,$D159,0))</f>
        <v/>
      </c>
      <c r="H159">
        <f>IFERROR(NORM.DIST($A159,Config!$F$18,Config!$G$18,FALSE)*Config!$D$18*Config!$J$18,0)</f>
        <v/>
      </c>
    </row>
    <row r="161">
      <c r="A161" s="5" t="inlineStr">
        <is>
          <t>BinCenter</t>
        </is>
      </c>
      <c r="B161" s="5" t="inlineStr">
        <is>
          <t>BinLo</t>
        </is>
      </c>
      <c r="C161" s="5" t="inlineStr">
        <is>
          <t>BinHi</t>
        </is>
      </c>
      <c r="D161" s="5" t="inlineStr">
        <is>
          <t>TotalCount</t>
        </is>
      </c>
      <c r="E161" s="5" t="inlineStr">
        <is>
          <t>Normal</t>
        </is>
      </c>
      <c r="F161" s="5" t="inlineStr">
        <is>
          <t>Warning(2-3s)</t>
        </is>
      </c>
      <c r="G161" s="5" t="inlineStr">
        <is>
          <t>Outlier(&gt;3s)</t>
        </is>
      </c>
      <c r="H161" s="5" t="inlineStr">
        <is>
          <t>CurveY</t>
        </is>
      </c>
    </row>
    <row r="162">
      <c r="A162" s="6">
        <f>Config!$K$19+0*Config!$J$19+Config!$J$19/2</f>
        <v/>
      </c>
      <c r="B162" s="6">
        <f>$A162-Config!$J$19/2</f>
        <v/>
      </c>
      <c r="C162" s="6">
        <f>$A162+Config!$J$19/2</f>
        <v/>
      </c>
      <c r="D162" s="6">
        <f>COUNTIFS(RawData!$C$2:$C$941,"MT",RawData!$L$2:$L$941,"&gt;="&amp;$B162,RawData!$L$2:$L$941,"&lt;"&amp;$C162,RawData!$L$2:$L$941,"&lt;&gt;0")</f>
        <v/>
      </c>
      <c r="E162" s="6">
        <f>IF(Config!$G$19=0,0,IF(ABS(($A162-Config!$F$19)/Config!$G$19)&lt;=2,$D162,0))</f>
        <v/>
      </c>
      <c r="F162" s="6">
        <f>IF(Config!$G$19=0,0,IF(AND(ABS(($A162-Config!$F$19)/Config!$G$19)&gt;2,ABS(($A162-Config!$F$19)/Config!$G$19)&lt;=3),$D162,0))</f>
        <v/>
      </c>
      <c r="G162" s="6">
        <f>IF(Config!$G$19=0,0,IF(ABS(($A162-Config!$F$19)/Config!$G$19)&gt;3,$D162,0))</f>
        <v/>
      </c>
      <c r="H162" s="6">
        <f>IFERROR(NORM.DIST($A162,Config!$F$19,Config!$G$19,FALSE)*Config!$D$19*Config!$J$19,0)</f>
        <v/>
      </c>
    </row>
    <row r="163">
      <c r="A163">
        <f>Config!$K$19+1*Config!$J$19+Config!$J$19/2</f>
        <v/>
      </c>
      <c r="B163">
        <f>$A163-Config!$J$19/2</f>
        <v/>
      </c>
      <c r="C163">
        <f>$A163+Config!$J$19/2</f>
        <v/>
      </c>
      <c r="D163">
        <f>COUNTIFS(RawData!$C$2:$C$941,"MT",RawData!$L$2:$L$941,"&gt;="&amp;$B163,RawData!$L$2:$L$941,"&lt;"&amp;$C163,RawData!$L$2:$L$941,"&lt;&gt;0")</f>
        <v/>
      </c>
      <c r="E163">
        <f>IF(Config!$G$19=0,0,IF(ABS(($A163-Config!$F$19)/Config!$G$19)&lt;=2,$D163,0))</f>
        <v/>
      </c>
      <c r="F163">
        <f>IF(Config!$G$19=0,0,IF(AND(ABS(($A163-Config!$F$19)/Config!$G$19)&gt;2,ABS(($A163-Config!$F$19)/Config!$G$19)&lt;=3),$D163,0))</f>
        <v/>
      </c>
      <c r="G163">
        <f>IF(Config!$G$19=0,0,IF(ABS(($A163-Config!$F$19)/Config!$G$19)&gt;3,$D163,0))</f>
        <v/>
      </c>
      <c r="H163">
        <f>IFERROR(NORM.DIST($A163,Config!$F$19,Config!$G$19,FALSE)*Config!$D$19*Config!$J$19,0)</f>
        <v/>
      </c>
    </row>
    <row r="164">
      <c r="A164" s="6">
        <f>Config!$K$19+2*Config!$J$19+Config!$J$19/2</f>
        <v/>
      </c>
      <c r="B164" s="6">
        <f>$A164-Config!$J$19/2</f>
        <v/>
      </c>
      <c r="C164" s="6">
        <f>$A164+Config!$J$19/2</f>
        <v/>
      </c>
      <c r="D164" s="6">
        <f>COUNTIFS(RawData!$C$2:$C$941,"MT",RawData!$L$2:$L$941,"&gt;="&amp;$B164,RawData!$L$2:$L$941,"&lt;"&amp;$C164,RawData!$L$2:$L$941,"&lt;&gt;0")</f>
        <v/>
      </c>
      <c r="E164" s="6">
        <f>IF(Config!$G$19=0,0,IF(ABS(($A164-Config!$F$19)/Config!$G$19)&lt;=2,$D164,0))</f>
        <v/>
      </c>
      <c r="F164" s="6">
        <f>IF(Config!$G$19=0,0,IF(AND(ABS(($A164-Config!$F$19)/Config!$G$19)&gt;2,ABS(($A164-Config!$F$19)/Config!$G$19)&lt;=3),$D164,0))</f>
        <v/>
      </c>
      <c r="G164" s="6">
        <f>IF(Config!$G$19=0,0,IF(ABS(($A164-Config!$F$19)/Config!$G$19)&gt;3,$D164,0))</f>
        <v/>
      </c>
      <c r="H164" s="6">
        <f>IFERROR(NORM.DIST($A164,Config!$F$19,Config!$G$19,FALSE)*Config!$D$19*Config!$J$19,0)</f>
        <v/>
      </c>
    </row>
    <row r="165">
      <c r="A165">
        <f>Config!$K$19+3*Config!$J$19+Config!$J$19/2</f>
        <v/>
      </c>
      <c r="B165">
        <f>$A165-Config!$J$19/2</f>
        <v/>
      </c>
      <c r="C165">
        <f>$A165+Config!$J$19/2</f>
        <v/>
      </c>
      <c r="D165">
        <f>COUNTIFS(RawData!$C$2:$C$941,"MT",RawData!$L$2:$L$941,"&gt;="&amp;$B165,RawData!$L$2:$L$941,"&lt;"&amp;$C165,RawData!$L$2:$L$941,"&lt;&gt;0")</f>
        <v/>
      </c>
      <c r="E165">
        <f>IF(Config!$G$19=0,0,IF(ABS(($A165-Config!$F$19)/Config!$G$19)&lt;=2,$D165,0))</f>
        <v/>
      </c>
      <c r="F165">
        <f>IF(Config!$G$19=0,0,IF(AND(ABS(($A165-Config!$F$19)/Config!$G$19)&gt;2,ABS(($A165-Config!$F$19)/Config!$G$19)&lt;=3),$D165,0))</f>
        <v/>
      </c>
      <c r="G165">
        <f>IF(Config!$G$19=0,0,IF(ABS(($A165-Config!$F$19)/Config!$G$19)&gt;3,$D165,0))</f>
        <v/>
      </c>
      <c r="H165">
        <f>IFERROR(NORM.DIST($A165,Config!$F$19,Config!$G$19,FALSE)*Config!$D$19*Config!$J$19,0)</f>
        <v/>
      </c>
    </row>
    <row r="166">
      <c r="A166" s="6">
        <f>Config!$K$19+4*Config!$J$19+Config!$J$19/2</f>
        <v/>
      </c>
      <c r="B166" s="6">
        <f>$A166-Config!$J$19/2</f>
        <v/>
      </c>
      <c r="C166" s="6">
        <f>$A166+Config!$J$19/2</f>
        <v/>
      </c>
      <c r="D166" s="6">
        <f>COUNTIFS(RawData!$C$2:$C$941,"MT",RawData!$L$2:$L$941,"&gt;="&amp;$B166,RawData!$L$2:$L$941,"&lt;"&amp;$C166,RawData!$L$2:$L$941,"&lt;&gt;0")</f>
        <v/>
      </c>
      <c r="E166" s="6">
        <f>IF(Config!$G$19=0,0,IF(ABS(($A166-Config!$F$19)/Config!$G$19)&lt;=2,$D166,0))</f>
        <v/>
      </c>
      <c r="F166" s="6">
        <f>IF(Config!$G$19=0,0,IF(AND(ABS(($A166-Config!$F$19)/Config!$G$19)&gt;2,ABS(($A166-Config!$F$19)/Config!$G$19)&lt;=3),$D166,0))</f>
        <v/>
      </c>
      <c r="G166" s="6">
        <f>IF(Config!$G$19=0,0,IF(ABS(($A166-Config!$F$19)/Config!$G$19)&gt;3,$D166,0))</f>
        <v/>
      </c>
      <c r="H166" s="6">
        <f>IFERROR(NORM.DIST($A166,Config!$F$19,Config!$G$19,FALSE)*Config!$D$19*Config!$J$19,0)</f>
        <v/>
      </c>
    </row>
    <row r="167">
      <c r="A167">
        <f>Config!$K$19+5*Config!$J$19+Config!$J$19/2</f>
        <v/>
      </c>
      <c r="B167">
        <f>$A167-Config!$J$19/2</f>
        <v/>
      </c>
      <c r="C167">
        <f>$A167+Config!$J$19/2</f>
        <v/>
      </c>
      <c r="D167">
        <f>COUNTIFS(RawData!$C$2:$C$941,"MT",RawData!$L$2:$L$941,"&gt;="&amp;$B167,RawData!$L$2:$L$941,"&lt;"&amp;$C167,RawData!$L$2:$L$941,"&lt;&gt;0")</f>
        <v/>
      </c>
      <c r="E167">
        <f>IF(Config!$G$19=0,0,IF(ABS(($A167-Config!$F$19)/Config!$G$19)&lt;=2,$D167,0))</f>
        <v/>
      </c>
      <c r="F167">
        <f>IF(Config!$G$19=0,0,IF(AND(ABS(($A167-Config!$F$19)/Config!$G$19)&gt;2,ABS(($A167-Config!$F$19)/Config!$G$19)&lt;=3),$D167,0))</f>
        <v/>
      </c>
      <c r="G167">
        <f>IF(Config!$G$19=0,0,IF(ABS(($A167-Config!$F$19)/Config!$G$19)&gt;3,$D167,0))</f>
        <v/>
      </c>
      <c r="H167">
        <f>IFERROR(NORM.DIST($A167,Config!$F$19,Config!$G$19,FALSE)*Config!$D$19*Config!$J$19,0)</f>
        <v/>
      </c>
    </row>
    <row r="168">
      <c r="A168" s="6">
        <f>Config!$K$19+6*Config!$J$19+Config!$J$19/2</f>
        <v/>
      </c>
      <c r="B168" s="6">
        <f>$A168-Config!$J$19/2</f>
        <v/>
      </c>
      <c r="C168" s="6">
        <f>$A168+Config!$J$19/2</f>
        <v/>
      </c>
      <c r="D168" s="6">
        <f>COUNTIFS(RawData!$C$2:$C$941,"MT",RawData!$L$2:$L$941,"&gt;="&amp;$B168,RawData!$L$2:$L$941,"&lt;"&amp;$C168,RawData!$L$2:$L$941,"&lt;&gt;0")</f>
        <v/>
      </c>
      <c r="E168" s="6">
        <f>IF(Config!$G$19=0,0,IF(ABS(($A168-Config!$F$19)/Config!$G$19)&lt;=2,$D168,0))</f>
        <v/>
      </c>
      <c r="F168" s="6">
        <f>IF(Config!$G$19=0,0,IF(AND(ABS(($A168-Config!$F$19)/Config!$G$19)&gt;2,ABS(($A168-Config!$F$19)/Config!$G$19)&lt;=3),$D168,0))</f>
        <v/>
      </c>
      <c r="G168" s="6">
        <f>IF(Config!$G$19=0,0,IF(ABS(($A168-Config!$F$19)/Config!$G$19)&gt;3,$D168,0))</f>
        <v/>
      </c>
      <c r="H168" s="6">
        <f>IFERROR(NORM.DIST($A168,Config!$F$19,Config!$G$19,FALSE)*Config!$D$19*Config!$J$19,0)</f>
        <v/>
      </c>
    </row>
    <row r="169">
      <c r="A169">
        <f>Config!$K$19+7*Config!$J$19+Config!$J$19/2</f>
        <v/>
      </c>
      <c r="B169">
        <f>$A169-Config!$J$19/2</f>
        <v/>
      </c>
      <c r="C169">
        <f>$A169+Config!$J$19/2</f>
        <v/>
      </c>
      <c r="D169">
        <f>COUNTIFS(RawData!$C$2:$C$941,"MT",RawData!$L$2:$L$941,"&gt;="&amp;$B169,RawData!$L$2:$L$941,"&lt;"&amp;$C169,RawData!$L$2:$L$941,"&lt;&gt;0")</f>
        <v/>
      </c>
      <c r="E169">
        <f>IF(Config!$G$19=0,0,IF(ABS(($A169-Config!$F$19)/Config!$G$19)&lt;=2,$D169,0))</f>
        <v/>
      </c>
      <c r="F169">
        <f>IF(Config!$G$19=0,0,IF(AND(ABS(($A169-Config!$F$19)/Config!$G$19)&gt;2,ABS(($A169-Config!$F$19)/Config!$G$19)&lt;=3),$D169,0))</f>
        <v/>
      </c>
      <c r="G169">
        <f>IF(Config!$G$19=0,0,IF(ABS(($A169-Config!$F$19)/Config!$G$19)&gt;3,$D169,0))</f>
        <v/>
      </c>
      <c r="H169">
        <f>IFERROR(NORM.DIST($A169,Config!$F$19,Config!$G$19,FALSE)*Config!$D$19*Config!$J$19,0)</f>
        <v/>
      </c>
    </row>
    <row r="170">
      <c r="A170" s="6">
        <f>Config!$K$19+8*Config!$J$19+Config!$J$19/2</f>
        <v/>
      </c>
      <c r="B170" s="6">
        <f>$A170-Config!$J$19/2</f>
        <v/>
      </c>
      <c r="C170" s="6">
        <f>$A170+Config!$J$19/2</f>
        <v/>
      </c>
      <c r="D170" s="6">
        <f>COUNTIFS(RawData!$C$2:$C$941,"MT",RawData!$L$2:$L$941,"&gt;="&amp;$B170,RawData!$L$2:$L$941,"&lt;"&amp;$C170,RawData!$L$2:$L$941,"&lt;&gt;0")</f>
        <v/>
      </c>
      <c r="E170" s="6">
        <f>IF(Config!$G$19=0,0,IF(ABS(($A170-Config!$F$19)/Config!$G$19)&lt;=2,$D170,0))</f>
        <v/>
      </c>
      <c r="F170" s="6">
        <f>IF(Config!$G$19=0,0,IF(AND(ABS(($A170-Config!$F$19)/Config!$G$19)&gt;2,ABS(($A170-Config!$F$19)/Config!$G$19)&lt;=3),$D170,0))</f>
        <v/>
      </c>
      <c r="G170" s="6">
        <f>IF(Config!$G$19=0,0,IF(ABS(($A170-Config!$F$19)/Config!$G$19)&gt;3,$D170,0))</f>
        <v/>
      </c>
      <c r="H170" s="6">
        <f>IFERROR(NORM.DIST($A170,Config!$F$19,Config!$G$19,FALSE)*Config!$D$19*Config!$J$19,0)</f>
        <v/>
      </c>
    </row>
    <row r="171">
      <c r="A171">
        <f>Config!$K$19+9*Config!$J$19+Config!$J$19/2</f>
        <v/>
      </c>
      <c r="B171">
        <f>$A171-Config!$J$19/2</f>
        <v/>
      </c>
      <c r="C171">
        <f>$A171+Config!$J$19/2</f>
        <v/>
      </c>
      <c r="D171">
        <f>COUNTIFS(RawData!$C$2:$C$941,"MT",RawData!$L$2:$L$941,"&gt;="&amp;$B171,RawData!$L$2:$L$941,"&lt;"&amp;$C171,RawData!$L$2:$L$941,"&lt;&gt;0")</f>
        <v/>
      </c>
      <c r="E171">
        <f>IF(Config!$G$19=0,0,IF(ABS(($A171-Config!$F$19)/Config!$G$19)&lt;=2,$D171,0))</f>
        <v/>
      </c>
      <c r="F171">
        <f>IF(Config!$G$19=0,0,IF(AND(ABS(($A171-Config!$F$19)/Config!$G$19)&gt;2,ABS(($A171-Config!$F$19)/Config!$G$19)&lt;=3),$D171,0))</f>
        <v/>
      </c>
      <c r="G171">
        <f>IF(Config!$G$19=0,0,IF(ABS(($A171-Config!$F$19)/Config!$G$19)&gt;3,$D171,0))</f>
        <v/>
      </c>
      <c r="H171">
        <f>IFERROR(NORM.DIST($A171,Config!$F$19,Config!$G$19,FALSE)*Config!$D$19*Config!$J$19,0)</f>
        <v/>
      </c>
    </row>
    <row r="172">
      <c r="A172" s="6">
        <f>Config!$K$19+10*Config!$J$19+Config!$J$19/2</f>
        <v/>
      </c>
      <c r="B172" s="6">
        <f>$A172-Config!$J$19/2</f>
        <v/>
      </c>
      <c r="C172" s="6">
        <f>$A172+Config!$J$19/2</f>
        <v/>
      </c>
      <c r="D172" s="6">
        <f>COUNTIFS(RawData!$C$2:$C$941,"MT",RawData!$L$2:$L$941,"&gt;="&amp;$B172,RawData!$L$2:$L$941,"&lt;"&amp;$C172,RawData!$L$2:$L$941,"&lt;&gt;0")</f>
        <v/>
      </c>
      <c r="E172" s="6">
        <f>IF(Config!$G$19=0,0,IF(ABS(($A172-Config!$F$19)/Config!$G$19)&lt;=2,$D172,0))</f>
        <v/>
      </c>
      <c r="F172" s="6">
        <f>IF(Config!$G$19=0,0,IF(AND(ABS(($A172-Config!$F$19)/Config!$G$19)&gt;2,ABS(($A172-Config!$F$19)/Config!$G$19)&lt;=3),$D172,0))</f>
        <v/>
      </c>
      <c r="G172" s="6">
        <f>IF(Config!$G$19=0,0,IF(ABS(($A172-Config!$F$19)/Config!$G$19)&gt;3,$D172,0))</f>
        <v/>
      </c>
      <c r="H172" s="6">
        <f>IFERROR(NORM.DIST($A172,Config!$F$19,Config!$G$19,FALSE)*Config!$D$19*Config!$J$19,0)</f>
        <v/>
      </c>
    </row>
    <row r="173">
      <c r="A173">
        <f>Config!$K$19+11*Config!$J$19+Config!$J$19/2</f>
        <v/>
      </c>
      <c r="B173">
        <f>$A173-Config!$J$19/2</f>
        <v/>
      </c>
      <c r="C173">
        <f>$A173+Config!$J$19/2</f>
        <v/>
      </c>
      <c r="D173">
        <f>COUNTIFS(RawData!$C$2:$C$941,"MT",RawData!$L$2:$L$941,"&gt;="&amp;$B173,RawData!$L$2:$L$941,"&lt;"&amp;$C173,RawData!$L$2:$L$941,"&lt;&gt;0")</f>
        <v/>
      </c>
      <c r="E173">
        <f>IF(Config!$G$19=0,0,IF(ABS(($A173-Config!$F$19)/Config!$G$19)&lt;=2,$D173,0))</f>
        <v/>
      </c>
      <c r="F173">
        <f>IF(Config!$G$19=0,0,IF(AND(ABS(($A173-Config!$F$19)/Config!$G$19)&gt;2,ABS(($A173-Config!$F$19)/Config!$G$19)&lt;=3),$D173,0))</f>
        <v/>
      </c>
      <c r="G173">
        <f>IF(Config!$G$19=0,0,IF(ABS(($A173-Config!$F$19)/Config!$G$19)&gt;3,$D173,0))</f>
        <v/>
      </c>
      <c r="H173">
        <f>IFERROR(NORM.DIST($A173,Config!$F$19,Config!$G$19,FALSE)*Config!$D$19*Config!$J$19,0)</f>
        <v/>
      </c>
    </row>
    <row r="174">
      <c r="A174" s="6">
        <f>Config!$K$19+12*Config!$J$19+Config!$J$19/2</f>
        <v/>
      </c>
      <c r="B174" s="6">
        <f>$A174-Config!$J$19/2</f>
        <v/>
      </c>
      <c r="C174" s="6">
        <f>$A174+Config!$J$19/2</f>
        <v/>
      </c>
      <c r="D174" s="6">
        <f>COUNTIFS(RawData!$C$2:$C$941,"MT",RawData!$L$2:$L$941,"&gt;="&amp;$B174,RawData!$L$2:$L$941,"&lt;"&amp;$C174,RawData!$L$2:$L$941,"&lt;&gt;0")</f>
        <v/>
      </c>
      <c r="E174" s="6">
        <f>IF(Config!$G$19=0,0,IF(ABS(($A174-Config!$F$19)/Config!$G$19)&lt;=2,$D174,0))</f>
        <v/>
      </c>
      <c r="F174" s="6">
        <f>IF(Config!$G$19=0,0,IF(AND(ABS(($A174-Config!$F$19)/Config!$G$19)&gt;2,ABS(($A174-Config!$F$19)/Config!$G$19)&lt;=3),$D174,0))</f>
        <v/>
      </c>
      <c r="G174" s="6">
        <f>IF(Config!$G$19=0,0,IF(ABS(($A174-Config!$F$19)/Config!$G$19)&gt;3,$D174,0))</f>
        <v/>
      </c>
      <c r="H174" s="6">
        <f>IFERROR(NORM.DIST($A174,Config!$F$19,Config!$G$19,FALSE)*Config!$D$19*Config!$J$19,0)</f>
        <v/>
      </c>
    </row>
    <row r="175">
      <c r="A175">
        <f>Config!$K$19+13*Config!$J$19+Config!$J$19/2</f>
        <v/>
      </c>
      <c r="B175">
        <f>$A175-Config!$J$19/2</f>
        <v/>
      </c>
      <c r="C175">
        <f>$A175+Config!$J$19/2</f>
        <v/>
      </c>
      <c r="D175">
        <f>COUNTIFS(RawData!$C$2:$C$941,"MT",RawData!$L$2:$L$941,"&gt;="&amp;$B175,RawData!$L$2:$L$941,"&lt;"&amp;$C175,RawData!$L$2:$L$941,"&lt;&gt;0")</f>
        <v/>
      </c>
      <c r="E175">
        <f>IF(Config!$G$19=0,0,IF(ABS(($A175-Config!$F$19)/Config!$G$19)&lt;=2,$D175,0))</f>
        <v/>
      </c>
      <c r="F175">
        <f>IF(Config!$G$19=0,0,IF(AND(ABS(($A175-Config!$F$19)/Config!$G$19)&gt;2,ABS(($A175-Config!$F$19)/Config!$G$19)&lt;=3),$D175,0))</f>
        <v/>
      </c>
      <c r="G175">
        <f>IF(Config!$G$19=0,0,IF(ABS(($A175-Config!$F$19)/Config!$G$19)&gt;3,$D175,0))</f>
        <v/>
      </c>
      <c r="H175">
        <f>IFERROR(NORM.DIST($A175,Config!$F$19,Config!$G$19,FALSE)*Config!$D$19*Config!$J$19,0)</f>
        <v/>
      </c>
    </row>
    <row r="176">
      <c r="A176" s="6">
        <f>Config!$K$19+14*Config!$J$19+Config!$J$19/2</f>
        <v/>
      </c>
      <c r="B176" s="6">
        <f>$A176-Config!$J$19/2</f>
        <v/>
      </c>
      <c r="C176" s="6">
        <f>$A176+Config!$J$19/2</f>
        <v/>
      </c>
      <c r="D176" s="6">
        <f>COUNTIFS(RawData!$C$2:$C$941,"MT",RawData!$L$2:$L$941,"&gt;="&amp;$B176,RawData!$L$2:$L$941,"&lt;"&amp;$C176,RawData!$L$2:$L$941,"&lt;&gt;0")</f>
        <v/>
      </c>
      <c r="E176" s="6">
        <f>IF(Config!$G$19=0,0,IF(ABS(($A176-Config!$F$19)/Config!$G$19)&lt;=2,$D176,0))</f>
        <v/>
      </c>
      <c r="F176" s="6">
        <f>IF(Config!$G$19=0,0,IF(AND(ABS(($A176-Config!$F$19)/Config!$G$19)&gt;2,ABS(($A176-Config!$F$19)/Config!$G$19)&lt;=3),$D176,0))</f>
        <v/>
      </c>
      <c r="G176" s="6">
        <f>IF(Config!$G$19=0,0,IF(ABS(($A176-Config!$F$19)/Config!$G$19)&gt;3,$D176,0))</f>
        <v/>
      </c>
      <c r="H176" s="6">
        <f>IFERROR(NORM.DIST($A176,Config!$F$19,Config!$G$19,FALSE)*Config!$D$19*Config!$J$19,0)</f>
        <v/>
      </c>
    </row>
    <row r="177">
      <c r="A177">
        <f>Config!$K$19+15*Config!$J$19+Config!$J$19/2</f>
        <v/>
      </c>
      <c r="B177">
        <f>$A177-Config!$J$19/2</f>
        <v/>
      </c>
      <c r="C177">
        <f>$A177+Config!$J$19/2</f>
        <v/>
      </c>
      <c r="D177">
        <f>COUNTIFS(RawData!$C$2:$C$941,"MT",RawData!$L$2:$L$941,"&gt;="&amp;$B177,RawData!$L$2:$L$941,"&lt;"&amp;$C177,RawData!$L$2:$L$941,"&lt;&gt;0")</f>
        <v/>
      </c>
      <c r="E177">
        <f>IF(Config!$G$19=0,0,IF(ABS(($A177-Config!$F$19)/Config!$G$19)&lt;=2,$D177,0))</f>
        <v/>
      </c>
      <c r="F177">
        <f>IF(Config!$G$19=0,0,IF(AND(ABS(($A177-Config!$F$19)/Config!$G$19)&gt;2,ABS(($A177-Config!$F$19)/Config!$G$19)&lt;=3),$D177,0))</f>
        <v/>
      </c>
      <c r="G177">
        <f>IF(Config!$G$19=0,0,IF(ABS(($A177-Config!$F$19)/Config!$G$19)&gt;3,$D177,0))</f>
        <v/>
      </c>
      <c r="H177">
        <f>IFERROR(NORM.DIST($A177,Config!$F$19,Config!$G$19,FALSE)*Config!$D$19*Config!$J$19,0)</f>
        <v/>
      </c>
    </row>
    <row r="178">
      <c r="A178" s="6">
        <f>Config!$K$19+16*Config!$J$19+Config!$J$19/2</f>
        <v/>
      </c>
      <c r="B178" s="6">
        <f>$A178-Config!$J$19/2</f>
        <v/>
      </c>
      <c r="C178" s="6">
        <f>$A178+Config!$J$19/2</f>
        <v/>
      </c>
      <c r="D178" s="6">
        <f>COUNTIFS(RawData!$C$2:$C$941,"MT",RawData!$L$2:$L$941,"&gt;="&amp;$B178,RawData!$L$2:$L$941,"&lt;"&amp;$C178,RawData!$L$2:$L$941,"&lt;&gt;0")</f>
        <v/>
      </c>
      <c r="E178" s="6">
        <f>IF(Config!$G$19=0,0,IF(ABS(($A178-Config!$F$19)/Config!$G$19)&lt;=2,$D178,0))</f>
        <v/>
      </c>
      <c r="F178" s="6">
        <f>IF(Config!$G$19=0,0,IF(AND(ABS(($A178-Config!$F$19)/Config!$G$19)&gt;2,ABS(($A178-Config!$F$19)/Config!$G$19)&lt;=3),$D178,0))</f>
        <v/>
      </c>
      <c r="G178" s="6">
        <f>IF(Config!$G$19=0,0,IF(ABS(($A178-Config!$F$19)/Config!$G$19)&gt;3,$D178,0))</f>
        <v/>
      </c>
      <c r="H178" s="6">
        <f>IFERROR(NORM.DIST($A178,Config!$F$19,Config!$G$19,FALSE)*Config!$D$19*Config!$J$19,0)</f>
        <v/>
      </c>
    </row>
    <row r="179">
      <c r="A179">
        <f>Config!$K$19+17*Config!$J$19+Config!$J$19/2</f>
        <v/>
      </c>
      <c r="B179">
        <f>$A179-Config!$J$19/2</f>
        <v/>
      </c>
      <c r="C179">
        <f>$A179+Config!$J$19/2</f>
        <v/>
      </c>
      <c r="D179">
        <f>COUNTIFS(RawData!$C$2:$C$941,"MT",RawData!$L$2:$L$941,"&gt;="&amp;$B179,RawData!$L$2:$L$941,"&lt;"&amp;$C179,RawData!$L$2:$L$941,"&lt;&gt;0")</f>
        <v/>
      </c>
      <c r="E179">
        <f>IF(Config!$G$19=0,0,IF(ABS(($A179-Config!$F$19)/Config!$G$19)&lt;=2,$D179,0))</f>
        <v/>
      </c>
      <c r="F179">
        <f>IF(Config!$G$19=0,0,IF(AND(ABS(($A179-Config!$F$19)/Config!$G$19)&gt;2,ABS(($A179-Config!$F$19)/Config!$G$19)&lt;=3),$D179,0))</f>
        <v/>
      </c>
      <c r="G179">
        <f>IF(Config!$G$19=0,0,IF(ABS(($A179-Config!$F$19)/Config!$G$19)&gt;3,$D179,0))</f>
        <v/>
      </c>
      <c r="H179">
        <f>IFERROR(NORM.DIST($A179,Config!$F$19,Config!$G$19,FALSE)*Config!$D$19*Config!$J$19,0)</f>
        <v/>
      </c>
    </row>
    <row r="180">
      <c r="A180" s="6">
        <f>Config!$K$19+18*Config!$J$19+Config!$J$19/2</f>
        <v/>
      </c>
      <c r="B180" s="6">
        <f>$A180-Config!$J$19/2</f>
        <v/>
      </c>
      <c r="C180" s="6">
        <f>$A180+Config!$J$19/2</f>
        <v/>
      </c>
      <c r="D180" s="6">
        <f>COUNTIFS(RawData!$C$2:$C$941,"MT",RawData!$L$2:$L$941,"&gt;="&amp;$B180,RawData!$L$2:$L$941,"&lt;"&amp;$C180,RawData!$L$2:$L$941,"&lt;&gt;0")</f>
        <v/>
      </c>
      <c r="E180" s="6">
        <f>IF(Config!$G$19=0,0,IF(ABS(($A180-Config!$F$19)/Config!$G$19)&lt;=2,$D180,0))</f>
        <v/>
      </c>
      <c r="F180" s="6">
        <f>IF(Config!$G$19=0,0,IF(AND(ABS(($A180-Config!$F$19)/Config!$G$19)&gt;2,ABS(($A180-Config!$F$19)/Config!$G$19)&lt;=3),$D180,0))</f>
        <v/>
      </c>
      <c r="G180" s="6">
        <f>IF(Config!$G$19=0,0,IF(ABS(($A180-Config!$F$19)/Config!$G$19)&gt;3,$D180,0))</f>
        <v/>
      </c>
      <c r="H180" s="6">
        <f>IFERROR(NORM.DIST($A180,Config!$F$19,Config!$G$19,FALSE)*Config!$D$19*Config!$J$19,0)</f>
        <v/>
      </c>
    </row>
    <row r="181">
      <c r="A181">
        <f>Config!$K$19+19*Config!$J$19+Config!$J$19/2</f>
        <v/>
      </c>
      <c r="B181">
        <f>$A181-Config!$J$19/2</f>
        <v/>
      </c>
      <c r="C181">
        <f>$A181+Config!$J$19/2</f>
        <v/>
      </c>
      <c r="D181">
        <f>COUNTIFS(RawData!$C$2:$C$941,"MT",RawData!$L$2:$L$941,"&gt;="&amp;$B181,RawData!$L$2:$L$941,"&lt;"&amp;$C181,RawData!$L$2:$L$941,"&lt;&gt;0")</f>
        <v/>
      </c>
      <c r="E181">
        <f>IF(Config!$G$19=0,0,IF(ABS(($A181-Config!$F$19)/Config!$G$19)&lt;=2,$D181,0))</f>
        <v/>
      </c>
      <c r="F181">
        <f>IF(Config!$G$19=0,0,IF(AND(ABS(($A181-Config!$F$19)/Config!$G$19)&gt;2,ABS(($A181-Config!$F$19)/Config!$G$19)&lt;=3),$D181,0))</f>
        <v/>
      </c>
      <c r="G181">
        <f>IF(Config!$G$19=0,0,IF(ABS(($A181-Config!$F$19)/Config!$G$19)&gt;3,$D181,0))</f>
        <v/>
      </c>
      <c r="H181">
        <f>IFERROR(NORM.DIST($A181,Config!$F$19,Config!$G$19,FALSE)*Config!$D$19*Config!$J$19,0)</f>
        <v/>
      </c>
    </row>
    <row r="182">
      <c r="A182" s="6">
        <f>Config!$K$19+20*Config!$J$19+Config!$J$19/2</f>
        <v/>
      </c>
      <c r="B182" s="6">
        <f>$A182-Config!$J$19/2</f>
        <v/>
      </c>
      <c r="C182" s="6">
        <f>$A182+Config!$J$19/2</f>
        <v/>
      </c>
      <c r="D182" s="6">
        <f>COUNTIFS(RawData!$C$2:$C$941,"MT",RawData!$L$2:$L$941,"&gt;="&amp;$B182,RawData!$L$2:$L$941,"&lt;"&amp;$C182,RawData!$L$2:$L$941,"&lt;&gt;0")</f>
        <v/>
      </c>
      <c r="E182" s="6">
        <f>IF(Config!$G$19=0,0,IF(ABS(($A182-Config!$F$19)/Config!$G$19)&lt;=2,$D182,0))</f>
        <v/>
      </c>
      <c r="F182" s="6">
        <f>IF(Config!$G$19=0,0,IF(AND(ABS(($A182-Config!$F$19)/Config!$G$19)&gt;2,ABS(($A182-Config!$F$19)/Config!$G$19)&lt;=3),$D182,0))</f>
        <v/>
      </c>
      <c r="G182" s="6">
        <f>IF(Config!$G$19=0,0,IF(ABS(($A182-Config!$F$19)/Config!$G$19)&gt;3,$D182,0))</f>
        <v/>
      </c>
      <c r="H182" s="6">
        <f>IFERROR(NORM.DIST($A182,Config!$F$19,Config!$G$19,FALSE)*Config!$D$19*Config!$J$19,0)</f>
        <v/>
      </c>
    </row>
    <row r="183">
      <c r="A183">
        <f>Config!$K$19+21*Config!$J$19+Config!$J$19/2</f>
        <v/>
      </c>
      <c r="B183">
        <f>$A183-Config!$J$19/2</f>
        <v/>
      </c>
      <c r="C183">
        <f>$A183+Config!$J$19/2</f>
        <v/>
      </c>
      <c r="D183">
        <f>COUNTIFS(RawData!$C$2:$C$941,"MT",RawData!$L$2:$L$941,"&gt;="&amp;$B183,RawData!$L$2:$L$941,"&lt;"&amp;$C183,RawData!$L$2:$L$941,"&lt;&gt;0")</f>
        <v/>
      </c>
      <c r="E183">
        <f>IF(Config!$G$19=0,0,IF(ABS(($A183-Config!$F$19)/Config!$G$19)&lt;=2,$D183,0))</f>
        <v/>
      </c>
      <c r="F183">
        <f>IF(Config!$G$19=0,0,IF(AND(ABS(($A183-Config!$F$19)/Config!$G$19)&gt;2,ABS(($A183-Config!$F$19)/Config!$G$19)&lt;=3),$D183,0))</f>
        <v/>
      </c>
      <c r="G183">
        <f>IF(Config!$G$19=0,0,IF(ABS(($A183-Config!$F$19)/Config!$G$19)&gt;3,$D183,0))</f>
        <v/>
      </c>
      <c r="H183">
        <f>IFERROR(NORM.DIST($A183,Config!$F$19,Config!$G$19,FALSE)*Config!$D$19*Config!$J$19,0)</f>
        <v/>
      </c>
    </row>
    <row r="184">
      <c r="A184" s="6">
        <f>Config!$K$19+22*Config!$J$19+Config!$J$19/2</f>
        <v/>
      </c>
      <c r="B184" s="6">
        <f>$A184-Config!$J$19/2</f>
        <v/>
      </c>
      <c r="C184" s="6">
        <f>$A184+Config!$J$19/2</f>
        <v/>
      </c>
      <c r="D184" s="6">
        <f>COUNTIFS(RawData!$C$2:$C$941,"MT",RawData!$L$2:$L$941,"&gt;="&amp;$B184,RawData!$L$2:$L$941,"&lt;"&amp;$C184,RawData!$L$2:$L$941,"&lt;&gt;0")</f>
        <v/>
      </c>
      <c r="E184" s="6">
        <f>IF(Config!$G$19=0,0,IF(ABS(($A184-Config!$F$19)/Config!$G$19)&lt;=2,$D184,0))</f>
        <v/>
      </c>
      <c r="F184" s="6">
        <f>IF(Config!$G$19=0,0,IF(AND(ABS(($A184-Config!$F$19)/Config!$G$19)&gt;2,ABS(($A184-Config!$F$19)/Config!$G$19)&lt;=3),$D184,0))</f>
        <v/>
      </c>
      <c r="G184" s="6">
        <f>IF(Config!$G$19=0,0,IF(ABS(($A184-Config!$F$19)/Config!$G$19)&gt;3,$D184,0))</f>
        <v/>
      </c>
      <c r="H184" s="6">
        <f>IFERROR(NORM.DIST($A184,Config!$F$19,Config!$G$19,FALSE)*Config!$D$19*Config!$J$19,0)</f>
        <v/>
      </c>
    </row>
    <row r="185">
      <c r="A185">
        <f>Config!$K$19+23*Config!$J$19+Config!$J$19/2</f>
        <v/>
      </c>
      <c r="B185">
        <f>$A185-Config!$J$19/2</f>
        <v/>
      </c>
      <c r="C185">
        <f>$A185+Config!$J$19/2</f>
        <v/>
      </c>
      <c r="D185">
        <f>COUNTIFS(RawData!$C$2:$C$941,"MT",RawData!$L$2:$L$941,"&gt;="&amp;$B185,RawData!$L$2:$L$941,"&lt;"&amp;$C185,RawData!$L$2:$L$941,"&lt;&gt;0")</f>
        <v/>
      </c>
      <c r="E185">
        <f>IF(Config!$G$19=0,0,IF(ABS(($A185-Config!$F$19)/Config!$G$19)&lt;=2,$D185,0))</f>
        <v/>
      </c>
      <c r="F185">
        <f>IF(Config!$G$19=0,0,IF(AND(ABS(($A185-Config!$F$19)/Config!$G$19)&gt;2,ABS(($A185-Config!$F$19)/Config!$G$19)&lt;=3),$D185,0))</f>
        <v/>
      </c>
      <c r="G185">
        <f>IF(Config!$G$19=0,0,IF(ABS(($A185-Config!$F$19)/Config!$G$19)&gt;3,$D185,0))</f>
        <v/>
      </c>
      <c r="H185">
        <f>IFERROR(NORM.DIST($A185,Config!$F$19,Config!$G$19,FALSE)*Config!$D$19*Config!$J$19,0)</f>
        <v/>
      </c>
    </row>
    <row r="186">
      <c r="A186" s="6">
        <f>Config!$K$19+24*Config!$J$19+Config!$J$19/2</f>
        <v/>
      </c>
      <c r="B186" s="6">
        <f>$A186-Config!$J$19/2</f>
        <v/>
      </c>
      <c r="C186" s="6">
        <f>$A186+Config!$J$19/2</f>
        <v/>
      </c>
      <c r="D186" s="6">
        <f>COUNTIFS(RawData!$C$2:$C$941,"MT",RawData!$L$2:$L$941,"&gt;="&amp;$B186,RawData!$L$2:$L$941,"&lt;"&amp;$C186,RawData!$L$2:$L$941,"&lt;&gt;0")</f>
        <v/>
      </c>
      <c r="E186" s="6">
        <f>IF(Config!$G$19=0,0,IF(ABS(($A186-Config!$F$19)/Config!$G$19)&lt;=2,$D186,0))</f>
        <v/>
      </c>
      <c r="F186" s="6">
        <f>IF(Config!$G$19=0,0,IF(AND(ABS(($A186-Config!$F$19)/Config!$G$19)&gt;2,ABS(($A186-Config!$F$19)/Config!$G$19)&lt;=3),$D186,0))</f>
        <v/>
      </c>
      <c r="G186" s="6">
        <f>IF(Config!$G$19=0,0,IF(ABS(($A186-Config!$F$19)/Config!$G$19)&gt;3,$D186,0))</f>
        <v/>
      </c>
      <c r="H186" s="6">
        <f>IFERROR(NORM.DIST($A186,Config!$F$19,Config!$G$19,FALSE)*Config!$D$19*Config!$J$19,0)</f>
        <v/>
      </c>
    </row>
    <row r="187">
      <c r="A187">
        <f>Config!$K$19+25*Config!$J$19+Config!$J$19/2</f>
        <v/>
      </c>
      <c r="B187">
        <f>$A187-Config!$J$19/2</f>
        <v/>
      </c>
      <c r="C187">
        <f>$A187+Config!$J$19/2</f>
        <v/>
      </c>
      <c r="D187">
        <f>COUNTIFS(RawData!$C$2:$C$941,"MT",RawData!$L$2:$L$941,"&gt;="&amp;$B187,RawData!$L$2:$L$941,"&lt;"&amp;$C187,RawData!$L$2:$L$941,"&lt;&gt;0")</f>
        <v/>
      </c>
      <c r="E187">
        <f>IF(Config!$G$19=0,0,IF(ABS(($A187-Config!$F$19)/Config!$G$19)&lt;=2,$D187,0))</f>
        <v/>
      </c>
      <c r="F187">
        <f>IF(Config!$G$19=0,0,IF(AND(ABS(($A187-Config!$F$19)/Config!$G$19)&gt;2,ABS(($A187-Config!$F$19)/Config!$G$19)&lt;=3),$D187,0))</f>
        <v/>
      </c>
      <c r="G187">
        <f>IF(Config!$G$19=0,0,IF(ABS(($A187-Config!$F$19)/Config!$G$19)&gt;3,$D187,0))</f>
        <v/>
      </c>
      <c r="H187">
        <f>IFERROR(NORM.DIST($A187,Config!$F$19,Config!$G$19,FALSE)*Config!$D$19*Config!$J$19,0)</f>
        <v/>
      </c>
    </row>
    <row r="188">
      <c r="A188" s="6">
        <f>Config!$K$19+26*Config!$J$19+Config!$J$19/2</f>
        <v/>
      </c>
      <c r="B188" s="6">
        <f>$A188-Config!$J$19/2</f>
        <v/>
      </c>
      <c r="C188" s="6">
        <f>$A188+Config!$J$19/2</f>
        <v/>
      </c>
      <c r="D188" s="6">
        <f>COUNTIFS(RawData!$C$2:$C$941,"MT",RawData!$L$2:$L$941,"&gt;="&amp;$B188,RawData!$L$2:$L$941,"&lt;"&amp;$C188,RawData!$L$2:$L$941,"&lt;&gt;0")</f>
        <v/>
      </c>
      <c r="E188" s="6">
        <f>IF(Config!$G$19=0,0,IF(ABS(($A188-Config!$F$19)/Config!$G$19)&lt;=2,$D188,0))</f>
        <v/>
      </c>
      <c r="F188" s="6">
        <f>IF(Config!$G$19=0,0,IF(AND(ABS(($A188-Config!$F$19)/Config!$G$19)&gt;2,ABS(($A188-Config!$F$19)/Config!$G$19)&lt;=3),$D188,0))</f>
        <v/>
      </c>
      <c r="G188" s="6">
        <f>IF(Config!$G$19=0,0,IF(ABS(($A188-Config!$F$19)/Config!$G$19)&gt;3,$D188,0))</f>
        <v/>
      </c>
      <c r="H188" s="6">
        <f>IFERROR(NORM.DIST($A188,Config!$F$19,Config!$G$19,FALSE)*Config!$D$19*Config!$J$19,0)</f>
        <v/>
      </c>
    </row>
    <row r="189">
      <c r="A189">
        <f>Config!$K$19+27*Config!$J$19+Config!$J$19/2</f>
        <v/>
      </c>
      <c r="B189">
        <f>$A189-Config!$J$19/2</f>
        <v/>
      </c>
      <c r="C189">
        <f>$A189+Config!$J$19/2</f>
        <v/>
      </c>
      <c r="D189">
        <f>COUNTIFS(RawData!$C$2:$C$941,"MT",RawData!$L$2:$L$941,"&gt;="&amp;$B189,RawData!$L$2:$L$941,"&lt;"&amp;$C189,RawData!$L$2:$L$941,"&lt;&gt;0")</f>
        <v/>
      </c>
      <c r="E189">
        <f>IF(Config!$G$19=0,0,IF(ABS(($A189-Config!$F$19)/Config!$G$19)&lt;=2,$D189,0))</f>
        <v/>
      </c>
      <c r="F189">
        <f>IF(Config!$G$19=0,0,IF(AND(ABS(($A189-Config!$F$19)/Config!$G$19)&gt;2,ABS(($A189-Config!$F$19)/Config!$G$19)&lt;=3),$D189,0))</f>
        <v/>
      </c>
      <c r="G189">
        <f>IF(Config!$G$19=0,0,IF(ABS(($A189-Config!$F$19)/Config!$G$19)&gt;3,$D189,0))</f>
        <v/>
      </c>
      <c r="H189">
        <f>IFERROR(NORM.DIST($A189,Config!$F$19,Config!$G$19,FALSE)*Config!$D$19*Config!$J$19,0)</f>
        <v/>
      </c>
    </row>
    <row r="190">
      <c r="A190" s="6">
        <f>Config!$K$19+28*Config!$J$19+Config!$J$19/2</f>
        <v/>
      </c>
      <c r="B190" s="6">
        <f>$A190-Config!$J$19/2</f>
        <v/>
      </c>
      <c r="C190" s="6">
        <f>$A190+Config!$J$19/2</f>
        <v/>
      </c>
      <c r="D190" s="6">
        <f>COUNTIFS(RawData!$C$2:$C$941,"MT",RawData!$L$2:$L$941,"&gt;="&amp;$B190,RawData!$L$2:$L$941,"&lt;"&amp;$C190,RawData!$L$2:$L$941,"&lt;&gt;0")</f>
        <v/>
      </c>
      <c r="E190" s="6">
        <f>IF(Config!$G$19=0,0,IF(ABS(($A190-Config!$F$19)/Config!$G$19)&lt;=2,$D190,0))</f>
        <v/>
      </c>
      <c r="F190" s="6">
        <f>IF(Config!$G$19=0,0,IF(AND(ABS(($A190-Config!$F$19)/Config!$G$19)&gt;2,ABS(($A190-Config!$F$19)/Config!$G$19)&lt;=3),$D190,0))</f>
        <v/>
      </c>
      <c r="G190" s="6">
        <f>IF(Config!$G$19=0,0,IF(ABS(($A190-Config!$F$19)/Config!$G$19)&gt;3,$D190,0))</f>
        <v/>
      </c>
      <c r="H190" s="6">
        <f>IFERROR(NORM.DIST($A190,Config!$F$19,Config!$G$19,FALSE)*Config!$D$19*Config!$J$19,0)</f>
        <v/>
      </c>
    </row>
    <row r="191">
      <c r="A191">
        <f>Config!$K$19+29*Config!$J$19+Config!$J$19/2</f>
        <v/>
      </c>
      <c r="B191">
        <f>$A191-Config!$J$19/2</f>
        <v/>
      </c>
      <c r="C191">
        <f>$A191+Config!$J$19/2</f>
        <v/>
      </c>
      <c r="D191">
        <f>COUNTIFS(RawData!$C$2:$C$941,"MT",RawData!$L$2:$L$941,"&gt;="&amp;$B191,RawData!$L$2:$L$941,"&lt;"&amp;$C191,RawData!$L$2:$L$941,"&lt;&gt;0")</f>
        <v/>
      </c>
      <c r="E191">
        <f>IF(Config!$G$19=0,0,IF(ABS(($A191-Config!$F$19)/Config!$G$19)&lt;=2,$D191,0))</f>
        <v/>
      </c>
      <c r="F191">
        <f>IF(Config!$G$19=0,0,IF(AND(ABS(($A191-Config!$F$19)/Config!$G$19)&gt;2,ABS(($A191-Config!$F$19)/Config!$G$19)&lt;=3),$D191,0))</f>
        <v/>
      </c>
      <c r="G191">
        <f>IF(Config!$G$19=0,0,IF(ABS(($A191-Config!$F$19)/Config!$G$19)&gt;3,$D191,0))</f>
        <v/>
      </c>
      <c r="H191">
        <f>IFERROR(NORM.DIST($A191,Config!$F$19,Config!$G$19,FALSE)*Config!$D$19*Config!$J$19,0)</f>
        <v/>
      </c>
    </row>
    <row r="193">
      <c r="A193" s="5" t="inlineStr">
        <is>
          <t>BinCenter</t>
        </is>
      </c>
      <c r="B193" s="5" t="inlineStr">
        <is>
          <t>BinLo</t>
        </is>
      </c>
      <c r="C193" s="5" t="inlineStr">
        <is>
          <t>BinHi</t>
        </is>
      </c>
      <c r="D193" s="5" t="inlineStr">
        <is>
          <t>TotalCount</t>
        </is>
      </c>
      <c r="E193" s="5" t="inlineStr">
        <is>
          <t>Normal</t>
        </is>
      </c>
      <c r="F193" s="5" t="inlineStr">
        <is>
          <t>Warning(2-3s)</t>
        </is>
      </c>
      <c r="G193" s="5" t="inlineStr">
        <is>
          <t>Outlier(&gt;3s)</t>
        </is>
      </c>
      <c r="H193" s="5" t="inlineStr">
        <is>
          <t>CurveY</t>
        </is>
      </c>
    </row>
    <row r="194">
      <c r="A194" s="6">
        <f>Config!$K$20+0*Config!$J$20+Config!$J$20/2</f>
        <v/>
      </c>
      <c r="B194" s="6">
        <f>$A194-Config!$J$20/2</f>
        <v/>
      </c>
      <c r="C194" s="6">
        <f>$A194+Config!$J$20/2</f>
        <v/>
      </c>
      <c r="D194" s="6">
        <f>COUNTIFS(RawData!$C$2:$C$941,"MT",RawData!$M$2:$M$941,"&gt;="&amp;$B194,RawData!$M$2:$M$941,"&lt;"&amp;$C194,RawData!$M$2:$M$941,"&lt;&gt;0")</f>
        <v/>
      </c>
      <c r="E194" s="6">
        <f>IF(Config!$G$20=0,0,IF(ABS(($A194-Config!$F$20)/Config!$G$20)&lt;=2,$D194,0))</f>
        <v/>
      </c>
      <c r="F194" s="6">
        <f>IF(Config!$G$20=0,0,IF(AND(ABS(($A194-Config!$F$20)/Config!$G$20)&gt;2,ABS(($A194-Config!$F$20)/Config!$G$20)&lt;=3),$D194,0))</f>
        <v/>
      </c>
      <c r="G194" s="6">
        <f>IF(Config!$G$20=0,0,IF(ABS(($A194-Config!$F$20)/Config!$G$20)&gt;3,$D194,0))</f>
        <v/>
      </c>
      <c r="H194" s="6">
        <f>IFERROR(NORM.DIST($A194,Config!$F$20,Config!$G$20,FALSE)*Config!$D$20*Config!$J$20,0)</f>
        <v/>
      </c>
    </row>
    <row r="195">
      <c r="A195">
        <f>Config!$K$20+1*Config!$J$20+Config!$J$20/2</f>
        <v/>
      </c>
      <c r="B195">
        <f>$A195-Config!$J$20/2</f>
        <v/>
      </c>
      <c r="C195">
        <f>$A195+Config!$J$20/2</f>
        <v/>
      </c>
      <c r="D195">
        <f>COUNTIFS(RawData!$C$2:$C$941,"MT",RawData!$M$2:$M$941,"&gt;="&amp;$B195,RawData!$M$2:$M$941,"&lt;"&amp;$C195,RawData!$M$2:$M$941,"&lt;&gt;0")</f>
        <v/>
      </c>
      <c r="E195">
        <f>IF(Config!$G$20=0,0,IF(ABS(($A195-Config!$F$20)/Config!$G$20)&lt;=2,$D195,0))</f>
        <v/>
      </c>
      <c r="F195">
        <f>IF(Config!$G$20=0,0,IF(AND(ABS(($A195-Config!$F$20)/Config!$G$20)&gt;2,ABS(($A195-Config!$F$20)/Config!$G$20)&lt;=3),$D195,0))</f>
        <v/>
      </c>
      <c r="G195">
        <f>IF(Config!$G$20=0,0,IF(ABS(($A195-Config!$F$20)/Config!$G$20)&gt;3,$D195,0))</f>
        <v/>
      </c>
      <c r="H195">
        <f>IFERROR(NORM.DIST($A195,Config!$F$20,Config!$G$20,FALSE)*Config!$D$20*Config!$J$20,0)</f>
        <v/>
      </c>
    </row>
    <row r="196">
      <c r="A196" s="6">
        <f>Config!$K$20+2*Config!$J$20+Config!$J$20/2</f>
        <v/>
      </c>
      <c r="B196" s="6">
        <f>$A196-Config!$J$20/2</f>
        <v/>
      </c>
      <c r="C196" s="6">
        <f>$A196+Config!$J$20/2</f>
        <v/>
      </c>
      <c r="D196" s="6">
        <f>COUNTIFS(RawData!$C$2:$C$941,"MT",RawData!$M$2:$M$941,"&gt;="&amp;$B196,RawData!$M$2:$M$941,"&lt;"&amp;$C196,RawData!$M$2:$M$941,"&lt;&gt;0")</f>
        <v/>
      </c>
      <c r="E196" s="6">
        <f>IF(Config!$G$20=0,0,IF(ABS(($A196-Config!$F$20)/Config!$G$20)&lt;=2,$D196,0))</f>
        <v/>
      </c>
      <c r="F196" s="6">
        <f>IF(Config!$G$20=0,0,IF(AND(ABS(($A196-Config!$F$20)/Config!$G$20)&gt;2,ABS(($A196-Config!$F$20)/Config!$G$20)&lt;=3),$D196,0))</f>
        <v/>
      </c>
      <c r="G196" s="6">
        <f>IF(Config!$G$20=0,0,IF(ABS(($A196-Config!$F$20)/Config!$G$20)&gt;3,$D196,0))</f>
        <v/>
      </c>
      <c r="H196" s="6">
        <f>IFERROR(NORM.DIST($A196,Config!$F$20,Config!$G$20,FALSE)*Config!$D$20*Config!$J$20,0)</f>
        <v/>
      </c>
    </row>
    <row r="197">
      <c r="A197">
        <f>Config!$K$20+3*Config!$J$20+Config!$J$20/2</f>
        <v/>
      </c>
      <c r="B197">
        <f>$A197-Config!$J$20/2</f>
        <v/>
      </c>
      <c r="C197">
        <f>$A197+Config!$J$20/2</f>
        <v/>
      </c>
      <c r="D197">
        <f>COUNTIFS(RawData!$C$2:$C$941,"MT",RawData!$M$2:$M$941,"&gt;="&amp;$B197,RawData!$M$2:$M$941,"&lt;"&amp;$C197,RawData!$M$2:$M$941,"&lt;&gt;0")</f>
        <v/>
      </c>
      <c r="E197">
        <f>IF(Config!$G$20=0,0,IF(ABS(($A197-Config!$F$20)/Config!$G$20)&lt;=2,$D197,0))</f>
        <v/>
      </c>
      <c r="F197">
        <f>IF(Config!$G$20=0,0,IF(AND(ABS(($A197-Config!$F$20)/Config!$G$20)&gt;2,ABS(($A197-Config!$F$20)/Config!$G$20)&lt;=3),$D197,0))</f>
        <v/>
      </c>
      <c r="G197">
        <f>IF(Config!$G$20=0,0,IF(ABS(($A197-Config!$F$20)/Config!$G$20)&gt;3,$D197,0))</f>
        <v/>
      </c>
      <c r="H197">
        <f>IFERROR(NORM.DIST($A197,Config!$F$20,Config!$G$20,FALSE)*Config!$D$20*Config!$J$20,0)</f>
        <v/>
      </c>
    </row>
    <row r="198">
      <c r="A198" s="6">
        <f>Config!$K$20+4*Config!$J$20+Config!$J$20/2</f>
        <v/>
      </c>
      <c r="B198" s="6">
        <f>$A198-Config!$J$20/2</f>
        <v/>
      </c>
      <c r="C198" s="6">
        <f>$A198+Config!$J$20/2</f>
        <v/>
      </c>
      <c r="D198" s="6">
        <f>COUNTIFS(RawData!$C$2:$C$941,"MT",RawData!$M$2:$M$941,"&gt;="&amp;$B198,RawData!$M$2:$M$941,"&lt;"&amp;$C198,RawData!$M$2:$M$941,"&lt;&gt;0")</f>
        <v/>
      </c>
      <c r="E198" s="6">
        <f>IF(Config!$G$20=0,0,IF(ABS(($A198-Config!$F$20)/Config!$G$20)&lt;=2,$D198,0))</f>
        <v/>
      </c>
      <c r="F198" s="6">
        <f>IF(Config!$G$20=0,0,IF(AND(ABS(($A198-Config!$F$20)/Config!$G$20)&gt;2,ABS(($A198-Config!$F$20)/Config!$G$20)&lt;=3),$D198,0))</f>
        <v/>
      </c>
      <c r="G198" s="6">
        <f>IF(Config!$G$20=0,0,IF(ABS(($A198-Config!$F$20)/Config!$G$20)&gt;3,$D198,0))</f>
        <v/>
      </c>
      <c r="H198" s="6">
        <f>IFERROR(NORM.DIST($A198,Config!$F$20,Config!$G$20,FALSE)*Config!$D$20*Config!$J$20,0)</f>
        <v/>
      </c>
    </row>
    <row r="199">
      <c r="A199">
        <f>Config!$K$20+5*Config!$J$20+Config!$J$20/2</f>
        <v/>
      </c>
      <c r="B199">
        <f>$A199-Config!$J$20/2</f>
        <v/>
      </c>
      <c r="C199">
        <f>$A199+Config!$J$20/2</f>
        <v/>
      </c>
      <c r="D199">
        <f>COUNTIFS(RawData!$C$2:$C$941,"MT",RawData!$M$2:$M$941,"&gt;="&amp;$B199,RawData!$M$2:$M$941,"&lt;"&amp;$C199,RawData!$M$2:$M$941,"&lt;&gt;0")</f>
        <v/>
      </c>
      <c r="E199">
        <f>IF(Config!$G$20=0,0,IF(ABS(($A199-Config!$F$20)/Config!$G$20)&lt;=2,$D199,0))</f>
        <v/>
      </c>
      <c r="F199">
        <f>IF(Config!$G$20=0,0,IF(AND(ABS(($A199-Config!$F$20)/Config!$G$20)&gt;2,ABS(($A199-Config!$F$20)/Config!$G$20)&lt;=3),$D199,0))</f>
        <v/>
      </c>
      <c r="G199">
        <f>IF(Config!$G$20=0,0,IF(ABS(($A199-Config!$F$20)/Config!$G$20)&gt;3,$D199,0))</f>
        <v/>
      </c>
      <c r="H199">
        <f>IFERROR(NORM.DIST($A199,Config!$F$20,Config!$G$20,FALSE)*Config!$D$20*Config!$J$20,0)</f>
        <v/>
      </c>
    </row>
    <row r="200">
      <c r="A200" s="6">
        <f>Config!$K$20+6*Config!$J$20+Config!$J$20/2</f>
        <v/>
      </c>
      <c r="B200" s="6">
        <f>$A200-Config!$J$20/2</f>
        <v/>
      </c>
      <c r="C200" s="6">
        <f>$A200+Config!$J$20/2</f>
        <v/>
      </c>
      <c r="D200" s="6">
        <f>COUNTIFS(RawData!$C$2:$C$941,"MT",RawData!$M$2:$M$941,"&gt;="&amp;$B200,RawData!$M$2:$M$941,"&lt;"&amp;$C200,RawData!$M$2:$M$941,"&lt;&gt;0")</f>
        <v/>
      </c>
      <c r="E200" s="6">
        <f>IF(Config!$G$20=0,0,IF(ABS(($A200-Config!$F$20)/Config!$G$20)&lt;=2,$D200,0))</f>
        <v/>
      </c>
      <c r="F200" s="6">
        <f>IF(Config!$G$20=0,0,IF(AND(ABS(($A200-Config!$F$20)/Config!$G$20)&gt;2,ABS(($A200-Config!$F$20)/Config!$G$20)&lt;=3),$D200,0))</f>
        <v/>
      </c>
      <c r="G200" s="6">
        <f>IF(Config!$G$20=0,0,IF(ABS(($A200-Config!$F$20)/Config!$G$20)&gt;3,$D200,0))</f>
        <v/>
      </c>
      <c r="H200" s="6">
        <f>IFERROR(NORM.DIST($A200,Config!$F$20,Config!$G$20,FALSE)*Config!$D$20*Config!$J$20,0)</f>
        <v/>
      </c>
    </row>
    <row r="201">
      <c r="A201">
        <f>Config!$K$20+7*Config!$J$20+Config!$J$20/2</f>
        <v/>
      </c>
      <c r="B201">
        <f>$A201-Config!$J$20/2</f>
        <v/>
      </c>
      <c r="C201">
        <f>$A201+Config!$J$20/2</f>
        <v/>
      </c>
      <c r="D201">
        <f>COUNTIFS(RawData!$C$2:$C$941,"MT",RawData!$M$2:$M$941,"&gt;="&amp;$B201,RawData!$M$2:$M$941,"&lt;"&amp;$C201,RawData!$M$2:$M$941,"&lt;&gt;0")</f>
        <v/>
      </c>
      <c r="E201">
        <f>IF(Config!$G$20=0,0,IF(ABS(($A201-Config!$F$20)/Config!$G$20)&lt;=2,$D201,0))</f>
        <v/>
      </c>
      <c r="F201">
        <f>IF(Config!$G$20=0,0,IF(AND(ABS(($A201-Config!$F$20)/Config!$G$20)&gt;2,ABS(($A201-Config!$F$20)/Config!$G$20)&lt;=3),$D201,0))</f>
        <v/>
      </c>
      <c r="G201">
        <f>IF(Config!$G$20=0,0,IF(ABS(($A201-Config!$F$20)/Config!$G$20)&gt;3,$D201,0))</f>
        <v/>
      </c>
      <c r="H201">
        <f>IFERROR(NORM.DIST($A201,Config!$F$20,Config!$G$20,FALSE)*Config!$D$20*Config!$J$20,0)</f>
        <v/>
      </c>
    </row>
    <row r="202">
      <c r="A202" s="6">
        <f>Config!$K$20+8*Config!$J$20+Config!$J$20/2</f>
        <v/>
      </c>
      <c r="B202" s="6">
        <f>$A202-Config!$J$20/2</f>
        <v/>
      </c>
      <c r="C202" s="6">
        <f>$A202+Config!$J$20/2</f>
        <v/>
      </c>
      <c r="D202" s="6">
        <f>COUNTIFS(RawData!$C$2:$C$941,"MT",RawData!$M$2:$M$941,"&gt;="&amp;$B202,RawData!$M$2:$M$941,"&lt;"&amp;$C202,RawData!$M$2:$M$941,"&lt;&gt;0")</f>
        <v/>
      </c>
      <c r="E202" s="6">
        <f>IF(Config!$G$20=0,0,IF(ABS(($A202-Config!$F$20)/Config!$G$20)&lt;=2,$D202,0))</f>
        <v/>
      </c>
      <c r="F202" s="6">
        <f>IF(Config!$G$20=0,0,IF(AND(ABS(($A202-Config!$F$20)/Config!$G$20)&gt;2,ABS(($A202-Config!$F$20)/Config!$G$20)&lt;=3),$D202,0))</f>
        <v/>
      </c>
      <c r="G202" s="6">
        <f>IF(Config!$G$20=0,0,IF(ABS(($A202-Config!$F$20)/Config!$G$20)&gt;3,$D202,0))</f>
        <v/>
      </c>
      <c r="H202" s="6">
        <f>IFERROR(NORM.DIST($A202,Config!$F$20,Config!$G$20,FALSE)*Config!$D$20*Config!$J$20,0)</f>
        <v/>
      </c>
    </row>
    <row r="203">
      <c r="A203">
        <f>Config!$K$20+9*Config!$J$20+Config!$J$20/2</f>
        <v/>
      </c>
      <c r="B203">
        <f>$A203-Config!$J$20/2</f>
        <v/>
      </c>
      <c r="C203">
        <f>$A203+Config!$J$20/2</f>
        <v/>
      </c>
      <c r="D203">
        <f>COUNTIFS(RawData!$C$2:$C$941,"MT",RawData!$M$2:$M$941,"&gt;="&amp;$B203,RawData!$M$2:$M$941,"&lt;"&amp;$C203,RawData!$M$2:$M$941,"&lt;&gt;0")</f>
        <v/>
      </c>
      <c r="E203">
        <f>IF(Config!$G$20=0,0,IF(ABS(($A203-Config!$F$20)/Config!$G$20)&lt;=2,$D203,0))</f>
        <v/>
      </c>
      <c r="F203">
        <f>IF(Config!$G$20=0,0,IF(AND(ABS(($A203-Config!$F$20)/Config!$G$20)&gt;2,ABS(($A203-Config!$F$20)/Config!$G$20)&lt;=3),$D203,0))</f>
        <v/>
      </c>
      <c r="G203">
        <f>IF(Config!$G$20=0,0,IF(ABS(($A203-Config!$F$20)/Config!$G$20)&gt;3,$D203,0))</f>
        <v/>
      </c>
      <c r="H203">
        <f>IFERROR(NORM.DIST($A203,Config!$F$20,Config!$G$20,FALSE)*Config!$D$20*Config!$J$20,0)</f>
        <v/>
      </c>
    </row>
    <row r="204">
      <c r="A204" s="6">
        <f>Config!$K$20+10*Config!$J$20+Config!$J$20/2</f>
        <v/>
      </c>
      <c r="B204" s="6">
        <f>$A204-Config!$J$20/2</f>
        <v/>
      </c>
      <c r="C204" s="6">
        <f>$A204+Config!$J$20/2</f>
        <v/>
      </c>
      <c r="D204" s="6">
        <f>COUNTIFS(RawData!$C$2:$C$941,"MT",RawData!$M$2:$M$941,"&gt;="&amp;$B204,RawData!$M$2:$M$941,"&lt;"&amp;$C204,RawData!$M$2:$M$941,"&lt;&gt;0")</f>
        <v/>
      </c>
      <c r="E204" s="6">
        <f>IF(Config!$G$20=0,0,IF(ABS(($A204-Config!$F$20)/Config!$G$20)&lt;=2,$D204,0))</f>
        <v/>
      </c>
      <c r="F204" s="6">
        <f>IF(Config!$G$20=0,0,IF(AND(ABS(($A204-Config!$F$20)/Config!$G$20)&gt;2,ABS(($A204-Config!$F$20)/Config!$G$20)&lt;=3),$D204,0))</f>
        <v/>
      </c>
      <c r="G204" s="6">
        <f>IF(Config!$G$20=0,0,IF(ABS(($A204-Config!$F$20)/Config!$G$20)&gt;3,$D204,0))</f>
        <v/>
      </c>
      <c r="H204" s="6">
        <f>IFERROR(NORM.DIST($A204,Config!$F$20,Config!$G$20,FALSE)*Config!$D$20*Config!$J$20,0)</f>
        <v/>
      </c>
    </row>
    <row r="205">
      <c r="A205">
        <f>Config!$K$20+11*Config!$J$20+Config!$J$20/2</f>
        <v/>
      </c>
      <c r="B205">
        <f>$A205-Config!$J$20/2</f>
        <v/>
      </c>
      <c r="C205">
        <f>$A205+Config!$J$20/2</f>
        <v/>
      </c>
      <c r="D205">
        <f>COUNTIFS(RawData!$C$2:$C$941,"MT",RawData!$M$2:$M$941,"&gt;="&amp;$B205,RawData!$M$2:$M$941,"&lt;"&amp;$C205,RawData!$M$2:$M$941,"&lt;&gt;0")</f>
        <v/>
      </c>
      <c r="E205">
        <f>IF(Config!$G$20=0,0,IF(ABS(($A205-Config!$F$20)/Config!$G$20)&lt;=2,$D205,0))</f>
        <v/>
      </c>
      <c r="F205">
        <f>IF(Config!$G$20=0,0,IF(AND(ABS(($A205-Config!$F$20)/Config!$G$20)&gt;2,ABS(($A205-Config!$F$20)/Config!$G$20)&lt;=3),$D205,0))</f>
        <v/>
      </c>
      <c r="G205">
        <f>IF(Config!$G$20=0,0,IF(ABS(($A205-Config!$F$20)/Config!$G$20)&gt;3,$D205,0))</f>
        <v/>
      </c>
      <c r="H205">
        <f>IFERROR(NORM.DIST($A205,Config!$F$20,Config!$G$20,FALSE)*Config!$D$20*Config!$J$20,0)</f>
        <v/>
      </c>
    </row>
    <row r="206">
      <c r="A206" s="6">
        <f>Config!$K$20+12*Config!$J$20+Config!$J$20/2</f>
        <v/>
      </c>
      <c r="B206" s="6">
        <f>$A206-Config!$J$20/2</f>
        <v/>
      </c>
      <c r="C206" s="6">
        <f>$A206+Config!$J$20/2</f>
        <v/>
      </c>
      <c r="D206" s="6">
        <f>COUNTIFS(RawData!$C$2:$C$941,"MT",RawData!$M$2:$M$941,"&gt;="&amp;$B206,RawData!$M$2:$M$941,"&lt;"&amp;$C206,RawData!$M$2:$M$941,"&lt;&gt;0")</f>
        <v/>
      </c>
      <c r="E206" s="6">
        <f>IF(Config!$G$20=0,0,IF(ABS(($A206-Config!$F$20)/Config!$G$20)&lt;=2,$D206,0))</f>
        <v/>
      </c>
      <c r="F206" s="6">
        <f>IF(Config!$G$20=0,0,IF(AND(ABS(($A206-Config!$F$20)/Config!$G$20)&gt;2,ABS(($A206-Config!$F$20)/Config!$G$20)&lt;=3),$D206,0))</f>
        <v/>
      </c>
      <c r="G206" s="6">
        <f>IF(Config!$G$20=0,0,IF(ABS(($A206-Config!$F$20)/Config!$G$20)&gt;3,$D206,0))</f>
        <v/>
      </c>
      <c r="H206" s="6">
        <f>IFERROR(NORM.DIST($A206,Config!$F$20,Config!$G$20,FALSE)*Config!$D$20*Config!$J$20,0)</f>
        <v/>
      </c>
    </row>
    <row r="207">
      <c r="A207">
        <f>Config!$K$20+13*Config!$J$20+Config!$J$20/2</f>
        <v/>
      </c>
      <c r="B207">
        <f>$A207-Config!$J$20/2</f>
        <v/>
      </c>
      <c r="C207">
        <f>$A207+Config!$J$20/2</f>
        <v/>
      </c>
      <c r="D207">
        <f>COUNTIFS(RawData!$C$2:$C$941,"MT",RawData!$M$2:$M$941,"&gt;="&amp;$B207,RawData!$M$2:$M$941,"&lt;"&amp;$C207,RawData!$M$2:$M$941,"&lt;&gt;0")</f>
        <v/>
      </c>
      <c r="E207">
        <f>IF(Config!$G$20=0,0,IF(ABS(($A207-Config!$F$20)/Config!$G$20)&lt;=2,$D207,0))</f>
        <v/>
      </c>
      <c r="F207">
        <f>IF(Config!$G$20=0,0,IF(AND(ABS(($A207-Config!$F$20)/Config!$G$20)&gt;2,ABS(($A207-Config!$F$20)/Config!$G$20)&lt;=3),$D207,0))</f>
        <v/>
      </c>
      <c r="G207">
        <f>IF(Config!$G$20=0,0,IF(ABS(($A207-Config!$F$20)/Config!$G$20)&gt;3,$D207,0))</f>
        <v/>
      </c>
      <c r="H207">
        <f>IFERROR(NORM.DIST($A207,Config!$F$20,Config!$G$20,FALSE)*Config!$D$20*Config!$J$20,0)</f>
        <v/>
      </c>
    </row>
    <row r="208">
      <c r="A208" s="6">
        <f>Config!$K$20+14*Config!$J$20+Config!$J$20/2</f>
        <v/>
      </c>
      <c r="B208" s="6">
        <f>$A208-Config!$J$20/2</f>
        <v/>
      </c>
      <c r="C208" s="6">
        <f>$A208+Config!$J$20/2</f>
        <v/>
      </c>
      <c r="D208" s="6">
        <f>COUNTIFS(RawData!$C$2:$C$941,"MT",RawData!$M$2:$M$941,"&gt;="&amp;$B208,RawData!$M$2:$M$941,"&lt;"&amp;$C208,RawData!$M$2:$M$941,"&lt;&gt;0")</f>
        <v/>
      </c>
      <c r="E208" s="6">
        <f>IF(Config!$G$20=0,0,IF(ABS(($A208-Config!$F$20)/Config!$G$20)&lt;=2,$D208,0))</f>
        <v/>
      </c>
      <c r="F208" s="6">
        <f>IF(Config!$G$20=0,0,IF(AND(ABS(($A208-Config!$F$20)/Config!$G$20)&gt;2,ABS(($A208-Config!$F$20)/Config!$G$20)&lt;=3),$D208,0))</f>
        <v/>
      </c>
      <c r="G208" s="6">
        <f>IF(Config!$G$20=0,0,IF(ABS(($A208-Config!$F$20)/Config!$G$20)&gt;3,$D208,0))</f>
        <v/>
      </c>
      <c r="H208" s="6">
        <f>IFERROR(NORM.DIST($A208,Config!$F$20,Config!$G$20,FALSE)*Config!$D$20*Config!$J$20,0)</f>
        <v/>
      </c>
    </row>
    <row r="209">
      <c r="A209">
        <f>Config!$K$20+15*Config!$J$20+Config!$J$20/2</f>
        <v/>
      </c>
      <c r="B209">
        <f>$A209-Config!$J$20/2</f>
        <v/>
      </c>
      <c r="C209">
        <f>$A209+Config!$J$20/2</f>
        <v/>
      </c>
      <c r="D209">
        <f>COUNTIFS(RawData!$C$2:$C$941,"MT",RawData!$M$2:$M$941,"&gt;="&amp;$B209,RawData!$M$2:$M$941,"&lt;"&amp;$C209,RawData!$M$2:$M$941,"&lt;&gt;0")</f>
        <v/>
      </c>
      <c r="E209">
        <f>IF(Config!$G$20=0,0,IF(ABS(($A209-Config!$F$20)/Config!$G$20)&lt;=2,$D209,0))</f>
        <v/>
      </c>
      <c r="F209">
        <f>IF(Config!$G$20=0,0,IF(AND(ABS(($A209-Config!$F$20)/Config!$G$20)&gt;2,ABS(($A209-Config!$F$20)/Config!$G$20)&lt;=3),$D209,0))</f>
        <v/>
      </c>
      <c r="G209">
        <f>IF(Config!$G$20=0,0,IF(ABS(($A209-Config!$F$20)/Config!$G$20)&gt;3,$D209,0))</f>
        <v/>
      </c>
      <c r="H209">
        <f>IFERROR(NORM.DIST($A209,Config!$F$20,Config!$G$20,FALSE)*Config!$D$20*Config!$J$20,0)</f>
        <v/>
      </c>
    </row>
    <row r="210">
      <c r="A210" s="6">
        <f>Config!$K$20+16*Config!$J$20+Config!$J$20/2</f>
        <v/>
      </c>
      <c r="B210" s="6">
        <f>$A210-Config!$J$20/2</f>
        <v/>
      </c>
      <c r="C210" s="6">
        <f>$A210+Config!$J$20/2</f>
        <v/>
      </c>
      <c r="D210" s="6">
        <f>COUNTIFS(RawData!$C$2:$C$941,"MT",RawData!$M$2:$M$941,"&gt;="&amp;$B210,RawData!$M$2:$M$941,"&lt;"&amp;$C210,RawData!$M$2:$M$941,"&lt;&gt;0")</f>
        <v/>
      </c>
      <c r="E210" s="6">
        <f>IF(Config!$G$20=0,0,IF(ABS(($A210-Config!$F$20)/Config!$G$20)&lt;=2,$D210,0))</f>
        <v/>
      </c>
      <c r="F210" s="6">
        <f>IF(Config!$G$20=0,0,IF(AND(ABS(($A210-Config!$F$20)/Config!$G$20)&gt;2,ABS(($A210-Config!$F$20)/Config!$G$20)&lt;=3),$D210,0))</f>
        <v/>
      </c>
      <c r="G210" s="6">
        <f>IF(Config!$G$20=0,0,IF(ABS(($A210-Config!$F$20)/Config!$G$20)&gt;3,$D210,0))</f>
        <v/>
      </c>
      <c r="H210" s="6">
        <f>IFERROR(NORM.DIST($A210,Config!$F$20,Config!$G$20,FALSE)*Config!$D$20*Config!$J$20,0)</f>
        <v/>
      </c>
    </row>
    <row r="211">
      <c r="A211">
        <f>Config!$K$20+17*Config!$J$20+Config!$J$20/2</f>
        <v/>
      </c>
      <c r="B211">
        <f>$A211-Config!$J$20/2</f>
        <v/>
      </c>
      <c r="C211">
        <f>$A211+Config!$J$20/2</f>
        <v/>
      </c>
      <c r="D211">
        <f>COUNTIFS(RawData!$C$2:$C$941,"MT",RawData!$M$2:$M$941,"&gt;="&amp;$B211,RawData!$M$2:$M$941,"&lt;"&amp;$C211,RawData!$M$2:$M$941,"&lt;&gt;0")</f>
        <v/>
      </c>
      <c r="E211">
        <f>IF(Config!$G$20=0,0,IF(ABS(($A211-Config!$F$20)/Config!$G$20)&lt;=2,$D211,0))</f>
        <v/>
      </c>
      <c r="F211">
        <f>IF(Config!$G$20=0,0,IF(AND(ABS(($A211-Config!$F$20)/Config!$G$20)&gt;2,ABS(($A211-Config!$F$20)/Config!$G$20)&lt;=3),$D211,0))</f>
        <v/>
      </c>
      <c r="G211">
        <f>IF(Config!$G$20=0,0,IF(ABS(($A211-Config!$F$20)/Config!$G$20)&gt;3,$D211,0))</f>
        <v/>
      </c>
      <c r="H211">
        <f>IFERROR(NORM.DIST($A211,Config!$F$20,Config!$G$20,FALSE)*Config!$D$20*Config!$J$20,0)</f>
        <v/>
      </c>
    </row>
    <row r="212">
      <c r="A212" s="6">
        <f>Config!$K$20+18*Config!$J$20+Config!$J$20/2</f>
        <v/>
      </c>
      <c r="B212" s="6">
        <f>$A212-Config!$J$20/2</f>
        <v/>
      </c>
      <c r="C212" s="6">
        <f>$A212+Config!$J$20/2</f>
        <v/>
      </c>
      <c r="D212" s="6">
        <f>COUNTIFS(RawData!$C$2:$C$941,"MT",RawData!$M$2:$M$941,"&gt;="&amp;$B212,RawData!$M$2:$M$941,"&lt;"&amp;$C212,RawData!$M$2:$M$941,"&lt;&gt;0")</f>
        <v/>
      </c>
      <c r="E212" s="6">
        <f>IF(Config!$G$20=0,0,IF(ABS(($A212-Config!$F$20)/Config!$G$20)&lt;=2,$D212,0))</f>
        <v/>
      </c>
      <c r="F212" s="6">
        <f>IF(Config!$G$20=0,0,IF(AND(ABS(($A212-Config!$F$20)/Config!$G$20)&gt;2,ABS(($A212-Config!$F$20)/Config!$G$20)&lt;=3),$D212,0))</f>
        <v/>
      </c>
      <c r="G212" s="6">
        <f>IF(Config!$G$20=0,0,IF(ABS(($A212-Config!$F$20)/Config!$G$20)&gt;3,$D212,0))</f>
        <v/>
      </c>
      <c r="H212" s="6">
        <f>IFERROR(NORM.DIST($A212,Config!$F$20,Config!$G$20,FALSE)*Config!$D$20*Config!$J$20,0)</f>
        <v/>
      </c>
    </row>
    <row r="213">
      <c r="A213">
        <f>Config!$K$20+19*Config!$J$20+Config!$J$20/2</f>
        <v/>
      </c>
      <c r="B213">
        <f>$A213-Config!$J$20/2</f>
        <v/>
      </c>
      <c r="C213">
        <f>$A213+Config!$J$20/2</f>
        <v/>
      </c>
      <c r="D213">
        <f>COUNTIFS(RawData!$C$2:$C$941,"MT",RawData!$M$2:$M$941,"&gt;="&amp;$B213,RawData!$M$2:$M$941,"&lt;"&amp;$C213,RawData!$M$2:$M$941,"&lt;&gt;0")</f>
        <v/>
      </c>
      <c r="E213">
        <f>IF(Config!$G$20=0,0,IF(ABS(($A213-Config!$F$20)/Config!$G$20)&lt;=2,$D213,0))</f>
        <v/>
      </c>
      <c r="F213">
        <f>IF(Config!$G$20=0,0,IF(AND(ABS(($A213-Config!$F$20)/Config!$G$20)&gt;2,ABS(($A213-Config!$F$20)/Config!$G$20)&lt;=3),$D213,0))</f>
        <v/>
      </c>
      <c r="G213">
        <f>IF(Config!$G$20=0,0,IF(ABS(($A213-Config!$F$20)/Config!$G$20)&gt;3,$D213,0))</f>
        <v/>
      </c>
      <c r="H213">
        <f>IFERROR(NORM.DIST($A213,Config!$F$20,Config!$G$20,FALSE)*Config!$D$20*Config!$J$20,0)</f>
        <v/>
      </c>
    </row>
    <row r="214">
      <c r="A214" s="6">
        <f>Config!$K$20+20*Config!$J$20+Config!$J$20/2</f>
        <v/>
      </c>
      <c r="B214" s="6">
        <f>$A214-Config!$J$20/2</f>
        <v/>
      </c>
      <c r="C214" s="6">
        <f>$A214+Config!$J$20/2</f>
        <v/>
      </c>
      <c r="D214" s="6">
        <f>COUNTIFS(RawData!$C$2:$C$941,"MT",RawData!$M$2:$M$941,"&gt;="&amp;$B214,RawData!$M$2:$M$941,"&lt;"&amp;$C214,RawData!$M$2:$M$941,"&lt;&gt;0")</f>
        <v/>
      </c>
      <c r="E214" s="6">
        <f>IF(Config!$G$20=0,0,IF(ABS(($A214-Config!$F$20)/Config!$G$20)&lt;=2,$D214,0))</f>
        <v/>
      </c>
      <c r="F214" s="6">
        <f>IF(Config!$G$20=0,0,IF(AND(ABS(($A214-Config!$F$20)/Config!$G$20)&gt;2,ABS(($A214-Config!$F$20)/Config!$G$20)&lt;=3),$D214,0))</f>
        <v/>
      </c>
      <c r="G214" s="6">
        <f>IF(Config!$G$20=0,0,IF(ABS(($A214-Config!$F$20)/Config!$G$20)&gt;3,$D214,0))</f>
        <v/>
      </c>
      <c r="H214" s="6">
        <f>IFERROR(NORM.DIST($A214,Config!$F$20,Config!$G$20,FALSE)*Config!$D$20*Config!$J$20,0)</f>
        <v/>
      </c>
    </row>
    <row r="215">
      <c r="A215">
        <f>Config!$K$20+21*Config!$J$20+Config!$J$20/2</f>
        <v/>
      </c>
      <c r="B215">
        <f>$A215-Config!$J$20/2</f>
        <v/>
      </c>
      <c r="C215">
        <f>$A215+Config!$J$20/2</f>
        <v/>
      </c>
      <c r="D215">
        <f>COUNTIFS(RawData!$C$2:$C$941,"MT",RawData!$M$2:$M$941,"&gt;="&amp;$B215,RawData!$M$2:$M$941,"&lt;"&amp;$C215,RawData!$M$2:$M$941,"&lt;&gt;0")</f>
        <v/>
      </c>
      <c r="E215">
        <f>IF(Config!$G$20=0,0,IF(ABS(($A215-Config!$F$20)/Config!$G$20)&lt;=2,$D215,0))</f>
        <v/>
      </c>
      <c r="F215">
        <f>IF(Config!$G$20=0,0,IF(AND(ABS(($A215-Config!$F$20)/Config!$G$20)&gt;2,ABS(($A215-Config!$F$20)/Config!$G$20)&lt;=3),$D215,0))</f>
        <v/>
      </c>
      <c r="G215">
        <f>IF(Config!$G$20=0,0,IF(ABS(($A215-Config!$F$20)/Config!$G$20)&gt;3,$D215,0))</f>
        <v/>
      </c>
      <c r="H215">
        <f>IFERROR(NORM.DIST($A215,Config!$F$20,Config!$G$20,FALSE)*Config!$D$20*Config!$J$20,0)</f>
        <v/>
      </c>
    </row>
    <row r="216">
      <c r="A216" s="6">
        <f>Config!$K$20+22*Config!$J$20+Config!$J$20/2</f>
        <v/>
      </c>
      <c r="B216" s="6">
        <f>$A216-Config!$J$20/2</f>
        <v/>
      </c>
      <c r="C216" s="6">
        <f>$A216+Config!$J$20/2</f>
        <v/>
      </c>
      <c r="D216" s="6">
        <f>COUNTIFS(RawData!$C$2:$C$941,"MT",RawData!$M$2:$M$941,"&gt;="&amp;$B216,RawData!$M$2:$M$941,"&lt;"&amp;$C216,RawData!$M$2:$M$941,"&lt;&gt;0")</f>
        <v/>
      </c>
      <c r="E216" s="6">
        <f>IF(Config!$G$20=0,0,IF(ABS(($A216-Config!$F$20)/Config!$G$20)&lt;=2,$D216,0))</f>
        <v/>
      </c>
      <c r="F216" s="6">
        <f>IF(Config!$G$20=0,0,IF(AND(ABS(($A216-Config!$F$20)/Config!$G$20)&gt;2,ABS(($A216-Config!$F$20)/Config!$G$20)&lt;=3),$D216,0))</f>
        <v/>
      </c>
      <c r="G216" s="6">
        <f>IF(Config!$G$20=0,0,IF(ABS(($A216-Config!$F$20)/Config!$G$20)&gt;3,$D216,0))</f>
        <v/>
      </c>
      <c r="H216" s="6">
        <f>IFERROR(NORM.DIST($A216,Config!$F$20,Config!$G$20,FALSE)*Config!$D$20*Config!$J$20,0)</f>
        <v/>
      </c>
    </row>
    <row r="217">
      <c r="A217">
        <f>Config!$K$20+23*Config!$J$20+Config!$J$20/2</f>
        <v/>
      </c>
      <c r="B217">
        <f>$A217-Config!$J$20/2</f>
        <v/>
      </c>
      <c r="C217">
        <f>$A217+Config!$J$20/2</f>
        <v/>
      </c>
      <c r="D217">
        <f>COUNTIFS(RawData!$C$2:$C$941,"MT",RawData!$M$2:$M$941,"&gt;="&amp;$B217,RawData!$M$2:$M$941,"&lt;"&amp;$C217,RawData!$M$2:$M$941,"&lt;&gt;0")</f>
        <v/>
      </c>
      <c r="E217">
        <f>IF(Config!$G$20=0,0,IF(ABS(($A217-Config!$F$20)/Config!$G$20)&lt;=2,$D217,0))</f>
        <v/>
      </c>
      <c r="F217">
        <f>IF(Config!$G$20=0,0,IF(AND(ABS(($A217-Config!$F$20)/Config!$G$20)&gt;2,ABS(($A217-Config!$F$20)/Config!$G$20)&lt;=3),$D217,0))</f>
        <v/>
      </c>
      <c r="G217">
        <f>IF(Config!$G$20=0,0,IF(ABS(($A217-Config!$F$20)/Config!$G$20)&gt;3,$D217,0))</f>
        <v/>
      </c>
      <c r="H217">
        <f>IFERROR(NORM.DIST($A217,Config!$F$20,Config!$G$20,FALSE)*Config!$D$20*Config!$J$20,0)</f>
        <v/>
      </c>
    </row>
    <row r="218">
      <c r="A218" s="6">
        <f>Config!$K$20+24*Config!$J$20+Config!$J$20/2</f>
        <v/>
      </c>
      <c r="B218" s="6">
        <f>$A218-Config!$J$20/2</f>
        <v/>
      </c>
      <c r="C218" s="6">
        <f>$A218+Config!$J$20/2</f>
        <v/>
      </c>
      <c r="D218" s="6">
        <f>COUNTIFS(RawData!$C$2:$C$941,"MT",RawData!$M$2:$M$941,"&gt;="&amp;$B218,RawData!$M$2:$M$941,"&lt;"&amp;$C218,RawData!$M$2:$M$941,"&lt;&gt;0")</f>
        <v/>
      </c>
      <c r="E218" s="6">
        <f>IF(Config!$G$20=0,0,IF(ABS(($A218-Config!$F$20)/Config!$G$20)&lt;=2,$D218,0))</f>
        <v/>
      </c>
      <c r="F218" s="6">
        <f>IF(Config!$G$20=0,0,IF(AND(ABS(($A218-Config!$F$20)/Config!$G$20)&gt;2,ABS(($A218-Config!$F$20)/Config!$G$20)&lt;=3),$D218,0))</f>
        <v/>
      </c>
      <c r="G218" s="6">
        <f>IF(Config!$G$20=0,0,IF(ABS(($A218-Config!$F$20)/Config!$G$20)&gt;3,$D218,0))</f>
        <v/>
      </c>
      <c r="H218" s="6">
        <f>IFERROR(NORM.DIST($A218,Config!$F$20,Config!$G$20,FALSE)*Config!$D$20*Config!$J$20,0)</f>
        <v/>
      </c>
    </row>
    <row r="219">
      <c r="A219">
        <f>Config!$K$20+25*Config!$J$20+Config!$J$20/2</f>
        <v/>
      </c>
      <c r="B219">
        <f>$A219-Config!$J$20/2</f>
        <v/>
      </c>
      <c r="C219">
        <f>$A219+Config!$J$20/2</f>
        <v/>
      </c>
      <c r="D219">
        <f>COUNTIFS(RawData!$C$2:$C$941,"MT",RawData!$M$2:$M$941,"&gt;="&amp;$B219,RawData!$M$2:$M$941,"&lt;"&amp;$C219,RawData!$M$2:$M$941,"&lt;&gt;0")</f>
        <v/>
      </c>
      <c r="E219">
        <f>IF(Config!$G$20=0,0,IF(ABS(($A219-Config!$F$20)/Config!$G$20)&lt;=2,$D219,0))</f>
        <v/>
      </c>
      <c r="F219">
        <f>IF(Config!$G$20=0,0,IF(AND(ABS(($A219-Config!$F$20)/Config!$G$20)&gt;2,ABS(($A219-Config!$F$20)/Config!$G$20)&lt;=3),$D219,0))</f>
        <v/>
      </c>
      <c r="G219">
        <f>IF(Config!$G$20=0,0,IF(ABS(($A219-Config!$F$20)/Config!$G$20)&gt;3,$D219,0))</f>
        <v/>
      </c>
      <c r="H219">
        <f>IFERROR(NORM.DIST($A219,Config!$F$20,Config!$G$20,FALSE)*Config!$D$20*Config!$J$20,0)</f>
        <v/>
      </c>
    </row>
    <row r="220">
      <c r="A220" s="6">
        <f>Config!$K$20+26*Config!$J$20+Config!$J$20/2</f>
        <v/>
      </c>
      <c r="B220" s="6">
        <f>$A220-Config!$J$20/2</f>
        <v/>
      </c>
      <c r="C220" s="6">
        <f>$A220+Config!$J$20/2</f>
        <v/>
      </c>
      <c r="D220" s="6">
        <f>COUNTIFS(RawData!$C$2:$C$941,"MT",RawData!$M$2:$M$941,"&gt;="&amp;$B220,RawData!$M$2:$M$941,"&lt;"&amp;$C220,RawData!$M$2:$M$941,"&lt;&gt;0")</f>
        <v/>
      </c>
      <c r="E220" s="6">
        <f>IF(Config!$G$20=0,0,IF(ABS(($A220-Config!$F$20)/Config!$G$20)&lt;=2,$D220,0))</f>
        <v/>
      </c>
      <c r="F220" s="6">
        <f>IF(Config!$G$20=0,0,IF(AND(ABS(($A220-Config!$F$20)/Config!$G$20)&gt;2,ABS(($A220-Config!$F$20)/Config!$G$20)&lt;=3),$D220,0))</f>
        <v/>
      </c>
      <c r="G220" s="6">
        <f>IF(Config!$G$20=0,0,IF(ABS(($A220-Config!$F$20)/Config!$G$20)&gt;3,$D220,0))</f>
        <v/>
      </c>
      <c r="H220" s="6">
        <f>IFERROR(NORM.DIST($A220,Config!$F$20,Config!$G$20,FALSE)*Config!$D$20*Config!$J$20,0)</f>
        <v/>
      </c>
    </row>
    <row r="221">
      <c r="A221">
        <f>Config!$K$20+27*Config!$J$20+Config!$J$20/2</f>
        <v/>
      </c>
      <c r="B221">
        <f>$A221-Config!$J$20/2</f>
        <v/>
      </c>
      <c r="C221">
        <f>$A221+Config!$J$20/2</f>
        <v/>
      </c>
      <c r="D221">
        <f>COUNTIFS(RawData!$C$2:$C$941,"MT",RawData!$M$2:$M$941,"&gt;="&amp;$B221,RawData!$M$2:$M$941,"&lt;"&amp;$C221,RawData!$M$2:$M$941,"&lt;&gt;0")</f>
        <v/>
      </c>
      <c r="E221">
        <f>IF(Config!$G$20=0,0,IF(ABS(($A221-Config!$F$20)/Config!$G$20)&lt;=2,$D221,0))</f>
        <v/>
      </c>
      <c r="F221">
        <f>IF(Config!$G$20=0,0,IF(AND(ABS(($A221-Config!$F$20)/Config!$G$20)&gt;2,ABS(($A221-Config!$F$20)/Config!$G$20)&lt;=3),$D221,0))</f>
        <v/>
      </c>
      <c r="G221">
        <f>IF(Config!$G$20=0,0,IF(ABS(($A221-Config!$F$20)/Config!$G$20)&gt;3,$D221,0))</f>
        <v/>
      </c>
      <c r="H221">
        <f>IFERROR(NORM.DIST($A221,Config!$F$20,Config!$G$20,FALSE)*Config!$D$20*Config!$J$20,0)</f>
        <v/>
      </c>
    </row>
    <row r="222">
      <c r="A222" s="6">
        <f>Config!$K$20+28*Config!$J$20+Config!$J$20/2</f>
        <v/>
      </c>
      <c r="B222" s="6">
        <f>$A222-Config!$J$20/2</f>
        <v/>
      </c>
      <c r="C222" s="6">
        <f>$A222+Config!$J$20/2</f>
        <v/>
      </c>
      <c r="D222" s="6">
        <f>COUNTIFS(RawData!$C$2:$C$941,"MT",RawData!$M$2:$M$941,"&gt;="&amp;$B222,RawData!$M$2:$M$941,"&lt;"&amp;$C222,RawData!$M$2:$M$941,"&lt;&gt;0")</f>
        <v/>
      </c>
      <c r="E222" s="6">
        <f>IF(Config!$G$20=0,0,IF(ABS(($A222-Config!$F$20)/Config!$G$20)&lt;=2,$D222,0))</f>
        <v/>
      </c>
      <c r="F222" s="6">
        <f>IF(Config!$G$20=0,0,IF(AND(ABS(($A222-Config!$F$20)/Config!$G$20)&gt;2,ABS(($A222-Config!$F$20)/Config!$G$20)&lt;=3),$D222,0))</f>
        <v/>
      </c>
      <c r="G222" s="6">
        <f>IF(Config!$G$20=0,0,IF(ABS(($A222-Config!$F$20)/Config!$G$20)&gt;3,$D222,0))</f>
        <v/>
      </c>
      <c r="H222" s="6">
        <f>IFERROR(NORM.DIST($A222,Config!$F$20,Config!$G$20,FALSE)*Config!$D$20*Config!$J$20,0)</f>
        <v/>
      </c>
    </row>
    <row r="223">
      <c r="A223">
        <f>Config!$K$20+29*Config!$J$20+Config!$J$20/2</f>
        <v/>
      </c>
      <c r="B223">
        <f>$A223-Config!$J$20/2</f>
        <v/>
      </c>
      <c r="C223">
        <f>$A223+Config!$J$20/2</f>
        <v/>
      </c>
      <c r="D223">
        <f>COUNTIFS(RawData!$C$2:$C$941,"MT",RawData!$M$2:$M$941,"&gt;="&amp;$B223,RawData!$M$2:$M$941,"&lt;"&amp;$C223,RawData!$M$2:$M$941,"&lt;&gt;0")</f>
        <v/>
      </c>
      <c r="E223">
        <f>IF(Config!$G$20=0,0,IF(ABS(($A223-Config!$F$20)/Config!$G$20)&lt;=2,$D223,0))</f>
        <v/>
      </c>
      <c r="F223">
        <f>IF(Config!$G$20=0,0,IF(AND(ABS(($A223-Config!$F$20)/Config!$G$20)&gt;2,ABS(($A223-Config!$F$20)/Config!$G$20)&lt;=3),$D223,0))</f>
        <v/>
      </c>
      <c r="G223">
        <f>IF(Config!$G$20=0,0,IF(ABS(($A223-Config!$F$20)/Config!$G$20)&gt;3,$D223,0))</f>
        <v/>
      </c>
      <c r="H223">
        <f>IFERROR(NORM.DIST($A223,Config!$F$20,Config!$G$20,FALSE)*Config!$D$20*Config!$J$20,0)</f>
        <v/>
      </c>
    </row>
    <row r="225">
      <c r="A225" s="5" t="inlineStr">
        <is>
          <t>BinCenter</t>
        </is>
      </c>
      <c r="B225" s="5" t="inlineStr">
        <is>
          <t>BinLo</t>
        </is>
      </c>
      <c r="C225" s="5" t="inlineStr">
        <is>
          <t>BinHi</t>
        </is>
      </c>
      <c r="D225" s="5" t="inlineStr">
        <is>
          <t>TotalCount</t>
        </is>
      </c>
      <c r="E225" s="5" t="inlineStr">
        <is>
          <t>Normal</t>
        </is>
      </c>
      <c r="F225" s="5" t="inlineStr">
        <is>
          <t>Warning(2-3s)</t>
        </is>
      </c>
      <c r="G225" s="5" t="inlineStr">
        <is>
          <t>Outlier(&gt;3s)</t>
        </is>
      </c>
      <c r="H225" s="5" t="inlineStr">
        <is>
          <t>CurveY</t>
        </is>
      </c>
    </row>
    <row r="226">
      <c r="A226" s="6">
        <f>Config!$K$21+0*Config!$J$21+Config!$J$21/2</f>
        <v/>
      </c>
      <c r="B226" s="6">
        <f>$A226-Config!$J$21/2</f>
        <v/>
      </c>
      <c r="C226" s="6">
        <f>$A226+Config!$J$21/2</f>
        <v/>
      </c>
      <c r="D226" s="6">
        <f>COUNTIFS(RawData!$C$2:$C$941,"MT",RawData!$N$2:$N$941,"&gt;="&amp;$B226,RawData!$N$2:$N$941,"&lt;"&amp;$C226,RawData!$N$2:$N$941,"&lt;&gt;0")</f>
        <v/>
      </c>
      <c r="E226" s="6">
        <f>IF(Config!$G$21=0,0,IF(ABS(($A226-Config!$F$21)/Config!$G$21)&lt;=2,$D226,0))</f>
        <v/>
      </c>
      <c r="F226" s="6">
        <f>IF(Config!$G$21=0,0,IF(AND(ABS(($A226-Config!$F$21)/Config!$G$21)&gt;2,ABS(($A226-Config!$F$21)/Config!$G$21)&lt;=3),$D226,0))</f>
        <v/>
      </c>
      <c r="G226" s="6">
        <f>IF(Config!$G$21=0,0,IF(ABS(($A226-Config!$F$21)/Config!$G$21)&gt;3,$D226,0))</f>
        <v/>
      </c>
      <c r="H226" s="6">
        <f>IFERROR(NORM.DIST($A226,Config!$F$21,Config!$G$21,FALSE)*Config!$D$21*Config!$J$21,0)</f>
        <v/>
      </c>
    </row>
    <row r="227">
      <c r="A227">
        <f>Config!$K$21+1*Config!$J$21+Config!$J$21/2</f>
        <v/>
      </c>
      <c r="B227">
        <f>$A227-Config!$J$21/2</f>
        <v/>
      </c>
      <c r="C227">
        <f>$A227+Config!$J$21/2</f>
        <v/>
      </c>
      <c r="D227">
        <f>COUNTIFS(RawData!$C$2:$C$941,"MT",RawData!$N$2:$N$941,"&gt;="&amp;$B227,RawData!$N$2:$N$941,"&lt;"&amp;$C227,RawData!$N$2:$N$941,"&lt;&gt;0")</f>
        <v/>
      </c>
      <c r="E227">
        <f>IF(Config!$G$21=0,0,IF(ABS(($A227-Config!$F$21)/Config!$G$21)&lt;=2,$D227,0))</f>
        <v/>
      </c>
      <c r="F227">
        <f>IF(Config!$G$21=0,0,IF(AND(ABS(($A227-Config!$F$21)/Config!$G$21)&gt;2,ABS(($A227-Config!$F$21)/Config!$G$21)&lt;=3),$D227,0))</f>
        <v/>
      </c>
      <c r="G227">
        <f>IF(Config!$G$21=0,0,IF(ABS(($A227-Config!$F$21)/Config!$G$21)&gt;3,$D227,0))</f>
        <v/>
      </c>
      <c r="H227">
        <f>IFERROR(NORM.DIST($A227,Config!$F$21,Config!$G$21,FALSE)*Config!$D$21*Config!$J$21,0)</f>
        <v/>
      </c>
    </row>
    <row r="228">
      <c r="A228" s="6">
        <f>Config!$K$21+2*Config!$J$21+Config!$J$21/2</f>
        <v/>
      </c>
      <c r="B228" s="6">
        <f>$A228-Config!$J$21/2</f>
        <v/>
      </c>
      <c r="C228" s="6">
        <f>$A228+Config!$J$21/2</f>
        <v/>
      </c>
      <c r="D228" s="6">
        <f>COUNTIFS(RawData!$C$2:$C$941,"MT",RawData!$N$2:$N$941,"&gt;="&amp;$B228,RawData!$N$2:$N$941,"&lt;"&amp;$C228,RawData!$N$2:$N$941,"&lt;&gt;0")</f>
        <v/>
      </c>
      <c r="E228" s="6">
        <f>IF(Config!$G$21=0,0,IF(ABS(($A228-Config!$F$21)/Config!$G$21)&lt;=2,$D228,0))</f>
        <v/>
      </c>
      <c r="F228" s="6">
        <f>IF(Config!$G$21=0,0,IF(AND(ABS(($A228-Config!$F$21)/Config!$G$21)&gt;2,ABS(($A228-Config!$F$21)/Config!$G$21)&lt;=3),$D228,0))</f>
        <v/>
      </c>
      <c r="G228" s="6">
        <f>IF(Config!$G$21=0,0,IF(ABS(($A228-Config!$F$21)/Config!$G$21)&gt;3,$D228,0))</f>
        <v/>
      </c>
      <c r="H228" s="6">
        <f>IFERROR(NORM.DIST($A228,Config!$F$21,Config!$G$21,FALSE)*Config!$D$21*Config!$J$21,0)</f>
        <v/>
      </c>
    </row>
    <row r="229">
      <c r="A229">
        <f>Config!$K$21+3*Config!$J$21+Config!$J$21/2</f>
        <v/>
      </c>
      <c r="B229">
        <f>$A229-Config!$J$21/2</f>
        <v/>
      </c>
      <c r="C229">
        <f>$A229+Config!$J$21/2</f>
        <v/>
      </c>
      <c r="D229">
        <f>COUNTIFS(RawData!$C$2:$C$941,"MT",RawData!$N$2:$N$941,"&gt;="&amp;$B229,RawData!$N$2:$N$941,"&lt;"&amp;$C229,RawData!$N$2:$N$941,"&lt;&gt;0")</f>
        <v/>
      </c>
      <c r="E229">
        <f>IF(Config!$G$21=0,0,IF(ABS(($A229-Config!$F$21)/Config!$G$21)&lt;=2,$D229,0))</f>
        <v/>
      </c>
      <c r="F229">
        <f>IF(Config!$G$21=0,0,IF(AND(ABS(($A229-Config!$F$21)/Config!$G$21)&gt;2,ABS(($A229-Config!$F$21)/Config!$G$21)&lt;=3),$D229,0))</f>
        <v/>
      </c>
      <c r="G229">
        <f>IF(Config!$G$21=0,0,IF(ABS(($A229-Config!$F$21)/Config!$G$21)&gt;3,$D229,0))</f>
        <v/>
      </c>
      <c r="H229">
        <f>IFERROR(NORM.DIST($A229,Config!$F$21,Config!$G$21,FALSE)*Config!$D$21*Config!$J$21,0)</f>
        <v/>
      </c>
    </row>
    <row r="230">
      <c r="A230" s="6">
        <f>Config!$K$21+4*Config!$J$21+Config!$J$21/2</f>
        <v/>
      </c>
      <c r="B230" s="6">
        <f>$A230-Config!$J$21/2</f>
        <v/>
      </c>
      <c r="C230" s="6">
        <f>$A230+Config!$J$21/2</f>
        <v/>
      </c>
      <c r="D230" s="6">
        <f>COUNTIFS(RawData!$C$2:$C$941,"MT",RawData!$N$2:$N$941,"&gt;="&amp;$B230,RawData!$N$2:$N$941,"&lt;"&amp;$C230,RawData!$N$2:$N$941,"&lt;&gt;0")</f>
        <v/>
      </c>
      <c r="E230" s="6">
        <f>IF(Config!$G$21=0,0,IF(ABS(($A230-Config!$F$21)/Config!$G$21)&lt;=2,$D230,0))</f>
        <v/>
      </c>
      <c r="F230" s="6">
        <f>IF(Config!$G$21=0,0,IF(AND(ABS(($A230-Config!$F$21)/Config!$G$21)&gt;2,ABS(($A230-Config!$F$21)/Config!$G$21)&lt;=3),$D230,0))</f>
        <v/>
      </c>
      <c r="G230" s="6">
        <f>IF(Config!$G$21=0,0,IF(ABS(($A230-Config!$F$21)/Config!$G$21)&gt;3,$D230,0))</f>
        <v/>
      </c>
      <c r="H230" s="6">
        <f>IFERROR(NORM.DIST($A230,Config!$F$21,Config!$G$21,FALSE)*Config!$D$21*Config!$J$21,0)</f>
        <v/>
      </c>
    </row>
    <row r="231">
      <c r="A231">
        <f>Config!$K$21+5*Config!$J$21+Config!$J$21/2</f>
        <v/>
      </c>
      <c r="B231">
        <f>$A231-Config!$J$21/2</f>
        <v/>
      </c>
      <c r="C231">
        <f>$A231+Config!$J$21/2</f>
        <v/>
      </c>
      <c r="D231">
        <f>COUNTIFS(RawData!$C$2:$C$941,"MT",RawData!$N$2:$N$941,"&gt;="&amp;$B231,RawData!$N$2:$N$941,"&lt;"&amp;$C231,RawData!$N$2:$N$941,"&lt;&gt;0")</f>
        <v/>
      </c>
      <c r="E231">
        <f>IF(Config!$G$21=0,0,IF(ABS(($A231-Config!$F$21)/Config!$G$21)&lt;=2,$D231,0))</f>
        <v/>
      </c>
      <c r="F231">
        <f>IF(Config!$G$21=0,0,IF(AND(ABS(($A231-Config!$F$21)/Config!$G$21)&gt;2,ABS(($A231-Config!$F$21)/Config!$G$21)&lt;=3),$D231,0))</f>
        <v/>
      </c>
      <c r="G231">
        <f>IF(Config!$G$21=0,0,IF(ABS(($A231-Config!$F$21)/Config!$G$21)&gt;3,$D231,0))</f>
        <v/>
      </c>
      <c r="H231">
        <f>IFERROR(NORM.DIST($A231,Config!$F$21,Config!$G$21,FALSE)*Config!$D$21*Config!$J$21,0)</f>
        <v/>
      </c>
    </row>
    <row r="232">
      <c r="A232" s="6">
        <f>Config!$K$21+6*Config!$J$21+Config!$J$21/2</f>
        <v/>
      </c>
      <c r="B232" s="6">
        <f>$A232-Config!$J$21/2</f>
        <v/>
      </c>
      <c r="C232" s="6">
        <f>$A232+Config!$J$21/2</f>
        <v/>
      </c>
      <c r="D232" s="6">
        <f>COUNTIFS(RawData!$C$2:$C$941,"MT",RawData!$N$2:$N$941,"&gt;="&amp;$B232,RawData!$N$2:$N$941,"&lt;"&amp;$C232,RawData!$N$2:$N$941,"&lt;&gt;0")</f>
        <v/>
      </c>
      <c r="E232" s="6">
        <f>IF(Config!$G$21=0,0,IF(ABS(($A232-Config!$F$21)/Config!$G$21)&lt;=2,$D232,0))</f>
        <v/>
      </c>
      <c r="F232" s="6">
        <f>IF(Config!$G$21=0,0,IF(AND(ABS(($A232-Config!$F$21)/Config!$G$21)&gt;2,ABS(($A232-Config!$F$21)/Config!$G$21)&lt;=3),$D232,0))</f>
        <v/>
      </c>
      <c r="G232" s="6">
        <f>IF(Config!$G$21=0,0,IF(ABS(($A232-Config!$F$21)/Config!$G$21)&gt;3,$D232,0))</f>
        <v/>
      </c>
      <c r="H232" s="6">
        <f>IFERROR(NORM.DIST($A232,Config!$F$21,Config!$G$21,FALSE)*Config!$D$21*Config!$J$21,0)</f>
        <v/>
      </c>
    </row>
    <row r="233">
      <c r="A233">
        <f>Config!$K$21+7*Config!$J$21+Config!$J$21/2</f>
        <v/>
      </c>
      <c r="B233">
        <f>$A233-Config!$J$21/2</f>
        <v/>
      </c>
      <c r="C233">
        <f>$A233+Config!$J$21/2</f>
        <v/>
      </c>
      <c r="D233">
        <f>COUNTIFS(RawData!$C$2:$C$941,"MT",RawData!$N$2:$N$941,"&gt;="&amp;$B233,RawData!$N$2:$N$941,"&lt;"&amp;$C233,RawData!$N$2:$N$941,"&lt;&gt;0")</f>
        <v/>
      </c>
      <c r="E233">
        <f>IF(Config!$G$21=0,0,IF(ABS(($A233-Config!$F$21)/Config!$G$21)&lt;=2,$D233,0))</f>
        <v/>
      </c>
      <c r="F233">
        <f>IF(Config!$G$21=0,0,IF(AND(ABS(($A233-Config!$F$21)/Config!$G$21)&gt;2,ABS(($A233-Config!$F$21)/Config!$G$21)&lt;=3),$D233,0))</f>
        <v/>
      </c>
      <c r="G233">
        <f>IF(Config!$G$21=0,0,IF(ABS(($A233-Config!$F$21)/Config!$G$21)&gt;3,$D233,0))</f>
        <v/>
      </c>
      <c r="H233">
        <f>IFERROR(NORM.DIST($A233,Config!$F$21,Config!$G$21,FALSE)*Config!$D$21*Config!$J$21,0)</f>
        <v/>
      </c>
    </row>
    <row r="234">
      <c r="A234" s="6">
        <f>Config!$K$21+8*Config!$J$21+Config!$J$21/2</f>
        <v/>
      </c>
      <c r="B234" s="6">
        <f>$A234-Config!$J$21/2</f>
        <v/>
      </c>
      <c r="C234" s="6">
        <f>$A234+Config!$J$21/2</f>
        <v/>
      </c>
      <c r="D234" s="6">
        <f>COUNTIFS(RawData!$C$2:$C$941,"MT",RawData!$N$2:$N$941,"&gt;="&amp;$B234,RawData!$N$2:$N$941,"&lt;"&amp;$C234,RawData!$N$2:$N$941,"&lt;&gt;0")</f>
        <v/>
      </c>
      <c r="E234" s="6">
        <f>IF(Config!$G$21=0,0,IF(ABS(($A234-Config!$F$21)/Config!$G$21)&lt;=2,$D234,0))</f>
        <v/>
      </c>
      <c r="F234" s="6">
        <f>IF(Config!$G$21=0,0,IF(AND(ABS(($A234-Config!$F$21)/Config!$G$21)&gt;2,ABS(($A234-Config!$F$21)/Config!$G$21)&lt;=3),$D234,0))</f>
        <v/>
      </c>
      <c r="G234" s="6">
        <f>IF(Config!$G$21=0,0,IF(ABS(($A234-Config!$F$21)/Config!$G$21)&gt;3,$D234,0))</f>
        <v/>
      </c>
      <c r="H234" s="6">
        <f>IFERROR(NORM.DIST($A234,Config!$F$21,Config!$G$21,FALSE)*Config!$D$21*Config!$J$21,0)</f>
        <v/>
      </c>
    </row>
    <row r="235">
      <c r="A235">
        <f>Config!$K$21+9*Config!$J$21+Config!$J$21/2</f>
        <v/>
      </c>
      <c r="B235">
        <f>$A235-Config!$J$21/2</f>
        <v/>
      </c>
      <c r="C235">
        <f>$A235+Config!$J$21/2</f>
        <v/>
      </c>
      <c r="D235">
        <f>COUNTIFS(RawData!$C$2:$C$941,"MT",RawData!$N$2:$N$941,"&gt;="&amp;$B235,RawData!$N$2:$N$941,"&lt;"&amp;$C235,RawData!$N$2:$N$941,"&lt;&gt;0")</f>
        <v/>
      </c>
      <c r="E235">
        <f>IF(Config!$G$21=0,0,IF(ABS(($A235-Config!$F$21)/Config!$G$21)&lt;=2,$D235,0))</f>
        <v/>
      </c>
      <c r="F235">
        <f>IF(Config!$G$21=0,0,IF(AND(ABS(($A235-Config!$F$21)/Config!$G$21)&gt;2,ABS(($A235-Config!$F$21)/Config!$G$21)&lt;=3),$D235,0))</f>
        <v/>
      </c>
      <c r="G235">
        <f>IF(Config!$G$21=0,0,IF(ABS(($A235-Config!$F$21)/Config!$G$21)&gt;3,$D235,0))</f>
        <v/>
      </c>
      <c r="H235">
        <f>IFERROR(NORM.DIST($A235,Config!$F$21,Config!$G$21,FALSE)*Config!$D$21*Config!$J$21,0)</f>
        <v/>
      </c>
    </row>
    <row r="236">
      <c r="A236" s="6">
        <f>Config!$K$21+10*Config!$J$21+Config!$J$21/2</f>
        <v/>
      </c>
      <c r="B236" s="6">
        <f>$A236-Config!$J$21/2</f>
        <v/>
      </c>
      <c r="C236" s="6">
        <f>$A236+Config!$J$21/2</f>
        <v/>
      </c>
      <c r="D236" s="6">
        <f>COUNTIFS(RawData!$C$2:$C$941,"MT",RawData!$N$2:$N$941,"&gt;="&amp;$B236,RawData!$N$2:$N$941,"&lt;"&amp;$C236,RawData!$N$2:$N$941,"&lt;&gt;0")</f>
        <v/>
      </c>
      <c r="E236" s="6">
        <f>IF(Config!$G$21=0,0,IF(ABS(($A236-Config!$F$21)/Config!$G$21)&lt;=2,$D236,0))</f>
        <v/>
      </c>
      <c r="F236" s="6">
        <f>IF(Config!$G$21=0,0,IF(AND(ABS(($A236-Config!$F$21)/Config!$G$21)&gt;2,ABS(($A236-Config!$F$21)/Config!$G$21)&lt;=3),$D236,0))</f>
        <v/>
      </c>
      <c r="G236" s="6">
        <f>IF(Config!$G$21=0,0,IF(ABS(($A236-Config!$F$21)/Config!$G$21)&gt;3,$D236,0))</f>
        <v/>
      </c>
      <c r="H236" s="6">
        <f>IFERROR(NORM.DIST($A236,Config!$F$21,Config!$G$21,FALSE)*Config!$D$21*Config!$J$21,0)</f>
        <v/>
      </c>
    </row>
    <row r="237">
      <c r="A237">
        <f>Config!$K$21+11*Config!$J$21+Config!$J$21/2</f>
        <v/>
      </c>
      <c r="B237">
        <f>$A237-Config!$J$21/2</f>
        <v/>
      </c>
      <c r="C237">
        <f>$A237+Config!$J$21/2</f>
        <v/>
      </c>
      <c r="D237">
        <f>COUNTIFS(RawData!$C$2:$C$941,"MT",RawData!$N$2:$N$941,"&gt;="&amp;$B237,RawData!$N$2:$N$941,"&lt;"&amp;$C237,RawData!$N$2:$N$941,"&lt;&gt;0")</f>
        <v/>
      </c>
      <c r="E237">
        <f>IF(Config!$G$21=0,0,IF(ABS(($A237-Config!$F$21)/Config!$G$21)&lt;=2,$D237,0))</f>
        <v/>
      </c>
      <c r="F237">
        <f>IF(Config!$G$21=0,0,IF(AND(ABS(($A237-Config!$F$21)/Config!$G$21)&gt;2,ABS(($A237-Config!$F$21)/Config!$G$21)&lt;=3),$D237,0))</f>
        <v/>
      </c>
      <c r="G237">
        <f>IF(Config!$G$21=0,0,IF(ABS(($A237-Config!$F$21)/Config!$G$21)&gt;3,$D237,0))</f>
        <v/>
      </c>
      <c r="H237">
        <f>IFERROR(NORM.DIST($A237,Config!$F$21,Config!$G$21,FALSE)*Config!$D$21*Config!$J$21,0)</f>
        <v/>
      </c>
    </row>
    <row r="238">
      <c r="A238" s="6">
        <f>Config!$K$21+12*Config!$J$21+Config!$J$21/2</f>
        <v/>
      </c>
      <c r="B238" s="6">
        <f>$A238-Config!$J$21/2</f>
        <v/>
      </c>
      <c r="C238" s="6">
        <f>$A238+Config!$J$21/2</f>
        <v/>
      </c>
      <c r="D238" s="6">
        <f>COUNTIFS(RawData!$C$2:$C$941,"MT",RawData!$N$2:$N$941,"&gt;="&amp;$B238,RawData!$N$2:$N$941,"&lt;"&amp;$C238,RawData!$N$2:$N$941,"&lt;&gt;0")</f>
        <v/>
      </c>
      <c r="E238" s="6">
        <f>IF(Config!$G$21=0,0,IF(ABS(($A238-Config!$F$21)/Config!$G$21)&lt;=2,$D238,0))</f>
        <v/>
      </c>
      <c r="F238" s="6">
        <f>IF(Config!$G$21=0,0,IF(AND(ABS(($A238-Config!$F$21)/Config!$G$21)&gt;2,ABS(($A238-Config!$F$21)/Config!$G$21)&lt;=3),$D238,0))</f>
        <v/>
      </c>
      <c r="G238" s="6">
        <f>IF(Config!$G$21=0,0,IF(ABS(($A238-Config!$F$21)/Config!$G$21)&gt;3,$D238,0))</f>
        <v/>
      </c>
      <c r="H238" s="6">
        <f>IFERROR(NORM.DIST($A238,Config!$F$21,Config!$G$21,FALSE)*Config!$D$21*Config!$J$21,0)</f>
        <v/>
      </c>
    </row>
    <row r="239">
      <c r="A239">
        <f>Config!$K$21+13*Config!$J$21+Config!$J$21/2</f>
        <v/>
      </c>
      <c r="B239">
        <f>$A239-Config!$J$21/2</f>
        <v/>
      </c>
      <c r="C239">
        <f>$A239+Config!$J$21/2</f>
        <v/>
      </c>
      <c r="D239">
        <f>COUNTIFS(RawData!$C$2:$C$941,"MT",RawData!$N$2:$N$941,"&gt;="&amp;$B239,RawData!$N$2:$N$941,"&lt;"&amp;$C239,RawData!$N$2:$N$941,"&lt;&gt;0")</f>
        <v/>
      </c>
      <c r="E239">
        <f>IF(Config!$G$21=0,0,IF(ABS(($A239-Config!$F$21)/Config!$G$21)&lt;=2,$D239,0))</f>
        <v/>
      </c>
      <c r="F239">
        <f>IF(Config!$G$21=0,0,IF(AND(ABS(($A239-Config!$F$21)/Config!$G$21)&gt;2,ABS(($A239-Config!$F$21)/Config!$G$21)&lt;=3),$D239,0))</f>
        <v/>
      </c>
      <c r="G239">
        <f>IF(Config!$G$21=0,0,IF(ABS(($A239-Config!$F$21)/Config!$G$21)&gt;3,$D239,0))</f>
        <v/>
      </c>
      <c r="H239">
        <f>IFERROR(NORM.DIST($A239,Config!$F$21,Config!$G$21,FALSE)*Config!$D$21*Config!$J$21,0)</f>
        <v/>
      </c>
    </row>
    <row r="240">
      <c r="A240" s="6">
        <f>Config!$K$21+14*Config!$J$21+Config!$J$21/2</f>
        <v/>
      </c>
      <c r="B240" s="6">
        <f>$A240-Config!$J$21/2</f>
        <v/>
      </c>
      <c r="C240" s="6">
        <f>$A240+Config!$J$21/2</f>
        <v/>
      </c>
      <c r="D240" s="6">
        <f>COUNTIFS(RawData!$C$2:$C$941,"MT",RawData!$N$2:$N$941,"&gt;="&amp;$B240,RawData!$N$2:$N$941,"&lt;"&amp;$C240,RawData!$N$2:$N$941,"&lt;&gt;0")</f>
        <v/>
      </c>
      <c r="E240" s="6">
        <f>IF(Config!$G$21=0,0,IF(ABS(($A240-Config!$F$21)/Config!$G$21)&lt;=2,$D240,0))</f>
        <v/>
      </c>
      <c r="F240" s="6">
        <f>IF(Config!$G$21=0,0,IF(AND(ABS(($A240-Config!$F$21)/Config!$G$21)&gt;2,ABS(($A240-Config!$F$21)/Config!$G$21)&lt;=3),$D240,0))</f>
        <v/>
      </c>
      <c r="G240" s="6">
        <f>IF(Config!$G$21=0,0,IF(ABS(($A240-Config!$F$21)/Config!$G$21)&gt;3,$D240,0))</f>
        <v/>
      </c>
      <c r="H240" s="6">
        <f>IFERROR(NORM.DIST($A240,Config!$F$21,Config!$G$21,FALSE)*Config!$D$21*Config!$J$21,0)</f>
        <v/>
      </c>
    </row>
    <row r="241">
      <c r="A241">
        <f>Config!$K$21+15*Config!$J$21+Config!$J$21/2</f>
        <v/>
      </c>
      <c r="B241">
        <f>$A241-Config!$J$21/2</f>
        <v/>
      </c>
      <c r="C241">
        <f>$A241+Config!$J$21/2</f>
        <v/>
      </c>
      <c r="D241">
        <f>COUNTIFS(RawData!$C$2:$C$941,"MT",RawData!$N$2:$N$941,"&gt;="&amp;$B241,RawData!$N$2:$N$941,"&lt;"&amp;$C241,RawData!$N$2:$N$941,"&lt;&gt;0")</f>
        <v/>
      </c>
      <c r="E241">
        <f>IF(Config!$G$21=0,0,IF(ABS(($A241-Config!$F$21)/Config!$G$21)&lt;=2,$D241,0))</f>
        <v/>
      </c>
      <c r="F241">
        <f>IF(Config!$G$21=0,0,IF(AND(ABS(($A241-Config!$F$21)/Config!$G$21)&gt;2,ABS(($A241-Config!$F$21)/Config!$G$21)&lt;=3),$D241,0))</f>
        <v/>
      </c>
      <c r="G241">
        <f>IF(Config!$G$21=0,0,IF(ABS(($A241-Config!$F$21)/Config!$G$21)&gt;3,$D241,0))</f>
        <v/>
      </c>
      <c r="H241">
        <f>IFERROR(NORM.DIST($A241,Config!$F$21,Config!$G$21,FALSE)*Config!$D$21*Config!$J$21,0)</f>
        <v/>
      </c>
    </row>
    <row r="242">
      <c r="A242" s="6">
        <f>Config!$K$21+16*Config!$J$21+Config!$J$21/2</f>
        <v/>
      </c>
      <c r="B242" s="6">
        <f>$A242-Config!$J$21/2</f>
        <v/>
      </c>
      <c r="C242" s="6">
        <f>$A242+Config!$J$21/2</f>
        <v/>
      </c>
      <c r="D242" s="6">
        <f>COUNTIFS(RawData!$C$2:$C$941,"MT",RawData!$N$2:$N$941,"&gt;="&amp;$B242,RawData!$N$2:$N$941,"&lt;"&amp;$C242,RawData!$N$2:$N$941,"&lt;&gt;0")</f>
        <v/>
      </c>
      <c r="E242" s="6">
        <f>IF(Config!$G$21=0,0,IF(ABS(($A242-Config!$F$21)/Config!$G$21)&lt;=2,$D242,0))</f>
        <v/>
      </c>
      <c r="F242" s="6">
        <f>IF(Config!$G$21=0,0,IF(AND(ABS(($A242-Config!$F$21)/Config!$G$21)&gt;2,ABS(($A242-Config!$F$21)/Config!$G$21)&lt;=3),$D242,0))</f>
        <v/>
      </c>
      <c r="G242" s="6">
        <f>IF(Config!$G$21=0,0,IF(ABS(($A242-Config!$F$21)/Config!$G$21)&gt;3,$D242,0))</f>
        <v/>
      </c>
      <c r="H242" s="6">
        <f>IFERROR(NORM.DIST($A242,Config!$F$21,Config!$G$21,FALSE)*Config!$D$21*Config!$J$21,0)</f>
        <v/>
      </c>
    </row>
    <row r="243">
      <c r="A243">
        <f>Config!$K$21+17*Config!$J$21+Config!$J$21/2</f>
        <v/>
      </c>
      <c r="B243">
        <f>$A243-Config!$J$21/2</f>
        <v/>
      </c>
      <c r="C243">
        <f>$A243+Config!$J$21/2</f>
        <v/>
      </c>
      <c r="D243">
        <f>COUNTIFS(RawData!$C$2:$C$941,"MT",RawData!$N$2:$N$941,"&gt;="&amp;$B243,RawData!$N$2:$N$941,"&lt;"&amp;$C243,RawData!$N$2:$N$941,"&lt;&gt;0")</f>
        <v/>
      </c>
      <c r="E243">
        <f>IF(Config!$G$21=0,0,IF(ABS(($A243-Config!$F$21)/Config!$G$21)&lt;=2,$D243,0))</f>
        <v/>
      </c>
      <c r="F243">
        <f>IF(Config!$G$21=0,0,IF(AND(ABS(($A243-Config!$F$21)/Config!$G$21)&gt;2,ABS(($A243-Config!$F$21)/Config!$G$21)&lt;=3),$D243,0))</f>
        <v/>
      </c>
      <c r="G243">
        <f>IF(Config!$G$21=0,0,IF(ABS(($A243-Config!$F$21)/Config!$G$21)&gt;3,$D243,0))</f>
        <v/>
      </c>
      <c r="H243">
        <f>IFERROR(NORM.DIST($A243,Config!$F$21,Config!$G$21,FALSE)*Config!$D$21*Config!$J$21,0)</f>
        <v/>
      </c>
    </row>
    <row r="244">
      <c r="A244" s="6">
        <f>Config!$K$21+18*Config!$J$21+Config!$J$21/2</f>
        <v/>
      </c>
      <c r="B244" s="6">
        <f>$A244-Config!$J$21/2</f>
        <v/>
      </c>
      <c r="C244" s="6">
        <f>$A244+Config!$J$21/2</f>
        <v/>
      </c>
      <c r="D244" s="6">
        <f>COUNTIFS(RawData!$C$2:$C$941,"MT",RawData!$N$2:$N$941,"&gt;="&amp;$B244,RawData!$N$2:$N$941,"&lt;"&amp;$C244,RawData!$N$2:$N$941,"&lt;&gt;0")</f>
        <v/>
      </c>
      <c r="E244" s="6">
        <f>IF(Config!$G$21=0,0,IF(ABS(($A244-Config!$F$21)/Config!$G$21)&lt;=2,$D244,0))</f>
        <v/>
      </c>
      <c r="F244" s="6">
        <f>IF(Config!$G$21=0,0,IF(AND(ABS(($A244-Config!$F$21)/Config!$G$21)&gt;2,ABS(($A244-Config!$F$21)/Config!$G$21)&lt;=3),$D244,0))</f>
        <v/>
      </c>
      <c r="G244" s="6">
        <f>IF(Config!$G$21=0,0,IF(ABS(($A244-Config!$F$21)/Config!$G$21)&gt;3,$D244,0))</f>
        <v/>
      </c>
      <c r="H244" s="6">
        <f>IFERROR(NORM.DIST($A244,Config!$F$21,Config!$G$21,FALSE)*Config!$D$21*Config!$J$21,0)</f>
        <v/>
      </c>
    </row>
    <row r="245">
      <c r="A245">
        <f>Config!$K$21+19*Config!$J$21+Config!$J$21/2</f>
        <v/>
      </c>
      <c r="B245">
        <f>$A245-Config!$J$21/2</f>
        <v/>
      </c>
      <c r="C245">
        <f>$A245+Config!$J$21/2</f>
        <v/>
      </c>
      <c r="D245">
        <f>COUNTIFS(RawData!$C$2:$C$941,"MT",RawData!$N$2:$N$941,"&gt;="&amp;$B245,RawData!$N$2:$N$941,"&lt;"&amp;$C245,RawData!$N$2:$N$941,"&lt;&gt;0")</f>
        <v/>
      </c>
      <c r="E245">
        <f>IF(Config!$G$21=0,0,IF(ABS(($A245-Config!$F$21)/Config!$G$21)&lt;=2,$D245,0))</f>
        <v/>
      </c>
      <c r="F245">
        <f>IF(Config!$G$21=0,0,IF(AND(ABS(($A245-Config!$F$21)/Config!$G$21)&gt;2,ABS(($A245-Config!$F$21)/Config!$G$21)&lt;=3),$D245,0))</f>
        <v/>
      </c>
      <c r="G245">
        <f>IF(Config!$G$21=0,0,IF(ABS(($A245-Config!$F$21)/Config!$G$21)&gt;3,$D245,0))</f>
        <v/>
      </c>
      <c r="H245">
        <f>IFERROR(NORM.DIST($A245,Config!$F$21,Config!$G$21,FALSE)*Config!$D$21*Config!$J$21,0)</f>
        <v/>
      </c>
    </row>
    <row r="246">
      <c r="A246" s="6">
        <f>Config!$K$21+20*Config!$J$21+Config!$J$21/2</f>
        <v/>
      </c>
      <c r="B246" s="6">
        <f>$A246-Config!$J$21/2</f>
        <v/>
      </c>
      <c r="C246" s="6">
        <f>$A246+Config!$J$21/2</f>
        <v/>
      </c>
      <c r="D246" s="6">
        <f>COUNTIFS(RawData!$C$2:$C$941,"MT",RawData!$N$2:$N$941,"&gt;="&amp;$B246,RawData!$N$2:$N$941,"&lt;"&amp;$C246,RawData!$N$2:$N$941,"&lt;&gt;0")</f>
        <v/>
      </c>
      <c r="E246" s="6">
        <f>IF(Config!$G$21=0,0,IF(ABS(($A246-Config!$F$21)/Config!$G$21)&lt;=2,$D246,0))</f>
        <v/>
      </c>
      <c r="F246" s="6">
        <f>IF(Config!$G$21=0,0,IF(AND(ABS(($A246-Config!$F$21)/Config!$G$21)&gt;2,ABS(($A246-Config!$F$21)/Config!$G$21)&lt;=3),$D246,0))</f>
        <v/>
      </c>
      <c r="G246" s="6">
        <f>IF(Config!$G$21=0,0,IF(ABS(($A246-Config!$F$21)/Config!$G$21)&gt;3,$D246,0))</f>
        <v/>
      </c>
      <c r="H246" s="6">
        <f>IFERROR(NORM.DIST($A246,Config!$F$21,Config!$G$21,FALSE)*Config!$D$21*Config!$J$21,0)</f>
        <v/>
      </c>
    </row>
    <row r="247">
      <c r="A247">
        <f>Config!$K$21+21*Config!$J$21+Config!$J$21/2</f>
        <v/>
      </c>
      <c r="B247">
        <f>$A247-Config!$J$21/2</f>
        <v/>
      </c>
      <c r="C247">
        <f>$A247+Config!$J$21/2</f>
        <v/>
      </c>
      <c r="D247">
        <f>COUNTIFS(RawData!$C$2:$C$941,"MT",RawData!$N$2:$N$941,"&gt;="&amp;$B247,RawData!$N$2:$N$941,"&lt;"&amp;$C247,RawData!$N$2:$N$941,"&lt;&gt;0")</f>
        <v/>
      </c>
      <c r="E247">
        <f>IF(Config!$G$21=0,0,IF(ABS(($A247-Config!$F$21)/Config!$G$21)&lt;=2,$D247,0))</f>
        <v/>
      </c>
      <c r="F247">
        <f>IF(Config!$G$21=0,0,IF(AND(ABS(($A247-Config!$F$21)/Config!$G$21)&gt;2,ABS(($A247-Config!$F$21)/Config!$G$21)&lt;=3),$D247,0))</f>
        <v/>
      </c>
      <c r="G247">
        <f>IF(Config!$G$21=0,0,IF(ABS(($A247-Config!$F$21)/Config!$G$21)&gt;3,$D247,0))</f>
        <v/>
      </c>
      <c r="H247">
        <f>IFERROR(NORM.DIST($A247,Config!$F$21,Config!$G$21,FALSE)*Config!$D$21*Config!$J$21,0)</f>
        <v/>
      </c>
    </row>
    <row r="248">
      <c r="A248" s="6">
        <f>Config!$K$21+22*Config!$J$21+Config!$J$21/2</f>
        <v/>
      </c>
      <c r="B248" s="6">
        <f>$A248-Config!$J$21/2</f>
        <v/>
      </c>
      <c r="C248" s="6">
        <f>$A248+Config!$J$21/2</f>
        <v/>
      </c>
      <c r="D248" s="6">
        <f>COUNTIFS(RawData!$C$2:$C$941,"MT",RawData!$N$2:$N$941,"&gt;="&amp;$B248,RawData!$N$2:$N$941,"&lt;"&amp;$C248,RawData!$N$2:$N$941,"&lt;&gt;0")</f>
        <v/>
      </c>
      <c r="E248" s="6">
        <f>IF(Config!$G$21=0,0,IF(ABS(($A248-Config!$F$21)/Config!$G$21)&lt;=2,$D248,0))</f>
        <v/>
      </c>
      <c r="F248" s="6">
        <f>IF(Config!$G$21=0,0,IF(AND(ABS(($A248-Config!$F$21)/Config!$G$21)&gt;2,ABS(($A248-Config!$F$21)/Config!$G$21)&lt;=3),$D248,0))</f>
        <v/>
      </c>
      <c r="G248" s="6">
        <f>IF(Config!$G$21=0,0,IF(ABS(($A248-Config!$F$21)/Config!$G$21)&gt;3,$D248,0))</f>
        <v/>
      </c>
      <c r="H248" s="6">
        <f>IFERROR(NORM.DIST($A248,Config!$F$21,Config!$G$21,FALSE)*Config!$D$21*Config!$J$21,0)</f>
        <v/>
      </c>
    </row>
    <row r="249">
      <c r="A249">
        <f>Config!$K$21+23*Config!$J$21+Config!$J$21/2</f>
        <v/>
      </c>
      <c r="B249">
        <f>$A249-Config!$J$21/2</f>
        <v/>
      </c>
      <c r="C249">
        <f>$A249+Config!$J$21/2</f>
        <v/>
      </c>
      <c r="D249">
        <f>COUNTIFS(RawData!$C$2:$C$941,"MT",RawData!$N$2:$N$941,"&gt;="&amp;$B249,RawData!$N$2:$N$941,"&lt;"&amp;$C249,RawData!$N$2:$N$941,"&lt;&gt;0")</f>
        <v/>
      </c>
      <c r="E249">
        <f>IF(Config!$G$21=0,0,IF(ABS(($A249-Config!$F$21)/Config!$G$21)&lt;=2,$D249,0))</f>
        <v/>
      </c>
      <c r="F249">
        <f>IF(Config!$G$21=0,0,IF(AND(ABS(($A249-Config!$F$21)/Config!$G$21)&gt;2,ABS(($A249-Config!$F$21)/Config!$G$21)&lt;=3),$D249,0))</f>
        <v/>
      </c>
      <c r="G249">
        <f>IF(Config!$G$21=0,0,IF(ABS(($A249-Config!$F$21)/Config!$G$21)&gt;3,$D249,0))</f>
        <v/>
      </c>
      <c r="H249">
        <f>IFERROR(NORM.DIST($A249,Config!$F$21,Config!$G$21,FALSE)*Config!$D$21*Config!$J$21,0)</f>
        <v/>
      </c>
    </row>
    <row r="250">
      <c r="A250" s="6">
        <f>Config!$K$21+24*Config!$J$21+Config!$J$21/2</f>
        <v/>
      </c>
      <c r="B250" s="6">
        <f>$A250-Config!$J$21/2</f>
        <v/>
      </c>
      <c r="C250" s="6">
        <f>$A250+Config!$J$21/2</f>
        <v/>
      </c>
      <c r="D250" s="6">
        <f>COUNTIFS(RawData!$C$2:$C$941,"MT",RawData!$N$2:$N$941,"&gt;="&amp;$B250,RawData!$N$2:$N$941,"&lt;"&amp;$C250,RawData!$N$2:$N$941,"&lt;&gt;0")</f>
        <v/>
      </c>
      <c r="E250" s="6">
        <f>IF(Config!$G$21=0,0,IF(ABS(($A250-Config!$F$21)/Config!$G$21)&lt;=2,$D250,0))</f>
        <v/>
      </c>
      <c r="F250" s="6">
        <f>IF(Config!$G$21=0,0,IF(AND(ABS(($A250-Config!$F$21)/Config!$G$21)&gt;2,ABS(($A250-Config!$F$21)/Config!$G$21)&lt;=3),$D250,0))</f>
        <v/>
      </c>
      <c r="G250" s="6">
        <f>IF(Config!$G$21=0,0,IF(ABS(($A250-Config!$F$21)/Config!$G$21)&gt;3,$D250,0))</f>
        <v/>
      </c>
      <c r="H250" s="6">
        <f>IFERROR(NORM.DIST($A250,Config!$F$21,Config!$G$21,FALSE)*Config!$D$21*Config!$J$21,0)</f>
        <v/>
      </c>
    </row>
    <row r="251">
      <c r="A251">
        <f>Config!$K$21+25*Config!$J$21+Config!$J$21/2</f>
        <v/>
      </c>
      <c r="B251">
        <f>$A251-Config!$J$21/2</f>
        <v/>
      </c>
      <c r="C251">
        <f>$A251+Config!$J$21/2</f>
        <v/>
      </c>
      <c r="D251">
        <f>COUNTIFS(RawData!$C$2:$C$941,"MT",RawData!$N$2:$N$941,"&gt;="&amp;$B251,RawData!$N$2:$N$941,"&lt;"&amp;$C251,RawData!$N$2:$N$941,"&lt;&gt;0")</f>
        <v/>
      </c>
      <c r="E251">
        <f>IF(Config!$G$21=0,0,IF(ABS(($A251-Config!$F$21)/Config!$G$21)&lt;=2,$D251,0))</f>
        <v/>
      </c>
      <c r="F251">
        <f>IF(Config!$G$21=0,0,IF(AND(ABS(($A251-Config!$F$21)/Config!$G$21)&gt;2,ABS(($A251-Config!$F$21)/Config!$G$21)&lt;=3),$D251,0))</f>
        <v/>
      </c>
      <c r="G251">
        <f>IF(Config!$G$21=0,0,IF(ABS(($A251-Config!$F$21)/Config!$G$21)&gt;3,$D251,0))</f>
        <v/>
      </c>
      <c r="H251">
        <f>IFERROR(NORM.DIST($A251,Config!$F$21,Config!$G$21,FALSE)*Config!$D$21*Config!$J$21,0)</f>
        <v/>
      </c>
    </row>
    <row r="252">
      <c r="A252" s="6">
        <f>Config!$K$21+26*Config!$J$21+Config!$J$21/2</f>
        <v/>
      </c>
      <c r="B252" s="6">
        <f>$A252-Config!$J$21/2</f>
        <v/>
      </c>
      <c r="C252" s="6">
        <f>$A252+Config!$J$21/2</f>
        <v/>
      </c>
      <c r="D252" s="6">
        <f>COUNTIFS(RawData!$C$2:$C$941,"MT",RawData!$N$2:$N$941,"&gt;="&amp;$B252,RawData!$N$2:$N$941,"&lt;"&amp;$C252,RawData!$N$2:$N$941,"&lt;&gt;0")</f>
        <v/>
      </c>
      <c r="E252" s="6">
        <f>IF(Config!$G$21=0,0,IF(ABS(($A252-Config!$F$21)/Config!$G$21)&lt;=2,$D252,0))</f>
        <v/>
      </c>
      <c r="F252" s="6">
        <f>IF(Config!$G$21=0,0,IF(AND(ABS(($A252-Config!$F$21)/Config!$G$21)&gt;2,ABS(($A252-Config!$F$21)/Config!$G$21)&lt;=3),$D252,0))</f>
        <v/>
      </c>
      <c r="G252" s="6">
        <f>IF(Config!$G$21=0,0,IF(ABS(($A252-Config!$F$21)/Config!$G$21)&gt;3,$D252,0))</f>
        <v/>
      </c>
      <c r="H252" s="6">
        <f>IFERROR(NORM.DIST($A252,Config!$F$21,Config!$G$21,FALSE)*Config!$D$21*Config!$J$21,0)</f>
        <v/>
      </c>
    </row>
    <row r="253">
      <c r="A253">
        <f>Config!$K$21+27*Config!$J$21+Config!$J$21/2</f>
        <v/>
      </c>
      <c r="B253">
        <f>$A253-Config!$J$21/2</f>
        <v/>
      </c>
      <c r="C253">
        <f>$A253+Config!$J$21/2</f>
        <v/>
      </c>
      <c r="D253">
        <f>COUNTIFS(RawData!$C$2:$C$941,"MT",RawData!$N$2:$N$941,"&gt;="&amp;$B253,RawData!$N$2:$N$941,"&lt;"&amp;$C253,RawData!$N$2:$N$941,"&lt;&gt;0")</f>
        <v/>
      </c>
      <c r="E253">
        <f>IF(Config!$G$21=0,0,IF(ABS(($A253-Config!$F$21)/Config!$G$21)&lt;=2,$D253,0))</f>
        <v/>
      </c>
      <c r="F253">
        <f>IF(Config!$G$21=0,0,IF(AND(ABS(($A253-Config!$F$21)/Config!$G$21)&gt;2,ABS(($A253-Config!$F$21)/Config!$G$21)&lt;=3),$D253,0))</f>
        <v/>
      </c>
      <c r="G253">
        <f>IF(Config!$G$21=0,0,IF(ABS(($A253-Config!$F$21)/Config!$G$21)&gt;3,$D253,0))</f>
        <v/>
      </c>
      <c r="H253">
        <f>IFERROR(NORM.DIST($A253,Config!$F$21,Config!$G$21,FALSE)*Config!$D$21*Config!$J$21,0)</f>
        <v/>
      </c>
    </row>
    <row r="254">
      <c r="A254" s="6">
        <f>Config!$K$21+28*Config!$J$21+Config!$J$21/2</f>
        <v/>
      </c>
      <c r="B254" s="6">
        <f>$A254-Config!$J$21/2</f>
        <v/>
      </c>
      <c r="C254" s="6">
        <f>$A254+Config!$J$21/2</f>
        <v/>
      </c>
      <c r="D254" s="6">
        <f>COUNTIFS(RawData!$C$2:$C$941,"MT",RawData!$N$2:$N$941,"&gt;="&amp;$B254,RawData!$N$2:$N$941,"&lt;"&amp;$C254,RawData!$N$2:$N$941,"&lt;&gt;0")</f>
        <v/>
      </c>
      <c r="E254" s="6">
        <f>IF(Config!$G$21=0,0,IF(ABS(($A254-Config!$F$21)/Config!$G$21)&lt;=2,$D254,0))</f>
        <v/>
      </c>
      <c r="F254" s="6">
        <f>IF(Config!$G$21=0,0,IF(AND(ABS(($A254-Config!$F$21)/Config!$G$21)&gt;2,ABS(($A254-Config!$F$21)/Config!$G$21)&lt;=3),$D254,0))</f>
        <v/>
      </c>
      <c r="G254" s="6">
        <f>IF(Config!$G$21=0,0,IF(ABS(($A254-Config!$F$21)/Config!$G$21)&gt;3,$D254,0))</f>
        <v/>
      </c>
      <c r="H254" s="6">
        <f>IFERROR(NORM.DIST($A254,Config!$F$21,Config!$G$21,FALSE)*Config!$D$21*Config!$J$21,0)</f>
        <v/>
      </c>
    </row>
    <row r="255">
      <c r="A255">
        <f>Config!$K$21+29*Config!$J$21+Config!$J$21/2</f>
        <v/>
      </c>
      <c r="B255">
        <f>$A255-Config!$J$21/2</f>
        <v/>
      </c>
      <c r="C255">
        <f>$A255+Config!$J$21/2</f>
        <v/>
      </c>
      <c r="D255">
        <f>COUNTIFS(RawData!$C$2:$C$941,"MT",RawData!$N$2:$N$941,"&gt;="&amp;$B255,RawData!$N$2:$N$941,"&lt;"&amp;$C255,RawData!$N$2:$N$941,"&lt;&gt;0")</f>
        <v/>
      </c>
      <c r="E255">
        <f>IF(Config!$G$21=0,0,IF(ABS(($A255-Config!$F$21)/Config!$G$21)&lt;=2,$D255,0))</f>
        <v/>
      </c>
      <c r="F255">
        <f>IF(Config!$G$21=0,0,IF(AND(ABS(($A255-Config!$F$21)/Config!$G$21)&gt;2,ABS(($A255-Config!$F$21)/Config!$G$21)&lt;=3),$D255,0))</f>
        <v/>
      </c>
      <c r="G255">
        <f>IF(Config!$G$21=0,0,IF(ABS(($A255-Config!$F$21)/Config!$G$21)&gt;3,$D255,0))</f>
        <v/>
      </c>
      <c r="H255">
        <f>IFERROR(NORM.DIST($A255,Config!$F$21,Config!$G$21,FALSE)*Config!$D$21*Config!$J$21,0)</f>
        <v/>
      </c>
    </row>
    <row r="257">
      <c r="A257" s="5" t="inlineStr">
        <is>
          <t>BinCenter</t>
        </is>
      </c>
      <c r="B257" s="5" t="inlineStr">
        <is>
          <t>BinLo</t>
        </is>
      </c>
      <c r="C257" s="5" t="inlineStr">
        <is>
          <t>BinHi</t>
        </is>
      </c>
      <c r="D257" s="5" t="inlineStr">
        <is>
          <t>TotalCount</t>
        </is>
      </c>
      <c r="E257" s="5" t="inlineStr">
        <is>
          <t>Normal</t>
        </is>
      </c>
      <c r="F257" s="5" t="inlineStr">
        <is>
          <t>Warning(2-3s)</t>
        </is>
      </c>
      <c r="G257" s="5" t="inlineStr">
        <is>
          <t>Outlier(&gt;3s)</t>
        </is>
      </c>
      <c r="H257" s="5" t="inlineStr">
        <is>
          <t>CurveY</t>
        </is>
      </c>
    </row>
    <row r="258">
      <c r="A258" s="6">
        <f>Config!$K$22+0*Config!$J$22+Config!$J$22/2</f>
        <v/>
      </c>
      <c r="B258" s="6">
        <f>$A258-Config!$J$22/2</f>
        <v/>
      </c>
      <c r="C258" s="6">
        <f>$A258+Config!$J$22/2</f>
        <v/>
      </c>
      <c r="D258" s="6">
        <f>COUNTIFS(RawData!$C$2:$C$941,"MT",RawData!$O$2:$O$941,"&gt;="&amp;$B258,RawData!$O$2:$O$941,"&lt;"&amp;$C258,RawData!$O$2:$O$941,"&lt;&gt;0")</f>
        <v/>
      </c>
      <c r="E258" s="6">
        <f>IF(Config!$G$22=0,0,IF(ABS(($A258-Config!$F$22)/Config!$G$22)&lt;=2,$D258,0))</f>
        <v/>
      </c>
      <c r="F258" s="6">
        <f>IF(Config!$G$22=0,0,IF(AND(ABS(($A258-Config!$F$22)/Config!$G$22)&gt;2,ABS(($A258-Config!$F$22)/Config!$G$22)&lt;=3),$D258,0))</f>
        <v/>
      </c>
      <c r="G258" s="6">
        <f>IF(Config!$G$22=0,0,IF(ABS(($A258-Config!$F$22)/Config!$G$22)&gt;3,$D258,0))</f>
        <v/>
      </c>
      <c r="H258" s="6">
        <f>IFERROR(NORM.DIST($A258,Config!$F$22,Config!$G$22,FALSE)*Config!$D$22*Config!$J$22,0)</f>
        <v/>
      </c>
    </row>
    <row r="259">
      <c r="A259">
        <f>Config!$K$22+1*Config!$J$22+Config!$J$22/2</f>
        <v/>
      </c>
      <c r="B259">
        <f>$A259-Config!$J$22/2</f>
        <v/>
      </c>
      <c r="C259">
        <f>$A259+Config!$J$22/2</f>
        <v/>
      </c>
      <c r="D259">
        <f>COUNTIFS(RawData!$C$2:$C$941,"MT",RawData!$O$2:$O$941,"&gt;="&amp;$B259,RawData!$O$2:$O$941,"&lt;"&amp;$C259,RawData!$O$2:$O$941,"&lt;&gt;0")</f>
        <v/>
      </c>
      <c r="E259">
        <f>IF(Config!$G$22=0,0,IF(ABS(($A259-Config!$F$22)/Config!$G$22)&lt;=2,$D259,0))</f>
        <v/>
      </c>
      <c r="F259">
        <f>IF(Config!$G$22=0,0,IF(AND(ABS(($A259-Config!$F$22)/Config!$G$22)&gt;2,ABS(($A259-Config!$F$22)/Config!$G$22)&lt;=3),$D259,0))</f>
        <v/>
      </c>
      <c r="G259">
        <f>IF(Config!$G$22=0,0,IF(ABS(($A259-Config!$F$22)/Config!$G$22)&gt;3,$D259,0))</f>
        <v/>
      </c>
      <c r="H259">
        <f>IFERROR(NORM.DIST($A259,Config!$F$22,Config!$G$22,FALSE)*Config!$D$22*Config!$J$22,0)</f>
        <v/>
      </c>
    </row>
    <row r="260">
      <c r="A260" s="6">
        <f>Config!$K$22+2*Config!$J$22+Config!$J$22/2</f>
        <v/>
      </c>
      <c r="B260" s="6">
        <f>$A260-Config!$J$22/2</f>
        <v/>
      </c>
      <c r="C260" s="6">
        <f>$A260+Config!$J$22/2</f>
        <v/>
      </c>
      <c r="D260" s="6">
        <f>COUNTIFS(RawData!$C$2:$C$941,"MT",RawData!$O$2:$O$941,"&gt;="&amp;$B260,RawData!$O$2:$O$941,"&lt;"&amp;$C260,RawData!$O$2:$O$941,"&lt;&gt;0")</f>
        <v/>
      </c>
      <c r="E260" s="6">
        <f>IF(Config!$G$22=0,0,IF(ABS(($A260-Config!$F$22)/Config!$G$22)&lt;=2,$D260,0))</f>
        <v/>
      </c>
      <c r="F260" s="6">
        <f>IF(Config!$G$22=0,0,IF(AND(ABS(($A260-Config!$F$22)/Config!$G$22)&gt;2,ABS(($A260-Config!$F$22)/Config!$G$22)&lt;=3),$D260,0))</f>
        <v/>
      </c>
      <c r="G260" s="6">
        <f>IF(Config!$G$22=0,0,IF(ABS(($A260-Config!$F$22)/Config!$G$22)&gt;3,$D260,0))</f>
        <v/>
      </c>
      <c r="H260" s="6">
        <f>IFERROR(NORM.DIST($A260,Config!$F$22,Config!$G$22,FALSE)*Config!$D$22*Config!$J$22,0)</f>
        <v/>
      </c>
    </row>
    <row r="261">
      <c r="A261">
        <f>Config!$K$22+3*Config!$J$22+Config!$J$22/2</f>
        <v/>
      </c>
      <c r="B261">
        <f>$A261-Config!$J$22/2</f>
        <v/>
      </c>
      <c r="C261">
        <f>$A261+Config!$J$22/2</f>
        <v/>
      </c>
      <c r="D261">
        <f>COUNTIFS(RawData!$C$2:$C$941,"MT",RawData!$O$2:$O$941,"&gt;="&amp;$B261,RawData!$O$2:$O$941,"&lt;"&amp;$C261,RawData!$O$2:$O$941,"&lt;&gt;0")</f>
        <v/>
      </c>
      <c r="E261">
        <f>IF(Config!$G$22=0,0,IF(ABS(($A261-Config!$F$22)/Config!$G$22)&lt;=2,$D261,0))</f>
        <v/>
      </c>
      <c r="F261">
        <f>IF(Config!$G$22=0,0,IF(AND(ABS(($A261-Config!$F$22)/Config!$G$22)&gt;2,ABS(($A261-Config!$F$22)/Config!$G$22)&lt;=3),$D261,0))</f>
        <v/>
      </c>
      <c r="G261">
        <f>IF(Config!$G$22=0,0,IF(ABS(($A261-Config!$F$22)/Config!$G$22)&gt;3,$D261,0))</f>
        <v/>
      </c>
      <c r="H261">
        <f>IFERROR(NORM.DIST($A261,Config!$F$22,Config!$G$22,FALSE)*Config!$D$22*Config!$J$22,0)</f>
        <v/>
      </c>
    </row>
    <row r="262">
      <c r="A262" s="6">
        <f>Config!$K$22+4*Config!$J$22+Config!$J$22/2</f>
        <v/>
      </c>
      <c r="B262" s="6">
        <f>$A262-Config!$J$22/2</f>
        <v/>
      </c>
      <c r="C262" s="6">
        <f>$A262+Config!$J$22/2</f>
        <v/>
      </c>
      <c r="D262" s="6">
        <f>COUNTIFS(RawData!$C$2:$C$941,"MT",RawData!$O$2:$O$941,"&gt;="&amp;$B262,RawData!$O$2:$O$941,"&lt;"&amp;$C262,RawData!$O$2:$O$941,"&lt;&gt;0")</f>
        <v/>
      </c>
      <c r="E262" s="6">
        <f>IF(Config!$G$22=0,0,IF(ABS(($A262-Config!$F$22)/Config!$G$22)&lt;=2,$D262,0))</f>
        <v/>
      </c>
      <c r="F262" s="6">
        <f>IF(Config!$G$22=0,0,IF(AND(ABS(($A262-Config!$F$22)/Config!$G$22)&gt;2,ABS(($A262-Config!$F$22)/Config!$G$22)&lt;=3),$D262,0))</f>
        <v/>
      </c>
      <c r="G262" s="6">
        <f>IF(Config!$G$22=0,0,IF(ABS(($A262-Config!$F$22)/Config!$G$22)&gt;3,$D262,0))</f>
        <v/>
      </c>
      <c r="H262" s="6">
        <f>IFERROR(NORM.DIST($A262,Config!$F$22,Config!$G$22,FALSE)*Config!$D$22*Config!$J$22,0)</f>
        <v/>
      </c>
    </row>
    <row r="263">
      <c r="A263">
        <f>Config!$K$22+5*Config!$J$22+Config!$J$22/2</f>
        <v/>
      </c>
      <c r="B263">
        <f>$A263-Config!$J$22/2</f>
        <v/>
      </c>
      <c r="C263">
        <f>$A263+Config!$J$22/2</f>
        <v/>
      </c>
      <c r="D263">
        <f>COUNTIFS(RawData!$C$2:$C$941,"MT",RawData!$O$2:$O$941,"&gt;="&amp;$B263,RawData!$O$2:$O$941,"&lt;"&amp;$C263,RawData!$O$2:$O$941,"&lt;&gt;0")</f>
        <v/>
      </c>
      <c r="E263">
        <f>IF(Config!$G$22=0,0,IF(ABS(($A263-Config!$F$22)/Config!$G$22)&lt;=2,$D263,0))</f>
        <v/>
      </c>
      <c r="F263">
        <f>IF(Config!$G$22=0,0,IF(AND(ABS(($A263-Config!$F$22)/Config!$G$22)&gt;2,ABS(($A263-Config!$F$22)/Config!$G$22)&lt;=3),$D263,0))</f>
        <v/>
      </c>
      <c r="G263">
        <f>IF(Config!$G$22=0,0,IF(ABS(($A263-Config!$F$22)/Config!$G$22)&gt;3,$D263,0))</f>
        <v/>
      </c>
      <c r="H263">
        <f>IFERROR(NORM.DIST($A263,Config!$F$22,Config!$G$22,FALSE)*Config!$D$22*Config!$J$22,0)</f>
        <v/>
      </c>
    </row>
    <row r="264">
      <c r="A264" s="6">
        <f>Config!$K$22+6*Config!$J$22+Config!$J$22/2</f>
        <v/>
      </c>
      <c r="B264" s="6">
        <f>$A264-Config!$J$22/2</f>
        <v/>
      </c>
      <c r="C264" s="6">
        <f>$A264+Config!$J$22/2</f>
        <v/>
      </c>
      <c r="D264" s="6">
        <f>COUNTIFS(RawData!$C$2:$C$941,"MT",RawData!$O$2:$O$941,"&gt;="&amp;$B264,RawData!$O$2:$O$941,"&lt;"&amp;$C264,RawData!$O$2:$O$941,"&lt;&gt;0")</f>
        <v/>
      </c>
      <c r="E264" s="6">
        <f>IF(Config!$G$22=0,0,IF(ABS(($A264-Config!$F$22)/Config!$G$22)&lt;=2,$D264,0))</f>
        <v/>
      </c>
      <c r="F264" s="6">
        <f>IF(Config!$G$22=0,0,IF(AND(ABS(($A264-Config!$F$22)/Config!$G$22)&gt;2,ABS(($A264-Config!$F$22)/Config!$G$22)&lt;=3),$D264,0))</f>
        <v/>
      </c>
      <c r="G264" s="6">
        <f>IF(Config!$G$22=0,0,IF(ABS(($A264-Config!$F$22)/Config!$G$22)&gt;3,$D264,0))</f>
        <v/>
      </c>
      <c r="H264" s="6">
        <f>IFERROR(NORM.DIST($A264,Config!$F$22,Config!$G$22,FALSE)*Config!$D$22*Config!$J$22,0)</f>
        <v/>
      </c>
    </row>
    <row r="265">
      <c r="A265">
        <f>Config!$K$22+7*Config!$J$22+Config!$J$22/2</f>
        <v/>
      </c>
      <c r="B265">
        <f>$A265-Config!$J$22/2</f>
        <v/>
      </c>
      <c r="C265">
        <f>$A265+Config!$J$22/2</f>
        <v/>
      </c>
      <c r="D265">
        <f>COUNTIFS(RawData!$C$2:$C$941,"MT",RawData!$O$2:$O$941,"&gt;="&amp;$B265,RawData!$O$2:$O$941,"&lt;"&amp;$C265,RawData!$O$2:$O$941,"&lt;&gt;0")</f>
        <v/>
      </c>
      <c r="E265">
        <f>IF(Config!$G$22=0,0,IF(ABS(($A265-Config!$F$22)/Config!$G$22)&lt;=2,$D265,0))</f>
        <v/>
      </c>
      <c r="F265">
        <f>IF(Config!$G$22=0,0,IF(AND(ABS(($A265-Config!$F$22)/Config!$G$22)&gt;2,ABS(($A265-Config!$F$22)/Config!$G$22)&lt;=3),$D265,0))</f>
        <v/>
      </c>
      <c r="G265">
        <f>IF(Config!$G$22=0,0,IF(ABS(($A265-Config!$F$22)/Config!$G$22)&gt;3,$D265,0))</f>
        <v/>
      </c>
      <c r="H265">
        <f>IFERROR(NORM.DIST($A265,Config!$F$22,Config!$G$22,FALSE)*Config!$D$22*Config!$J$22,0)</f>
        <v/>
      </c>
    </row>
    <row r="266">
      <c r="A266" s="6">
        <f>Config!$K$22+8*Config!$J$22+Config!$J$22/2</f>
        <v/>
      </c>
      <c r="B266" s="6">
        <f>$A266-Config!$J$22/2</f>
        <v/>
      </c>
      <c r="C266" s="6">
        <f>$A266+Config!$J$22/2</f>
        <v/>
      </c>
      <c r="D266" s="6">
        <f>COUNTIFS(RawData!$C$2:$C$941,"MT",RawData!$O$2:$O$941,"&gt;="&amp;$B266,RawData!$O$2:$O$941,"&lt;"&amp;$C266,RawData!$O$2:$O$941,"&lt;&gt;0")</f>
        <v/>
      </c>
      <c r="E266" s="6">
        <f>IF(Config!$G$22=0,0,IF(ABS(($A266-Config!$F$22)/Config!$G$22)&lt;=2,$D266,0))</f>
        <v/>
      </c>
      <c r="F266" s="6">
        <f>IF(Config!$G$22=0,0,IF(AND(ABS(($A266-Config!$F$22)/Config!$G$22)&gt;2,ABS(($A266-Config!$F$22)/Config!$G$22)&lt;=3),$D266,0))</f>
        <v/>
      </c>
      <c r="G266" s="6">
        <f>IF(Config!$G$22=0,0,IF(ABS(($A266-Config!$F$22)/Config!$G$22)&gt;3,$D266,0))</f>
        <v/>
      </c>
      <c r="H266" s="6">
        <f>IFERROR(NORM.DIST($A266,Config!$F$22,Config!$G$22,FALSE)*Config!$D$22*Config!$J$22,0)</f>
        <v/>
      </c>
    </row>
    <row r="267">
      <c r="A267">
        <f>Config!$K$22+9*Config!$J$22+Config!$J$22/2</f>
        <v/>
      </c>
      <c r="B267">
        <f>$A267-Config!$J$22/2</f>
        <v/>
      </c>
      <c r="C267">
        <f>$A267+Config!$J$22/2</f>
        <v/>
      </c>
      <c r="D267">
        <f>COUNTIFS(RawData!$C$2:$C$941,"MT",RawData!$O$2:$O$941,"&gt;="&amp;$B267,RawData!$O$2:$O$941,"&lt;"&amp;$C267,RawData!$O$2:$O$941,"&lt;&gt;0")</f>
        <v/>
      </c>
      <c r="E267">
        <f>IF(Config!$G$22=0,0,IF(ABS(($A267-Config!$F$22)/Config!$G$22)&lt;=2,$D267,0))</f>
        <v/>
      </c>
      <c r="F267">
        <f>IF(Config!$G$22=0,0,IF(AND(ABS(($A267-Config!$F$22)/Config!$G$22)&gt;2,ABS(($A267-Config!$F$22)/Config!$G$22)&lt;=3),$D267,0))</f>
        <v/>
      </c>
      <c r="G267">
        <f>IF(Config!$G$22=0,0,IF(ABS(($A267-Config!$F$22)/Config!$G$22)&gt;3,$D267,0))</f>
        <v/>
      </c>
      <c r="H267">
        <f>IFERROR(NORM.DIST($A267,Config!$F$22,Config!$G$22,FALSE)*Config!$D$22*Config!$J$22,0)</f>
        <v/>
      </c>
    </row>
    <row r="268">
      <c r="A268" s="6">
        <f>Config!$K$22+10*Config!$J$22+Config!$J$22/2</f>
        <v/>
      </c>
      <c r="B268" s="6">
        <f>$A268-Config!$J$22/2</f>
        <v/>
      </c>
      <c r="C268" s="6">
        <f>$A268+Config!$J$22/2</f>
        <v/>
      </c>
      <c r="D268" s="6">
        <f>COUNTIFS(RawData!$C$2:$C$941,"MT",RawData!$O$2:$O$941,"&gt;="&amp;$B268,RawData!$O$2:$O$941,"&lt;"&amp;$C268,RawData!$O$2:$O$941,"&lt;&gt;0")</f>
        <v/>
      </c>
      <c r="E268" s="6">
        <f>IF(Config!$G$22=0,0,IF(ABS(($A268-Config!$F$22)/Config!$G$22)&lt;=2,$D268,0))</f>
        <v/>
      </c>
      <c r="F268" s="6">
        <f>IF(Config!$G$22=0,0,IF(AND(ABS(($A268-Config!$F$22)/Config!$G$22)&gt;2,ABS(($A268-Config!$F$22)/Config!$G$22)&lt;=3),$D268,0))</f>
        <v/>
      </c>
      <c r="G268" s="6">
        <f>IF(Config!$G$22=0,0,IF(ABS(($A268-Config!$F$22)/Config!$G$22)&gt;3,$D268,0))</f>
        <v/>
      </c>
      <c r="H268" s="6">
        <f>IFERROR(NORM.DIST($A268,Config!$F$22,Config!$G$22,FALSE)*Config!$D$22*Config!$J$22,0)</f>
        <v/>
      </c>
    </row>
    <row r="269">
      <c r="A269">
        <f>Config!$K$22+11*Config!$J$22+Config!$J$22/2</f>
        <v/>
      </c>
      <c r="B269">
        <f>$A269-Config!$J$22/2</f>
        <v/>
      </c>
      <c r="C269">
        <f>$A269+Config!$J$22/2</f>
        <v/>
      </c>
      <c r="D269">
        <f>COUNTIFS(RawData!$C$2:$C$941,"MT",RawData!$O$2:$O$941,"&gt;="&amp;$B269,RawData!$O$2:$O$941,"&lt;"&amp;$C269,RawData!$O$2:$O$941,"&lt;&gt;0")</f>
        <v/>
      </c>
      <c r="E269">
        <f>IF(Config!$G$22=0,0,IF(ABS(($A269-Config!$F$22)/Config!$G$22)&lt;=2,$D269,0))</f>
        <v/>
      </c>
      <c r="F269">
        <f>IF(Config!$G$22=0,0,IF(AND(ABS(($A269-Config!$F$22)/Config!$G$22)&gt;2,ABS(($A269-Config!$F$22)/Config!$G$22)&lt;=3),$D269,0))</f>
        <v/>
      </c>
      <c r="G269">
        <f>IF(Config!$G$22=0,0,IF(ABS(($A269-Config!$F$22)/Config!$G$22)&gt;3,$D269,0))</f>
        <v/>
      </c>
      <c r="H269">
        <f>IFERROR(NORM.DIST($A269,Config!$F$22,Config!$G$22,FALSE)*Config!$D$22*Config!$J$22,0)</f>
        <v/>
      </c>
    </row>
    <row r="270">
      <c r="A270" s="6">
        <f>Config!$K$22+12*Config!$J$22+Config!$J$22/2</f>
        <v/>
      </c>
      <c r="B270" s="6">
        <f>$A270-Config!$J$22/2</f>
        <v/>
      </c>
      <c r="C270" s="6">
        <f>$A270+Config!$J$22/2</f>
        <v/>
      </c>
      <c r="D270" s="6">
        <f>COUNTIFS(RawData!$C$2:$C$941,"MT",RawData!$O$2:$O$941,"&gt;="&amp;$B270,RawData!$O$2:$O$941,"&lt;"&amp;$C270,RawData!$O$2:$O$941,"&lt;&gt;0")</f>
        <v/>
      </c>
      <c r="E270" s="6">
        <f>IF(Config!$G$22=0,0,IF(ABS(($A270-Config!$F$22)/Config!$G$22)&lt;=2,$D270,0))</f>
        <v/>
      </c>
      <c r="F270" s="6">
        <f>IF(Config!$G$22=0,0,IF(AND(ABS(($A270-Config!$F$22)/Config!$G$22)&gt;2,ABS(($A270-Config!$F$22)/Config!$G$22)&lt;=3),$D270,0))</f>
        <v/>
      </c>
      <c r="G270" s="6">
        <f>IF(Config!$G$22=0,0,IF(ABS(($A270-Config!$F$22)/Config!$G$22)&gt;3,$D270,0))</f>
        <v/>
      </c>
      <c r="H270" s="6">
        <f>IFERROR(NORM.DIST($A270,Config!$F$22,Config!$G$22,FALSE)*Config!$D$22*Config!$J$22,0)</f>
        <v/>
      </c>
    </row>
    <row r="271">
      <c r="A271">
        <f>Config!$K$22+13*Config!$J$22+Config!$J$22/2</f>
        <v/>
      </c>
      <c r="B271">
        <f>$A271-Config!$J$22/2</f>
        <v/>
      </c>
      <c r="C271">
        <f>$A271+Config!$J$22/2</f>
        <v/>
      </c>
      <c r="D271">
        <f>COUNTIFS(RawData!$C$2:$C$941,"MT",RawData!$O$2:$O$941,"&gt;="&amp;$B271,RawData!$O$2:$O$941,"&lt;"&amp;$C271,RawData!$O$2:$O$941,"&lt;&gt;0")</f>
        <v/>
      </c>
      <c r="E271">
        <f>IF(Config!$G$22=0,0,IF(ABS(($A271-Config!$F$22)/Config!$G$22)&lt;=2,$D271,0))</f>
        <v/>
      </c>
      <c r="F271">
        <f>IF(Config!$G$22=0,0,IF(AND(ABS(($A271-Config!$F$22)/Config!$G$22)&gt;2,ABS(($A271-Config!$F$22)/Config!$G$22)&lt;=3),$D271,0))</f>
        <v/>
      </c>
      <c r="G271">
        <f>IF(Config!$G$22=0,0,IF(ABS(($A271-Config!$F$22)/Config!$G$22)&gt;3,$D271,0))</f>
        <v/>
      </c>
      <c r="H271">
        <f>IFERROR(NORM.DIST($A271,Config!$F$22,Config!$G$22,FALSE)*Config!$D$22*Config!$J$22,0)</f>
        <v/>
      </c>
    </row>
    <row r="272">
      <c r="A272" s="6">
        <f>Config!$K$22+14*Config!$J$22+Config!$J$22/2</f>
        <v/>
      </c>
      <c r="B272" s="6">
        <f>$A272-Config!$J$22/2</f>
        <v/>
      </c>
      <c r="C272" s="6">
        <f>$A272+Config!$J$22/2</f>
        <v/>
      </c>
      <c r="D272" s="6">
        <f>COUNTIFS(RawData!$C$2:$C$941,"MT",RawData!$O$2:$O$941,"&gt;="&amp;$B272,RawData!$O$2:$O$941,"&lt;"&amp;$C272,RawData!$O$2:$O$941,"&lt;&gt;0")</f>
        <v/>
      </c>
      <c r="E272" s="6">
        <f>IF(Config!$G$22=0,0,IF(ABS(($A272-Config!$F$22)/Config!$G$22)&lt;=2,$D272,0))</f>
        <v/>
      </c>
      <c r="F272" s="6">
        <f>IF(Config!$G$22=0,0,IF(AND(ABS(($A272-Config!$F$22)/Config!$G$22)&gt;2,ABS(($A272-Config!$F$22)/Config!$G$22)&lt;=3),$D272,0))</f>
        <v/>
      </c>
      <c r="G272" s="6">
        <f>IF(Config!$G$22=0,0,IF(ABS(($A272-Config!$F$22)/Config!$G$22)&gt;3,$D272,0))</f>
        <v/>
      </c>
      <c r="H272" s="6">
        <f>IFERROR(NORM.DIST($A272,Config!$F$22,Config!$G$22,FALSE)*Config!$D$22*Config!$J$22,0)</f>
        <v/>
      </c>
    </row>
    <row r="273">
      <c r="A273">
        <f>Config!$K$22+15*Config!$J$22+Config!$J$22/2</f>
        <v/>
      </c>
      <c r="B273">
        <f>$A273-Config!$J$22/2</f>
        <v/>
      </c>
      <c r="C273">
        <f>$A273+Config!$J$22/2</f>
        <v/>
      </c>
      <c r="D273">
        <f>COUNTIFS(RawData!$C$2:$C$941,"MT",RawData!$O$2:$O$941,"&gt;="&amp;$B273,RawData!$O$2:$O$941,"&lt;"&amp;$C273,RawData!$O$2:$O$941,"&lt;&gt;0")</f>
        <v/>
      </c>
      <c r="E273">
        <f>IF(Config!$G$22=0,0,IF(ABS(($A273-Config!$F$22)/Config!$G$22)&lt;=2,$D273,0))</f>
        <v/>
      </c>
      <c r="F273">
        <f>IF(Config!$G$22=0,0,IF(AND(ABS(($A273-Config!$F$22)/Config!$G$22)&gt;2,ABS(($A273-Config!$F$22)/Config!$G$22)&lt;=3),$D273,0))</f>
        <v/>
      </c>
      <c r="G273">
        <f>IF(Config!$G$22=0,0,IF(ABS(($A273-Config!$F$22)/Config!$G$22)&gt;3,$D273,0))</f>
        <v/>
      </c>
      <c r="H273">
        <f>IFERROR(NORM.DIST($A273,Config!$F$22,Config!$G$22,FALSE)*Config!$D$22*Config!$J$22,0)</f>
        <v/>
      </c>
    </row>
    <row r="274">
      <c r="A274" s="6">
        <f>Config!$K$22+16*Config!$J$22+Config!$J$22/2</f>
        <v/>
      </c>
      <c r="B274" s="6">
        <f>$A274-Config!$J$22/2</f>
        <v/>
      </c>
      <c r="C274" s="6">
        <f>$A274+Config!$J$22/2</f>
        <v/>
      </c>
      <c r="D274" s="6">
        <f>COUNTIFS(RawData!$C$2:$C$941,"MT",RawData!$O$2:$O$941,"&gt;="&amp;$B274,RawData!$O$2:$O$941,"&lt;"&amp;$C274,RawData!$O$2:$O$941,"&lt;&gt;0")</f>
        <v/>
      </c>
      <c r="E274" s="6">
        <f>IF(Config!$G$22=0,0,IF(ABS(($A274-Config!$F$22)/Config!$G$22)&lt;=2,$D274,0))</f>
        <v/>
      </c>
      <c r="F274" s="6">
        <f>IF(Config!$G$22=0,0,IF(AND(ABS(($A274-Config!$F$22)/Config!$G$22)&gt;2,ABS(($A274-Config!$F$22)/Config!$G$22)&lt;=3),$D274,0))</f>
        <v/>
      </c>
      <c r="G274" s="6">
        <f>IF(Config!$G$22=0,0,IF(ABS(($A274-Config!$F$22)/Config!$G$22)&gt;3,$D274,0))</f>
        <v/>
      </c>
      <c r="H274" s="6">
        <f>IFERROR(NORM.DIST($A274,Config!$F$22,Config!$G$22,FALSE)*Config!$D$22*Config!$J$22,0)</f>
        <v/>
      </c>
    </row>
    <row r="275">
      <c r="A275">
        <f>Config!$K$22+17*Config!$J$22+Config!$J$22/2</f>
        <v/>
      </c>
      <c r="B275">
        <f>$A275-Config!$J$22/2</f>
        <v/>
      </c>
      <c r="C275">
        <f>$A275+Config!$J$22/2</f>
        <v/>
      </c>
      <c r="D275">
        <f>COUNTIFS(RawData!$C$2:$C$941,"MT",RawData!$O$2:$O$941,"&gt;="&amp;$B275,RawData!$O$2:$O$941,"&lt;"&amp;$C275,RawData!$O$2:$O$941,"&lt;&gt;0")</f>
        <v/>
      </c>
      <c r="E275">
        <f>IF(Config!$G$22=0,0,IF(ABS(($A275-Config!$F$22)/Config!$G$22)&lt;=2,$D275,0))</f>
        <v/>
      </c>
      <c r="F275">
        <f>IF(Config!$G$22=0,0,IF(AND(ABS(($A275-Config!$F$22)/Config!$G$22)&gt;2,ABS(($A275-Config!$F$22)/Config!$G$22)&lt;=3),$D275,0))</f>
        <v/>
      </c>
      <c r="G275">
        <f>IF(Config!$G$22=0,0,IF(ABS(($A275-Config!$F$22)/Config!$G$22)&gt;3,$D275,0))</f>
        <v/>
      </c>
      <c r="H275">
        <f>IFERROR(NORM.DIST($A275,Config!$F$22,Config!$G$22,FALSE)*Config!$D$22*Config!$J$22,0)</f>
        <v/>
      </c>
    </row>
    <row r="276">
      <c r="A276" s="6">
        <f>Config!$K$22+18*Config!$J$22+Config!$J$22/2</f>
        <v/>
      </c>
      <c r="B276" s="6">
        <f>$A276-Config!$J$22/2</f>
        <v/>
      </c>
      <c r="C276" s="6">
        <f>$A276+Config!$J$22/2</f>
        <v/>
      </c>
      <c r="D276" s="6">
        <f>COUNTIFS(RawData!$C$2:$C$941,"MT",RawData!$O$2:$O$941,"&gt;="&amp;$B276,RawData!$O$2:$O$941,"&lt;"&amp;$C276,RawData!$O$2:$O$941,"&lt;&gt;0")</f>
        <v/>
      </c>
      <c r="E276" s="6">
        <f>IF(Config!$G$22=0,0,IF(ABS(($A276-Config!$F$22)/Config!$G$22)&lt;=2,$D276,0))</f>
        <v/>
      </c>
      <c r="F276" s="6">
        <f>IF(Config!$G$22=0,0,IF(AND(ABS(($A276-Config!$F$22)/Config!$G$22)&gt;2,ABS(($A276-Config!$F$22)/Config!$G$22)&lt;=3),$D276,0))</f>
        <v/>
      </c>
      <c r="G276" s="6">
        <f>IF(Config!$G$22=0,0,IF(ABS(($A276-Config!$F$22)/Config!$G$22)&gt;3,$D276,0))</f>
        <v/>
      </c>
      <c r="H276" s="6">
        <f>IFERROR(NORM.DIST($A276,Config!$F$22,Config!$G$22,FALSE)*Config!$D$22*Config!$J$22,0)</f>
        <v/>
      </c>
    </row>
    <row r="277">
      <c r="A277">
        <f>Config!$K$22+19*Config!$J$22+Config!$J$22/2</f>
        <v/>
      </c>
      <c r="B277">
        <f>$A277-Config!$J$22/2</f>
        <v/>
      </c>
      <c r="C277">
        <f>$A277+Config!$J$22/2</f>
        <v/>
      </c>
      <c r="D277">
        <f>COUNTIFS(RawData!$C$2:$C$941,"MT",RawData!$O$2:$O$941,"&gt;="&amp;$B277,RawData!$O$2:$O$941,"&lt;"&amp;$C277,RawData!$O$2:$O$941,"&lt;&gt;0")</f>
        <v/>
      </c>
      <c r="E277">
        <f>IF(Config!$G$22=0,0,IF(ABS(($A277-Config!$F$22)/Config!$G$22)&lt;=2,$D277,0))</f>
        <v/>
      </c>
      <c r="F277">
        <f>IF(Config!$G$22=0,0,IF(AND(ABS(($A277-Config!$F$22)/Config!$G$22)&gt;2,ABS(($A277-Config!$F$22)/Config!$G$22)&lt;=3),$D277,0))</f>
        <v/>
      </c>
      <c r="G277">
        <f>IF(Config!$G$22=0,0,IF(ABS(($A277-Config!$F$22)/Config!$G$22)&gt;3,$D277,0))</f>
        <v/>
      </c>
      <c r="H277">
        <f>IFERROR(NORM.DIST($A277,Config!$F$22,Config!$G$22,FALSE)*Config!$D$22*Config!$J$22,0)</f>
        <v/>
      </c>
    </row>
    <row r="278">
      <c r="A278" s="6">
        <f>Config!$K$22+20*Config!$J$22+Config!$J$22/2</f>
        <v/>
      </c>
      <c r="B278" s="6">
        <f>$A278-Config!$J$22/2</f>
        <v/>
      </c>
      <c r="C278" s="6">
        <f>$A278+Config!$J$22/2</f>
        <v/>
      </c>
      <c r="D278" s="6">
        <f>COUNTIFS(RawData!$C$2:$C$941,"MT",RawData!$O$2:$O$941,"&gt;="&amp;$B278,RawData!$O$2:$O$941,"&lt;"&amp;$C278,RawData!$O$2:$O$941,"&lt;&gt;0")</f>
        <v/>
      </c>
      <c r="E278" s="6">
        <f>IF(Config!$G$22=0,0,IF(ABS(($A278-Config!$F$22)/Config!$G$22)&lt;=2,$D278,0))</f>
        <v/>
      </c>
      <c r="F278" s="6">
        <f>IF(Config!$G$22=0,0,IF(AND(ABS(($A278-Config!$F$22)/Config!$G$22)&gt;2,ABS(($A278-Config!$F$22)/Config!$G$22)&lt;=3),$D278,0))</f>
        <v/>
      </c>
      <c r="G278" s="6">
        <f>IF(Config!$G$22=0,0,IF(ABS(($A278-Config!$F$22)/Config!$G$22)&gt;3,$D278,0))</f>
        <v/>
      </c>
      <c r="H278" s="6">
        <f>IFERROR(NORM.DIST($A278,Config!$F$22,Config!$G$22,FALSE)*Config!$D$22*Config!$J$22,0)</f>
        <v/>
      </c>
    </row>
    <row r="279">
      <c r="A279">
        <f>Config!$K$22+21*Config!$J$22+Config!$J$22/2</f>
        <v/>
      </c>
      <c r="B279">
        <f>$A279-Config!$J$22/2</f>
        <v/>
      </c>
      <c r="C279">
        <f>$A279+Config!$J$22/2</f>
        <v/>
      </c>
      <c r="D279">
        <f>COUNTIFS(RawData!$C$2:$C$941,"MT",RawData!$O$2:$O$941,"&gt;="&amp;$B279,RawData!$O$2:$O$941,"&lt;"&amp;$C279,RawData!$O$2:$O$941,"&lt;&gt;0")</f>
        <v/>
      </c>
      <c r="E279">
        <f>IF(Config!$G$22=0,0,IF(ABS(($A279-Config!$F$22)/Config!$G$22)&lt;=2,$D279,0))</f>
        <v/>
      </c>
      <c r="F279">
        <f>IF(Config!$G$22=0,0,IF(AND(ABS(($A279-Config!$F$22)/Config!$G$22)&gt;2,ABS(($A279-Config!$F$22)/Config!$G$22)&lt;=3),$D279,0))</f>
        <v/>
      </c>
      <c r="G279">
        <f>IF(Config!$G$22=0,0,IF(ABS(($A279-Config!$F$22)/Config!$G$22)&gt;3,$D279,0))</f>
        <v/>
      </c>
      <c r="H279">
        <f>IFERROR(NORM.DIST($A279,Config!$F$22,Config!$G$22,FALSE)*Config!$D$22*Config!$J$22,0)</f>
        <v/>
      </c>
    </row>
    <row r="280">
      <c r="A280" s="6">
        <f>Config!$K$22+22*Config!$J$22+Config!$J$22/2</f>
        <v/>
      </c>
      <c r="B280" s="6">
        <f>$A280-Config!$J$22/2</f>
        <v/>
      </c>
      <c r="C280" s="6">
        <f>$A280+Config!$J$22/2</f>
        <v/>
      </c>
      <c r="D280" s="6">
        <f>COUNTIFS(RawData!$C$2:$C$941,"MT",RawData!$O$2:$O$941,"&gt;="&amp;$B280,RawData!$O$2:$O$941,"&lt;"&amp;$C280,RawData!$O$2:$O$941,"&lt;&gt;0")</f>
        <v/>
      </c>
      <c r="E280" s="6">
        <f>IF(Config!$G$22=0,0,IF(ABS(($A280-Config!$F$22)/Config!$G$22)&lt;=2,$D280,0))</f>
        <v/>
      </c>
      <c r="F280" s="6">
        <f>IF(Config!$G$22=0,0,IF(AND(ABS(($A280-Config!$F$22)/Config!$G$22)&gt;2,ABS(($A280-Config!$F$22)/Config!$G$22)&lt;=3),$D280,0))</f>
        <v/>
      </c>
      <c r="G280" s="6">
        <f>IF(Config!$G$22=0,0,IF(ABS(($A280-Config!$F$22)/Config!$G$22)&gt;3,$D280,0))</f>
        <v/>
      </c>
      <c r="H280" s="6">
        <f>IFERROR(NORM.DIST($A280,Config!$F$22,Config!$G$22,FALSE)*Config!$D$22*Config!$J$22,0)</f>
        <v/>
      </c>
    </row>
    <row r="281">
      <c r="A281">
        <f>Config!$K$22+23*Config!$J$22+Config!$J$22/2</f>
        <v/>
      </c>
      <c r="B281">
        <f>$A281-Config!$J$22/2</f>
        <v/>
      </c>
      <c r="C281">
        <f>$A281+Config!$J$22/2</f>
        <v/>
      </c>
      <c r="D281">
        <f>COUNTIFS(RawData!$C$2:$C$941,"MT",RawData!$O$2:$O$941,"&gt;="&amp;$B281,RawData!$O$2:$O$941,"&lt;"&amp;$C281,RawData!$O$2:$O$941,"&lt;&gt;0")</f>
        <v/>
      </c>
      <c r="E281">
        <f>IF(Config!$G$22=0,0,IF(ABS(($A281-Config!$F$22)/Config!$G$22)&lt;=2,$D281,0))</f>
        <v/>
      </c>
      <c r="F281">
        <f>IF(Config!$G$22=0,0,IF(AND(ABS(($A281-Config!$F$22)/Config!$G$22)&gt;2,ABS(($A281-Config!$F$22)/Config!$G$22)&lt;=3),$D281,0))</f>
        <v/>
      </c>
      <c r="G281">
        <f>IF(Config!$G$22=0,0,IF(ABS(($A281-Config!$F$22)/Config!$G$22)&gt;3,$D281,0))</f>
        <v/>
      </c>
      <c r="H281">
        <f>IFERROR(NORM.DIST($A281,Config!$F$22,Config!$G$22,FALSE)*Config!$D$22*Config!$J$22,0)</f>
        <v/>
      </c>
    </row>
    <row r="282">
      <c r="A282" s="6">
        <f>Config!$K$22+24*Config!$J$22+Config!$J$22/2</f>
        <v/>
      </c>
      <c r="B282" s="6">
        <f>$A282-Config!$J$22/2</f>
        <v/>
      </c>
      <c r="C282" s="6">
        <f>$A282+Config!$J$22/2</f>
        <v/>
      </c>
      <c r="D282" s="6">
        <f>COUNTIFS(RawData!$C$2:$C$941,"MT",RawData!$O$2:$O$941,"&gt;="&amp;$B282,RawData!$O$2:$O$941,"&lt;"&amp;$C282,RawData!$O$2:$O$941,"&lt;&gt;0")</f>
        <v/>
      </c>
      <c r="E282" s="6">
        <f>IF(Config!$G$22=0,0,IF(ABS(($A282-Config!$F$22)/Config!$G$22)&lt;=2,$D282,0))</f>
        <v/>
      </c>
      <c r="F282" s="6">
        <f>IF(Config!$G$22=0,0,IF(AND(ABS(($A282-Config!$F$22)/Config!$G$22)&gt;2,ABS(($A282-Config!$F$22)/Config!$G$22)&lt;=3),$D282,0))</f>
        <v/>
      </c>
      <c r="G282" s="6">
        <f>IF(Config!$G$22=0,0,IF(ABS(($A282-Config!$F$22)/Config!$G$22)&gt;3,$D282,0))</f>
        <v/>
      </c>
      <c r="H282" s="6">
        <f>IFERROR(NORM.DIST($A282,Config!$F$22,Config!$G$22,FALSE)*Config!$D$22*Config!$J$22,0)</f>
        <v/>
      </c>
    </row>
    <row r="283">
      <c r="A283">
        <f>Config!$K$22+25*Config!$J$22+Config!$J$22/2</f>
        <v/>
      </c>
      <c r="B283">
        <f>$A283-Config!$J$22/2</f>
        <v/>
      </c>
      <c r="C283">
        <f>$A283+Config!$J$22/2</f>
        <v/>
      </c>
      <c r="D283">
        <f>COUNTIFS(RawData!$C$2:$C$941,"MT",RawData!$O$2:$O$941,"&gt;="&amp;$B283,RawData!$O$2:$O$941,"&lt;"&amp;$C283,RawData!$O$2:$O$941,"&lt;&gt;0")</f>
        <v/>
      </c>
      <c r="E283">
        <f>IF(Config!$G$22=0,0,IF(ABS(($A283-Config!$F$22)/Config!$G$22)&lt;=2,$D283,0))</f>
        <v/>
      </c>
      <c r="F283">
        <f>IF(Config!$G$22=0,0,IF(AND(ABS(($A283-Config!$F$22)/Config!$G$22)&gt;2,ABS(($A283-Config!$F$22)/Config!$G$22)&lt;=3),$D283,0))</f>
        <v/>
      </c>
      <c r="G283">
        <f>IF(Config!$G$22=0,0,IF(ABS(($A283-Config!$F$22)/Config!$G$22)&gt;3,$D283,0))</f>
        <v/>
      </c>
      <c r="H283">
        <f>IFERROR(NORM.DIST($A283,Config!$F$22,Config!$G$22,FALSE)*Config!$D$22*Config!$J$22,0)</f>
        <v/>
      </c>
    </row>
    <row r="284">
      <c r="A284" s="6">
        <f>Config!$K$22+26*Config!$J$22+Config!$J$22/2</f>
        <v/>
      </c>
      <c r="B284" s="6">
        <f>$A284-Config!$J$22/2</f>
        <v/>
      </c>
      <c r="C284" s="6">
        <f>$A284+Config!$J$22/2</f>
        <v/>
      </c>
      <c r="D284" s="6">
        <f>COUNTIFS(RawData!$C$2:$C$941,"MT",RawData!$O$2:$O$941,"&gt;="&amp;$B284,RawData!$O$2:$O$941,"&lt;"&amp;$C284,RawData!$O$2:$O$941,"&lt;&gt;0")</f>
        <v/>
      </c>
      <c r="E284" s="6">
        <f>IF(Config!$G$22=0,0,IF(ABS(($A284-Config!$F$22)/Config!$G$22)&lt;=2,$D284,0))</f>
        <v/>
      </c>
      <c r="F284" s="6">
        <f>IF(Config!$G$22=0,0,IF(AND(ABS(($A284-Config!$F$22)/Config!$G$22)&gt;2,ABS(($A284-Config!$F$22)/Config!$G$22)&lt;=3),$D284,0))</f>
        <v/>
      </c>
      <c r="G284" s="6">
        <f>IF(Config!$G$22=0,0,IF(ABS(($A284-Config!$F$22)/Config!$G$22)&gt;3,$D284,0))</f>
        <v/>
      </c>
      <c r="H284" s="6">
        <f>IFERROR(NORM.DIST($A284,Config!$F$22,Config!$G$22,FALSE)*Config!$D$22*Config!$J$22,0)</f>
        <v/>
      </c>
    </row>
    <row r="285">
      <c r="A285">
        <f>Config!$K$22+27*Config!$J$22+Config!$J$22/2</f>
        <v/>
      </c>
      <c r="B285">
        <f>$A285-Config!$J$22/2</f>
        <v/>
      </c>
      <c r="C285">
        <f>$A285+Config!$J$22/2</f>
        <v/>
      </c>
      <c r="D285">
        <f>COUNTIFS(RawData!$C$2:$C$941,"MT",RawData!$O$2:$O$941,"&gt;="&amp;$B285,RawData!$O$2:$O$941,"&lt;"&amp;$C285,RawData!$O$2:$O$941,"&lt;&gt;0")</f>
        <v/>
      </c>
      <c r="E285">
        <f>IF(Config!$G$22=0,0,IF(ABS(($A285-Config!$F$22)/Config!$G$22)&lt;=2,$D285,0))</f>
        <v/>
      </c>
      <c r="F285">
        <f>IF(Config!$G$22=0,0,IF(AND(ABS(($A285-Config!$F$22)/Config!$G$22)&gt;2,ABS(($A285-Config!$F$22)/Config!$G$22)&lt;=3),$D285,0))</f>
        <v/>
      </c>
      <c r="G285">
        <f>IF(Config!$G$22=0,0,IF(ABS(($A285-Config!$F$22)/Config!$G$22)&gt;3,$D285,0))</f>
        <v/>
      </c>
      <c r="H285">
        <f>IFERROR(NORM.DIST($A285,Config!$F$22,Config!$G$22,FALSE)*Config!$D$22*Config!$J$22,0)</f>
        <v/>
      </c>
    </row>
    <row r="286">
      <c r="A286" s="6">
        <f>Config!$K$22+28*Config!$J$22+Config!$J$22/2</f>
        <v/>
      </c>
      <c r="B286" s="6">
        <f>$A286-Config!$J$22/2</f>
        <v/>
      </c>
      <c r="C286" s="6">
        <f>$A286+Config!$J$22/2</f>
        <v/>
      </c>
      <c r="D286" s="6">
        <f>COUNTIFS(RawData!$C$2:$C$941,"MT",RawData!$O$2:$O$941,"&gt;="&amp;$B286,RawData!$O$2:$O$941,"&lt;"&amp;$C286,RawData!$O$2:$O$941,"&lt;&gt;0")</f>
        <v/>
      </c>
      <c r="E286" s="6">
        <f>IF(Config!$G$22=0,0,IF(ABS(($A286-Config!$F$22)/Config!$G$22)&lt;=2,$D286,0))</f>
        <v/>
      </c>
      <c r="F286" s="6">
        <f>IF(Config!$G$22=0,0,IF(AND(ABS(($A286-Config!$F$22)/Config!$G$22)&gt;2,ABS(($A286-Config!$F$22)/Config!$G$22)&lt;=3),$D286,0))</f>
        <v/>
      </c>
      <c r="G286" s="6">
        <f>IF(Config!$G$22=0,0,IF(ABS(($A286-Config!$F$22)/Config!$G$22)&gt;3,$D286,0))</f>
        <v/>
      </c>
      <c r="H286" s="6">
        <f>IFERROR(NORM.DIST($A286,Config!$F$22,Config!$G$22,FALSE)*Config!$D$22*Config!$J$22,0)</f>
        <v/>
      </c>
    </row>
    <row r="287">
      <c r="A287">
        <f>Config!$K$22+29*Config!$J$22+Config!$J$22/2</f>
        <v/>
      </c>
      <c r="B287">
        <f>$A287-Config!$J$22/2</f>
        <v/>
      </c>
      <c r="C287">
        <f>$A287+Config!$J$22/2</f>
        <v/>
      </c>
      <c r="D287">
        <f>COUNTIFS(RawData!$C$2:$C$941,"MT",RawData!$O$2:$O$941,"&gt;="&amp;$B287,RawData!$O$2:$O$941,"&lt;"&amp;$C287,RawData!$O$2:$O$941,"&lt;&gt;0")</f>
        <v/>
      </c>
      <c r="E287">
        <f>IF(Config!$G$22=0,0,IF(ABS(($A287-Config!$F$22)/Config!$G$22)&lt;=2,$D287,0))</f>
        <v/>
      </c>
      <c r="F287">
        <f>IF(Config!$G$22=0,0,IF(AND(ABS(($A287-Config!$F$22)/Config!$G$22)&gt;2,ABS(($A287-Config!$F$22)/Config!$G$22)&lt;=3),$D287,0))</f>
        <v/>
      </c>
      <c r="G287">
        <f>IF(Config!$G$22=0,0,IF(ABS(($A287-Config!$F$22)/Config!$G$22)&gt;3,$D287,0))</f>
        <v/>
      </c>
      <c r="H287">
        <f>IFERROR(NORM.DIST($A287,Config!$F$22,Config!$G$22,FALSE)*Config!$D$22*Config!$J$22,0)</f>
        <v/>
      </c>
    </row>
    <row r="289">
      <c r="A289" s="5" t="inlineStr">
        <is>
          <t>BinCenter</t>
        </is>
      </c>
      <c r="B289" s="5" t="inlineStr">
        <is>
          <t>BinLo</t>
        </is>
      </c>
      <c r="C289" s="5" t="inlineStr">
        <is>
          <t>BinHi</t>
        </is>
      </c>
      <c r="D289" s="5" t="inlineStr">
        <is>
          <t>TotalCount</t>
        </is>
      </c>
      <c r="E289" s="5" t="inlineStr">
        <is>
          <t>Normal</t>
        </is>
      </c>
      <c r="F289" s="5" t="inlineStr">
        <is>
          <t>Warning(2-3s)</t>
        </is>
      </c>
      <c r="G289" s="5" t="inlineStr">
        <is>
          <t>Outlier(&gt;3s)</t>
        </is>
      </c>
      <c r="H289" s="5" t="inlineStr">
        <is>
          <t>CurveY</t>
        </is>
      </c>
    </row>
    <row r="290">
      <c r="A290" s="6">
        <f>Config!$K$23+0*Config!$J$23+Config!$J$23/2</f>
        <v/>
      </c>
      <c r="B290" s="6">
        <f>$A290-Config!$J$23/2</f>
        <v/>
      </c>
      <c r="C290" s="6">
        <f>$A290+Config!$J$23/2</f>
        <v/>
      </c>
      <c r="D290" s="6">
        <f>COUNTIFS(RawData!$C$2:$C$941,"MT",RawData!$P$2:$P$941,"&gt;="&amp;$B290,RawData!$P$2:$P$941,"&lt;"&amp;$C290,RawData!$P$2:$P$941,"&lt;&gt;0")</f>
        <v/>
      </c>
      <c r="E290" s="6">
        <f>IF(Config!$G$23=0,0,IF(ABS(($A290-Config!$F$23)/Config!$G$23)&lt;=2,$D290,0))</f>
        <v/>
      </c>
      <c r="F290" s="6">
        <f>IF(Config!$G$23=0,0,IF(AND(ABS(($A290-Config!$F$23)/Config!$G$23)&gt;2,ABS(($A290-Config!$F$23)/Config!$G$23)&lt;=3),$D290,0))</f>
        <v/>
      </c>
      <c r="G290" s="6">
        <f>IF(Config!$G$23=0,0,IF(ABS(($A290-Config!$F$23)/Config!$G$23)&gt;3,$D290,0))</f>
        <v/>
      </c>
      <c r="H290" s="6">
        <f>IFERROR(NORM.DIST($A290,Config!$F$23,Config!$G$23,FALSE)*Config!$D$23*Config!$J$23,0)</f>
        <v/>
      </c>
    </row>
    <row r="291">
      <c r="A291">
        <f>Config!$K$23+1*Config!$J$23+Config!$J$23/2</f>
        <v/>
      </c>
      <c r="B291">
        <f>$A291-Config!$J$23/2</f>
        <v/>
      </c>
      <c r="C291">
        <f>$A291+Config!$J$23/2</f>
        <v/>
      </c>
      <c r="D291">
        <f>COUNTIFS(RawData!$C$2:$C$941,"MT",RawData!$P$2:$P$941,"&gt;="&amp;$B291,RawData!$P$2:$P$941,"&lt;"&amp;$C291,RawData!$P$2:$P$941,"&lt;&gt;0")</f>
        <v/>
      </c>
      <c r="E291">
        <f>IF(Config!$G$23=0,0,IF(ABS(($A291-Config!$F$23)/Config!$G$23)&lt;=2,$D291,0))</f>
        <v/>
      </c>
      <c r="F291">
        <f>IF(Config!$G$23=0,0,IF(AND(ABS(($A291-Config!$F$23)/Config!$G$23)&gt;2,ABS(($A291-Config!$F$23)/Config!$G$23)&lt;=3),$D291,0))</f>
        <v/>
      </c>
      <c r="G291">
        <f>IF(Config!$G$23=0,0,IF(ABS(($A291-Config!$F$23)/Config!$G$23)&gt;3,$D291,0))</f>
        <v/>
      </c>
      <c r="H291">
        <f>IFERROR(NORM.DIST($A291,Config!$F$23,Config!$G$23,FALSE)*Config!$D$23*Config!$J$23,0)</f>
        <v/>
      </c>
    </row>
    <row r="292">
      <c r="A292" s="6">
        <f>Config!$K$23+2*Config!$J$23+Config!$J$23/2</f>
        <v/>
      </c>
      <c r="B292" s="6">
        <f>$A292-Config!$J$23/2</f>
        <v/>
      </c>
      <c r="C292" s="6">
        <f>$A292+Config!$J$23/2</f>
        <v/>
      </c>
      <c r="D292" s="6">
        <f>COUNTIFS(RawData!$C$2:$C$941,"MT",RawData!$P$2:$P$941,"&gt;="&amp;$B292,RawData!$P$2:$P$941,"&lt;"&amp;$C292,RawData!$P$2:$P$941,"&lt;&gt;0")</f>
        <v/>
      </c>
      <c r="E292" s="6">
        <f>IF(Config!$G$23=0,0,IF(ABS(($A292-Config!$F$23)/Config!$G$23)&lt;=2,$D292,0))</f>
        <v/>
      </c>
      <c r="F292" s="6">
        <f>IF(Config!$G$23=0,0,IF(AND(ABS(($A292-Config!$F$23)/Config!$G$23)&gt;2,ABS(($A292-Config!$F$23)/Config!$G$23)&lt;=3),$D292,0))</f>
        <v/>
      </c>
      <c r="G292" s="6">
        <f>IF(Config!$G$23=0,0,IF(ABS(($A292-Config!$F$23)/Config!$G$23)&gt;3,$D292,0))</f>
        <v/>
      </c>
      <c r="H292" s="6">
        <f>IFERROR(NORM.DIST($A292,Config!$F$23,Config!$G$23,FALSE)*Config!$D$23*Config!$J$23,0)</f>
        <v/>
      </c>
    </row>
    <row r="293">
      <c r="A293">
        <f>Config!$K$23+3*Config!$J$23+Config!$J$23/2</f>
        <v/>
      </c>
      <c r="B293">
        <f>$A293-Config!$J$23/2</f>
        <v/>
      </c>
      <c r="C293">
        <f>$A293+Config!$J$23/2</f>
        <v/>
      </c>
      <c r="D293">
        <f>COUNTIFS(RawData!$C$2:$C$941,"MT",RawData!$P$2:$P$941,"&gt;="&amp;$B293,RawData!$P$2:$P$941,"&lt;"&amp;$C293,RawData!$P$2:$P$941,"&lt;&gt;0")</f>
        <v/>
      </c>
      <c r="E293">
        <f>IF(Config!$G$23=0,0,IF(ABS(($A293-Config!$F$23)/Config!$G$23)&lt;=2,$D293,0))</f>
        <v/>
      </c>
      <c r="F293">
        <f>IF(Config!$G$23=0,0,IF(AND(ABS(($A293-Config!$F$23)/Config!$G$23)&gt;2,ABS(($A293-Config!$F$23)/Config!$G$23)&lt;=3),$D293,0))</f>
        <v/>
      </c>
      <c r="G293">
        <f>IF(Config!$G$23=0,0,IF(ABS(($A293-Config!$F$23)/Config!$G$23)&gt;3,$D293,0))</f>
        <v/>
      </c>
      <c r="H293">
        <f>IFERROR(NORM.DIST($A293,Config!$F$23,Config!$G$23,FALSE)*Config!$D$23*Config!$J$23,0)</f>
        <v/>
      </c>
    </row>
    <row r="294">
      <c r="A294" s="6">
        <f>Config!$K$23+4*Config!$J$23+Config!$J$23/2</f>
        <v/>
      </c>
      <c r="B294" s="6">
        <f>$A294-Config!$J$23/2</f>
        <v/>
      </c>
      <c r="C294" s="6">
        <f>$A294+Config!$J$23/2</f>
        <v/>
      </c>
      <c r="D294" s="6">
        <f>COUNTIFS(RawData!$C$2:$C$941,"MT",RawData!$P$2:$P$941,"&gt;="&amp;$B294,RawData!$P$2:$P$941,"&lt;"&amp;$C294,RawData!$P$2:$P$941,"&lt;&gt;0")</f>
        <v/>
      </c>
      <c r="E294" s="6">
        <f>IF(Config!$G$23=0,0,IF(ABS(($A294-Config!$F$23)/Config!$G$23)&lt;=2,$D294,0))</f>
        <v/>
      </c>
      <c r="F294" s="6">
        <f>IF(Config!$G$23=0,0,IF(AND(ABS(($A294-Config!$F$23)/Config!$G$23)&gt;2,ABS(($A294-Config!$F$23)/Config!$G$23)&lt;=3),$D294,0))</f>
        <v/>
      </c>
      <c r="G294" s="6">
        <f>IF(Config!$G$23=0,0,IF(ABS(($A294-Config!$F$23)/Config!$G$23)&gt;3,$D294,0))</f>
        <v/>
      </c>
      <c r="H294" s="6">
        <f>IFERROR(NORM.DIST($A294,Config!$F$23,Config!$G$23,FALSE)*Config!$D$23*Config!$J$23,0)</f>
        <v/>
      </c>
    </row>
    <row r="295">
      <c r="A295">
        <f>Config!$K$23+5*Config!$J$23+Config!$J$23/2</f>
        <v/>
      </c>
      <c r="B295">
        <f>$A295-Config!$J$23/2</f>
        <v/>
      </c>
      <c r="C295">
        <f>$A295+Config!$J$23/2</f>
        <v/>
      </c>
      <c r="D295">
        <f>COUNTIFS(RawData!$C$2:$C$941,"MT",RawData!$P$2:$P$941,"&gt;="&amp;$B295,RawData!$P$2:$P$941,"&lt;"&amp;$C295,RawData!$P$2:$P$941,"&lt;&gt;0")</f>
        <v/>
      </c>
      <c r="E295">
        <f>IF(Config!$G$23=0,0,IF(ABS(($A295-Config!$F$23)/Config!$G$23)&lt;=2,$D295,0))</f>
        <v/>
      </c>
      <c r="F295">
        <f>IF(Config!$G$23=0,0,IF(AND(ABS(($A295-Config!$F$23)/Config!$G$23)&gt;2,ABS(($A295-Config!$F$23)/Config!$G$23)&lt;=3),$D295,0))</f>
        <v/>
      </c>
      <c r="G295">
        <f>IF(Config!$G$23=0,0,IF(ABS(($A295-Config!$F$23)/Config!$G$23)&gt;3,$D295,0))</f>
        <v/>
      </c>
      <c r="H295">
        <f>IFERROR(NORM.DIST($A295,Config!$F$23,Config!$G$23,FALSE)*Config!$D$23*Config!$J$23,0)</f>
        <v/>
      </c>
    </row>
    <row r="296">
      <c r="A296" s="6">
        <f>Config!$K$23+6*Config!$J$23+Config!$J$23/2</f>
        <v/>
      </c>
      <c r="B296" s="6">
        <f>$A296-Config!$J$23/2</f>
        <v/>
      </c>
      <c r="C296" s="6">
        <f>$A296+Config!$J$23/2</f>
        <v/>
      </c>
      <c r="D296" s="6">
        <f>COUNTIFS(RawData!$C$2:$C$941,"MT",RawData!$P$2:$P$941,"&gt;="&amp;$B296,RawData!$P$2:$P$941,"&lt;"&amp;$C296,RawData!$P$2:$P$941,"&lt;&gt;0")</f>
        <v/>
      </c>
      <c r="E296" s="6">
        <f>IF(Config!$G$23=0,0,IF(ABS(($A296-Config!$F$23)/Config!$G$23)&lt;=2,$D296,0))</f>
        <v/>
      </c>
      <c r="F296" s="6">
        <f>IF(Config!$G$23=0,0,IF(AND(ABS(($A296-Config!$F$23)/Config!$G$23)&gt;2,ABS(($A296-Config!$F$23)/Config!$G$23)&lt;=3),$D296,0))</f>
        <v/>
      </c>
      <c r="G296" s="6">
        <f>IF(Config!$G$23=0,0,IF(ABS(($A296-Config!$F$23)/Config!$G$23)&gt;3,$D296,0))</f>
        <v/>
      </c>
      <c r="H296" s="6">
        <f>IFERROR(NORM.DIST($A296,Config!$F$23,Config!$G$23,FALSE)*Config!$D$23*Config!$J$23,0)</f>
        <v/>
      </c>
    </row>
    <row r="297">
      <c r="A297">
        <f>Config!$K$23+7*Config!$J$23+Config!$J$23/2</f>
        <v/>
      </c>
      <c r="B297">
        <f>$A297-Config!$J$23/2</f>
        <v/>
      </c>
      <c r="C297">
        <f>$A297+Config!$J$23/2</f>
        <v/>
      </c>
      <c r="D297">
        <f>COUNTIFS(RawData!$C$2:$C$941,"MT",RawData!$P$2:$P$941,"&gt;="&amp;$B297,RawData!$P$2:$P$941,"&lt;"&amp;$C297,RawData!$P$2:$P$941,"&lt;&gt;0")</f>
        <v/>
      </c>
      <c r="E297">
        <f>IF(Config!$G$23=0,0,IF(ABS(($A297-Config!$F$23)/Config!$G$23)&lt;=2,$D297,0))</f>
        <v/>
      </c>
      <c r="F297">
        <f>IF(Config!$G$23=0,0,IF(AND(ABS(($A297-Config!$F$23)/Config!$G$23)&gt;2,ABS(($A297-Config!$F$23)/Config!$G$23)&lt;=3),$D297,0))</f>
        <v/>
      </c>
      <c r="G297">
        <f>IF(Config!$G$23=0,0,IF(ABS(($A297-Config!$F$23)/Config!$G$23)&gt;3,$D297,0))</f>
        <v/>
      </c>
      <c r="H297">
        <f>IFERROR(NORM.DIST($A297,Config!$F$23,Config!$G$23,FALSE)*Config!$D$23*Config!$J$23,0)</f>
        <v/>
      </c>
    </row>
    <row r="298">
      <c r="A298" s="6">
        <f>Config!$K$23+8*Config!$J$23+Config!$J$23/2</f>
        <v/>
      </c>
      <c r="B298" s="6">
        <f>$A298-Config!$J$23/2</f>
        <v/>
      </c>
      <c r="C298" s="6">
        <f>$A298+Config!$J$23/2</f>
        <v/>
      </c>
      <c r="D298" s="6">
        <f>COUNTIFS(RawData!$C$2:$C$941,"MT",RawData!$P$2:$P$941,"&gt;="&amp;$B298,RawData!$P$2:$P$941,"&lt;"&amp;$C298,RawData!$P$2:$P$941,"&lt;&gt;0")</f>
        <v/>
      </c>
      <c r="E298" s="6">
        <f>IF(Config!$G$23=0,0,IF(ABS(($A298-Config!$F$23)/Config!$G$23)&lt;=2,$D298,0))</f>
        <v/>
      </c>
      <c r="F298" s="6">
        <f>IF(Config!$G$23=0,0,IF(AND(ABS(($A298-Config!$F$23)/Config!$G$23)&gt;2,ABS(($A298-Config!$F$23)/Config!$G$23)&lt;=3),$D298,0))</f>
        <v/>
      </c>
      <c r="G298" s="6">
        <f>IF(Config!$G$23=0,0,IF(ABS(($A298-Config!$F$23)/Config!$G$23)&gt;3,$D298,0))</f>
        <v/>
      </c>
      <c r="H298" s="6">
        <f>IFERROR(NORM.DIST($A298,Config!$F$23,Config!$G$23,FALSE)*Config!$D$23*Config!$J$23,0)</f>
        <v/>
      </c>
    </row>
    <row r="299">
      <c r="A299">
        <f>Config!$K$23+9*Config!$J$23+Config!$J$23/2</f>
        <v/>
      </c>
      <c r="B299">
        <f>$A299-Config!$J$23/2</f>
        <v/>
      </c>
      <c r="C299">
        <f>$A299+Config!$J$23/2</f>
        <v/>
      </c>
      <c r="D299">
        <f>COUNTIFS(RawData!$C$2:$C$941,"MT",RawData!$P$2:$P$941,"&gt;="&amp;$B299,RawData!$P$2:$P$941,"&lt;"&amp;$C299,RawData!$P$2:$P$941,"&lt;&gt;0")</f>
        <v/>
      </c>
      <c r="E299">
        <f>IF(Config!$G$23=0,0,IF(ABS(($A299-Config!$F$23)/Config!$G$23)&lt;=2,$D299,0))</f>
        <v/>
      </c>
      <c r="F299">
        <f>IF(Config!$G$23=0,0,IF(AND(ABS(($A299-Config!$F$23)/Config!$G$23)&gt;2,ABS(($A299-Config!$F$23)/Config!$G$23)&lt;=3),$D299,0))</f>
        <v/>
      </c>
      <c r="G299">
        <f>IF(Config!$G$23=0,0,IF(ABS(($A299-Config!$F$23)/Config!$G$23)&gt;3,$D299,0))</f>
        <v/>
      </c>
      <c r="H299">
        <f>IFERROR(NORM.DIST($A299,Config!$F$23,Config!$G$23,FALSE)*Config!$D$23*Config!$J$23,0)</f>
        <v/>
      </c>
    </row>
    <row r="300">
      <c r="A300" s="6">
        <f>Config!$K$23+10*Config!$J$23+Config!$J$23/2</f>
        <v/>
      </c>
      <c r="B300" s="6">
        <f>$A300-Config!$J$23/2</f>
        <v/>
      </c>
      <c r="C300" s="6">
        <f>$A300+Config!$J$23/2</f>
        <v/>
      </c>
      <c r="D300" s="6">
        <f>COUNTIFS(RawData!$C$2:$C$941,"MT",RawData!$P$2:$P$941,"&gt;="&amp;$B300,RawData!$P$2:$P$941,"&lt;"&amp;$C300,RawData!$P$2:$P$941,"&lt;&gt;0")</f>
        <v/>
      </c>
      <c r="E300" s="6">
        <f>IF(Config!$G$23=0,0,IF(ABS(($A300-Config!$F$23)/Config!$G$23)&lt;=2,$D300,0))</f>
        <v/>
      </c>
      <c r="F300" s="6">
        <f>IF(Config!$G$23=0,0,IF(AND(ABS(($A300-Config!$F$23)/Config!$G$23)&gt;2,ABS(($A300-Config!$F$23)/Config!$G$23)&lt;=3),$D300,0))</f>
        <v/>
      </c>
      <c r="G300" s="6">
        <f>IF(Config!$G$23=0,0,IF(ABS(($A300-Config!$F$23)/Config!$G$23)&gt;3,$D300,0))</f>
        <v/>
      </c>
      <c r="H300" s="6">
        <f>IFERROR(NORM.DIST($A300,Config!$F$23,Config!$G$23,FALSE)*Config!$D$23*Config!$J$23,0)</f>
        <v/>
      </c>
    </row>
    <row r="301">
      <c r="A301">
        <f>Config!$K$23+11*Config!$J$23+Config!$J$23/2</f>
        <v/>
      </c>
      <c r="B301">
        <f>$A301-Config!$J$23/2</f>
        <v/>
      </c>
      <c r="C301">
        <f>$A301+Config!$J$23/2</f>
        <v/>
      </c>
      <c r="D301">
        <f>COUNTIFS(RawData!$C$2:$C$941,"MT",RawData!$P$2:$P$941,"&gt;="&amp;$B301,RawData!$P$2:$P$941,"&lt;"&amp;$C301,RawData!$P$2:$P$941,"&lt;&gt;0")</f>
        <v/>
      </c>
      <c r="E301">
        <f>IF(Config!$G$23=0,0,IF(ABS(($A301-Config!$F$23)/Config!$G$23)&lt;=2,$D301,0))</f>
        <v/>
      </c>
      <c r="F301">
        <f>IF(Config!$G$23=0,0,IF(AND(ABS(($A301-Config!$F$23)/Config!$G$23)&gt;2,ABS(($A301-Config!$F$23)/Config!$G$23)&lt;=3),$D301,0))</f>
        <v/>
      </c>
      <c r="G301">
        <f>IF(Config!$G$23=0,0,IF(ABS(($A301-Config!$F$23)/Config!$G$23)&gt;3,$D301,0))</f>
        <v/>
      </c>
      <c r="H301">
        <f>IFERROR(NORM.DIST($A301,Config!$F$23,Config!$G$23,FALSE)*Config!$D$23*Config!$J$23,0)</f>
        <v/>
      </c>
    </row>
    <row r="302">
      <c r="A302" s="6">
        <f>Config!$K$23+12*Config!$J$23+Config!$J$23/2</f>
        <v/>
      </c>
      <c r="B302" s="6">
        <f>$A302-Config!$J$23/2</f>
        <v/>
      </c>
      <c r="C302" s="6">
        <f>$A302+Config!$J$23/2</f>
        <v/>
      </c>
      <c r="D302" s="6">
        <f>COUNTIFS(RawData!$C$2:$C$941,"MT",RawData!$P$2:$P$941,"&gt;="&amp;$B302,RawData!$P$2:$P$941,"&lt;"&amp;$C302,RawData!$P$2:$P$941,"&lt;&gt;0")</f>
        <v/>
      </c>
      <c r="E302" s="6">
        <f>IF(Config!$G$23=0,0,IF(ABS(($A302-Config!$F$23)/Config!$G$23)&lt;=2,$D302,0))</f>
        <v/>
      </c>
      <c r="F302" s="6">
        <f>IF(Config!$G$23=0,0,IF(AND(ABS(($A302-Config!$F$23)/Config!$G$23)&gt;2,ABS(($A302-Config!$F$23)/Config!$G$23)&lt;=3),$D302,0))</f>
        <v/>
      </c>
      <c r="G302" s="6">
        <f>IF(Config!$G$23=0,0,IF(ABS(($A302-Config!$F$23)/Config!$G$23)&gt;3,$D302,0))</f>
        <v/>
      </c>
      <c r="H302" s="6">
        <f>IFERROR(NORM.DIST($A302,Config!$F$23,Config!$G$23,FALSE)*Config!$D$23*Config!$J$23,0)</f>
        <v/>
      </c>
    </row>
    <row r="303">
      <c r="A303">
        <f>Config!$K$23+13*Config!$J$23+Config!$J$23/2</f>
        <v/>
      </c>
      <c r="B303">
        <f>$A303-Config!$J$23/2</f>
        <v/>
      </c>
      <c r="C303">
        <f>$A303+Config!$J$23/2</f>
        <v/>
      </c>
      <c r="D303">
        <f>COUNTIFS(RawData!$C$2:$C$941,"MT",RawData!$P$2:$P$941,"&gt;="&amp;$B303,RawData!$P$2:$P$941,"&lt;"&amp;$C303,RawData!$P$2:$P$941,"&lt;&gt;0")</f>
        <v/>
      </c>
      <c r="E303">
        <f>IF(Config!$G$23=0,0,IF(ABS(($A303-Config!$F$23)/Config!$G$23)&lt;=2,$D303,0))</f>
        <v/>
      </c>
      <c r="F303">
        <f>IF(Config!$G$23=0,0,IF(AND(ABS(($A303-Config!$F$23)/Config!$G$23)&gt;2,ABS(($A303-Config!$F$23)/Config!$G$23)&lt;=3),$D303,0))</f>
        <v/>
      </c>
      <c r="G303">
        <f>IF(Config!$G$23=0,0,IF(ABS(($A303-Config!$F$23)/Config!$G$23)&gt;3,$D303,0))</f>
        <v/>
      </c>
      <c r="H303">
        <f>IFERROR(NORM.DIST($A303,Config!$F$23,Config!$G$23,FALSE)*Config!$D$23*Config!$J$23,0)</f>
        <v/>
      </c>
    </row>
    <row r="304">
      <c r="A304" s="6">
        <f>Config!$K$23+14*Config!$J$23+Config!$J$23/2</f>
        <v/>
      </c>
      <c r="B304" s="6">
        <f>$A304-Config!$J$23/2</f>
        <v/>
      </c>
      <c r="C304" s="6">
        <f>$A304+Config!$J$23/2</f>
        <v/>
      </c>
      <c r="D304" s="6">
        <f>COUNTIFS(RawData!$C$2:$C$941,"MT",RawData!$P$2:$P$941,"&gt;="&amp;$B304,RawData!$P$2:$P$941,"&lt;"&amp;$C304,RawData!$P$2:$P$941,"&lt;&gt;0")</f>
        <v/>
      </c>
      <c r="E304" s="6">
        <f>IF(Config!$G$23=0,0,IF(ABS(($A304-Config!$F$23)/Config!$G$23)&lt;=2,$D304,0))</f>
        <v/>
      </c>
      <c r="F304" s="6">
        <f>IF(Config!$G$23=0,0,IF(AND(ABS(($A304-Config!$F$23)/Config!$G$23)&gt;2,ABS(($A304-Config!$F$23)/Config!$G$23)&lt;=3),$D304,0))</f>
        <v/>
      </c>
      <c r="G304" s="6">
        <f>IF(Config!$G$23=0,0,IF(ABS(($A304-Config!$F$23)/Config!$G$23)&gt;3,$D304,0))</f>
        <v/>
      </c>
      <c r="H304" s="6">
        <f>IFERROR(NORM.DIST($A304,Config!$F$23,Config!$G$23,FALSE)*Config!$D$23*Config!$J$23,0)</f>
        <v/>
      </c>
    </row>
    <row r="305">
      <c r="A305">
        <f>Config!$K$23+15*Config!$J$23+Config!$J$23/2</f>
        <v/>
      </c>
      <c r="B305">
        <f>$A305-Config!$J$23/2</f>
        <v/>
      </c>
      <c r="C305">
        <f>$A305+Config!$J$23/2</f>
        <v/>
      </c>
      <c r="D305">
        <f>COUNTIFS(RawData!$C$2:$C$941,"MT",RawData!$P$2:$P$941,"&gt;="&amp;$B305,RawData!$P$2:$P$941,"&lt;"&amp;$C305,RawData!$P$2:$P$941,"&lt;&gt;0")</f>
        <v/>
      </c>
      <c r="E305">
        <f>IF(Config!$G$23=0,0,IF(ABS(($A305-Config!$F$23)/Config!$G$23)&lt;=2,$D305,0))</f>
        <v/>
      </c>
      <c r="F305">
        <f>IF(Config!$G$23=0,0,IF(AND(ABS(($A305-Config!$F$23)/Config!$G$23)&gt;2,ABS(($A305-Config!$F$23)/Config!$G$23)&lt;=3),$D305,0))</f>
        <v/>
      </c>
      <c r="G305">
        <f>IF(Config!$G$23=0,0,IF(ABS(($A305-Config!$F$23)/Config!$G$23)&gt;3,$D305,0))</f>
        <v/>
      </c>
      <c r="H305">
        <f>IFERROR(NORM.DIST($A305,Config!$F$23,Config!$G$23,FALSE)*Config!$D$23*Config!$J$23,0)</f>
        <v/>
      </c>
    </row>
    <row r="306">
      <c r="A306" s="6">
        <f>Config!$K$23+16*Config!$J$23+Config!$J$23/2</f>
        <v/>
      </c>
      <c r="B306" s="6">
        <f>$A306-Config!$J$23/2</f>
        <v/>
      </c>
      <c r="C306" s="6">
        <f>$A306+Config!$J$23/2</f>
        <v/>
      </c>
      <c r="D306" s="6">
        <f>COUNTIFS(RawData!$C$2:$C$941,"MT",RawData!$P$2:$P$941,"&gt;="&amp;$B306,RawData!$P$2:$P$941,"&lt;"&amp;$C306,RawData!$P$2:$P$941,"&lt;&gt;0")</f>
        <v/>
      </c>
      <c r="E306" s="6">
        <f>IF(Config!$G$23=0,0,IF(ABS(($A306-Config!$F$23)/Config!$G$23)&lt;=2,$D306,0))</f>
        <v/>
      </c>
      <c r="F306" s="6">
        <f>IF(Config!$G$23=0,0,IF(AND(ABS(($A306-Config!$F$23)/Config!$G$23)&gt;2,ABS(($A306-Config!$F$23)/Config!$G$23)&lt;=3),$D306,0))</f>
        <v/>
      </c>
      <c r="G306" s="6">
        <f>IF(Config!$G$23=0,0,IF(ABS(($A306-Config!$F$23)/Config!$G$23)&gt;3,$D306,0))</f>
        <v/>
      </c>
      <c r="H306" s="6">
        <f>IFERROR(NORM.DIST($A306,Config!$F$23,Config!$G$23,FALSE)*Config!$D$23*Config!$J$23,0)</f>
        <v/>
      </c>
    </row>
    <row r="307">
      <c r="A307">
        <f>Config!$K$23+17*Config!$J$23+Config!$J$23/2</f>
        <v/>
      </c>
      <c r="B307">
        <f>$A307-Config!$J$23/2</f>
        <v/>
      </c>
      <c r="C307">
        <f>$A307+Config!$J$23/2</f>
        <v/>
      </c>
      <c r="D307">
        <f>COUNTIFS(RawData!$C$2:$C$941,"MT",RawData!$P$2:$P$941,"&gt;="&amp;$B307,RawData!$P$2:$P$941,"&lt;"&amp;$C307,RawData!$P$2:$P$941,"&lt;&gt;0")</f>
        <v/>
      </c>
      <c r="E307">
        <f>IF(Config!$G$23=0,0,IF(ABS(($A307-Config!$F$23)/Config!$G$23)&lt;=2,$D307,0))</f>
        <v/>
      </c>
      <c r="F307">
        <f>IF(Config!$G$23=0,0,IF(AND(ABS(($A307-Config!$F$23)/Config!$G$23)&gt;2,ABS(($A307-Config!$F$23)/Config!$G$23)&lt;=3),$D307,0))</f>
        <v/>
      </c>
      <c r="G307">
        <f>IF(Config!$G$23=0,0,IF(ABS(($A307-Config!$F$23)/Config!$G$23)&gt;3,$D307,0))</f>
        <v/>
      </c>
      <c r="H307">
        <f>IFERROR(NORM.DIST($A307,Config!$F$23,Config!$G$23,FALSE)*Config!$D$23*Config!$J$23,0)</f>
        <v/>
      </c>
    </row>
    <row r="308">
      <c r="A308" s="6">
        <f>Config!$K$23+18*Config!$J$23+Config!$J$23/2</f>
        <v/>
      </c>
      <c r="B308" s="6">
        <f>$A308-Config!$J$23/2</f>
        <v/>
      </c>
      <c r="C308" s="6">
        <f>$A308+Config!$J$23/2</f>
        <v/>
      </c>
      <c r="D308" s="6">
        <f>COUNTIFS(RawData!$C$2:$C$941,"MT",RawData!$P$2:$P$941,"&gt;="&amp;$B308,RawData!$P$2:$P$941,"&lt;"&amp;$C308,RawData!$P$2:$P$941,"&lt;&gt;0")</f>
        <v/>
      </c>
      <c r="E308" s="6">
        <f>IF(Config!$G$23=0,0,IF(ABS(($A308-Config!$F$23)/Config!$G$23)&lt;=2,$D308,0))</f>
        <v/>
      </c>
      <c r="F308" s="6">
        <f>IF(Config!$G$23=0,0,IF(AND(ABS(($A308-Config!$F$23)/Config!$G$23)&gt;2,ABS(($A308-Config!$F$23)/Config!$G$23)&lt;=3),$D308,0))</f>
        <v/>
      </c>
      <c r="G308" s="6">
        <f>IF(Config!$G$23=0,0,IF(ABS(($A308-Config!$F$23)/Config!$G$23)&gt;3,$D308,0))</f>
        <v/>
      </c>
      <c r="H308" s="6">
        <f>IFERROR(NORM.DIST($A308,Config!$F$23,Config!$G$23,FALSE)*Config!$D$23*Config!$J$23,0)</f>
        <v/>
      </c>
    </row>
    <row r="309">
      <c r="A309">
        <f>Config!$K$23+19*Config!$J$23+Config!$J$23/2</f>
        <v/>
      </c>
      <c r="B309">
        <f>$A309-Config!$J$23/2</f>
        <v/>
      </c>
      <c r="C309">
        <f>$A309+Config!$J$23/2</f>
        <v/>
      </c>
      <c r="D309">
        <f>COUNTIFS(RawData!$C$2:$C$941,"MT",RawData!$P$2:$P$941,"&gt;="&amp;$B309,RawData!$P$2:$P$941,"&lt;"&amp;$C309,RawData!$P$2:$P$941,"&lt;&gt;0")</f>
        <v/>
      </c>
      <c r="E309">
        <f>IF(Config!$G$23=0,0,IF(ABS(($A309-Config!$F$23)/Config!$G$23)&lt;=2,$D309,0))</f>
        <v/>
      </c>
      <c r="F309">
        <f>IF(Config!$G$23=0,0,IF(AND(ABS(($A309-Config!$F$23)/Config!$G$23)&gt;2,ABS(($A309-Config!$F$23)/Config!$G$23)&lt;=3),$D309,0))</f>
        <v/>
      </c>
      <c r="G309">
        <f>IF(Config!$G$23=0,0,IF(ABS(($A309-Config!$F$23)/Config!$G$23)&gt;3,$D309,0))</f>
        <v/>
      </c>
      <c r="H309">
        <f>IFERROR(NORM.DIST($A309,Config!$F$23,Config!$G$23,FALSE)*Config!$D$23*Config!$J$23,0)</f>
        <v/>
      </c>
    </row>
    <row r="310">
      <c r="A310" s="6">
        <f>Config!$K$23+20*Config!$J$23+Config!$J$23/2</f>
        <v/>
      </c>
      <c r="B310" s="6">
        <f>$A310-Config!$J$23/2</f>
        <v/>
      </c>
      <c r="C310" s="6">
        <f>$A310+Config!$J$23/2</f>
        <v/>
      </c>
      <c r="D310" s="6">
        <f>COUNTIFS(RawData!$C$2:$C$941,"MT",RawData!$P$2:$P$941,"&gt;="&amp;$B310,RawData!$P$2:$P$941,"&lt;"&amp;$C310,RawData!$P$2:$P$941,"&lt;&gt;0")</f>
        <v/>
      </c>
      <c r="E310" s="6">
        <f>IF(Config!$G$23=0,0,IF(ABS(($A310-Config!$F$23)/Config!$G$23)&lt;=2,$D310,0))</f>
        <v/>
      </c>
      <c r="F310" s="6">
        <f>IF(Config!$G$23=0,0,IF(AND(ABS(($A310-Config!$F$23)/Config!$G$23)&gt;2,ABS(($A310-Config!$F$23)/Config!$G$23)&lt;=3),$D310,0))</f>
        <v/>
      </c>
      <c r="G310" s="6">
        <f>IF(Config!$G$23=0,0,IF(ABS(($A310-Config!$F$23)/Config!$G$23)&gt;3,$D310,0))</f>
        <v/>
      </c>
      <c r="H310" s="6">
        <f>IFERROR(NORM.DIST($A310,Config!$F$23,Config!$G$23,FALSE)*Config!$D$23*Config!$J$23,0)</f>
        <v/>
      </c>
    </row>
    <row r="311">
      <c r="A311">
        <f>Config!$K$23+21*Config!$J$23+Config!$J$23/2</f>
        <v/>
      </c>
      <c r="B311">
        <f>$A311-Config!$J$23/2</f>
        <v/>
      </c>
      <c r="C311">
        <f>$A311+Config!$J$23/2</f>
        <v/>
      </c>
      <c r="D311">
        <f>COUNTIFS(RawData!$C$2:$C$941,"MT",RawData!$P$2:$P$941,"&gt;="&amp;$B311,RawData!$P$2:$P$941,"&lt;"&amp;$C311,RawData!$P$2:$P$941,"&lt;&gt;0")</f>
        <v/>
      </c>
      <c r="E311">
        <f>IF(Config!$G$23=0,0,IF(ABS(($A311-Config!$F$23)/Config!$G$23)&lt;=2,$D311,0))</f>
        <v/>
      </c>
      <c r="F311">
        <f>IF(Config!$G$23=0,0,IF(AND(ABS(($A311-Config!$F$23)/Config!$G$23)&gt;2,ABS(($A311-Config!$F$23)/Config!$G$23)&lt;=3),$D311,0))</f>
        <v/>
      </c>
      <c r="G311">
        <f>IF(Config!$G$23=0,0,IF(ABS(($A311-Config!$F$23)/Config!$G$23)&gt;3,$D311,0))</f>
        <v/>
      </c>
      <c r="H311">
        <f>IFERROR(NORM.DIST($A311,Config!$F$23,Config!$G$23,FALSE)*Config!$D$23*Config!$J$23,0)</f>
        <v/>
      </c>
    </row>
    <row r="312">
      <c r="A312" s="6">
        <f>Config!$K$23+22*Config!$J$23+Config!$J$23/2</f>
        <v/>
      </c>
      <c r="B312" s="6">
        <f>$A312-Config!$J$23/2</f>
        <v/>
      </c>
      <c r="C312" s="6">
        <f>$A312+Config!$J$23/2</f>
        <v/>
      </c>
      <c r="D312" s="6">
        <f>COUNTIFS(RawData!$C$2:$C$941,"MT",RawData!$P$2:$P$941,"&gt;="&amp;$B312,RawData!$P$2:$P$941,"&lt;"&amp;$C312,RawData!$P$2:$P$941,"&lt;&gt;0")</f>
        <v/>
      </c>
      <c r="E312" s="6">
        <f>IF(Config!$G$23=0,0,IF(ABS(($A312-Config!$F$23)/Config!$G$23)&lt;=2,$D312,0))</f>
        <v/>
      </c>
      <c r="F312" s="6">
        <f>IF(Config!$G$23=0,0,IF(AND(ABS(($A312-Config!$F$23)/Config!$G$23)&gt;2,ABS(($A312-Config!$F$23)/Config!$G$23)&lt;=3),$D312,0))</f>
        <v/>
      </c>
      <c r="G312" s="6">
        <f>IF(Config!$G$23=0,0,IF(ABS(($A312-Config!$F$23)/Config!$G$23)&gt;3,$D312,0))</f>
        <v/>
      </c>
      <c r="H312" s="6">
        <f>IFERROR(NORM.DIST($A312,Config!$F$23,Config!$G$23,FALSE)*Config!$D$23*Config!$J$23,0)</f>
        <v/>
      </c>
    </row>
    <row r="313">
      <c r="A313">
        <f>Config!$K$23+23*Config!$J$23+Config!$J$23/2</f>
        <v/>
      </c>
      <c r="B313">
        <f>$A313-Config!$J$23/2</f>
        <v/>
      </c>
      <c r="C313">
        <f>$A313+Config!$J$23/2</f>
        <v/>
      </c>
      <c r="D313">
        <f>COUNTIFS(RawData!$C$2:$C$941,"MT",RawData!$P$2:$P$941,"&gt;="&amp;$B313,RawData!$P$2:$P$941,"&lt;"&amp;$C313,RawData!$P$2:$P$941,"&lt;&gt;0")</f>
        <v/>
      </c>
      <c r="E313">
        <f>IF(Config!$G$23=0,0,IF(ABS(($A313-Config!$F$23)/Config!$G$23)&lt;=2,$D313,0))</f>
        <v/>
      </c>
      <c r="F313">
        <f>IF(Config!$G$23=0,0,IF(AND(ABS(($A313-Config!$F$23)/Config!$G$23)&gt;2,ABS(($A313-Config!$F$23)/Config!$G$23)&lt;=3),$D313,0))</f>
        <v/>
      </c>
      <c r="G313">
        <f>IF(Config!$G$23=0,0,IF(ABS(($A313-Config!$F$23)/Config!$G$23)&gt;3,$D313,0))</f>
        <v/>
      </c>
      <c r="H313">
        <f>IFERROR(NORM.DIST($A313,Config!$F$23,Config!$G$23,FALSE)*Config!$D$23*Config!$J$23,0)</f>
        <v/>
      </c>
    </row>
    <row r="314">
      <c r="A314" s="6">
        <f>Config!$K$23+24*Config!$J$23+Config!$J$23/2</f>
        <v/>
      </c>
      <c r="B314" s="6">
        <f>$A314-Config!$J$23/2</f>
        <v/>
      </c>
      <c r="C314" s="6">
        <f>$A314+Config!$J$23/2</f>
        <v/>
      </c>
      <c r="D314" s="6">
        <f>COUNTIFS(RawData!$C$2:$C$941,"MT",RawData!$P$2:$P$941,"&gt;="&amp;$B314,RawData!$P$2:$P$941,"&lt;"&amp;$C314,RawData!$P$2:$P$941,"&lt;&gt;0")</f>
        <v/>
      </c>
      <c r="E314" s="6">
        <f>IF(Config!$G$23=0,0,IF(ABS(($A314-Config!$F$23)/Config!$G$23)&lt;=2,$D314,0))</f>
        <v/>
      </c>
      <c r="F314" s="6">
        <f>IF(Config!$G$23=0,0,IF(AND(ABS(($A314-Config!$F$23)/Config!$G$23)&gt;2,ABS(($A314-Config!$F$23)/Config!$G$23)&lt;=3),$D314,0))</f>
        <v/>
      </c>
      <c r="G314" s="6">
        <f>IF(Config!$G$23=0,0,IF(ABS(($A314-Config!$F$23)/Config!$G$23)&gt;3,$D314,0))</f>
        <v/>
      </c>
      <c r="H314" s="6">
        <f>IFERROR(NORM.DIST($A314,Config!$F$23,Config!$G$23,FALSE)*Config!$D$23*Config!$J$23,0)</f>
        <v/>
      </c>
    </row>
    <row r="315">
      <c r="A315">
        <f>Config!$K$23+25*Config!$J$23+Config!$J$23/2</f>
        <v/>
      </c>
      <c r="B315">
        <f>$A315-Config!$J$23/2</f>
        <v/>
      </c>
      <c r="C315">
        <f>$A315+Config!$J$23/2</f>
        <v/>
      </c>
      <c r="D315">
        <f>COUNTIFS(RawData!$C$2:$C$941,"MT",RawData!$P$2:$P$941,"&gt;="&amp;$B315,RawData!$P$2:$P$941,"&lt;"&amp;$C315,RawData!$P$2:$P$941,"&lt;&gt;0")</f>
        <v/>
      </c>
      <c r="E315">
        <f>IF(Config!$G$23=0,0,IF(ABS(($A315-Config!$F$23)/Config!$G$23)&lt;=2,$D315,0))</f>
        <v/>
      </c>
      <c r="F315">
        <f>IF(Config!$G$23=0,0,IF(AND(ABS(($A315-Config!$F$23)/Config!$G$23)&gt;2,ABS(($A315-Config!$F$23)/Config!$G$23)&lt;=3),$D315,0))</f>
        <v/>
      </c>
      <c r="G315">
        <f>IF(Config!$G$23=0,0,IF(ABS(($A315-Config!$F$23)/Config!$G$23)&gt;3,$D315,0))</f>
        <v/>
      </c>
      <c r="H315">
        <f>IFERROR(NORM.DIST($A315,Config!$F$23,Config!$G$23,FALSE)*Config!$D$23*Config!$J$23,0)</f>
        <v/>
      </c>
    </row>
    <row r="316">
      <c r="A316" s="6">
        <f>Config!$K$23+26*Config!$J$23+Config!$J$23/2</f>
        <v/>
      </c>
      <c r="B316" s="6">
        <f>$A316-Config!$J$23/2</f>
        <v/>
      </c>
      <c r="C316" s="6">
        <f>$A316+Config!$J$23/2</f>
        <v/>
      </c>
      <c r="D316" s="6">
        <f>COUNTIFS(RawData!$C$2:$C$941,"MT",RawData!$P$2:$P$941,"&gt;="&amp;$B316,RawData!$P$2:$P$941,"&lt;"&amp;$C316,RawData!$P$2:$P$941,"&lt;&gt;0")</f>
        <v/>
      </c>
      <c r="E316" s="6">
        <f>IF(Config!$G$23=0,0,IF(ABS(($A316-Config!$F$23)/Config!$G$23)&lt;=2,$D316,0))</f>
        <v/>
      </c>
      <c r="F316" s="6">
        <f>IF(Config!$G$23=0,0,IF(AND(ABS(($A316-Config!$F$23)/Config!$G$23)&gt;2,ABS(($A316-Config!$F$23)/Config!$G$23)&lt;=3),$D316,0))</f>
        <v/>
      </c>
      <c r="G316" s="6">
        <f>IF(Config!$G$23=0,0,IF(ABS(($A316-Config!$F$23)/Config!$G$23)&gt;3,$D316,0))</f>
        <v/>
      </c>
      <c r="H316" s="6">
        <f>IFERROR(NORM.DIST($A316,Config!$F$23,Config!$G$23,FALSE)*Config!$D$23*Config!$J$23,0)</f>
        <v/>
      </c>
    </row>
    <row r="317">
      <c r="A317">
        <f>Config!$K$23+27*Config!$J$23+Config!$J$23/2</f>
        <v/>
      </c>
      <c r="B317">
        <f>$A317-Config!$J$23/2</f>
        <v/>
      </c>
      <c r="C317">
        <f>$A317+Config!$J$23/2</f>
        <v/>
      </c>
      <c r="D317">
        <f>COUNTIFS(RawData!$C$2:$C$941,"MT",RawData!$P$2:$P$941,"&gt;="&amp;$B317,RawData!$P$2:$P$941,"&lt;"&amp;$C317,RawData!$P$2:$P$941,"&lt;&gt;0")</f>
        <v/>
      </c>
      <c r="E317">
        <f>IF(Config!$G$23=0,0,IF(ABS(($A317-Config!$F$23)/Config!$G$23)&lt;=2,$D317,0))</f>
        <v/>
      </c>
      <c r="F317">
        <f>IF(Config!$G$23=0,0,IF(AND(ABS(($A317-Config!$F$23)/Config!$G$23)&gt;2,ABS(($A317-Config!$F$23)/Config!$G$23)&lt;=3),$D317,0))</f>
        <v/>
      </c>
      <c r="G317">
        <f>IF(Config!$G$23=0,0,IF(ABS(($A317-Config!$F$23)/Config!$G$23)&gt;3,$D317,0))</f>
        <v/>
      </c>
      <c r="H317">
        <f>IFERROR(NORM.DIST($A317,Config!$F$23,Config!$G$23,FALSE)*Config!$D$23*Config!$J$23,0)</f>
        <v/>
      </c>
    </row>
    <row r="318">
      <c r="A318" s="6">
        <f>Config!$K$23+28*Config!$J$23+Config!$J$23/2</f>
        <v/>
      </c>
      <c r="B318" s="6">
        <f>$A318-Config!$J$23/2</f>
        <v/>
      </c>
      <c r="C318" s="6">
        <f>$A318+Config!$J$23/2</f>
        <v/>
      </c>
      <c r="D318" s="6">
        <f>COUNTIFS(RawData!$C$2:$C$941,"MT",RawData!$P$2:$P$941,"&gt;="&amp;$B318,RawData!$P$2:$P$941,"&lt;"&amp;$C318,RawData!$P$2:$P$941,"&lt;&gt;0")</f>
        <v/>
      </c>
      <c r="E318" s="6">
        <f>IF(Config!$G$23=0,0,IF(ABS(($A318-Config!$F$23)/Config!$G$23)&lt;=2,$D318,0))</f>
        <v/>
      </c>
      <c r="F318" s="6">
        <f>IF(Config!$G$23=0,0,IF(AND(ABS(($A318-Config!$F$23)/Config!$G$23)&gt;2,ABS(($A318-Config!$F$23)/Config!$G$23)&lt;=3),$D318,0))</f>
        <v/>
      </c>
      <c r="G318" s="6">
        <f>IF(Config!$G$23=0,0,IF(ABS(($A318-Config!$F$23)/Config!$G$23)&gt;3,$D318,0))</f>
        <v/>
      </c>
      <c r="H318" s="6">
        <f>IFERROR(NORM.DIST($A318,Config!$F$23,Config!$G$23,FALSE)*Config!$D$23*Config!$J$23,0)</f>
        <v/>
      </c>
    </row>
    <row r="319">
      <c r="A319">
        <f>Config!$K$23+29*Config!$J$23+Config!$J$23/2</f>
        <v/>
      </c>
      <c r="B319">
        <f>$A319-Config!$J$23/2</f>
        <v/>
      </c>
      <c r="C319">
        <f>$A319+Config!$J$23/2</f>
        <v/>
      </c>
      <c r="D319">
        <f>COUNTIFS(RawData!$C$2:$C$941,"MT",RawData!$P$2:$P$941,"&gt;="&amp;$B319,RawData!$P$2:$P$941,"&lt;"&amp;$C319,RawData!$P$2:$P$941,"&lt;&gt;0")</f>
        <v/>
      </c>
      <c r="E319">
        <f>IF(Config!$G$23=0,0,IF(ABS(($A319-Config!$F$23)/Config!$G$23)&lt;=2,$D319,0))</f>
        <v/>
      </c>
      <c r="F319">
        <f>IF(Config!$G$23=0,0,IF(AND(ABS(($A319-Config!$F$23)/Config!$G$23)&gt;2,ABS(($A319-Config!$F$23)/Config!$G$23)&lt;=3),$D319,0))</f>
        <v/>
      </c>
      <c r="G319">
        <f>IF(Config!$G$23=0,0,IF(ABS(($A319-Config!$F$23)/Config!$G$23)&gt;3,$D319,0))</f>
        <v/>
      </c>
      <c r="H319">
        <f>IFERROR(NORM.DIST($A319,Config!$F$23,Config!$G$23,FALSE)*Config!$D$23*Config!$J$23,0)</f>
        <v/>
      </c>
    </row>
    <row r="321">
      <c r="A321" s="5" t="inlineStr">
        <is>
          <t>BinCenter</t>
        </is>
      </c>
      <c r="B321" s="5" t="inlineStr">
        <is>
          <t>BinLo</t>
        </is>
      </c>
      <c r="C321" s="5" t="inlineStr">
        <is>
          <t>BinHi</t>
        </is>
      </c>
      <c r="D321" s="5" t="inlineStr">
        <is>
          <t>TotalCount</t>
        </is>
      </c>
      <c r="E321" s="5" t="inlineStr">
        <is>
          <t>Normal</t>
        </is>
      </c>
      <c r="F321" s="5" t="inlineStr">
        <is>
          <t>Warning(2-3s)</t>
        </is>
      </c>
      <c r="G321" s="5" t="inlineStr">
        <is>
          <t>Outlier(&gt;3s)</t>
        </is>
      </c>
      <c r="H321" s="5" t="inlineStr">
        <is>
          <t>CurveY</t>
        </is>
      </c>
    </row>
    <row r="322">
      <c r="A322" s="6">
        <f>Config!$K$24+0*Config!$J$24+Config!$J$24/2</f>
        <v/>
      </c>
      <c r="B322" s="6">
        <f>$A322-Config!$J$24/2</f>
        <v/>
      </c>
      <c r="C322" s="6">
        <f>$A322+Config!$J$24/2</f>
        <v/>
      </c>
      <c r="D322" s="6">
        <f>COUNTIFS(RawData!$C$2:$C$941,"MT",RawData!$Q$2:$Q$941,"&gt;="&amp;$B322,RawData!$Q$2:$Q$941,"&lt;"&amp;$C322,RawData!$Q$2:$Q$941,"&lt;&gt;0")</f>
        <v/>
      </c>
      <c r="E322" s="6">
        <f>IF(Config!$G$24=0,0,IF(ABS(($A322-Config!$F$24)/Config!$G$24)&lt;=2,$D322,0))</f>
        <v/>
      </c>
      <c r="F322" s="6">
        <f>IF(Config!$G$24=0,0,IF(AND(ABS(($A322-Config!$F$24)/Config!$G$24)&gt;2,ABS(($A322-Config!$F$24)/Config!$G$24)&lt;=3),$D322,0))</f>
        <v/>
      </c>
      <c r="G322" s="6">
        <f>IF(Config!$G$24=0,0,IF(ABS(($A322-Config!$F$24)/Config!$G$24)&gt;3,$D322,0))</f>
        <v/>
      </c>
      <c r="H322" s="6">
        <f>IFERROR(NORM.DIST($A322,Config!$F$24,Config!$G$24,FALSE)*Config!$D$24*Config!$J$24,0)</f>
        <v/>
      </c>
    </row>
    <row r="323">
      <c r="A323">
        <f>Config!$K$24+1*Config!$J$24+Config!$J$24/2</f>
        <v/>
      </c>
      <c r="B323">
        <f>$A323-Config!$J$24/2</f>
        <v/>
      </c>
      <c r="C323">
        <f>$A323+Config!$J$24/2</f>
        <v/>
      </c>
      <c r="D323">
        <f>COUNTIFS(RawData!$C$2:$C$941,"MT",RawData!$Q$2:$Q$941,"&gt;="&amp;$B323,RawData!$Q$2:$Q$941,"&lt;"&amp;$C323,RawData!$Q$2:$Q$941,"&lt;&gt;0")</f>
        <v/>
      </c>
      <c r="E323">
        <f>IF(Config!$G$24=0,0,IF(ABS(($A323-Config!$F$24)/Config!$G$24)&lt;=2,$D323,0))</f>
        <v/>
      </c>
      <c r="F323">
        <f>IF(Config!$G$24=0,0,IF(AND(ABS(($A323-Config!$F$24)/Config!$G$24)&gt;2,ABS(($A323-Config!$F$24)/Config!$G$24)&lt;=3),$D323,0))</f>
        <v/>
      </c>
      <c r="G323">
        <f>IF(Config!$G$24=0,0,IF(ABS(($A323-Config!$F$24)/Config!$G$24)&gt;3,$D323,0))</f>
        <v/>
      </c>
      <c r="H323">
        <f>IFERROR(NORM.DIST($A323,Config!$F$24,Config!$G$24,FALSE)*Config!$D$24*Config!$J$24,0)</f>
        <v/>
      </c>
    </row>
    <row r="324">
      <c r="A324" s="6">
        <f>Config!$K$24+2*Config!$J$24+Config!$J$24/2</f>
        <v/>
      </c>
      <c r="B324" s="6">
        <f>$A324-Config!$J$24/2</f>
        <v/>
      </c>
      <c r="C324" s="6">
        <f>$A324+Config!$J$24/2</f>
        <v/>
      </c>
      <c r="D324" s="6">
        <f>COUNTIFS(RawData!$C$2:$C$941,"MT",RawData!$Q$2:$Q$941,"&gt;="&amp;$B324,RawData!$Q$2:$Q$941,"&lt;"&amp;$C324,RawData!$Q$2:$Q$941,"&lt;&gt;0")</f>
        <v/>
      </c>
      <c r="E324" s="6">
        <f>IF(Config!$G$24=0,0,IF(ABS(($A324-Config!$F$24)/Config!$G$24)&lt;=2,$D324,0))</f>
        <v/>
      </c>
      <c r="F324" s="6">
        <f>IF(Config!$G$24=0,0,IF(AND(ABS(($A324-Config!$F$24)/Config!$G$24)&gt;2,ABS(($A324-Config!$F$24)/Config!$G$24)&lt;=3),$D324,0))</f>
        <v/>
      </c>
      <c r="G324" s="6">
        <f>IF(Config!$G$24=0,0,IF(ABS(($A324-Config!$F$24)/Config!$G$24)&gt;3,$D324,0))</f>
        <v/>
      </c>
      <c r="H324" s="6">
        <f>IFERROR(NORM.DIST($A324,Config!$F$24,Config!$G$24,FALSE)*Config!$D$24*Config!$J$24,0)</f>
        <v/>
      </c>
    </row>
    <row r="325">
      <c r="A325">
        <f>Config!$K$24+3*Config!$J$24+Config!$J$24/2</f>
        <v/>
      </c>
      <c r="B325">
        <f>$A325-Config!$J$24/2</f>
        <v/>
      </c>
      <c r="C325">
        <f>$A325+Config!$J$24/2</f>
        <v/>
      </c>
      <c r="D325">
        <f>COUNTIFS(RawData!$C$2:$C$941,"MT",RawData!$Q$2:$Q$941,"&gt;="&amp;$B325,RawData!$Q$2:$Q$941,"&lt;"&amp;$C325,RawData!$Q$2:$Q$941,"&lt;&gt;0")</f>
        <v/>
      </c>
      <c r="E325">
        <f>IF(Config!$G$24=0,0,IF(ABS(($A325-Config!$F$24)/Config!$G$24)&lt;=2,$D325,0))</f>
        <v/>
      </c>
      <c r="F325">
        <f>IF(Config!$G$24=0,0,IF(AND(ABS(($A325-Config!$F$24)/Config!$G$24)&gt;2,ABS(($A325-Config!$F$24)/Config!$G$24)&lt;=3),$D325,0))</f>
        <v/>
      </c>
      <c r="G325">
        <f>IF(Config!$G$24=0,0,IF(ABS(($A325-Config!$F$24)/Config!$G$24)&gt;3,$D325,0))</f>
        <v/>
      </c>
      <c r="H325">
        <f>IFERROR(NORM.DIST($A325,Config!$F$24,Config!$G$24,FALSE)*Config!$D$24*Config!$J$24,0)</f>
        <v/>
      </c>
    </row>
    <row r="326">
      <c r="A326" s="6">
        <f>Config!$K$24+4*Config!$J$24+Config!$J$24/2</f>
        <v/>
      </c>
      <c r="B326" s="6">
        <f>$A326-Config!$J$24/2</f>
        <v/>
      </c>
      <c r="C326" s="6">
        <f>$A326+Config!$J$24/2</f>
        <v/>
      </c>
      <c r="D326" s="6">
        <f>COUNTIFS(RawData!$C$2:$C$941,"MT",RawData!$Q$2:$Q$941,"&gt;="&amp;$B326,RawData!$Q$2:$Q$941,"&lt;"&amp;$C326,RawData!$Q$2:$Q$941,"&lt;&gt;0")</f>
        <v/>
      </c>
      <c r="E326" s="6">
        <f>IF(Config!$G$24=0,0,IF(ABS(($A326-Config!$F$24)/Config!$G$24)&lt;=2,$D326,0))</f>
        <v/>
      </c>
      <c r="F326" s="6">
        <f>IF(Config!$G$24=0,0,IF(AND(ABS(($A326-Config!$F$24)/Config!$G$24)&gt;2,ABS(($A326-Config!$F$24)/Config!$G$24)&lt;=3),$D326,0))</f>
        <v/>
      </c>
      <c r="G326" s="6">
        <f>IF(Config!$G$24=0,0,IF(ABS(($A326-Config!$F$24)/Config!$G$24)&gt;3,$D326,0))</f>
        <v/>
      </c>
      <c r="H326" s="6">
        <f>IFERROR(NORM.DIST($A326,Config!$F$24,Config!$G$24,FALSE)*Config!$D$24*Config!$J$24,0)</f>
        <v/>
      </c>
    </row>
    <row r="327">
      <c r="A327">
        <f>Config!$K$24+5*Config!$J$24+Config!$J$24/2</f>
        <v/>
      </c>
      <c r="B327">
        <f>$A327-Config!$J$24/2</f>
        <v/>
      </c>
      <c r="C327">
        <f>$A327+Config!$J$24/2</f>
        <v/>
      </c>
      <c r="D327">
        <f>COUNTIFS(RawData!$C$2:$C$941,"MT",RawData!$Q$2:$Q$941,"&gt;="&amp;$B327,RawData!$Q$2:$Q$941,"&lt;"&amp;$C327,RawData!$Q$2:$Q$941,"&lt;&gt;0")</f>
        <v/>
      </c>
      <c r="E327">
        <f>IF(Config!$G$24=0,0,IF(ABS(($A327-Config!$F$24)/Config!$G$24)&lt;=2,$D327,0))</f>
        <v/>
      </c>
      <c r="F327">
        <f>IF(Config!$G$24=0,0,IF(AND(ABS(($A327-Config!$F$24)/Config!$G$24)&gt;2,ABS(($A327-Config!$F$24)/Config!$G$24)&lt;=3),$D327,0))</f>
        <v/>
      </c>
      <c r="G327">
        <f>IF(Config!$G$24=0,0,IF(ABS(($A327-Config!$F$24)/Config!$G$24)&gt;3,$D327,0))</f>
        <v/>
      </c>
      <c r="H327">
        <f>IFERROR(NORM.DIST($A327,Config!$F$24,Config!$G$24,FALSE)*Config!$D$24*Config!$J$24,0)</f>
        <v/>
      </c>
    </row>
    <row r="328">
      <c r="A328" s="6">
        <f>Config!$K$24+6*Config!$J$24+Config!$J$24/2</f>
        <v/>
      </c>
      <c r="B328" s="6">
        <f>$A328-Config!$J$24/2</f>
        <v/>
      </c>
      <c r="C328" s="6">
        <f>$A328+Config!$J$24/2</f>
        <v/>
      </c>
      <c r="D328" s="6">
        <f>COUNTIFS(RawData!$C$2:$C$941,"MT",RawData!$Q$2:$Q$941,"&gt;="&amp;$B328,RawData!$Q$2:$Q$941,"&lt;"&amp;$C328,RawData!$Q$2:$Q$941,"&lt;&gt;0")</f>
        <v/>
      </c>
      <c r="E328" s="6">
        <f>IF(Config!$G$24=0,0,IF(ABS(($A328-Config!$F$24)/Config!$G$24)&lt;=2,$D328,0))</f>
        <v/>
      </c>
      <c r="F328" s="6">
        <f>IF(Config!$G$24=0,0,IF(AND(ABS(($A328-Config!$F$24)/Config!$G$24)&gt;2,ABS(($A328-Config!$F$24)/Config!$G$24)&lt;=3),$D328,0))</f>
        <v/>
      </c>
      <c r="G328" s="6">
        <f>IF(Config!$G$24=0,0,IF(ABS(($A328-Config!$F$24)/Config!$G$24)&gt;3,$D328,0))</f>
        <v/>
      </c>
      <c r="H328" s="6">
        <f>IFERROR(NORM.DIST($A328,Config!$F$24,Config!$G$24,FALSE)*Config!$D$24*Config!$J$24,0)</f>
        <v/>
      </c>
    </row>
    <row r="329">
      <c r="A329">
        <f>Config!$K$24+7*Config!$J$24+Config!$J$24/2</f>
        <v/>
      </c>
      <c r="B329">
        <f>$A329-Config!$J$24/2</f>
        <v/>
      </c>
      <c r="C329">
        <f>$A329+Config!$J$24/2</f>
        <v/>
      </c>
      <c r="D329">
        <f>COUNTIFS(RawData!$C$2:$C$941,"MT",RawData!$Q$2:$Q$941,"&gt;="&amp;$B329,RawData!$Q$2:$Q$941,"&lt;"&amp;$C329,RawData!$Q$2:$Q$941,"&lt;&gt;0")</f>
        <v/>
      </c>
      <c r="E329">
        <f>IF(Config!$G$24=0,0,IF(ABS(($A329-Config!$F$24)/Config!$G$24)&lt;=2,$D329,0))</f>
        <v/>
      </c>
      <c r="F329">
        <f>IF(Config!$G$24=0,0,IF(AND(ABS(($A329-Config!$F$24)/Config!$G$24)&gt;2,ABS(($A329-Config!$F$24)/Config!$G$24)&lt;=3),$D329,0))</f>
        <v/>
      </c>
      <c r="G329">
        <f>IF(Config!$G$24=0,0,IF(ABS(($A329-Config!$F$24)/Config!$G$24)&gt;3,$D329,0))</f>
        <v/>
      </c>
      <c r="H329">
        <f>IFERROR(NORM.DIST($A329,Config!$F$24,Config!$G$24,FALSE)*Config!$D$24*Config!$J$24,0)</f>
        <v/>
      </c>
    </row>
    <row r="330">
      <c r="A330" s="6">
        <f>Config!$K$24+8*Config!$J$24+Config!$J$24/2</f>
        <v/>
      </c>
      <c r="B330" s="6">
        <f>$A330-Config!$J$24/2</f>
        <v/>
      </c>
      <c r="C330" s="6">
        <f>$A330+Config!$J$24/2</f>
        <v/>
      </c>
      <c r="D330" s="6">
        <f>COUNTIFS(RawData!$C$2:$C$941,"MT",RawData!$Q$2:$Q$941,"&gt;="&amp;$B330,RawData!$Q$2:$Q$941,"&lt;"&amp;$C330,RawData!$Q$2:$Q$941,"&lt;&gt;0")</f>
        <v/>
      </c>
      <c r="E330" s="6">
        <f>IF(Config!$G$24=0,0,IF(ABS(($A330-Config!$F$24)/Config!$G$24)&lt;=2,$D330,0))</f>
        <v/>
      </c>
      <c r="F330" s="6">
        <f>IF(Config!$G$24=0,0,IF(AND(ABS(($A330-Config!$F$24)/Config!$G$24)&gt;2,ABS(($A330-Config!$F$24)/Config!$G$24)&lt;=3),$D330,0))</f>
        <v/>
      </c>
      <c r="G330" s="6">
        <f>IF(Config!$G$24=0,0,IF(ABS(($A330-Config!$F$24)/Config!$G$24)&gt;3,$D330,0))</f>
        <v/>
      </c>
      <c r="H330" s="6">
        <f>IFERROR(NORM.DIST($A330,Config!$F$24,Config!$G$24,FALSE)*Config!$D$24*Config!$J$24,0)</f>
        <v/>
      </c>
    </row>
    <row r="331">
      <c r="A331">
        <f>Config!$K$24+9*Config!$J$24+Config!$J$24/2</f>
        <v/>
      </c>
      <c r="B331">
        <f>$A331-Config!$J$24/2</f>
        <v/>
      </c>
      <c r="C331">
        <f>$A331+Config!$J$24/2</f>
        <v/>
      </c>
      <c r="D331">
        <f>COUNTIFS(RawData!$C$2:$C$941,"MT",RawData!$Q$2:$Q$941,"&gt;="&amp;$B331,RawData!$Q$2:$Q$941,"&lt;"&amp;$C331,RawData!$Q$2:$Q$941,"&lt;&gt;0")</f>
        <v/>
      </c>
      <c r="E331">
        <f>IF(Config!$G$24=0,0,IF(ABS(($A331-Config!$F$24)/Config!$G$24)&lt;=2,$D331,0))</f>
        <v/>
      </c>
      <c r="F331">
        <f>IF(Config!$G$24=0,0,IF(AND(ABS(($A331-Config!$F$24)/Config!$G$24)&gt;2,ABS(($A331-Config!$F$24)/Config!$G$24)&lt;=3),$D331,0))</f>
        <v/>
      </c>
      <c r="G331">
        <f>IF(Config!$G$24=0,0,IF(ABS(($A331-Config!$F$24)/Config!$G$24)&gt;3,$D331,0))</f>
        <v/>
      </c>
      <c r="H331">
        <f>IFERROR(NORM.DIST($A331,Config!$F$24,Config!$G$24,FALSE)*Config!$D$24*Config!$J$24,0)</f>
        <v/>
      </c>
    </row>
    <row r="332">
      <c r="A332" s="6">
        <f>Config!$K$24+10*Config!$J$24+Config!$J$24/2</f>
        <v/>
      </c>
      <c r="B332" s="6">
        <f>$A332-Config!$J$24/2</f>
        <v/>
      </c>
      <c r="C332" s="6">
        <f>$A332+Config!$J$24/2</f>
        <v/>
      </c>
      <c r="D332" s="6">
        <f>COUNTIFS(RawData!$C$2:$C$941,"MT",RawData!$Q$2:$Q$941,"&gt;="&amp;$B332,RawData!$Q$2:$Q$941,"&lt;"&amp;$C332,RawData!$Q$2:$Q$941,"&lt;&gt;0")</f>
        <v/>
      </c>
      <c r="E332" s="6">
        <f>IF(Config!$G$24=0,0,IF(ABS(($A332-Config!$F$24)/Config!$G$24)&lt;=2,$D332,0))</f>
        <v/>
      </c>
      <c r="F332" s="6">
        <f>IF(Config!$G$24=0,0,IF(AND(ABS(($A332-Config!$F$24)/Config!$G$24)&gt;2,ABS(($A332-Config!$F$24)/Config!$G$24)&lt;=3),$D332,0))</f>
        <v/>
      </c>
      <c r="G332" s="6">
        <f>IF(Config!$G$24=0,0,IF(ABS(($A332-Config!$F$24)/Config!$G$24)&gt;3,$D332,0))</f>
        <v/>
      </c>
      <c r="H332" s="6">
        <f>IFERROR(NORM.DIST($A332,Config!$F$24,Config!$G$24,FALSE)*Config!$D$24*Config!$J$24,0)</f>
        <v/>
      </c>
    </row>
    <row r="333">
      <c r="A333">
        <f>Config!$K$24+11*Config!$J$24+Config!$J$24/2</f>
        <v/>
      </c>
      <c r="B333">
        <f>$A333-Config!$J$24/2</f>
        <v/>
      </c>
      <c r="C333">
        <f>$A333+Config!$J$24/2</f>
        <v/>
      </c>
      <c r="D333">
        <f>COUNTIFS(RawData!$C$2:$C$941,"MT",RawData!$Q$2:$Q$941,"&gt;="&amp;$B333,RawData!$Q$2:$Q$941,"&lt;"&amp;$C333,RawData!$Q$2:$Q$941,"&lt;&gt;0")</f>
        <v/>
      </c>
      <c r="E333">
        <f>IF(Config!$G$24=0,0,IF(ABS(($A333-Config!$F$24)/Config!$G$24)&lt;=2,$D333,0))</f>
        <v/>
      </c>
      <c r="F333">
        <f>IF(Config!$G$24=0,0,IF(AND(ABS(($A333-Config!$F$24)/Config!$G$24)&gt;2,ABS(($A333-Config!$F$24)/Config!$G$24)&lt;=3),$D333,0))</f>
        <v/>
      </c>
      <c r="G333">
        <f>IF(Config!$G$24=0,0,IF(ABS(($A333-Config!$F$24)/Config!$G$24)&gt;3,$D333,0))</f>
        <v/>
      </c>
      <c r="H333">
        <f>IFERROR(NORM.DIST($A333,Config!$F$24,Config!$G$24,FALSE)*Config!$D$24*Config!$J$24,0)</f>
        <v/>
      </c>
    </row>
    <row r="334">
      <c r="A334" s="6">
        <f>Config!$K$24+12*Config!$J$24+Config!$J$24/2</f>
        <v/>
      </c>
      <c r="B334" s="6">
        <f>$A334-Config!$J$24/2</f>
        <v/>
      </c>
      <c r="C334" s="6">
        <f>$A334+Config!$J$24/2</f>
        <v/>
      </c>
      <c r="D334" s="6">
        <f>COUNTIFS(RawData!$C$2:$C$941,"MT",RawData!$Q$2:$Q$941,"&gt;="&amp;$B334,RawData!$Q$2:$Q$941,"&lt;"&amp;$C334,RawData!$Q$2:$Q$941,"&lt;&gt;0")</f>
        <v/>
      </c>
      <c r="E334" s="6">
        <f>IF(Config!$G$24=0,0,IF(ABS(($A334-Config!$F$24)/Config!$G$24)&lt;=2,$D334,0))</f>
        <v/>
      </c>
      <c r="F334" s="6">
        <f>IF(Config!$G$24=0,0,IF(AND(ABS(($A334-Config!$F$24)/Config!$G$24)&gt;2,ABS(($A334-Config!$F$24)/Config!$G$24)&lt;=3),$D334,0))</f>
        <v/>
      </c>
      <c r="G334" s="6">
        <f>IF(Config!$G$24=0,0,IF(ABS(($A334-Config!$F$24)/Config!$G$24)&gt;3,$D334,0))</f>
        <v/>
      </c>
      <c r="H334" s="6">
        <f>IFERROR(NORM.DIST($A334,Config!$F$24,Config!$G$24,FALSE)*Config!$D$24*Config!$J$24,0)</f>
        <v/>
      </c>
    </row>
    <row r="335">
      <c r="A335">
        <f>Config!$K$24+13*Config!$J$24+Config!$J$24/2</f>
        <v/>
      </c>
      <c r="B335">
        <f>$A335-Config!$J$24/2</f>
        <v/>
      </c>
      <c r="C335">
        <f>$A335+Config!$J$24/2</f>
        <v/>
      </c>
      <c r="D335">
        <f>COUNTIFS(RawData!$C$2:$C$941,"MT",RawData!$Q$2:$Q$941,"&gt;="&amp;$B335,RawData!$Q$2:$Q$941,"&lt;"&amp;$C335,RawData!$Q$2:$Q$941,"&lt;&gt;0")</f>
        <v/>
      </c>
      <c r="E335">
        <f>IF(Config!$G$24=0,0,IF(ABS(($A335-Config!$F$24)/Config!$G$24)&lt;=2,$D335,0))</f>
        <v/>
      </c>
      <c r="F335">
        <f>IF(Config!$G$24=0,0,IF(AND(ABS(($A335-Config!$F$24)/Config!$G$24)&gt;2,ABS(($A335-Config!$F$24)/Config!$G$24)&lt;=3),$D335,0))</f>
        <v/>
      </c>
      <c r="G335">
        <f>IF(Config!$G$24=0,0,IF(ABS(($A335-Config!$F$24)/Config!$G$24)&gt;3,$D335,0))</f>
        <v/>
      </c>
      <c r="H335">
        <f>IFERROR(NORM.DIST($A335,Config!$F$24,Config!$G$24,FALSE)*Config!$D$24*Config!$J$24,0)</f>
        <v/>
      </c>
    </row>
    <row r="336">
      <c r="A336" s="6">
        <f>Config!$K$24+14*Config!$J$24+Config!$J$24/2</f>
        <v/>
      </c>
      <c r="B336" s="6">
        <f>$A336-Config!$J$24/2</f>
        <v/>
      </c>
      <c r="C336" s="6">
        <f>$A336+Config!$J$24/2</f>
        <v/>
      </c>
      <c r="D336" s="6">
        <f>COUNTIFS(RawData!$C$2:$C$941,"MT",RawData!$Q$2:$Q$941,"&gt;="&amp;$B336,RawData!$Q$2:$Q$941,"&lt;"&amp;$C336,RawData!$Q$2:$Q$941,"&lt;&gt;0")</f>
        <v/>
      </c>
      <c r="E336" s="6">
        <f>IF(Config!$G$24=0,0,IF(ABS(($A336-Config!$F$24)/Config!$G$24)&lt;=2,$D336,0))</f>
        <v/>
      </c>
      <c r="F336" s="6">
        <f>IF(Config!$G$24=0,0,IF(AND(ABS(($A336-Config!$F$24)/Config!$G$24)&gt;2,ABS(($A336-Config!$F$24)/Config!$G$24)&lt;=3),$D336,0))</f>
        <v/>
      </c>
      <c r="G336" s="6">
        <f>IF(Config!$G$24=0,0,IF(ABS(($A336-Config!$F$24)/Config!$G$24)&gt;3,$D336,0))</f>
        <v/>
      </c>
      <c r="H336" s="6">
        <f>IFERROR(NORM.DIST($A336,Config!$F$24,Config!$G$24,FALSE)*Config!$D$24*Config!$J$24,0)</f>
        <v/>
      </c>
    </row>
    <row r="337">
      <c r="A337">
        <f>Config!$K$24+15*Config!$J$24+Config!$J$24/2</f>
        <v/>
      </c>
      <c r="B337">
        <f>$A337-Config!$J$24/2</f>
        <v/>
      </c>
      <c r="C337">
        <f>$A337+Config!$J$24/2</f>
        <v/>
      </c>
      <c r="D337">
        <f>COUNTIFS(RawData!$C$2:$C$941,"MT",RawData!$Q$2:$Q$941,"&gt;="&amp;$B337,RawData!$Q$2:$Q$941,"&lt;"&amp;$C337,RawData!$Q$2:$Q$941,"&lt;&gt;0")</f>
        <v/>
      </c>
      <c r="E337">
        <f>IF(Config!$G$24=0,0,IF(ABS(($A337-Config!$F$24)/Config!$G$24)&lt;=2,$D337,0))</f>
        <v/>
      </c>
      <c r="F337">
        <f>IF(Config!$G$24=0,0,IF(AND(ABS(($A337-Config!$F$24)/Config!$G$24)&gt;2,ABS(($A337-Config!$F$24)/Config!$G$24)&lt;=3),$D337,0))</f>
        <v/>
      </c>
      <c r="G337">
        <f>IF(Config!$G$24=0,0,IF(ABS(($A337-Config!$F$24)/Config!$G$24)&gt;3,$D337,0))</f>
        <v/>
      </c>
      <c r="H337">
        <f>IFERROR(NORM.DIST($A337,Config!$F$24,Config!$G$24,FALSE)*Config!$D$24*Config!$J$24,0)</f>
        <v/>
      </c>
    </row>
    <row r="338">
      <c r="A338" s="6">
        <f>Config!$K$24+16*Config!$J$24+Config!$J$24/2</f>
        <v/>
      </c>
      <c r="B338" s="6">
        <f>$A338-Config!$J$24/2</f>
        <v/>
      </c>
      <c r="C338" s="6">
        <f>$A338+Config!$J$24/2</f>
        <v/>
      </c>
      <c r="D338" s="6">
        <f>COUNTIFS(RawData!$C$2:$C$941,"MT",RawData!$Q$2:$Q$941,"&gt;="&amp;$B338,RawData!$Q$2:$Q$941,"&lt;"&amp;$C338,RawData!$Q$2:$Q$941,"&lt;&gt;0")</f>
        <v/>
      </c>
      <c r="E338" s="6">
        <f>IF(Config!$G$24=0,0,IF(ABS(($A338-Config!$F$24)/Config!$G$24)&lt;=2,$D338,0))</f>
        <v/>
      </c>
      <c r="F338" s="6">
        <f>IF(Config!$G$24=0,0,IF(AND(ABS(($A338-Config!$F$24)/Config!$G$24)&gt;2,ABS(($A338-Config!$F$24)/Config!$G$24)&lt;=3),$D338,0))</f>
        <v/>
      </c>
      <c r="G338" s="6">
        <f>IF(Config!$G$24=0,0,IF(ABS(($A338-Config!$F$24)/Config!$G$24)&gt;3,$D338,0))</f>
        <v/>
      </c>
      <c r="H338" s="6">
        <f>IFERROR(NORM.DIST($A338,Config!$F$24,Config!$G$24,FALSE)*Config!$D$24*Config!$J$24,0)</f>
        <v/>
      </c>
    </row>
    <row r="339">
      <c r="A339">
        <f>Config!$K$24+17*Config!$J$24+Config!$J$24/2</f>
        <v/>
      </c>
      <c r="B339">
        <f>$A339-Config!$J$24/2</f>
        <v/>
      </c>
      <c r="C339">
        <f>$A339+Config!$J$24/2</f>
        <v/>
      </c>
      <c r="D339">
        <f>COUNTIFS(RawData!$C$2:$C$941,"MT",RawData!$Q$2:$Q$941,"&gt;="&amp;$B339,RawData!$Q$2:$Q$941,"&lt;"&amp;$C339,RawData!$Q$2:$Q$941,"&lt;&gt;0")</f>
        <v/>
      </c>
      <c r="E339">
        <f>IF(Config!$G$24=0,0,IF(ABS(($A339-Config!$F$24)/Config!$G$24)&lt;=2,$D339,0))</f>
        <v/>
      </c>
      <c r="F339">
        <f>IF(Config!$G$24=0,0,IF(AND(ABS(($A339-Config!$F$24)/Config!$G$24)&gt;2,ABS(($A339-Config!$F$24)/Config!$G$24)&lt;=3),$D339,0))</f>
        <v/>
      </c>
      <c r="G339">
        <f>IF(Config!$G$24=0,0,IF(ABS(($A339-Config!$F$24)/Config!$G$24)&gt;3,$D339,0))</f>
        <v/>
      </c>
      <c r="H339">
        <f>IFERROR(NORM.DIST($A339,Config!$F$24,Config!$G$24,FALSE)*Config!$D$24*Config!$J$24,0)</f>
        <v/>
      </c>
    </row>
    <row r="340">
      <c r="A340" s="6">
        <f>Config!$K$24+18*Config!$J$24+Config!$J$24/2</f>
        <v/>
      </c>
      <c r="B340" s="6">
        <f>$A340-Config!$J$24/2</f>
        <v/>
      </c>
      <c r="C340" s="6">
        <f>$A340+Config!$J$24/2</f>
        <v/>
      </c>
      <c r="D340" s="6">
        <f>COUNTIFS(RawData!$C$2:$C$941,"MT",RawData!$Q$2:$Q$941,"&gt;="&amp;$B340,RawData!$Q$2:$Q$941,"&lt;"&amp;$C340,RawData!$Q$2:$Q$941,"&lt;&gt;0")</f>
        <v/>
      </c>
      <c r="E340" s="6">
        <f>IF(Config!$G$24=0,0,IF(ABS(($A340-Config!$F$24)/Config!$G$24)&lt;=2,$D340,0))</f>
        <v/>
      </c>
      <c r="F340" s="6">
        <f>IF(Config!$G$24=0,0,IF(AND(ABS(($A340-Config!$F$24)/Config!$G$24)&gt;2,ABS(($A340-Config!$F$24)/Config!$G$24)&lt;=3),$D340,0))</f>
        <v/>
      </c>
      <c r="G340" s="6">
        <f>IF(Config!$G$24=0,0,IF(ABS(($A340-Config!$F$24)/Config!$G$24)&gt;3,$D340,0))</f>
        <v/>
      </c>
      <c r="H340" s="6">
        <f>IFERROR(NORM.DIST($A340,Config!$F$24,Config!$G$24,FALSE)*Config!$D$24*Config!$J$24,0)</f>
        <v/>
      </c>
    </row>
    <row r="341">
      <c r="A341">
        <f>Config!$K$24+19*Config!$J$24+Config!$J$24/2</f>
        <v/>
      </c>
      <c r="B341">
        <f>$A341-Config!$J$24/2</f>
        <v/>
      </c>
      <c r="C341">
        <f>$A341+Config!$J$24/2</f>
        <v/>
      </c>
      <c r="D341">
        <f>COUNTIFS(RawData!$C$2:$C$941,"MT",RawData!$Q$2:$Q$941,"&gt;="&amp;$B341,RawData!$Q$2:$Q$941,"&lt;"&amp;$C341,RawData!$Q$2:$Q$941,"&lt;&gt;0")</f>
        <v/>
      </c>
      <c r="E341">
        <f>IF(Config!$G$24=0,0,IF(ABS(($A341-Config!$F$24)/Config!$G$24)&lt;=2,$D341,0))</f>
        <v/>
      </c>
      <c r="F341">
        <f>IF(Config!$G$24=0,0,IF(AND(ABS(($A341-Config!$F$24)/Config!$G$24)&gt;2,ABS(($A341-Config!$F$24)/Config!$G$24)&lt;=3),$D341,0))</f>
        <v/>
      </c>
      <c r="G341">
        <f>IF(Config!$G$24=0,0,IF(ABS(($A341-Config!$F$24)/Config!$G$24)&gt;3,$D341,0))</f>
        <v/>
      </c>
      <c r="H341">
        <f>IFERROR(NORM.DIST($A341,Config!$F$24,Config!$G$24,FALSE)*Config!$D$24*Config!$J$24,0)</f>
        <v/>
      </c>
    </row>
    <row r="342">
      <c r="A342" s="6">
        <f>Config!$K$24+20*Config!$J$24+Config!$J$24/2</f>
        <v/>
      </c>
      <c r="B342" s="6">
        <f>$A342-Config!$J$24/2</f>
        <v/>
      </c>
      <c r="C342" s="6">
        <f>$A342+Config!$J$24/2</f>
        <v/>
      </c>
      <c r="D342" s="6">
        <f>COUNTIFS(RawData!$C$2:$C$941,"MT",RawData!$Q$2:$Q$941,"&gt;="&amp;$B342,RawData!$Q$2:$Q$941,"&lt;"&amp;$C342,RawData!$Q$2:$Q$941,"&lt;&gt;0")</f>
        <v/>
      </c>
      <c r="E342" s="6">
        <f>IF(Config!$G$24=0,0,IF(ABS(($A342-Config!$F$24)/Config!$G$24)&lt;=2,$D342,0))</f>
        <v/>
      </c>
      <c r="F342" s="6">
        <f>IF(Config!$G$24=0,0,IF(AND(ABS(($A342-Config!$F$24)/Config!$G$24)&gt;2,ABS(($A342-Config!$F$24)/Config!$G$24)&lt;=3),$D342,0))</f>
        <v/>
      </c>
      <c r="G342" s="6">
        <f>IF(Config!$G$24=0,0,IF(ABS(($A342-Config!$F$24)/Config!$G$24)&gt;3,$D342,0))</f>
        <v/>
      </c>
      <c r="H342" s="6">
        <f>IFERROR(NORM.DIST($A342,Config!$F$24,Config!$G$24,FALSE)*Config!$D$24*Config!$J$24,0)</f>
        <v/>
      </c>
    </row>
    <row r="343">
      <c r="A343">
        <f>Config!$K$24+21*Config!$J$24+Config!$J$24/2</f>
        <v/>
      </c>
      <c r="B343">
        <f>$A343-Config!$J$24/2</f>
        <v/>
      </c>
      <c r="C343">
        <f>$A343+Config!$J$24/2</f>
        <v/>
      </c>
      <c r="D343">
        <f>COUNTIFS(RawData!$C$2:$C$941,"MT",RawData!$Q$2:$Q$941,"&gt;="&amp;$B343,RawData!$Q$2:$Q$941,"&lt;"&amp;$C343,RawData!$Q$2:$Q$941,"&lt;&gt;0")</f>
        <v/>
      </c>
      <c r="E343">
        <f>IF(Config!$G$24=0,0,IF(ABS(($A343-Config!$F$24)/Config!$G$24)&lt;=2,$D343,0))</f>
        <v/>
      </c>
      <c r="F343">
        <f>IF(Config!$G$24=0,0,IF(AND(ABS(($A343-Config!$F$24)/Config!$G$24)&gt;2,ABS(($A343-Config!$F$24)/Config!$G$24)&lt;=3),$D343,0))</f>
        <v/>
      </c>
      <c r="G343">
        <f>IF(Config!$G$24=0,0,IF(ABS(($A343-Config!$F$24)/Config!$G$24)&gt;3,$D343,0))</f>
        <v/>
      </c>
      <c r="H343">
        <f>IFERROR(NORM.DIST($A343,Config!$F$24,Config!$G$24,FALSE)*Config!$D$24*Config!$J$24,0)</f>
        <v/>
      </c>
    </row>
    <row r="344">
      <c r="A344" s="6">
        <f>Config!$K$24+22*Config!$J$24+Config!$J$24/2</f>
        <v/>
      </c>
      <c r="B344" s="6">
        <f>$A344-Config!$J$24/2</f>
        <v/>
      </c>
      <c r="C344" s="6">
        <f>$A344+Config!$J$24/2</f>
        <v/>
      </c>
      <c r="D344" s="6">
        <f>COUNTIFS(RawData!$C$2:$C$941,"MT",RawData!$Q$2:$Q$941,"&gt;="&amp;$B344,RawData!$Q$2:$Q$941,"&lt;"&amp;$C344,RawData!$Q$2:$Q$941,"&lt;&gt;0")</f>
        <v/>
      </c>
      <c r="E344" s="6">
        <f>IF(Config!$G$24=0,0,IF(ABS(($A344-Config!$F$24)/Config!$G$24)&lt;=2,$D344,0))</f>
        <v/>
      </c>
      <c r="F344" s="6">
        <f>IF(Config!$G$24=0,0,IF(AND(ABS(($A344-Config!$F$24)/Config!$G$24)&gt;2,ABS(($A344-Config!$F$24)/Config!$G$24)&lt;=3),$D344,0))</f>
        <v/>
      </c>
      <c r="G344" s="6">
        <f>IF(Config!$G$24=0,0,IF(ABS(($A344-Config!$F$24)/Config!$G$24)&gt;3,$D344,0))</f>
        <v/>
      </c>
      <c r="H344" s="6">
        <f>IFERROR(NORM.DIST($A344,Config!$F$24,Config!$G$24,FALSE)*Config!$D$24*Config!$J$24,0)</f>
        <v/>
      </c>
    </row>
    <row r="345">
      <c r="A345">
        <f>Config!$K$24+23*Config!$J$24+Config!$J$24/2</f>
        <v/>
      </c>
      <c r="B345">
        <f>$A345-Config!$J$24/2</f>
        <v/>
      </c>
      <c r="C345">
        <f>$A345+Config!$J$24/2</f>
        <v/>
      </c>
      <c r="D345">
        <f>COUNTIFS(RawData!$C$2:$C$941,"MT",RawData!$Q$2:$Q$941,"&gt;="&amp;$B345,RawData!$Q$2:$Q$941,"&lt;"&amp;$C345,RawData!$Q$2:$Q$941,"&lt;&gt;0")</f>
        <v/>
      </c>
      <c r="E345">
        <f>IF(Config!$G$24=0,0,IF(ABS(($A345-Config!$F$24)/Config!$G$24)&lt;=2,$D345,0))</f>
        <v/>
      </c>
      <c r="F345">
        <f>IF(Config!$G$24=0,0,IF(AND(ABS(($A345-Config!$F$24)/Config!$G$24)&gt;2,ABS(($A345-Config!$F$24)/Config!$G$24)&lt;=3),$D345,0))</f>
        <v/>
      </c>
      <c r="G345">
        <f>IF(Config!$G$24=0,0,IF(ABS(($A345-Config!$F$24)/Config!$G$24)&gt;3,$D345,0))</f>
        <v/>
      </c>
      <c r="H345">
        <f>IFERROR(NORM.DIST($A345,Config!$F$24,Config!$G$24,FALSE)*Config!$D$24*Config!$J$24,0)</f>
        <v/>
      </c>
    </row>
    <row r="346">
      <c r="A346" s="6">
        <f>Config!$K$24+24*Config!$J$24+Config!$J$24/2</f>
        <v/>
      </c>
      <c r="B346" s="6">
        <f>$A346-Config!$J$24/2</f>
        <v/>
      </c>
      <c r="C346" s="6">
        <f>$A346+Config!$J$24/2</f>
        <v/>
      </c>
      <c r="D346" s="6">
        <f>COUNTIFS(RawData!$C$2:$C$941,"MT",RawData!$Q$2:$Q$941,"&gt;="&amp;$B346,RawData!$Q$2:$Q$941,"&lt;"&amp;$C346,RawData!$Q$2:$Q$941,"&lt;&gt;0")</f>
        <v/>
      </c>
      <c r="E346" s="6">
        <f>IF(Config!$G$24=0,0,IF(ABS(($A346-Config!$F$24)/Config!$G$24)&lt;=2,$D346,0))</f>
        <v/>
      </c>
      <c r="F346" s="6">
        <f>IF(Config!$G$24=0,0,IF(AND(ABS(($A346-Config!$F$24)/Config!$G$24)&gt;2,ABS(($A346-Config!$F$24)/Config!$G$24)&lt;=3),$D346,0))</f>
        <v/>
      </c>
      <c r="G346" s="6">
        <f>IF(Config!$G$24=0,0,IF(ABS(($A346-Config!$F$24)/Config!$G$24)&gt;3,$D346,0))</f>
        <v/>
      </c>
      <c r="H346" s="6">
        <f>IFERROR(NORM.DIST($A346,Config!$F$24,Config!$G$24,FALSE)*Config!$D$24*Config!$J$24,0)</f>
        <v/>
      </c>
    </row>
    <row r="347">
      <c r="A347">
        <f>Config!$K$24+25*Config!$J$24+Config!$J$24/2</f>
        <v/>
      </c>
      <c r="B347">
        <f>$A347-Config!$J$24/2</f>
        <v/>
      </c>
      <c r="C347">
        <f>$A347+Config!$J$24/2</f>
        <v/>
      </c>
      <c r="D347">
        <f>COUNTIFS(RawData!$C$2:$C$941,"MT",RawData!$Q$2:$Q$941,"&gt;="&amp;$B347,RawData!$Q$2:$Q$941,"&lt;"&amp;$C347,RawData!$Q$2:$Q$941,"&lt;&gt;0")</f>
        <v/>
      </c>
      <c r="E347">
        <f>IF(Config!$G$24=0,0,IF(ABS(($A347-Config!$F$24)/Config!$G$24)&lt;=2,$D347,0))</f>
        <v/>
      </c>
      <c r="F347">
        <f>IF(Config!$G$24=0,0,IF(AND(ABS(($A347-Config!$F$24)/Config!$G$24)&gt;2,ABS(($A347-Config!$F$24)/Config!$G$24)&lt;=3),$D347,0))</f>
        <v/>
      </c>
      <c r="G347">
        <f>IF(Config!$G$24=0,0,IF(ABS(($A347-Config!$F$24)/Config!$G$24)&gt;3,$D347,0))</f>
        <v/>
      </c>
      <c r="H347">
        <f>IFERROR(NORM.DIST($A347,Config!$F$24,Config!$G$24,FALSE)*Config!$D$24*Config!$J$24,0)</f>
        <v/>
      </c>
    </row>
    <row r="348">
      <c r="A348" s="6">
        <f>Config!$K$24+26*Config!$J$24+Config!$J$24/2</f>
        <v/>
      </c>
      <c r="B348" s="6">
        <f>$A348-Config!$J$24/2</f>
        <v/>
      </c>
      <c r="C348" s="6">
        <f>$A348+Config!$J$24/2</f>
        <v/>
      </c>
      <c r="D348" s="6">
        <f>COUNTIFS(RawData!$C$2:$C$941,"MT",RawData!$Q$2:$Q$941,"&gt;="&amp;$B348,RawData!$Q$2:$Q$941,"&lt;"&amp;$C348,RawData!$Q$2:$Q$941,"&lt;&gt;0")</f>
        <v/>
      </c>
      <c r="E348" s="6">
        <f>IF(Config!$G$24=0,0,IF(ABS(($A348-Config!$F$24)/Config!$G$24)&lt;=2,$D348,0))</f>
        <v/>
      </c>
      <c r="F348" s="6">
        <f>IF(Config!$G$24=0,0,IF(AND(ABS(($A348-Config!$F$24)/Config!$G$24)&gt;2,ABS(($A348-Config!$F$24)/Config!$G$24)&lt;=3),$D348,0))</f>
        <v/>
      </c>
      <c r="G348" s="6">
        <f>IF(Config!$G$24=0,0,IF(ABS(($A348-Config!$F$24)/Config!$G$24)&gt;3,$D348,0))</f>
        <v/>
      </c>
      <c r="H348" s="6">
        <f>IFERROR(NORM.DIST($A348,Config!$F$24,Config!$G$24,FALSE)*Config!$D$24*Config!$J$24,0)</f>
        <v/>
      </c>
    </row>
    <row r="349">
      <c r="A349">
        <f>Config!$K$24+27*Config!$J$24+Config!$J$24/2</f>
        <v/>
      </c>
      <c r="B349">
        <f>$A349-Config!$J$24/2</f>
        <v/>
      </c>
      <c r="C349">
        <f>$A349+Config!$J$24/2</f>
        <v/>
      </c>
      <c r="D349">
        <f>COUNTIFS(RawData!$C$2:$C$941,"MT",RawData!$Q$2:$Q$941,"&gt;="&amp;$B349,RawData!$Q$2:$Q$941,"&lt;"&amp;$C349,RawData!$Q$2:$Q$941,"&lt;&gt;0")</f>
        <v/>
      </c>
      <c r="E349">
        <f>IF(Config!$G$24=0,0,IF(ABS(($A349-Config!$F$24)/Config!$G$24)&lt;=2,$D349,0))</f>
        <v/>
      </c>
      <c r="F349">
        <f>IF(Config!$G$24=0,0,IF(AND(ABS(($A349-Config!$F$24)/Config!$G$24)&gt;2,ABS(($A349-Config!$F$24)/Config!$G$24)&lt;=3),$D349,0))</f>
        <v/>
      </c>
      <c r="G349">
        <f>IF(Config!$G$24=0,0,IF(ABS(($A349-Config!$F$24)/Config!$G$24)&gt;3,$D349,0))</f>
        <v/>
      </c>
      <c r="H349">
        <f>IFERROR(NORM.DIST($A349,Config!$F$24,Config!$G$24,FALSE)*Config!$D$24*Config!$J$24,0)</f>
        <v/>
      </c>
    </row>
    <row r="350">
      <c r="A350" s="6">
        <f>Config!$K$24+28*Config!$J$24+Config!$J$24/2</f>
        <v/>
      </c>
      <c r="B350" s="6">
        <f>$A350-Config!$J$24/2</f>
        <v/>
      </c>
      <c r="C350" s="6">
        <f>$A350+Config!$J$24/2</f>
        <v/>
      </c>
      <c r="D350" s="6">
        <f>COUNTIFS(RawData!$C$2:$C$941,"MT",RawData!$Q$2:$Q$941,"&gt;="&amp;$B350,RawData!$Q$2:$Q$941,"&lt;"&amp;$C350,RawData!$Q$2:$Q$941,"&lt;&gt;0")</f>
        <v/>
      </c>
      <c r="E350" s="6">
        <f>IF(Config!$G$24=0,0,IF(ABS(($A350-Config!$F$24)/Config!$G$24)&lt;=2,$D350,0))</f>
        <v/>
      </c>
      <c r="F350" s="6">
        <f>IF(Config!$G$24=0,0,IF(AND(ABS(($A350-Config!$F$24)/Config!$G$24)&gt;2,ABS(($A350-Config!$F$24)/Config!$G$24)&lt;=3),$D350,0))</f>
        <v/>
      </c>
      <c r="G350" s="6">
        <f>IF(Config!$G$24=0,0,IF(ABS(($A350-Config!$F$24)/Config!$G$24)&gt;3,$D350,0))</f>
        <v/>
      </c>
      <c r="H350" s="6">
        <f>IFERROR(NORM.DIST($A350,Config!$F$24,Config!$G$24,FALSE)*Config!$D$24*Config!$J$24,0)</f>
        <v/>
      </c>
    </row>
    <row r="351">
      <c r="A351">
        <f>Config!$K$24+29*Config!$J$24+Config!$J$24/2</f>
        <v/>
      </c>
      <c r="B351">
        <f>$A351-Config!$J$24/2</f>
        <v/>
      </c>
      <c r="C351">
        <f>$A351+Config!$J$24/2</f>
        <v/>
      </c>
      <c r="D351">
        <f>COUNTIFS(RawData!$C$2:$C$941,"MT",RawData!$Q$2:$Q$941,"&gt;="&amp;$B351,RawData!$Q$2:$Q$941,"&lt;"&amp;$C351,RawData!$Q$2:$Q$941,"&lt;&gt;0")</f>
        <v/>
      </c>
      <c r="E351">
        <f>IF(Config!$G$24=0,0,IF(ABS(($A351-Config!$F$24)/Config!$G$24)&lt;=2,$D351,0))</f>
        <v/>
      </c>
      <c r="F351">
        <f>IF(Config!$G$24=0,0,IF(AND(ABS(($A351-Config!$F$24)/Config!$G$24)&gt;2,ABS(($A351-Config!$F$24)/Config!$G$24)&lt;=3),$D351,0))</f>
        <v/>
      </c>
      <c r="G351">
        <f>IF(Config!$G$24=0,0,IF(ABS(($A351-Config!$F$24)/Config!$G$24)&gt;3,$D351,0))</f>
        <v/>
      </c>
      <c r="H351">
        <f>IFERROR(NORM.DIST($A351,Config!$F$24,Config!$G$24,FALSE)*Config!$D$24*Config!$J$24,0)</f>
        <v/>
      </c>
    </row>
    <row r="353">
      <c r="A353" s="5" t="inlineStr">
        <is>
          <t>BinCenter</t>
        </is>
      </c>
      <c r="B353" s="5" t="inlineStr">
        <is>
          <t>BinLo</t>
        </is>
      </c>
      <c r="C353" s="5" t="inlineStr">
        <is>
          <t>BinHi</t>
        </is>
      </c>
      <c r="D353" s="5" t="inlineStr">
        <is>
          <t>TotalCount</t>
        </is>
      </c>
      <c r="E353" s="5" t="inlineStr">
        <is>
          <t>Normal</t>
        </is>
      </c>
      <c r="F353" s="5" t="inlineStr">
        <is>
          <t>Warning(2-3s)</t>
        </is>
      </c>
      <c r="G353" s="5" t="inlineStr">
        <is>
          <t>Outlier(&gt;3s)</t>
        </is>
      </c>
      <c r="H353" s="5" t="inlineStr">
        <is>
          <t>CurveY</t>
        </is>
      </c>
    </row>
    <row r="354">
      <c r="A354" s="6">
        <f>Config!$K$25+0*Config!$J$25+Config!$J$25/2</f>
        <v/>
      </c>
      <c r="B354" s="6">
        <f>$A354-Config!$J$25/2</f>
        <v/>
      </c>
      <c r="C354" s="6">
        <f>$A354+Config!$J$25/2</f>
        <v/>
      </c>
      <c r="D354" s="6">
        <f>COUNTIFS(RawData!$C$2:$C$941,"MT",RawData!$R$2:$R$941,"&gt;="&amp;$B354,RawData!$R$2:$R$941,"&lt;"&amp;$C354,RawData!$R$2:$R$941,"&lt;&gt;0")</f>
        <v/>
      </c>
      <c r="E354" s="6">
        <f>IF(Config!$G$25=0,0,IF(ABS(($A354-Config!$F$25)/Config!$G$25)&lt;=2,$D354,0))</f>
        <v/>
      </c>
      <c r="F354" s="6">
        <f>IF(Config!$G$25=0,0,IF(AND(ABS(($A354-Config!$F$25)/Config!$G$25)&gt;2,ABS(($A354-Config!$F$25)/Config!$G$25)&lt;=3),$D354,0))</f>
        <v/>
      </c>
      <c r="G354" s="6">
        <f>IF(Config!$G$25=0,0,IF(ABS(($A354-Config!$F$25)/Config!$G$25)&gt;3,$D354,0))</f>
        <v/>
      </c>
      <c r="H354" s="6">
        <f>IFERROR(NORM.DIST($A354,Config!$F$25,Config!$G$25,FALSE)*Config!$D$25*Config!$J$25,0)</f>
        <v/>
      </c>
    </row>
    <row r="355">
      <c r="A355">
        <f>Config!$K$25+1*Config!$J$25+Config!$J$25/2</f>
        <v/>
      </c>
      <c r="B355">
        <f>$A355-Config!$J$25/2</f>
        <v/>
      </c>
      <c r="C355">
        <f>$A355+Config!$J$25/2</f>
        <v/>
      </c>
      <c r="D355">
        <f>COUNTIFS(RawData!$C$2:$C$941,"MT",RawData!$R$2:$R$941,"&gt;="&amp;$B355,RawData!$R$2:$R$941,"&lt;"&amp;$C355,RawData!$R$2:$R$941,"&lt;&gt;0")</f>
        <v/>
      </c>
      <c r="E355">
        <f>IF(Config!$G$25=0,0,IF(ABS(($A355-Config!$F$25)/Config!$G$25)&lt;=2,$D355,0))</f>
        <v/>
      </c>
      <c r="F355">
        <f>IF(Config!$G$25=0,0,IF(AND(ABS(($A355-Config!$F$25)/Config!$G$25)&gt;2,ABS(($A355-Config!$F$25)/Config!$G$25)&lt;=3),$D355,0))</f>
        <v/>
      </c>
      <c r="G355">
        <f>IF(Config!$G$25=0,0,IF(ABS(($A355-Config!$F$25)/Config!$G$25)&gt;3,$D355,0))</f>
        <v/>
      </c>
      <c r="H355">
        <f>IFERROR(NORM.DIST($A355,Config!$F$25,Config!$G$25,FALSE)*Config!$D$25*Config!$J$25,0)</f>
        <v/>
      </c>
    </row>
    <row r="356">
      <c r="A356" s="6">
        <f>Config!$K$25+2*Config!$J$25+Config!$J$25/2</f>
        <v/>
      </c>
      <c r="B356" s="6">
        <f>$A356-Config!$J$25/2</f>
        <v/>
      </c>
      <c r="C356" s="6">
        <f>$A356+Config!$J$25/2</f>
        <v/>
      </c>
      <c r="D356" s="6">
        <f>COUNTIFS(RawData!$C$2:$C$941,"MT",RawData!$R$2:$R$941,"&gt;="&amp;$B356,RawData!$R$2:$R$941,"&lt;"&amp;$C356,RawData!$R$2:$R$941,"&lt;&gt;0")</f>
        <v/>
      </c>
      <c r="E356" s="6">
        <f>IF(Config!$G$25=0,0,IF(ABS(($A356-Config!$F$25)/Config!$G$25)&lt;=2,$D356,0))</f>
        <v/>
      </c>
      <c r="F356" s="6">
        <f>IF(Config!$G$25=0,0,IF(AND(ABS(($A356-Config!$F$25)/Config!$G$25)&gt;2,ABS(($A356-Config!$F$25)/Config!$G$25)&lt;=3),$D356,0))</f>
        <v/>
      </c>
      <c r="G356" s="6">
        <f>IF(Config!$G$25=0,0,IF(ABS(($A356-Config!$F$25)/Config!$G$25)&gt;3,$D356,0))</f>
        <v/>
      </c>
      <c r="H356" s="6">
        <f>IFERROR(NORM.DIST($A356,Config!$F$25,Config!$G$25,FALSE)*Config!$D$25*Config!$J$25,0)</f>
        <v/>
      </c>
    </row>
    <row r="357">
      <c r="A357">
        <f>Config!$K$25+3*Config!$J$25+Config!$J$25/2</f>
        <v/>
      </c>
      <c r="B357">
        <f>$A357-Config!$J$25/2</f>
        <v/>
      </c>
      <c r="C357">
        <f>$A357+Config!$J$25/2</f>
        <v/>
      </c>
      <c r="D357">
        <f>COUNTIFS(RawData!$C$2:$C$941,"MT",RawData!$R$2:$R$941,"&gt;="&amp;$B357,RawData!$R$2:$R$941,"&lt;"&amp;$C357,RawData!$R$2:$R$941,"&lt;&gt;0")</f>
        <v/>
      </c>
      <c r="E357">
        <f>IF(Config!$G$25=0,0,IF(ABS(($A357-Config!$F$25)/Config!$G$25)&lt;=2,$D357,0))</f>
        <v/>
      </c>
      <c r="F357">
        <f>IF(Config!$G$25=0,0,IF(AND(ABS(($A357-Config!$F$25)/Config!$G$25)&gt;2,ABS(($A357-Config!$F$25)/Config!$G$25)&lt;=3),$D357,0))</f>
        <v/>
      </c>
      <c r="G357">
        <f>IF(Config!$G$25=0,0,IF(ABS(($A357-Config!$F$25)/Config!$G$25)&gt;3,$D357,0))</f>
        <v/>
      </c>
      <c r="H357">
        <f>IFERROR(NORM.DIST($A357,Config!$F$25,Config!$G$25,FALSE)*Config!$D$25*Config!$J$25,0)</f>
        <v/>
      </c>
    </row>
    <row r="358">
      <c r="A358" s="6">
        <f>Config!$K$25+4*Config!$J$25+Config!$J$25/2</f>
        <v/>
      </c>
      <c r="B358" s="6">
        <f>$A358-Config!$J$25/2</f>
        <v/>
      </c>
      <c r="C358" s="6">
        <f>$A358+Config!$J$25/2</f>
        <v/>
      </c>
      <c r="D358" s="6">
        <f>COUNTIFS(RawData!$C$2:$C$941,"MT",RawData!$R$2:$R$941,"&gt;="&amp;$B358,RawData!$R$2:$R$941,"&lt;"&amp;$C358,RawData!$R$2:$R$941,"&lt;&gt;0")</f>
        <v/>
      </c>
      <c r="E358" s="6">
        <f>IF(Config!$G$25=0,0,IF(ABS(($A358-Config!$F$25)/Config!$G$25)&lt;=2,$D358,0))</f>
        <v/>
      </c>
      <c r="F358" s="6">
        <f>IF(Config!$G$25=0,0,IF(AND(ABS(($A358-Config!$F$25)/Config!$G$25)&gt;2,ABS(($A358-Config!$F$25)/Config!$G$25)&lt;=3),$D358,0))</f>
        <v/>
      </c>
      <c r="G358" s="6">
        <f>IF(Config!$G$25=0,0,IF(ABS(($A358-Config!$F$25)/Config!$G$25)&gt;3,$D358,0))</f>
        <v/>
      </c>
      <c r="H358" s="6">
        <f>IFERROR(NORM.DIST($A358,Config!$F$25,Config!$G$25,FALSE)*Config!$D$25*Config!$J$25,0)</f>
        <v/>
      </c>
    </row>
    <row r="359">
      <c r="A359">
        <f>Config!$K$25+5*Config!$J$25+Config!$J$25/2</f>
        <v/>
      </c>
      <c r="B359">
        <f>$A359-Config!$J$25/2</f>
        <v/>
      </c>
      <c r="C359">
        <f>$A359+Config!$J$25/2</f>
        <v/>
      </c>
      <c r="D359">
        <f>COUNTIFS(RawData!$C$2:$C$941,"MT",RawData!$R$2:$R$941,"&gt;="&amp;$B359,RawData!$R$2:$R$941,"&lt;"&amp;$C359,RawData!$R$2:$R$941,"&lt;&gt;0")</f>
        <v/>
      </c>
      <c r="E359">
        <f>IF(Config!$G$25=0,0,IF(ABS(($A359-Config!$F$25)/Config!$G$25)&lt;=2,$D359,0))</f>
        <v/>
      </c>
      <c r="F359">
        <f>IF(Config!$G$25=0,0,IF(AND(ABS(($A359-Config!$F$25)/Config!$G$25)&gt;2,ABS(($A359-Config!$F$25)/Config!$G$25)&lt;=3),$D359,0))</f>
        <v/>
      </c>
      <c r="G359">
        <f>IF(Config!$G$25=0,0,IF(ABS(($A359-Config!$F$25)/Config!$G$25)&gt;3,$D359,0))</f>
        <v/>
      </c>
      <c r="H359">
        <f>IFERROR(NORM.DIST($A359,Config!$F$25,Config!$G$25,FALSE)*Config!$D$25*Config!$J$25,0)</f>
        <v/>
      </c>
    </row>
    <row r="360">
      <c r="A360" s="6">
        <f>Config!$K$25+6*Config!$J$25+Config!$J$25/2</f>
        <v/>
      </c>
      <c r="B360" s="6">
        <f>$A360-Config!$J$25/2</f>
        <v/>
      </c>
      <c r="C360" s="6">
        <f>$A360+Config!$J$25/2</f>
        <v/>
      </c>
      <c r="D360" s="6">
        <f>COUNTIFS(RawData!$C$2:$C$941,"MT",RawData!$R$2:$R$941,"&gt;="&amp;$B360,RawData!$R$2:$R$941,"&lt;"&amp;$C360,RawData!$R$2:$R$941,"&lt;&gt;0")</f>
        <v/>
      </c>
      <c r="E360" s="6">
        <f>IF(Config!$G$25=0,0,IF(ABS(($A360-Config!$F$25)/Config!$G$25)&lt;=2,$D360,0))</f>
        <v/>
      </c>
      <c r="F360" s="6">
        <f>IF(Config!$G$25=0,0,IF(AND(ABS(($A360-Config!$F$25)/Config!$G$25)&gt;2,ABS(($A360-Config!$F$25)/Config!$G$25)&lt;=3),$D360,0))</f>
        <v/>
      </c>
      <c r="G360" s="6">
        <f>IF(Config!$G$25=0,0,IF(ABS(($A360-Config!$F$25)/Config!$G$25)&gt;3,$D360,0))</f>
        <v/>
      </c>
      <c r="H360" s="6">
        <f>IFERROR(NORM.DIST($A360,Config!$F$25,Config!$G$25,FALSE)*Config!$D$25*Config!$J$25,0)</f>
        <v/>
      </c>
    </row>
    <row r="361">
      <c r="A361">
        <f>Config!$K$25+7*Config!$J$25+Config!$J$25/2</f>
        <v/>
      </c>
      <c r="B361">
        <f>$A361-Config!$J$25/2</f>
        <v/>
      </c>
      <c r="C361">
        <f>$A361+Config!$J$25/2</f>
        <v/>
      </c>
      <c r="D361">
        <f>COUNTIFS(RawData!$C$2:$C$941,"MT",RawData!$R$2:$R$941,"&gt;="&amp;$B361,RawData!$R$2:$R$941,"&lt;"&amp;$C361,RawData!$R$2:$R$941,"&lt;&gt;0")</f>
        <v/>
      </c>
      <c r="E361">
        <f>IF(Config!$G$25=0,0,IF(ABS(($A361-Config!$F$25)/Config!$G$25)&lt;=2,$D361,0))</f>
        <v/>
      </c>
      <c r="F361">
        <f>IF(Config!$G$25=0,0,IF(AND(ABS(($A361-Config!$F$25)/Config!$G$25)&gt;2,ABS(($A361-Config!$F$25)/Config!$G$25)&lt;=3),$D361,0))</f>
        <v/>
      </c>
      <c r="G361">
        <f>IF(Config!$G$25=0,0,IF(ABS(($A361-Config!$F$25)/Config!$G$25)&gt;3,$D361,0))</f>
        <v/>
      </c>
      <c r="H361">
        <f>IFERROR(NORM.DIST($A361,Config!$F$25,Config!$G$25,FALSE)*Config!$D$25*Config!$J$25,0)</f>
        <v/>
      </c>
    </row>
    <row r="362">
      <c r="A362" s="6">
        <f>Config!$K$25+8*Config!$J$25+Config!$J$25/2</f>
        <v/>
      </c>
      <c r="B362" s="6">
        <f>$A362-Config!$J$25/2</f>
        <v/>
      </c>
      <c r="C362" s="6">
        <f>$A362+Config!$J$25/2</f>
        <v/>
      </c>
      <c r="D362" s="6">
        <f>COUNTIFS(RawData!$C$2:$C$941,"MT",RawData!$R$2:$R$941,"&gt;="&amp;$B362,RawData!$R$2:$R$941,"&lt;"&amp;$C362,RawData!$R$2:$R$941,"&lt;&gt;0")</f>
        <v/>
      </c>
      <c r="E362" s="6">
        <f>IF(Config!$G$25=0,0,IF(ABS(($A362-Config!$F$25)/Config!$G$25)&lt;=2,$D362,0))</f>
        <v/>
      </c>
      <c r="F362" s="6">
        <f>IF(Config!$G$25=0,0,IF(AND(ABS(($A362-Config!$F$25)/Config!$G$25)&gt;2,ABS(($A362-Config!$F$25)/Config!$G$25)&lt;=3),$D362,0))</f>
        <v/>
      </c>
      <c r="G362" s="6">
        <f>IF(Config!$G$25=0,0,IF(ABS(($A362-Config!$F$25)/Config!$G$25)&gt;3,$D362,0))</f>
        <v/>
      </c>
      <c r="H362" s="6">
        <f>IFERROR(NORM.DIST($A362,Config!$F$25,Config!$G$25,FALSE)*Config!$D$25*Config!$J$25,0)</f>
        <v/>
      </c>
    </row>
    <row r="363">
      <c r="A363">
        <f>Config!$K$25+9*Config!$J$25+Config!$J$25/2</f>
        <v/>
      </c>
      <c r="B363">
        <f>$A363-Config!$J$25/2</f>
        <v/>
      </c>
      <c r="C363">
        <f>$A363+Config!$J$25/2</f>
        <v/>
      </c>
      <c r="D363">
        <f>COUNTIFS(RawData!$C$2:$C$941,"MT",RawData!$R$2:$R$941,"&gt;="&amp;$B363,RawData!$R$2:$R$941,"&lt;"&amp;$C363,RawData!$R$2:$R$941,"&lt;&gt;0")</f>
        <v/>
      </c>
      <c r="E363">
        <f>IF(Config!$G$25=0,0,IF(ABS(($A363-Config!$F$25)/Config!$G$25)&lt;=2,$D363,0))</f>
        <v/>
      </c>
      <c r="F363">
        <f>IF(Config!$G$25=0,0,IF(AND(ABS(($A363-Config!$F$25)/Config!$G$25)&gt;2,ABS(($A363-Config!$F$25)/Config!$G$25)&lt;=3),$D363,0))</f>
        <v/>
      </c>
      <c r="G363">
        <f>IF(Config!$G$25=0,0,IF(ABS(($A363-Config!$F$25)/Config!$G$25)&gt;3,$D363,0))</f>
        <v/>
      </c>
      <c r="H363">
        <f>IFERROR(NORM.DIST($A363,Config!$F$25,Config!$G$25,FALSE)*Config!$D$25*Config!$J$25,0)</f>
        <v/>
      </c>
    </row>
    <row r="364">
      <c r="A364" s="6">
        <f>Config!$K$25+10*Config!$J$25+Config!$J$25/2</f>
        <v/>
      </c>
      <c r="B364" s="6">
        <f>$A364-Config!$J$25/2</f>
        <v/>
      </c>
      <c r="C364" s="6">
        <f>$A364+Config!$J$25/2</f>
        <v/>
      </c>
      <c r="D364" s="6">
        <f>COUNTIFS(RawData!$C$2:$C$941,"MT",RawData!$R$2:$R$941,"&gt;="&amp;$B364,RawData!$R$2:$R$941,"&lt;"&amp;$C364,RawData!$R$2:$R$941,"&lt;&gt;0")</f>
        <v/>
      </c>
      <c r="E364" s="6">
        <f>IF(Config!$G$25=0,0,IF(ABS(($A364-Config!$F$25)/Config!$G$25)&lt;=2,$D364,0))</f>
        <v/>
      </c>
      <c r="F364" s="6">
        <f>IF(Config!$G$25=0,0,IF(AND(ABS(($A364-Config!$F$25)/Config!$G$25)&gt;2,ABS(($A364-Config!$F$25)/Config!$G$25)&lt;=3),$D364,0))</f>
        <v/>
      </c>
      <c r="G364" s="6">
        <f>IF(Config!$G$25=0,0,IF(ABS(($A364-Config!$F$25)/Config!$G$25)&gt;3,$D364,0))</f>
        <v/>
      </c>
      <c r="H364" s="6">
        <f>IFERROR(NORM.DIST($A364,Config!$F$25,Config!$G$25,FALSE)*Config!$D$25*Config!$J$25,0)</f>
        <v/>
      </c>
    </row>
    <row r="365">
      <c r="A365">
        <f>Config!$K$25+11*Config!$J$25+Config!$J$25/2</f>
        <v/>
      </c>
      <c r="B365">
        <f>$A365-Config!$J$25/2</f>
        <v/>
      </c>
      <c r="C365">
        <f>$A365+Config!$J$25/2</f>
        <v/>
      </c>
      <c r="D365">
        <f>COUNTIFS(RawData!$C$2:$C$941,"MT",RawData!$R$2:$R$941,"&gt;="&amp;$B365,RawData!$R$2:$R$941,"&lt;"&amp;$C365,RawData!$R$2:$R$941,"&lt;&gt;0")</f>
        <v/>
      </c>
      <c r="E365">
        <f>IF(Config!$G$25=0,0,IF(ABS(($A365-Config!$F$25)/Config!$G$25)&lt;=2,$D365,0))</f>
        <v/>
      </c>
      <c r="F365">
        <f>IF(Config!$G$25=0,0,IF(AND(ABS(($A365-Config!$F$25)/Config!$G$25)&gt;2,ABS(($A365-Config!$F$25)/Config!$G$25)&lt;=3),$D365,0))</f>
        <v/>
      </c>
      <c r="G365">
        <f>IF(Config!$G$25=0,0,IF(ABS(($A365-Config!$F$25)/Config!$G$25)&gt;3,$D365,0))</f>
        <v/>
      </c>
      <c r="H365">
        <f>IFERROR(NORM.DIST($A365,Config!$F$25,Config!$G$25,FALSE)*Config!$D$25*Config!$J$25,0)</f>
        <v/>
      </c>
    </row>
    <row r="366">
      <c r="A366" s="6">
        <f>Config!$K$25+12*Config!$J$25+Config!$J$25/2</f>
        <v/>
      </c>
      <c r="B366" s="6">
        <f>$A366-Config!$J$25/2</f>
        <v/>
      </c>
      <c r="C366" s="6">
        <f>$A366+Config!$J$25/2</f>
        <v/>
      </c>
      <c r="D366" s="6">
        <f>COUNTIFS(RawData!$C$2:$C$941,"MT",RawData!$R$2:$R$941,"&gt;="&amp;$B366,RawData!$R$2:$R$941,"&lt;"&amp;$C366,RawData!$R$2:$R$941,"&lt;&gt;0")</f>
        <v/>
      </c>
      <c r="E366" s="6">
        <f>IF(Config!$G$25=0,0,IF(ABS(($A366-Config!$F$25)/Config!$G$25)&lt;=2,$D366,0))</f>
        <v/>
      </c>
      <c r="F366" s="6">
        <f>IF(Config!$G$25=0,0,IF(AND(ABS(($A366-Config!$F$25)/Config!$G$25)&gt;2,ABS(($A366-Config!$F$25)/Config!$G$25)&lt;=3),$D366,0))</f>
        <v/>
      </c>
      <c r="G366" s="6">
        <f>IF(Config!$G$25=0,0,IF(ABS(($A366-Config!$F$25)/Config!$G$25)&gt;3,$D366,0))</f>
        <v/>
      </c>
      <c r="H366" s="6">
        <f>IFERROR(NORM.DIST($A366,Config!$F$25,Config!$G$25,FALSE)*Config!$D$25*Config!$J$25,0)</f>
        <v/>
      </c>
    </row>
    <row r="367">
      <c r="A367">
        <f>Config!$K$25+13*Config!$J$25+Config!$J$25/2</f>
        <v/>
      </c>
      <c r="B367">
        <f>$A367-Config!$J$25/2</f>
        <v/>
      </c>
      <c r="C367">
        <f>$A367+Config!$J$25/2</f>
        <v/>
      </c>
      <c r="D367">
        <f>COUNTIFS(RawData!$C$2:$C$941,"MT",RawData!$R$2:$R$941,"&gt;="&amp;$B367,RawData!$R$2:$R$941,"&lt;"&amp;$C367,RawData!$R$2:$R$941,"&lt;&gt;0")</f>
        <v/>
      </c>
      <c r="E367">
        <f>IF(Config!$G$25=0,0,IF(ABS(($A367-Config!$F$25)/Config!$G$25)&lt;=2,$D367,0))</f>
        <v/>
      </c>
      <c r="F367">
        <f>IF(Config!$G$25=0,0,IF(AND(ABS(($A367-Config!$F$25)/Config!$G$25)&gt;2,ABS(($A367-Config!$F$25)/Config!$G$25)&lt;=3),$D367,0))</f>
        <v/>
      </c>
      <c r="G367">
        <f>IF(Config!$G$25=0,0,IF(ABS(($A367-Config!$F$25)/Config!$G$25)&gt;3,$D367,0))</f>
        <v/>
      </c>
      <c r="H367">
        <f>IFERROR(NORM.DIST($A367,Config!$F$25,Config!$G$25,FALSE)*Config!$D$25*Config!$J$25,0)</f>
        <v/>
      </c>
    </row>
    <row r="368">
      <c r="A368" s="6">
        <f>Config!$K$25+14*Config!$J$25+Config!$J$25/2</f>
        <v/>
      </c>
      <c r="B368" s="6">
        <f>$A368-Config!$J$25/2</f>
        <v/>
      </c>
      <c r="C368" s="6">
        <f>$A368+Config!$J$25/2</f>
        <v/>
      </c>
      <c r="D368" s="6">
        <f>COUNTIFS(RawData!$C$2:$C$941,"MT",RawData!$R$2:$R$941,"&gt;="&amp;$B368,RawData!$R$2:$R$941,"&lt;"&amp;$C368,RawData!$R$2:$R$941,"&lt;&gt;0")</f>
        <v/>
      </c>
      <c r="E368" s="6">
        <f>IF(Config!$G$25=0,0,IF(ABS(($A368-Config!$F$25)/Config!$G$25)&lt;=2,$D368,0))</f>
        <v/>
      </c>
      <c r="F368" s="6">
        <f>IF(Config!$G$25=0,0,IF(AND(ABS(($A368-Config!$F$25)/Config!$G$25)&gt;2,ABS(($A368-Config!$F$25)/Config!$G$25)&lt;=3),$D368,0))</f>
        <v/>
      </c>
      <c r="G368" s="6">
        <f>IF(Config!$G$25=0,0,IF(ABS(($A368-Config!$F$25)/Config!$G$25)&gt;3,$D368,0))</f>
        <v/>
      </c>
      <c r="H368" s="6">
        <f>IFERROR(NORM.DIST($A368,Config!$F$25,Config!$G$25,FALSE)*Config!$D$25*Config!$J$25,0)</f>
        <v/>
      </c>
    </row>
    <row r="369">
      <c r="A369">
        <f>Config!$K$25+15*Config!$J$25+Config!$J$25/2</f>
        <v/>
      </c>
      <c r="B369">
        <f>$A369-Config!$J$25/2</f>
        <v/>
      </c>
      <c r="C369">
        <f>$A369+Config!$J$25/2</f>
        <v/>
      </c>
      <c r="D369">
        <f>COUNTIFS(RawData!$C$2:$C$941,"MT",RawData!$R$2:$R$941,"&gt;="&amp;$B369,RawData!$R$2:$R$941,"&lt;"&amp;$C369,RawData!$R$2:$R$941,"&lt;&gt;0")</f>
        <v/>
      </c>
      <c r="E369">
        <f>IF(Config!$G$25=0,0,IF(ABS(($A369-Config!$F$25)/Config!$G$25)&lt;=2,$D369,0))</f>
        <v/>
      </c>
      <c r="F369">
        <f>IF(Config!$G$25=0,0,IF(AND(ABS(($A369-Config!$F$25)/Config!$G$25)&gt;2,ABS(($A369-Config!$F$25)/Config!$G$25)&lt;=3),$D369,0))</f>
        <v/>
      </c>
      <c r="G369">
        <f>IF(Config!$G$25=0,0,IF(ABS(($A369-Config!$F$25)/Config!$G$25)&gt;3,$D369,0))</f>
        <v/>
      </c>
      <c r="H369">
        <f>IFERROR(NORM.DIST($A369,Config!$F$25,Config!$G$25,FALSE)*Config!$D$25*Config!$J$25,0)</f>
        <v/>
      </c>
    </row>
    <row r="370">
      <c r="A370" s="6">
        <f>Config!$K$25+16*Config!$J$25+Config!$J$25/2</f>
        <v/>
      </c>
      <c r="B370" s="6">
        <f>$A370-Config!$J$25/2</f>
        <v/>
      </c>
      <c r="C370" s="6">
        <f>$A370+Config!$J$25/2</f>
        <v/>
      </c>
      <c r="D370" s="6">
        <f>COUNTIFS(RawData!$C$2:$C$941,"MT",RawData!$R$2:$R$941,"&gt;="&amp;$B370,RawData!$R$2:$R$941,"&lt;"&amp;$C370,RawData!$R$2:$R$941,"&lt;&gt;0")</f>
        <v/>
      </c>
      <c r="E370" s="6">
        <f>IF(Config!$G$25=0,0,IF(ABS(($A370-Config!$F$25)/Config!$G$25)&lt;=2,$D370,0))</f>
        <v/>
      </c>
      <c r="F370" s="6">
        <f>IF(Config!$G$25=0,0,IF(AND(ABS(($A370-Config!$F$25)/Config!$G$25)&gt;2,ABS(($A370-Config!$F$25)/Config!$G$25)&lt;=3),$D370,0))</f>
        <v/>
      </c>
      <c r="G370" s="6">
        <f>IF(Config!$G$25=0,0,IF(ABS(($A370-Config!$F$25)/Config!$G$25)&gt;3,$D370,0))</f>
        <v/>
      </c>
      <c r="H370" s="6">
        <f>IFERROR(NORM.DIST($A370,Config!$F$25,Config!$G$25,FALSE)*Config!$D$25*Config!$J$25,0)</f>
        <v/>
      </c>
    </row>
    <row r="371">
      <c r="A371">
        <f>Config!$K$25+17*Config!$J$25+Config!$J$25/2</f>
        <v/>
      </c>
      <c r="B371">
        <f>$A371-Config!$J$25/2</f>
        <v/>
      </c>
      <c r="C371">
        <f>$A371+Config!$J$25/2</f>
        <v/>
      </c>
      <c r="D371">
        <f>COUNTIFS(RawData!$C$2:$C$941,"MT",RawData!$R$2:$R$941,"&gt;="&amp;$B371,RawData!$R$2:$R$941,"&lt;"&amp;$C371,RawData!$R$2:$R$941,"&lt;&gt;0")</f>
        <v/>
      </c>
      <c r="E371">
        <f>IF(Config!$G$25=0,0,IF(ABS(($A371-Config!$F$25)/Config!$G$25)&lt;=2,$D371,0))</f>
        <v/>
      </c>
      <c r="F371">
        <f>IF(Config!$G$25=0,0,IF(AND(ABS(($A371-Config!$F$25)/Config!$G$25)&gt;2,ABS(($A371-Config!$F$25)/Config!$G$25)&lt;=3),$D371,0))</f>
        <v/>
      </c>
      <c r="G371">
        <f>IF(Config!$G$25=0,0,IF(ABS(($A371-Config!$F$25)/Config!$G$25)&gt;3,$D371,0))</f>
        <v/>
      </c>
      <c r="H371">
        <f>IFERROR(NORM.DIST($A371,Config!$F$25,Config!$G$25,FALSE)*Config!$D$25*Config!$J$25,0)</f>
        <v/>
      </c>
    </row>
    <row r="372">
      <c r="A372" s="6">
        <f>Config!$K$25+18*Config!$J$25+Config!$J$25/2</f>
        <v/>
      </c>
      <c r="B372" s="6">
        <f>$A372-Config!$J$25/2</f>
        <v/>
      </c>
      <c r="C372" s="6">
        <f>$A372+Config!$J$25/2</f>
        <v/>
      </c>
      <c r="D372" s="6">
        <f>COUNTIFS(RawData!$C$2:$C$941,"MT",RawData!$R$2:$R$941,"&gt;="&amp;$B372,RawData!$R$2:$R$941,"&lt;"&amp;$C372,RawData!$R$2:$R$941,"&lt;&gt;0")</f>
        <v/>
      </c>
      <c r="E372" s="6">
        <f>IF(Config!$G$25=0,0,IF(ABS(($A372-Config!$F$25)/Config!$G$25)&lt;=2,$D372,0))</f>
        <v/>
      </c>
      <c r="F372" s="6">
        <f>IF(Config!$G$25=0,0,IF(AND(ABS(($A372-Config!$F$25)/Config!$G$25)&gt;2,ABS(($A372-Config!$F$25)/Config!$G$25)&lt;=3),$D372,0))</f>
        <v/>
      </c>
      <c r="G372" s="6">
        <f>IF(Config!$G$25=0,0,IF(ABS(($A372-Config!$F$25)/Config!$G$25)&gt;3,$D372,0))</f>
        <v/>
      </c>
      <c r="H372" s="6">
        <f>IFERROR(NORM.DIST($A372,Config!$F$25,Config!$G$25,FALSE)*Config!$D$25*Config!$J$25,0)</f>
        <v/>
      </c>
    </row>
    <row r="373">
      <c r="A373">
        <f>Config!$K$25+19*Config!$J$25+Config!$J$25/2</f>
        <v/>
      </c>
      <c r="B373">
        <f>$A373-Config!$J$25/2</f>
        <v/>
      </c>
      <c r="C373">
        <f>$A373+Config!$J$25/2</f>
        <v/>
      </c>
      <c r="D373">
        <f>COUNTIFS(RawData!$C$2:$C$941,"MT",RawData!$R$2:$R$941,"&gt;="&amp;$B373,RawData!$R$2:$R$941,"&lt;"&amp;$C373,RawData!$R$2:$R$941,"&lt;&gt;0")</f>
        <v/>
      </c>
      <c r="E373">
        <f>IF(Config!$G$25=0,0,IF(ABS(($A373-Config!$F$25)/Config!$G$25)&lt;=2,$D373,0))</f>
        <v/>
      </c>
      <c r="F373">
        <f>IF(Config!$G$25=0,0,IF(AND(ABS(($A373-Config!$F$25)/Config!$G$25)&gt;2,ABS(($A373-Config!$F$25)/Config!$G$25)&lt;=3),$D373,0))</f>
        <v/>
      </c>
      <c r="G373">
        <f>IF(Config!$G$25=0,0,IF(ABS(($A373-Config!$F$25)/Config!$G$25)&gt;3,$D373,0))</f>
        <v/>
      </c>
      <c r="H373">
        <f>IFERROR(NORM.DIST($A373,Config!$F$25,Config!$G$25,FALSE)*Config!$D$25*Config!$J$25,0)</f>
        <v/>
      </c>
    </row>
    <row r="374">
      <c r="A374" s="6">
        <f>Config!$K$25+20*Config!$J$25+Config!$J$25/2</f>
        <v/>
      </c>
      <c r="B374" s="6">
        <f>$A374-Config!$J$25/2</f>
        <v/>
      </c>
      <c r="C374" s="6">
        <f>$A374+Config!$J$25/2</f>
        <v/>
      </c>
      <c r="D374" s="6">
        <f>COUNTIFS(RawData!$C$2:$C$941,"MT",RawData!$R$2:$R$941,"&gt;="&amp;$B374,RawData!$R$2:$R$941,"&lt;"&amp;$C374,RawData!$R$2:$R$941,"&lt;&gt;0")</f>
        <v/>
      </c>
      <c r="E374" s="6">
        <f>IF(Config!$G$25=0,0,IF(ABS(($A374-Config!$F$25)/Config!$G$25)&lt;=2,$D374,0))</f>
        <v/>
      </c>
      <c r="F374" s="6">
        <f>IF(Config!$G$25=0,0,IF(AND(ABS(($A374-Config!$F$25)/Config!$G$25)&gt;2,ABS(($A374-Config!$F$25)/Config!$G$25)&lt;=3),$D374,0))</f>
        <v/>
      </c>
      <c r="G374" s="6">
        <f>IF(Config!$G$25=0,0,IF(ABS(($A374-Config!$F$25)/Config!$G$25)&gt;3,$D374,0))</f>
        <v/>
      </c>
      <c r="H374" s="6">
        <f>IFERROR(NORM.DIST($A374,Config!$F$25,Config!$G$25,FALSE)*Config!$D$25*Config!$J$25,0)</f>
        <v/>
      </c>
    </row>
    <row r="375">
      <c r="A375">
        <f>Config!$K$25+21*Config!$J$25+Config!$J$25/2</f>
        <v/>
      </c>
      <c r="B375">
        <f>$A375-Config!$J$25/2</f>
        <v/>
      </c>
      <c r="C375">
        <f>$A375+Config!$J$25/2</f>
        <v/>
      </c>
      <c r="D375">
        <f>COUNTIFS(RawData!$C$2:$C$941,"MT",RawData!$R$2:$R$941,"&gt;="&amp;$B375,RawData!$R$2:$R$941,"&lt;"&amp;$C375,RawData!$R$2:$R$941,"&lt;&gt;0")</f>
        <v/>
      </c>
      <c r="E375">
        <f>IF(Config!$G$25=0,0,IF(ABS(($A375-Config!$F$25)/Config!$G$25)&lt;=2,$D375,0))</f>
        <v/>
      </c>
      <c r="F375">
        <f>IF(Config!$G$25=0,0,IF(AND(ABS(($A375-Config!$F$25)/Config!$G$25)&gt;2,ABS(($A375-Config!$F$25)/Config!$G$25)&lt;=3),$D375,0))</f>
        <v/>
      </c>
      <c r="G375">
        <f>IF(Config!$G$25=0,0,IF(ABS(($A375-Config!$F$25)/Config!$G$25)&gt;3,$D375,0))</f>
        <v/>
      </c>
      <c r="H375">
        <f>IFERROR(NORM.DIST($A375,Config!$F$25,Config!$G$25,FALSE)*Config!$D$25*Config!$J$25,0)</f>
        <v/>
      </c>
    </row>
    <row r="376">
      <c r="A376" s="6">
        <f>Config!$K$25+22*Config!$J$25+Config!$J$25/2</f>
        <v/>
      </c>
      <c r="B376" s="6">
        <f>$A376-Config!$J$25/2</f>
        <v/>
      </c>
      <c r="C376" s="6">
        <f>$A376+Config!$J$25/2</f>
        <v/>
      </c>
      <c r="D376" s="6">
        <f>COUNTIFS(RawData!$C$2:$C$941,"MT",RawData!$R$2:$R$941,"&gt;="&amp;$B376,RawData!$R$2:$R$941,"&lt;"&amp;$C376,RawData!$R$2:$R$941,"&lt;&gt;0")</f>
        <v/>
      </c>
      <c r="E376" s="6">
        <f>IF(Config!$G$25=0,0,IF(ABS(($A376-Config!$F$25)/Config!$G$25)&lt;=2,$D376,0))</f>
        <v/>
      </c>
      <c r="F376" s="6">
        <f>IF(Config!$G$25=0,0,IF(AND(ABS(($A376-Config!$F$25)/Config!$G$25)&gt;2,ABS(($A376-Config!$F$25)/Config!$G$25)&lt;=3),$D376,0))</f>
        <v/>
      </c>
      <c r="G376" s="6">
        <f>IF(Config!$G$25=0,0,IF(ABS(($A376-Config!$F$25)/Config!$G$25)&gt;3,$D376,0))</f>
        <v/>
      </c>
      <c r="H376" s="6">
        <f>IFERROR(NORM.DIST($A376,Config!$F$25,Config!$G$25,FALSE)*Config!$D$25*Config!$J$25,0)</f>
        <v/>
      </c>
    </row>
    <row r="377">
      <c r="A377">
        <f>Config!$K$25+23*Config!$J$25+Config!$J$25/2</f>
        <v/>
      </c>
      <c r="B377">
        <f>$A377-Config!$J$25/2</f>
        <v/>
      </c>
      <c r="C377">
        <f>$A377+Config!$J$25/2</f>
        <v/>
      </c>
      <c r="D377">
        <f>COUNTIFS(RawData!$C$2:$C$941,"MT",RawData!$R$2:$R$941,"&gt;="&amp;$B377,RawData!$R$2:$R$941,"&lt;"&amp;$C377,RawData!$R$2:$R$941,"&lt;&gt;0")</f>
        <v/>
      </c>
      <c r="E377">
        <f>IF(Config!$G$25=0,0,IF(ABS(($A377-Config!$F$25)/Config!$G$25)&lt;=2,$D377,0))</f>
        <v/>
      </c>
      <c r="F377">
        <f>IF(Config!$G$25=0,0,IF(AND(ABS(($A377-Config!$F$25)/Config!$G$25)&gt;2,ABS(($A377-Config!$F$25)/Config!$G$25)&lt;=3),$D377,0))</f>
        <v/>
      </c>
      <c r="G377">
        <f>IF(Config!$G$25=0,0,IF(ABS(($A377-Config!$F$25)/Config!$G$25)&gt;3,$D377,0))</f>
        <v/>
      </c>
      <c r="H377">
        <f>IFERROR(NORM.DIST($A377,Config!$F$25,Config!$G$25,FALSE)*Config!$D$25*Config!$J$25,0)</f>
        <v/>
      </c>
    </row>
    <row r="378">
      <c r="A378" s="6">
        <f>Config!$K$25+24*Config!$J$25+Config!$J$25/2</f>
        <v/>
      </c>
      <c r="B378" s="6">
        <f>$A378-Config!$J$25/2</f>
        <v/>
      </c>
      <c r="C378" s="6">
        <f>$A378+Config!$J$25/2</f>
        <v/>
      </c>
      <c r="D378" s="6">
        <f>COUNTIFS(RawData!$C$2:$C$941,"MT",RawData!$R$2:$R$941,"&gt;="&amp;$B378,RawData!$R$2:$R$941,"&lt;"&amp;$C378,RawData!$R$2:$R$941,"&lt;&gt;0")</f>
        <v/>
      </c>
      <c r="E378" s="6">
        <f>IF(Config!$G$25=0,0,IF(ABS(($A378-Config!$F$25)/Config!$G$25)&lt;=2,$D378,0))</f>
        <v/>
      </c>
      <c r="F378" s="6">
        <f>IF(Config!$G$25=0,0,IF(AND(ABS(($A378-Config!$F$25)/Config!$G$25)&gt;2,ABS(($A378-Config!$F$25)/Config!$G$25)&lt;=3),$D378,0))</f>
        <v/>
      </c>
      <c r="G378" s="6">
        <f>IF(Config!$G$25=0,0,IF(ABS(($A378-Config!$F$25)/Config!$G$25)&gt;3,$D378,0))</f>
        <v/>
      </c>
      <c r="H378" s="6">
        <f>IFERROR(NORM.DIST($A378,Config!$F$25,Config!$G$25,FALSE)*Config!$D$25*Config!$J$25,0)</f>
        <v/>
      </c>
    </row>
    <row r="379">
      <c r="A379">
        <f>Config!$K$25+25*Config!$J$25+Config!$J$25/2</f>
        <v/>
      </c>
      <c r="B379">
        <f>$A379-Config!$J$25/2</f>
        <v/>
      </c>
      <c r="C379">
        <f>$A379+Config!$J$25/2</f>
        <v/>
      </c>
      <c r="D379">
        <f>COUNTIFS(RawData!$C$2:$C$941,"MT",RawData!$R$2:$R$941,"&gt;="&amp;$B379,RawData!$R$2:$R$941,"&lt;"&amp;$C379,RawData!$R$2:$R$941,"&lt;&gt;0")</f>
        <v/>
      </c>
      <c r="E379">
        <f>IF(Config!$G$25=0,0,IF(ABS(($A379-Config!$F$25)/Config!$G$25)&lt;=2,$D379,0))</f>
        <v/>
      </c>
      <c r="F379">
        <f>IF(Config!$G$25=0,0,IF(AND(ABS(($A379-Config!$F$25)/Config!$G$25)&gt;2,ABS(($A379-Config!$F$25)/Config!$G$25)&lt;=3),$D379,0))</f>
        <v/>
      </c>
      <c r="G379">
        <f>IF(Config!$G$25=0,0,IF(ABS(($A379-Config!$F$25)/Config!$G$25)&gt;3,$D379,0))</f>
        <v/>
      </c>
      <c r="H379">
        <f>IFERROR(NORM.DIST($A379,Config!$F$25,Config!$G$25,FALSE)*Config!$D$25*Config!$J$25,0)</f>
        <v/>
      </c>
    </row>
    <row r="380">
      <c r="A380" s="6">
        <f>Config!$K$25+26*Config!$J$25+Config!$J$25/2</f>
        <v/>
      </c>
      <c r="B380" s="6">
        <f>$A380-Config!$J$25/2</f>
        <v/>
      </c>
      <c r="C380" s="6">
        <f>$A380+Config!$J$25/2</f>
        <v/>
      </c>
      <c r="D380" s="6">
        <f>COUNTIFS(RawData!$C$2:$C$941,"MT",RawData!$R$2:$R$941,"&gt;="&amp;$B380,RawData!$R$2:$R$941,"&lt;"&amp;$C380,RawData!$R$2:$R$941,"&lt;&gt;0")</f>
        <v/>
      </c>
      <c r="E380" s="6">
        <f>IF(Config!$G$25=0,0,IF(ABS(($A380-Config!$F$25)/Config!$G$25)&lt;=2,$D380,0))</f>
        <v/>
      </c>
      <c r="F380" s="6">
        <f>IF(Config!$G$25=0,0,IF(AND(ABS(($A380-Config!$F$25)/Config!$G$25)&gt;2,ABS(($A380-Config!$F$25)/Config!$G$25)&lt;=3),$D380,0))</f>
        <v/>
      </c>
      <c r="G380" s="6">
        <f>IF(Config!$G$25=0,0,IF(ABS(($A380-Config!$F$25)/Config!$G$25)&gt;3,$D380,0))</f>
        <v/>
      </c>
      <c r="H380" s="6">
        <f>IFERROR(NORM.DIST($A380,Config!$F$25,Config!$G$25,FALSE)*Config!$D$25*Config!$J$25,0)</f>
        <v/>
      </c>
    </row>
    <row r="381">
      <c r="A381">
        <f>Config!$K$25+27*Config!$J$25+Config!$J$25/2</f>
        <v/>
      </c>
      <c r="B381">
        <f>$A381-Config!$J$25/2</f>
        <v/>
      </c>
      <c r="C381">
        <f>$A381+Config!$J$25/2</f>
        <v/>
      </c>
      <c r="D381">
        <f>COUNTIFS(RawData!$C$2:$C$941,"MT",RawData!$R$2:$R$941,"&gt;="&amp;$B381,RawData!$R$2:$R$941,"&lt;"&amp;$C381,RawData!$R$2:$R$941,"&lt;&gt;0")</f>
        <v/>
      </c>
      <c r="E381">
        <f>IF(Config!$G$25=0,0,IF(ABS(($A381-Config!$F$25)/Config!$G$25)&lt;=2,$D381,0))</f>
        <v/>
      </c>
      <c r="F381">
        <f>IF(Config!$G$25=0,0,IF(AND(ABS(($A381-Config!$F$25)/Config!$G$25)&gt;2,ABS(($A381-Config!$F$25)/Config!$G$25)&lt;=3),$D381,0))</f>
        <v/>
      </c>
      <c r="G381">
        <f>IF(Config!$G$25=0,0,IF(ABS(($A381-Config!$F$25)/Config!$G$25)&gt;3,$D381,0))</f>
        <v/>
      </c>
      <c r="H381">
        <f>IFERROR(NORM.DIST($A381,Config!$F$25,Config!$G$25,FALSE)*Config!$D$25*Config!$J$25,0)</f>
        <v/>
      </c>
    </row>
    <row r="382">
      <c r="A382" s="6">
        <f>Config!$K$25+28*Config!$J$25+Config!$J$25/2</f>
        <v/>
      </c>
      <c r="B382" s="6">
        <f>$A382-Config!$J$25/2</f>
        <v/>
      </c>
      <c r="C382" s="6">
        <f>$A382+Config!$J$25/2</f>
        <v/>
      </c>
      <c r="D382" s="6">
        <f>COUNTIFS(RawData!$C$2:$C$941,"MT",RawData!$R$2:$R$941,"&gt;="&amp;$B382,RawData!$R$2:$R$941,"&lt;"&amp;$C382,RawData!$R$2:$R$941,"&lt;&gt;0")</f>
        <v/>
      </c>
      <c r="E382" s="6">
        <f>IF(Config!$G$25=0,0,IF(ABS(($A382-Config!$F$25)/Config!$G$25)&lt;=2,$D382,0))</f>
        <v/>
      </c>
      <c r="F382" s="6">
        <f>IF(Config!$G$25=0,0,IF(AND(ABS(($A382-Config!$F$25)/Config!$G$25)&gt;2,ABS(($A382-Config!$F$25)/Config!$G$25)&lt;=3),$D382,0))</f>
        <v/>
      </c>
      <c r="G382" s="6">
        <f>IF(Config!$G$25=0,0,IF(ABS(($A382-Config!$F$25)/Config!$G$25)&gt;3,$D382,0))</f>
        <v/>
      </c>
      <c r="H382" s="6">
        <f>IFERROR(NORM.DIST($A382,Config!$F$25,Config!$G$25,FALSE)*Config!$D$25*Config!$J$25,0)</f>
        <v/>
      </c>
    </row>
    <row r="383">
      <c r="A383">
        <f>Config!$K$25+29*Config!$J$25+Config!$J$25/2</f>
        <v/>
      </c>
      <c r="B383">
        <f>$A383-Config!$J$25/2</f>
        <v/>
      </c>
      <c r="C383">
        <f>$A383+Config!$J$25/2</f>
        <v/>
      </c>
      <c r="D383">
        <f>COUNTIFS(RawData!$C$2:$C$941,"MT",RawData!$R$2:$R$941,"&gt;="&amp;$B383,RawData!$R$2:$R$941,"&lt;"&amp;$C383,RawData!$R$2:$R$941,"&lt;&gt;0")</f>
        <v/>
      </c>
      <c r="E383">
        <f>IF(Config!$G$25=0,0,IF(ABS(($A383-Config!$F$25)/Config!$G$25)&lt;=2,$D383,0))</f>
        <v/>
      </c>
      <c r="F383">
        <f>IF(Config!$G$25=0,0,IF(AND(ABS(($A383-Config!$F$25)/Config!$G$25)&gt;2,ABS(($A383-Config!$F$25)/Config!$G$25)&lt;=3),$D383,0))</f>
        <v/>
      </c>
      <c r="G383">
        <f>IF(Config!$G$25=0,0,IF(ABS(($A383-Config!$F$25)/Config!$G$25)&gt;3,$D383,0))</f>
        <v/>
      </c>
      <c r="H383">
        <f>IFERROR(NORM.DIST($A383,Config!$F$25,Config!$G$25,FALSE)*Config!$D$25*Config!$J$25,0)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n_pass</t>
        </is>
      </c>
      <c r="D1" s="1" t="inlineStr">
        <is>
          <t>Mean</t>
        </is>
      </c>
      <c r="E1" s="1" t="inlineStr">
        <is>
          <t>StdDev</t>
        </is>
      </c>
      <c r="F1" s="1" t="inlineStr">
        <is>
          <t>3s Low</t>
        </is>
      </c>
      <c r="G1" s="1" t="inlineStr">
        <is>
          <t>3s High</t>
        </is>
      </c>
      <c r="H1" s="1" t="inlineStr">
        <is>
          <t>P1 Low</t>
        </is>
      </c>
      <c r="I1" s="1" t="inlineStr">
        <is>
          <t>P99 High</t>
        </is>
      </c>
      <c r="J1" s="1" t="inlineStr">
        <is>
          <t>IQR Low</t>
        </is>
      </c>
      <c r="K1" s="1" t="inlineStr">
        <is>
          <t>IQR High</t>
        </is>
      </c>
      <c r="L1" s="1" t="inlineStr">
        <is>
          <t>Rec. Low</t>
        </is>
      </c>
      <c r="M1" s="1" t="inlineStr">
        <is>
          <t>Rec. High</t>
        </is>
      </c>
      <c r="N1" s="1" t="inlineStr">
        <is>
          <t>Spread Ratio</t>
        </is>
      </c>
      <c r="O1" s="1" t="inlineStr">
        <is>
          <t>Agreement</t>
        </is>
      </c>
    </row>
    <row r="2">
      <c r="A2" s="3" t="inlineStr">
        <is>
          <t>LT</t>
        </is>
      </c>
      <c r="B2" s="3" t="inlineStr">
        <is>
          <t>Suction Tube Temp</t>
        </is>
      </c>
      <c r="C2" s="3">
        <f>Config!$E$2</f>
        <v/>
      </c>
      <c r="D2" s="3">
        <f>Config!$F$2</f>
        <v/>
      </c>
      <c r="E2" s="3">
        <f>Config!$G$2</f>
        <v/>
      </c>
      <c r="F2" s="3">
        <f>Config!$F$2-3*Config!$G$2</f>
        <v/>
      </c>
      <c r="G2" s="3">
        <f>Config!$F$2+3*Config!$G$2</f>
        <v/>
      </c>
      <c r="H2" s="3">
        <f t="array" ref="H2">FERROR(PERCENTILE.INC(IF((RawData!$C$2:$C$941="LT")*(RawData!$F$2:$F$941="Pass")*(RawData!$G$2:$G$941&lt;&gt;0),RawData!$G$2:$G$941),0.01),"")</f>
        <v/>
      </c>
      <c r="I2" s="3">
        <f t="array" ref="I2">FERROR(PERCENTILE.INC(IF((RawData!$C$2:$C$941="LT")*(RawData!$F$2:$F$941="Pass")*(RawData!$G$2:$G$941&lt;&gt;0),RawData!$G$2:$G$941),0.99),"")</f>
        <v/>
      </c>
      <c r="J2" s="3">
        <f t="array" ref="J2">FERROR(PERCENTILE.INC(IF((RawData!$C$2:$C$941="LT")*(RawData!$F$2:$F$941="Pass")*(RawData!$G$2:$G$941&lt;&gt;0),RawData!$G$2:$G$941),0.25)-1.5*(PERCENTILE.INC(IF((RawData!$C$2:$C$941="LT")*(RawData!$F$2:$F$941="Pass")*(RawData!$G$2:$G$941&lt;&gt;0),RawData!$G$2:$G$941),0.75)-PERCENTILE.INC(IF((RawData!$C$2:$C$941="LT")*(RawData!$F$2:$F$941="Pass")*(RawData!$G$2:$G$941&lt;&gt;0),RawData!$G$2:$G$941),0.25)),"")</f>
        <v/>
      </c>
      <c r="K2" s="3">
        <f t="array" ref="K2">FERROR(PERCENTILE.INC(IF((RawData!$C$2:$C$941="LT")*(RawData!$F$2:$F$941="Pass")*(RawData!$G$2:$G$941&lt;&gt;0),RawData!$G$2:$G$941),0.75)+1.5*(PERCENTILE.INC(IF((RawData!$C$2:$C$941="LT")*(RawData!$F$2:$F$941="Pass")*(RawData!$G$2:$G$941&lt;&gt;0),RawData!$G$2:$G$941),0.75)-PERCENTILE.INC(IF((RawData!$C$2:$C$941="LT")*(RawData!$F$2:$F$941="Pass")*(RawData!$G$2:$G$941&lt;&gt;0),RawData!$G$2:$G$941),0.25)),"")</f>
        <v/>
      </c>
      <c r="L2" s="7">
        <f>IFERROR(MAX($F2,$H2,$J2),"")</f>
        <v/>
      </c>
      <c r="M2" s="7">
        <f>IFERROR(MIN($G2,$I2,$K2),"")</f>
        <v/>
      </c>
      <c r="N2" s="3">
        <f>IFERROR(MAX($G2-$F2,$I2-$H2,$K2-$J2)/MIN($G2-$F2,$I2-$H2,$K2-$J2),"")</f>
        <v/>
      </c>
      <c r="O2" s="3">
        <f>IF($N2="","",IF($N2&lt;1.2,"Good",IF($N2&lt;1.5,"Review","Poor - non-normal")))</f>
        <v/>
      </c>
    </row>
    <row r="3">
      <c r="A3" s="4" t="inlineStr">
        <is>
          <t>LT</t>
        </is>
      </c>
      <c r="B3" s="4" t="inlineStr">
        <is>
          <t>Evap Inlet Ret Bend A</t>
        </is>
      </c>
      <c r="C3" s="4">
        <f>Config!$E$3</f>
        <v/>
      </c>
      <c r="D3" s="4">
        <f>Config!$F$3</f>
        <v/>
      </c>
      <c r="E3" s="4">
        <f>Config!$G$3</f>
        <v/>
      </c>
      <c r="F3" s="4">
        <f>Config!$F$3-3*Config!$G$3</f>
        <v/>
      </c>
      <c r="G3" s="4">
        <f>Config!$F$3+3*Config!$G$3</f>
        <v/>
      </c>
      <c r="H3" s="4">
        <f t="array" ref="H3">FERROR(PERCENTILE.INC(IF((RawData!$C$2:$C$941="LT")*(RawData!$F$2:$F$941="Pass")*(RawData!$H$2:$H$941&lt;&gt;0),RawData!$H$2:$H$941),0.01),"")</f>
        <v/>
      </c>
      <c r="I3" s="4">
        <f t="array" ref="I3">FERROR(PERCENTILE.INC(IF((RawData!$C$2:$C$941="LT")*(RawData!$F$2:$F$941="Pass")*(RawData!$H$2:$H$941&lt;&gt;0),RawData!$H$2:$H$941),0.99),"")</f>
        <v/>
      </c>
      <c r="J3" s="4">
        <f t="array" ref="J3">FERROR(PERCENTILE.INC(IF((RawData!$C$2:$C$941="LT")*(RawData!$F$2:$F$941="Pass")*(RawData!$H$2:$H$941&lt;&gt;0),RawData!$H$2:$H$941),0.25)-1.5*(PERCENTILE.INC(IF((RawData!$C$2:$C$941="LT")*(RawData!$F$2:$F$941="Pass")*(RawData!$H$2:$H$941&lt;&gt;0),RawData!$H$2:$H$941),0.75)-PERCENTILE.INC(IF((RawData!$C$2:$C$941="LT")*(RawData!$F$2:$F$941="Pass")*(RawData!$H$2:$H$941&lt;&gt;0),RawData!$H$2:$H$941),0.25)),"")</f>
        <v/>
      </c>
      <c r="K3" s="4">
        <f t="array" ref="K3">FERROR(PERCENTILE.INC(IF((RawData!$C$2:$C$941="LT")*(RawData!$F$2:$F$941="Pass")*(RawData!$H$2:$H$941&lt;&gt;0),RawData!$H$2:$H$941),0.75)+1.5*(PERCENTILE.INC(IF((RawData!$C$2:$C$941="LT")*(RawData!$F$2:$F$941="Pass")*(RawData!$H$2:$H$941&lt;&gt;0),RawData!$H$2:$H$941),0.75)-PERCENTILE.INC(IF((RawData!$C$2:$C$941="LT")*(RawData!$F$2:$F$941="Pass")*(RawData!$H$2:$H$941&lt;&gt;0),RawData!$H$2:$H$941),0.25)),"")</f>
        <v/>
      </c>
      <c r="L3" s="7">
        <f>IFERROR(MAX($F3,$H3,$J3),"")</f>
        <v/>
      </c>
      <c r="M3" s="7">
        <f>IFERROR(MIN($G3,$I3,$K3),"")</f>
        <v/>
      </c>
      <c r="N3" s="4">
        <f>IFERROR(MAX($G3-$F3,$I3-$H3,$K3-$J3)/MIN($G3-$F3,$I3-$H3,$K3-$J3),"")</f>
        <v/>
      </c>
      <c r="O3" s="4">
        <f>IF($N3="","",IF($N3&lt;1.2,"Good",IF($N3&lt;1.5,"Review","Poor - non-normal")))</f>
        <v/>
      </c>
    </row>
    <row r="4">
      <c r="A4" s="3" t="inlineStr">
        <is>
          <t>LT</t>
        </is>
      </c>
      <c r="B4" s="3" t="inlineStr">
        <is>
          <t>Evap Inlet Ret Bend B</t>
        </is>
      </c>
      <c r="C4" s="3">
        <f>Config!$E$4</f>
        <v/>
      </c>
      <c r="D4" s="3">
        <f>Config!$F$4</f>
        <v/>
      </c>
      <c r="E4" s="3">
        <f>Config!$G$4</f>
        <v/>
      </c>
      <c r="F4" s="3">
        <f>Config!$F$4-3*Config!$G$4</f>
        <v/>
      </c>
      <c r="G4" s="3">
        <f>Config!$F$4+3*Config!$G$4</f>
        <v/>
      </c>
      <c r="H4" s="3">
        <f t="array" ref="H4">FERROR(PERCENTILE.INC(IF((RawData!$C$2:$C$941="LT")*(RawData!$F$2:$F$941="Pass")*(RawData!$I$2:$I$941&lt;&gt;0),RawData!$I$2:$I$941),0.01),"")</f>
        <v/>
      </c>
      <c r="I4" s="3">
        <f t="array" ref="I4">FERROR(PERCENTILE.INC(IF((RawData!$C$2:$C$941="LT")*(RawData!$F$2:$F$941="Pass")*(RawData!$I$2:$I$941&lt;&gt;0),RawData!$I$2:$I$941),0.99),"")</f>
        <v/>
      </c>
      <c r="J4" s="3">
        <f t="array" ref="J4">FERROR(PERCENTILE.INC(IF((RawData!$C$2:$C$941="LT")*(RawData!$F$2:$F$941="Pass")*(RawData!$I$2:$I$941&lt;&gt;0),RawData!$I$2:$I$941),0.25)-1.5*(PERCENTILE.INC(IF((RawData!$C$2:$C$941="LT")*(RawData!$F$2:$F$941="Pass")*(RawData!$I$2:$I$941&lt;&gt;0),RawData!$I$2:$I$941),0.75)-PERCENTILE.INC(IF((RawData!$C$2:$C$941="LT")*(RawData!$F$2:$F$941="Pass")*(RawData!$I$2:$I$941&lt;&gt;0),RawData!$I$2:$I$941),0.25)),"")</f>
        <v/>
      </c>
      <c r="K4" s="3">
        <f t="array" ref="K4">FERROR(PERCENTILE.INC(IF((RawData!$C$2:$C$941="LT")*(RawData!$F$2:$F$941="Pass")*(RawData!$I$2:$I$941&lt;&gt;0),RawData!$I$2:$I$941),0.75)+1.5*(PERCENTILE.INC(IF((RawData!$C$2:$C$941="LT")*(RawData!$F$2:$F$941="Pass")*(RawData!$I$2:$I$941&lt;&gt;0),RawData!$I$2:$I$941),0.75)-PERCENTILE.INC(IF((RawData!$C$2:$C$941="LT")*(RawData!$F$2:$F$941="Pass")*(RawData!$I$2:$I$941&lt;&gt;0),RawData!$I$2:$I$941),0.25)),"")</f>
        <v/>
      </c>
      <c r="L4" s="7">
        <f>IFERROR(MAX($F4,$H4,$J4),"")</f>
        <v/>
      </c>
      <c r="M4" s="7">
        <f>IFERROR(MIN($G4,$I4,$K4),"")</f>
        <v/>
      </c>
      <c r="N4" s="3">
        <f>IFERROR(MAX($G4-$F4,$I4-$H4,$K4-$J4)/MIN($G4-$F4,$I4-$H4,$K4-$J4),"")</f>
        <v/>
      </c>
      <c r="O4" s="3">
        <f>IF($N4="","",IF($N4&lt;1.2,"Good",IF($N4&lt;1.5,"Review","Poor - non-normal")))</f>
        <v/>
      </c>
    </row>
    <row r="5">
      <c r="A5" s="4" t="inlineStr">
        <is>
          <t>LT</t>
        </is>
      </c>
      <c r="B5" s="4" t="inlineStr">
        <is>
          <t>Evap Outlet Air Temp</t>
        </is>
      </c>
      <c r="C5" s="4">
        <f>Config!$E$5</f>
        <v/>
      </c>
      <c r="D5" s="4">
        <f>Config!$F$5</f>
        <v/>
      </c>
      <c r="E5" s="4">
        <f>Config!$G$5</f>
        <v/>
      </c>
      <c r="F5" s="4">
        <f>Config!$F$5-3*Config!$G$5</f>
        <v/>
      </c>
      <c r="G5" s="4">
        <f>Config!$F$5+3*Config!$G$5</f>
        <v/>
      </c>
      <c r="H5" s="4">
        <f t="array" ref="H5">FERROR(PERCENTILE.INC(IF((RawData!$C$2:$C$941="LT")*(RawData!$F$2:$F$941="Pass")*(RawData!$J$2:$J$941&lt;&gt;0),RawData!$J$2:$J$941),0.01),"")</f>
        <v/>
      </c>
      <c r="I5" s="4">
        <f t="array" ref="I5">FERROR(PERCENTILE.INC(IF((RawData!$C$2:$C$941="LT")*(RawData!$F$2:$F$941="Pass")*(RawData!$J$2:$J$941&lt;&gt;0),RawData!$J$2:$J$941),0.99),"")</f>
        <v/>
      </c>
      <c r="J5" s="4">
        <f t="array" ref="J5">FERROR(PERCENTILE.INC(IF((RawData!$C$2:$C$941="LT")*(RawData!$F$2:$F$941="Pass")*(RawData!$J$2:$J$941&lt;&gt;0),RawData!$J$2:$J$941),0.25)-1.5*(PERCENTILE.INC(IF((RawData!$C$2:$C$941="LT")*(RawData!$F$2:$F$941="Pass")*(RawData!$J$2:$J$941&lt;&gt;0),RawData!$J$2:$J$941),0.75)-PERCENTILE.INC(IF((RawData!$C$2:$C$941="LT")*(RawData!$F$2:$F$941="Pass")*(RawData!$J$2:$J$941&lt;&gt;0),RawData!$J$2:$J$941),0.25)),"")</f>
        <v/>
      </c>
      <c r="K5" s="4">
        <f t="array" ref="K5">FERROR(PERCENTILE.INC(IF((RawData!$C$2:$C$941="LT")*(RawData!$F$2:$F$941="Pass")*(RawData!$J$2:$J$941&lt;&gt;0),RawData!$J$2:$J$941),0.75)+1.5*(PERCENTILE.INC(IF((RawData!$C$2:$C$941="LT")*(RawData!$F$2:$F$941="Pass")*(RawData!$J$2:$J$941&lt;&gt;0),RawData!$J$2:$J$941),0.75)-PERCENTILE.INC(IF((RawData!$C$2:$C$941="LT")*(RawData!$F$2:$F$941="Pass")*(RawData!$J$2:$J$941&lt;&gt;0),RawData!$J$2:$J$941),0.25)),"")</f>
        <v/>
      </c>
      <c r="L5" s="7">
        <f>IFERROR(MAX($F5,$H5,$J5),"")</f>
        <v/>
      </c>
      <c r="M5" s="7">
        <f>IFERROR(MIN($G5,$I5,$K5),"")</f>
        <v/>
      </c>
      <c r="N5" s="4">
        <f>IFERROR(MAX($G5-$F5,$I5-$H5,$K5-$J5)/MIN($G5-$F5,$I5-$H5,$K5-$J5),"")</f>
        <v/>
      </c>
      <c r="O5" s="4">
        <f>IF($N5="","",IF($N5&lt;1.2,"Good",IF($N5&lt;1.5,"Review","Poor - non-normal")))</f>
        <v/>
      </c>
    </row>
    <row r="6">
      <c r="A6" s="3" t="inlineStr">
        <is>
          <t>LT</t>
        </is>
      </c>
      <c r="B6" s="3" t="inlineStr">
        <is>
          <t>Evap B Outlet Air Temp</t>
        </is>
      </c>
      <c r="C6" s="3">
        <f>Config!$E$6</f>
        <v/>
      </c>
      <c r="D6" s="3">
        <f>Config!$F$6</f>
        <v/>
      </c>
      <c r="E6" s="3">
        <f>Config!$G$6</f>
        <v/>
      </c>
      <c r="F6" s="3">
        <f>Config!$F$6-3*Config!$G$6</f>
        <v/>
      </c>
      <c r="G6" s="3">
        <f>Config!$F$6+3*Config!$G$6</f>
        <v/>
      </c>
      <c r="H6" s="3">
        <f t="array" ref="H6">FERROR(PERCENTILE.INC(IF((RawData!$C$2:$C$941="LT")*(RawData!$F$2:$F$941="Pass")*(RawData!$K$2:$K$941&lt;&gt;0),RawData!$K$2:$K$941),0.01),"")</f>
        <v/>
      </c>
      <c r="I6" s="3">
        <f t="array" ref="I6">FERROR(PERCENTILE.INC(IF((RawData!$C$2:$C$941="LT")*(RawData!$F$2:$F$941="Pass")*(RawData!$K$2:$K$941&lt;&gt;0),RawData!$K$2:$K$941),0.99),"")</f>
        <v/>
      </c>
      <c r="J6" s="3">
        <f t="array" ref="J6">FERROR(PERCENTILE.INC(IF((RawData!$C$2:$C$941="LT")*(RawData!$F$2:$F$941="Pass")*(RawData!$K$2:$K$941&lt;&gt;0),RawData!$K$2:$K$941),0.25)-1.5*(PERCENTILE.INC(IF((RawData!$C$2:$C$941="LT")*(RawData!$F$2:$F$941="Pass")*(RawData!$K$2:$K$941&lt;&gt;0),RawData!$K$2:$K$941),0.75)-PERCENTILE.INC(IF((RawData!$C$2:$C$941="LT")*(RawData!$F$2:$F$941="Pass")*(RawData!$K$2:$K$941&lt;&gt;0),RawData!$K$2:$K$941),0.25)),"")</f>
        <v/>
      </c>
      <c r="K6" s="3">
        <f t="array" ref="K6">FERROR(PERCENTILE.INC(IF((RawData!$C$2:$C$941="LT")*(RawData!$F$2:$F$941="Pass")*(RawData!$K$2:$K$941&lt;&gt;0),RawData!$K$2:$K$941),0.75)+1.5*(PERCENTILE.INC(IF((RawData!$C$2:$C$941="LT")*(RawData!$F$2:$F$941="Pass")*(RawData!$K$2:$K$941&lt;&gt;0),RawData!$K$2:$K$941),0.75)-PERCENTILE.INC(IF((RawData!$C$2:$C$941="LT")*(RawData!$F$2:$F$941="Pass")*(RawData!$K$2:$K$941&lt;&gt;0),RawData!$K$2:$K$941),0.25)),"")</f>
        <v/>
      </c>
      <c r="L6" s="7">
        <f>IFERROR(MAX($F6,$H6,$J6),"")</f>
        <v/>
      </c>
      <c r="M6" s="7">
        <f>IFERROR(MIN($G6,$I6,$K6),"")</f>
        <v/>
      </c>
      <c r="N6" s="3">
        <f>IFERROR(MAX($G6-$F6,$I6-$H6,$K6-$J6)/MIN($G6-$F6,$I6-$H6,$K6-$J6),"")</f>
        <v/>
      </c>
      <c r="O6" s="3">
        <f>IF($N6="","",IF($N6&lt;1.2,"Good",IF($N6&lt;1.5,"Review","Poor - non-normal")))</f>
        <v/>
      </c>
    </row>
    <row r="7">
      <c r="A7" s="4" t="inlineStr">
        <is>
          <t>LT</t>
        </is>
      </c>
      <c r="B7" s="4" t="inlineStr">
        <is>
          <t>Inlet/Outlet Delta</t>
        </is>
      </c>
      <c r="C7" s="4">
        <f>Config!$E$7</f>
        <v/>
      </c>
      <c r="D7" s="4">
        <f>Config!$F$7</f>
        <v/>
      </c>
      <c r="E7" s="4">
        <f>Config!$G$7</f>
        <v/>
      </c>
      <c r="F7" s="4">
        <f>Config!$F$7-3*Config!$G$7</f>
        <v/>
      </c>
      <c r="G7" s="4">
        <f>Config!$F$7+3*Config!$G$7</f>
        <v/>
      </c>
      <c r="H7" s="4">
        <f t="array" ref="H7">FERROR(PERCENTILE.INC(IF((RawData!$C$2:$C$941="LT")*(RawData!$F$2:$F$941="Pass")*(RawData!$L$2:$L$941&lt;&gt;0),RawData!$L$2:$L$941),0.01),"")</f>
        <v/>
      </c>
      <c r="I7" s="4">
        <f t="array" ref="I7">FERROR(PERCENTILE.INC(IF((RawData!$C$2:$C$941="LT")*(RawData!$F$2:$F$941="Pass")*(RawData!$L$2:$L$941&lt;&gt;0),RawData!$L$2:$L$941),0.99),"")</f>
        <v/>
      </c>
      <c r="J7" s="4">
        <f t="array" ref="J7">FERROR(PERCENTILE.INC(IF((RawData!$C$2:$C$941="LT")*(RawData!$F$2:$F$941="Pass")*(RawData!$L$2:$L$941&lt;&gt;0),RawData!$L$2:$L$941),0.25)-1.5*(PERCENTILE.INC(IF((RawData!$C$2:$C$941="LT")*(RawData!$F$2:$F$941="Pass")*(RawData!$L$2:$L$941&lt;&gt;0),RawData!$L$2:$L$941),0.75)-PERCENTILE.INC(IF((RawData!$C$2:$C$941="LT")*(RawData!$F$2:$F$941="Pass")*(RawData!$L$2:$L$941&lt;&gt;0),RawData!$L$2:$L$941),0.25)),"")</f>
        <v/>
      </c>
      <c r="K7" s="4">
        <f t="array" ref="K7">FERROR(PERCENTILE.INC(IF((RawData!$C$2:$C$941="LT")*(RawData!$F$2:$F$941="Pass")*(RawData!$L$2:$L$941&lt;&gt;0),RawData!$L$2:$L$941),0.75)+1.5*(PERCENTILE.INC(IF((RawData!$C$2:$C$941="LT")*(RawData!$F$2:$F$941="Pass")*(RawData!$L$2:$L$941&lt;&gt;0),RawData!$L$2:$L$941),0.75)-PERCENTILE.INC(IF((RawData!$C$2:$C$941="LT")*(RawData!$F$2:$F$941="Pass")*(RawData!$L$2:$L$941&lt;&gt;0),RawData!$L$2:$L$941),0.25)),"")</f>
        <v/>
      </c>
      <c r="L7" s="7">
        <f>IFERROR(MAX($F7,$H7,$J7),"")</f>
        <v/>
      </c>
      <c r="M7" s="7">
        <f>IFERROR(MIN($G7,$I7,$K7),"")</f>
        <v/>
      </c>
      <c r="N7" s="4">
        <f>IFERROR(MAX($G7-$F7,$I7-$H7,$K7-$J7)/MIN($G7-$F7,$I7-$H7,$K7-$J7),"")</f>
        <v/>
      </c>
      <c r="O7" s="4">
        <f>IF($N7="","",IF($N7&lt;1.2,"Good",IF($N7&lt;1.5,"Review","Poor - non-normal")))</f>
        <v/>
      </c>
    </row>
    <row r="8">
      <c r="A8" s="3" t="inlineStr">
        <is>
          <t>LT</t>
        </is>
      </c>
      <c r="B8" s="3" t="inlineStr">
        <is>
          <t>Inlet/Outlet B Delta</t>
        </is>
      </c>
      <c r="C8" s="3">
        <f>Config!$E$8</f>
        <v/>
      </c>
      <c r="D8" s="3">
        <f>Config!$F$8</f>
        <v/>
      </c>
      <c r="E8" s="3">
        <f>Config!$G$8</f>
        <v/>
      </c>
      <c r="F8" s="3">
        <f>Config!$F$8-3*Config!$G$8</f>
        <v/>
      </c>
      <c r="G8" s="3">
        <f>Config!$F$8+3*Config!$G$8</f>
        <v/>
      </c>
      <c r="H8" s="3">
        <f t="array" ref="H8">FERROR(PERCENTILE.INC(IF((RawData!$C$2:$C$941="LT")*(RawData!$F$2:$F$941="Pass")*(RawData!$M$2:$M$941&lt;&gt;0),RawData!$M$2:$M$941),0.01),"")</f>
        <v/>
      </c>
      <c r="I8" s="3">
        <f t="array" ref="I8">FERROR(PERCENTILE.INC(IF((RawData!$C$2:$C$941="LT")*(RawData!$F$2:$F$941="Pass")*(RawData!$M$2:$M$941&lt;&gt;0),RawData!$M$2:$M$941),0.99),"")</f>
        <v/>
      </c>
      <c r="J8" s="3">
        <f t="array" ref="J8">FERROR(PERCENTILE.INC(IF((RawData!$C$2:$C$941="LT")*(RawData!$F$2:$F$941="Pass")*(RawData!$M$2:$M$941&lt;&gt;0),RawData!$M$2:$M$941),0.25)-1.5*(PERCENTILE.INC(IF((RawData!$C$2:$C$941="LT")*(RawData!$F$2:$F$941="Pass")*(RawData!$M$2:$M$941&lt;&gt;0),RawData!$M$2:$M$941),0.75)-PERCENTILE.INC(IF((RawData!$C$2:$C$941="LT")*(RawData!$F$2:$F$941="Pass")*(RawData!$M$2:$M$941&lt;&gt;0),RawData!$M$2:$M$941),0.25)),"")</f>
        <v/>
      </c>
      <c r="K8" s="3">
        <f t="array" ref="K8">FERROR(PERCENTILE.INC(IF((RawData!$C$2:$C$941="LT")*(RawData!$F$2:$F$941="Pass")*(RawData!$M$2:$M$941&lt;&gt;0),RawData!$M$2:$M$941),0.75)+1.5*(PERCENTILE.INC(IF((RawData!$C$2:$C$941="LT")*(RawData!$F$2:$F$941="Pass")*(RawData!$M$2:$M$941&lt;&gt;0),RawData!$M$2:$M$941),0.75)-PERCENTILE.INC(IF((RawData!$C$2:$C$941="LT")*(RawData!$F$2:$F$941="Pass")*(RawData!$M$2:$M$941&lt;&gt;0),RawData!$M$2:$M$941),0.25)),"")</f>
        <v/>
      </c>
      <c r="L8" s="7">
        <f>IFERROR(MAX($F8,$H8,$J8),"")</f>
        <v/>
      </c>
      <c r="M8" s="7">
        <f>IFERROR(MIN($G8,$I8,$K8),"")</f>
        <v/>
      </c>
      <c r="N8" s="3">
        <f>IFERROR(MAX($G8-$F8,$I8-$H8,$K8-$J8)/MIN($G8-$F8,$I8-$H8,$K8-$J8),"")</f>
        <v/>
      </c>
      <c r="O8" s="3">
        <f>IF($N8="","",IF($N8&lt;1.2,"Good",IF($N8&lt;1.5,"Review","Poor - non-normal")))</f>
        <v/>
      </c>
    </row>
    <row r="9">
      <c r="A9" s="4" t="inlineStr">
        <is>
          <t>LT</t>
        </is>
      </c>
      <c r="B9" s="4" t="inlineStr">
        <is>
          <t>Ambient Temp</t>
        </is>
      </c>
      <c r="C9" s="4">
        <f>Config!$E$9</f>
        <v/>
      </c>
      <c r="D9" s="4">
        <f>Config!$F$9</f>
        <v/>
      </c>
      <c r="E9" s="4">
        <f>Config!$G$9</f>
        <v/>
      </c>
      <c r="F9" s="4">
        <f>Config!$F$9-3*Config!$G$9</f>
        <v/>
      </c>
      <c r="G9" s="4">
        <f>Config!$F$9+3*Config!$G$9</f>
        <v/>
      </c>
      <c r="H9" s="4">
        <f t="array" ref="H9">FERROR(PERCENTILE.INC(IF((RawData!$C$2:$C$941="LT")*(RawData!$F$2:$F$941="Pass")*(RawData!$N$2:$N$941&lt;&gt;0),RawData!$N$2:$N$941),0.01),"")</f>
        <v/>
      </c>
      <c r="I9" s="4">
        <f t="array" ref="I9">FERROR(PERCENTILE.INC(IF((RawData!$C$2:$C$941="LT")*(RawData!$F$2:$F$941="Pass")*(RawData!$N$2:$N$941&lt;&gt;0),RawData!$N$2:$N$941),0.99),"")</f>
        <v/>
      </c>
      <c r="J9" s="4">
        <f t="array" ref="J9">FERROR(PERCENTILE.INC(IF((RawData!$C$2:$C$941="LT")*(RawData!$F$2:$F$941="Pass")*(RawData!$N$2:$N$941&lt;&gt;0),RawData!$N$2:$N$941),0.25)-1.5*(PERCENTILE.INC(IF((RawData!$C$2:$C$941="LT")*(RawData!$F$2:$F$941="Pass")*(RawData!$N$2:$N$941&lt;&gt;0),RawData!$N$2:$N$941),0.75)-PERCENTILE.INC(IF((RawData!$C$2:$C$941="LT")*(RawData!$F$2:$F$941="Pass")*(RawData!$N$2:$N$941&lt;&gt;0),RawData!$N$2:$N$941),0.25)),"")</f>
        <v/>
      </c>
      <c r="K9" s="4">
        <f t="array" ref="K9">FERROR(PERCENTILE.INC(IF((RawData!$C$2:$C$941="LT")*(RawData!$F$2:$F$941="Pass")*(RawData!$N$2:$N$941&lt;&gt;0),RawData!$N$2:$N$941),0.75)+1.5*(PERCENTILE.INC(IF((RawData!$C$2:$C$941="LT")*(RawData!$F$2:$F$941="Pass")*(RawData!$N$2:$N$941&lt;&gt;0),RawData!$N$2:$N$941),0.75)-PERCENTILE.INC(IF((RawData!$C$2:$C$941="LT")*(RawData!$F$2:$F$941="Pass")*(RawData!$N$2:$N$941&lt;&gt;0),RawData!$N$2:$N$941),0.25)),"")</f>
        <v/>
      </c>
      <c r="L9" s="7">
        <f>IFERROR(MAX($F9,$H9,$J9),"")</f>
        <v/>
      </c>
      <c r="M9" s="7">
        <f>IFERROR(MIN($G9,$I9,$K9),"")</f>
        <v/>
      </c>
      <c r="N9" s="4">
        <f>IFERROR(MAX($G9-$F9,$I9-$H9,$K9-$J9)/MIN($G9-$F9,$I9-$H9,$K9-$J9),"")</f>
        <v/>
      </c>
      <c r="O9" s="4">
        <f>IF($N9="","",IF($N9&lt;1.2,"Good",IF($N9&lt;1.5,"Review","Poor - non-normal")))</f>
        <v/>
      </c>
    </row>
    <row r="10">
      <c r="A10" s="3" t="inlineStr">
        <is>
          <t>LT</t>
        </is>
      </c>
      <c r="B10" s="3" t="inlineStr">
        <is>
          <t>Startup Voltage</t>
        </is>
      </c>
      <c r="C10" s="3">
        <f>Config!$E$10</f>
        <v/>
      </c>
      <c r="D10" s="3">
        <f>Config!$F$10</f>
        <v/>
      </c>
      <c r="E10" s="3">
        <f>Config!$G$10</f>
        <v/>
      </c>
      <c r="F10" s="3">
        <f>Config!$F$10-3*Config!$G$10</f>
        <v/>
      </c>
      <c r="G10" s="3">
        <f>Config!$F$10+3*Config!$G$10</f>
        <v/>
      </c>
      <c r="H10" s="3">
        <f t="array" ref="H10">FERROR(PERCENTILE.INC(IF((RawData!$C$2:$C$941="LT")*(RawData!$F$2:$F$941="Pass")*(RawData!$O$2:$O$941&lt;&gt;0),RawData!$O$2:$O$941),0.01),"")</f>
        <v/>
      </c>
      <c r="I10" s="3">
        <f t="array" ref="I10">FERROR(PERCENTILE.INC(IF((RawData!$C$2:$C$941="LT")*(RawData!$F$2:$F$941="Pass")*(RawData!$O$2:$O$941&lt;&gt;0),RawData!$O$2:$O$941),0.99),"")</f>
        <v/>
      </c>
      <c r="J10" s="3">
        <f t="array" ref="J10">FERROR(PERCENTILE.INC(IF((RawData!$C$2:$C$941="LT")*(RawData!$F$2:$F$941="Pass")*(RawData!$O$2:$O$941&lt;&gt;0),RawData!$O$2:$O$941),0.25)-1.5*(PERCENTILE.INC(IF((RawData!$C$2:$C$941="LT")*(RawData!$F$2:$F$941="Pass")*(RawData!$O$2:$O$941&lt;&gt;0),RawData!$O$2:$O$941),0.75)-PERCENTILE.INC(IF((RawData!$C$2:$C$941="LT")*(RawData!$F$2:$F$941="Pass")*(RawData!$O$2:$O$941&lt;&gt;0),RawData!$O$2:$O$941),0.25)),"")</f>
        <v/>
      </c>
      <c r="K10" s="3">
        <f t="array" ref="K10">FERROR(PERCENTILE.INC(IF((RawData!$C$2:$C$941="LT")*(RawData!$F$2:$F$941="Pass")*(RawData!$O$2:$O$941&lt;&gt;0),RawData!$O$2:$O$941),0.75)+1.5*(PERCENTILE.INC(IF((RawData!$C$2:$C$941="LT")*(RawData!$F$2:$F$941="Pass")*(RawData!$O$2:$O$941&lt;&gt;0),RawData!$O$2:$O$941),0.75)-PERCENTILE.INC(IF((RawData!$C$2:$C$941="LT")*(RawData!$F$2:$F$941="Pass")*(RawData!$O$2:$O$941&lt;&gt;0),RawData!$O$2:$O$941),0.25)),"")</f>
        <v/>
      </c>
      <c r="L10" s="7">
        <f>IFERROR(MAX($F10,$H10,$J10),"")</f>
        <v/>
      </c>
      <c r="M10" s="7">
        <f>IFERROR(MIN($G10,$I10,$K10),"")</f>
        <v/>
      </c>
      <c r="N10" s="3">
        <f>IFERROR(MAX($G10-$F10,$I10-$H10,$K10-$J10)/MIN($G10-$F10,$I10-$H10,$K10-$J10),"")</f>
        <v/>
      </c>
      <c r="O10" s="3">
        <f>IF($N10="","",IF($N10&lt;1.2,"Good",IF($N10&lt;1.5,"Review","Poor - non-normal")))</f>
        <v/>
      </c>
    </row>
    <row r="11">
      <c r="A11" s="4" t="inlineStr">
        <is>
          <t>LT</t>
        </is>
      </c>
      <c r="B11" s="4" t="inlineStr">
        <is>
          <t>Final Voltage</t>
        </is>
      </c>
      <c r="C11" s="4">
        <f>Config!$E$11</f>
        <v/>
      </c>
      <c r="D11" s="4">
        <f>Config!$F$11</f>
        <v/>
      </c>
      <c r="E11" s="4">
        <f>Config!$G$11</f>
        <v/>
      </c>
      <c r="F11" s="4">
        <f>Config!$F$11-3*Config!$G$11</f>
        <v/>
      </c>
      <c r="G11" s="4">
        <f>Config!$F$11+3*Config!$G$11</f>
        <v/>
      </c>
      <c r="H11" s="4">
        <f t="array" ref="H11">FERROR(PERCENTILE.INC(IF((RawData!$C$2:$C$941="LT")*(RawData!$F$2:$F$941="Pass")*(RawData!$P$2:$P$941&lt;&gt;0),RawData!$P$2:$P$941),0.01),"")</f>
        <v/>
      </c>
      <c r="I11" s="4">
        <f t="array" ref="I11">FERROR(PERCENTILE.INC(IF((RawData!$C$2:$C$941="LT")*(RawData!$F$2:$F$941="Pass")*(RawData!$P$2:$P$941&lt;&gt;0),RawData!$P$2:$P$941),0.99),"")</f>
        <v/>
      </c>
      <c r="J11" s="4">
        <f t="array" ref="J11">FERROR(PERCENTILE.INC(IF((RawData!$C$2:$C$941="LT")*(RawData!$F$2:$F$941="Pass")*(RawData!$P$2:$P$941&lt;&gt;0),RawData!$P$2:$P$941),0.25)-1.5*(PERCENTILE.INC(IF((RawData!$C$2:$C$941="LT")*(RawData!$F$2:$F$941="Pass")*(RawData!$P$2:$P$941&lt;&gt;0),RawData!$P$2:$P$941),0.75)-PERCENTILE.INC(IF((RawData!$C$2:$C$941="LT")*(RawData!$F$2:$F$941="Pass")*(RawData!$P$2:$P$941&lt;&gt;0),RawData!$P$2:$P$941),0.25)),"")</f>
        <v/>
      </c>
      <c r="K11" s="4">
        <f t="array" ref="K11">FERROR(PERCENTILE.INC(IF((RawData!$C$2:$C$941="LT")*(RawData!$F$2:$F$941="Pass")*(RawData!$P$2:$P$941&lt;&gt;0),RawData!$P$2:$P$941),0.75)+1.5*(PERCENTILE.INC(IF((RawData!$C$2:$C$941="LT")*(RawData!$F$2:$F$941="Pass")*(RawData!$P$2:$P$941&lt;&gt;0),RawData!$P$2:$P$941),0.75)-PERCENTILE.INC(IF((RawData!$C$2:$C$941="LT")*(RawData!$F$2:$F$941="Pass")*(RawData!$P$2:$P$941&lt;&gt;0),RawData!$P$2:$P$941),0.25)),"")</f>
        <v/>
      </c>
      <c r="L11" s="7">
        <f>IFERROR(MAX($F11,$H11,$J11),"")</f>
        <v/>
      </c>
      <c r="M11" s="7">
        <f>IFERROR(MIN($G11,$I11,$K11),"")</f>
        <v/>
      </c>
      <c r="N11" s="4">
        <f>IFERROR(MAX($G11-$F11,$I11-$H11,$K11-$J11)/MIN($G11-$F11,$I11-$H11,$K11-$J11),"")</f>
        <v/>
      </c>
      <c r="O11" s="4">
        <f>IF($N11="","",IF($N11&lt;1.2,"Good",IF($N11&lt;1.5,"Review","Poor - non-normal")))</f>
        <v/>
      </c>
    </row>
    <row r="12">
      <c r="A12" s="3" t="inlineStr">
        <is>
          <t>LT</t>
        </is>
      </c>
      <c r="B12" s="3" t="inlineStr">
        <is>
          <t>Startup Current</t>
        </is>
      </c>
      <c r="C12" s="3">
        <f>Config!$E$12</f>
        <v/>
      </c>
      <c r="D12" s="3">
        <f>Config!$F$12</f>
        <v/>
      </c>
      <c r="E12" s="3">
        <f>Config!$G$12</f>
        <v/>
      </c>
      <c r="F12" s="3">
        <f>Config!$F$12-3*Config!$G$12</f>
        <v/>
      </c>
      <c r="G12" s="3">
        <f>Config!$F$12+3*Config!$G$12</f>
        <v/>
      </c>
      <c r="H12" s="3">
        <f t="array" ref="H12">FERROR(PERCENTILE.INC(IF((RawData!$C$2:$C$941="LT")*(RawData!$F$2:$F$941="Pass")*(RawData!$Q$2:$Q$941&lt;&gt;0),RawData!$Q$2:$Q$941),0.01),"")</f>
        <v/>
      </c>
      <c r="I12" s="3">
        <f t="array" ref="I12">FERROR(PERCENTILE.INC(IF((RawData!$C$2:$C$941="LT")*(RawData!$F$2:$F$941="Pass")*(RawData!$Q$2:$Q$941&lt;&gt;0),RawData!$Q$2:$Q$941),0.99),"")</f>
        <v/>
      </c>
      <c r="J12" s="3">
        <f t="array" ref="J12">FERROR(PERCENTILE.INC(IF((RawData!$C$2:$C$941="LT")*(RawData!$F$2:$F$941="Pass")*(RawData!$Q$2:$Q$941&lt;&gt;0),RawData!$Q$2:$Q$941),0.25)-1.5*(PERCENTILE.INC(IF((RawData!$C$2:$C$941="LT")*(RawData!$F$2:$F$941="Pass")*(RawData!$Q$2:$Q$941&lt;&gt;0),RawData!$Q$2:$Q$941),0.75)-PERCENTILE.INC(IF((RawData!$C$2:$C$941="LT")*(RawData!$F$2:$F$941="Pass")*(RawData!$Q$2:$Q$941&lt;&gt;0),RawData!$Q$2:$Q$941),0.25)),"")</f>
        <v/>
      </c>
      <c r="K12" s="3">
        <f t="array" ref="K12">FERROR(PERCENTILE.INC(IF((RawData!$C$2:$C$941="LT")*(RawData!$F$2:$F$941="Pass")*(RawData!$Q$2:$Q$941&lt;&gt;0),RawData!$Q$2:$Q$941),0.75)+1.5*(PERCENTILE.INC(IF((RawData!$C$2:$C$941="LT")*(RawData!$F$2:$F$941="Pass")*(RawData!$Q$2:$Q$941&lt;&gt;0),RawData!$Q$2:$Q$941),0.75)-PERCENTILE.INC(IF((RawData!$C$2:$C$941="LT")*(RawData!$F$2:$F$941="Pass")*(RawData!$Q$2:$Q$941&lt;&gt;0),RawData!$Q$2:$Q$941),0.25)),"")</f>
        <v/>
      </c>
      <c r="L12" s="7">
        <f>IFERROR(MAX($F12,$H12,$J12),"")</f>
        <v/>
      </c>
      <c r="M12" s="7">
        <f>IFERROR(MIN($G12,$I12,$K12),"")</f>
        <v/>
      </c>
      <c r="N12" s="3">
        <f>IFERROR(MAX($G12-$F12,$I12-$H12,$K12-$J12)/MIN($G12-$F12,$I12-$H12,$K12-$J12),"")</f>
        <v/>
      </c>
      <c r="O12" s="3">
        <f>IF($N12="","",IF($N12&lt;1.2,"Good",IF($N12&lt;1.5,"Review","Poor - non-normal")))</f>
        <v/>
      </c>
    </row>
    <row r="13">
      <c r="A13" s="4" t="inlineStr">
        <is>
          <t>LT</t>
        </is>
      </c>
      <c r="B13" s="4" t="inlineStr">
        <is>
          <t>Final Current</t>
        </is>
      </c>
      <c r="C13" s="4">
        <f>Config!$E$13</f>
        <v/>
      </c>
      <c r="D13" s="4">
        <f>Config!$F$13</f>
        <v/>
      </c>
      <c r="E13" s="4">
        <f>Config!$G$13</f>
        <v/>
      </c>
      <c r="F13" s="4">
        <f>Config!$F$13-3*Config!$G$13</f>
        <v/>
      </c>
      <c r="G13" s="4">
        <f>Config!$F$13+3*Config!$G$13</f>
        <v/>
      </c>
      <c r="H13" s="4">
        <f t="array" ref="H13">FERROR(PERCENTILE.INC(IF((RawData!$C$2:$C$941="LT")*(RawData!$F$2:$F$941="Pass")*(RawData!$R$2:$R$941&lt;&gt;0),RawData!$R$2:$R$941),0.01),"")</f>
        <v/>
      </c>
      <c r="I13" s="4">
        <f t="array" ref="I13">FERROR(PERCENTILE.INC(IF((RawData!$C$2:$C$941="LT")*(RawData!$F$2:$F$941="Pass")*(RawData!$R$2:$R$941&lt;&gt;0),RawData!$R$2:$R$941),0.99),"")</f>
        <v/>
      </c>
      <c r="J13" s="4">
        <f t="array" ref="J13">FERROR(PERCENTILE.INC(IF((RawData!$C$2:$C$941="LT")*(RawData!$F$2:$F$941="Pass")*(RawData!$R$2:$R$941&lt;&gt;0),RawData!$R$2:$R$941),0.25)-1.5*(PERCENTILE.INC(IF((RawData!$C$2:$C$941="LT")*(RawData!$F$2:$F$941="Pass")*(RawData!$R$2:$R$941&lt;&gt;0),RawData!$R$2:$R$941),0.75)-PERCENTILE.INC(IF((RawData!$C$2:$C$941="LT")*(RawData!$F$2:$F$941="Pass")*(RawData!$R$2:$R$941&lt;&gt;0),RawData!$R$2:$R$941),0.25)),"")</f>
        <v/>
      </c>
      <c r="K13" s="4">
        <f t="array" ref="K13">FERROR(PERCENTILE.INC(IF((RawData!$C$2:$C$941="LT")*(RawData!$F$2:$F$941="Pass")*(RawData!$R$2:$R$941&lt;&gt;0),RawData!$R$2:$R$941),0.75)+1.5*(PERCENTILE.INC(IF((RawData!$C$2:$C$941="LT")*(RawData!$F$2:$F$941="Pass")*(RawData!$R$2:$R$941&lt;&gt;0),RawData!$R$2:$R$941),0.75)-PERCENTILE.INC(IF((RawData!$C$2:$C$941="LT")*(RawData!$F$2:$F$941="Pass")*(RawData!$R$2:$R$941&lt;&gt;0),RawData!$R$2:$R$941),0.25)),"")</f>
        <v/>
      </c>
      <c r="L13" s="7">
        <f>IFERROR(MAX($F13,$H13,$J13),"")</f>
        <v/>
      </c>
      <c r="M13" s="7">
        <f>IFERROR(MIN($G13,$I13,$K13),"")</f>
        <v/>
      </c>
      <c r="N13" s="4">
        <f>IFERROR(MAX($G13-$F13,$I13-$H13,$K13-$J13)/MIN($G13-$F13,$I13-$H13,$K13-$J13),"")</f>
        <v/>
      </c>
      <c r="O13" s="4">
        <f>IF($N13="","",IF($N13&lt;1.2,"Good",IF($N13&lt;1.5,"Review","Poor - non-normal")))</f>
        <v/>
      </c>
    </row>
    <row r="14">
      <c r="A14" s="3" t="inlineStr">
        <is>
          <t>MT</t>
        </is>
      </c>
      <c r="B14" s="3" t="inlineStr">
        <is>
          <t>Suction Tube Temp</t>
        </is>
      </c>
      <c r="C14" s="3">
        <f>Config!$E$14</f>
        <v/>
      </c>
      <c r="D14" s="3">
        <f>Config!$F$14</f>
        <v/>
      </c>
      <c r="E14" s="3">
        <f>Config!$G$14</f>
        <v/>
      </c>
      <c r="F14" s="3">
        <f>Config!$F$14-3*Config!$G$14</f>
        <v/>
      </c>
      <c r="G14" s="3">
        <f>Config!$F$14+3*Config!$G$14</f>
        <v/>
      </c>
      <c r="H14" s="3">
        <f t="array" ref="H14">FERROR(PERCENTILE.INC(IF((RawData!$C$2:$C$941="MT")*(RawData!$F$2:$F$941="Pass")*(RawData!$G$2:$G$941&lt;&gt;0),RawData!$G$2:$G$941),0.01),"")</f>
        <v/>
      </c>
      <c r="I14" s="3">
        <f t="array" ref="I14">FERROR(PERCENTILE.INC(IF((RawData!$C$2:$C$941="MT")*(RawData!$F$2:$F$941="Pass")*(RawData!$G$2:$G$941&lt;&gt;0),RawData!$G$2:$G$941),0.99),"")</f>
        <v/>
      </c>
      <c r="J14" s="3">
        <f t="array" ref="J14">FERROR(PERCENTILE.INC(IF((RawData!$C$2:$C$941="MT")*(RawData!$F$2:$F$941="Pass")*(RawData!$G$2:$G$941&lt;&gt;0),RawData!$G$2:$G$941),0.25)-1.5*(PERCENTILE.INC(IF((RawData!$C$2:$C$941="MT")*(RawData!$F$2:$F$941="Pass")*(RawData!$G$2:$G$941&lt;&gt;0),RawData!$G$2:$G$941),0.75)-PERCENTILE.INC(IF((RawData!$C$2:$C$941="MT")*(RawData!$F$2:$F$941="Pass")*(RawData!$G$2:$G$941&lt;&gt;0),RawData!$G$2:$G$941),0.25)),"")</f>
        <v/>
      </c>
      <c r="K14" s="3">
        <f t="array" ref="K14">FERROR(PERCENTILE.INC(IF((RawData!$C$2:$C$941="MT")*(RawData!$F$2:$F$941="Pass")*(RawData!$G$2:$G$941&lt;&gt;0),RawData!$G$2:$G$941),0.75)+1.5*(PERCENTILE.INC(IF((RawData!$C$2:$C$941="MT")*(RawData!$F$2:$F$941="Pass")*(RawData!$G$2:$G$941&lt;&gt;0),RawData!$G$2:$G$941),0.75)-PERCENTILE.INC(IF((RawData!$C$2:$C$941="MT")*(RawData!$F$2:$F$941="Pass")*(RawData!$G$2:$G$941&lt;&gt;0),RawData!$G$2:$G$941),0.25)),"")</f>
        <v/>
      </c>
      <c r="L14" s="7">
        <f>IFERROR(MAX($F14,$H14,$J14),"")</f>
        <v/>
      </c>
      <c r="M14" s="7">
        <f>IFERROR(MIN($G14,$I14,$K14),"")</f>
        <v/>
      </c>
      <c r="N14" s="3">
        <f>IFERROR(MAX($G14-$F14,$I14-$H14,$K14-$J14)/MIN($G14-$F14,$I14-$H14,$K14-$J14),"")</f>
        <v/>
      </c>
      <c r="O14" s="3">
        <f>IF($N14="","",IF($N14&lt;1.2,"Good",IF($N14&lt;1.5,"Review","Poor - non-normal")))</f>
        <v/>
      </c>
    </row>
    <row r="15">
      <c r="A15" s="4" t="inlineStr">
        <is>
          <t>MT</t>
        </is>
      </c>
      <c r="B15" s="4" t="inlineStr">
        <is>
          <t>Evap Inlet Ret Bend A</t>
        </is>
      </c>
      <c r="C15" s="4">
        <f>Config!$E$15</f>
        <v/>
      </c>
      <c r="D15" s="4">
        <f>Config!$F$15</f>
        <v/>
      </c>
      <c r="E15" s="4">
        <f>Config!$G$15</f>
        <v/>
      </c>
      <c r="F15" s="4">
        <f>Config!$F$15-3*Config!$G$15</f>
        <v/>
      </c>
      <c r="G15" s="4">
        <f>Config!$F$15+3*Config!$G$15</f>
        <v/>
      </c>
      <c r="H15" s="4">
        <f t="array" ref="H15">FERROR(PERCENTILE.INC(IF((RawData!$C$2:$C$941="MT")*(RawData!$F$2:$F$941="Pass")*(RawData!$H$2:$H$941&lt;&gt;0),RawData!$H$2:$H$941),0.01),"")</f>
        <v/>
      </c>
      <c r="I15" s="4">
        <f t="array" ref="I15">FERROR(PERCENTILE.INC(IF((RawData!$C$2:$C$941="MT")*(RawData!$F$2:$F$941="Pass")*(RawData!$H$2:$H$941&lt;&gt;0),RawData!$H$2:$H$941),0.99),"")</f>
        <v/>
      </c>
      <c r="J15" s="4">
        <f t="array" ref="J15">FERROR(PERCENTILE.INC(IF((RawData!$C$2:$C$941="MT")*(RawData!$F$2:$F$941="Pass")*(RawData!$H$2:$H$941&lt;&gt;0),RawData!$H$2:$H$941),0.25)-1.5*(PERCENTILE.INC(IF((RawData!$C$2:$C$941="MT")*(RawData!$F$2:$F$941="Pass")*(RawData!$H$2:$H$941&lt;&gt;0),RawData!$H$2:$H$941),0.75)-PERCENTILE.INC(IF((RawData!$C$2:$C$941="MT")*(RawData!$F$2:$F$941="Pass")*(RawData!$H$2:$H$941&lt;&gt;0),RawData!$H$2:$H$941),0.25)),"")</f>
        <v/>
      </c>
      <c r="K15" s="4">
        <f t="array" ref="K15">FERROR(PERCENTILE.INC(IF((RawData!$C$2:$C$941="MT")*(RawData!$F$2:$F$941="Pass")*(RawData!$H$2:$H$941&lt;&gt;0),RawData!$H$2:$H$941),0.75)+1.5*(PERCENTILE.INC(IF((RawData!$C$2:$C$941="MT")*(RawData!$F$2:$F$941="Pass")*(RawData!$H$2:$H$941&lt;&gt;0),RawData!$H$2:$H$941),0.75)-PERCENTILE.INC(IF((RawData!$C$2:$C$941="MT")*(RawData!$F$2:$F$941="Pass")*(RawData!$H$2:$H$941&lt;&gt;0),RawData!$H$2:$H$941),0.25)),"")</f>
        <v/>
      </c>
      <c r="L15" s="7">
        <f>IFERROR(MAX($F15,$H15,$J15),"")</f>
        <v/>
      </c>
      <c r="M15" s="7">
        <f>IFERROR(MIN($G15,$I15,$K15),"")</f>
        <v/>
      </c>
      <c r="N15" s="4">
        <f>IFERROR(MAX($G15-$F15,$I15-$H15,$K15-$J15)/MIN($G15-$F15,$I15-$H15,$K15-$J15),"")</f>
        <v/>
      </c>
      <c r="O15" s="4">
        <f>IF($N15="","",IF($N15&lt;1.2,"Good",IF($N15&lt;1.5,"Review","Poor - non-normal")))</f>
        <v/>
      </c>
    </row>
    <row r="16">
      <c r="A16" s="3" t="inlineStr">
        <is>
          <t>MT</t>
        </is>
      </c>
      <c r="B16" s="3" t="inlineStr">
        <is>
          <t>Evap Inlet Ret Bend B</t>
        </is>
      </c>
      <c r="C16" s="3">
        <f>Config!$E$16</f>
        <v/>
      </c>
      <c r="D16" s="3">
        <f>Config!$F$16</f>
        <v/>
      </c>
      <c r="E16" s="3">
        <f>Config!$G$16</f>
        <v/>
      </c>
      <c r="F16" s="3">
        <f>Config!$F$16-3*Config!$G$16</f>
        <v/>
      </c>
      <c r="G16" s="3">
        <f>Config!$F$16+3*Config!$G$16</f>
        <v/>
      </c>
      <c r="H16" s="3">
        <f t="array" ref="H16">FERROR(PERCENTILE.INC(IF((RawData!$C$2:$C$941="MT")*(RawData!$F$2:$F$941="Pass")*(RawData!$I$2:$I$941&lt;&gt;0),RawData!$I$2:$I$941),0.01),"")</f>
        <v/>
      </c>
      <c r="I16" s="3">
        <f t="array" ref="I16">FERROR(PERCENTILE.INC(IF((RawData!$C$2:$C$941="MT")*(RawData!$F$2:$F$941="Pass")*(RawData!$I$2:$I$941&lt;&gt;0),RawData!$I$2:$I$941),0.99),"")</f>
        <v/>
      </c>
      <c r="J16" s="3">
        <f t="array" ref="J16">FERROR(PERCENTILE.INC(IF((RawData!$C$2:$C$941="MT")*(RawData!$F$2:$F$941="Pass")*(RawData!$I$2:$I$941&lt;&gt;0),RawData!$I$2:$I$941),0.25)-1.5*(PERCENTILE.INC(IF((RawData!$C$2:$C$941="MT")*(RawData!$F$2:$F$941="Pass")*(RawData!$I$2:$I$941&lt;&gt;0),RawData!$I$2:$I$941),0.75)-PERCENTILE.INC(IF((RawData!$C$2:$C$941="MT")*(RawData!$F$2:$F$941="Pass")*(RawData!$I$2:$I$941&lt;&gt;0),RawData!$I$2:$I$941),0.25)),"")</f>
        <v/>
      </c>
      <c r="K16" s="3">
        <f t="array" ref="K16">FERROR(PERCENTILE.INC(IF((RawData!$C$2:$C$941="MT")*(RawData!$F$2:$F$941="Pass")*(RawData!$I$2:$I$941&lt;&gt;0),RawData!$I$2:$I$941),0.75)+1.5*(PERCENTILE.INC(IF((RawData!$C$2:$C$941="MT")*(RawData!$F$2:$F$941="Pass")*(RawData!$I$2:$I$941&lt;&gt;0),RawData!$I$2:$I$941),0.75)-PERCENTILE.INC(IF((RawData!$C$2:$C$941="MT")*(RawData!$F$2:$F$941="Pass")*(RawData!$I$2:$I$941&lt;&gt;0),RawData!$I$2:$I$941),0.25)),"")</f>
        <v/>
      </c>
      <c r="L16" s="7">
        <f>IFERROR(MAX($F16,$H16,$J16),"")</f>
        <v/>
      </c>
      <c r="M16" s="7">
        <f>IFERROR(MIN($G16,$I16,$K16),"")</f>
        <v/>
      </c>
      <c r="N16" s="3">
        <f>IFERROR(MAX($G16-$F16,$I16-$H16,$K16-$J16)/MIN($G16-$F16,$I16-$H16,$K16-$J16),"")</f>
        <v/>
      </c>
      <c r="O16" s="3">
        <f>IF($N16="","",IF($N16&lt;1.2,"Good",IF($N16&lt;1.5,"Review","Poor - non-normal")))</f>
        <v/>
      </c>
    </row>
    <row r="17">
      <c r="A17" s="4" t="inlineStr">
        <is>
          <t>MT</t>
        </is>
      </c>
      <c r="B17" s="4" t="inlineStr">
        <is>
          <t>Evap Outlet Air Temp</t>
        </is>
      </c>
      <c r="C17" s="4">
        <f>Config!$E$17</f>
        <v/>
      </c>
      <c r="D17" s="4">
        <f>Config!$F$17</f>
        <v/>
      </c>
      <c r="E17" s="4">
        <f>Config!$G$17</f>
        <v/>
      </c>
      <c r="F17" s="4">
        <f>Config!$F$17-3*Config!$G$17</f>
        <v/>
      </c>
      <c r="G17" s="4">
        <f>Config!$F$17+3*Config!$G$17</f>
        <v/>
      </c>
      <c r="H17" s="4">
        <f t="array" ref="H17">FERROR(PERCENTILE.INC(IF((RawData!$C$2:$C$941="MT")*(RawData!$F$2:$F$941="Pass")*(RawData!$J$2:$J$941&lt;&gt;0),RawData!$J$2:$J$941),0.01),"")</f>
        <v/>
      </c>
      <c r="I17" s="4">
        <f t="array" ref="I17">FERROR(PERCENTILE.INC(IF((RawData!$C$2:$C$941="MT")*(RawData!$F$2:$F$941="Pass")*(RawData!$J$2:$J$941&lt;&gt;0),RawData!$J$2:$J$941),0.99),"")</f>
        <v/>
      </c>
      <c r="J17" s="4">
        <f t="array" ref="J17">FERROR(PERCENTILE.INC(IF((RawData!$C$2:$C$941="MT")*(RawData!$F$2:$F$941="Pass")*(RawData!$J$2:$J$941&lt;&gt;0),RawData!$J$2:$J$941),0.25)-1.5*(PERCENTILE.INC(IF((RawData!$C$2:$C$941="MT")*(RawData!$F$2:$F$941="Pass")*(RawData!$J$2:$J$941&lt;&gt;0),RawData!$J$2:$J$941),0.75)-PERCENTILE.INC(IF((RawData!$C$2:$C$941="MT")*(RawData!$F$2:$F$941="Pass")*(RawData!$J$2:$J$941&lt;&gt;0),RawData!$J$2:$J$941),0.25)),"")</f>
        <v/>
      </c>
      <c r="K17" s="4">
        <f t="array" ref="K17">FERROR(PERCENTILE.INC(IF((RawData!$C$2:$C$941="MT")*(RawData!$F$2:$F$941="Pass")*(RawData!$J$2:$J$941&lt;&gt;0),RawData!$J$2:$J$941),0.75)+1.5*(PERCENTILE.INC(IF((RawData!$C$2:$C$941="MT")*(RawData!$F$2:$F$941="Pass")*(RawData!$J$2:$J$941&lt;&gt;0),RawData!$J$2:$J$941),0.75)-PERCENTILE.INC(IF((RawData!$C$2:$C$941="MT")*(RawData!$F$2:$F$941="Pass")*(RawData!$J$2:$J$941&lt;&gt;0),RawData!$J$2:$J$941),0.25)),"")</f>
        <v/>
      </c>
      <c r="L17" s="7">
        <f>IFERROR(MAX($F17,$H17,$J17),"")</f>
        <v/>
      </c>
      <c r="M17" s="7">
        <f>IFERROR(MIN($G17,$I17,$K17),"")</f>
        <v/>
      </c>
      <c r="N17" s="4">
        <f>IFERROR(MAX($G17-$F17,$I17-$H17,$K17-$J17)/MIN($G17-$F17,$I17-$H17,$K17-$J17),"")</f>
        <v/>
      </c>
      <c r="O17" s="4">
        <f>IF($N17="","",IF($N17&lt;1.2,"Good",IF($N17&lt;1.5,"Review","Poor - non-normal")))</f>
        <v/>
      </c>
    </row>
    <row r="18">
      <c r="A18" s="3" t="inlineStr">
        <is>
          <t>MT</t>
        </is>
      </c>
      <c r="B18" s="3" t="inlineStr">
        <is>
          <t>Evap B Outlet Air Temp</t>
        </is>
      </c>
      <c r="C18" s="3">
        <f>Config!$E$18</f>
        <v/>
      </c>
      <c r="D18" s="3">
        <f>Config!$F$18</f>
        <v/>
      </c>
      <c r="E18" s="3">
        <f>Config!$G$18</f>
        <v/>
      </c>
      <c r="F18" s="3">
        <f>Config!$F$18-3*Config!$G$18</f>
        <v/>
      </c>
      <c r="G18" s="3">
        <f>Config!$F$18+3*Config!$G$18</f>
        <v/>
      </c>
      <c r="H18" s="3">
        <f t="array" ref="H18">FERROR(PERCENTILE.INC(IF((RawData!$C$2:$C$941="MT")*(RawData!$F$2:$F$941="Pass")*(RawData!$K$2:$K$941&lt;&gt;0),RawData!$K$2:$K$941),0.01),"")</f>
        <v/>
      </c>
      <c r="I18" s="3">
        <f t="array" ref="I18">FERROR(PERCENTILE.INC(IF((RawData!$C$2:$C$941="MT")*(RawData!$F$2:$F$941="Pass")*(RawData!$K$2:$K$941&lt;&gt;0),RawData!$K$2:$K$941),0.99),"")</f>
        <v/>
      </c>
      <c r="J18" s="3">
        <f t="array" ref="J18">FERROR(PERCENTILE.INC(IF((RawData!$C$2:$C$941="MT")*(RawData!$F$2:$F$941="Pass")*(RawData!$K$2:$K$941&lt;&gt;0),RawData!$K$2:$K$941),0.25)-1.5*(PERCENTILE.INC(IF((RawData!$C$2:$C$941="MT")*(RawData!$F$2:$F$941="Pass")*(RawData!$K$2:$K$941&lt;&gt;0),RawData!$K$2:$K$941),0.75)-PERCENTILE.INC(IF((RawData!$C$2:$C$941="MT")*(RawData!$F$2:$F$941="Pass")*(RawData!$K$2:$K$941&lt;&gt;0),RawData!$K$2:$K$941),0.25)),"")</f>
        <v/>
      </c>
      <c r="K18" s="3">
        <f t="array" ref="K18">FERROR(PERCENTILE.INC(IF((RawData!$C$2:$C$941="MT")*(RawData!$F$2:$F$941="Pass")*(RawData!$K$2:$K$941&lt;&gt;0),RawData!$K$2:$K$941),0.75)+1.5*(PERCENTILE.INC(IF((RawData!$C$2:$C$941="MT")*(RawData!$F$2:$F$941="Pass")*(RawData!$K$2:$K$941&lt;&gt;0),RawData!$K$2:$K$941),0.75)-PERCENTILE.INC(IF((RawData!$C$2:$C$941="MT")*(RawData!$F$2:$F$941="Pass")*(RawData!$K$2:$K$941&lt;&gt;0),RawData!$K$2:$K$941),0.25)),"")</f>
        <v/>
      </c>
      <c r="L18" s="7">
        <f>IFERROR(MAX($F18,$H18,$J18),"")</f>
        <v/>
      </c>
      <c r="M18" s="7">
        <f>IFERROR(MIN($G18,$I18,$K18),"")</f>
        <v/>
      </c>
      <c r="N18" s="3">
        <f>IFERROR(MAX($G18-$F18,$I18-$H18,$K18-$J18)/MIN($G18-$F18,$I18-$H18,$K18-$J18),"")</f>
        <v/>
      </c>
      <c r="O18" s="3">
        <f>IF($N18="","",IF($N18&lt;1.2,"Good",IF($N18&lt;1.5,"Review","Poor - non-normal")))</f>
        <v/>
      </c>
    </row>
    <row r="19">
      <c r="A19" s="4" t="inlineStr">
        <is>
          <t>MT</t>
        </is>
      </c>
      <c r="B19" s="4" t="inlineStr">
        <is>
          <t>Inlet/Outlet Delta</t>
        </is>
      </c>
      <c r="C19" s="4">
        <f>Config!$E$19</f>
        <v/>
      </c>
      <c r="D19" s="4">
        <f>Config!$F$19</f>
        <v/>
      </c>
      <c r="E19" s="4">
        <f>Config!$G$19</f>
        <v/>
      </c>
      <c r="F19" s="4">
        <f>Config!$F$19-3*Config!$G$19</f>
        <v/>
      </c>
      <c r="G19" s="4">
        <f>Config!$F$19+3*Config!$G$19</f>
        <v/>
      </c>
      <c r="H19" s="4">
        <f t="array" ref="H19">FERROR(PERCENTILE.INC(IF((RawData!$C$2:$C$941="MT")*(RawData!$F$2:$F$941="Pass")*(RawData!$L$2:$L$941&lt;&gt;0),RawData!$L$2:$L$941),0.01),"")</f>
        <v/>
      </c>
      <c r="I19" s="4">
        <f t="array" ref="I19">FERROR(PERCENTILE.INC(IF((RawData!$C$2:$C$941="MT")*(RawData!$F$2:$F$941="Pass")*(RawData!$L$2:$L$941&lt;&gt;0),RawData!$L$2:$L$941),0.99),"")</f>
        <v/>
      </c>
      <c r="J19" s="4">
        <f t="array" ref="J19">FERROR(PERCENTILE.INC(IF((RawData!$C$2:$C$941="MT")*(RawData!$F$2:$F$941="Pass")*(RawData!$L$2:$L$941&lt;&gt;0),RawData!$L$2:$L$941),0.25)-1.5*(PERCENTILE.INC(IF((RawData!$C$2:$C$941="MT")*(RawData!$F$2:$F$941="Pass")*(RawData!$L$2:$L$941&lt;&gt;0),RawData!$L$2:$L$941),0.75)-PERCENTILE.INC(IF((RawData!$C$2:$C$941="MT")*(RawData!$F$2:$F$941="Pass")*(RawData!$L$2:$L$941&lt;&gt;0),RawData!$L$2:$L$941),0.25)),"")</f>
        <v/>
      </c>
      <c r="K19" s="4">
        <f t="array" ref="K19">FERROR(PERCENTILE.INC(IF((RawData!$C$2:$C$941="MT")*(RawData!$F$2:$F$941="Pass")*(RawData!$L$2:$L$941&lt;&gt;0),RawData!$L$2:$L$941),0.75)+1.5*(PERCENTILE.INC(IF((RawData!$C$2:$C$941="MT")*(RawData!$F$2:$F$941="Pass")*(RawData!$L$2:$L$941&lt;&gt;0),RawData!$L$2:$L$941),0.75)-PERCENTILE.INC(IF((RawData!$C$2:$C$941="MT")*(RawData!$F$2:$F$941="Pass")*(RawData!$L$2:$L$941&lt;&gt;0),RawData!$L$2:$L$941),0.25)),"")</f>
        <v/>
      </c>
      <c r="L19" s="7">
        <f>IFERROR(MAX($F19,$H19,$J19),"")</f>
        <v/>
      </c>
      <c r="M19" s="7">
        <f>IFERROR(MIN($G19,$I19,$K19),"")</f>
        <v/>
      </c>
      <c r="N19" s="4">
        <f>IFERROR(MAX($G19-$F19,$I19-$H19,$K19-$J19)/MIN($G19-$F19,$I19-$H19,$K19-$J19),"")</f>
        <v/>
      </c>
      <c r="O19" s="4">
        <f>IF($N19="","",IF($N19&lt;1.2,"Good",IF($N19&lt;1.5,"Review","Poor - non-normal")))</f>
        <v/>
      </c>
    </row>
    <row r="20">
      <c r="A20" s="3" t="inlineStr">
        <is>
          <t>MT</t>
        </is>
      </c>
      <c r="B20" s="3" t="inlineStr">
        <is>
          <t>Inlet/Outlet B Delta</t>
        </is>
      </c>
      <c r="C20" s="3">
        <f>Config!$E$20</f>
        <v/>
      </c>
      <c r="D20" s="3">
        <f>Config!$F$20</f>
        <v/>
      </c>
      <c r="E20" s="3">
        <f>Config!$G$20</f>
        <v/>
      </c>
      <c r="F20" s="3">
        <f>Config!$F$20-3*Config!$G$20</f>
        <v/>
      </c>
      <c r="G20" s="3">
        <f>Config!$F$20+3*Config!$G$20</f>
        <v/>
      </c>
      <c r="H20" s="3">
        <f t="array" ref="H20">FERROR(PERCENTILE.INC(IF((RawData!$C$2:$C$941="MT")*(RawData!$F$2:$F$941="Pass")*(RawData!$M$2:$M$941&lt;&gt;0),RawData!$M$2:$M$941),0.01),"")</f>
        <v/>
      </c>
      <c r="I20" s="3">
        <f t="array" ref="I20">FERROR(PERCENTILE.INC(IF((RawData!$C$2:$C$941="MT")*(RawData!$F$2:$F$941="Pass")*(RawData!$M$2:$M$941&lt;&gt;0),RawData!$M$2:$M$941),0.99),"")</f>
        <v/>
      </c>
      <c r="J20" s="3">
        <f t="array" ref="J20">FERROR(PERCENTILE.INC(IF((RawData!$C$2:$C$941="MT")*(RawData!$F$2:$F$941="Pass")*(RawData!$M$2:$M$941&lt;&gt;0),RawData!$M$2:$M$941),0.25)-1.5*(PERCENTILE.INC(IF((RawData!$C$2:$C$941="MT")*(RawData!$F$2:$F$941="Pass")*(RawData!$M$2:$M$941&lt;&gt;0),RawData!$M$2:$M$941),0.75)-PERCENTILE.INC(IF((RawData!$C$2:$C$941="MT")*(RawData!$F$2:$F$941="Pass")*(RawData!$M$2:$M$941&lt;&gt;0),RawData!$M$2:$M$941),0.25)),"")</f>
        <v/>
      </c>
      <c r="K20" s="3">
        <f t="array" ref="K20">FERROR(PERCENTILE.INC(IF((RawData!$C$2:$C$941="MT")*(RawData!$F$2:$F$941="Pass")*(RawData!$M$2:$M$941&lt;&gt;0),RawData!$M$2:$M$941),0.75)+1.5*(PERCENTILE.INC(IF((RawData!$C$2:$C$941="MT")*(RawData!$F$2:$F$941="Pass")*(RawData!$M$2:$M$941&lt;&gt;0),RawData!$M$2:$M$941),0.75)-PERCENTILE.INC(IF((RawData!$C$2:$C$941="MT")*(RawData!$F$2:$F$941="Pass")*(RawData!$M$2:$M$941&lt;&gt;0),RawData!$M$2:$M$941),0.25)),"")</f>
        <v/>
      </c>
      <c r="L20" s="7">
        <f>IFERROR(MAX($F20,$H20,$J20),"")</f>
        <v/>
      </c>
      <c r="M20" s="7">
        <f>IFERROR(MIN($G20,$I20,$K20),"")</f>
        <v/>
      </c>
      <c r="N20" s="3">
        <f>IFERROR(MAX($G20-$F20,$I20-$H20,$K20-$J20)/MIN($G20-$F20,$I20-$H20,$K20-$J20),"")</f>
        <v/>
      </c>
      <c r="O20" s="3">
        <f>IF($N20="","",IF($N20&lt;1.2,"Good",IF($N20&lt;1.5,"Review","Poor - non-normal")))</f>
        <v/>
      </c>
    </row>
    <row r="21">
      <c r="A21" s="4" t="inlineStr">
        <is>
          <t>MT</t>
        </is>
      </c>
      <c r="B21" s="4" t="inlineStr">
        <is>
          <t>Ambient Temp</t>
        </is>
      </c>
      <c r="C21" s="4">
        <f>Config!$E$21</f>
        <v/>
      </c>
      <c r="D21" s="4">
        <f>Config!$F$21</f>
        <v/>
      </c>
      <c r="E21" s="4">
        <f>Config!$G$21</f>
        <v/>
      </c>
      <c r="F21" s="4">
        <f>Config!$F$21-3*Config!$G$21</f>
        <v/>
      </c>
      <c r="G21" s="4">
        <f>Config!$F$21+3*Config!$G$21</f>
        <v/>
      </c>
      <c r="H21" s="4">
        <f t="array" ref="H21">FERROR(PERCENTILE.INC(IF((RawData!$C$2:$C$941="MT")*(RawData!$F$2:$F$941="Pass")*(RawData!$N$2:$N$941&lt;&gt;0),RawData!$N$2:$N$941),0.01),"")</f>
        <v/>
      </c>
      <c r="I21" s="4">
        <f t="array" ref="I21">FERROR(PERCENTILE.INC(IF((RawData!$C$2:$C$941="MT")*(RawData!$F$2:$F$941="Pass")*(RawData!$N$2:$N$941&lt;&gt;0),RawData!$N$2:$N$941),0.99),"")</f>
        <v/>
      </c>
      <c r="J21" s="4">
        <f t="array" ref="J21">FERROR(PERCENTILE.INC(IF((RawData!$C$2:$C$941="MT")*(RawData!$F$2:$F$941="Pass")*(RawData!$N$2:$N$941&lt;&gt;0),RawData!$N$2:$N$941),0.25)-1.5*(PERCENTILE.INC(IF((RawData!$C$2:$C$941="MT")*(RawData!$F$2:$F$941="Pass")*(RawData!$N$2:$N$941&lt;&gt;0),RawData!$N$2:$N$941),0.75)-PERCENTILE.INC(IF((RawData!$C$2:$C$941="MT")*(RawData!$F$2:$F$941="Pass")*(RawData!$N$2:$N$941&lt;&gt;0),RawData!$N$2:$N$941),0.25)),"")</f>
        <v/>
      </c>
      <c r="K21" s="4">
        <f t="array" ref="K21">FERROR(PERCENTILE.INC(IF((RawData!$C$2:$C$941="MT")*(RawData!$F$2:$F$941="Pass")*(RawData!$N$2:$N$941&lt;&gt;0),RawData!$N$2:$N$941),0.75)+1.5*(PERCENTILE.INC(IF((RawData!$C$2:$C$941="MT")*(RawData!$F$2:$F$941="Pass")*(RawData!$N$2:$N$941&lt;&gt;0),RawData!$N$2:$N$941),0.75)-PERCENTILE.INC(IF((RawData!$C$2:$C$941="MT")*(RawData!$F$2:$F$941="Pass")*(RawData!$N$2:$N$941&lt;&gt;0),RawData!$N$2:$N$941),0.25)),"")</f>
        <v/>
      </c>
      <c r="L21" s="7">
        <f>IFERROR(MAX($F21,$H21,$J21),"")</f>
        <v/>
      </c>
      <c r="M21" s="7">
        <f>IFERROR(MIN($G21,$I21,$K21),"")</f>
        <v/>
      </c>
      <c r="N21" s="4">
        <f>IFERROR(MAX($G21-$F21,$I21-$H21,$K21-$J21)/MIN($G21-$F21,$I21-$H21,$K21-$J21),"")</f>
        <v/>
      </c>
      <c r="O21" s="4">
        <f>IF($N21="","",IF($N21&lt;1.2,"Good",IF($N21&lt;1.5,"Review","Poor - non-normal")))</f>
        <v/>
      </c>
    </row>
    <row r="22">
      <c r="A22" s="3" t="inlineStr">
        <is>
          <t>MT</t>
        </is>
      </c>
      <c r="B22" s="3" t="inlineStr">
        <is>
          <t>Startup Voltage</t>
        </is>
      </c>
      <c r="C22" s="3">
        <f>Config!$E$22</f>
        <v/>
      </c>
      <c r="D22" s="3">
        <f>Config!$F$22</f>
        <v/>
      </c>
      <c r="E22" s="3">
        <f>Config!$G$22</f>
        <v/>
      </c>
      <c r="F22" s="3">
        <f>Config!$F$22-3*Config!$G$22</f>
        <v/>
      </c>
      <c r="G22" s="3">
        <f>Config!$F$22+3*Config!$G$22</f>
        <v/>
      </c>
      <c r="H22" s="3">
        <f t="array" ref="H22">FERROR(PERCENTILE.INC(IF((RawData!$C$2:$C$941="MT")*(RawData!$F$2:$F$941="Pass")*(RawData!$O$2:$O$941&lt;&gt;0),RawData!$O$2:$O$941),0.01),"")</f>
        <v/>
      </c>
      <c r="I22" s="3">
        <f t="array" ref="I22">FERROR(PERCENTILE.INC(IF((RawData!$C$2:$C$941="MT")*(RawData!$F$2:$F$941="Pass")*(RawData!$O$2:$O$941&lt;&gt;0),RawData!$O$2:$O$941),0.99),"")</f>
        <v/>
      </c>
      <c r="J22" s="3">
        <f t="array" ref="J22">FERROR(PERCENTILE.INC(IF((RawData!$C$2:$C$941="MT")*(RawData!$F$2:$F$941="Pass")*(RawData!$O$2:$O$941&lt;&gt;0),RawData!$O$2:$O$941),0.25)-1.5*(PERCENTILE.INC(IF((RawData!$C$2:$C$941="MT")*(RawData!$F$2:$F$941="Pass")*(RawData!$O$2:$O$941&lt;&gt;0),RawData!$O$2:$O$941),0.75)-PERCENTILE.INC(IF((RawData!$C$2:$C$941="MT")*(RawData!$F$2:$F$941="Pass")*(RawData!$O$2:$O$941&lt;&gt;0),RawData!$O$2:$O$941),0.25)),"")</f>
        <v/>
      </c>
      <c r="K22" s="3">
        <f t="array" ref="K22">FERROR(PERCENTILE.INC(IF((RawData!$C$2:$C$941="MT")*(RawData!$F$2:$F$941="Pass")*(RawData!$O$2:$O$941&lt;&gt;0),RawData!$O$2:$O$941),0.75)+1.5*(PERCENTILE.INC(IF((RawData!$C$2:$C$941="MT")*(RawData!$F$2:$F$941="Pass")*(RawData!$O$2:$O$941&lt;&gt;0),RawData!$O$2:$O$941),0.75)-PERCENTILE.INC(IF((RawData!$C$2:$C$941="MT")*(RawData!$F$2:$F$941="Pass")*(RawData!$O$2:$O$941&lt;&gt;0),RawData!$O$2:$O$941),0.25)),"")</f>
        <v/>
      </c>
      <c r="L22" s="7">
        <f>IFERROR(MAX($F22,$H22,$J22),"")</f>
        <v/>
      </c>
      <c r="M22" s="7">
        <f>IFERROR(MIN($G22,$I22,$K22),"")</f>
        <v/>
      </c>
      <c r="N22" s="3">
        <f>IFERROR(MAX($G22-$F22,$I22-$H22,$K22-$J22)/MIN($G22-$F22,$I22-$H22,$K22-$J22),"")</f>
        <v/>
      </c>
      <c r="O22" s="3">
        <f>IF($N22="","",IF($N22&lt;1.2,"Good",IF($N22&lt;1.5,"Review","Poor - non-normal")))</f>
        <v/>
      </c>
    </row>
    <row r="23">
      <c r="A23" s="4" t="inlineStr">
        <is>
          <t>MT</t>
        </is>
      </c>
      <c r="B23" s="4" t="inlineStr">
        <is>
          <t>Final Voltage</t>
        </is>
      </c>
      <c r="C23" s="4">
        <f>Config!$E$23</f>
        <v/>
      </c>
      <c r="D23" s="4">
        <f>Config!$F$23</f>
        <v/>
      </c>
      <c r="E23" s="4">
        <f>Config!$G$23</f>
        <v/>
      </c>
      <c r="F23" s="4">
        <f>Config!$F$23-3*Config!$G$23</f>
        <v/>
      </c>
      <c r="G23" s="4">
        <f>Config!$F$23+3*Config!$G$23</f>
        <v/>
      </c>
      <c r="H23" s="4">
        <f t="array" ref="H23">FERROR(PERCENTILE.INC(IF((RawData!$C$2:$C$941="MT")*(RawData!$F$2:$F$941="Pass")*(RawData!$P$2:$P$941&lt;&gt;0),RawData!$P$2:$P$941),0.01),"")</f>
        <v/>
      </c>
      <c r="I23" s="4">
        <f t="array" ref="I23">FERROR(PERCENTILE.INC(IF((RawData!$C$2:$C$941="MT")*(RawData!$F$2:$F$941="Pass")*(RawData!$P$2:$P$941&lt;&gt;0),RawData!$P$2:$P$941),0.99),"")</f>
        <v/>
      </c>
      <c r="J23" s="4">
        <f t="array" ref="J23">FERROR(PERCENTILE.INC(IF((RawData!$C$2:$C$941="MT")*(RawData!$F$2:$F$941="Pass")*(RawData!$P$2:$P$941&lt;&gt;0),RawData!$P$2:$P$941),0.25)-1.5*(PERCENTILE.INC(IF((RawData!$C$2:$C$941="MT")*(RawData!$F$2:$F$941="Pass")*(RawData!$P$2:$P$941&lt;&gt;0),RawData!$P$2:$P$941),0.75)-PERCENTILE.INC(IF((RawData!$C$2:$C$941="MT")*(RawData!$F$2:$F$941="Pass")*(RawData!$P$2:$P$941&lt;&gt;0),RawData!$P$2:$P$941),0.25)),"")</f>
        <v/>
      </c>
      <c r="K23" s="4">
        <f t="array" ref="K23">FERROR(PERCENTILE.INC(IF((RawData!$C$2:$C$941="MT")*(RawData!$F$2:$F$941="Pass")*(RawData!$P$2:$P$941&lt;&gt;0),RawData!$P$2:$P$941),0.75)+1.5*(PERCENTILE.INC(IF((RawData!$C$2:$C$941="MT")*(RawData!$F$2:$F$941="Pass")*(RawData!$P$2:$P$941&lt;&gt;0),RawData!$P$2:$P$941),0.75)-PERCENTILE.INC(IF((RawData!$C$2:$C$941="MT")*(RawData!$F$2:$F$941="Pass")*(RawData!$P$2:$P$941&lt;&gt;0),RawData!$P$2:$P$941),0.25)),"")</f>
        <v/>
      </c>
      <c r="L23" s="7">
        <f>IFERROR(MAX($F23,$H23,$J23),"")</f>
        <v/>
      </c>
      <c r="M23" s="7">
        <f>IFERROR(MIN($G23,$I23,$K23),"")</f>
        <v/>
      </c>
      <c r="N23" s="4">
        <f>IFERROR(MAX($G23-$F23,$I23-$H23,$K23-$J23)/MIN($G23-$F23,$I23-$H23,$K23-$J23),"")</f>
        <v/>
      </c>
      <c r="O23" s="4">
        <f>IF($N23="","",IF($N23&lt;1.2,"Good",IF($N23&lt;1.5,"Review","Poor - non-normal")))</f>
        <v/>
      </c>
    </row>
    <row r="24">
      <c r="A24" s="3" t="inlineStr">
        <is>
          <t>MT</t>
        </is>
      </c>
      <c r="B24" s="3" t="inlineStr">
        <is>
          <t>Startup Current</t>
        </is>
      </c>
      <c r="C24" s="3">
        <f>Config!$E$24</f>
        <v/>
      </c>
      <c r="D24" s="3">
        <f>Config!$F$24</f>
        <v/>
      </c>
      <c r="E24" s="3">
        <f>Config!$G$24</f>
        <v/>
      </c>
      <c r="F24" s="3">
        <f>Config!$F$24-3*Config!$G$24</f>
        <v/>
      </c>
      <c r="G24" s="3">
        <f>Config!$F$24+3*Config!$G$24</f>
        <v/>
      </c>
      <c r="H24" s="3">
        <f t="array" ref="H24">FERROR(PERCENTILE.INC(IF((RawData!$C$2:$C$941="MT")*(RawData!$F$2:$F$941="Pass")*(RawData!$Q$2:$Q$941&lt;&gt;0),RawData!$Q$2:$Q$941),0.01),"")</f>
        <v/>
      </c>
      <c r="I24" s="3">
        <f t="array" ref="I24">FERROR(PERCENTILE.INC(IF((RawData!$C$2:$C$941="MT")*(RawData!$F$2:$F$941="Pass")*(RawData!$Q$2:$Q$941&lt;&gt;0),RawData!$Q$2:$Q$941),0.99),"")</f>
        <v/>
      </c>
      <c r="J24" s="3">
        <f t="array" ref="J24">FERROR(PERCENTILE.INC(IF((RawData!$C$2:$C$941="MT")*(RawData!$F$2:$F$941="Pass")*(RawData!$Q$2:$Q$941&lt;&gt;0),RawData!$Q$2:$Q$941),0.25)-1.5*(PERCENTILE.INC(IF((RawData!$C$2:$C$941="MT")*(RawData!$F$2:$F$941="Pass")*(RawData!$Q$2:$Q$941&lt;&gt;0),RawData!$Q$2:$Q$941),0.75)-PERCENTILE.INC(IF((RawData!$C$2:$C$941="MT")*(RawData!$F$2:$F$941="Pass")*(RawData!$Q$2:$Q$941&lt;&gt;0),RawData!$Q$2:$Q$941),0.25)),"")</f>
        <v/>
      </c>
      <c r="K24" s="3">
        <f t="array" ref="K24">FERROR(PERCENTILE.INC(IF((RawData!$C$2:$C$941="MT")*(RawData!$F$2:$F$941="Pass")*(RawData!$Q$2:$Q$941&lt;&gt;0),RawData!$Q$2:$Q$941),0.75)+1.5*(PERCENTILE.INC(IF((RawData!$C$2:$C$941="MT")*(RawData!$F$2:$F$941="Pass")*(RawData!$Q$2:$Q$941&lt;&gt;0),RawData!$Q$2:$Q$941),0.75)-PERCENTILE.INC(IF((RawData!$C$2:$C$941="MT")*(RawData!$F$2:$F$941="Pass")*(RawData!$Q$2:$Q$941&lt;&gt;0),RawData!$Q$2:$Q$941),0.25)),"")</f>
        <v/>
      </c>
      <c r="L24" s="7">
        <f>IFERROR(MAX($F24,$H24,$J24),"")</f>
        <v/>
      </c>
      <c r="M24" s="7">
        <f>IFERROR(MIN($G24,$I24,$K24),"")</f>
        <v/>
      </c>
      <c r="N24" s="3">
        <f>IFERROR(MAX($G24-$F24,$I24-$H24,$K24-$J24)/MIN($G24-$F24,$I24-$H24,$K24-$J24),"")</f>
        <v/>
      </c>
      <c r="O24" s="3">
        <f>IF($N24="","",IF($N24&lt;1.2,"Good",IF($N24&lt;1.5,"Review","Poor - non-normal")))</f>
        <v/>
      </c>
    </row>
    <row r="25">
      <c r="A25" s="4" t="inlineStr">
        <is>
          <t>MT</t>
        </is>
      </c>
      <c r="B25" s="4" t="inlineStr">
        <is>
          <t>Final Current</t>
        </is>
      </c>
      <c r="C25" s="4">
        <f>Config!$E$25</f>
        <v/>
      </c>
      <c r="D25" s="4">
        <f>Config!$F$25</f>
        <v/>
      </c>
      <c r="E25" s="4">
        <f>Config!$G$25</f>
        <v/>
      </c>
      <c r="F25" s="4">
        <f>Config!$F$25-3*Config!$G$25</f>
        <v/>
      </c>
      <c r="G25" s="4">
        <f>Config!$F$25+3*Config!$G$25</f>
        <v/>
      </c>
      <c r="H25" s="4">
        <f t="array" ref="H25">FERROR(PERCENTILE.INC(IF((RawData!$C$2:$C$941="MT")*(RawData!$F$2:$F$941="Pass")*(RawData!$R$2:$R$941&lt;&gt;0),RawData!$R$2:$R$941),0.01),"")</f>
        <v/>
      </c>
      <c r="I25" s="4">
        <f t="array" ref="I25">FERROR(PERCENTILE.INC(IF((RawData!$C$2:$C$941="MT")*(RawData!$F$2:$F$941="Pass")*(RawData!$R$2:$R$941&lt;&gt;0),RawData!$R$2:$R$941),0.99),"")</f>
        <v/>
      </c>
      <c r="J25" s="4">
        <f t="array" ref="J25">FERROR(PERCENTILE.INC(IF((RawData!$C$2:$C$941="MT")*(RawData!$F$2:$F$941="Pass")*(RawData!$R$2:$R$941&lt;&gt;0),RawData!$R$2:$R$941),0.25)-1.5*(PERCENTILE.INC(IF((RawData!$C$2:$C$941="MT")*(RawData!$F$2:$F$941="Pass")*(RawData!$R$2:$R$941&lt;&gt;0),RawData!$R$2:$R$941),0.75)-PERCENTILE.INC(IF((RawData!$C$2:$C$941="MT")*(RawData!$F$2:$F$941="Pass")*(RawData!$R$2:$R$941&lt;&gt;0),RawData!$R$2:$R$941),0.25)),"")</f>
        <v/>
      </c>
      <c r="K25" s="4">
        <f t="array" ref="K25">FERROR(PERCENTILE.INC(IF((RawData!$C$2:$C$941="MT")*(RawData!$F$2:$F$941="Pass")*(RawData!$R$2:$R$941&lt;&gt;0),RawData!$R$2:$R$941),0.75)+1.5*(PERCENTILE.INC(IF((RawData!$C$2:$C$941="MT")*(RawData!$F$2:$F$941="Pass")*(RawData!$R$2:$R$941&lt;&gt;0),RawData!$R$2:$R$941),0.75)-PERCENTILE.INC(IF((RawData!$C$2:$C$941="MT")*(RawData!$F$2:$F$941="Pass")*(RawData!$R$2:$R$941&lt;&gt;0),RawData!$R$2:$R$941),0.25)),"")</f>
        <v/>
      </c>
      <c r="L25" s="7">
        <f>IFERROR(MAX($F25,$H25,$J25),"")</f>
        <v/>
      </c>
      <c r="M25" s="7">
        <f>IFERROR(MIN($G25,$I25,$K25),"")</f>
        <v/>
      </c>
      <c r="N25" s="4">
        <f>IFERROR(MAX($G25-$F25,$I25-$H25,$K25-$J25)/MIN($G25-$F25,$I25-$H25,$K25-$J25),"")</f>
        <v/>
      </c>
      <c r="O25" s="4">
        <f>IF($N25="","",IF($N25&lt;1.2,"Good",IF($N25&lt;1.5,"Review","Poor - non-normal")))</f>
        <v/>
      </c>
    </row>
  </sheetData>
  <autoFilter ref="A1:O25"/>
  <conditionalFormatting sqref="O2:O25">
    <cfRule type="cellIs" priority="1" operator="equal" dxfId="1">
      <formula>"Good"</formula>
    </cfRule>
    <cfRule type="cellIs" priority="2" operator="equal" dxfId="2">
      <formula>"Review"</formula>
    </cfRule>
    <cfRule type="cellIs" priority="3" operator="equal" dxfId="0">
      <formula>"Poor - non-normal"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SerialNo</t>
        </is>
      </c>
      <c r="B1" s="1" t="inlineStr">
        <is>
          <t>UnitType</t>
        </is>
      </c>
      <c r="C1" s="1" t="inlineStr">
        <is>
          <t>BomNo</t>
        </is>
      </c>
      <c r="D1" s="1" t="inlineStr">
        <is>
          <t>TestDate</t>
        </is>
      </c>
      <c r="E1" s="1" t="inlineStr">
        <is>
          <t>OverallPassFail</t>
        </is>
      </c>
      <c r="F1" s="1" t="inlineStr">
        <is>
          <t>Failed?</t>
        </is>
      </c>
      <c r="G1" s="1" t="inlineStr">
        <is>
          <t>Measurement</t>
        </is>
      </c>
      <c r="H1" s="1" t="inlineStr">
        <is>
          <t>Value</t>
        </is>
      </c>
      <c r="I1" s="1" t="inlineStr">
        <is>
          <t>Z_Score</t>
        </is>
      </c>
    </row>
    <row r="2">
      <c r="A2" s="3" t="inlineStr">
        <is>
          <t>04M2225120168</t>
        </is>
      </c>
      <c r="B2" s="3" t="inlineStr">
        <is>
          <t>LT</t>
        </is>
      </c>
      <c r="C2" s="3" t="inlineStr">
        <is>
          <t>CRS0000675</t>
        </is>
      </c>
      <c r="D2" s="8" t="n">
        <v>46038</v>
      </c>
      <c r="E2" s="3" t="inlineStr">
        <is>
          <t>Fail</t>
        </is>
      </c>
      <c r="F2" s="9" t="inlineStr">
        <is>
          <t>YES</t>
        </is>
      </c>
      <c r="G2" s="3" t="inlineStr">
        <is>
          <t>Inlet/Outlet Delta</t>
        </is>
      </c>
      <c r="H2" s="3" t="n">
        <v>2024</v>
      </c>
      <c r="I2" s="3" t="n">
        <v>1451.37</v>
      </c>
    </row>
    <row r="3">
      <c r="A3" s="4" t="inlineStr">
        <is>
          <t>04M2225120168</t>
        </is>
      </c>
      <c r="B3" s="4" t="inlineStr">
        <is>
          <t>LT</t>
        </is>
      </c>
      <c r="C3" s="4" t="inlineStr">
        <is>
          <t>CRS0000675</t>
        </is>
      </c>
      <c r="D3" s="10" t="n">
        <v>46038</v>
      </c>
      <c r="E3" s="4" t="inlineStr">
        <is>
          <t>Fail</t>
        </is>
      </c>
      <c r="F3" s="9" t="inlineStr">
        <is>
          <t>YES</t>
        </is>
      </c>
      <c r="G3" s="4" t="inlineStr">
        <is>
          <t>Inlet/Outlet Delta</t>
        </is>
      </c>
      <c r="H3" s="4" t="n">
        <v>2022.7</v>
      </c>
      <c r="I3" s="4" t="n">
        <v>1450.44</v>
      </c>
    </row>
    <row r="4">
      <c r="A4" s="3" t="inlineStr">
        <is>
          <t>04M2225120168</t>
        </is>
      </c>
      <c r="B4" s="3" t="inlineStr">
        <is>
          <t>LT</t>
        </is>
      </c>
      <c r="C4" s="3" t="inlineStr">
        <is>
          <t>CRS0000675</t>
        </is>
      </c>
      <c r="D4" s="8" t="n">
        <v>46038</v>
      </c>
      <c r="E4" s="3" t="inlineStr">
        <is>
          <t>Fail</t>
        </is>
      </c>
      <c r="F4" s="9" t="inlineStr">
        <is>
          <t>YES</t>
        </is>
      </c>
      <c r="G4" s="3" t="inlineStr">
        <is>
          <t>Evap Outlet Air Temp</t>
        </is>
      </c>
      <c r="H4" s="3" t="n">
        <v>-1952</v>
      </c>
      <c r="I4" s="3" t="n">
        <v>909.35</v>
      </c>
    </row>
    <row r="5">
      <c r="A5" s="4" t="inlineStr">
        <is>
          <t>04M2225120168</t>
        </is>
      </c>
      <c r="B5" s="4" t="inlineStr">
        <is>
          <t>LT</t>
        </is>
      </c>
      <c r="C5" s="4" t="inlineStr">
        <is>
          <t>CRS0000675</t>
        </is>
      </c>
      <c r="D5" s="10" t="n">
        <v>46038</v>
      </c>
      <c r="E5" s="4" t="inlineStr">
        <is>
          <t>Fail</t>
        </is>
      </c>
      <c r="F5" s="9" t="inlineStr">
        <is>
          <t>YES</t>
        </is>
      </c>
      <c r="G5" s="4" t="inlineStr">
        <is>
          <t>Evap Outlet Air Temp</t>
        </is>
      </c>
      <c r="H5" s="4" t="n">
        <v>-1952</v>
      </c>
      <c r="I5" s="4" t="n">
        <v>909.35</v>
      </c>
    </row>
    <row r="6">
      <c r="A6" s="3" t="inlineStr">
        <is>
          <t>04C1026120845</t>
        </is>
      </c>
      <c r="B6" s="3" t="inlineStr">
        <is>
          <t>LT</t>
        </is>
      </c>
      <c r="C6" s="3" t="inlineStr">
        <is>
          <t>CRS0000675</t>
        </is>
      </c>
      <c r="D6" s="8" t="n">
        <v>46091</v>
      </c>
      <c r="E6" s="3" t="inlineStr">
        <is>
          <t>Fail</t>
        </is>
      </c>
      <c r="F6" s="9" t="inlineStr">
        <is>
          <t>YES</t>
        </is>
      </c>
      <c r="G6" s="3" t="inlineStr">
        <is>
          <t>Evap Inlet Ret Bend A</t>
        </is>
      </c>
      <c r="H6" s="3" t="n">
        <v>-1973.8</v>
      </c>
      <c r="I6" s="3" t="n">
        <v>410.96</v>
      </c>
    </row>
    <row r="7">
      <c r="A7" s="4" t="inlineStr">
        <is>
          <t>04C1326120945</t>
        </is>
      </c>
      <c r="B7" s="4" t="inlineStr">
        <is>
          <t>MT</t>
        </is>
      </c>
      <c r="C7" s="4" t="inlineStr">
        <is>
          <t>CRS0000674</t>
        </is>
      </c>
      <c r="D7" s="10" t="n">
        <v>46097</v>
      </c>
      <c r="E7" s="4" t="inlineStr">
        <is>
          <t>Fail</t>
        </is>
      </c>
      <c r="F7" s="9" t="inlineStr">
        <is>
          <t>YES</t>
        </is>
      </c>
      <c r="G7" s="4" t="inlineStr">
        <is>
          <t>Evap Inlet Ret Bend A</t>
        </is>
      </c>
      <c r="H7" s="4" t="n">
        <v>156</v>
      </c>
      <c r="I7" s="4" t="n">
        <v>26.68</v>
      </c>
    </row>
    <row r="8">
      <c r="A8" s="3" t="inlineStr">
        <is>
          <t>04C1326120945</t>
        </is>
      </c>
      <c r="B8" s="3" t="inlineStr">
        <is>
          <t>MT</t>
        </is>
      </c>
      <c r="C8" s="3" t="inlineStr">
        <is>
          <t>CRS0000674</t>
        </is>
      </c>
      <c r="D8" s="8" t="n">
        <v>46097</v>
      </c>
      <c r="E8" s="3" t="inlineStr">
        <is>
          <t>Fail</t>
        </is>
      </c>
      <c r="F8" s="9" t="inlineStr">
        <is>
          <t>YES</t>
        </is>
      </c>
      <c r="G8" s="3" t="inlineStr">
        <is>
          <t>Evap Inlet Ret Bend A</t>
        </is>
      </c>
      <c r="H8" s="3" t="n">
        <v>153.3</v>
      </c>
      <c r="I8" s="3" t="n">
        <v>25.72</v>
      </c>
    </row>
    <row r="9">
      <c r="A9" s="4" t="inlineStr">
        <is>
          <t>04C1326120945</t>
        </is>
      </c>
      <c r="B9" s="4" t="inlineStr">
        <is>
          <t>MT</t>
        </is>
      </c>
      <c r="C9" s="4" t="inlineStr">
        <is>
          <t>CRS0000674</t>
        </is>
      </c>
      <c r="D9" s="10" t="n">
        <v>46095</v>
      </c>
      <c r="E9" s="4" t="inlineStr">
        <is>
          <t>Fail</t>
        </is>
      </c>
      <c r="F9" s="9" t="inlineStr">
        <is>
          <t>YES</t>
        </is>
      </c>
      <c r="G9" s="4" t="inlineStr">
        <is>
          <t>Evap Inlet Ret Bend A</t>
        </is>
      </c>
      <c r="H9" s="4" t="n">
        <v>148.3</v>
      </c>
      <c r="I9" s="4" t="n">
        <v>23.95</v>
      </c>
    </row>
    <row r="10">
      <c r="A10" s="3" t="inlineStr">
        <is>
          <t>04C1126120904</t>
        </is>
      </c>
      <c r="B10" s="3" t="inlineStr">
        <is>
          <t>MT</t>
        </is>
      </c>
      <c r="C10" s="3" t="inlineStr">
        <is>
          <t>CRS0000674</t>
        </is>
      </c>
      <c r="D10" s="8" t="n">
        <v>46092</v>
      </c>
      <c r="E10" s="3" t="inlineStr">
        <is>
          <t>Fail</t>
        </is>
      </c>
      <c r="F10" s="9" t="inlineStr">
        <is>
          <t>YES</t>
        </is>
      </c>
      <c r="G10" s="3" t="inlineStr">
        <is>
          <t>Evap Inlet Ret Bend A</t>
        </is>
      </c>
      <c r="H10" s="3" t="n">
        <v>143.8</v>
      </c>
      <c r="I10" s="3" t="n">
        <v>22.36</v>
      </c>
    </row>
    <row r="11">
      <c r="A11" s="4" t="inlineStr">
        <is>
          <t>04C1326120945</t>
        </is>
      </c>
      <c r="B11" s="4" t="inlineStr">
        <is>
          <t>MT</t>
        </is>
      </c>
      <c r="C11" s="4" t="inlineStr">
        <is>
          <t>CRS0000674</t>
        </is>
      </c>
      <c r="D11" s="10" t="n">
        <v>46095</v>
      </c>
      <c r="E11" s="4" t="inlineStr">
        <is>
          <t>Fail</t>
        </is>
      </c>
      <c r="F11" s="9" t="inlineStr">
        <is>
          <t>YES</t>
        </is>
      </c>
      <c r="G11" s="4" t="inlineStr">
        <is>
          <t>Evap Inlet Ret Bend A</t>
        </is>
      </c>
      <c r="H11" s="4" t="n">
        <v>135.2</v>
      </c>
      <c r="I11" s="4" t="n">
        <v>19.31</v>
      </c>
    </row>
    <row r="12">
      <c r="A12" s="3" t="inlineStr">
        <is>
          <t>04C1326120945</t>
        </is>
      </c>
      <c r="B12" s="3" t="inlineStr">
        <is>
          <t>MT</t>
        </is>
      </c>
      <c r="C12" s="3" t="inlineStr">
        <is>
          <t>CRS0000674</t>
        </is>
      </c>
      <c r="D12" s="8" t="n">
        <v>46097</v>
      </c>
      <c r="E12" s="3" t="inlineStr">
        <is>
          <t>Fail</t>
        </is>
      </c>
      <c r="F12" s="9" t="inlineStr">
        <is>
          <t>YES</t>
        </is>
      </c>
      <c r="G12" s="3" t="inlineStr">
        <is>
          <t>Final Current</t>
        </is>
      </c>
      <c r="H12" s="3" t="n">
        <v>6.54</v>
      </c>
      <c r="I12" s="3" t="n">
        <v>17.17</v>
      </c>
    </row>
    <row r="13">
      <c r="A13" s="4" t="inlineStr">
        <is>
          <t>04C1326120945</t>
        </is>
      </c>
      <c r="B13" s="4" t="inlineStr">
        <is>
          <t>MT</t>
        </is>
      </c>
      <c r="C13" s="4" t="inlineStr">
        <is>
          <t>CRS0000674</t>
        </is>
      </c>
      <c r="D13" s="10" t="n">
        <v>46097</v>
      </c>
      <c r="E13" s="4" t="inlineStr">
        <is>
          <t>Fail</t>
        </is>
      </c>
      <c r="F13" s="9" t="inlineStr">
        <is>
          <t>YES</t>
        </is>
      </c>
      <c r="G13" s="4" t="inlineStr">
        <is>
          <t>Final Current</t>
        </is>
      </c>
      <c r="H13" s="4" t="n">
        <v>6.49</v>
      </c>
      <c r="I13" s="4" t="n">
        <v>16.85</v>
      </c>
    </row>
    <row r="14">
      <c r="A14" s="3" t="inlineStr">
        <is>
          <t>04C1326120945</t>
        </is>
      </c>
      <c r="B14" s="3" t="inlineStr">
        <is>
          <t>MT</t>
        </is>
      </c>
      <c r="C14" s="3" t="inlineStr">
        <is>
          <t>CRS0000674</t>
        </is>
      </c>
      <c r="D14" s="8" t="n">
        <v>46095</v>
      </c>
      <c r="E14" s="3" t="inlineStr">
        <is>
          <t>Fail</t>
        </is>
      </c>
      <c r="F14" s="9" t="inlineStr">
        <is>
          <t>YES</t>
        </is>
      </c>
      <c r="G14" s="3" t="inlineStr">
        <is>
          <t>Evap Inlet Ret Bend A</t>
        </is>
      </c>
      <c r="H14" s="3" t="n">
        <v>127.6</v>
      </c>
      <c r="I14" s="3" t="n">
        <v>16.61</v>
      </c>
    </row>
    <row r="15">
      <c r="A15" s="4" t="inlineStr">
        <is>
          <t>04C1826121007</t>
        </is>
      </c>
      <c r="B15" s="4" t="inlineStr">
        <is>
          <t>LT</t>
        </is>
      </c>
      <c r="C15" s="4" t="inlineStr">
        <is>
          <t>CRS0000675</t>
        </is>
      </c>
      <c r="D15" s="10" t="n">
        <v>46100</v>
      </c>
      <c r="E15" s="4" t="inlineStr">
        <is>
          <t>Fail</t>
        </is>
      </c>
      <c r="F15" s="9" t="inlineStr">
        <is>
          <t>YES</t>
        </is>
      </c>
      <c r="G15" s="4" t="inlineStr">
        <is>
          <t>Evap Inlet Ret Bend A</t>
        </is>
      </c>
      <c r="H15" s="4" t="n">
        <v>175.4</v>
      </c>
      <c r="I15" s="4" t="n">
        <v>15.68</v>
      </c>
    </row>
    <row r="16">
      <c r="A16" s="3" t="inlineStr">
        <is>
          <t>04D1626121409</t>
        </is>
      </c>
      <c r="B16" s="3" t="inlineStr">
        <is>
          <t>MT</t>
        </is>
      </c>
      <c r="C16" s="3" t="inlineStr">
        <is>
          <t>CRS0000674</t>
        </is>
      </c>
      <c r="D16" s="8" t="n">
        <v>46128</v>
      </c>
      <c r="E16" s="3" t="inlineStr">
        <is>
          <t>Fail</t>
        </is>
      </c>
      <c r="F16" s="9" t="inlineStr">
        <is>
          <t>YES</t>
        </is>
      </c>
      <c r="G16" s="3" t="inlineStr">
        <is>
          <t>Evap Inlet Ret Bend A</t>
        </is>
      </c>
      <c r="H16" s="3" t="n">
        <v>124.4</v>
      </c>
      <c r="I16" s="3" t="n">
        <v>15.48</v>
      </c>
    </row>
    <row r="17">
      <c r="A17" s="4" t="inlineStr">
        <is>
          <t>04D1326121350</t>
        </is>
      </c>
      <c r="B17" s="4" t="inlineStr">
        <is>
          <t>LT</t>
        </is>
      </c>
      <c r="C17" s="4" t="inlineStr">
        <is>
          <t>CRS0000675</t>
        </is>
      </c>
      <c r="D17" s="10" t="n">
        <v>46136</v>
      </c>
      <c r="E17" s="4" t="inlineStr">
        <is>
          <t>Fail</t>
        </is>
      </c>
      <c r="F17" s="9" t="inlineStr">
        <is>
          <t>YES</t>
        </is>
      </c>
      <c r="G17" s="4" t="inlineStr">
        <is>
          <t>Final Current</t>
        </is>
      </c>
      <c r="H17" s="4" t="n">
        <v>2.08</v>
      </c>
      <c r="I17" s="4" t="n">
        <v>14.6</v>
      </c>
    </row>
    <row r="18">
      <c r="A18" s="3" t="inlineStr">
        <is>
          <t>04D1326121350</t>
        </is>
      </c>
      <c r="B18" s="3" t="inlineStr">
        <is>
          <t>LT</t>
        </is>
      </c>
      <c r="C18" s="3" t="inlineStr">
        <is>
          <t>CRS0000675</t>
        </is>
      </c>
      <c r="D18" s="8" t="n">
        <v>46125</v>
      </c>
      <c r="E18" s="3" t="inlineStr">
        <is>
          <t>Fail</t>
        </is>
      </c>
      <c r="F18" s="9" t="inlineStr">
        <is>
          <t>YES</t>
        </is>
      </c>
      <c r="G18" s="3" t="inlineStr">
        <is>
          <t>Final Current</t>
        </is>
      </c>
      <c r="H18" s="3" t="n">
        <v>2.1</v>
      </c>
      <c r="I18" s="3" t="n">
        <v>14.55</v>
      </c>
    </row>
    <row r="19">
      <c r="A19" s="4" t="inlineStr">
        <is>
          <t>04D1326121350</t>
        </is>
      </c>
      <c r="B19" s="4" t="inlineStr">
        <is>
          <t>LT</t>
        </is>
      </c>
      <c r="C19" s="4" t="inlineStr">
        <is>
          <t>CRS0000675</t>
        </is>
      </c>
      <c r="D19" s="10" t="n">
        <v>46125</v>
      </c>
      <c r="E19" s="4" t="inlineStr">
        <is>
          <t>Fail</t>
        </is>
      </c>
      <c r="F19" s="9" t="inlineStr">
        <is>
          <t>YES</t>
        </is>
      </c>
      <c r="G19" s="4" t="inlineStr">
        <is>
          <t>Final Current</t>
        </is>
      </c>
      <c r="H19" s="4" t="n">
        <v>2.1</v>
      </c>
      <c r="I19" s="4" t="n">
        <v>14.55</v>
      </c>
    </row>
    <row r="20">
      <c r="A20" s="3" t="inlineStr">
        <is>
          <t>04C1826121007</t>
        </is>
      </c>
      <c r="B20" s="3" t="inlineStr">
        <is>
          <t>LT</t>
        </is>
      </c>
      <c r="C20" s="3" t="inlineStr">
        <is>
          <t>CRS0000675</t>
        </is>
      </c>
      <c r="D20" s="8" t="n">
        <v>46100</v>
      </c>
      <c r="E20" s="3" t="inlineStr">
        <is>
          <t>Fail</t>
        </is>
      </c>
      <c r="F20" s="9" t="inlineStr">
        <is>
          <t>YES</t>
        </is>
      </c>
      <c r="G20" s="3" t="inlineStr">
        <is>
          <t>Evap Inlet Ret Bend A</t>
        </is>
      </c>
      <c r="H20" s="3" t="n">
        <v>169.1</v>
      </c>
      <c r="I20" s="3" t="n">
        <v>14.43</v>
      </c>
    </row>
    <row r="21">
      <c r="A21" s="4" t="inlineStr">
        <is>
          <t>04D0926121300</t>
        </is>
      </c>
      <c r="B21" s="4" t="inlineStr">
        <is>
          <t>LT</t>
        </is>
      </c>
      <c r="C21" s="4" t="inlineStr">
        <is>
          <t>CRS0000675</t>
        </is>
      </c>
      <c r="D21" s="10" t="n">
        <v>46122</v>
      </c>
      <c r="E21" s="4" t="inlineStr">
        <is>
          <t>Fail</t>
        </is>
      </c>
      <c r="F21" s="9" t="inlineStr">
        <is>
          <t>YES</t>
        </is>
      </c>
      <c r="G21" s="4" t="inlineStr">
        <is>
          <t>Suction Tube Temp</t>
        </is>
      </c>
      <c r="H21" s="4" t="n">
        <v>70.40000000000001</v>
      </c>
      <c r="I21" s="4" t="n">
        <v>14.37</v>
      </c>
    </row>
    <row r="22">
      <c r="A22" s="3" t="inlineStr">
        <is>
          <t>04D1326121350</t>
        </is>
      </c>
      <c r="B22" s="3" t="inlineStr">
        <is>
          <t>LT</t>
        </is>
      </c>
      <c r="C22" s="3" t="inlineStr">
        <is>
          <t>CRS0000675</t>
        </is>
      </c>
      <c r="D22" s="8" t="n">
        <v>46125</v>
      </c>
      <c r="E22" s="3" t="inlineStr">
        <is>
          <t>Fail</t>
        </is>
      </c>
      <c r="F22" s="9" t="inlineStr">
        <is>
          <t>YES</t>
        </is>
      </c>
      <c r="G22" s="3" t="inlineStr">
        <is>
          <t>Suction Tube Temp</t>
        </is>
      </c>
      <c r="H22" s="3" t="n">
        <v>70.40000000000001</v>
      </c>
      <c r="I22" s="3" t="n">
        <v>14.37</v>
      </c>
    </row>
    <row r="23">
      <c r="A23" s="4" t="inlineStr">
        <is>
          <t>04C1126120904</t>
        </is>
      </c>
      <c r="B23" s="4" t="inlineStr">
        <is>
          <t>MT</t>
        </is>
      </c>
      <c r="C23" s="4" t="inlineStr">
        <is>
          <t>CRS0000674</t>
        </is>
      </c>
      <c r="D23" s="10" t="n">
        <v>46092</v>
      </c>
      <c r="E23" s="4" t="inlineStr">
        <is>
          <t>Fail</t>
        </is>
      </c>
      <c r="F23" s="9" t="inlineStr">
        <is>
          <t>YES</t>
        </is>
      </c>
      <c r="G23" s="4" t="inlineStr">
        <is>
          <t>Final Current</t>
        </is>
      </c>
      <c r="H23" s="4" t="n">
        <v>6.1</v>
      </c>
      <c r="I23" s="4" t="n">
        <v>14.36</v>
      </c>
    </row>
    <row r="24">
      <c r="A24" s="3" t="inlineStr">
        <is>
          <t>04D1326121350</t>
        </is>
      </c>
      <c r="B24" s="3" t="inlineStr">
        <is>
          <t>LT</t>
        </is>
      </c>
      <c r="C24" s="3" t="inlineStr">
        <is>
          <t>CRS0000675</t>
        </is>
      </c>
      <c r="D24" s="8" t="n">
        <v>46136</v>
      </c>
      <c r="E24" s="3" t="inlineStr">
        <is>
          <t>Fail</t>
        </is>
      </c>
      <c r="F24" s="9" t="inlineStr">
        <is>
          <t>YES</t>
        </is>
      </c>
      <c r="G24" s="3" t="inlineStr">
        <is>
          <t>Final Current</t>
        </is>
      </c>
      <c r="H24" s="3" t="n">
        <v>2.2</v>
      </c>
      <c r="I24" s="3" t="n">
        <v>14.3</v>
      </c>
    </row>
    <row r="25">
      <c r="A25" s="4" t="inlineStr">
        <is>
          <t>04D1326121350</t>
        </is>
      </c>
      <c r="B25" s="4" t="inlineStr">
        <is>
          <t>LT</t>
        </is>
      </c>
      <c r="C25" s="4" t="inlineStr">
        <is>
          <t>CRS0000675</t>
        </is>
      </c>
      <c r="D25" s="10" t="n">
        <v>46125</v>
      </c>
      <c r="E25" s="4" t="inlineStr">
        <is>
          <t>Fail</t>
        </is>
      </c>
      <c r="F25" s="9" t="inlineStr">
        <is>
          <t>YES</t>
        </is>
      </c>
      <c r="G25" s="4" t="inlineStr">
        <is>
          <t>Suction Tube Temp</t>
        </is>
      </c>
      <c r="H25" s="4" t="n">
        <v>71.3</v>
      </c>
      <c r="I25" s="4" t="n">
        <v>14.21</v>
      </c>
    </row>
    <row r="26">
      <c r="A26" s="3" t="inlineStr">
        <is>
          <t>04D1326121350</t>
        </is>
      </c>
      <c r="B26" s="3" t="inlineStr">
        <is>
          <t>LT</t>
        </is>
      </c>
      <c r="C26" s="3" t="inlineStr">
        <is>
          <t>CRS0000675</t>
        </is>
      </c>
      <c r="D26" s="8" t="n">
        <v>46136</v>
      </c>
      <c r="E26" s="3" t="inlineStr">
        <is>
          <t>Fail</t>
        </is>
      </c>
      <c r="F26" s="9" t="inlineStr">
        <is>
          <t>YES</t>
        </is>
      </c>
      <c r="G26" s="3" t="inlineStr">
        <is>
          <t>Suction Tube Temp</t>
        </is>
      </c>
      <c r="H26" s="3" t="n">
        <v>71.3</v>
      </c>
      <c r="I26" s="3" t="n">
        <v>14.21</v>
      </c>
    </row>
    <row r="27">
      <c r="A27" s="4" t="inlineStr">
        <is>
          <t>04C2426121082</t>
        </is>
      </c>
      <c r="B27" s="4" t="inlineStr">
        <is>
          <t>LT</t>
        </is>
      </c>
      <c r="C27" s="4" t="inlineStr">
        <is>
          <t>CRS0000675</t>
        </is>
      </c>
      <c r="D27" s="10" t="n">
        <v>46130</v>
      </c>
      <c r="E27" s="4" t="inlineStr">
        <is>
          <t>Fail</t>
        </is>
      </c>
      <c r="F27" s="9" t="inlineStr">
        <is>
          <t>YES</t>
        </is>
      </c>
      <c r="G27" s="4" t="inlineStr">
        <is>
          <t>Suction Tube Temp</t>
        </is>
      </c>
      <c r="H27" s="4" t="n">
        <v>73.5</v>
      </c>
      <c r="I27" s="4" t="n">
        <v>13.83</v>
      </c>
    </row>
    <row r="28">
      <c r="A28" s="3" t="inlineStr">
        <is>
          <t>04D1326121350</t>
        </is>
      </c>
      <c r="B28" s="3" t="inlineStr">
        <is>
          <t>LT</t>
        </is>
      </c>
      <c r="C28" s="3" t="inlineStr">
        <is>
          <t>CRS0000675</t>
        </is>
      </c>
      <c r="D28" s="8" t="n">
        <v>46136</v>
      </c>
      <c r="E28" s="3" t="inlineStr">
        <is>
          <t>Fail</t>
        </is>
      </c>
      <c r="F28" s="9" t="inlineStr">
        <is>
          <t>YES</t>
        </is>
      </c>
      <c r="G28" s="3" t="inlineStr">
        <is>
          <t>Suction Tube Temp</t>
        </is>
      </c>
      <c r="H28" s="3" t="n">
        <v>74</v>
      </c>
      <c r="I28" s="3" t="n">
        <v>13.74</v>
      </c>
    </row>
    <row r="29">
      <c r="A29" s="4" t="inlineStr">
        <is>
          <t>04C1326120945</t>
        </is>
      </c>
      <c r="B29" s="4" t="inlineStr">
        <is>
          <t>MT</t>
        </is>
      </c>
      <c r="C29" s="4" t="inlineStr">
        <is>
          <t>CRS0000674</t>
        </is>
      </c>
      <c r="D29" s="10" t="n">
        <v>46097</v>
      </c>
      <c r="E29" s="4" t="inlineStr">
        <is>
          <t>Fail</t>
        </is>
      </c>
      <c r="F29" s="9" t="inlineStr">
        <is>
          <t>YES</t>
        </is>
      </c>
      <c r="G29" s="4" t="inlineStr">
        <is>
          <t>Final Current</t>
        </is>
      </c>
      <c r="H29" s="4" t="n">
        <v>5.83</v>
      </c>
      <c r="I29" s="4" t="n">
        <v>12.64</v>
      </c>
    </row>
    <row r="30">
      <c r="A30" s="3" t="inlineStr">
        <is>
          <t>04C1326120945</t>
        </is>
      </c>
      <c r="B30" s="3" t="inlineStr">
        <is>
          <t>MT</t>
        </is>
      </c>
      <c r="C30" s="3" t="inlineStr">
        <is>
          <t>CRS0000674</t>
        </is>
      </c>
      <c r="D30" s="8" t="n">
        <v>46097</v>
      </c>
      <c r="E30" s="3" t="inlineStr">
        <is>
          <t>Fail</t>
        </is>
      </c>
      <c r="F30" s="9" t="inlineStr">
        <is>
          <t>YES</t>
        </is>
      </c>
      <c r="G30" s="3" t="inlineStr">
        <is>
          <t>Evap Inlet Ret Bend A</t>
        </is>
      </c>
      <c r="H30" s="3" t="n">
        <v>115.4</v>
      </c>
      <c r="I30" s="3" t="n">
        <v>12.29</v>
      </c>
    </row>
    <row r="31">
      <c r="A31" s="4" t="inlineStr">
        <is>
          <t>04B2726120709</t>
        </is>
      </c>
      <c r="B31" s="4" t="inlineStr">
        <is>
          <t>MT</t>
        </is>
      </c>
      <c r="C31" s="4" t="inlineStr">
        <is>
          <t>CRS0000674</t>
        </is>
      </c>
      <c r="D31" s="10" t="n">
        <v>46081</v>
      </c>
      <c r="E31" s="4" t="inlineStr">
        <is>
          <t>Fail</t>
        </is>
      </c>
      <c r="F31" s="9" t="inlineStr">
        <is>
          <t>YES</t>
        </is>
      </c>
      <c r="G31" s="4" t="inlineStr">
        <is>
          <t>Startup Current</t>
        </is>
      </c>
      <c r="H31" s="4" t="n">
        <v>2</v>
      </c>
      <c r="I31" s="4" t="n">
        <v>12.1</v>
      </c>
    </row>
    <row r="32">
      <c r="A32" s="3" t="inlineStr">
        <is>
          <t>04C1326120945</t>
        </is>
      </c>
      <c r="B32" s="3" t="inlineStr">
        <is>
          <t>MT</t>
        </is>
      </c>
      <c r="C32" s="3" t="inlineStr">
        <is>
          <t>CRS0000674</t>
        </is>
      </c>
      <c r="D32" s="8" t="n">
        <v>46097</v>
      </c>
      <c r="E32" s="3" t="inlineStr">
        <is>
          <t>Fail</t>
        </is>
      </c>
      <c r="F32" s="9" t="inlineStr">
        <is>
          <t>YES</t>
        </is>
      </c>
      <c r="G32" s="3" t="inlineStr">
        <is>
          <t>Startup Current</t>
        </is>
      </c>
      <c r="H32" s="3" t="n">
        <v>5.59</v>
      </c>
      <c r="I32" s="3" t="n">
        <v>11.75</v>
      </c>
    </row>
    <row r="33">
      <c r="A33" s="4" t="inlineStr">
        <is>
          <t>04B2826120725</t>
        </is>
      </c>
      <c r="B33" s="4" t="inlineStr">
        <is>
          <t>LT</t>
        </is>
      </c>
      <c r="C33" s="4" t="inlineStr">
        <is>
          <t>CRS0000675</t>
        </is>
      </c>
      <c r="D33" s="10" t="n">
        <v>46082</v>
      </c>
      <c r="E33" s="4" t="inlineStr">
        <is>
          <t>Fail</t>
        </is>
      </c>
      <c r="F33" s="9" t="inlineStr">
        <is>
          <t>YES</t>
        </is>
      </c>
      <c r="G33" s="4" t="inlineStr">
        <is>
          <t>Suction Tube Temp</t>
        </is>
      </c>
      <c r="H33" s="4" t="n">
        <v>86.09999999999999</v>
      </c>
      <c r="I33" s="4" t="n">
        <v>11.63</v>
      </c>
    </row>
    <row r="34">
      <c r="A34" s="3" t="inlineStr">
        <is>
          <t>04C2526121094</t>
        </is>
      </c>
      <c r="B34" s="3" t="inlineStr">
        <is>
          <t>LT</t>
        </is>
      </c>
      <c r="C34" s="3" t="inlineStr">
        <is>
          <t>CRS0000675</t>
        </is>
      </c>
      <c r="D34" s="8" t="n">
        <v>46126</v>
      </c>
      <c r="E34" s="3" t="inlineStr">
        <is>
          <t>Fail</t>
        </is>
      </c>
      <c r="F34" s="9" t="inlineStr">
        <is>
          <t>YES</t>
        </is>
      </c>
      <c r="G34" s="3" t="inlineStr">
        <is>
          <t>Final Current</t>
        </is>
      </c>
      <c r="H34" s="3" t="n">
        <v>3.32</v>
      </c>
      <c r="I34" s="3" t="n">
        <v>11.49</v>
      </c>
    </row>
    <row r="35">
      <c r="A35" s="4" t="inlineStr">
        <is>
          <t>04D0626121252</t>
        </is>
      </c>
      <c r="B35" s="4" t="inlineStr">
        <is>
          <t>MT</t>
        </is>
      </c>
      <c r="C35" s="4" t="inlineStr">
        <is>
          <t>CRS0000674</t>
        </is>
      </c>
      <c r="D35" s="10" t="n">
        <v>46119</v>
      </c>
      <c r="E35" s="4" t="inlineStr">
        <is>
          <t>Fail</t>
        </is>
      </c>
      <c r="F35" s="9" t="inlineStr">
        <is>
          <t>YES</t>
        </is>
      </c>
      <c r="G35" s="4" t="inlineStr">
        <is>
          <t>Final Current</t>
        </is>
      </c>
      <c r="H35" s="4" t="n">
        <v>2.05</v>
      </c>
      <c r="I35" s="4" t="n">
        <v>11.47</v>
      </c>
    </row>
    <row r="36">
      <c r="A36" s="3" t="inlineStr">
        <is>
          <t>04C3126121174</t>
        </is>
      </c>
      <c r="B36" s="3" t="inlineStr">
        <is>
          <t>MT</t>
        </is>
      </c>
      <c r="C36" s="3" t="inlineStr">
        <is>
          <t>CRS0000674</t>
        </is>
      </c>
      <c r="D36" s="8" t="n">
        <v>46113</v>
      </c>
      <c r="E36" s="3" t="inlineStr">
        <is>
          <t>Fail</t>
        </is>
      </c>
      <c r="F36" s="9" t="inlineStr">
        <is>
          <t>YES</t>
        </is>
      </c>
      <c r="G36" s="3" t="inlineStr">
        <is>
          <t>Startup Current</t>
        </is>
      </c>
      <c r="H36" s="3" t="n">
        <v>2.1</v>
      </c>
      <c r="I36" s="3" t="n">
        <v>11.44</v>
      </c>
    </row>
    <row r="37">
      <c r="A37" s="4" t="inlineStr">
        <is>
          <t>04B2726120709</t>
        </is>
      </c>
      <c r="B37" s="4" t="inlineStr">
        <is>
          <t>MT</t>
        </is>
      </c>
      <c r="C37" s="4" t="inlineStr">
        <is>
          <t>CRS0000674</t>
        </is>
      </c>
      <c r="D37" s="10" t="n">
        <v>46081</v>
      </c>
      <c r="E37" s="4" t="inlineStr">
        <is>
          <t>Fail</t>
        </is>
      </c>
      <c r="F37" s="9" t="inlineStr">
        <is>
          <t>YES</t>
        </is>
      </c>
      <c r="G37" s="4" t="inlineStr">
        <is>
          <t>Final Current</t>
        </is>
      </c>
      <c r="H37" s="4" t="n">
        <v>2.08</v>
      </c>
      <c r="I37" s="4" t="n">
        <v>11.28</v>
      </c>
    </row>
    <row r="38">
      <c r="A38" s="3" t="inlineStr">
        <is>
          <t>04D1826121463</t>
        </is>
      </c>
      <c r="B38" s="3" t="inlineStr">
        <is>
          <t>LT</t>
        </is>
      </c>
      <c r="C38" s="3" t="inlineStr">
        <is>
          <t>CRS0000675</t>
        </is>
      </c>
      <c r="D38" s="8" t="n">
        <v>46130</v>
      </c>
      <c r="E38" s="3" t="inlineStr">
        <is>
          <t>Fail</t>
        </is>
      </c>
      <c r="F38" s="9" t="inlineStr">
        <is>
          <t>YES</t>
        </is>
      </c>
      <c r="G38" s="3" t="inlineStr">
        <is>
          <t>Suction Tube Temp</t>
        </is>
      </c>
      <c r="H38" s="3" t="n">
        <v>90.09999999999999</v>
      </c>
      <c r="I38" s="3" t="n">
        <v>10.93</v>
      </c>
    </row>
    <row r="39">
      <c r="A39" s="4" t="inlineStr">
        <is>
          <t>04C2526121093</t>
        </is>
      </c>
      <c r="B39" s="4" t="inlineStr">
        <is>
          <t>LT</t>
        </is>
      </c>
      <c r="C39" s="4" t="inlineStr">
        <is>
          <t>CRS0000675</t>
        </is>
      </c>
      <c r="D39" s="10" t="n">
        <v>46126</v>
      </c>
      <c r="E39" s="4" t="inlineStr">
        <is>
          <t>Fail</t>
        </is>
      </c>
      <c r="F39" s="9" t="inlineStr">
        <is>
          <t>YES</t>
        </is>
      </c>
      <c r="G39" s="4" t="inlineStr">
        <is>
          <t>Final Current</t>
        </is>
      </c>
      <c r="H39" s="4" t="n">
        <v>3.56</v>
      </c>
      <c r="I39" s="4" t="n">
        <v>10.89</v>
      </c>
    </row>
    <row r="40">
      <c r="A40" s="3" t="inlineStr">
        <is>
          <t>04D0626121252</t>
        </is>
      </c>
      <c r="B40" s="3" t="inlineStr">
        <is>
          <t>MT</t>
        </is>
      </c>
      <c r="C40" s="3" t="inlineStr">
        <is>
          <t>CRS0000674</t>
        </is>
      </c>
      <c r="D40" s="8" t="n">
        <v>46136</v>
      </c>
      <c r="E40" s="3" t="inlineStr">
        <is>
          <t>Fail</t>
        </is>
      </c>
      <c r="F40" s="9" t="inlineStr">
        <is>
          <t>YES</t>
        </is>
      </c>
      <c r="G40" s="3" t="inlineStr">
        <is>
          <t>Final Current</t>
        </is>
      </c>
      <c r="H40" s="3" t="n">
        <v>2.15</v>
      </c>
      <c r="I40" s="3" t="n">
        <v>10.83</v>
      </c>
    </row>
    <row r="41">
      <c r="A41" s="4" t="inlineStr">
        <is>
          <t>04C3126121174</t>
        </is>
      </c>
      <c r="B41" s="4" t="inlineStr">
        <is>
          <t>MT</t>
        </is>
      </c>
      <c r="C41" s="4" t="inlineStr">
        <is>
          <t>CRS0000674</t>
        </is>
      </c>
      <c r="D41" s="10" t="n">
        <v>46113</v>
      </c>
      <c r="E41" s="4" t="inlineStr">
        <is>
          <t>Fail</t>
        </is>
      </c>
      <c r="F41" s="9" t="inlineStr">
        <is>
          <t>YES</t>
        </is>
      </c>
      <c r="G41" s="4" t="inlineStr">
        <is>
          <t>Final Current</t>
        </is>
      </c>
      <c r="H41" s="4" t="n">
        <v>2.17</v>
      </c>
      <c r="I41" s="4" t="n">
        <v>10.71</v>
      </c>
    </row>
    <row r="42">
      <c r="A42" s="3" t="inlineStr">
        <is>
          <t>04D1326121350</t>
        </is>
      </c>
      <c r="B42" s="3" t="inlineStr">
        <is>
          <t>LT</t>
        </is>
      </c>
      <c r="C42" s="3" t="inlineStr">
        <is>
          <t>CRS0000675</t>
        </is>
      </c>
      <c r="D42" s="8" t="n">
        <v>46136</v>
      </c>
      <c r="E42" s="3" t="inlineStr">
        <is>
          <t>Fail</t>
        </is>
      </c>
      <c r="F42" s="9" t="inlineStr">
        <is>
          <t>YES</t>
        </is>
      </c>
      <c r="G42" s="3" t="inlineStr">
        <is>
          <t>Startup Current</t>
        </is>
      </c>
      <c r="H42" s="3" t="n">
        <v>2.12</v>
      </c>
      <c r="I42" s="3" t="n">
        <v>10.64</v>
      </c>
    </row>
    <row r="43">
      <c r="A43" s="4" t="inlineStr">
        <is>
          <t>04D0626121252</t>
        </is>
      </c>
      <c r="B43" s="4" t="inlineStr">
        <is>
          <t>MT</t>
        </is>
      </c>
      <c r="C43" s="4" t="inlineStr">
        <is>
          <t>CRS0000674</t>
        </is>
      </c>
      <c r="D43" s="10" t="n">
        <v>46136</v>
      </c>
      <c r="E43" s="4" t="inlineStr">
        <is>
          <t>Fail</t>
        </is>
      </c>
      <c r="F43" s="9" t="inlineStr">
        <is>
          <t>YES</t>
        </is>
      </c>
      <c r="G43" s="4" t="inlineStr">
        <is>
          <t>Startup Current</t>
        </is>
      </c>
      <c r="H43" s="4" t="n">
        <v>2.22</v>
      </c>
      <c r="I43" s="4" t="n">
        <v>10.64</v>
      </c>
    </row>
    <row r="44">
      <c r="A44" s="3" t="inlineStr">
        <is>
          <t>04D1326121350</t>
        </is>
      </c>
      <c r="B44" s="3" t="inlineStr">
        <is>
          <t>LT</t>
        </is>
      </c>
      <c r="C44" s="3" t="inlineStr">
        <is>
          <t>CRS0000675</t>
        </is>
      </c>
      <c r="D44" s="8" t="n">
        <v>46125</v>
      </c>
      <c r="E44" s="3" t="inlineStr">
        <is>
          <t>Fail</t>
        </is>
      </c>
      <c r="F44" s="9" t="inlineStr">
        <is>
          <t>YES</t>
        </is>
      </c>
      <c r="G44" s="3" t="inlineStr">
        <is>
          <t>Startup Current</t>
        </is>
      </c>
      <c r="H44" s="3" t="n">
        <v>2.17</v>
      </c>
      <c r="I44" s="3" t="n">
        <v>10.55</v>
      </c>
    </row>
    <row r="45">
      <c r="A45" s="4" t="inlineStr">
        <is>
          <t>04C3126121174</t>
        </is>
      </c>
      <c r="B45" s="4" t="inlineStr">
        <is>
          <t>MT</t>
        </is>
      </c>
      <c r="C45" s="4" t="inlineStr">
        <is>
          <t>CRS0000674</t>
        </is>
      </c>
      <c r="D45" s="10" t="n">
        <v>46113</v>
      </c>
      <c r="E45" s="4" t="inlineStr">
        <is>
          <t>Fail</t>
        </is>
      </c>
      <c r="F45" s="9" t="inlineStr">
        <is>
          <t>YES</t>
        </is>
      </c>
      <c r="G45" s="4" t="inlineStr">
        <is>
          <t>Final Current</t>
        </is>
      </c>
      <c r="H45" s="4" t="n">
        <v>2.2</v>
      </c>
      <c r="I45" s="4" t="n">
        <v>10.52</v>
      </c>
    </row>
    <row r="46">
      <c r="A46" s="3" t="inlineStr">
        <is>
          <t>04C3126121174</t>
        </is>
      </c>
      <c r="B46" s="3" t="inlineStr">
        <is>
          <t>MT</t>
        </is>
      </c>
      <c r="C46" s="3" t="inlineStr">
        <is>
          <t>CRS0000674</t>
        </is>
      </c>
      <c r="D46" s="8" t="n">
        <v>46113</v>
      </c>
      <c r="E46" s="3" t="inlineStr">
        <is>
          <t>Fail</t>
        </is>
      </c>
      <c r="F46" s="9" t="inlineStr">
        <is>
          <t>YES</t>
        </is>
      </c>
      <c r="G46" s="3" t="inlineStr">
        <is>
          <t>Startup Current</t>
        </is>
      </c>
      <c r="H46" s="3" t="n">
        <v>2.27</v>
      </c>
      <c r="I46" s="3" t="n">
        <v>10.31</v>
      </c>
    </row>
    <row r="47">
      <c r="A47" s="4" t="inlineStr">
        <is>
          <t>04D1326121350</t>
        </is>
      </c>
      <c r="B47" s="4" t="inlineStr">
        <is>
          <t>LT</t>
        </is>
      </c>
      <c r="C47" s="4" t="inlineStr">
        <is>
          <t>CRS0000675</t>
        </is>
      </c>
      <c r="D47" s="10" t="n">
        <v>46125</v>
      </c>
      <c r="E47" s="4" t="inlineStr">
        <is>
          <t>Fail</t>
        </is>
      </c>
      <c r="F47" s="9" t="inlineStr">
        <is>
          <t>YES</t>
        </is>
      </c>
      <c r="G47" s="4" t="inlineStr">
        <is>
          <t>Startup Current</t>
        </is>
      </c>
      <c r="H47" s="4" t="n">
        <v>2.32</v>
      </c>
      <c r="I47" s="4" t="n">
        <v>10.28</v>
      </c>
    </row>
    <row r="48">
      <c r="A48" s="3" t="inlineStr">
        <is>
          <t>04D1326121350</t>
        </is>
      </c>
      <c r="B48" s="3" t="inlineStr">
        <is>
          <t>LT</t>
        </is>
      </c>
      <c r="C48" s="3" t="inlineStr">
        <is>
          <t>CRS0000675</t>
        </is>
      </c>
      <c r="D48" s="8" t="n">
        <v>46136</v>
      </c>
      <c r="E48" s="3" t="inlineStr">
        <is>
          <t>Fail</t>
        </is>
      </c>
      <c r="F48" s="9" t="inlineStr">
        <is>
          <t>YES</t>
        </is>
      </c>
      <c r="G48" s="3" t="inlineStr">
        <is>
          <t>Startup Current</t>
        </is>
      </c>
      <c r="H48" s="3" t="n">
        <v>2.44</v>
      </c>
      <c r="I48" s="3" t="n">
        <v>10.06</v>
      </c>
    </row>
    <row r="49">
      <c r="A49" s="4" t="inlineStr">
        <is>
          <t>04D0626121252</t>
        </is>
      </c>
      <c r="B49" s="4" t="inlineStr">
        <is>
          <t>MT</t>
        </is>
      </c>
      <c r="C49" s="4" t="inlineStr">
        <is>
          <t>CRS0000674</t>
        </is>
      </c>
      <c r="D49" s="10" t="n">
        <v>46119</v>
      </c>
      <c r="E49" s="4" t="inlineStr">
        <is>
          <t>Fail</t>
        </is>
      </c>
      <c r="F49" s="9" t="inlineStr">
        <is>
          <t>YES</t>
        </is>
      </c>
      <c r="G49" s="4" t="inlineStr">
        <is>
          <t>Startup Current</t>
        </is>
      </c>
      <c r="H49" s="4" t="n">
        <v>2.34</v>
      </c>
      <c r="I49" s="4" t="n">
        <v>9.84</v>
      </c>
    </row>
    <row r="50">
      <c r="A50" s="3" t="inlineStr">
        <is>
          <t>04C1026120846</t>
        </is>
      </c>
      <c r="B50" s="3" t="inlineStr">
        <is>
          <t>LT</t>
        </is>
      </c>
      <c r="C50" s="3" t="inlineStr">
        <is>
          <t>CRS0000675</t>
        </is>
      </c>
      <c r="D50" s="8" t="n">
        <v>46092</v>
      </c>
      <c r="E50" s="3" t="inlineStr">
        <is>
          <t>Fail</t>
        </is>
      </c>
      <c r="F50" s="9" t="inlineStr">
        <is>
          <t>YES</t>
        </is>
      </c>
      <c r="G50" s="3" t="inlineStr">
        <is>
          <t>Evap Inlet Ret Bend A</t>
        </is>
      </c>
      <c r="H50" s="3" t="n">
        <v>47.7</v>
      </c>
      <c r="I50" s="3" t="n">
        <v>9.67</v>
      </c>
    </row>
    <row r="51">
      <c r="A51" s="4" t="inlineStr">
        <is>
          <t>04C1826121007</t>
        </is>
      </c>
      <c r="B51" s="4" t="inlineStr">
        <is>
          <t>LT</t>
        </is>
      </c>
      <c r="C51" s="4" t="inlineStr">
        <is>
          <t>CRS0000675</t>
        </is>
      </c>
      <c r="D51" s="10" t="n">
        <v>46100</v>
      </c>
      <c r="E51" s="4" t="inlineStr">
        <is>
          <t>Fail</t>
        </is>
      </c>
      <c r="F51" s="9" t="inlineStr">
        <is>
          <t>YES</t>
        </is>
      </c>
      <c r="G51" s="4" t="inlineStr">
        <is>
          <t>Suction Tube Temp</t>
        </is>
      </c>
      <c r="H51" s="4" t="n">
        <v>97.7</v>
      </c>
      <c r="I51" s="4" t="n">
        <v>9.609999999999999</v>
      </c>
    </row>
    <row r="52">
      <c r="A52" s="3" t="inlineStr">
        <is>
          <t>04C1826121007</t>
        </is>
      </c>
      <c r="B52" s="3" t="inlineStr">
        <is>
          <t>LT</t>
        </is>
      </c>
      <c r="C52" s="3" t="inlineStr">
        <is>
          <t>CRS0000675</t>
        </is>
      </c>
      <c r="D52" s="8" t="n">
        <v>46100</v>
      </c>
      <c r="E52" s="3" t="inlineStr">
        <is>
          <t>Fail</t>
        </is>
      </c>
      <c r="F52" s="9" t="inlineStr">
        <is>
          <t>YES</t>
        </is>
      </c>
      <c r="G52" s="3" t="inlineStr">
        <is>
          <t>Suction Tube Temp</t>
        </is>
      </c>
      <c r="H52" s="3" t="n">
        <v>97.7</v>
      </c>
      <c r="I52" s="3" t="n">
        <v>9.609999999999999</v>
      </c>
    </row>
    <row r="53">
      <c r="A53" s="4" t="inlineStr">
        <is>
          <t>04D0626121252</t>
        </is>
      </c>
      <c r="B53" s="4" t="inlineStr">
        <is>
          <t>MT</t>
        </is>
      </c>
      <c r="C53" s="4" t="inlineStr">
        <is>
          <t>CRS0000674</t>
        </is>
      </c>
      <c r="D53" s="10" t="n">
        <v>46119</v>
      </c>
      <c r="E53" s="4" t="inlineStr">
        <is>
          <t>Fail</t>
        </is>
      </c>
      <c r="F53" s="9" t="inlineStr">
        <is>
          <t>YES</t>
        </is>
      </c>
      <c r="G53" s="4" t="inlineStr">
        <is>
          <t>Evap Inlet Ret Bend A</t>
        </is>
      </c>
      <c r="H53" s="4" t="n">
        <v>54</v>
      </c>
      <c r="I53" s="4" t="n">
        <v>9.470000000000001</v>
      </c>
    </row>
    <row r="54">
      <c r="A54" s="3" t="inlineStr">
        <is>
          <t>04C2526121094</t>
        </is>
      </c>
      <c r="B54" s="3" t="inlineStr">
        <is>
          <t>LT</t>
        </is>
      </c>
      <c r="C54" s="3" t="inlineStr">
        <is>
          <t>CRS0000675</t>
        </is>
      </c>
      <c r="D54" s="8" t="n">
        <v>46126</v>
      </c>
      <c r="E54" s="3" t="inlineStr">
        <is>
          <t>Fail</t>
        </is>
      </c>
      <c r="F54" s="9" t="inlineStr">
        <is>
          <t>YES</t>
        </is>
      </c>
      <c r="G54" s="3" t="inlineStr">
        <is>
          <t>Suction Tube Temp</t>
        </is>
      </c>
      <c r="H54" s="3" t="n">
        <v>100.3</v>
      </c>
      <c r="I54" s="3" t="n">
        <v>9.15</v>
      </c>
    </row>
    <row r="55">
      <c r="A55" s="4" t="inlineStr">
        <is>
          <t>04C1326120945</t>
        </is>
      </c>
      <c r="B55" s="4" t="inlineStr">
        <is>
          <t>MT</t>
        </is>
      </c>
      <c r="C55" s="4" t="inlineStr">
        <is>
          <t>CRS0000674</t>
        </is>
      </c>
      <c r="D55" s="10" t="n">
        <v>46097</v>
      </c>
      <c r="E55" s="4" t="inlineStr">
        <is>
          <t>Fail</t>
        </is>
      </c>
      <c r="F55" s="9" t="inlineStr">
        <is>
          <t>YES</t>
        </is>
      </c>
      <c r="G55" s="4" t="inlineStr">
        <is>
          <t>Suction Tube Temp</t>
        </is>
      </c>
      <c r="H55" s="4" t="n">
        <v>157.5</v>
      </c>
      <c r="I55" s="4" t="n">
        <v>9.01</v>
      </c>
    </row>
    <row r="56">
      <c r="A56" s="3" t="inlineStr">
        <is>
          <t>04B0326120505</t>
        </is>
      </c>
      <c r="B56" s="3" t="inlineStr">
        <is>
          <t>LT</t>
        </is>
      </c>
      <c r="C56" s="3" t="inlineStr">
        <is>
          <t>CRS0000675</t>
        </is>
      </c>
      <c r="D56" s="8" t="n">
        <v>46056</v>
      </c>
      <c r="E56" s="3" t="inlineStr">
        <is>
          <t>Fail</t>
        </is>
      </c>
      <c r="F56" s="9" t="inlineStr">
        <is>
          <t>YES</t>
        </is>
      </c>
      <c r="G56" s="3" t="inlineStr">
        <is>
          <t>Suction Tube Temp</t>
        </is>
      </c>
      <c r="H56" s="3" t="n">
        <v>103.5</v>
      </c>
      <c r="I56" s="3" t="n">
        <v>8.59</v>
      </c>
    </row>
    <row r="57">
      <c r="A57" s="4" t="inlineStr">
        <is>
          <t>04C2526121093</t>
        </is>
      </c>
      <c r="B57" s="4" t="inlineStr">
        <is>
          <t>LT</t>
        </is>
      </c>
      <c r="C57" s="4" t="inlineStr">
        <is>
          <t>CRS0000675</t>
        </is>
      </c>
      <c r="D57" s="10" t="n">
        <v>46126</v>
      </c>
      <c r="E57" s="4" t="inlineStr">
        <is>
          <t>Fail</t>
        </is>
      </c>
      <c r="F57" s="9" t="inlineStr">
        <is>
          <t>YES</t>
        </is>
      </c>
      <c r="G57" s="4" t="inlineStr">
        <is>
          <t>Suction Tube Temp</t>
        </is>
      </c>
      <c r="H57" s="4" t="n">
        <v>103.9</v>
      </c>
      <c r="I57" s="4" t="n">
        <v>8.52</v>
      </c>
    </row>
    <row r="58">
      <c r="A58" s="3" t="inlineStr">
        <is>
          <t>04C1326120945</t>
        </is>
      </c>
      <c r="B58" s="3" t="inlineStr">
        <is>
          <t>MT</t>
        </is>
      </c>
      <c r="C58" s="3" t="inlineStr">
        <is>
          <t>CRS0000674</t>
        </is>
      </c>
      <c r="D58" s="8" t="n">
        <v>46097</v>
      </c>
      <c r="E58" s="3" t="inlineStr">
        <is>
          <t>Fail</t>
        </is>
      </c>
      <c r="F58" s="9" t="inlineStr">
        <is>
          <t>YES</t>
        </is>
      </c>
      <c r="G58" s="3" t="inlineStr">
        <is>
          <t>Suction Tube Temp</t>
        </is>
      </c>
      <c r="H58" s="3" t="n">
        <v>154.8</v>
      </c>
      <c r="I58" s="3" t="n">
        <v>8.470000000000001</v>
      </c>
    </row>
    <row r="59">
      <c r="A59" s="4" t="inlineStr">
        <is>
          <t>04B2726120709</t>
        </is>
      </c>
      <c r="B59" s="4" t="inlineStr">
        <is>
          <t>MT</t>
        </is>
      </c>
      <c r="C59" s="4" t="inlineStr">
        <is>
          <t>CRS0000674</t>
        </is>
      </c>
      <c r="D59" s="10" t="n">
        <v>46081</v>
      </c>
      <c r="E59" s="4" t="inlineStr">
        <is>
          <t>Fail</t>
        </is>
      </c>
      <c r="F59" s="9" t="inlineStr">
        <is>
          <t>YES</t>
        </is>
      </c>
      <c r="G59" s="4" t="inlineStr">
        <is>
          <t>Suction Tube Temp</t>
        </is>
      </c>
      <c r="H59" s="4" t="n">
        <v>70.40000000000001</v>
      </c>
      <c r="I59" s="4" t="n">
        <v>8.460000000000001</v>
      </c>
    </row>
    <row r="60">
      <c r="A60" s="3" t="inlineStr">
        <is>
          <t>04D1326121358</t>
        </is>
      </c>
      <c r="B60" s="3" t="inlineStr">
        <is>
          <t>MT</t>
        </is>
      </c>
      <c r="C60" s="3" t="inlineStr">
        <is>
          <t>CRS0000674</t>
        </is>
      </c>
      <c r="D60" s="8" t="n">
        <v>46125</v>
      </c>
      <c r="E60" s="3" t="inlineStr">
        <is>
          <t>Fail</t>
        </is>
      </c>
      <c r="F60" s="9" t="inlineStr">
        <is>
          <t>YES</t>
        </is>
      </c>
      <c r="G60" s="3" t="inlineStr">
        <is>
          <t>Suction Tube Temp</t>
        </is>
      </c>
      <c r="H60" s="3" t="n">
        <v>70.90000000000001</v>
      </c>
      <c r="I60" s="3" t="n">
        <v>8.359999999999999</v>
      </c>
    </row>
    <row r="61">
      <c r="A61" s="4" t="inlineStr">
        <is>
          <t>04C1326120945</t>
        </is>
      </c>
      <c r="B61" s="4" t="inlineStr">
        <is>
          <t>MT</t>
        </is>
      </c>
      <c r="C61" s="4" t="inlineStr">
        <is>
          <t>CRS0000674</t>
        </is>
      </c>
      <c r="D61" s="10" t="n">
        <v>46095</v>
      </c>
      <c r="E61" s="4" t="inlineStr">
        <is>
          <t>Fail</t>
        </is>
      </c>
      <c r="F61" s="9" t="inlineStr">
        <is>
          <t>YES</t>
        </is>
      </c>
      <c r="G61" s="4" t="inlineStr">
        <is>
          <t>Final Current</t>
        </is>
      </c>
      <c r="H61" s="4" t="n">
        <v>5.15</v>
      </c>
      <c r="I61" s="4" t="n">
        <v>8.300000000000001</v>
      </c>
    </row>
    <row r="62">
      <c r="A62" s="3" t="inlineStr">
        <is>
          <t>04C3126121160</t>
        </is>
      </c>
      <c r="B62" s="3" t="inlineStr">
        <is>
          <t>MT</t>
        </is>
      </c>
      <c r="C62" s="3" t="inlineStr">
        <is>
          <t>CRS0000674</t>
        </is>
      </c>
      <c r="D62" s="8" t="n">
        <v>46112</v>
      </c>
      <c r="E62" s="3" t="inlineStr">
        <is>
          <t>Fail</t>
        </is>
      </c>
      <c r="F62" s="9" t="inlineStr">
        <is>
          <t>YES</t>
        </is>
      </c>
      <c r="G62" s="3" t="inlineStr">
        <is>
          <t>Suction Tube Temp</t>
        </is>
      </c>
      <c r="H62" s="3" t="n">
        <v>71.3</v>
      </c>
      <c r="I62" s="3" t="n">
        <v>8.279999999999999</v>
      </c>
    </row>
    <row r="63">
      <c r="A63" s="4" t="inlineStr">
        <is>
          <t>04B1226120599</t>
        </is>
      </c>
      <c r="B63" s="4" t="inlineStr">
        <is>
          <t>LT</t>
        </is>
      </c>
      <c r="C63" s="4" t="inlineStr">
        <is>
          <t>CRS0000675</t>
        </is>
      </c>
      <c r="D63" s="10" t="n">
        <v>46066</v>
      </c>
      <c r="E63" s="4" t="inlineStr">
        <is>
          <t>Fail</t>
        </is>
      </c>
      <c r="F63" s="9" t="inlineStr">
        <is>
          <t>YES</t>
        </is>
      </c>
      <c r="G63" s="4" t="inlineStr">
        <is>
          <t>Final Current</t>
        </is>
      </c>
      <c r="H63" s="4" t="n">
        <v>4.61</v>
      </c>
      <c r="I63" s="4" t="n">
        <v>8.27</v>
      </c>
    </row>
    <row r="64">
      <c r="A64" s="3" t="inlineStr">
        <is>
          <t>04D1526121398</t>
        </is>
      </c>
      <c r="B64" s="3" t="inlineStr">
        <is>
          <t>MT</t>
        </is>
      </c>
      <c r="C64" s="3" t="inlineStr">
        <is>
          <t>CRS0000674</t>
        </is>
      </c>
      <c r="D64" s="8" t="n">
        <v>46127</v>
      </c>
      <c r="E64" s="3" t="inlineStr">
        <is>
          <t>Fail</t>
        </is>
      </c>
      <c r="F64" s="9" t="inlineStr">
        <is>
          <t>YES</t>
        </is>
      </c>
      <c r="G64" s="3" t="inlineStr">
        <is>
          <t>Suction Tube Temp</t>
        </is>
      </c>
      <c r="H64" s="3" t="n">
        <v>71.8</v>
      </c>
      <c r="I64" s="3" t="n">
        <v>8.18</v>
      </c>
    </row>
    <row r="65">
      <c r="A65" s="4" t="inlineStr">
        <is>
          <t>04C1126120904</t>
        </is>
      </c>
      <c r="B65" s="4" t="inlineStr">
        <is>
          <t>MT</t>
        </is>
      </c>
      <c r="C65" s="4" t="inlineStr">
        <is>
          <t>CRS0000674</t>
        </is>
      </c>
      <c r="D65" s="10" t="n">
        <v>46092</v>
      </c>
      <c r="E65" s="4" t="inlineStr">
        <is>
          <t>Fail</t>
        </is>
      </c>
      <c r="F65" s="9" t="inlineStr">
        <is>
          <t>YES</t>
        </is>
      </c>
      <c r="G65" s="4" t="inlineStr">
        <is>
          <t>Startup Current</t>
        </is>
      </c>
      <c r="H65" s="4" t="n">
        <v>5.05</v>
      </c>
      <c r="I65" s="4" t="n">
        <v>8.17</v>
      </c>
    </row>
    <row r="66">
      <c r="A66" s="3" t="inlineStr">
        <is>
          <t>04B2826120718</t>
        </is>
      </c>
      <c r="B66" s="3" t="inlineStr">
        <is>
          <t>LT</t>
        </is>
      </c>
      <c r="C66" s="3" t="inlineStr">
        <is>
          <t>CRS0000675</t>
        </is>
      </c>
      <c r="D66" s="8" t="n">
        <v>46082</v>
      </c>
      <c r="E66" s="3" t="inlineStr">
        <is>
          <t>Fail</t>
        </is>
      </c>
      <c r="F66" s="9" t="inlineStr">
        <is>
          <t>YES</t>
        </is>
      </c>
      <c r="G66" s="3" t="inlineStr">
        <is>
          <t>Suction Tube Temp</t>
        </is>
      </c>
      <c r="H66" s="3" t="n">
        <v>106.2</v>
      </c>
      <c r="I66" s="3" t="n">
        <v>8.119999999999999</v>
      </c>
    </row>
    <row r="67">
      <c r="A67" s="4" t="inlineStr">
        <is>
          <t>04C2526121094</t>
        </is>
      </c>
      <c r="B67" s="4" t="inlineStr">
        <is>
          <t>LT</t>
        </is>
      </c>
      <c r="C67" s="4" t="inlineStr">
        <is>
          <t>CRS0000675</t>
        </is>
      </c>
      <c r="D67" s="10" t="n">
        <v>46126</v>
      </c>
      <c r="E67" s="4" t="inlineStr">
        <is>
          <t>Fail</t>
        </is>
      </c>
      <c r="F67" s="9" t="inlineStr">
        <is>
          <t>YES</t>
        </is>
      </c>
      <c r="G67" s="4" t="inlineStr">
        <is>
          <t>Startup Current</t>
        </is>
      </c>
      <c r="H67" s="4" t="n">
        <v>3.64</v>
      </c>
      <c r="I67" s="4" t="n">
        <v>7.9</v>
      </c>
    </row>
    <row r="68">
      <c r="A68" s="3" t="inlineStr">
        <is>
          <t>04C2526121093</t>
        </is>
      </c>
      <c r="B68" s="3" t="inlineStr">
        <is>
          <t>LT</t>
        </is>
      </c>
      <c r="C68" s="3" t="inlineStr">
        <is>
          <t>CRS0000675</t>
        </is>
      </c>
      <c r="D68" s="8" t="n">
        <v>46126</v>
      </c>
      <c r="E68" s="3" t="inlineStr">
        <is>
          <t>Fail</t>
        </is>
      </c>
      <c r="F68" s="9" t="inlineStr">
        <is>
          <t>YES</t>
        </is>
      </c>
      <c r="G68" s="3" t="inlineStr">
        <is>
          <t>Startup Current</t>
        </is>
      </c>
      <c r="H68" s="3" t="n">
        <v>3.66</v>
      </c>
      <c r="I68" s="3" t="n">
        <v>7.87</v>
      </c>
    </row>
    <row r="69">
      <c r="A69" s="4" t="inlineStr">
        <is>
          <t>04A2926120428</t>
        </is>
      </c>
      <c r="B69" s="4" t="inlineStr">
        <is>
          <t>LT</t>
        </is>
      </c>
      <c r="C69" s="4" t="inlineStr">
        <is>
          <t>CRS0000675</t>
        </is>
      </c>
      <c r="D69" s="10" t="n">
        <v>46060</v>
      </c>
      <c r="E69" s="4" t="inlineStr">
        <is>
          <t>Fail</t>
        </is>
      </c>
      <c r="F69" s="9" t="inlineStr">
        <is>
          <t>YES</t>
        </is>
      </c>
      <c r="G69" s="4" t="inlineStr">
        <is>
          <t>Suction Tube Temp</t>
        </is>
      </c>
      <c r="H69" s="4" t="n">
        <v>107.9</v>
      </c>
      <c r="I69" s="4" t="n">
        <v>7.83</v>
      </c>
    </row>
    <row r="70">
      <c r="A70" s="3" t="inlineStr">
        <is>
          <t>04B2826120714</t>
        </is>
      </c>
      <c r="B70" s="3" t="inlineStr">
        <is>
          <t>LT</t>
        </is>
      </c>
      <c r="C70" s="3" t="inlineStr">
        <is>
          <t>CRS0000675</t>
        </is>
      </c>
      <c r="D70" s="8" t="n">
        <v>46081</v>
      </c>
      <c r="E70" s="3" t="inlineStr">
        <is>
          <t>Fail</t>
        </is>
      </c>
      <c r="F70" s="9" t="inlineStr">
        <is>
          <t>YES</t>
        </is>
      </c>
      <c r="G70" s="3" t="inlineStr">
        <is>
          <t>Suction Tube Temp</t>
        </is>
      </c>
      <c r="H70" s="3" t="n">
        <v>108.4</v>
      </c>
      <c r="I70" s="3" t="n">
        <v>7.74</v>
      </c>
    </row>
    <row r="71">
      <c r="A71" s="4" t="inlineStr">
        <is>
          <t>04C3126121174</t>
        </is>
      </c>
      <c r="B71" s="4" t="inlineStr">
        <is>
          <t>MT</t>
        </is>
      </c>
      <c r="C71" s="4" t="inlineStr">
        <is>
          <t>CRS0000674</t>
        </is>
      </c>
      <c r="D71" s="10" t="n">
        <v>46113</v>
      </c>
      <c r="E71" s="4" t="inlineStr">
        <is>
          <t>Fail</t>
        </is>
      </c>
      <c r="F71" s="9" t="inlineStr">
        <is>
          <t>YES</t>
        </is>
      </c>
      <c r="G71" s="4" t="inlineStr">
        <is>
          <t>Suction Tube Temp</t>
        </is>
      </c>
      <c r="H71" s="4" t="n">
        <v>74</v>
      </c>
      <c r="I71" s="4" t="n">
        <v>7.73</v>
      </c>
    </row>
    <row r="72">
      <c r="A72" s="3" t="inlineStr">
        <is>
          <t>04C2426121082</t>
        </is>
      </c>
      <c r="B72" s="3" t="inlineStr">
        <is>
          <t>LT</t>
        </is>
      </c>
      <c r="C72" s="3" t="inlineStr">
        <is>
          <t>CRS0000675</t>
        </is>
      </c>
      <c r="D72" s="8" t="n">
        <v>46130</v>
      </c>
      <c r="E72" s="3" t="inlineStr">
        <is>
          <t>Fail</t>
        </is>
      </c>
      <c r="F72" s="9" t="inlineStr">
        <is>
          <t>YES</t>
        </is>
      </c>
      <c r="G72" s="3" t="inlineStr">
        <is>
          <t>Final Current</t>
        </is>
      </c>
      <c r="H72" s="3" t="n">
        <v>4.83</v>
      </c>
      <c r="I72" s="3" t="n">
        <v>7.72</v>
      </c>
    </row>
    <row r="73">
      <c r="A73" s="4" t="inlineStr">
        <is>
          <t>04C1326120945</t>
        </is>
      </c>
      <c r="B73" s="4" t="inlineStr">
        <is>
          <t>MT</t>
        </is>
      </c>
      <c r="C73" s="4" t="inlineStr">
        <is>
          <t>CRS0000674</t>
        </is>
      </c>
      <c r="D73" s="10" t="n">
        <v>46097</v>
      </c>
      <c r="E73" s="4" t="inlineStr">
        <is>
          <t>Fail</t>
        </is>
      </c>
      <c r="F73" s="9" t="inlineStr">
        <is>
          <t>YES</t>
        </is>
      </c>
      <c r="G73" s="4" t="inlineStr">
        <is>
          <t>Startup Current</t>
        </is>
      </c>
      <c r="H73" s="4" t="n">
        <v>4.98</v>
      </c>
      <c r="I73" s="4" t="n">
        <v>7.7</v>
      </c>
    </row>
    <row r="74">
      <c r="A74" s="3" t="inlineStr">
        <is>
          <t>04B1226120597</t>
        </is>
      </c>
      <c r="B74" s="3" t="inlineStr">
        <is>
          <t>LT</t>
        </is>
      </c>
      <c r="C74" s="3" t="inlineStr">
        <is>
          <t>CRS0000675</t>
        </is>
      </c>
      <c r="D74" s="8" t="n">
        <v>46066</v>
      </c>
      <c r="E74" s="3" t="inlineStr">
        <is>
          <t>Fail</t>
        </is>
      </c>
      <c r="F74" s="9" t="inlineStr">
        <is>
          <t>YES</t>
        </is>
      </c>
      <c r="G74" s="3" t="inlineStr">
        <is>
          <t>Suction Tube Temp</t>
        </is>
      </c>
      <c r="H74" s="3" t="n">
        <v>108.8</v>
      </c>
      <c r="I74" s="3" t="n">
        <v>7.67</v>
      </c>
    </row>
    <row r="75">
      <c r="A75" s="4" t="inlineStr">
        <is>
          <t>04B1226120597</t>
        </is>
      </c>
      <c r="B75" s="4" t="inlineStr">
        <is>
          <t>LT</t>
        </is>
      </c>
      <c r="C75" s="4" t="inlineStr">
        <is>
          <t>CRS0000675</t>
        </is>
      </c>
      <c r="D75" s="10" t="n">
        <v>46066</v>
      </c>
      <c r="E75" s="4" t="inlineStr">
        <is>
          <t>Fail</t>
        </is>
      </c>
      <c r="F75" s="9" t="inlineStr">
        <is>
          <t>YES</t>
        </is>
      </c>
      <c r="G75" s="4" t="inlineStr">
        <is>
          <t>Suction Tube Temp</t>
        </is>
      </c>
      <c r="H75" s="4" t="n">
        <v>109.3</v>
      </c>
      <c r="I75" s="4" t="n">
        <v>7.58</v>
      </c>
    </row>
    <row r="76">
      <c r="A76" s="3" t="inlineStr">
        <is>
          <t>04B2626120700</t>
        </is>
      </c>
      <c r="B76" s="3" t="inlineStr">
        <is>
          <t>LT</t>
        </is>
      </c>
      <c r="C76" s="3" t="inlineStr">
        <is>
          <t>CRS0000675</t>
        </is>
      </c>
      <c r="D76" s="8" t="n">
        <v>46083</v>
      </c>
      <c r="E76" s="3" t="inlineStr">
        <is>
          <t>Fail</t>
        </is>
      </c>
      <c r="F76" s="9" t="inlineStr">
        <is>
          <t>YES</t>
        </is>
      </c>
      <c r="G76" s="3" t="inlineStr">
        <is>
          <t>Suction Tube Temp</t>
        </is>
      </c>
      <c r="H76" s="3" t="n">
        <v>110.2</v>
      </c>
      <c r="I76" s="3" t="n">
        <v>7.42</v>
      </c>
    </row>
    <row r="77">
      <c r="A77" s="4" t="inlineStr">
        <is>
          <t>04C1326120945</t>
        </is>
      </c>
      <c r="B77" s="4" t="inlineStr">
        <is>
          <t>MT</t>
        </is>
      </c>
      <c r="C77" s="4" t="inlineStr">
        <is>
          <t>CRS0000674</t>
        </is>
      </c>
      <c r="D77" s="10" t="n">
        <v>46095</v>
      </c>
      <c r="E77" s="4" t="inlineStr">
        <is>
          <t>Fail</t>
        </is>
      </c>
      <c r="F77" s="9" t="inlineStr">
        <is>
          <t>YES</t>
        </is>
      </c>
      <c r="G77" s="4" t="inlineStr">
        <is>
          <t>Suction Tube Temp</t>
        </is>
      </c>
      <c r="H77" s="4" t="n">
        <v>149.5</v>
      </c>
      <c r="I77" s="4" t="n">
        <v>7.41</v>
      </c>
    </row>
    <row r="78">
      <c r="A78" s="3" t="inlineStr">
        <is>
          <t>04C2426121082</t>
        </is>
      </c>
      <c r="B78" s="3" t="inlineStr">
        <is>
          <t>LT</t>
        </is>
      </c>
      <c r="C78" s="3" t="inlineStr">
        <is>
          <t>CRS0000675</t>
        </is>
      </c>
      <c r="D78" s="8" t="n">
        <v>46130</v>
      </c>
      <c r="E78" s="3" t="inlineStr">
        <is>
          <t>Fail</t>
        </is>
      </c>
      <c r="F78" s="9" t="inlineStr">
        <is>
          <t>YES</t>
        </is>
      </c>
      <c r="G78" s="3" t="inlineStr">
        <is>
          <t>Final Current</t>
        </is>
      </c>
      <c r="H78" s="3" t="n">
        <v>4.96</v>
      </c>
      <c r="I78" s="3" t="n">
        <v>7.39</v>
      </c>
    </row>
    <row r="79">
      <c r="A79" s="4" t="inlineStr">
        <is>
          <t>04A2926120428</t>
        </is>
      </c>
      <c r="B79" s="4" t="inlineStr">
        <is>
          <t>LT</t>
        </is>
      </c>
      <c r="C79" s="4" t="inlineStr">
        <is>
          <t>CRS0000675</t>
        </is>
      </c>
      <c r="D79" s="10" t="n">
        <v>46056</v>
      </c>
      <c r="E79" s="4" t="inlineStr">
        <is>
          <t>Fail</t>
        </is>
      </c>
      <c r="F79" s="9" t="inlineStr">
        <is>
          <t>YES</t>
        </is>
      </c>
      <c r="G79" s="4" t="inlineStr">
        <is>
          <t>Suction Tube Temp</t>
        </is>
      </c>
      <c r="H79" s="4" t="n">
        <v>110.6</v>
      </c>
      <c r="I79" s="4" t="n">
        <v>7.36</v>
      </c>
    </row>
    <row r="80">
      <c r="A80" s="3" t="inlineStr">
        <is>
          <t>04C2426121082</t>
        </is>
      </c>
      <c r="B80" s="3" t="inlineStr">
        <is>
          <t>LT</t>
        </is>
      </c>
      <c r="C80" s="3" t="inlineStr">
        <is>
          <t>CRS0000675</t>
        </is>
      </c>
      <c r="D80" s="8" t="n">
        <v>46130</v>
      </c>
      <c r="E80" s="3" t="inlineStr">
        <is>
          <t>Fail</t>
        </is>
      </c>
      <c r="F80" s="9" t="inlineStr">
        <is>
          <t>YES</t>
        </is>
      </c>
      <c r="G80" s="3" t="inlineStr">
        <is>
          <t>Final Current</t>
        </is>
      </c>
      <c r="H80" s="3" t="n">
        <v>4.98</v>
      </c>
      <c r="I80" s="3" t="n">
        <v>7.34</v>
      </c>
    </row>
    <row r="81">
      <c r="A81" s="4" t="inlineStr">
        <is>
          <t>04B1226120597</t>
        </is>
      </c>
      <c r="B81" s="4" t="inlineStr">
        <is>
          <t>LT</t>
        </is>
      </c>
      <c r="C81" s="4" t="inlineStr">
        <is>
          <t>CRS0000675</t>
        </is>
      </c>
      <c r="D81" s="10" t="n">
        <v>46066</v>
      </c>
      <c r="E81" s="4" t="inlineStr">
        <is>
          <t>Fail</t>
        </is>
      </c>
      <c r="F81" s="9" t="inlineStr">
        <is>
          <t>YES</t>
        </is>
      </c>
      <c r="G81" s="4" t="inlineStr">
        <is>
          <t>Suction Tube Temp</t>
        </is>
      </c>
      <c r="H81" s="4" t="n">
        <v>111.1</v>
      </c>
      <c r="I81" s="4" t="n">
        <v>7.27</v>
      </c>
    </row>
    <row r="82">
      <c r="A82" s="3" t="inlineStr">
        <is>
          <t>04C3126121174</t>
        </is>
      </c>
      <c r="B82" s="3" t="inlineStr">
        <is>
          <t>MT</t>
        </is>
      </c>
      <c r="C82" s="3" t="inlineStr">
        <is>
          <t>CRS0000674</t>
        </is>
      </c>
      <c r="D82" s="8" t="n">
        <v>46113</v>
      </c>
      <c r="E82" s="3" t="inlineStr">
        <is>
          <t>Fail</t>
        </is>
      </c>
      <c r="F82" s="9" t="inlineStr">
        <is>
          <t>YES</t>
        </is>
      </c>
      <c r="G82" s="3" t="inlineStr">
        <is>
          <t>Suction Tube Temp</t>
        </is>
      </c>
      <c r="H82" s="3" t="n">
        <v>77.09999999999999</v>
      </c>
      <c r="I82" s="3" t="n">
        <v>7.11</v>
      </c>
    </row>
    <row r="83">
      <c r="A83" s="4" t="inlineStr">
        <is>
          <t>04C2426121082</t>
        </is>
      </c>
      <c r="B83" s="4" t="inlineStr">
        <is>
          <t>LT</t>
        </is>
      </c>
      <c r="C83" s="4" t="inlineStr">
        <is>
          <t>CRS0000675</t>
        </is>
      </c>
      <c r="D83" s="10" t="n">
        <v>46106</v>
      </c>
      <c r="E83" s="4" t="inlineStr">
        <is>
          <t>Fail</t>
        </is>
      </c>
      <c r="F83" s="9" t="inlineStr">
        <is>
          <t>YES</t>
        </is>
      </c>
      <c r="G83" s="4" t="inlineStr">
        <is>
          <t>Final Current</t>
        </is>
      </c>
      <c r="H83" s="4" t="n">
        <v>5.08</v>
      </c>
      <c r="I83" s="4" t="n">
        <v>7.09</v>
      </c>
    </row>
    <row r="84">
      <c r="A84" s="3" t="inlineStr">
        <is>
          <t>04A2926120429</t>
        </is>
      </c>
      <c r="B84" s="3" t="inlineStr">
        <is>
          <t>LT</t>
        </is>
      </c>
      <c r="C84" s="3" t="inlineStr">
        <is>
          <t>CRS0000675</t>
        </is>
      </c>
      <c r="D84" s="8" t="n">
        <v>46053</v>
      </c>
      <c r="E84" s="3" t="inlineStr">
        <is>
          <t>Fail</t>
        </is>
      </c>
      <c r="F84" s="9" t="inlineStr">
        <is>
          <t>YES</t>
        </is>
      </c>
      <c r="G84" s="3" t="inlineStr">
        <is>
          <t>Evap Outlet Air Temp</t>
        </is>
      </c>
      <c r="H84" s="3" t="n">
        <v>53.9</v>
      </c>
      <c r="I84" s="3" t="n">
        <v>6.97</v>
      </c>
    </row>
    <row r="85">
      <c r="A85" s="4" t="inlineStr">
        <is>
          <t>04A2926120429</t>
        </is>
      </c>
      <c r="B85" s="4" t="inlineStr">
        <is>
          <t>LT</t>
        </is>
      </c>
      <c r="C85" s="4" t="inlineStr">
        <is>
          <t>CRS0000675</t>
        </is>
      </c>
      <c r="D85" s="10" t="n">
        <v>46053</v>
      </c>
      <c r="E85" s="4" t="inlineStr">
        <is>
          <t>Fail</t>
        </is>
      </c>
      <c r="F85" s="9" t="inlineStr">
        <is>
          <t>YES</t>
        </is>
      </c>
      <c r="G85" s="4" t="inlineStr">
        <is>
          <t>Evap Outlet Air Temp</t>
        </is>
      </c>
      <c r="H85" s="4" t="n">
        <v>53.9</v>
      </c>
      <c r="I85" s="4" t="n">
        <v>6.97</v>
      </c>
    </row>
    <row r="86">
      <c r="A86" s="3" t="inlineStr">
        <is>
          <t>04D0626121252</t>
        </is>
      </c>
      <c r="B86" s="3" t="inlineStr">
        <is>
          <t>MT</t>
        </is>
      </c>
      <c r="C86" s="3" t="inlineStr">
        <is>
          <t>CRS0000674</t>
        </is>
      </c>
      <c r="D86" s="8" t="n">
        <v>46119</v>
      </c>
      <c r="E86" s="3" t="inlineStr">
        <is>
          <t>Fail</t>
        </is>
      </c>
      <c r="F86" s="9" t="inlineStr">
        <is>
          <t>YES</t>
        </is>
      </c>
      <c r="G86" s="3" t="inlineStr">
        <is>
          <t>Suction Tube Temp</t>
        </is>
      </c>
      <c r="H86" s="3" t="n">
        <v>78</v>
      </c>
      <c r="I86" s="3" t="n">
        <v>6.93</v>
      </c>
    </row>
    <row r="87">
      <c r="A87" s="4" t="inlineStr">
        <is>
          <t>04C1726120990</t>
        </is>
      </c>
      <c r="B87" s="4" t="inlineStr">
        <is>
          <t>LT</t>
        </is>
      </c>
      <c r="C87" s="4" t="inlineStr">
        <is>
          <t>CRS0000675</t>
        </is>
      </c>
      <c r="D87" s="10" t="n">
        <v>46099</v>
      </c>
      <c r="E87" s="4" t="inlineStr">
        <is>
          <t>Fail</t>
        </is>
      </c>
      <c r="F87" s="9" t="inlineStr">
        <is>
          <t>YES</t>
        </is>
      </c>
      <c r="G87" s="4" t="inlineStr">
        <is>
          <t>Suction Tube Temp</t>
        </is>
      </c>
      <c r="H87" s="4" t="n">
        <v>113.7</v>
      </c>
      <c r="I87" s="4" t="n">
        <v>6.81</v>
      </c>
    </row>
    <row r="88">
      <c r="A88" s="3" t="inlineStr">
        <is>
          <t>04C2426121082</t>
        </is>
      </c>
      <c r="B88" s="3" t="inlineStr">
        <is>
          <t>LT</t>
        </is>
      </c>
      <c r="C88" s="3" t="inlineStr">
        <is>
          <t>CRS0000675</t>
        </is>
      </c>
      <c r="D88" s="8" t="n">
        <v>46106</v>
      </c>
      <c r="E88" s="3" t="inlineStr">
        <is>
          <t>Fail</t>
        </is>
      </c>
      <c r="F88" s="9" t="inlineStr">
        <is>
          <t>YES</t>
        </is>
      </c>
      <c r="G88" s="3" t="inlineStr">
        <is>
          <t>Final Current</t>
        </is>
      </c>
      <c r="H88" s="3" t="n">
        <v>5.2</v>
      </c>
      <c r="I88" s="3" t="n">
        <v>6.79</v>
      </c>
    </row>
    <row r="89">
      <c r="A89" s="4" t="inlineStr">
        <is>
          <t>04D1526121398</t>
        </is>
      </c>
      <c r="B89" s="4" t="inlineStr">
        <is>
          <t>MT</t>
        </is>
      </c>
      <c r="C89" s="4" t="inlineStr">
        <is>
          <t>CRS0000674</t>
        </is>
      </c>
      <c r="D89" s="10" t="n">
        <v>46133</v>
      </c>
      <c r="E89" s="4" t="inlineStr">
        <is>
          <t>Fail</t>
        </is>
      </c>
      <c r="F89" s="9" t="inlineStr">
        <is>
          <t>YES</t>
        </is>
      </c>
      <c r="G89" s="4" t="inlineStr">
        <is>
          <t>Evap Inlet Ret Bend A</t>
        </is>
      </c>
      <c r="H89" s="4" t="n">
        <v>61.7</v>
      </c>
      <c r="I89" s="4" t="n">
        <v>6.74</v>
      </c>
    </row>
    <row r="90">
      <c r="A90" s="3" t="inlineStr">
        <is>
          <t>04D0926121300</t>
        </is>
      </c>
      <c r="B90" s="3" t="inlineStr">
        <is>
          <t>LT</t>
        </is>
      </c>
      <c r="C90" s="3" t="inlineStr">
        <is>
          <t>CRS0000675</t>
        </is>
      </c>
      <c r="D90" s="8" t="n">
        <v>46122</v>
      </c>
      <c r="E90" s="3" t="inlineStr">
        <is>
          <t>Fail</t>
        </is>
      </c>
      <c r="F90" s="9" t="inlineStr">
        <is>
          <t>YES</t>
        </is>
      </c>
      <c r="G90" s="3" t="inlineStr">
        <is>
          <t>Evap Inlet Ret Bend A</t>
        </is>
      </c>
      <c r="H90" s="3" t="n">
        <v>129.8</v>
      </c>
      <c r="I90" s="3" t="n">
        <v>6.62</v>
      </c>
    </row>
    <row r="91">
      <c r="A91" s="4" t="inlineStr">
        <is>
          <t>04C1326120945</t>
        </is>
      </c>
      <c r="B91" s="4" t="inlineStr">
        <is>
          <t>MT</t>
        </is>
      </c>
      <c r="C91" s="4" t="inlineStr">
        <is>
          <t>CRS0000674</t>
        </is>
      </c>
      <c r="D91" s="10" t="n">
        <v>46095</v>
      </c>
      <c r="E91" s="4" t="inlineStr">
        <is>
          <t>Fail</t>
        </is>
      </c>
      <c r="F91" s="9" t="inlineStr">
        <is>
          <t>YES</t>
        </is>
      </c>
      <c r="G91" s="4" t="inlineStr">
        <is>
          <t>Final Current</t>
        </is>
      </c>
      <c r="H91" s="4" t="n">
        <v>4.88</v>
      </c>
      <c r="I91" s="4" t="n">
        <v>6.58</v>
      </c>
    </row>
    <row r="92">
      <c r="A92" s="3" t="inlineStr">
        <is>
          <t>04D1626121409</t>
        </is>
      </c>
      <c r="B92" s="3" t="inlineStr">
        <is>
          <t>MT</t>
        </is>
      </c>
      <c r="C92" s="3" t="inlineStr">
        <is>
          <t>CRS0000674</t>
        </is>
      </c>
      <c r="D92" s="8" t="n">
        <v>46128</v>
      </c>
      <c r="E92" s="3" t="inlineStr">
        <is>
          <t>Fail</t>
        </is>
      </c>
      <c r="F92" s="9" t="inlineStr">
        <is>
          <t>YES</t>
        </is>
      </c>
      <c r="G92" s="3" t="inlineStr">
        <is>
          <t>Suction Tube Temp</t>
        </is>
      </c>
      <c r="H92" s="3" t="n">
        <v>80.7</v>
      </c>
      <c r="I92" s="3" t="n">
        <v>6.39</v>
      </c>
    </row>
    <row r="93">
      <c r="A93" s="4" t="inlineStr">
        <is>
          <t>04D1426121381</t>
        </is>
      </c>
      <c r="B93" s="4" t="inlineStr">
        <is>
          <t>MT</t>
        </is>
      </c>
      <c r="C93" s="4" t="inlineStr">
        <is>
          <t>CRS0000674</t>
        </is>
      </c>
      <c r="D93" s="10" t="n">
        <v>46127</v>
      </c>
      <c r="E93" s="4" t="inlineStr">
        <is>
          <t>Fail</t>
        </is>
      </c>
      <c r="F93" s="9" t="inlineStr">
        <is>
          <t>YES</t>
        </is>
      </c>
      <c r="G93" s="4" t="inlineStr">
        <is>
          <t>Startup Current</t>
        </is>
      </c>
      <c r="H93" s="4" t="n">
        <v>2.86</v>
      </c>
      <c r="I93" s="4" t="n">
        <v>6.39</v>
      </c>
    </row>
    <row r="94">
      <c r="A94" s="3" t="inlineStr">
        <is>
          <t>04C1326120945</t>
        </is>
      </c>
      <c r="B94" s="3" t="inlineStr">
        <is>
          <t>MT</t>
        </is>
      </c>
      <c r="C94" s="3" t="inlineStr">
        <is>
          <t>CRS0000674</t>
        </is>
      </c>
      <c r="D94" s="8" t="n">
        <v>46097</v>
      </c>
      <c r="E94" s="3" t="inlineStr">
        <is>
          <t>Fail</t>
        </is>
      </c>
      <c r="F94" s="9" t="inlineStr">
        <is>
          <t>YES</t>
        </is>
      </c>
      <c r="G94" s="3" t="inlineStr">
        <is>
          <t>Suction Tube Temp</t>
        </is>
      </c>
      <c r="H94" s="3" t="n">
        <v>144.1</v>
      </c>
      <c r="I94" s="3" t="n">
        <v>6.33</v>
      </c>
    </row>
    <row r="95">
      <c r="A95" s="4" t="inlineStr">
        <is>
          <t>04D0626121252</t>
        </is>
      </c>
      <c r="B95" s="4" t="inlineStr">
        <is>
          <t>MT</t>
        </is>
      </c>
      <c r="C95" s="4" t="inlineStr">
        <is>
          <t>CRS0000674</t>
        </is>
      </c>
      <c r="D95" s="10" t="n">
        <v>46136</v>
      </c>
      <c r="E95" s="4" t="inlineStr">
        <is>
          <t>Fail</t>
        </is>
      </c>
      <c r="F95" s="9" t="inlineStr">
        <is>
          <t>YES</t>
        </is>
      </c>
      <c r="G95" s="4" t="inlineStr">
        <is>
          <t>Suction Tube Temp</t>
        </is>
      </c>
      <c r="H95" s="4" t="n">
        <v>81.59999999999999</v>
      </c>
      <c r="I95" s="4" t="n">
        <v>6.21</v>
      </c>
    </row>
    <row r="96">
      <c r="A96" s="3" t="inlineStr">
        <is>
          <t>04D1426121381</t>
        </is>
      </c>
      <c r="B96" s="3" t="inlineStr">
        <is>
          <t>MT</t>
        </is>
      </c>
      <c r="C96" s="3" t="inlineStr">
        <is>
          <t>CRS0000674</t>
        </is>
      </c>
      <c r="D96" s="8" t="n">
        <v>46127</v>
      </c>
      <c r="E96" s="3" t="inlineStr">
        <is>
          <t>Fail</t>
        </is>
      </c>
      <c r="F96" s="9" t="inlineStr">
        <is>
          <t>YES</t>
        </is>
      </c>
      <c r="G96" s="3" t="inlineStr">
        <is>
          <t>Startup Current</t>
        </is>
      </c>
      <c r="H96" s="3" t="n">
        <v>2.91</v>
      </c>
      <c r="I96" s="3" t="n">
        <v>6.05</v>
      </c>
    </row>
    <row r="97">
      <c r="A97" s="4" t="inlineStr">
        <is>
          <t>04D1626121415</t>
        </is>
      </c>
      <c r="B97" s="4" t="inlineStr">
        <is>
          <t>MT</t>
        </is>
      </c>
      <c r="C97" s="4" t="inlineStr">
        <is>
          <t>CRS0000674</t>
        </is>
      </c>
      <c r="D97" s="10" t="n">
        <v>46128</v>
      </c>
      <c r="E97" s="4" t="inlineStr">
        <is>
          <t>Fail</t>
        </is>
      </c>
      <c r="F97" s="9" t="inlineStr">
        <is>
          <t>YES</t>
        </is>
      </c>
      <c r="G97" s="4" t="inlineStr">
        <is>
          <t>Suction Tube Temp</t>
        </is>
      </c>
      <c r="H97" s="4" t="n">
        <v>82.90000000000001</v>
      </c>
      <c r="I97" s="4" t="n">
        <v>5.95</v>
      </c>
    </row>
    <row r="98">
      <c r="A98" s="3" t="inlineStr">
        <is>
          <t>04D0626121252</t>
        </is>
      </c>
      <c r="B98" s="3" t="inlineStr">
        <is>
          <t>MT</t>
        </is>
      </c>
      <c r="C98" s="3" t="inlineStr">
        <is>
          <t>CRS0000674</t>
        </is>
      </c>
      <c r="D98" s="8" t="n">
        <v>46136</v>
      </c>
      <c r="E98" s="3" t="inlineStr">
        <is>
          <t>Fail</t>
        </is>
      </c>
      <c r="F98" s="9" t="inlineStr">
        <is>
          <t>YES</t>
        </is>
      </c>
      <c r="G98" s="3" t="inlineStr">
        <is>
          <t>Evap Inlet Ret Bend A</t>
        </is>
      </c>
      <c r="H98" s="3" t="n">
        <v>64</v>
      </c>
      <c r="I98" s="3" t="n">
        <v>5.93</v>
      </c>
    </row>
    <row r="99">
      <c r="A99" s="4" t="inlineStr">
        <is>
          <t>04B1226120599</t>
        </is>
      </c>
      <c r="B99" s="4" t="inlineStr">
        <is>
          <t>LT</t>
        </is>
      </c>
      <c r="C99" s="4" t="inlineStr">
        <is>
          <t>CRS0000675</t>
        </is>
      </c>
      <c r="D99" s="10" t="n">
        <v>46066</v>
      </c>
      <c r="E99" s="4" t="inlineStr">
        <is>
          <t>Fail</t>
        </is>
      </c>
      <c r="F99" s="9" t="inlineStr">
        <is>
          <t>YES</t>
        </is>
      </c>
      <c r="G99" s="4" t="inlineStr">
        <is>
          <t>Evap Inlet Ret Bend A</t>
        </is>
      </c>
      <c r="H99" s="4" t="n">
        <v>66.7</v>
      </c>
      <c r="I99" s="4" t="n">
        <v>5.9</v>
      </c>
    </row>
    <row r="100">
      <c r="A100" s="3" t="inlineStr">
        <is>
          <t>04B1226120599</t>
        </is>
      </c>
      <c r="B100" s="3" t="inlineStr">
        <is>
          <t>LT</t>
        </is>
      </c>
      <c r="C100" s="3" t="inlineStr">
        <is>
          <t>CRS0000675</t>
        </is>
      </c>
      <c r="D100" s="8" t="n">
        <v>46066</v>
      </c>
      <c r="E100" s="3" t="inlineStr">
        <is>
          <t>Fail</t>
        </is>
      </c>
      <c r="F100" s="9" t="inlineStr">
        <is>
          <t>YES</t>
        </is>
      </c>
      <c r="G100" s="3" t="inlineStr">
        <is>
          <t>Startup Current</t>
        </is>
      </c>
      <c r="H100" s="3" t="n">
        <v>4.76</v>
      </c>
      <c r="I100" s="3" t="n">
        <v>5.89</v>
      </c>
    </row>
    <row r="101">
      <c r="A101" s="4" t="inlineStr">
        <is>
          <t>04C2426121082</t>
        </is>
      </c>
      <c r="B101" s="4" t="inlineStr">
        <is>
          <t>LT</t>
        </is>
      </c>
      <c r="C101" s="4" t="inlineStr">
        <is>
          <t>CRS0000675</t>
        </is>
      </c>
      <c r="D101" s="10" t="n">
        <v>46130</v>
      </c>
      <c r="E101" s="4" t="inlineStr">
        <is>
          <t>Fail</t>
        </is>
      </c>
      <c r="F101" s="9" t="inlineStr">
        <is>
          <t>YES</t>
        </is>
      </c>
      <c r="G101" s="4" t="inlineStr">
        <is>
          <t>Startup Current</t>
        </is>
      </c>
      <c r="H101" s="4" t="n">
        <v>4.76</v>
      </c>
      <c r="I101" s="4" t="n">
        <v>5.89</v>
      </c>
    </row>
    <row r="102">
      <c r="A102" s="3" t="inlineStr">
        <is>
          <t>04D1426121381</t>
        </is>
      </c>
      <c r="B102" s="3" t="inlineStr">
        <is>
          <t>MT</t>
        </is>
      </c>
      <c r="C102" s="3" t="inlineStr">
        <is>
          <t>CRS0000674</t>
        </is>
      </c>
      <c r="D102" s="8" t="n">
        <v>46127</v>
      </c>
      <c r="E102" s="3" t="inlineStr">
        <is>
          <t>Fail</t>
        </is>
      </c>
      <c r="F102" s="9" t="inlineStr">
        <is>
          <t>YES</t>
        </is>
      </c>
      <c r="G102" s="3" t="inlineStr">
        <is>
          <t>Final Current</t>
        </is>
      </c>
      <c r="H102" s="3" t="n">
        <v>2.93</v>
      </c>
      <c r="I102" s="3" t="n">
        <v>5.86</v>
      </c>
    </row>
    <row r="103">
      <c r="A103" s="4" t="inlineStr">
        <is>
          <t>04D1426121381</t>
        </is>
      </c>
      <c r="B103" s="4" t="inlineStr">
        <is>
          <t>MT</t>
        </is>
      </c>
      <c r="C103" s="4" t="inlineStr">
        <is>
          <t>CRS0000674</t>
        </is>
      </c>
      <c r="D103" s="10" t="n">
        <v>46127</v>
      </c>
      <c r="E103" s="4" t="inlineStr">
        <is>
          <t>Fail</t>
        </is>
      </c>
      <c r="F103" s="9" t="inlineStr">
        <is>
          <t>YES</t>
        </is>
      </c>
      <c r="G103" s="4" t="inlineStr">
        <is>
          <t>Final Current</t>
        </is>
      </c>
      <c r="H103" s="4" t="n">
        <v>2.95</v>
      </c>
      <c r="I103" s="4" t="n">
        <v>5.73</v>
      </c>
    </row>
    <row r="104">
      <c r="A104" s="3" t="inlineStr">
        <is>
          <t>04A2926120429</t>
        </is>
      </c>
      <c r="B104" s="3" t="inlineStr">
        <is>
          <t>LT</t>
        </is>
      </c>
      <c r="C104" s="3" t="inlineStr">
        <is>
          <t>CRS0000675</t>
        </is>
      </c>
      <c r="D104" s="8" t="n">
        <v>46053</v>
      </c>
      <c r="E104" s="3" t="inlineStr">
        <is>
          <t>Fail</t>
        </is>
      </c>
      <c r="F104" s="9" t="inlineStr">
        <is>
          <t>YES</t>
        </is>
      </c>
      <c r="G104" s="3" t="inlineStr">
        <is>
          <t>Inlet/Outlet Delta</t>
        </is>
      </c>
      <c r="H104" s="3" t="n">
        <v>9.800000000000001</v>
      </c>
      <c r="I104" s="3" t="n">
        <v>5.71</v>
      </c>
    </row>
    <row r="105">
      <c r="A105" s="4" t="inlineStr">
        <is>
          <t>04C2426121082</t>
        </is>
      </c>
      <c r="B105" s="4" t="inlineStr">
        <is>
          <t>LT</t>
        </is>
      </c>
      <c r="C105" s="4" t="inlineStr">
        <is>
          <t>CRS0000675</t>
        </is>
      </c>
      <c r="D105" s="10" t="n">
        <v>46130</v>
      </c>
      <c r="E105" s="4" t="inlineStr">
        <is>
          <t>Fail</t>
        </is>
      </c>
      <c r="F105" s="9" t="inlineStr">
        <is>
          <t>YES</t>
        </is>
      </c>
      <c r="G105" s="4" t="inlineStr">
        <is>
          <t>Suction Tube Temp</t>
        </is>
      </c>
      <c r="H105" s="4" t="n">
        <v>120.4</v>
      </c>
      <c r="I105" s="4" t="n">
        <v>5.64</v>
      </c>
    </row>
    <row r="106">
      <c r="A106" s="3" t="inlineStr">
        <is>
          <t>04C2426121082</t>
        </is>
      </c>
      <c r="B106" s="3" t="inlineStr">
        <is>
          <t>LT</t>
        </is>
      </c>
      <c r="C106" s="3" t="inlineStr">
        <is>
          <t>CRS0000675</t>
        </is>
      </c>
      <c r="D106" s="8" t="n">
        <v>46130</v>
      </c>
      <c r="E106" s="3" t="inlineStr">
        <is>
          <t>Fail</t>
        </is>
      </c>
      <c r="F106" s="9" t="inlineStr">
        <is>
          <t>YES</t>
        </is>
      </c>
      <c r="G106" s="3" t="inlineStr">
        <is>
          <t>Startup Current</t>
        </is>
      </c>
      <c r="H106" s="3" t="n">
        <v>4.91</v>
      </c>
      <c r="I106" s="3" t="n">
        <v>5.62</v>
      </c>
    </row>
    <row r="107">
      <c r="A107" s="4" t="inlineStr">
        <is>
          <t>04C2426121082</t>
        </is>
      </c>
      <c r="B107" s="4" t="inlineStr">
        <is>
          <t>LT</t>
        </is>
      </c>
      <c r="C107" s="4" t="inlineStr">
        <is>
          <t>CRS0000675</t>
        </is>
      </c>
      <c r="D107" s="10" t="n">
        <v>46130</v>
      </c>
      <c r="E107" s="4" t="inlineStr">
        <is>
          <t>Fail</t>
        </is>
      </c>
      <c r="F107" s="9" t="inlineStr">
        <is>
          <t>YES</t>
        </is>
      </c>
      <c r="G107" s="4" t="inlineStr">
        <is>
          <t>Startup Current</t>
        </is>
      </c>
      <c r="H107" s="4" t="n">
        <v>4.93</v>
      </c>
      <c r="I107" s="4" t="n">
        <v>5.59</v>
      </c>
    </row>
    <row r="108">
      <c r="A108" s="3" t="inlineStr">
        <is>
          <t>04C1326120945</t>
        </is>
      </c>
      <c r="B108" s="3" t="inlineStr">
        <is>
          <t>MT</t>
        </is>
      </c>
      <c r="C108" s="3" t="inlineStr">
        <is>
          <t>CRS0000674</t>
        </is>
      </c>
      <c r="D108" s="8" t="n">
        <v>46095</v>
      </c>
      <c r="E108" s="3" t="inlineStr">
        <is>
          <t>Fail</t>
        </is>
      </c>
      <c r="F108" s="9" t="inlineStr">
        <is>
          <t>YES</t>
        </is>
      </c>
      <c r="G108" s="3" t="inlineStr">
        <is>
          <t>Startup Current</t>
        </is>
      </c>
      <c r="H108" s="3" t="n">
        <v>4.66</v>
      </c>
      <c r="I108" s="3" t="n">
        <v>5.57</v>
      </c>
    </row>
    <row r="109">
      <c r="A109" s="4" t="inlineStr">
        <is>
          <t>04A2926120429</t>
        </is>
      </c>
      <c r="B109" s="4" t="inlineStr">
        <is>
          <t>LT</t>
        </is>
      </c>
      <c r="C109" s="4" t="inlineStr">
        <is>
          <t>CRS0000675</t>
        </is>
      </c>
      <c r="D109" s="10" t="n">
        <v>46053</v>
      </c>
      <c r="E109" s="4" t="inlineStr">
        <is>
          <t>Fail</t>
        </is>
      </c>
      <c r="F109" s="9" t="inlineStr">
        <is>
          <t>YES</t>
        </is>
      </c>
      <c r="G109" s="4" t="inlineStr">
        <is>
          <t>Inlet/Outlet Delta</t>
        </is>
      </c>
      <c r="H109" s="4" t="n">
        <v>9.6</v>
      </c>
      <c r="I109" s="4" t="n">
        <v>5.56</v>
      </c>
    </row>
    <row r="110">
      <c r="A110" s="3" t="inlineStr">
        <is>
          <t>04C1726120990</t>
        </is>
      </c>
      <c r="B110" s="3" t="inlineStr">
        <is>
          <t>LT</t>
        </is>
      </c>
      <c r="C110" s="3" t="inlineStr">
        <is>
          <t>CRS0000675</t>
        </is>
      </c>
      <c r="D110" s="8" t="n">
        <v>46099</v>
      </c>
      <c r="E110" s="3" t="inlineStr">
        <is>
          <t>Fail</t>
        </is>
      </c>
      <c r="F110" s="9" t="inlineStr">
        <is>
          <t>YES</t>
        </is>
      </c>
      <c r="G110" s="3" t="inlineStr">
        <is>
          <t>Evap Inlet Ret Bend A</t>
        </is>
      </c>
      <c r="H110" s="3" t="n">
        <v>68.5</v>
      </c>
      <c r="I110" s="3" t="n">
        <v>5.54</v>
      </c>
    </row>
    <row r="111">
      <c r="A111" s="4" t="inlineStr">
        <is>
          <t>04A2926120428</t>
        </is>
      </c>
      <c r="B111" s="4" t="inlineStr">
        <is>
          <t>LT</t>
        </is>
      </c>
      <c r="C111" s="4" t="inlineStr">
        <is>
          <t>CRS0000675</t>
        </is>
      </c>
      <c r="D111" s="10" t="n">
        <v>46059</v>
      </c>
      <c r="E111" s="4" t="inlineStr">
        <is>
          <t>Fail</t>
        </is>
      </c>
      <c r="F111" s="9" t="inlineStr">
        <is>
          <t>YES</t>
        </is>
      </c>
      <c r="G111" s="4" t="inlineStr">
        <is>
          <t>Suction Tube Temp</t>
        </is>
      </c>
      <c r="H111" s="4" t="n">
        <v>121.3</v>
      </c>
      <c r="I111" s="4" t="n">
        <v>5.49</v>
      </c>
    </row>
    <row r="112">
      <c r="A112" s="3" t="inlineStr">
        <is>
          <t>04D1326121350</t>
        </is>
      </c>
      <c r="B112" s="3" t="inlineStr">
        <is>
          <t>LT</t>
        </is>
      </c>
      <c r="C112" s="3" t="inlineStr">
        <is>
          <t>CRS0000675</t>
        </is>
      </c>
      <c r="D112" s="8" t="n">
        <v>46125</v>
      </c>
      <c r="E112" s="3" t="inlineStr">
        <is>
          <t>Fail</t>
        </is>
      </c>
      <c r="F112" s="9" t="inlineStr">
        <is>
          <t>YES</t>
        </is>
      </c>
      <c r="G112" s="3" t="inlineStr">
        <is>
          <t>Evap Inlet Ret Bend A</t>
        </is>
      </c>
      <c r="H112" s="3" t="n">
        <v>68.90000000000001</v>
      </c>
      <c r="I112" s="3" t="n">
        <v>5.46</v>
      </c>
    </row>
    <row r="113">
      <c r="A113" s="4" t="inlineStr">
        <is>
          <t>04C1326120945</t>
        </is>
      </c>
      <c r="B113" s="4" t="inlineStr">
        <is>
          <t>MT</t>
        </is>
      </c>
      <c r="C113" s="4" t="inlineStr">
        <is>
          <t>CRS0000674</t>
        </is>
      </c>
      <c r="D113" s="10" t="n">
        <v>46095</v>
      </c>
      <c r="E113" s="4" t="inlineStr">
        <is>
          <t>Fail</t>
        </is>
      </c>
      <c r="F113" s="9" t="inlineStr">
        <is>
          <t>YES</t>
        </is>
      </c>
      <c r="G113" s="4" t="inlineStr">
        <is>
          <t>Suction Tube Temp</t>
        </is>
      </c>
      <c r="H113" s="4" t="n">
        <v>139.7</v>
      </c>
      <c r="I113" s="4" t="n">
        <v>5.44</v>
      </c>
    </row>
    <row r="114">
      <c r="A114" s="3" t="inlineStr">
        <is>
          <t>04D0626121254</t>
        </is>
      </c>
      <c r="B114" s="3" t="inlineStr">
        <is>
          <t>MT</t>
        </is>
      </c>
      <c r="C114" s="3" t="inlineStr">
        <is>
          <t>CRS0000674</t>
        </is>
      </c>
      <c r="D114" s="8" t="n">
        <v>46135</v>
      </c>
      <c r="E114" s="3" t="inlineStr">
        <is>
          <t>Fail</t>
        </is>
      </c>
      <c r="F114" s="9" t="inlineStr">
        <is>
          <t>YES</t>
        </is>
      </c>
      <c r="G114" s="3" t="inlineStr">
        <is>
          <t>Suction Tube Temp</t>
        </is>
      </c>
      <c r="H114" s="3" t="n">
        <v>85.59999999999999</v>
      </c>
      <c r="I114" s="3" t="n">
        <v>5.41</v>
      </c>
    </row>
    <row r="115">
      <c r="A115" s="4" t="inlineStr">
        <is>
          <t>04D1426121369</t>
        </is>
      </c>
      <c r="B115" s="4" t="inlineStr">
        <is>
          <t>MT</t>
        </is>
      </c>
      <c r="C115" s="4" t="inlineStr">
        <is>
          <t>CRS0000674</t>
        </is>
      </c>
      <c r="D115" s="10" t="n">
        <v>46135</v>
      </c>
      <c r="E115" s="4" t="inlineStr">
        <is>
          <t>Fail</t>
        </is>
      </c>
      <c r="F115" s="9" t="inlineStr">
        <is>
          <t>YES</t>
        </is>
      </c>
      <c r="G115" s="4" t="inlineStr">
        <is>
          <t>Suction Tube Temp</t>
        </is>
      </c>
      <c r="H115" s="4" t="n">
        <v>85.59999999999999</v>
      </c>
      <c r="I115" s="4" t="n">
        <v>5.41</v>
      </c>
    </row>
    <row r="116">
      <c r="A116" s="3" t="inlineStr">
        <is>
          <t>04D0926121293</t>
        </is>
      </c>
      <c r="B116" s="3" t="inlineStr">
        <is>
          <t>LT</t>
        </is>
      </c>
      <c r="C116" s="3" t="inlineStr">
        <is>
          <t>CRS0000675</t>
        </is>
      </c>
      <c r="D116" s="8" t="n">
        <v>46129</v>
      </c>
      <c r="E116" s="3" t="inlineStr">
        <is>
          <t>Fail</t>
        </is>
      </c>
      <c r="F116" s="9" t="inlineStr">
        <is>
          <t>YES</t>
        </is>
      </c>
      <c r="G116" s="3" t="inlineStr">
        <is>
          <t>Evap Inlet Ret Bend A</t>
        </is>
      </c>
      <c r="H116" s="3" t="n">
        <v>69.40000000000001</v>
      </c>
      <c r="I116" s="3" t="n">
        <v>5.37</v>
      </c>
    </row>
    <row r="117">
      <c r="A117" s="4" t="inlineStr">
        <is>
          <t>04D0926121293</t>
        </is>
      </c>
      <c r="B117" s="4" t="inlineStr">
        <is>
          <t>LT</t>
        </is>
      </c>
      <c r="C117" s="4" t="inlineStr">
        <is>
          <t>CRS0000675</t>
        </is>
      </c>
      <c r="D117" s="10" t="n">
        <v>46129</v>
      </c>
      <c r="E117" s="4" t="inlineStr">
        <is>
          <t>Fail</t>
        </is>
      </c>
      <c r="F117" s="9" t="inlineStr">
        <is>
          <t>YES</t>
        </is>
      </c>
      <c r="G117" s="4" t="inlineStr">
        <is>
          <t>Evap Inlet Ret Bend A</t>
        </is>
      </c>
      <c r="H117" s="4" t="n">
        <v>69.8</v>
      </c>
      <c r="I117" s="4" t="n">
        <v>5.29</v>
      </c>
    </row>
    <row r="118">
      <c r="A118" s="3" t="inlineStr">
        <is>
          <t>04C2426121082</t>
        </is>
      </c>
      <c r="B118" s="3" t="inlineStr">
        <is>
          <t>LT</t>
        </is>
      </c>
      <c r="C118" s="3" t="inlineStr">
        <is>
          <t>CRS0000675</t>
        </is>
      </c>
      <c r="D118" s="8" t="n">
        <v>46106</v>
      </c>
      <c r="E118" s="3" t="inlineStr">
        <is>
          <t>Fail</t>
        </is>
      </c>
      <c r="F118" s="9" t="inlineStr">
        <is>
          <t>YES</t>
        </is>
      </c>
      <c r="G118" s="3" t="inlineStr">
        <is>
          <t>Startup Current</t>
        </is>
      </c>
      <c r="H118" s="3" t="n">
        <v>5.1</v>
      </c>
      <c r="I118" s="3" t="n">
        <v>5.28</v>
      </c>
    </row>
    <row r="119">
      <c r="A119" s="4" t="inlineStr">
        <is>
          <t>04A2926120429</t>
        </is>
      </c>
      <c r="B119" s="4" t="inlineStr">
        <is>
          <t>LT</t>
        </is>
      </c>
      <c r="C119" s="4" t="inlineStr">
        <is>
          <t>CRS0000675</t>
        </is>
      </c>
      <c r="D119" s="10" t="n">
        <v>46066</v>
      </c>
      <c r="E119" s="4" t="inlineStr">
        <is>
          <t>Fail</t>
        </is>
      </c>
      <c r="F119" s="9" t="inlineStr">
        <is>
          <t>YES</t>
        </is>
      </c>
      <c r="G119" s="4" t="inlineStr">
        <is>
          <t>Suction Tube Temp</t>
        </is>
      </c>
      <c r="H119" s="4" t="n">
        <v>122.7</v>
      </c>
      <c r="I119" s="4" t="n">
        <v>5.24</v>
      </c>
    </row>
    <row r="120">
      <c r="A120" s="3" t="inlineStr">
        <is>
          <t>04A2926120428</t>
        </is>
      </c>
      <c r="B120" s="3" t="inlineStr">
        <is>
          <t>LT</t>
        </is>
      </c>
      <c r="C120" s="3" t="inlineStr">
        <is>
          <t>CRS0000675</t>
        </is>
      </c>
      <c r="D120" s="8" t="n">
        <v>46059</v>
      </c>
      <c r="E120" s="3" t="inlineStr">
        <is>
          <t>Fail</t>
        </is>
      </c>
      <c r="F120" s="9" t="inlineStr">
        <is>
          <t>YES</t>
        </is>
      </c>
      <c r="G120" s="3" t="inlineStr">
        <is>
          <t>Inlet/Outlet Delta</t>
        </is>
      </c>
      <c r="H120" s="3" t="n">
        <v>9.1</v>
      </c>
      <c r="I120" s="3" t="n">
        <v>5.2</v>
      </c>
    </row>
    <row r="121">
      <c r="A121" s="4" t="inlineStr">
        <is>
          <t>04D1826121466</t>
        </is>
      </c>
      <c r="B121" s="4" t="inlineStr">
        <is>
          <t>LT</t>
        </is>
      </c>
      <c r="C121" s="4" t="inlineStr">
        <is>
          <t>CRS0000675</t>
        </is>
      </c>
      <c r="D121" s="10" t="n">
        <v>46130</v>
      </c>
      <c r="E121" s="4" t="inlineStr">
        <is>
          <t>Fail</t>
        </is>
      </c>
      <c r="F121" s="9" t="inlineStr">
        <is>
          <t>YES</t>
        </is>
      </c>
      <c r="G121" s="4" t="inlineStr">
        <is>
          <t>Suction Tube Temp</t>
        </is>
      </c>
      <c r="H121" s="4" t="n">
        <v>182.5</v>
      </c>
      <c r="I121" s="4" t="n">
        <v>5.19</v>
      </c>
    </row>
    <row r="122">
      <c r="A122" s="3" t="inlineStr">
        <is>
          <t>04D1326121350</t>
        </is>
      </c>
      <c r="B122" s="3" t="inlineStr">
        <is>
          <t>LT</t>
        </is>
      </c>
      <c r="C122" s="3" t="inlineStr">
        <is>
          <t>CRS0000675</t>
        </is>
      </c>
      <c r="D122" s="8" t="n">
        <v>46125</v>
      </c>
      <c r="E122" s="3" t="inlineStr">
        <is>
          <t>Fail</t>
        </is>
      </c>
      <c r="F122" s="9" t="inlineStr">
        <is>
          <t>YES</t>
        </is>
      </c>
      <c r="G122" s="3" t="inlineStr">
        <is>
          <t>Evap Inlet Ret Bend A</t>
        </is>
      </c>
      <c r="H122" s="3" t="n">
        <v>70.3</v>
      </c>
      <c r="I122" s="3" t="n">
        <v>5.19</v>
      </c>
    </row>
    <row r="123">
      <c r="A123" s="4" t="inlineStr">
        <is>
          <t>04D1326121350</t>
        </is>
      </c>
      <c r="B123" s="4" t="inlineStr">
        <is>
          <t>LT</t>
        </is>
      </c>
      <c r="C123" s="4" t="inlineStr">
        <is>
          <t>CRS0000675</t>
        </is>
      </c>
      <c r="D123" s="10" t="n">
        <v>46136</v>
      </c>
      <c r="E123" s="4" t="inlineStr">
        <is>
          <t>Fail</t>
        </is>
      </c>
      <c r="F123" s="9" t="inlineStr">
        <is>
          <t>YES</t>
        </is>
      </c>
      <c r="G123" s="4" t="inlineStr">
        <is>
          <t>Evap Inlet Ret Bend A</t>
        </is>
      </c>
      <c r="H123" s="4" t="n">
        <v>70.3</v>
      </c>
      <c r="I123" s="4" t="n">
        <v>5.19</v>
      </c>
    </row>
    <row r="124">
      <c r="A124" s="3" t="inlineStr">
        <is>
          <t>04D1626121411</t>
        </is>
      </c>
      <c r="B124" s="3" t="inlineStr">
        <is>
          <t>MT</t>
        </is>
      </c>
      <c r="C124" s="3" t="inlineStr">
        <is>
          <t>CRS0000674</t>
        </is>
      </c>
      <c r="D124" s="8" t="n">
        <v>46133</v>
      </c>
      <c r="E124" s="3" t="inlineStr">
        <is>
          <t>Fail</t>
        </is>
      </c>
      <c r="F124" s="9" t="inlineStr">
        <is>
          <t>YES</t>
        </is>
      </c>
      <c r="G124" s="3" t="inlineStr">
        <is>
          <t>Suction Tube Temp</t>
        </is>
      </c>
      <c r="H124" s="3" t="n">
        <v>86.90000000000001</v>
      </c>
      <c r="I124" s="3" t="n">
        <v>5.15</v>
      </c>
    </row>
    <row r="125">
      <c r="A125" s="4" t="inlineStr">
        <is>
          <t>04C3126121174</t>
        </is>
      </c>
      <c r="B125" s="4" t="inlineStr">
        <is>
          <t>MT</t>
        </is>
      </c>
      <c r="C125" s="4" t="inlineStr">
        <is>
          <t>CRS0000674</t>
        </is>
      </c>
      <c r="D125" s="10" t="n">
        <v>46113</v>
      </c>
      <c r="E125" s="4" t="inlineStr">
        <is>
          <t>Fail</t>
        </is>
      </c>
      <c r="F125" s="9" t="inlineStr">
        <is>
          <t>YES</t>
        </is>
      </c>
      <c r="G125" s="4" t="inlineStr">
        <is>
          <t>Startup Current</t>
        </is>
      </c>
      <c r="H125" s="4" t="n">
        <v>3.05</v>
      </c>
      <c r="I125" s="4" t="n">
        <v>5.12</v>
      </c>
    </row>
    <row r="126">
      <c r="A126" s="3" t="inlineStr">
        <is>
          <t>04D1326121350</t>
        </is>
      </c>
      <c r="B126" s="3" t="inlineStr">
        <is>
          <t>LT</t>
        </is>
      </c>
      <c r="C126" s="3" t="inlineStr">
        <is>
          <t>CRS0000675</t>
        </is>
      </c>
      <c r="D126" s="8" t="n">
        <v>46136</v>
      </c>
      <c r="E126" s="3" t="inlineStr">
        <is>
          <t>Fail</t>
        </is>
      </c>
      <c r="F126" s="9" t="inlineStr">
        <is>
          <t>YES</t>
        </is>
      </c>
      <c r="G126" s="3" t="inlineStr">
        <is>
          <t>Evap Inlet Ret Bend A</t>
        </is>
      </c>
      <c r="H126" s="3" t="n">
        <v>70.7</v>
      </c>
      <c r="I126" s="3" t="n">
        <v>5.11</v>
      </c>
    </row>
    <row r="127">
      <c r="A127" s="4" t="inlineStr">
        <is>
          <t>04C1326120945</t>
        </is>
      </c>
      <c r="B127" s="4" t="inlineStr">
        <is>
          <t>MT</t>
        </is>
      </c>
      <c r="C127" s="4" t="inlineStr">
        <is>
          <t>CRS0000674</t>
        </is>
      </c>
      <c r="D127" s="10" t="n">
        <v>46097</v>
      </c>
      <c r="E127" s="4" t="inlineStr">
        <is>
          <t>Fail</t>
        </is>
      </c>
      <c r="F127" s="9" t="inlineStr">
        <is>
          <t>YES</t>
        </is>
      </c>
      <c r="G127" s="4" t="inlineStr">
        <is>
          <t>Startup Current</t>
        </is>
      </c>
      <c r="H127" s="4" t="n">
        <v>4.59</v>
      </c>
      <c r="I127" s="4" t="n">
        <v>5.11</v>
      </c>
    </row>
    <row r="128">
      <c r="A128" s="3" t="inlineStr">
        <is>
          <t>04M2225120168</t>
        </is>
      </c>
      <c r="B128" s="3" t="inlineStr">
        <is>
          <t>LT</t>
        </is>
      </c>
      <c r="C128" s="3" t="inlineStr">
        <is>
          <t>CRS0000675</t>
        </is>
      </c>
      <c r="D128" s="8" t="n">
        <v>46041</v>
      </c>
      <c r="E128" s="3" t="inlineStr">
        <is>
          <t>Fail</t>
        </is>
      </c>
      <c r="F128" s="9" t="inlineStr">
        <is>
          <t>YES</t>
        </is>
      </c>
      <c r="G128" s="3" t="inlineStr">
        <is>
          <t>Inlet/Outlet Delta</t>
        </is>
      </c>
      <c r="H128" s="3" t="n">
        <v>8.9</v>
      </c>
      <c r="I128" s="3" t="n">
        <v>5.06</v>
      </c>
    </row>
    <row r="129">
      <c r="A129" s="4" t="inlineStr">
        <is>
          <t>04D1126121338</t>
        </is>
      </c>
      <c r="B129" s="4" t="inlineStr">
        <is>
          <t>LT</t>
        </is>
      </c>
      <c r="C129" s="4" t="inlineStr">
        <is>
          <t>CRS0000675</t>
        </is>
      </c>
      <c r="D129" s="10" t="n">
        <v>46135</v>
      </c>
      <c r="E129" s="4" t="inlineStr">
        <is>
          <t>Fail</t>
        </is>
      </c>
      <c r="F129" s="9" t="inlineStr">
        <is>
          <t>YES</t>
        </is>
      </c>
      <c r="G129" s="4" t="inlineStr">
        <is>
          <t>Suction Tube Temp</t>
        </is>
      </c>
      <c r="H129" s="4" t="n">
        <v>124</v>
      </c>
      <c r="I129" s="4" t="n">
        <v>5.02</v>
      </c>
    </row>
    <row r="130">
      <c r="A130" s="3" t="inlineStr">
        <is>
          <t>04C2426121082</t>
        </is>
      </c>
      <c r="B130" s="3" t="inlineStr">
        <is>
          <t>LT</t>
        </is>
      </c>
      <c r="C130" s="3" t="inlineStr">
        <is>
          <t>CRS0000675</t>
        </is>
      </c>
      <c r="D130" s="8" t="n">
        <v>46130</v>
      </c>
      <c r="E130" s="3" t="inlineStr">
        <is>
          <t>Fail</t>
        </is>
      </c>
      <c r="F130" s="9" t="inlineStr">
        <is>
          <t>YES</t>
        </is>
      </c>
      <c r="G130" s="3" t="inlineStr">
        <is>
          <t>Evap Inlet Ret Bend A</t>
        </is>
      </c>
      <c r="H130" s="3" t="n">
        <v>71.2</v>
      </c>
      <c r="I130" s="3" t="n">
        <v>5.01</v>
      </c>
    </row>
    <row r="131">
      <c r="A131" s="4" t="inlineStr">
        <is>
          <t>04A2926120428</t>
        </is>
      </c>
      <c r="B131" s="4" t="inlineStr">
        <is>
          <t>LT</t>
        </is>
      </c>
      <c r="C131" s="4" t="inlineStr">
        <is>
          <t>CRS0000675</t>
        </is>
      </c>
      <c r="D131" s="10" t="n">
        <v>46059</v>
      </c>
      <c r="E131" s="4" t="inlineStr">
        <is>
          <t>Fail</t>
        </is>
      </c>
      <c r="F131" s="9" t="inlineStr">
        <is>
          <t>YES</t>
        </is>
      </c>
      <c r="G131" s="4" t="inlineStr">
        <is>
          <t>Inlet/Outlet Delta</t>
        </is>
      </c>
      <c r="H131" s="4" t="n">
        <v>8.800000000000001</v>
      </c>
      <c r="I131" s="4" t="n">
        <v>4.99</v>
      </c>
    </row>
    <row r="132">
      <c r="A132" s="3" t="inlineStr">
        <is>
          <t>04C1126120904</t>
        </is>
      </c>
      <c r="B132" s="3" t="inlineStr">
        <is>
          <t>MT</t>
        </is>
      </c>
      <c r="C132" s="3" t="inlineStr">
        <is>
          <t>CRS0000674</t>
        </is>
      </c>
      <c r="D132" s="8" t="n">
        <v>46092</v>
      </c>
      <c r="E132" s="3" t="inlineStr">
        <is>
          <t>Fail</t>
        </is>
      </c>
      <c r="F132" s="9" t="inlineStr">
        <is>
          <t>YES</t>
        </is>
      </c>
      <c r="G132" s="3" t="inlineStr">
        <is>
          <t>Suction Tube Temp</t>
        </is>
      </c>
      <c r="H132" s="3" t="n">
        <v>137.4</v>
      </c>
      <c r="I132" s="3" t="n">
        <v>4.98</v>
      </c>
    </row>
    <row r="133">
      <c r="A133" s="4" t="inlineStr">
        <is>
          <t>04C2426121075</t>
        </is>
      </c>
      <c r="B133" s="4" t="inlineStr">
        <is>
          <t>LT</t>
        </is>
      </c>
      <c r="C133" s="4" t="inlineStr">
        <is>
          <t>CRS0000675</t>
        </is>
      </c>
      <c r="D133" s="10" t="n">
        <v>46136</v>
      </c>
      <c r="E133" s="4" t="inlineStr">
        <is>
          <t>Fail</t>
        </is>
      </c>
      <c r="F133" s="9" t="inlineStr">
        <is>
          <t>YES</t>
        </is>
      </c>
      <c r="G133" s="4" t="inlineStr">
        <is>
          <t>Suction Tube Temp</t>
        </is>
      </c>
      <c r="H133" s="4" t="n">
        <v>181.2</v>
      </c>
      <c r="I133" s="4" t="n">
        <v>4.97</v>
      </c>
    </row>
    <row r="134">
      <c r="A134" s="3" t="inlineStr">
        <is>
          <t>04D1626121409</t>
        </is>
      </c>
      <c r="B134" s="3" t="inlineStr">
        <is>
          <t>MT</t>
        </is>
      </c>
      <c r="C134" s="3" t="inlineStr">
        <is>
          <t>CRS0000674</t>
        </is>
      </c>
      <c r="D134" s="8" t="n">
        <v>46128</v>
      </c>
      <c r="E134" s="3" t="inlineStr">
        <is>
          <t>Fail</t>
        </is>
      </c>
      <c r="F134" s="9" t="inlineStr">
        <is>
          <t>YES</t>
        </is>
      </c>
      <c r="G134" s="3" t="inlineStr">
        <is>
          <t>Evap Inlet Ret Bend A</t>
        </is>
      </c>
      <c r="H134" s="3" t="n">
        <v>66.7</v>
      </c>
      <c r="I134" s="3" t="n">
        <v>4.97</v>
      </c>
    </row>
    <row r="135">
      <c r="A135" s="4" t="inlineStr">
        <is>
          <t>04A2926120429</t>
        </is>
      </c>
      <c r="B135" s="4" t="inlineStr">
        <is>
          <t>LT</t>
        </is>
      </c>
      <c r="C135" s="4" t="inlineStr">
        <is>
          <t>CRS0000675</t>
        </is>
      </c>
      <c r="D135" s="10" t="n">
        <v>46064</v>
      </c>
      <c r="E135" s="4" t="inlineStr">
        <is>
          <t>Fail</t>
        </is>
      </c>
      <c r="F135" s="9" t="inlineStr">
        <is>
          <t>YES</t>
        </is>
      </c>
      <c r="G135" s="4" t="inlineStr">
        <is>
          <t>Evap Inlet Ret Bend A</t>
        </is>
      </c>
      <c r="H135" s="4" t="n">
        <v>121.3</v>
      </c>
      <c r="I135" s="4" t="n">
        <v>4.94</v>
      </c>
    </row>
    <row r="136">
      <c r="A136" s="3" t="inlineStr">
        <is>
          <t>04D1426121385</t>
        </is>
      </c>
      <c r="B136" s="3" t="inlineStr">
        <is>
          <t>MT</t>
        </is>
      </c>
      <c r="C136" s="3" t="inlineStr">
        <is>
          <t>CRS0000674</t>
        </is>
      </c>
      <c r="D136" s="8" t="n">
        <v>46127</v>
      </c>
      <c r="E136" s="3" t="inlineStr">
        <is>
          <t>Fail</t>
        </is>
      </c>
      <c r="F136" s="9" t="inlineStr">
        <is>
          <t>YES</t>
        </is>
      </c>
      <c r="G136" s="3" t="inlineStr">
        <is>
          <t>Startup Current</t>
        </is>
      </c>
      <c r="H136" s="3" t="n">
        <v>3.08</v>
      </c>
      <c r="I136" s="3" t="n">
        <v>4.92</v>
      </c>
    </row>
    <row r="137">
      <c r="A137" s="4" t="inlineStr">
        <is>
          <t>04A2926120428</t>
        </is>
      </c>
      <c r="B137" s="4" t="inlineStr">
        <is>
          <t>LT</t>
        </is>
      </c>
      <c r="C137" s="4" t="inlineStr">
        <is>
          <t>CRS0000675</t>
        </is>
      </c>
      <c r="D137" s="10" t="n">
        <v>46059</v>
      </c>
      <c r="E137" s="4" t="inlineStr">
        <is>
          <t>Fail</t>
        </is>
      </c>
      <c r="F137" s="9" t="inlineStr">
        <is>
          <t>YES</t>
        </is>
      </c>
      <c r="G137" s="4" t="inlineStr">
        <is>
          <t>Suction Tube Temp</t>
        </is>
      </c>
      <c r="H137" s="4" t="n">
        <v>124.9</v>
      </c>
      <c r="I137" s="4" t="n">
        <v>4.86</v>
      </c>
    </row>
    <row r="138">
      <c r="A138" s="3" t="inlineStr">
        <is>
          <t>04B2726120709</t>
        </is>
      </c>
      <c r="B138" s="3" t="inlineStr">
        <is>
          <t>MT</t>
        </is>
      </c>
      <c r="C138" s="3" t="inlineStr">
        <is>
          <t>CRS0000674</t>
        </is>
      </c>
      <c r="D138" s="8" t="n">
        <v>46081</v>
      </c>
      <c r="E138" s="3" t="inlineStr">
        <is>
          <t>Fail</t>
        </is>
      </c>
      <c r="F138" s="9" t="inlineStr">
        <is>
          <t>YES</t>
        </is>
      </c>
      <c r="G138" s="3" t="inlineStr">
        <is>
          <t>Evap Inlet Ret Bend A</t>
        </is>
      </c>
      <c r="H138" s="3" t="n">
        <v>67.09999999999999</v>
      </c>
      <c r="I138" s="3" t="n">
        <v>4.83</v>
      </c>
    </row>
    <row r="139">
      <c r="A139" s="4" t="inlineStr">
        <is>
          <t>04C2326121067</t>
        </is>
      </c>
      <c r="B139" s="4" t="inlineStr">
        <is>
          <t>MT</t>
        </is>
      </c>
      <c r="C139" s="4" t="inlineStr">
        <is>
          <t>CRS0000674</t>
        </is>
      </c>
      <c r="D139" s="10" t="n">
        <v>46105</v>
      </c>
      <c r="E139" s="4" t="inlineStr">
        <is>
          <t>Fail</t>
        </is>
      </c>
      <c r="F139" s="9" t="inlineStr">
        <is>
          <t>YES</t>
        </is>
      </c>
      <c r="G139" s="4" t="inlineStr">
        <is>
          <t>Suction Tube Temp</t>
        </is>
      </c>
      <c r="H139" s="4" t="n">
        <v>88.7</v>
      </c>
      <c r="I139" s="4" t="n">
        <v>4.79</v>
      </c>
    </row>
    <row r="140">
      <c r="A140" s="3" t="inlineStr">
        <is>
          <t>04D0826121284</t>
        </is>
      </c>
      <c r="B140" s="3" t="inlineStr">
        <is>
          <t>LT</t>
        </is>
      </c>
      <c r="C140" s="3" t="inlineStr">
        <is>
          <t>CRS0000675</t>
        </is>
      </c>
      <c r="D140" s="8" t="n">
        <v>46136</v>
      </c>
      <c r="E140" s="3" t="inlineStr">
        <is>
          <t>Fail</t>
        </is>
      </c>
      <c r="F140" s="9" t="inlineStr">
        <is>
          <t>YES</t>
        </is>
      </c>
      <c r="G140" s="3" t="inlineStr">
        <is>
          <t>Suction Tube Temp</t>
        </is>
      </c>
      <c r="H140" s="3" t="n">
        <v>125.4</v>
      </c>
      <c r="I140" s="3" t="n">
        <v>4.77</v>
      </c>
    </row>
    <row r="141">
      <c r="A141" s="4" t="inlineStr">
        <is>
          <t>04C1126120917</t>
        </is>
      </c>
      <c r="B141" s="4" t="inlineStr">
        <is>
          <t>LT</t>
        </is>
      </c>
      <c r="C141" s="4" t="inlineStr">
        <is>
          <t>CRS0000675</t>
        </is>
      </c>
      <c r="D141" s="10" t="n">
        <v>46093</v>
      </c>
      <c r="E141" s="4" t="inlineStr">
        <is>
          <t>Fail</t>
        </is>
      </c>
      <c r="F141" s="9" t="inlineStr">
        <is>
          <t>YES</t>
        </is>
      </c>
      <c r="G141" s="4" t="inlineStr">
        <is>
          <t>Final Current</t>
        </is>
      </c>
      <c r="H141" s="4" t="n">
        <v>6.05</v>
      </c>
      <c r="I141" s="4" t="n">
        <v>4.67</v>
      </c>
    </row>
    <row r="142">
      <c r="A142" s="3" t="inlineStr">
        <is>
          <t>04C2526121093</t>
        </is>
      </c>
      <c r="B142" s="3" t="inlineStr">
        <is>
          <t>LT</t>
        </is>
      </c>
      <c r="C142" s="3" t="inlineStr">
        <is>
          <t>CRS0000675</t>
        </is>
      </c>
      <c r="D142" s="8" t="n">
        <v>46126</v>
      </c>
      <c r="E142" s="3" t="inlineStr">
        <is>
          <t>Fail</t>
        </is>
      </c>
      <c r="F142" s="9" t="inlineStr">
        <is>
          <t>YES</t>
        </is>
      </c>
      <c r="G142" s="3" t="inlineStr">
        <is>
          <t>Evap Inlet Ret Bend A</t>
        </is>
      </c>
      <c r="H142" s="3" t="n">
        <v>73</v>
      </c>
      <c r="I142" s="3" t="n">
        <v>4.65</v>
      </c>
    </row>
    <row r="143">
      <c r="A143" s="4" t="inlineStr">
        <is>
          <t>04A2926120428</t>
        </is>
      </c>
      <c r="B143" s="4" t="inlineStr">
        <is>
          <t>LT</t>
        </is>
      </c>
      <c r="C143" s="4" t="inlineStr">
        <is>
          <t>CRS0000675</t>
        </is>
      </c>
      <c r="D143" s="10" t="n">
        <v>46056</v>
      </c>
      <c r="E143" s="4" t="inlineStr">
        <is>
          <t>Fail</t>
        </is>
      </c>
      <c r="F143" s="9" t="inlineStr">
        <is>
          <t>YES</t>
        </is>
      </c>
      <c r="G143" s="4" t="inlineStr">
        <is>
          <t>Inlet/Outlet Delta</t>
        </is>
      </c>
      <c r="H143" s="4" t="n">
        <v>8.300000000000001</v>
      </c>
      <c r="I143" s="4" t="n">
        <v>4.63</v>
      </c>
    </row>
    <row r="144">
      <c r="A144" s="3" t="inlineStr">
        <is>
          <t>04C2426121082</t>
        </is>
      </c>
      <c r="B144" s="3" t="inlineStr">
        <is>
          <t>LT</t>
        </is>
      </c>
      <c r="C144" s="3" t="inlineStr">
        <is>
          <t>CRS0000675</t>
        </is>
      </c>
      <c r="D144" s="8" t="n">
        <v>46106</v>
      </c>
      <c r="E144" s="3" t="inlineStr">
        <is>
          <t>Fail</t>
        </is>
      </c>
      <c r="F144" s="9" t="inlineStr">
        <is>
          <t>YES</t>
        </is>
      </c>
      <c r="G144" s="3" t="inlineStr">
        <is>
          <t>Startup Current</t>
        </is>
      </c>
      <c r="H144" s="3" t="n">
        <v>5.47</v>
      </c>
      <c r="I144" s="3" t="n">
        <v>4.62</v>
      </c>
    </row>
    <row r="145">
      <c r="A145" s="4" t="inlineStr">
        <is>
          <t>04A2926120429</t>
        </is>
      </c>
      <c r="B145" s="4" t="inlineStr">
        <is>
          <t>LT</t>
        </is>
      </c>
      <c r="C145" s="4" t="inlineStr">
        <is>
          <t>CRS0000675</t>
        </is>
      </c>
      <c r="D145" s="10" t="n">
        <v>46066</v>
      </c>
      <c r="E145" s="4" t="inlineStr">
        <is>
          <t>Pass</t>
        </is>
      </c>
      <c r="F145" s="4" t="inlineStr">
        <is>
          <t>no</t>
        </is>
      </c>
      <c r="G145" s="4" t="inlineStr">
        <is>
          <t>Suction Tube Temp</t>
        </is>
      </c>
      <c r="H145" s="4" t="n">
        <v>126.3</v>
      </c>
      <c r="I145" s="4" t="n">
        <v>4.61</v>
      </c>
    </row>
    <row r="146">
      <c r="A146" s="3" t="inlineStr">
        <is>
          <t>04C2426121082</t>
        </is>
      </c>
      <c r="B146" s="3" t="inlineStr">
        <is>
          <t>LT</t>
        </is>
      </c>
      <c r="C146" s="3" t="inlineStr">
        <is>
          <t>CRS0000675</t>
        </is>
      </c>
      <c r="D146" s="8" t="n">
        <v>46130</v>
      </c>
      <c r="E146" s="3" t="inlineStr">
        <is>
          <t>Fail</t>
        </is>
      </c>
      <c r="F146" s="9" t="inlineStr">
        <is>
          <t>YES</t>
        </is>
      </c>
      <c r="G146" s="3" t="inlineStr">
        <is>
          <t>Suction Tube Temp</t>
        </is>
      </c>
      <c r="H146" s="3" t="n">
        <v>126.3</v>
      </c>
      <c r="I146" s="3" t="n">
        <v>4.61</v>
      </c>
    </row>
    <row r="147">
      <c r="A147" s="4" t="inlineStr">
        <is>
          <t>04A2026120315</t>
        </is>
      </c>
      <c r="B147" s="4" t="inlineStr">
        <is>
          <t>MT</t>
        </is>
      </c>
      <c r="C147" s="4" t="inlineStr">
        <is>
          <t>CRS0000674</t>
        </is>
      </c>
      <c r="D147" s="10" t="n">
        <v>46062</v>
      </c>
      <c r="E147" s="4" t="inlineStr">
        <is>
          <t>Fail</t>
        </is>
      </c>
      <c r="F147" s="9" t="inlineStr">
        <is>
          <t>YES</t>
        </is>
      </c>
      <c r="G147" s="4" t="inlineStr">
        <is>
          <t>Inlet/Outlet Delta</t>
        </is>
      </c>
      <c r="H147" s="4" t="n">
        <v>7.9</v>
      </c>
      <c r="I147" s="4" t="n">
        <v>4.6</v>
      </c>
    </row>
    <row r="148">
      <c r="A148" s="3" t="inlineStr">
        <is>
          <t>04C1326120945</t>
        </is>
      </c>
      <c r="B148" s="3" t="inlineStr">
        <is>
          <t>MT</t>
        </is>
      </c>
      <c r="C148" s="3" t="inlineStr">
        <is>
          <t>CRS0000674</t>
        </is>
      </c>
      <c r="D148" s="8" t="n">
        <v>46095</v>
      </c>
      <c r="E148" s="3" t="inlineStr">
        <is>
          <t>Fail</t>
        </is>
      </c>
      <c r="F148" s="9" t="inlineStr">
        <is>
          <t>YES</t>
        </is>
      </c>
      <c r="G148" s="3" t="inlineStr">
        <is>
          <t>Final Current</t>
        </is>
      </c>
      <c r="H148" s="3" t="n">
        <v>4.57</v>
      </c>
      <c r="I148" s="3" t="n">
        <v>4.6</v>
      </c>
    </row>
    <row r="149">
      <c r="A149" s="4" t="inlineStr">
        <is>
          <t>04A2926120428</t>
        </is>
      </c>
      <c r="B149" s="4" t="inlineStr">
        <is>
          <t>LT</t>
        </is>
      </c>
      <c r="C149" s="4" t="inlineStr">
        <is>
          <t>CRS0000675</t>
        </is>
      </c>
      <c r="D149" s="10" t="n">
        <v>46059</v>
      </c>
      <c r="E149" s="4" t="inlineStr">
        <is>
          <t>Fail</t>
        </is>
      </c>
      <c r="F149" s="9" t="inlineStr">
        <is>
          <t>YES</t>
        </is>
      </c>
      <c r="G149" s="4" t="inlineStr">
        <is>
          <t>Evap Outlet Air Temp</t>
        </is>
      </c>
      <c r="H149" s="4" t="n">
        <v>59.2</v>
      </c>
      <c r="I149" s="4" t="n">
        <v>4.59</v>
      </c>
    </row>
    <row r="150">
      <c r="A150" s="3" t="inlineStr">
        <is>
          <t>04A2926120428</t>
        </is>
      </c>
      <c r="B150" s="3" t="inlineStr">
        <is>
          <t>LT</t>
        </is>
      </c>
      <c r="C150" s="3" t="inlineStr">
        <is>
          <t>CRS0000675</t>
        </is>
      </c>
      <c r="D150" s="8" t="n">
        <v>46059</v>
      </c>
      <c r="E150" s="3" t="inlineStr">
        <is>
          <t>Fail</t>
        </is>
      </c>
      <c r="F150" s="9" t="inlineStr">
        <is>
          <t>YES</t>
        </is>
      </c>
      <c r="G150" s="3" t="inlineStr">
        <is>
          <t>Evap Outlet Air Temp</t>
        </is>
      </c>
      <c r="H150" s="3" t="n">
        <v>59.2</v>
      </c>
      <c r="I150" s="3" t="n">
        <v>4.59</v>
      </c>
    </row>
    <row r="151">
      <c r="A151" s="4" t="inlineStr">
        <is>
          <t>04C1126120917</t>
        </is>
      </c>
      <c r="B151" s="4" t="inlineStr">
        <is>
          <t>LT</t>
        </is>
      </c>
      <c r="C151" s="4" t="inlineStr">
        <is>
          <t>CRS0000675</t>
        </is>
      </c>
      <c r="D151" s="10" t="n">
        <v>46093</v>
      </c>
      <c r="E151" s="4" t="inlineStr">
        <is>
          <t>Fail</t>
        </is>
      </c>
      <c r="F151" s="9" t="inlineStr">
        <is>
          <t>YES</t>
        </is>
      </c>
      <c r="G151" s="4" t="inlineStr">
        <is>
          <t>Final Current</t>
        </is>
      </c>
      <c r="H151" s="4" t="n">
        <v>6.08</v>
      </c>
      <c r="I151" s="4" t="n">
        <v>4.59</v>
      </c>
    </row>
    <row r="152">
      <c r="A152" s="3" t="inlineStr">
        <is>
          <t>04C2426121075</t>
        </is>
      </c>
      <c r="B152" s="3" t="inlineStr">
        <is>
          <t>LT</t>
        </is>
      </c>
      <c r="C152" s="3" t="inlineStr">
        <is>
          <t>CRS0000675</t>
        </is>
      </c>
      <c r="D152" s="8" t="n">
        <v>46134</v>
      </c>
      <c r="E152" s="3" t="inlineStr">
        <is>
          <t>Fail</t>
        </is>
      </c>
      <c r="F152" s="9" t="inlineStr">
        <is>
          <t>YES</t>
        </is>
      </c>
      <c r="G152" s="3" t="inlineStr">
        <is>
          <t>Suction Tube Temp</t>
        </is>
      </c>
      <c r="H152" s="3" t="n">
        <v>179</v>
      </c>
      <c r="I152" s="3" t="n">
        <v>4.58</v>
      </c>
    </row>
    <row r="153">
      <c r="A153" s="4" t="inlineStr">
        <is>
          <t>04A2926120428</t>
        </is>
      </c>
      <c r="B153" s="4" t="inlineStr">
        <is>
          <t>LT</t>
        </is>
      </c>
      <c r="C153" s="4" t="inlineStr">
        <is>
          <t>CRS0000675</t>
        </is>
      </c>
      <c r="D153" s="10" t="n">
        <v>46060</v>
      </c>
      <c r="E153" s="4" t="inlineStr">
        <is>
          <t>Fail</t>
        </is>
      </c>
      <c r="F153" s="9" t="inlineStr">
        <is>
          <t>YES</t>
        </is>
      </c>
      <c r="G153" s="4" t="inlineStr">
        <is>
          <t>Suction Tube Temp</t>
        </is>
      </c>
      <c r="H153" s="4" t="n">
        <v>126.7</v>
      </c>
      <c r="I153" s="4" t="n">
        <v>4.55</v>
      </c>
    </row>
    <row r="154">
      <c r="A154" s="3" t="inlineStr">
        <is>
          <t>04D1726121461</t>
        </is>
      </c>
      <c r="B154" s="3" t="inlineStr">
        <is>
          <t>LT</t>
        </is>
      </c>
      <c r="C154" s="3" t="inlineStr">
        <is>
          <t>CRS0000675</t>
        </is>
      </c>
      <c r="D154" s="8" t="n">
        <v>46130</v>
      </c>
      <c r="E154" s="3" t="inlineStr">
        <is>
          <t>Fail</t>
        </is>
      </c>
      <c r="F154" s="9" t="inlineStr">
        <is>
          <t>YES</t>
        </is>
      </c>
      <c r="G154" s="3" t="inlineStr">
        <is>
          <t>Suction Tube Temp</t>
        </is>
      </c>
      <c r="H154" s="3" t="n">
        <v>126.7</v>
      </c>
      <c r="I154" s="3" t="n">
        <v>4.55</v>
      </c>
    </row>
    <row r="155">
      <c r="A155" s="4" t="inlineStr">
        <is>
          <t>04B2726120710</t>
        </is>
      </c>
      <c r="B155" s="4" t="inlineStr">
        <is>
          <t>MT</t>
        </is>
      </c>
      <c r="C155" s="4" t="inlineStr">
        <is>
          <t>CRS0000674</t>
        </is>
      </c>
      <c r="D155" s="10" t="n">
        <v>46081</v>
      </c>
      <c r="E155" s="4" t="inlineStr">
        <is>
          <t>Pass</t>
        </is>
      </c>
      <c r="F155" s="4" t="inlineStr">
        <is>
          <t>no</t>
        </is>
      </c>
      <c r="G155" s="4" t="inlineStr">
        <is>
          <t>Inlet/Outlet Delta</t>
        </is>
      </c>
      <c r="H155" s="4" t="n">
        <v>7.8</v>
      </c>
      <c r="I155" s="4" t="n">
        <v>4.53</v>
      </c>
    </row>
    <row r="156">
      <c r="A156" s="3" t="inlineStr">
        <is>
          <t>04D1626121415</t>
        </is>
      </c>
      <c r="B156" s="3" t="inlineStr">
        <is>
          <t>MT</t>
        </is>
      </c>
      <c r="C156" s="3" t="inlineStr">
        <is>
          <t>CRS0000674</t>
        </is>
      </c>
      <c r="D156" s="8" t="n">
        <v>46133</v>
      </c>
      <c r="E156" s="3" t="inlineStr">
        <is>
          <t>Fail</t>
        </is>
      </c>
      <c r="F156" s="9" t="inlineStr">
        <is>
          <t>YES</t>
        </is>
      </c>
      <c r="G156" s="3" t="inlineStr">
        <is>
          <t>Suction Tube Temp</t>
        </is>
      </c>
      <c r="H156" s="3" t="n">
        <v>90.09999999999999</v>
      </c>
      <c r="I156" s="3" t="n">
        <v>4.51</v>
      </c>
    </row>
    <row r="157">
      <c r="A157" s="4" t="inlineStr">
        <is>
          <t>04C2426121075</t>
        </is>
      </c>
      <c r="B157" s="4" t="inlineStr">
        <is>
          <t>LT</t>
        </is>
      </c>
      <c r="C157" s="4" t="inlineStr">
        <is>
          <t>CRS0000675</t>
        </is>
      </c>
      <c r="D157" s="10" t="n">
        <v>46136</v>
      </c>
      <c r="E157" s="4" t="inlineStr">
        <is>
          <t>Fail</t>
        </is>
      </c>
      <c r="F157" s="9" t="inlineStr">
        <is>
          <t>YES</t>
        </is>
      </c>
      <c r="G157" s="4" t="inlineStr">
        <is>
          <t>Suction Tube Temp</t>
        </is>
      </c>
      <c r="H157" s="4" t="n">
        <v>178.5</v>
      </c>
      <c r="I157" s="4" t="n">
        <v>4.5</v>
      </c>
    </row>
    <row r="158">
      <c r="A158" s="3" t="inlineStr">
        <is>
          <t>04M2225120168</t>
        </is>
      </c>
      <c r="B158" s="3" t="inlineStr">
        <is>
          <t>LT</t>
        </is>
      </c>
      <c r="C158" s="3" t="inlineStr">
        <is>
          <t>CRS0000675</t>
        </is>
      </c>
      <c r="D158" s="8" t="n">
        <v>46038</v>
      </c>
      <c r="E158" s="3" t="inlineStr">
        <is>
          <t>Fail</t>
        </is>
      </c>
      <c r="F158" s="9" t="inlineStr">
        <is>
          <t>YES</t>
        </is>
      </c>
      <c r="G158" s="3" t="inlineStr">
        <is>
          <t>Inlet/Outlet Delta</t>
        </is>
      </c>
      <c r="H158" s="3" t="n">
        <v>8.1</v>
      </c>
      <c r="I158" s="3" t="n">
        <v>4.49</v>
      </c>
    </row>
    <row r="159">
      <c r="A159" s="4" t="inlineStr">
        <is>
          <t>04B0326120505</t>
        </is>
      </c>
      <c r="B159" s="4" t="inlineStr">
        <is>
          <t>LT</t>
        </is>
      </c>
      <c r="C159" s="4" t="inlineStr">
        <is>
          <t>CRS0000675</t>
        </is>
      </c>
      <c r="D159" s="10" t="n">
        <v>46056</v>
      </c>
      <c r="E159" s="4" t="inlineStr">
        <is>
          <t>Fail</t>
        </is>
      </c>
      <c r="F159" s="9" t="inlineStr">
        <is>
          <t>YES</t>
        </is>
      </c>
      <c r="G159" s="4" t="inlineStr">
        <is>
          <t>Inlet/Outlet Delta</t>
        </is>
      </c>
      <c r="H159" s="4" t="n">
        <v>8.1</v>
      </c>
      <c r="I159" s="4" t="n">
        <v>4.49</v>
      </c>
    </row>
    <row r="160">
      <c r="A160" s="3" t="inlineStr">
        <is>
          <t>04B2826120724</t>
        </is>
      </c>
      <c r="B160" s="3" t="inlineStr">
        <is>
          <t>LT</t>
        </is>
      </c>
      <c r="C160" s="3" t="inlineStr">
        <is>
          <t>CRS0000675</t>
        </is>
      </c>
      <c r="D160" s="8" t="n">
        <v>46082</v>
      </c>
      <c r="E160" s="3" t="inlineStr">
        <is>
          <t>Fail</t>
        </is>
      </c>
      <c r="F160" s="9" t="inlineStr">
        <is>
          <t>YES</t>
        </is>
      </c>
      <c r="G160" s="3" t="inlineStr">
        <is>
          <t>Suction Tube Temp</t>
        </is>
      </c>
      <c r="H160" s="3" t="n">
        <v>127.1</v>
      </c>
      <c r="I160" s="3" t="n">
        <v>4.48</v>
      </c>
    </row>
    <row r="161">
      <c r="A161" s="4" t="inlineStr">
        <is>
          <t>04C2526121094</t>
        </is>
      </c>
      <c r="B161" s="4" t="inlineStr">
        <is>
          <t>LT</t>
        </is>
      </c>
      <c r="C161" s="4" t="inlineStr">
        <is>
          <t>CRS0000675</t>
        </is>
      </c>
      <c r="D161" s="10" t="n">
        <v>46126</v>
      </c>
      <c r="E161" s="4" t="inlineStr">
        <is>
          <t>Fail</t>
        </is>
      </c>
      <c r="F161" s="9" t="inlineStr">
        <is>
          <t>YES</t>
        </is>
      </c>
      <c r="G161" s="4" t="inlineStr">
        <is>
          <t>Evap Inlet Ret Bend A</t>
        </is>
      </c>
      <c r="H161" s="4" t="n">
        <v>73.90000000000001</v>
      </c>
      <c r="I161" s="4" t="n">
        <v>4.47</v>
      </c>
    </row>
    <row r="162">
      <c r="A162" s="3" t="inlineStr">
        <is>
          <t>04C1726120990</t>
        </is>
      </c>
      <c r="B162" s="3" t="inlineStr">
        <is>
          <t>LT</t>
        </is>
      </c>
      <c r="C162" s="3" t="inlineStr">
        <is>
          <t>CRS0000675</t>
        </is>
      </c>
      <c r="D162" s="8" t="n">
        <v>46099</v>
      </c>
      <c r="E162" s="3" t="inlineStr">
        <is>
          <t>Fail</t>
        </is>
      </c>
      <c r="F162" s="9" t="inlineStr">
        <is>
          <t>YES</t>
        </is>
      </c>
      <c r="G162" s="3" t="inlineStr">
        <is>
          <t>Final Current</t>
        </is>
      </c>
      <c r="H162" s="3" t="n">
        <v>6.13</v>
      </c>
      <c r="I162" s="3" t="n">
        <v>4.47</v>
      </c>
    </row>
    <row r="163">
      <c r="A163" s="4" t="inlineStr">
        <is>
          <t>04A2026120315</t>
        </is>
      </c>
      <c r="B163" s="4" t="inlineStr">
        <is>
          <t>MT</t>
        </is>
      </c>
      <c r="C163" s="4" t="inlineStr">
        <is>
          <t>CRS0000674</t>
        </is>
      </c>
      <c r="D163" s="10" t="n">
        <v>46042</v>
      </c>
      <c r="E163" s="4" t="inlineStr">
        <is>
          <t>Fail</t>
        </is>
      </c>
      <c r="F163" s="9" t="inlineStr">
        <is>
          <t>YES</t>
        </is>
      </c>
      <c r="G163" s="4" t="inlineStr">
        <is>
          <t>Inlet/Outlet Delta</t>
        </is>
      </c>
      <c r="H163" s="4" t="n">
        <v>7.7</v>
      </c>
      <c r="I163" s="4" t="n">
        <v>4.46</v>
      </c>
    </row>
    <row r="164">
      <c r="A164" s="3" t="inlineStr">
        <is>
          <t>04D1426121385</t>
        </is>
      </c>
      <c r="B164" s="3" t="inlineStr">
        <is>
          <t>MT</t>
        </is>
      </c>
      <c r="C164" s="3" t="inlineStr">
        <is>
          <t>CRS0000674</t>
        </is>
      </c>
      <c r="D164" s="8" t="n">
        <v>46127</v>
      </c>
      <c r="E164" s="3" t="inlineStr">
        <is>
          <t>Fail</t>
        </is>
      </c>
      <c r="F164" s="9" t="inlineStr">
        <is>
          <t>YES</t>
        </is>
      </c>
      <c r="G164" s="3" t="inlineStr">
        <is>
          <t>Final Current</t>
        </is>
      </c>
      <c r="H164" s="3" t="n">
        <v>3.15</v>
      </c>
      <c r="I164" s="3" t="n">
        <v>4.45</v>
      </c>
    </row>
    <row r="165">
      <c r="A165" s="4" t="inlineStr">
        <is>
          <t>04C2126121044</t>
        </is>
      </c>
      <c r="B165" s="4" t="inlineStr">
        <is>
          <t>MT</t>
        </is>
      </c>
      <c r="C165" s="4" t="inlineStr">
        <is>
          <t>CRS0000674</t>
        </is>
      </c>
      <c r="D165" s="10" t="n">
        <v>46102</v>
      </c>
      <c r="E165" s="4" t="inlineStr">
        <is>
          <t>Fail</t>
        </is>
      </c>
      <c r="F165" s="9" t="inlineStr">
        <is>
          <t>YES</t>
        </is>
      </c>
      <c r="G165" s="4" t="inlineStr">
        <is>
          <t>Suction Tube Temp</t>
        </is>
      </c>
      <c r="H165" s="4" t="n">
        <v>90.5</v>
      </c>
      <c r="I165" s="4" t="n">
        <v>4.42</v>
      </c>
    </row>
    <row r="166">
      <c r="A166" s="3" t="inlineStr">
        <is>
          <t>04M2225120168</t>
        </is>
      </c>
      <c r="B166" s="3" t="inlineStr">
        <is>
          <t>LT</t>
        </is>
      </c>
      <c r="C166" s="3" t="inlineStr">
        <is>
          <t>CRS0000675</t>
        </is>
      </c>
      <c r="D166" s="8" t="n">
        <v>46038</v>
      </c>
      <c r="E166" s="3" t="inlineStr">
        <is>
          <t>Fail</t>
        </is>
      </c>
      <c r="F166" s="9" t="inlineStr">
        <is>
          <t>YES</t>
        </is>
      </c>
      <c r="G166" s="3" t="inlineStr">
        <is>
          <t>Inlet/Outlet Delta</t>
        </is>
      </c>
      <c r="H166" s="3" t="n">
        <v>8</v>
      </c>
      <c r="I166" s="3" t="n">
        <v>4.41</v>
      </c>
    </row>
    <row r="167">
      <c r="A167" s="4" t="inlineStr">
        <is>
          <t>04B2826120715</t>
        </is>
      </c>
      <c r="B167" s="4" t="inlineStr">
        <is>
          <t>LT</t>
        </is>
      </c>
      <c r="C167" s="4" t="inlineStr">
        <is>
          <t>CRS0000675</t>
        </is>
      </c>
      <c r="D167" s="10" t="n">
        <v>46081</v>
      </c>
      <c r="E167" s="4" t="inlineStr">
        <is>
          <t>Fail</t>
        </is>
      </c>
      <c r="F167" s="9" t="inlineStr">
        <is>
          <t>YES</t>
        </is>
      </c>
      <c r="G167" s="4" t="inlineStr">
        <is>
          <t>Suction Tube Temp</t>
        </is>
      </c>
      <c r="H167" s="4" t="n">
        <v>127.6</v>
      </c>
      <c r="I167" s="4" t="n">
        <v>4.39</v>
      </c>
    </row>
    <row r="168">
      <c r="A168" s="3" t="inlineStr">
        <is>
          <t>04C1726120990</t>
        </is>
      </c>
      <c r="B168" s="3" t="inlineStr">
        <is>
          <t>LT</t>
        </is>
      </c>
      <c r="C168" s="3" t="inlineStr">
        <is>
          <t>CRS0000675</t>
        </is>
      </c>
      <c r="D168" s="8" t="n">
        <v>46112</v>
      </c>
      <c r="E168" s="3" t="inlineStr">
        <is>
          <t>Fail</t>
        </is>
      </c>
      <c r="F168" s="9" t="inlineStr">
        <is>
          <t>YES</t>
        </is>
      </c>
      <c r="G168" s="3" t="inlineStr">
        <is>
          <t>Suction Tube Temp</t>
        </is>
      </c>
      <c r="H168" s="3" t="n">
        <v>127.6</v>
      </c>
      <c r="I168" s="3" t="n">
        <v>4.39</v>
      </c>
    </row>
    <row r="169">
      <c r="A169" s="4" t="inlineStr">
        <is>
          <t>04B0326120505</t>
        </is>
      </c>
      <c r="B169" s="4" t="inlineStr">
        <is>
          <t>LT</t>
        </is>
      </c>
      <c r="C169" s="4" t="inlineStr">
        <is>
          <t>CRS0000675</t>
        </is>
      </c>
      <c r="D169" s="10" t="n">
        <v>46056</v>
      </c>
      <c r="E169" s="4" t="inlineStr">
        <is>
          <t>Fail</t>
        </is>
      </c>
      <c r="F169" s="9" t="inlineStr">
        <is>
          <t>YES</t>
        </is>
      </c>
      <c r="G169" s="4" t="inlineStr">
        <is>
          <t>Evap Inlet Ret Bend A</t>
        </is>
      </c>
      <c r="H169" s="4" t="n">
        <v>74.3</v>
      </c>
      <c r="I169" s="4" t="n">
        <v>4.39</v>
      </c>
    </row>
    <row r="170">
      <c r="A170" s="3" t="inlineStr">
        <is>
          <t>04C2426121082</t>
        </is>
      </c>
      <c r="B170" s="3" t="inlineStr">
        <is>
          <t>LT</t>
        </is>
      </c>
      <c r="C170" s="3" t="inlineStr">
        <is>
          <t>CRS0000675</t>
        </is>
      </c>
      <c r="D170" s="8" t="n">
        <v>46106</v>
      </c>
      <c r="E170" s="3" t="inlineStr">
        <is>
          <t>Fail</t>
        </is>
      </c>
      <c r="F170" s="9" t="inlineStr">
        <is>
          <t>YES</t>
        </is>
      </c>
      <c r="G170" s="3" t="inlineStr">
        <is>
          <t>Evap Inlet Ret Bend A</t>
        </is>
      </c>
      <c r="H170" s="3" t="n">
        <v>74.3</v>
      </c>
      <c r="I170" s="3" t="n">
        <v>4.39</v>
      </c>
    </row>
    <row r="171">
      <c r="A171" s="4" t="inlineStr">
        <is>
          <t>04A2026120315</t>
        </is>
      </c>
      <c r="B171" s="4" t="inlineStr">
        <is>
          <t>MT</t>
        </is>
      </c>
      <c r="C171" s="4" t="inlineStr">
        <is>
          <t>CRS0000674</t>
        </is>
      </c>
      <c r="D171" s="10" t="n">
        <v>46042</v>
      </c>
      <c r="E171" s="4" t="inlineStr">
        <is>
          <t>Pass</t>
        </is>
      </c>
      <c r="F171" s="4" t="inlineStr">
        <is>
          <t>no</t>
        </is>
      </c>
      <c r="G171" s="4" t="inlineStr">
        <is>
          <t>Inlet/Outlet Delta</t>
        </is>
      </c>
      <c r="H171" s="4" t="n">
        <v>7.6</v>
      </c>
      <c r="I171" s="4" t="n">
        <v>4.39</v>
      </c>
    </row>
    <row r="172">
      <c r="A172" s="3" t="inlineStr">
        <is>
          <t>04A2026120315</t>
        </is>
      </c>
      <c r="B172" s="3" t="inlineStr">
        <is>
          <t>MT</t>
        </is>
      </c>
      <c r="C172" s="3" t="inlineStr">
        <is>
          <t>CRS0000674</t>
        </is>
      </c>
      <c r="D172" s="8" t="n">
        <v>46060</v>
      </c>
      <c r="E172" s="3" t="inlineStr">
        <is>
          <t>Fail</t>
        </is>
      </c>
      <c r="F172" s="9" t="inlineStr">
        <is>
          <t>YES</t>
        </is>
      </c>
      <c r="G172" s="3" t="inlineStr">
        <is>
          <t>Evap Outlet Air Temp</t>
        </is>
      </c>
      <c r="H172" s="3" t="n">
        <v>61</v>
      </c>
      <c r="I172" s="3" t="n">
        <v>4.36</v>
      </c>
    </row>
    <row r="173">
      <c r="A173" s="4" t="inlineStr">
        <is>
          <t>04C3126121174</t>
        </is>
      </c>
      <c r="B173" s="4" t="inlineStr">
        <is>
          <t>MT</t>
        </is>
      </c>
      <c r="C173" s="4" t="inlineStr">
        <is>
          <t>CRS0000674</t>
        </is>
      </c>
      <c r="D173" s="10" t="n">
        <v>46113</v>
      </c>
      <c r="E173" s="4" t="inlineStr">
        <is>
          <t>Fail</t>
        </is>
      </c>
      <c r="F173" s="9" t="inlineStr">
        <is>
          <t>YES</t>
        </is>
      </c>
      <c r="G173" s="4" t="inlineStr">
        <is>
          <t>Evap Inlet Ret Bend A</t>
        </is>
      </c>
      <c r="H173" s="4" t="n">
        <v>68.5</v>
      </c>
      <c r="I173" s="4" t="n">
        <v>4.33</v>
      </c>
    </row>
    <row r="174">
      <c r="A174" s="3" t="inlineStr">
        <is>
          <t>04A2026120315</t>
        </is>
      </c>
      <c r="B174" s="3" t="inlineStr">
        <is>
          <t>MT</t>
        </is>
      </c>
      <c r="C174" s="3" t="inlineStr">
        <is>
          <t>CRS0000674</t>
        </is>
      </c>
      <c r="D174" s="8" t="n">
        <v>46060</v>
      </c>
      <c r="E174" s="3" t="inlineStr">
        <is>
          <t>Fail</t>
        </is>
      </c>
      <c r="F174" s="9" t="inlineStr">
        <is>
          <t>YES</t>
        </is>
      </c>
      <c r="G174" s="3" t="inlineStr">
        <is>
          <t>Inlet/Outlet Delta</t>
        </is>
      </c>
      <c r="H174" s="3" t="n">
        <v>7.5</v>
      </c>
      <c r="I174" s="3" t="n">
        <v>4.32</v>
      </c>
    </row>
    <row r="175">
      <c r="A175" s="4" t="inlineStr">
        <is>
          <t>04A2026120315</t>
        </is>
      </c>
      <c r="B175" s="4" t="inlineStr">
        <is>
          <t>MT</t>
        </is>
      </c>
      <c r="C175" s="4" t="inlineStr">
        <is>
          <t>CRS0000674</t>
        </is>
      </c>
      <c r="D175" s="10" t="n">
        <v>46062</v>
      </c>
      <c r="E175" s="4" t="inlineStr">
        <is>
          <t>Fail</t>
        </is>
      </c>
      <c r="F175" s="9" t="inlineStr">
        <is>
          <t>YES</t>
        </is>
      </c>
      <c r="G175" s="4" t="inlineStr">
        <is>
          <t>Inlet/Outlet Delta</t>
        </is>
      </c>
      <c r="H175" s="4" t="n">
        <v>7.5</v>
      </c>
      <c r="I175" s="4" t="n">
        <v>4.32</v>
      </c>
    </row>
    <row r="176">
      <c r="A176" s="3" t="inlineStr">
        <is>
          <t>04B2726120709</t>
        </is>
      </c>
      <c r="B176" s="3" t="inlineStr">
        <is>
          <t>MT</t>
        </is>
      </c>
      <c r="C176" s="3" t="inlineStr">
        <is>
          <t>CRS0000674</t>
        </is>
      </c>
      <c r="D176" s="8" t="n">
        <v>46081</v>
      </c>
      <c r="E176" s="3" t="inlineStr">
        <is>
          <t>Fail</t>
        </is>
      </c>
      <c r="F176" s="9" t="inlineStr">
        <is>
          <t>YES</t>
        </is>
      </c>
      <c r="G176" s="3" t="inlineStr">
        <is>
          <t>Inlet/Outlet Delta</t>
        </is>
      </c>
      <c r="H176" s="3" t="n">
        <v>7.5</v>
      </c>
      <c r="I176" s="3" t="n">
        <v>4.32</v>
      </c>
    </row>
    <row r="177">
      <c r="A177" s="4" t="inlineStr">
        <is>
          <t>04B2826120712</t>
        </is>
      </c>
      <c r="B177" s="4" t="inlineStr">
        <is>
          <t>MT</t>
        </is>
      </c>
      <c r="C177" s="4" t="inlineStr">
        <is>
          <t>CRS0000674</t>
        </is>
      </c>
      <c r="D177" s="10" t="n">
        <v>46081</v>
      </c>
      <c r="E177" s="4" t="inlineStr">
        <is>
          <t>Pass</t>
        </is>
      </c>
      <c r="F177" s="4" t="inlineStr">
        <is>
          <t>no</t>
        </is>
      </c>
      <c r="G177" s="4" t="inlineStr">
        <is>
          <t>Inlet/Outlet Delta</t>
        </is>
      </c>
      <c r="H177" s="4" t="n">
        <v>7.5</v>
      </c>
      <c r="I177" s="4" t="n">
        <v>4.32</v>
      </c>
    </row>
    <row r="178">
      <c r="A178" s="3" t="inlineStr">
        <is>
          <t>04C1326120945</t>
        </is>
      </c>
      <c r="B178" s="3" t="inlineStr">
        <is>
          <t>MT</t>
        </is>
      </c>
      <c r="C178" s="3" t="inlineStr">
        <is>
          <t>CRS0000674</t>
        </is>
      </c>
      <c r="D178" s="8" t="n">
        <v>46095</v>
      </c>
      <c r="E178" s="3" t="inlineStr">
        <is>
          <t>Fail</t>
        </is>
      </c>
      <c r="F178" s="9" t="inlineStr">
        <is>
          <t>YES</t>
        </is>
      </c>
      <c r="G178" s="3" t="inlineStr">
        <is>
          <t>Startup Current</t>
        </is>
      </c>
      <c r="H178" s="3" t="n">
        <v>4.47</v>
      </c>
      <c r="I178" s="3" t="n">
        <v>4.31</v>
      </c>
    </row>
    <row r="179">
      <c r="A179" s="4" t="inlineStr">
        <is>
          <t>04D1126121338</t>
        </is>
      </c>
      <c r="B179" s="4" t="inlineStr">
        <is>
          <t>LT</t>
        </is>
      </c>
      <c r="C179" s="4" t="inlineStr">
        <is>
          <t>CRS0000675</t>
        </is>
      </c>
      <c r="D179" s="10" t="n">
        <v>46135</v>
      </c>
      <c r="E179" s="4" t="inlineStr">
        <is>
          <t>Fail</t>
        </is>
      </c>
      <c r="F179" s="9" t="inlineStr">
        <is>
          <t>YES</t>
        </is>
      </c>
      <c r="G179" s="4" t="inlineStr">
        <is>
          <t>Evap Inlet Ret Bend A</t>
        </is>
      </c>
      <c r="H179" s="4" t="n">
        <v>74.8</v>
      </c>
      <c r="I179" s="4" t="n">
        <v>4.29</v>
      </c>
    </row>
    <row r="180">
      <c r="A180" s="3" t="inlineStr">
        <is>
          <t>04C2526121093</t>
        </is>
      </c>
      <c r="B180" s="3" t="inlineStr">
        <is>
          <t>LT</t>
        </is>
      </c>
      <c r="C180" s="3" t="inlineStr">
        <is>
          <t>CRS0000675</t>
        </is>
      </c>
      <c r="D180" s="8" t="n">
        <v>46132</v>
      </c>
      <c r="E180" s="3" t="inlineStr">
        <is>
          <t>Pass</t>
        </is>
      </c>
      <c r="F180" s="3" t="inlineStr">
        <is>
          <t>no</t>
        </is>
      </c>
      <c r="G180" s="3" t="inlineStr">
        <is>
          <t>Final Current</t>
        </is>
      </c>
      <c r="H180" s="3" t="n">
        <v>6.2</v>
      </c>
      <c r="I180" s="3" t="n">
        <v>4.29</v>
      </c>
    </row>
    <row r="181">
      <c r="A181" s="4" t="inlineStr">
        <is>
          <t>04C2026121034</t>
        </is>
      </c>
      <c r="B181" s="4" t="inlineStr">
        <is>
          <t>MT</t>
        </is>
      </c>
      <c r="C181" s="4" t="inlineStr">
        <is>
          <t>CRS0000674</t>
        </is>
      </c>
      <c r="D181" s="10" t="n">
        <v>46101</v>
      </c>
      <c r="E181" s="4" t="inlineStr">
        <is>
          <t>Fail</t>
        </is>
      </c>
      <c r="F181" s="9" t="inlineStr">
        <is>
          <t>YES</t>
        </is>
      </c>
      <c r="G181" s="4" t="inlineStr">
        <is>
          <t>Evap Outlet Air Temp</t>
        </is>
      </c>
      <c r="H181" s="4" t="n">
        <v>77.5</v>
      </c>
      <c r="I181" s="4" t="n">
        <v>4.26</v>
      </c>
    </row>
    <row r="182">
      <c r="A182" s="3" t="inlineStr">
        <is>
          <t>04B2526120684</t>
        </is>
      </c>
      <c r="B182" s="3" t="inlineStr">
        <is>
          <t>MT</t>
        </is>
      </c>
      <c r="C182" s="3" t="inlineStr">
        <is>
          <t>CRS0000674</t>
        </is>
      </c>
      <c r="D182" s="8" t="n">
        <v>46079</v>
      </c>
      <c r="E182" s="3" t="inlineStr">
        <is>
          <t>Pass</t>
        </is>
      </c>
      <c r="F182" s="3" t="inlineStr">
        <is>
          <t>no</t>
        </is>
      </c>
      <c r="G182" s="3" t="inlineStr">
        <is>
          <t>Inlet/Outlet Delta</t>
        </is>
      </c>
      <c r="H182" s="3" t="n">
        <v>7.4</v>
      </c>
      <c r="I182" s="3" t="n">
        <v>4.25</v>
      </c>
    </row>
    <row r="183">
      <c r="A183" s="4" t="inlineStr">
        <is>
          <t>04D0826121280</t>
        </is>
      </c>
      <c r="B183" s="4" t="inlineStr">
        <is>
          <t>MT</t>
        </is>
      </c>
      <c r="C183" s="4" t="inlineStr">
        <is>
          <t>CRS0000674</t>
        </is>
      </c>
      <c r="D183" s="10" t="n">
        <v>46120</v>
      </c>
      <c r="E183" s="4" t="inlineStr">
        <is>
          <t>Fail</t>
        </is>
      </c>
      <c r="F183" s="9" t="inlineStr">
        <is>
          <t>YES</t>
        </is>
      </c>
      <c r="G183" s="4" t="inlineStr">
        <is>
          <t>Suction Tube Temp</t>
        </is>
      </c>
      <c r="H183" s="4" t="n">
        <v>91.40000000000001</v>
      </c>
      <c r="I183" s="4" t="n">
        <v>4.24</v>
      </c>
    </row>
    <row r="184">
      <c r="A184" s="3" t="inlineStr">
        <is>
          <t>04C2426121082</t>
        </is>
      </c>
      <c r="B184" s="3" t="inlineStr">
        <is>
          <t>LT</t>
        </is>
      </c>
      <c r="C184" s="3" t="inlineStr">
        <is>
          <t>CRS0000675</t>
        </is>
      </c>
      <c r="D184" s="8" t="n">
        <v>46130</v>
      </c>
      <c r="E184" s="3" t="inlineStr">
        <is>
          <t>Fail</t>
        </is>
      </c>
      <c r="F184" s="9" t="inlineStr">
        <is>
          <t>YES</t>
        </is>
      </c>
      <c r="G184" s="3" t="inlineStr">
        <is>
          <t>Suction Tube Temp</t>
        </is>
      </c>
      <c r="H184" s="3" t="n">
        <v>128.5</v>
      </c>
      <c r="I184" s="3" t="n">
        <v>4.23</v>
      </c>
    </row>
    <row r="185">
      <c r="A185" s="4" t="inlineStr">
        <is>
          <t>04A2926120429</t>
        </is>
      </c>
      <c r="B185" s="4" t="inlineStr">
        <is>
          <t>LT</t>
        </is>
      </c>
      <c r="C185" s="4" t="inlineStr">
        <is>
          <t>CRS0000675</t>
        </is>
      </c>
      <c r="D185" s="10" t="n">
        <v>46064</v>
      </c>
      <c r="E185" s="4" t="inlineStr">
        <is>
          <t>Fail</t>
        </is>
      </c>
      <c r="F185" s="9" t="inlineStr">
        <is>
          <t>YES</t>
        </is>
      </c>
      <c r="G185" s="4" t="inlineStr">
        <is>
          <t>Inlet/Outlet Delta</t>
        </is>
      </c>
      <c r="H185" s="4" t="n">
        <v>7.7</v>
      </c>
      <c r="I185" s="4" t="n">
        <v>4.2</v>
      </c>
    </row>
    <row r="186">
      <c r="A186" s="3" t="inlineStr">
        <is>
          <t>04C3126121174</t>
        </is>
      </c>
      <c r="B186" s="3" t="inlineStr">
        <is>
          <t>MT</t>
        </is>
      </c>
      <c r="C186" s="3" t="inlineStr">
        <is>
          <t>CRS0000674</t>
        </is>
      </c>
      <c r="D186" s="8" t="n">
        <v>46113</v>
      </c>
      <c r="E186" s="3" t="inlineStr">
        <is>
          <t>Fail</t>
        </is>
      </c>
      <c r="F186" s="9" t="inlineStr">
        <is>
          <t>YES</t>
        </is>
      </c>
      <c r="G186" s="3" t="inlineStr">
        <is>
          <t>Evap Inlet Ret Bend A</t>
        </is>
      </c>
      <c r="H186" s="3" t="n">
        <v>68.90000000000001</v>
      </c>
      <c r="I186" s="3" t="n">
        <v>4.19</v>
      </c>
    </row>
    <row r="187">
      <c r="A187" s="4" t="inlineStr">
        <is>
          <t>04D1126121336</t>
        </is>
      </c>
      <c r="B187" s="4" t="inlineStr">
        <is>
          <t>MT</t>
        </is>
      </c>
      <c r="C187" s="4" t="inlineStr">
        <is>
          <t>CRS0000674</t>
        </is>
      </c>
      <c r="D187" s="10" t="n">
        <v>46123</v>
      </c>
      <c r="E187" s="4" t="inlineStr">
        <is>
          <t>Fail</t>
        </is>
      </c>
      <c r="F187" s="9" t="inlineStr">
        <is>
          <t>YES</t>
        </is>
      </c>
      <c r="G187" s="4" t="inlineStr">
        <is>
          <t>Evap Inlet Ret Bend A</t>
        </is>
      </c>
      <c r="H187" s="4" t="n">
        <v>68.90000000000001</v>
      </c>
      <c r="I187" s="4" t="n">
        <v>4.19</v>
      </c>
    </row>
    <row r="188">
      <c r="A188" s="3" t="inlineStr">
        <is>
          <t>04A2026120315</t>
        </is>
      </c>
      <c r="B188" s="3" t="inlineStr">
        <is>
          <t>MT</t>
        </is>
      </c>
      <c r="C188" s="3" t="inlineStr">
        <is>
          <t>CRS0000674</t>
        </is>
      </c>
      <c r="D188" s="8" t="n">
        <v>46060</v>
      </c>
      <c r="E188" s="3" t="inlineStr">
        <is>
          <t>Fail</t>
        </is>
      </c>
      <c r="F188" s="9" t="inlineStr">
        <is>
          <t>YES</t>
        </is>
      </c>
      <c r="G188" s="3" t="inlineStr">
        <is>
          <t>Inlet/Outlet Delta</t>
        </is>
      </c>
      <c r="H188" s="3" t="n">
        <v>7.3</v>
      </c>
      <c r="I188" s="3" t="n">
        <v>4.17</v>
      </c>
    </row>
    <row r="189">
      <c r="A189" s="4" t="inlineStr">
        <is>
          <t>04B2726120711</t>
        </is>
      </c>
      <c r="B189" s="4" t="inlineStr">
        <is>
          <t>MT</t>
        </is>
      </c>
      <c r="C189" s="4" t="inlineStr">
        <is>
          <t>CRS0000674</t>
        </is>
      </c>
      <c r="D189" s="10" t="n">
        <v>46081</v>
      </c>
      <c r="E189" s="4" t="inlineStr">
        <is>
          <t>Pass</t>
        </is>
      </c>
      <c r="F189" s="4" t="inlineStr">
        <is>
          <t>no</t>
        </is>
      </c>
      <c r="G189" s="4" t="inlineStr">
        <is>
          <t>Inlet/Outlet Delta</t>
        </is>
      </c>
      <c r="H189" s="4" t="n">
        <v>7.3</v>
      </c>
      <c r="I189" s="4" t="n">
        <v>4.17</v>
      </c>
    </row>
    <row r="190">
      <c r="A190" s="3" t="inlineStr">
        <is>
          <t>04C2426121075</t>
        </is>
      </c>
      <c r="B190" s="3" t="inlineStr">
        <is>
          <t>LT</t>
        </is>
      </c>
      <c r="C190" s="3" t="inlineStr">
        <is>
          <t>CRS0000675</t>
        </is>
      </c>
      <c r="D190" s="8" t="n">
        <v>46134</v>
      </c>
      <c r="E190" s="3" t="inlineStr">
        <is>
          <t>Fail</t>
        </is>
      </c>
      <c r="F190" s="9" t="inlineStr">
        <is>
          <t>YES</t>
        </is>
      </c>
      <c r="G190" s="3" t="inlineStr">
        <is>
          <t>Suction Tube Temp</t>
        </is>
      </c>
      <c r="H190" s="3" t="n">
        <v>128.9</v>
      </c>
      <c r="I190" s="3" t="n">
        <v>4.16</v>
      </c>
    </row>
    <row r="191">
      <c r="A191" s="4" t="inlineStr">
        <is>
          <t>04D1826121466</t>
        </is>
      </c>
      <c r="B191" s="4" t="inlineStr">
        <is>
          <t>LT</t>
        </is>
      </c>
      <c r="C191" s="4" t="inlineStr">
        <is>
          <t>CRS0000675</t>
        </is>
      </c>
      <c r="D191" s="10" t="n">
        <v>46130</v>
      </c>
      <c r="E191" s="4" t="inlineStr">
        <is>
          <t>Fail</t>
        </is>
      </c>
      <c r="F191" s="9" t="inlineStr">
        <is>
          <t>YES</t>
        </is>
      </c>
      <c r="G191" s="4" t="inlineStr">
        <is>
          <t>Suction Tube Temp</t>
        </is>
      </c>
      <c r="H191" s="4" t="n">
        <v>176.3</v>
      </c>
      <c r="I191" s="4" t="n">
        <v>4.11</v>
      </c>
    </row>
    <row r="192">
      <c r="A192" s="3" t="inlineStr">
        <is>
          <t>04C1226120921</t>
        </is>
      </c>
      <c r="B192" s="3" t="inlineStr">
        <is>
          <t>LT</t>
        </is>
      </c>
      <c r="C192" s="3" t="inlineStr">
        <is>
          <t>CRS0000675</t>
        </is>
      </c>
      <c r="D192" s="8" t="n">
        <v>46093</v>
      </c>
      <c r="E192" s="3" t="inlineStr">
        <is>
          <t>Fail</t>
        </is>
      </c>
      <c r="F192" s="9" t="inlineStr">
        <is>
          <t>YES</t>
        </is>
      </c>
      <c r="G192" s="3" t="inlineStr">
        <is>
          <t>Evap Inlet Ret Bend A</t>
        </is>
      </c>
      <c r="H192" s="3" t="n">
        <v>75.7</v>
      </c>
      <c r="I192" s="3" t="n">
        <v>4.11</v>
      </c>
    </row>
    <row r="193">
      <c r="A193" s="4" t="inlineStr">
        <is>
          <t>04A2026120315</t>
        </is>
      </c>
      <c r="B193" s="4" t="inlineStr">
        <is>
          <t>MT</t>
        </is>
      </c>
      <c r="C193" s="4" t="inlineStr">
        <is>
          <t>CRS0000674</t>
        </is>
      </c>
      <c r="D193" s="10" t="n">
        <v>46060</v>
      </c>
      <c r="E193" s="4" t="inlineStr">
        <is>
          <t>Fail</t>
        </is>
      </c>
      <c r="F193" s="9" t="inlineStr">
        <is>
          <t>YES</t>
        </is>
      </c>
      <c r="G193" s="4" t="inlineStr">
        <is>
          <t>Evap Outlet Air Temp</t>
        </is>
      </c>
      <c r="H193" s="4" t="n">
        <v>61.5</v>
      </c>
      <c r="I193" s="4" t="n">
        <v>4.1</v>
      </c>
    </row>
    <row r="194">
      <c r="A194" s="3" t="inlineStr">
        <is>
          <t>04A2926120428</t>
        </is>
      </c>
      <c r="B194" s="3" t="inlineStr">
        <is>
          <t>LT</t>
        </is>
      </c>
      <c r="C194" s="3" t="inlineStr">
        <is>
          <t>CRS0000675</t>
        </is>
      </c>
      <c r="D194" s="8" t="n">
        <v>46060</v>
      </c>
      <c r="E194" s="3" t="inlineStr">
        <is>
          <t>Fail</t>
        </is>
      </c>
      <c r="F194" s="9" t="inlineStr">
        <is>
          <t>YES</t>
        </is>
      </c>
      <c r="G194" s="3" t="inlineStr">
        <is>
          <t>Inlet/Outlet Delta</t>
        </is>
      </c>
      <c r="H194" s="3" t="n">
        <v>7.5</v>
      </c>
      <c r="I194" s="3" t="n">
        <v>4.06</v>
      </c>
    </row>
    <row r="195">
      <c r="A195" s="4" t="inlineStr">
        <is>
          <t>04A2926120428</t>
        </is>
      </c>
      <c r="B195" s="4" t="inlineStr">
        <is>
          <t>LT</t>
        </is>
      </c>
      <c r="C195" s="4" t="inlineStr">
        <is>
          <t>CRS0000675</t>
        </is>
      </c>
      <c r="D195" s="10" t="n">
        <v>46060</v>
      </c>
      <c r="E195" s="4" t="inlineStr">
        <is>
          <t>Fail</t>
        </is>
      </c>
      <c r="F195" s="9" t="inlineStr">
        <is>
          <t>YES</t>
        </is>
      </c>
      <c r="G195" s="4" t="inlineStr">
        <is>
          <t>Inlet/Outlet Delta</t>
        </is>
      </c>
      <c r="H195" s="4" t="n">
        <v>7.5</v>
      </c>
      <c r="I195" s="4" t="n">
        <v>4.06</v>
      </c>
    </row>
    <row r="196">
      <c r="A196" s="3" t="inlineStr">
        <is>
          <t>04C2026121034</t>
        </is>
      </c>
      <c r="B196" s="3" t="inlineStr">
        <is>
          <t>MT</t>
        </is>
      </c>
      <c r="C196" s="3" t="inlineStr">
        <is>
          <t>CRS0000674</t>
        </is>
      </c>
      <c r="D196" s="8" t="n">
        <v>46101</v>
      </c>
      <c r="E196" s="3" t="inlineStr">
        <is>
          <t>Pass</t>
        </is>
      </c>
      <c r="F196" s="3" t="inlineStr">
        <is>
          <t>no</t>
        </is>
      </c>
      <c r="G196" s="3" t="inlineStr">
        <is>
          <t>Evap Outlet Air Temp</t>
        </is>
      </c>
      <c r="H196" s="3" t="n">
        <v>77.09999999999999</v>
      </c>
      <c r="I196" s="3" t="n">
        <v>4.05</v>
      </c>
    </row>
    <row r="197">
      <c r="A197" s="4" t="inlineStr">
        <is>
          <t>04D1326121358</t>
        </is>
      </c>
      <c r="B197" s="4" t="inlineStr">
        <is>
          <t>MT</t>
        </is>
      </c>
      <c r="C197" s="4" t="inlineStr">
        <is>
          <t>CRS0000674</t>
        </is>
      </c>
      <c r="D197" s="10" t="n">
        <v>46125</v>
      </c>
      <c r="E197" s="4" t="inlineStr">
        <is>
          <t>Fail</t>
        </is>
      </c>
      <c r="F197" s="9" t="inlineStr">
        <is>
          <t>YES</t>
        </is>
      </c>
      <c r="G197" s="4" t="inlineStr">
        <is>
          <t>Evap Inlet Ret Bend A</t>
        </is>
      </c>
      <c r="H197" s="4" t="n">
        <v>69.40000000000001</v>
      </c>
      <c r="I197" s="4" t="n">
        <v>4.01</v>
      </c>
    </row>
    <row r="198">
      <c r="A198" s="3" t="inlineStr">
        <is>
          <t>04D1426121381</t>
        </is>
      </c>
      <c r="B198" s="3" t="inlineStr">
        <is>
          <t>MT</t>
        </is>
      </c>
      <c r="C198" s="3" t="inlineStr">
        <is>
          <t>CRS0000674</t>
        </is>
      </c>
      <c r="D198" s="8" t="n">
        <v>46127</v>
      </c>
      <c r="E198" s="3" t="inlineStr">
        <is>
          <t>Fail</t>
        </is>
      </c>
      <c r="F198" s="9" t="inlineStr">
        <is>
          <t>YES</t>
        </is>
      </c>
      <c r="G198" s="3" t="inlineStr">
        <is>
          <t>Evap Inlet Ret Bend A</t>
        </is>
      </c>
      <c r="H198" s="3" t="n">
        <v>69.40000000000001</v>
      </c>
      <c r="I198" s="3" t="n">
        <v>4.01</v>
      </c>
    </row>
    <row r="199">
      <c r="A199" s="4" t="inlineStr">
        <is>
          <t>04C1026120898</t>
        </is>
      </c>
      <c r="B199" s="4" t="inlineStr">
        <is>
          <t>LT</t>
        </is>
      </c>
      <c r="C199" s="4" t="inlineStr">
        <is>
          <t>CRS0000675</t>
        </is>
      </c>
      <c r="D199" s="10" t="n">
        <v>46092</v>
      </c>
      <c r="E199" s="4" t="inlineStr">
        <is>
          <t>Fail</t>
        </is>
      </c>
      <c r="F199" s="9" t="inlineStr">
        <is>
          <t>YES</t>
        </is>
      </c>
      <c r="G199" s="4" t="inlineStr">
        <is>
          <t>Suction Tube Temp</t>
        </is>
      </c>
      <c r="H199" s="4" t="n">
        <v>129.8</v>
      </c>
      <c r="I199" s="4" t="n">
        <v>4</v>
      </c>
    </row>
    <row r="200">
      <c r="A200" s="3" t="inlineStr">
        <is>
          <t>04A2926120429</t>
        </is>
      </c>
      <c r="B200" s="3" t="inlineStr">
        <is>
          <t>LT</t>
        </is>
      </c>
      <c r="C200" s="3" t="inlineStr">
        <is>
          <t>CRS0000675</t>
        </is>
      </c>
      <c r="D200" s="8" t="n">
        <v>46064</v>
      </c>
      <c r="E200" s="3" t="inlineStr">
        <is>
          <t>Fail</t>
        </is>
      </c>
      <c r="F200" s="9" t="inlineStr">
        <is>
          <t>YES</t>
        </is>
      </c>
      <c r="G200" s="3" t="inlineStr">
        <is>
          <t>Inlet/Outlet Delta</t>
        </is>
      </c>
      <c r="H200" s="3" t="n">
        <v>7.4</v>
      </c>
      <c r="I200" s="3" t="n">
        <v>3.98</v>
      </c>
    </row>
    <row r="201">
      <c r="A201" s="4" t="inlineStr">
        <is>
          <t>04D1426121378</t>
        </is>
      </c>
      <c r="B201" s="4" t="inlineStr">
        <is>
          <t>MT</t>
        </is>
      </c>
      <c r="C201" s="4" t="inlineStr">
        <is>
          <t>CRS0000674</t>
        </is>
      </c>
      <c r="D201" s="10" t="n">
        <v>46134</v>
      </c>
      <c r="E201" s="4" t="inlineStr">
        <is>
          <t>Fail</t>
        </is>
      </c>
      <c r="F201" s="9" t="inlineStr">
        <is>
          <t>YES</t>
        </is>
      </c>
      <c r="G201" s="4" t="inlineStr">
        <is>
          <t>Suction Tube Temp</t>
        </is>
      </c>
      <c r="H201" s="4" t="n">
        <v>92.8</v>
      </c>
      <c r="I201" s="4" t="n">
        <v>3.96</v>
      </c>
    </row>
    <row r="202">
      <c r="A202" s="3" t="inlineStr">
        <is>
          <t>04B1226120597</t>
        </is>
      </c>
      <c r="B202" s="3" t="inlineStr">
        <is>
          <t>LT</t>
        </is>
      </c>
      <c r="C202" s="3" t="inlineStr">
        <is>
          <t>CRS0000675</t>
        </is>
      </c>
      <c r="D202" s="8" t="n">
        <v>46066</v>
      </c>
      <c r="E202" s="3" t="inlineStr">
        <is>
          <t>Fail</t>
        </is>
      </c>
      <c r="F202" s="9" t="inlineStr">
        <is>
          <t>YES</t>
        </is>
      </c>
      <c r="G202" s="3" t="inlineStr">
        <is>
          <t>Suction Tube Temp</t>
        </is>
      </c>
      <c r="H202" s="3" t="n">
        <v>175.4</v>
      </c>
      <c r="I202" s="3" t="n">
        <v>3.95</v>
      </c>
    </row>
    <row r="203">
      <c r="A203" s="4" t="inlineStr">
        <is>
          <t>04C1126120918</t>
        </is>
      </c>
      <c r="B203" s="4" t="inlineStr">
        <is>
          <t>LT</t>
        </is>
      </c>
      <c r="C203" s="4" t="inlineStr">
        <is>
          <t>CRS0000675</t>
        </is>
      </c>
      <c r="D203" s="10" t="n">
        <v>46093</v>
      </c>
      <c r="E203" s="4" t="inlineStr">
        <is>
          <t>Fail</t>
        </is>
      </c>
      <c r="F203" s="9" t="inlineStr">
        <is>
          <t>YES</t>
        </is>
      </c>
      <c r="G203" s="4" t="inlineStr">
        <is>
          <t>Evap Inlet Ret Bend A</t>
        </is>
      </c>
      <c r="H203" s="4" t="n">
        <v>76.59999999999999</v>
      </c>
      <c r="I203" s="4" t="n">
        <v>3.94</v>
      </c>
    </row>
    <row r="204">
      <c r="A204" s="3" t="inlineStr">
        <is>
          <t>04C0426120788</t>
        </is>
      </c>
      <c r="B204" s="3" t="inlineStr">
        <is>
          <t>LT</t>
        </is>
      </c>
      <c r="C204" s="3" t="inlineStr">
        <is>
          <t>CRS0000675</t>
        </is>
      </c>
      <c r="D204" s="8" t="n">
        <v>46085</v>
      </c>
      <c r="E204" s="3" t="inlineStr">
        <is>
          <t>Pass</t>
        </is>
      </c>
      <c r="F204" s="3" t="inlineStr">
        <is>
          <t>no</t>
        </is>
      </c>
      <c r="G204" s="3" t="inlineStr">
        <is>
          <t>Startup Current</t>
        </is>
      </c>
      <c r="H204" s="3" t="n">
        <v>10.21</v>
      </c>
      <c r="I204" s="3" t="n">
        <v>3.9</v>
      </c>
    </row>
    <row r="205">
      <c r="A205" s="4" t="inlineStr">
        <is>
          <t>04A2026120315</t>
        </is>
      </c>
      <c r="B205" s="4" t="inlineStr">
        <is>
          <t>MT</t>
        </is>
      </c>
      <c r="C205" s="4" t="inlineStr">
        <is>
          <t>CRS0000674</t>
        </is>
      </c>
      <c r="D205" s="10" t="n">
        <v>46044</v>
      </c>
      <c r="E205" s="4" t="inlineStr">
        <is>
          <t>Fail</t>
        </is>
      </c>
      <c r="F205" s="9" t="inlineStr">
        <is>
          <t>YES</t>
        </is>
      </c>
      <c r="G205" s="4" t="inlineStr">
        <is>
          <t>Inlet/Outlet Delta</t>
        </is>
      </c>
      <c r="H205" s="4" t="n">
        <v>6.9</v>
      </c>
      <c r="I205" s="4" t="n">
        <v>3.89</v>
      </c>
    </row>
    <row r="206">
      <c r="A206" s="3" t="inlineStr">
        <is>
          <t>04C3026121148</t>
        </is>
      </c>
      <c r="B206" s="3" t="inlineStr">
        <is>
          <t>MT</t>
        </is>
      </c>
      <c r="C206" s="3" t="inlineStr">
        <is>
          <t>CRS0000674</t>
        </is>
      </c>
      <c r="D206" s="8" t="n">
        <v>46112</v>
      </c>
      <c r="E206" s="3" t="inlineStr">
        <is>
          <t>Fail</t>
        </is>
      </c>
      <c r="F206" s="9" t="inlineStr">
        <is>
          <t>YES</t>
        </is>
      </c>
      <c r="G206" s="3" t="inlineStr">
        <is>
          <t>Suction Tube Temp</t>
        </is>
      </c>
      <c r="H206" s="3" t="n">
        <v>93.2</v>
      </c>
      <c r="I206" s="3" t="n">
        <v>3.88</v>
      </c>
    </row>
    <row r="207">
      <c r="A207" s="4" t="inlineStr">
        <is>
          <t>04C2426121075</t>
        </is>
      </c>
      <c r="B207" s="4" t="inlineStr">
        <is>
          <t>LT</t>
        </is>
      </c>
      <c r="C207" s="4" t="inlineStr">
        <is>
          <t>CRS0000675</t>
        </is>
      </c>
      <c r="D207" s="10" t="n">
        <v>46136</v>
      </c>
      <c r="E207" s="4" t="inlineStr">
        <is>
          <t>Fail</t>
        </is>
      </c>
      <c r="F207" s="9" t="inlineStr">
        <is>
          <t>YES</t>
        </is>
      </c>
      <c r="G207" s="4" t="inlineStr">
        <is>
          <t>Suction Tube Temp</t>
        </is>
      </c>
      <c r="H207" s="4" t="n">
        <v>174.9</v>
      </c>
      <c r="I207" s="4" t="n">
        <v>3.87</v>
      </c>
    </row>
    <row r="208">
      <c r="A208" s="3" t="inlineStr">
        <is>
          <t>04C3126121160</t>
        </is>
      </c>
      <c r="B208" s="3" t="inlineStr">
        <is>
          <t>MT</t>
        </is>
      </c>
      <c r="C208" s="3" t="inlineStr">
        <is>
          <t>CRS0000674</t>
        </is>
      </c>
      <c r="D208" s="8" t="n">
        <v>46112</v>
      </c>
      <c r="E208" s="3" t="inlineStr">
        <is>
          <t>Fail</t>
        </is>
      </c>
      <c r="F208" s="9" t="inlineStr">
        <is>
          <t>YES</t>
        </is>
      </c>
      <c r="G208" s="3" t="inlineStr">
        <is>
          <t>Evap Inlet Ret Bend A</t>
        </is>
      </c>
      <c r="H208" s="3" t="n">
        <v>69.8</v>
      </c>
      <c r="I208" s="3" t="n">
        <v>3.87</v>
      </c>
    </row>
    <row r="209">
      <c r="A209" s="4" t="inlineStr">
        <is>
          <t>04C2426121082</t>
        </is>
      </c>
      <c r="B209" s="4" t="inlineStr">
        <is>
          <t>LT</t>
        </is>
      </c>
      <c r="C209" s="4" t="inlineStr">
        <is>
          <t>CRS0000675</t>
        </is>
      </c>
      <c r="D209" s="10" t="n">
        <v>46130</v>
      </c>
      <c r="E209" s="4" t="inlineStr">
        <is>
          <t>Fail</t>
        </is>
      </c>
      <c r="F209" s="9" t="inlineStr">
        <is>
          <t>YES</t>
        </is>
      </c>
      <c r="G209" s="4" t="inlineStr">
        <is>
          <t>Evap Inlet Ret Bend A</t>
        </is>
      </c>
      <c r="H209" s="4" t="n">
        <v>77</v>
      </c>
      <c r="I209" s="4" t="n">
        <v>3.86</v>
      </c>
    </row>
    <row r="210">
      <c r="A210" s="3" t="inlineStr">
        <is>
          <t>04D1126121338</t>
        </is>
      </c>
      <c r="B210" s="3" t="inlineStr">
        <is>
          <t>LT</t>
        </is>
      </c>
      <c r="C210" s="3" t="inlineStr">
        <is>
          <t>CRS0000675</t>
        </is>
      </c>
      <c r="D210" s="8" t="n">
        <v>46135</v>
      </c>
      <c r="E210" s="3" t="inlineStr">
        <is>
          <t>Fail</t>
        </is>
      </c>
      <c r="F210" s="9" t="inlineStr">
        <is>
          <t>YES</t>
        </is>
      </c>
      <c r="G210" s="3" t="inlineStr">
        <is>
          <t>Suction Tube Temp</t>
        </is>
      </c>
      <c r="H210" s="3" t="n">
        <v>130.7</v>
      </c>
      <c r="I210" s="3" t="n">
        <v>3.85</v>
      </c>
    </row>
    <row r="211">
      <c r="A211" s="4" t="inlineStr">
        <is>
          <t>04C3126121174</t>
        </is>
      </c>
      <c r="B211" s="4" t="inlineStr">
        <is>
          <t>MT</t>
        </is>
      </c>
      <c r="C211" s="4" t="inlineStr">
        <is>
          <t>CRS0000674</t>
        </is>
      </c>
      <c r="D211" s="10" t="n">
        <v>46113</v>
      </c>
      <c r="E211" s="4" t="inlineStr">
        <is>
          <t>Fail</t>
        </is>
      </c>
      <c r="F211" s="9" t="inlineStr">
        <is>
          <t>YES</t>
        </is>
      </c>
      <c r="G211" s="4" t="inlineStr">
        <is>
          <t>Final Current</t>
        </is>
      </c>
      <c r="H211" s="4" t="n">
        <v>3.25</v>
      </c>
      <c r="I211" s="4" t="n">
        <v>3.82</v>
      </c>
    </row>
    <row r="212">
      <c r="A212" s="3" t="inlineStr">
        <is>
          <t>04D1826121466</t>
        </is>
      </c>
      <c r="B212" s="3" t="inlineStr">
        <is>
          <t>LT</t>
        </is>
      </c>
      <c r="C212" s="3" t="inlineStr">
        <is>
          <t>CRS0000675</t>
        </is>
      </c>
      <c r="D212" s="8" t="n">
        <v>46130</v>
      </c>
      <c r="E212" s="3" t="inlineStr">
        <is>
          <t>Fail</t>
        </is>
      </c>
      <c r="F212" s="9" t="inlineStr">
        <is>
          <t>YES</t>
        </is>
      </c>
      <c r="G212" s="3" t="inlineStr">
        <is>
          <t>Suction Tube Temp</t>
        </is>
      </c>
      <c r="H212" s="3" t="n">
        <v>174.5</v>
      </c>
      <c r="I212" s="3" t="n">
        <v>3.8</v>
      </c>
    </row>
    <row r="213">
      <c r="A213" s="4" t="inlineStr">
        <is>
          <t>04D1326121365</t>
        </is>
      </c>
      <c r="B213" s="4" t="inlineStr">
        <is>
          <t>MT</t>
        </is>
      </c>
      <c r="C213" s="4" t="inlineStr">
        <is>
          <t>CRS0000674</t>
        </is>
      </c>
      <c r="D213" s="10" t="n">
        <v>46134</v>
      </c>
      <c r="E213" s="4" t="inlineStr">
        <is>
          <t>Fail</t>
        </is>
      </c>
      <c r="F213" s="9" t="inlineStr">
        <is>
          <t>YES</t>
        </is>
      </c>
      <c r="G213" s="4" t="inlineStr">
        <is>
          <t>Suction Tube Temp</t>
        </is>
      </c>
      <c r="H213" s="4" t="n">
        <v>93.59999999999999</v>
      </c>
      <c r="I213" s="4" t="n">
        <v>3.8</v>
      </c>
    </row>
    <row r="214">
      <c r="A214" s="3" t="inlineStr">
        <is>
          <t>04B0326120505</t>
        </is>
      </c>
      <c r="B214" s="3" t="inlineStr">
        <is>
          <t>LT</t>
        </is>
      </c>
      <c r="C214" s="3" t="inlineStr">
        <is>
          <t>CRS0000675</t>
        </is>
      </c>
      <c r="D214" s="8" t="n">
        <v>46056</v>
      </c>
      <c r="E214" s="3" t="inlineStr">
        <is>
          <t>Fail</t>
        </is>
      </c>
      <c r="F214" s="9" t="inlineStr">
        <is>
          <t>YES</t>
        </is>
      </c>
      <c r="G214" s="3" t="inlineStr">
        <is>
          <t>Evap Outlet Air Temp</t>
        </is>
      </c>
      <c r="H214" s="3" t="n">
        <v>61</v>
      </c>
      <c r="I214" s="3" t="n">
        <v>3.78</v>
      </c>
    </row>
    <row r="215">
      <c r="A215" s="4" t="inlineStr">
        <is>
          <t>04A2926120428</t>
        </is>
      </c>
      <c r="B215" s="4" t="inlineStr">
        <is>
          <t>LT</t>
        </is>
      </c>
      <c r="C215" s="4" t="inlineStr">
        <is>
          <t>CRS0000675</t>
        </is>
      </c>
      <c r="D215" s="10" t="n">
        <v>46056</v>
      </c>
      <c r="E215" s="4" t="inlineStr">
        <is>
          <t>Fail</t>
        </is>
      </c>
      <c r="F215" s="9" t="inlineStr">
        <is>
          <t>YES</t>
        </is>
      </c>
      <c r="G215" s="4" t="inlineStr">
        <is>
          <t>Evap Outlet Air Temp</t>
        </is>
      </c>
      <c r="H215" s="4" t="n">
        <v>61</v>
      </c>
      <c r="I215" s="4" t="n">
        <v>3.78</v>
      </c>
    </row>
    <row r="216">
      <c r="A216" s="3" t="inlineStr">
        <is>
          <t>04A2926120428</t>
        </is>
      </c>
      <c r="B216" s="3" t="inlineStr">
        <is>
          <t>LT</t>
        </is>
      </c>
      <c r="C216" s="3" t="inlineStr">
        <is>
          <t>CRS0000675</t>
        </is>
      </c>
      <c r="D216" s="8" t="n">
        <v>46060</v>
      </c>
      <c r="E216" s="3" t="inlineStr">
        <is>
          <t>Fail</t>
        </is>
      </c>
      <c r="F216" s="9" t="inlineStr">
        <is>
          <t>YES</t>
        </is>
      </c>
      <c r="G216" s="3" t="inlineStr">
        <is>
          <t>Evap Outlet Air Temp</t>
        </is>
      </c>
      <c r="H216" s="3" t="n">
        <v>61</v>
      </c>
      <c r="I216" s="3" t="n">
        <v>3.78</v>
      </c>
    </row>
    <row r="217">
      <c r="A217" s="4" t="inlineStr">
        <is>
          <t>04A2926120428</t>
        </is>
      </c>
      <c r="B217" s="4" t="inlineStr">
        <is>
          <t>LT</t>
        </is>
      </c>
      <c r="C217" s="4" t="inlineStr">
        <is>
          <t>CRS0000675</t>
        </is>
      </c>
      <c r="D217" s="10" t="n">
        <v>46060</v>
      </c>
      <c r="E217" s="4" t="inlineStr">
        <is>
          <t>Fail</t>
        </is>
      </c>
      <c r="F217" s="9" t="inlineStr">
        <is>
          <t>YES</t>
        </is>
      </c>
      <c r="G217" s="4" t="inlineStr">
        <is>
          <t>Evap Outlet Air Temp</t>
        </is>
      </c>
      <c r="H217" s="4" t="n">
        <v>61</v>
      </c>
      <c r="I217" s="4" t="n">
        <v>3.78</v>
      </c>
    </row>
    <row r="218">
      <c r="A218" s="3" t="inlineStr">
        <is>
          <t>04A2926120429</t>
        </is>
      </c>
      <c r="B218" s="3" t="inlineStr">
        <is>
          <t>LT</t>
        </is>
      </c>
      <c r="C218" s="3" t="inlineStr">
        <is>
          <t>CRS0000675</t>
        </is>
      </c>
      <c r="D218" s="8" t="n">
        <v>46064</v>
      </c>
      <c r="E218" s="3" t="inlineStr">
        <is>
          <t>Fail</t>
        </is>
      </c>
      <c r="F218" s="9" t="inlineStr">
        <is>
          <t>YES</t>
        </is>
      </c>
      <c r="G218" s="3" t="inlineStr">
        <is>
          <t>Evap Inlet Ret Bend A</t>
        </is>
      </c>
      <c r="H218" s="3" t="n">
        <v>115.4</v>
      </c>
      <c r="I218" s="3" t="n">
        <v>3.77</v>
      </c>
    </row>
    <row r="219">
      <c r="A219" s="4" t="inlineStr">
        <is>
          <t>04A2926120428</t>
        </is>
      </c>
      <c r="B219" s="4" t="inlineStr">
        <is>
          <t>LT</t>
        </is>
      </c>
      <c r="C219" s="4" t="inlineStr">
        <is>
          <t>CRS0000675</t>
        </is>
      </c>
      <c r="D219" s="10" t="n">
        <v>46056</v>
      </c>
      <c r="E219" s="4" t="inlineStr">
        <is>
          <t>Fail</t>
        </is>
      </c>
      <c r="F219" s="9" t="inlineStr">
        <is>
          <t>YES</t>
        </is>
      </c>
      <c r="G219" s="4" t="inlineStr">
        <is>
          <t>Evap Inlet Ret Bend A</t>
        </is>
      </c>
      <c r="H219" s="4" t="n">
        <v>77.5</v>
      </c>
      <c r="I219" s="4" t="n">
        <v>3.76</v>
      </c>
    </row>
    <row r="220">
      <c r="A220" s="3" t="inlineStr">
        <is>
          <t>04C1126120917</t>
        </is>
      </c>
      <c r="B220" s="3" t="inlineStr">
        <is>
          <t>LT</t>
        </is>
      </c>
      <c r="C220" s="3" t="inlineStr">
        <is>
          <t>CRS0000675</t>
        </is>
      </c>
      <c r="D220" s="8" t="n">
        <v>46093</v>
      </c>
      <c r="E220" s="3" t="inlineStr">
        <is>
          <t>Fail</t>
        </is>
      </c>
      <c r="F220" s="9" t="inlineStr">
        <is>
          <t>YES</t>
        </is>
      </c>
      <c r="G220" s="3" t="inlineStr">
        <is>
          <t>Evap Inlet Ret Bend A</t>
        </is>
      </c>
      <c r="H220" s="3" t="n">
        <v>77.5</v>
      </c>
      <c r="I220" s="3" t="n">
        <v>3.76</v>
      </c>
    </row>
    <row r="221">
      <c r="A221" s="4" t="inlineStr">
        <is>
          <t>04C2326121068</t>
        </is>
      </c>
      <c r="B221" s="4" t="inlineStr">
        <is>
          <t>MT</t>
        </is>
      </c>
      <c r="C221" s="4" t="inlineStr">
        <is>
          <t>CRS0000674</t>
        </is>
      </c>
      <c r="D221" s="10" t="n">
        <v>46105</v>
      </c>
      <c r="E221" s="4" t="inlineStr">
        <is>
          <t>Fail</t>
        </is>
      </c>
      <c r="F221" s="9" t="inlineStr">
        <is>
          <t>YES</t>
        </is>
      </c>
      <c r="G221" s="4" t="inlineStr">
        <is>
          <t>Ambient Temp</t>
        </is>
      </c>
      <c r="H221" s="4" t="n">
        <v>77.90000000000001</v>
      </c>
      <c r="I221" s="4" t="n">
        <v>3.74</v>
      </c>
    </row>
    <row r="222">
      <c r="A222" s="3" t="inlineStr">
        <is>
          <t>04D0926121293</t>
        </is>
      </c>
      <c r="B222" s="3" t="inlineStr">
        <is>
          <t>LT</t>
        </is>
      </c>
      <c r="C222" s="3" t="inlineStr">
        <is>
          <t>CRS0000675</t>
        </is>
      </c>
      <c r="D222" s="8" t="n">
        <v>46129</v>
      </c>
      <c r="E222" s="3" t="inlineStr">
        <is>
          <t>Fail</t>
        </is>
      </c>
      <c r="F222" s="9" t="inlineStr">
        <is>
          <t>YES</t>
        </is>
      </c>
      <c r="G222" s="3" t="inlineStr">
        <is>
          <t>Final Current</t>
        </is>
      </c>
      <c r="H222" s="3" t="n">
        <v>6.42</v>
      </c>
      <c r="I222" s="3" t="n">
        <v>3.74</v>
      </c>
    </row>
    <row r="223">
      <c r="A223" s="4" t="inlineStr">
        <is>
          <t>04A2926120429</t>
        </is>
      </c>
      <c r="B223" s="4" t="inlineStr">
        <is>
          <t>LT</t>
        </is>
      </c>
      <c r="C223" s="4" t="inlineStr">
        <is>
          <t>CRS0000675</t>
        </is>
      </c>
      <c r="D223" s="10" t="n">
        <v>46064</v>
      </c>
      <c r="E223" s="4" t="inlineStr">
        <is>
          <t>Fail</t>
        </is>
      </c>
      <c r="F223" s="9" t="inlineStr">
        <is>
          <t>YES</t>
        </is>
      </c>
      <c r="G223" s="4" t="inlineStr">
        <is>
          <t>Suction Tube Temp</t>
        </is>
      </c>
      <c r="H223" s="4" t="n">
        <v>131.6</v>
      </c>
      <c r="I223" s="4" t="n">
        <v>3.69</v>
      </c>
    </row>
    <row r="224">
      <c r="A224" s="3" t="inlineStr">
        <is>
          <t>04D1426121381</t>
        </is>
      </c>
      <c r="B224" s="3" t="inlineStr">
        <is>
          <t>MT</t>
        </is>
      </c>
      <c r="C224" s="3" t="inlineStr">
        <is>
          <t>CRS0000674</t>
        </is>
      </c>
      <c r="D224" s="8" t="n">
        <v>46127</v>
      </c>
      <c r="E224" s="3" t="inlineStr">
        <is>
          <t>Fail</t>
        </is>
      </c>
      <c r="F224" s="9" t="inlineStr">
        <is>
          <t>YES</t>
        </is>
      </c>
      <c r="G224" s="3" t="inlineStr">
        <is>
          <t>Evap Inlet Ret Bend A</t>
        </is>
      </c>
      <c r="H224" s="3" t="n">
        <v>70.3</v>
      </c>
      <c r="I224" s="3" t="n">
        <v>3.69</v>
      </c>
    </row>
    <row r="225">
      <c r="A225" s="4" t="inlineStr">
        <is>
          <t>04C2426121082</t>
        </is>
      </c>
      <c r="B225" s="4" t="inlineStr">
        <is>
          <t>LT</t>
        </is>
      </c>
      <c r="C225" s="4" t="inlineStr">
        <is>
          <t>CRS0000675</t>
        </is>
      </c>
      <c r="D225" s="10" t="n">
        <v>46106</v>
      </c>
      <c r="E225" s="4" t="inlineStr">
        <is>
          <t>Fail</t>
        </is>
      </c>
      <c r="F225" s="9" t="inlineStr">
        <is>
          <t>YES</t>
        </is>
      </c>
      <c r="G225" s="4" t="inlineStr">
        <is>
          <t>Evap Inlet Ret Bend A</t>
        </is>
      </c>
      <c r="H225" s="4" t="n">
        <v>77.90000000000001</v>
      </c>
      <c r="I225" s="4" t="n">
        <v>3.68</v>
      </c>
    </row>
    <row r="226">
      <c r="A226" s="3" t="inlineStr">
        <is>
          <t>04C2426121082</t>
        </is>
      </c>
      <c r="B226" s="3" t="inlineStr">
        <is>
          <t>LT</t>
        </is>
      </c>
      <c r="C226" s="3" t="inlineStr">
        <is>
          <t>CRS0000675</t>
        </is>
      </c>
      <c r="D226" s="8" t="n">
        <v>46130</v>
      </c>
      <c r="E226" s="3" t="inlineStr">
        <is>
          <t>Fail</t>
        </is>
      </c>
      <c r="F226" s="9" t="inlineStr">
        <is>
          <t>YES</t>
        </is>
      </c>
      <c r="G226" s="3" t="inlineStr">
        <is>
          <t>Evap Inlet Ret Bend A</t>
        </is>
      </c>
      <c r="H226" s="3" t="n">
        <v>77.90000000000001</v>
      </c>
      <c r="I226" s="3" t="n">
        <v>3.68</v>
      </c>
    </row>
    <row r="227">
      <c r="A227" s="4" t="inlineStr">
        <is>
          <t>04A2026120315</t>
        </is>
      </c>
      <c r="B227" s="4" t="inlineStr">
        <is>
          <t>MT</t>
        </is>
      </c>
      <c r="C227" s="4" t="inlineStr">
        <is>
          <t>CRS0000674</t>
        </is>
      </c>
      <c r="D227" s="10" t="n">
        <v>46044</v>
      </c>
      <c r="E227" s="4" t="inlineStr">
        <is>
          <t>Pass</t>
        </is>
      </c>
      <c r="F227" s="4" t="inlineStr">
        <is>
          <t>no</t>
        </is>
      </c>
      <c r="G227" s="4" t="inlineStr">
        <is>
          <t>Inlet/Outlet Delta</t>
        </is>
      </c>
      <c r="H227" s="4" t="n">
        <v>6.6</v>
      </c>
      <c r="I227" s="4" t="n">
        <v>3.67</v>
      </c>
    </row>
    <row r="228">
      <c r="A228" s="3" t="inlineStr">
        <is>
          <t>04B2726120706</t>
        </is>
      </c>
      <c r="B228" s="3" t="inlineStr">
        <is>
          <t>MT</t>
        </is>
      </c>
      <c r="C228" s="3" t="inlineStr">
        <is>
          <t>CRS0000674</t>
        </is>
      </c>
      <c r="D228" s="8" t="n">
        <v>46081</v>
      </c>
      <c r="E228" s="3" t="inlineStr">
        <is>
          <t>Pass</t>
        </is>
      </c>
      <c r="F228" s="3" t="inlineStr">
        <is>
          <t>no</t>
        </is>
      </c>
      <c r="G228" s="3" t="inlineStr">
        <is>
          <t>Inlet/Outlet Delta</t>
        </is>
      </c>
      <c r="H228" s="3" t="n">
        <v>6.6</v>
      </c>
      <c r="I228" s="3" t="n">
        <v>3.67</v>
      </c>
    </row>
    <row r="229">
      <c r="A229" s="4" t="inlineStr">
        <is>
          <t>04B2726120708</t>
        </is>
      </c>
      <c r="B229" s="4" t="inlineStr">
        <is>
          <t>MT</t>
        </is>
      </c>
      <c r="C229" s="4" t="inlineStr">
        <is>
          <t>CRS0000674</t>
        </is>
      </c>
      <c r="D229" s="10" t="n">
        <v>46081</v>
      </c>
      <c r="E229" s="4" t="inlineStr">
        <is>
          <t>Pass</t>
        </is>
      </c>
      <c r="F229" s="4" t="inlineStr">
        <is>
          <t>no</t>
        </is>
      </c>
      <c r="G229" s="4" t="inlineStr">
        <is>
          <t>Inlet/Outlet Delta</t>
        </is>
      </c>
      <c r="H229" s="4" t="n">
        <v>6.6</v>
      </c>
      <c r="I229" s="4" t="n">
        <v>3.67</v>
      </c>
    </row>
    <row r="230">
      <c r="A230" s="3" t="inlineStr">
        <is>
          <t>04D1826121465</t>
        </is>
      </c>
      <c r="B230" s="3" t="inlineStr">
        <is>
          <t>LT</t>
        </is>
      </c>
      <c r="C230" s="3" t="inlineStr">
        <is>
          <t>CRS0000675</t>
        </is>
      </c>
      <c r="D230" s="8" t="n">
        <v>46130</v>
      </c>
      <c r="E230" s="3" t="inlineStr">
        <is>
          <t>Fail</t>
        </is>
      </c>
      <c r="F230" s="9" t="inlineStr">
        <is>
          <t>YES</t>
        </is>
      </c>
      <c r="G230" s="3" t="inlineStr">
        <is>
          <t>Suction Tube Temp</t>
        </is>
      </c>
      <c r="H230" s="3" t="n">
        <v>173.6</v>
      </c>
      <c r="I230" s="3" t="n">
        <v>3.64</v>
      </c>
    </row>
    <row r="231">
      <c r="A231" s="4" t="inlineStr">
        <is>
          <t>04C2426121075</t>
        </is>
      </c>
      <c r="B231" s="4" t="inlineStr">
        <is>
          <t>LT</t>
        </is>
      </c>
      <c r="C231" s="4" t="inlineStr">
        <is>
          <t>CRS0000675</t>
        </is>
      </c>
      <c r="D231" s="10" t="n">
        <v>46136</v>
      </c>
      <c r="E231" s="4" t="inlineStr">
        <is>
          <t>Fail</t>
        </is>
      </c>
      <c r="F231" s="9" t="inlineStr">
        <is>
          <t>YES</t>
        </is>
      </c>
      <c r="G231" s="4" t="inlineStr">
        <is>
          <t>Suction Tube Temp</t>
        </is>
      </c>
      <c r="H231" s="4" t="n">
        <v>173.6</v>
      </c>
      <c r="I231" s="4" t="n">
        <v>3.64</v>
      </c>
    </row>
    <row r="232">
      <c r="A232" s="3" t="inlineStr">
        <is>
          <t>04A2026120315</t>
        </is>
      </c>
      <c r="B232" s="3" t="inlineStr">
        <is>
          <t>MT</t>
        </is>
      </c>
      <c r="C232" s="3" t="inlineStr">
        <is>
          <t>CRS0000674</t>
        </is>
      </c>
      <c r="D232" s="8" t="n">
        <v>46042</v>
      </c>
      <c r="E232" s="3" t="inlineStr">
        <is>
          <t>Fail</t>
        </is>
      </c>
      <c r="F232" s="9" t="inlineStr">
        <is>
          <t>YES</t>
        </is>
      </c>
      <c r="G232" s="3" t="inlineStr">
        <is>
          <t>Evap Outlet Air Temp</t>
        </is>
      </c>
      <c r="H232" s="3" t="n">
        <v>62.4</v>
      </c>
      <c r="I232" s="3" t="n">
        <v>3.63</v>
      </c>
    </row>
    <row r="233">
      <c r="A233" s="4" t="inlineStr">
        <is>
          <t>04A2026120315</t>
        </is>
      </c>
      <c r="B233" s="4" t="inlineStr">
        <is>
          <t>MT</t>
        </is>
      </c>
      <c r="C233" s="4" t="inlineStr">
        <is>
          <t>CRS0000674</t>
        </is>
      </c>
      <c r="D233" s="10" t="n">
        <v>46042</v>
      </c>
      <c r="E233" s="4" t="inlineStr">
        <is>
          <t>Pass</t>
        </is>
      </c>
      <c r="F233" s="4" t="inlineStr">
        <is>
          <t>no</t>
        </is>
      </c>
      <c r="G233" s="4" t="inlineStr">
        <is>
          <t>Evap Outlet Air Temp</t>
        </is>
      </c>
      <c r="H233" s="4" t="n">
        <v>62.4</v>
      </c>
      <c r="I233" s="4" t="n">
        <v>3.63</v>
      </c>
    </row>
    <row r="234">
      <c r="A234" s="3" t="inlineStr">
        <is>
          <t>04C0926120838</t>
        </is>
      </c>
      <c r="B234" s="3" t="inlineStr">
        <is>
          <t>MT</t>
        </is>
      </c>
      <c r="C234" s="3" t="inlineStr">
        <is>
          <t>CRS0000674</t>
        </is>
      </c>
      <c r="D234" s="8" t="n">
        <v>46091</v>
      </c>
      <c r="E234" s="3" t="inlineStr">
        <is>
          <t>Fail</t>
        </is>
      </c>
      <c r="F234" s="9" t="inlineStr">
        <is>
          <t>YES</t>
        </is>
      </c>
      <c r="G234" s="3" t="inlineStr">
        <is>
          <t>Suction Tube Temp</t>
        </is>
      </c>
      <c r="H234" s="3" t="n">
        <v>94.5</v>
      </c>
      <c r="I234" s="3" t="n">
        <v>3.62</v>
      </c>
    </row>
    <row r="235">
      <c r="A235" s="4" t="inlineStr">
        <is>
          <t>04B2826120715</t>
        </is>
      </c>
      <c r="B235" s="4" t="inlineStr">
        <is>
          <t>LT</t>
        </is>
      </c>
      <c r="C235" s="4" t="inlineStr">
        <is>
          <t>CRS0000675</t>
        </is>
      </c>
      <c r="D235" s="10" t="n">
        <v>46081</v>
      </c>
      <c r="E235" s="4" t="inlineStr">
        <is>
          <t>Fail</t>
        </is>
      </c>
      <c r="F235" s="9" t="inlineStr">
        <is>
          <t>YES</t>
        </is>
      </c>
      <c r="G235" s="4" t="inlineStr">
        <is>
          <t>Inlet/Outlet Delta</t>
        </is>
      </c>
      <c r="H235" s="4" t="n">
        <v>6.9</v>
      </c>
      <c r="I235" s="4" t="n">
        <v>3.62</v>
      </c>
    </row>
    <row r="236">
      <c r="A236" s="3" t="inlineStr">
        <is>
          <t>04D1126121338</t>
        </is>
      </c>
      <c r="B236" s="3" t="inlineStr">
        <is>
          <t>LT</t>
        </is>
      </c>
      <c r="C236" s="3" t="inlineStr">
        <is>
          <t>CRS0000675</t>
        </is>
      </c>
      <c r="D236" s="8" t="n">
        <v>46135</v>
      </c>
      <c r="E236" s="3" t="inlineStr">
        <is>
          <t>Fail</t>
        </is>
      </c>
      <c r="F236" s="9" t="inlineStr">
        <is>
          <t>YES</t>
        </is>
      </c>
      <c r="G236" s="3" t="inlineStr">
        <is>
          <t>Final Current</t>
        </is>
      </c>
      <c r="H236" s="3" t="n">
        <v>6.47</v>
      </c>
      <c r="I236" s="3" t="n">
        <v>3.62</v>
      </c>
    </row>
    <row r="237">
      <c r="A237" s="4" t="inlineStr">
        <is>
          <t>04B2526120683</t>
        </is>
      </c>
      <c r="B237" s="4" t="inlineStr">
        <is>
          <t>MT</t>
        </is>
      </c>
      <c r="C237" s="4" t="inlineStr">
        <is>
          <t>CRS0000674</t>
        </is>
      </c>
      <c r="D237" s="10" t="n">
        <v>46079</v>
      </c>
      <c r="E237" s="4" t="inlineStr">
        <is>
          <t>Fail</t>
        </is>
      </c>
      <c r="F237" s="9" t="inlineStr">
        <is>
          <t>YES</t>
        </is>
      </c>
      <c r="G237" s="4" t="inlineStr">
        <is>
          <t>Inlet/Outlet Delta</t>
        </is>
      </c>
      <c r="H237" s="4" t="n">
        <v>6.5</v>
      </c>
      <c r="I237" s="4" t="n">
        <v>3.6</v>
      </c>
    </row>
    <row r="238">
      <c r="A238" s="3" t="inlineStr">
        <is>
          <t>04B2726120707</t>
        </is>
      </c>
      <c r="B238" s="3" t="inlineStr">
        <is>
          <t>MT</t>
        </is>
      </c>
      <c r="C238" s="3" t="inlineStr">
        <is>
          <t>CRS0000674</t>
        </is>
      </c>
      <c r="D238" s="8" t="n">
        <v>46081</v>
      </c>
      <c r="E238" s="3" t="inlineStr">
        <is>
          <t>Pass</t>
        </is>
      </c>
      <c r="F238" s="3" t="inlineStr">
        <is>
          <t>no</t>
        </is>
      </c>
      <c r="G238" s="3" t="inlineStr">
        <is>
          <t>Inlet/Outlet Delta</t>
        </is>
      </c>
      <c r="H238" s="3" t="n">
        <v>6.5</v>
      </c>
      <c r="I238" s="3" t="n">
        <v>3.6</v>
      </c>
    </row>
    <row r="239">
      <c r="A239" s="4" t="inlineStr">
        <is>
          <t>04C2526121094</t>
        </is>
      </c>
      <c r="B239" s="4" t="inlineStr">
        <is>
          <t>LT</t>
        </is>
      </c>
      <c r="C239" s="4" t="inlineStr">
        <is>
          <t>CRS0000675</t>
        </is>
      </c>
      <c r="D239" s="10" t="n">
        <v>46136</v>
      </c>
      <c r="E239" s="4" t="inlineStr">
        <is>
          <t>Pass</t>
        </is>
      </c>
      <c r="F239" s="4" t="inlineStr">
        <is>
          <t>no</t>
        </is>
      </c>
      <c r="G239" s="4" t="inlineStr">
        <is>
          <t>Final Current</t>
        </is>
      </c>
      <c r="H239" s="4" t="n">
        <v>6.49</v>
      </c>
      <c r="I239" s="4" t="n">
        <v>3.57</v>
      </c>
    </row>
    <row r="240">
      <c r="A240" s="3" t="inlineStr">
        <is>
          <t>04B1926120664</t>
        </is>
      </c>
      <c r="B240" s="3" t="inlineStr">
        <is>
          <t>MT</t>
        </is>
      </c>
      <c r="C240" s="3" t="inlineStr">
        <is>
          <t>CRS0000674</t>
        </is>
      </c>
      <c r="D240" s="8" t="n">
        <v>46073</v>
      </c>
      <c r="E240" s="3" t="inlineStr">
        <is>
          <t>Pass</t>
        </is>
      </c>
      <c r="F240" s="3" t="inlineStr">
        <is>
          <t>no</t>
        </is>
      </c>
      <c r="G240" s="3" t="inlineStr">
        <is>
          <t>Evap Inlet Ret Bend A</t>
        </is>
      </c>
      <c r="H240" s="3" t="n">
        <v>70.7</v>
      </c>
      <c r="I240" s="3" t="n">
        <v>3.55</v>
      </c>
    </row>
    <row r="241">
      <c r="A241" s="4" t="inlineStr">
        <is>
          <t>04C3126121174</t>
        </is>
      </c>
      <c r="B241" s="4" t="inlineStr">
        <is>
          <t>MT</t>
        </is>
      </c>
      <c r="C241" s="4" t="inlineStr">
        <is>
          <t>CRS0000674</t>
        </is>
      </c>
      <c r="D241" s="10" t="n">
        <v>46113</v>
      </c>
      <c r="E241" s="4" t="inlineStr">
        <is>
          <t>Fail</t>
        </is>
      </c>
      <c r="F241" s="9" t="inlineStr">
        <is>
          <t>YES</t>
        </is>
      </c>
      <c r="G241" s="4" t="inlineStr">
        <is>
          <t>Evap Inlet Ret Bend A</t>
        </is>
      </c>
      <c r="H241" s="4" t="n">
        <v>70.7</v>
      </c>
      <c r="I241" s="4" t="n">
        <v>3.55</v>
      </c>
    </row>
    <row r="242">
      <c r="A242" s="3" t="inlineStr">
        <is>
          <t>04D0726121269</t>
        </is>
      </c>
      <c r="B242" s="3" t="inlineStr">
        <is>
          <t>MT</t>
        </is>
      </c>
      <c r="C242" s="3" t="inlineStr">
        <is>
          <t>CRS0000674</t>
        </is>
      </c>
      <c r="D242" s="8" t="n">
        <v>46120</v>
      </c>
      <c r="E242" s="3" t="inlineStr">
        <is>
          <t>Fail</t>
        </is>
      </c>
      <c r="F242" s="9" t="inlineStr">
        <is>
          <t>YES</t>
        </is>
      </c>
      <c r="G242" s="3" t="inlineStr">
        <is>
          <t>Evap Inlet Ret Bend A</t>
        </is>
      </c>
      <c r="H242" s="3" t="n">
        <v>70.7</v>
      </c>
      <c r="I242" s="3" t="n">
        <v>3.55</v>
      </c>
    </row>
    <row r="243">
      <c r="A243" s="4" t="inlineStr">
        <is>
          <t>04A2926120429</t>
        </is>
      </c>
      <c r="B243" s="4" t="inlineStr">
        <is>
          <t>LT</t>
        </is>
      </c>
      <c r="C243" s="4" t="inlineStr">
        <is>
          <t>CRS0000675</t>
        </is>
      </c>
      <c r="D243" s="10" t="n">
        <v>46066</v>
      </c>
      <c r="E243" s="4" t="inlineStr">
        <is>
          <t>Fail</t>
        </is>
      </c>
      <c r="F243" s="9" t="inlineStr">
        <is>
          <t>YES</t>
        </is>
      </c>
      <c r="G243" s="4" t="inlineStr">
        <is>
          <t>Final Current</t>
        </is>
      </c>
      <c r="H243" s="4" t="n">
        <v>9.33</v>
      </c>
      <c r="I243" s="4" t="n">
        <v>3.54</v>
      </c>
    </row>
    <row r="244">
      <c r="A244" s="3" t="inlineStr">
        <is>
          <t>04C1426120965</t>
        </is>
      </c>
      <c r="B244" s="3" t="inlineStr">
        <is>
          <t>MT</t>
        </is>
      </c>
      <c r="C244" s="3" t="inlineStr">
        <is>
          <t>CRS0000674</t>
        </is>
      </c>
      <c r="D244" s="8" t="n">
        <v>46097</v>
      </c>
      <c r="E244" s="3" t="inlineStr">
        <is>
          <t>Pass</t>
        </is>
      </c>
      <c r="F244" s="3" t="inlineStr">
        <is>
          <t>no</t>
        </is>
      </c>
      <c r="G244" s="3" t="inlineStr">
        <is>
          <t>Final Current</t>
        </is>
      </c>
      <c r="H244" s="3" t="n">
        <v>3.3</v>
      </c>
      <c r="I244" s="3" t="n">
        <v>3.5</v>
      </c>
    </row>
    <row r="245">
      <c r="A245" s="4" t="inlineStr">
        <is>
          <t>04C1026120841</t>
        </is>
      </c>
      <c r="B245" s="4" t="inlineStr">
        <is>
          <t>LT</t>
        </is>
      </c>
      <c r="C245" s="4" t="inlineStr">
        <is>
          <t>CRS0000675</t>
        </is>
      </c>
      <c r="D245" s="10" t="n">
        <v>46091</v>
      </c>
      <c r="E245" s="4" t="inlineStr">
        <is>
          <t>Fail</t>
        </is>
      </c>
      <c r="F245" s="9" t="inlineStr">
        <is>
          <t>YES</t>
        </is>
      </c>
      <c r="G245" s="4" t="inlineStr">
        <is>
          <t>Evap Inlet Ret Bend A</t>
        </is>
      </c>
      <c r="H245" s="4" t="n">
        <v>78.90000000000001</v>
      </c>
      <c r="I245" s="4" t="n">
        <v>3.48</v>
      </c>
    </row>
    <row r="246">
      <c r="A246" s="3" t="inlineStr">
        <is>
          <t>04C2426121082</t>
        </is>
      </c>
      <c r="B246" s="3" t="inlineStr">
        <is>
          <t>LT</t>
        </is>
      </c>
      <c r="C246" s="3" t="inlineStr">
        <is>
          <t>CRS0000675</t>
        </is>
      </c>
      <c r="D246" s="8" t="n">
        <v>46130</v>
      </c>
      <c r="E246" s="3" t="inlineStr">
        <is>
          <t>Fail</t>
        </is>
      </c>
      <c r="F246" s="9" t="inlineStr">
        <is>
          <t>YES</t>
        </is>
      </c>
      <c r="G246" s="3" t="inlineStr">
        <is>
          <t>Evap Inlet Ret Bend A</t>
        </is>
      </c>
      <c r="H246" s="3" t="n">
        <v>78.90000000000001</v>
      </c>
      <c r="I246" s="3" t="n">
        <v>3.48</v>
      </c>
    </row>
    <row r="247">
      <c r="A247" s="4" t="inlineStr">
        <is>
          <t>04C2526121083</t>
        </is>
      </c>
      <c r="B247" s="4" t="inlineStr">
        <is>
          <t>LT</t>
        </is>
      </c>
      <c r="C247" s="4" t="inlineStr">
        <is>
          <t>CRS0000675</t>
        </is>
      </c>
      <c r="D247" s="10" t="n">
        <v>46106</v>
      </c>
      <c r="E247" s="4" t="inlineStr">
        <is>
          <t>Pass</t>
        </is>
      </c>
      <c r="F247" s="4" t="inlineStr">
        <is>
          <t>no</t>
        </is>
      </c>
      <c r="G247" s="4" t="inlineStr">
        <is>
          <t>Evap Outlet Air Temp</t>
        </is>
      </c>
      <c r="H247" s="4" t="n">
        <v>77.09999999999999</v>
      </c>
      <c r="I247" s="4" t="n">
        <v>3.46</v>
      </c>
    </row>
    <row r="248">
      <c r="A248" s="3" t="inlineStr">
        <is>
          <t>04D0926121293</t>
        </is>
      </c>
      <c r="B248" s="3" t="inlineStr">
        <is>
          <t>LT</t>
        </is>
      </c>
      <c r="C248" s="3" t="inlineStr">
        <is>
          <t>CRS0000675</t>
        </is>
      </c>
      <c r="D248" s="8" t="n">
        <v>46129</v>
      </c>
      <c r="E248" s="3" t="inlineStr">
        <is>
          <t>Pass</t>
        </is>
      </c>
      <c r="F248" s="3" t="inlineStr">
        <is>
          <t>no</t>
        </is>
      </c>
      <c r="G248" s="3" t="inlineStr">
        <is>
          <t>Evap Outlet Air Temp</t>
        </is>
      </c>
      <c r="H248" s="3" t="n">
        <v>77.09999999999999</v>
      </c>
      <c r="I248" s="3" t="n">
        <v>3.46</v>
      </c>
    </row>
    <row r="249">
      <c r="A249" s="4" t="inlineStr">
        <is>
          <t>04C1826120995</t>
        </is>
      </c>
      <c r="B249" s="4" t="inlineStr">
        <is>
          <t>LT</t>
        </is>
      </c>
      <c r="C249" s="4" t="inlineStr">
        <is>
          <t>CRS0000675</t>
        </is>
      </c>
      <c r="D249" s="10" t="n">
        <v>46099</v>
      </c>
      <c r="E249" s="4" t="inlineStr">
        <is>
          <t>Fail</t>
        </is>
      </c>
      <c r="F249" s="9" t="inlineStr">
        <is>
          <t>YES</t>
        </is>
      </c>
      <c r="G249" s="4" t="inlineStr">
        <is>
          <t>Ambient Temp</t>
        </is>
      </c>
      <c r="H249" s="4" t="n">
        <v>77.90000000000001</v>
      </c>
      <c r="I249" s="4" t="n">
        <v>3.44</v>
      </c>
    </row>
    <row r="250">
      <c r="A250" s="3" t="inlineStr">
        <is>
          <t>04C2026121034</t>
        </is>
      </c>
      <c r="B250" s="3" t="inlineStr">
        <is>
          <t>MT</t>
        </is>
      </c>
      <c r="C250" s="3" t="inlineStr">
        <is>
          <t>CRS0000674</t>
        </is>
      </c>
      <c r="D250" s="8" t="n">
        <v>46101</v>
      </c>
      <c r="E250" s="3" t="inlineStr">
        <is>
          <t>Fail</t>
        </is>
      </c>
      <c r="F250" s="9" t="inlineStr">
        <is>
          <t>YES</t>
        </is>
      </c>
      <c r="G250" s="3" t="inlineStr">
        <is>
          <t>Ambient Temp</t>
        </is>
      </c>
      <c r="H250" s="3" t="n">
        <v>77.2</v>
      </c>
      <c r="I250" s="3" t="n">
        <v>3.42</v>
      </c>
    </row>
    <row r="251">
      <c r="A251" s="4" t="inlineStr">
        <is>
          <t>04D1826121466</t>
        </is>
      </c>
      <c r="B251" s="4" t="inlineStr">
        <is>
          <t>LT</t>
        </is>
      </c>
      <c r="C251" s="4" t="inlineStr">
        <is>
          <t>CRS0000675</t>
        </is>
      </c>
      <c r="D251" s="10" t="n">
        <v>46130</v>
      </c>
      <c r="E251" s="4" t="inlineStr">
        <is>
          <t>Fail</t>
        </is>
      </c>
      <c r="F251" s="9" t="inlineStr">
        <is>
          <t>YES</t>
        </is>
      </c>
      <c r="G251" s="4" t="inlineStr">
        <is>
          <t>Suction Tube Temp</t>
        </is>
      </c>
      <c r="H251" s="4" t="n">
        <v>172.3</v>
      </c>
      <c r="I251" s="4" t="n">
        <v>3.41</v>
      </c>
    </row>
    <row r="252">
      <c r="A252" s="3" t="inlineStr">
        <is>
          <t>04C1126120917</t>
        </is>
      </c>
      <c r="B252" s="3" t="inlineStr">
        <is>
          <t>LT</t>
        </is>
      </c>
      <c r="C252" s="3" t="inlineStr">
        <is>
          <t>CRS0000675</t>
        </is>
      </c>
      <c r="D252" s="8" t="n">
        <v>46093</v>
      </c>
      <c r="E252" s="3" t="inlineStr">
        <is>
          <t>Fail</t>
        </is>
      </c>
      <c r="F252" s="9" t="inlineStr">
        <is>
          <t>YES</t>
        </is>
      </c>
      <c r="G252" s="3" t="inlineStr">
        <is>
          <t>Startup Current</t>
        </is>
      </c>
      <c r="H252" s="3" t="n">
        <v>6.15</v>
      </c>
      <c r="I252" s="3" t="n">
        <v>3.4</v>
      </c>
    </row>
    <row r="253">
      <c r="A253" s="4" t="inlineStr">
        <is>
          <t>04C1726120990</t>
        </is>
      </c>
      <c r="B253" s="4" t="inlineStr">
        <is>
          <t>LT</t>
        </is>
      </c>
      <c r="C253" s="4" t="inlineStr">
        <is>
          <t>CRS0000675</t>
        </is>
      </c>
      <c r="D253" s="10" t="n">
        <v>46112</v>
      </c>
      <c r="E253" s="4" t="inlineStr">
        <is>
          <t>Fail</t>
        </is>
      </c>
      <c r="F253" s="9" t="inlineStr">
        <is>
          <t>YES</t>
        </is>
      </c>
      <c r="G253" s="4" t="inlineStr">
        <is>
          <t>Startup Current</t>
        </is>
      </c>
      <c r="H253" s="4" t="n">
        <v>6.15</v>
      </c>
      <c r="I253" s="4" t="n">
        <v>3.4</v>
      </c>
    </row>
    <row r="254">
      <c r="A254" s="3" t="inlineStr">
        <is>
          <t>04A2026120315</t>
        </is>
      </c>
      <c r="B254" s="3" t="inlineStr">
        <is>
          <t>MT</t>
        </is>
      </c>
      <c r="C254" s="3" t="inlineStr">
        <is>
          <t>CRS0000674</t>
        </is>
      </c>
      <c r="D254" s="8" t="n">
        <v>46060</v>
      </c>
      <c r="E254" s="3" t="inlineStr">
        <is>
          <t>Fail</t>
        </is>
      </c>
      <c r="F254" s="9" t="inlineStr">
        <is>
          <t>YES</t>
        </is>
      </c>
      <c r="G254" s="3" t="inlineStr">
        <is>
          <t>Evap Inlet Ret Bend A</t>
        </is>
      </c>
      <c r="H254" s="3" t="n">
        <v>71.2</v>
      </c>
      <c r="I254" s="3" t="n">
        <v>3.37</v>
      </c>
    </row>
    <row r="255">
      <c r="A255" s="4" t="inlineStr">
        <is>
          <t>04C2026121038</t>
        </is>
      </c>
      <c r="B255" s="4" t="inlineStr">
        <is>
          <t>MT</t>
        </is>
      </c>
      <c r="C255" s="4" t="inlineStr">
        <is>
          <t>CRS0000674</t>
        </is>
      </c>
      <c r="D255" s="10" t="n">
        <v>46102</v>
      </c>
      <c r="E255" s="4" t="inlineStr">
        <is>
          <t>Fail</t>
        </is>
      </c>
      <c r="F255" s="9" t="inlineStr">
        <is>
          <t>YES</t>
        </is>
      </c>
      <c r="G255" s="4" t="inlineStr">
        <is>
          <t>Evap Inlet Ret Bend A</t>
        </is>
      </c>
      <c r="H255" s="4" t="n">
        <v>71.2</v>
      </c>
      <c r="I255" s="4" t="n">
        <v>3.37</v>
      </c>
    </row>
    <row r="256">
      <c r="A256" s="3" t="inlineStr">
        <is>
          <t>04D1426121385</t>
        </is>
      </c>
      <c r="B256" s="3" t="inlineStr">
        <is>
          <t>MT</t>
        </is>
      </c>
      <c r="C256" s="3" t="inlineStr">
        <is>
          <t>CRS0000674</t>
        </is>
      </c>
      <c r="D256" s="8" t="n">
        <v>46127</v>
      </c>
      <c r="E256" s="3" t="inlineStr">
        <is>
          <t>Fail</t>
        </is>
      </c>
      <c r="F256" s="9" t="inlineStr">
        <is>
          <t>YES</t>
        </is>
      </c>
      <c r="G256" s="3" t="inlineStr">
        <is>
          <t>Evap Inlet Ret Bend A</t>
        </is>
      </c>
      <c r="H256" s="3" t="n">
        <v>71.2</v>
      </c>
      <c r="I256" s="3" t="n">
        <v>3.37</v>
      </c>
    </row>
    <row r="257">
      <c r="A257" s="4" t="inlineStr">
        <is>
          <t>04C1626120969</t>
        </is>
      </c>
      <c r="B257" s="4" t="inlineStr">
        <is>
          <t>MT</t>
        </is>
      </c>
      <c r="C257" s="4" t="inlineStr">
        <is>
          <t>CRS0000674</t>
        </is>
      </c>
      <c r="D257" s="10" t="n">
        <v>46097</v>
      </c>
      <c r="E257" s="4" t="inlineStr">
        <is>
          <t>Pass</t>
        </is>
      </c>
      <c r="F257" s="4" t="inlineStr">
        <is>
          <t>no</t>
        </is>
      </c>
      <c r="G257" s="4" t="inlineStr">
        <is>
          <t>Evap Outlet Air Temp</t>
        </is>
      </c>
      <c r="H257" s="4" t="n">
        <v>75.8</v>
      </c>
      <c r="I257" s="4" t="n">
        <v>3.37</v>
      </c>
    </row>
    <row r="258">
      <c r="A258" s="3" t="inlineStr">
        <is>
          <t>04C1626120971</t>
        </is>
      </c>
      <c r="B258" s="3" t="inlineStr">
        <is>
          <t>MT</t>
        </is>
      </c>
      <c r="C258" s="3" t="inlineStr">
        <is>
          <t>CRS0000674</t>
        </is>
      </c>
      <c r="D258" s="8" t="n">
        <v>46097</v>
      </c>
      <c r="E258" s="3" t="inlineStr">
        <is>
          <t>Pass</t>
        </is>
      </c>
      <c r="F258" s="3" t="inlineStr">
        <is>
          <t>no</t>
        </is>
      </c>
      <c r="G258" s="3" t="inlineStr">
        <is>
          <t>Evap Outlet Air Temp</t>
        </is>
      </c>
      <c r="H258" s="3" t="n">
        <v>75.8</v>
      </c>
      <c r="I258" s="3" t="n">
        <v>3.37</v>
      </c>
    </row>
    <row r="259">
      <c r="A259" s="4" t="inlineStr">
        <is>
          <t>04C2626121099</t>
        </is>
      </c>
      <c r="B259" s="4" t="inlineStr">
        <is>
          <t>LT</t>
        </is>
      </c>
      <c r="C259" s="4" t="inlineStr">
        <is>
          <t>CRS0000675</t>
        </is>
      </c>
      <c r="D259" s="10" t="n">
        <v>46107</v>
      </c>
      <c r="E259" s="4" t="inlineStr">
        <is>
          <t>Pass</t>
        </is>
      </c>
      <c r="F259" s="4" t="inlineStr">
        <is>
          <t>no</t>
        </is>
      </c>
      <c r="G259" s="4" t="inlineStr">
        <is>
          <t>Final Current</t>
        </is>
      </c>
      <c r="H259" s="4" t="n">
        <v>6.57</v>
      </c>
      <c r="I259" s="4" t="n">
        <v>3.36</v>
      </c>
    </row>
    <row r="260">
      <c r="A260" s="3" t="inlineStr">
        <is>
          <t>04D0726121269</t>
        </is>
      </c>
      <c r="B260" s="3" t="inlineStr">
        <is>
          <t>MT</t>
        </is>
      </c>
      <c r="C260" s="3" t="inlineStr">
        <is>
          <t>CRS0000674</t>
        </is>
      </c>
      <c r="D260" s="8" t="n">
        <v>46120</v>
      </c>
      <c r="E260" s="3" t="inlineStr">
        <is>
          <t>Fail</t>
        </is>
      </c>
      <c r="F260" s="9" t="inlineStr">
        <is>
          <t>YES</t>
        </is>
      </c>
      <c r="G260" s="3" t="inlineStr">
        <is>
          <t>Suction Tube Temp</t>
        </is>
      </c>
      <c r="H260" s="3" t="n">
        <v>95.90000000000001</v>
      </c>
      <c r="I260" s="3" t="n">
        <v>3.34</v>
      </c>
    </row>
    <row r="261">
      <c r="A261" s="4" t="inlineStr">
        <is>
          <t>04D1326121365</t>
        </is>
      </c>
      <c r="B261" s="4" t="inlineStr">
        <is>
          <t>MT</t>
        </is>
      </c>
      <c r="C261" s="4" t="inlineStr">
        <is>
          <t>CRS0000674</t>
        </is>
      </c>
      <c r="D261" s="10" t="n">
        <v>46134</v>
      </c>
      <c r="E261" s="4" t="inlineStr">
        <is>
          <t>Fail</t>
        </is>
      </c>
      <c r="F261" s="9" t="inlineStr">
        <is>
          <t>YES</t>
        </is>
      </c>
      <c r="G261" s="4" t="inlineStr">
        <is>
          <t>Suction Tube Temp</t>
        </is>
      </c>
      <c r="H261" s="4" t="n">
        <v>95.90000000000001</v>
      </c>
      <c r="I261" s="4" t="n">
        <v>3.34</v>
      </c>
    </row>
    <row r="262">
      <c r="A262" s="3" t="inlineStr">
        <is>
          <t>04B1226120597</t>
        </is>
      </c>
      <c r="B262" s="3" t="inlineStr">
        <is>
          <t>LT</t>
        </is>
      </c>
      <c r="C262" s="3" t="inlineStr">
        <is>
          <t>CRS0000675</t>
        </is>
      </c>
      <c r="D262" s="8" t="n">
        <v>46066</v>
      </c>
      <c r="E262" s="3" t="inlineStr">
        <is>
          <t>Pass</t>
        </is>
      </c>
      <c r="F262" s="3" t="inlineStr">
        <is>
          <t>no</t>
        </is>
      </c>
      <c r="G262" s="3" t="inlineStr">
        <is>
          <t>Suction Tube Temp</t>
        </is>
      </c>
      <c r="H262" s="3" t="n">
        <v>133.8</v>
      </c>
      <c r="I262" s="3" t="n">
        <v>3.31</v>
      </c>
    </row>
    <row r="263">
      <c r="A263" s="4" t="inlineStr">
        <is>
          <t>04C1126120913</t>
        </is>
      </c>
      <c r="B263" s="4" t="inlineStr">
        <is>
          <t>LT</t>
        </is>
      </c>
      <c r="C263" s="4" t="inlineStr">
        <is>
          <t>CRS0000675</t>
        </is>
      </c>
      <c r="D263" s="10" t="n">
        <v>46093</v>
      </c>
      <c r="E263" s="4" t="inlineStr">
        <is>
          <t>Fail</t>
        </is>
      </c>
      <c r="F263" s="9" t="inlineStr">
        <is>
          <t>YES</t>
        </is>
      </c>
      <c r="G263" s="4" t="inlineStr">
        <is>
          <t>Suction Tube Temp</t>
        </is>
      </c>
      <c r="H263" s="4" t="n">
        <v>133.8</v>
      </c>
      <c r="I263" s="4" t="n">
        <v>3.31</v>
      </c>
    </row>
    <row r="264">
      <c r="A264" s="3" t="inlineStr">
        <is>
          <t>04C1726120990</t>
        </is>
      </c>
      <c r="B264" s="3" t="inlineStr">
        <is>
          <t>LT</t>
        </is>
      </c>
      <c r="C264" s="3" t="inlineStr">
        <is>
          <t>CRS0000675</t>
        </is>
      </c>
      <c r="D264" s="8" t="n">
        <v>46112</v>
      </c>
      <c r="E264" s="3" t="inlineStr">
        <is>
          <t>Fail</t>
        </is>
      </c>
      <c r="F264" s="9" t="inlineStr">
        <is>
          <t>YES</t>
        </is>
      </c>
      <c r="G264" s="3" t="inlineStr">
        <is>
          <t>Final Current</t>
        </is>
      </c>
      <c r="H264" s="3" t="n">
        <v>6.59</v>
      </c>
      <c r="I264" s="3" t="n">
        <v>3.31</v>
      </c>
    </row>
    <row r="265">
      <c r="A265" s="4" t="inlineStr">
        <is>
          <t>04M2225120168</t>
        </is>
      </c>
      <c r="B265" s="4" t="inlineStr">
        <is>
          <t>LT</t>
        </is>
      </c>
      <c r="C265" s="4" t="inlineStr">
        <is>
          <t>CRS0000675</t>
        </is>
      </c>
      <c r="D265" s="10" t="n">
        <v>46036</v>
      </c>
      <c r="E265" s="4" t="inlineStr">
        <is>
          <t>Fail</t>
        </is>
      </c>
      <c r="F265" s="9" t="inlineStr">
        <is>
          <t>YES</t>
        </is>
      </c>
      <c r="G265" s="4" t="inlineStr">
        <is>
          <t>Evap Inlet Ret Bend A</t>
        </is>
      </c>
      <c r="H265" s="4" t="n">
        <v>79.8</v>
      </c>
      <c r="I265" s="4" t="n">
        <v>3.3</v>
      </c>
    </row>
    <row r="266">
      <c r="A266" s="3" t="inlineStr">
        <is>
          <t>04C1126120917</t>
        </is>
      </c>
      <c r="B266" s="3" t="inlineStr">
        <is>
          <t>LT</t>
        </is>
      </c>
      <c r="C266" s="3" t="inlineStr">
        <is>
          <t>CRS0000675</t>
        </is>
      </c>
      <c r="D266" s="8" t="n">
        <v>46093</v>
      </c>
      <c r="E266" s="3" t="inlineStr">
        <is>
          <t>Fail</t>
        </is>
      </c>
      <c r="F266" s="9" t="inlineStr">
        <is>
          <t>YES</t>
        </is>
      </c>
      <c r="G266" s="3" t="inlineStr">
        <is>
          <t>Evap Inlet Ret Bend A</t>
        </is>
      </c>
      <c r="H266" s="3" t="n">
        <v>79.8</v>
      </c>
      <c r="I266" s="3" t="n">
        <v>3.3</v>
      </c>
    </row>
    <row r="267">
      <c r="A267" s="4" t="inlineStr">
        <is>
          <t>04D0826121285</t>
        </is>
      </c>
      <c r="B267" s="4" t="inlineStr">
        <is>
          <t>LT</t>
        </is>
      </c>
      <c r="C267" s="4" t="inlineStr">
        <is>
          <t>CRS0000675</t>
        </is>
      </c>
      <c r="D267" s="10" t="n">
        <v>46121</v>
      </c>
      <c r="E267" s="4" t="inlineStr">
        <is>
          <t>Fail</t>
        </is>
      </c>
      <c r="F267" s="9" t="inlineStr">
        <is>
          <t>YES</t>
        </is>
      </c>
      <c r="G267" s="4" t="inlineStr">
        <is>
          <t>Evap Inlet Ret Bend A</t>
        </is>
      </c>
      <c r="H267" s="4" t="n">
        <v>79.8</v>
      </c>
      <c r="I267" s="4" t="n">
        <v>3.3</v>
      </c>
    </row>
    <row r="268">
      <c r="A268" s="3" t="inlineStr">
        <is>
          <t>04D1126121342</t>
        </is>
      </c>
      <c r="B268" s="3" t="inlineStr">
        <is>
          <t>LT</t>
        </is>
      </c>
      <c r="C268" s="3" t="inlineStr">
        <is>
          <t>CRS0000675</t>
        </is>
      </c>
      <c r="D268" s="8" t="n">
        <v>46129</v>
      </c>
      <c r="E268" s="3" t="inlineStr">
        <is>
          <t>Pass</t>
        </is>
      </c>
      <c r="F268" s="3" t="inlineStr">
        <is>
          <t>no</t>
        </is>
      </c>
      <c r="G268" s="3" t="inlineStr">
        <is>
          <t>Evap Outlet Air Temp</t>
        </is>
      </c>
      <c r="H268" s="3" t="n">
        <v>76.7</v>
      </c>
      <c r="I268" s="3" t="n">
        <v>3.28</v>
      </c>
    </row>
    <row r="269">
      <c r="A269" s="4" t="inlineStr">
        <is>
          <t>04B2826120713</t>
        </is>
      </c>
      <c r="B269" s="4" t="inlineStr">
        <is>
          <t>LT</t>
        </is>
      </c>
      <c r="C269" s="4" t="inlineStr">
        <is>
          <t>CRS0000675</t>
        </is>
      </c>
      <c r="D269" s="10" t="n">
        <v>46081</v>
      </c>
      <c r="E269" s="4" t="inlineStr">
        <is>
          <t>Pass</t>
        </is>
      </c>
      <c r="F269" s="4" t="inlineStr">
        <is>
          <t>no</t>
        </is>
      </c>
      <c r="G269" s="4" t="inlineStr">
        <is>
          <t>Inlet/Outlet Delta</t>
        </is>
      </c>
      <c r="H269" s="4" t="n">
        <v>6.4</v>
      </c>
      <c r="I269" s="4" t="n">
        <v>3.27</v>
      </c>
    </row>
    <row r="270">
      <c r="A270" s="3" t="inlineStr">
        <is>
          <t>04C1726120989</t>
        </is>
      </c>
      <c r="B270" s="3" t="inlineStr">
        <is>
          <t>LT</t>
        </is>
      </c>
      <c r="C270" s="3" t="inlineStr">
        <is>
          <t>CRS0000675</t>
        </is>
      </c>
      <c r="D270" s="8" t="n">
        <v>46099</v>
      </c>
      <c r="E270" s="3" t="inlineStr">
        <is>
          <t>Fail</t>
        </is>
      </c>
      <c r="F270" s="9" t="inlineStr">
        <is>
          <t>YES</t>
        </is>
      </c>
      <c r="G270" s="3" t="inlineStr">
        <is>
          <t>Inlet/Outlet Delta</t>
        </is>
      </c>
      <c r="H270" s="3" t="n">
        <v>6.4</v>
      </c>
      <c r="I270" s="3" t="n">
        <v>3.27</v>
      </c>
    </row>
    <row r="271">
      <c r="A271" s="4" t="inlineStr">
        <is>
          <t>04A2026120315</t>
        </is>
      </c>
      <c r="B271" s="4" t="inlineStr">
        <is>
          <t>MT</t>
        </is>
      </c>
      <c r="C271" s="4" t="inlineStr">
        <is>
          <t>CRS0000674</t>
        </is>
      </c>
      <c r="D271" s="10" t="n">
        <v>46043</v>
      </c>
      <c r="E271" s="4" t="inlineStr">
        <is>
          <t>Pass</t>
        </is>
      </c>
      <c r="F271" s="4" t="inlineStr">
        <is>
          <t>no</t>
        </is>
      </c>
      <c r="G271" s="4" t="inlineStr">
        <is>
          <t>Suction Tube Temp</t>
        </is>
      </c>
      <c r="H271" s="4" t="n">
        <v>96.3</v>
      </c>
      <c r="I271" s="4" t="n">
        <v>3.26</v>
      </c>
    </row>
    <row r="272">
      <c r="A272" s="3" t="inlineStr">
        <is>
          <t>04B2726120705</t>
        </is>
      </c>
      <c r="B272" s="3" t="inlineStr">
        <is>
          <t>MT</t>
        </is>
      </c>
      <c r="C272" s="3" t="inlineStr">
        <is>
          <t>CRS0000674</t>
        </is>
      </c>
      <c r="D272" s="8" t="n">
        <v>46081</v>
      </c>
      <c r="E272" s="3" t="inlineStr">
        <is>
          <t>Pass</t>
        </is>
      </c>
      <c r="F272" s="3" t="inlineStr">
        <is>
          <t>no</t>
        </is>
      </c>
      <c r="G272" s="3" t="inlineStr">
        <is>
          <t>Inlet/Outlet Delta</t>
        </is>
      </c>
      <c r="H272" s="3" t="n">
        <v>6</v>
      </c>
      <c r="I272" s="3" t="n">
        <v>3.25</v>
      </c>
    </row>
    <row r="273">
      <c r="A273" s="4" t="inlineStr">
        <is>
          <t>04D0626121259</t>
        </is>
      </c>
      <c r="B273" s="4" t="inlineStr">
        <is>
          <t>MT</t>
        </is>
      </c>
      <c r="C273" s="4" t="inlineStr">
        <is>
          <t>CRS0000674</t>
        </is>
      </c>
      <c r="D273" s="10" t="n">
        <v>46119</v>
      </c>
      <c r="E273" s="4" t="inlineStr">
        <is>
          <t>Fail</t>
        </is>
      </c>
      <c r="F273" s="9" t="inlineStr">
        <is>
          <t>YES</t>
        </is>
      </c>
      <c r="G273" s="4" t="inlineStr">
        <is>
          <t>Evap Inlet Ret Bend A</t>
        </is>
      </c>
      <c r="H273" s="4" t="n">
        <v>71.59999999999999</v>
      </c>
      <c r="I273" s="4" t="n">
        <v>3.23</v>
      </c>
    </row>
    <row r="274">
      <c r="A274" s="3" t="inlineStr">
        <is>
          <t>04C1726120989</t>
        </is>
      </c>
      <c r="B274" s="3" t="inlineStr">
        <is>
          <t>LT</t>
        </is>
      </c>
      <c r="C274" s="3" t="inlineStr">
        <is>
          <t>CRS0000675</t>
        </is>
      </c>
      <c r="D274" s="8" t="n">
        <v>46099</v>
      </c>
      <c r="E274" s="3" t="inlineStr">
        <is>
          <t>Fail</t>
        </is>
      </c>
      <c r="F274" s="9" t="inlineStr">
        <is>
          <t>YES</t>
        </is>
      </c>
      <c r="G274" s="3" t="inlineStr">
        <is>
          <t>Evap Inlet Ret Bend A</t>
        </is>
      </c>
      <c r="H274" s="3" t="n">
        <v>80.2</v>
      </c>
      <c r="I274" s="3" t="n">
        <v>3.22</v>
      </c>
    </row>
    <row r="275">
      <c r="A275" s="4" t="inlineStr">
        <is>
          <t>04C2426121075</t>
        </is>
      </c>
      <c r="B275" s="4" t="inlineStr">
        <is>
          <t>LT</t>
        </is>
      </c>
      <c r="C275" s="4" t="inlineStr">
        <is>
          <t>CRS0000675</t>
        </is>
      </c>
      <c r="D275" s="10" t="n">
        <v>46136</v>
      </c>
      <c r="E275" s="4" t="inlineStr">
        <is>
          <t>Fail</t>
        </is>
      </c>
      <c r="F275" s="9" t="inlineStr">
        <is>
          <t>YES</t>
        </is>
      </c>
      <c r="G275" s="4" t="inlineStr">
        <is>
          <t>Evap Inlet Ret Bend A</t>
        </is>
      </c>
      <c r="H275" s="4" t="n">
        <v>80.2</v>
      </c>
      <c r="I275" s="4" t="n">
        <v>3.22</v>
      </c>
    </row>
    <row r="276">
      <c r="A276" s="3" t="inlineStr">
        <is>
          <t>04B2826120722</t>
        </is>
      </c>
      <c r="B276" s="3" t="inlineStr">
        <is>
          <t>LT</t>
        </is>
      </c>
      <c r="C276" s="3" t="inlineStr">
        <is>
          <t>CRS0000675</t>
        </is>
      </c>
      <c r="D276" s="8" t="n">
        <v>46082</v>
      </c>
      <c r="E276" s="3" t="inlineStr">
        <is>
          <t>Pass</t>
        </is>
      </c>
      <c r="F276" s="3" t="inlineStr">
        <is>
          <t>no</t>
        </is>
      </c>
      <c r="G276" s="3" t="inlineStr">
        <is>
          <t>Inlet/Outlet Delta</t>
        </is>
      </c>
      <c r="H276" s="3" t="n">
        <v>6.3</v>
      </c>
      <c r="I276" s="3" t="n">
        <v>3.19</v>
      </c>
    </row>
    <row r="277">
      <c r="A277" s="4" t="inlineStr">
        <is>
          <t>04D1126121338</t>
        </is>
      </c>
      <c r="B277" s="4" t="inlineStr">
        <is>
          <t>LT</t>
        </is>
      </c>
      <c r="C277" s="4" t="inlineStr">
        <is>
          <t>CRS0000675</t>
        </is>
      </c>
      <c r="D277" s="10" t="n">
        <v>46135</v>
      </c>
      <c r="E277" s="4" t="inlineStr">
        <is>
          <t>Pass</t>
        </is>
      </c>
      <c r="F277" s="4" t="inlineStr">
        <is>
          <t>no</t>
        </is>
      </c>
      <c r="G277" s="4" t="inlineStr">
        <is>
          <t>Final Current</t>
        </is>
      </c>
      <c r="H277" s="4" t="n">
        <v>6.64</v>
      </c>
      <c r="I277" s="4" t="n">
        <v>3.19</v>
      </c>
    </row>
    <row r="278">
      <c r="A278" s="3" t="inlineStr">
        <is>
          <t>04D1626121408</t>
        </is>
      </c>
      <c r="B278" s="3" t="inlineStr">
        <is>
          <t>MT</t>
        </is>
      </c>
      <c r="C278" s="3" t="inlineStr">
        <is>
          <t>CRS0000674</t>
        </is>
      </c>
      <c r="D278" s="8" t="n">
        <v>46128</v>
      </c>
      <c r="E278" s="3" t="inlineStr">
        <is>
          <t>Pass</t>
        </is>
      </c>
      <c r="F278" s="3" t="inlineStr">
        <is>
          <t>no</t>
        </is>
      </c>
      <c r="G278" s="3" t="inlineStr">
        <is>
          <t>Startup Current</t>
        </is>
      </c>
      <c r="H278" s="3" t="n">
        <v>4.3</v>
      </c>
      <c r="I278" s="3" t="n">
        <v>3.18</v>
      </c>
    </row>
    <row r="279">
      <c r="A279" s="4" t="inlineStr">
        <is>
          <t>04A2026120315</t>
        </is>
      </c>
      <c r="B279" s="4" t="inlineStr">
        <is>
          <t>MT</t>
        </is>
      </c>
      <c r="C279" s="4" t="inlineStr">
        <is>
          <t>CRS0000674</t>
        </is>
      </c>
      <c r="D279" s="10" t="n">
        <v>46062</v>
      </c>
      <c r="E279" s="4" t="inlineStr">
        <is>
          <t>Fail</t>
        </is>
      </c>
      <c r="F279" s="9" t="inlineStr">
        <is>
          <t>YES</t>
        </is>
      </c>
      <c r="G279" s="4" t="inlineStr">
        <is>
          <t>Evap Outlet Air Temp</t>
        </is>
      </c>
      <c r="H279" s="4" t="n">
        <v>63.3</v>
      </c>
      <c r="I279" s="4" t="n">
        <v>3.16</v>
      </c>
    </row>
    <row r="280">
      <c r="A280" s="3" t="inlineStr">
        <is>
          <t>04A2026120315</t>
        </is>
      </c>
      <c r="B280" s="3" t="inlineStr">
        <is>
          <t>MT</t>
        </is>
      </c>
      <c r="C280" s="3" t="inlineStr">
        <is>
          <t>CRS0000674</t>
        </is>
      </c>
      <c r="D280" s="8" t="n">
        <v>46062</v>
      </c>
      <c r="E280" s="3" t="inlineStr">
        <is>
          <t>Fail</t>
        </is>
      </c>
      <c r="F280" s="9" t="inlineStr">
        <is>
          <t>YES</t>
        </is>
      </c>
      <c r="G280" s="3" t="inlineStr">
        <is>
          <t>Evap Outlet Air Temp</t>
        </is>
      </c>
      <c r="H280" s="3" t="n">
        <v>63.3</v>
      </c>
      <c r="I280" s="3" t="n">
        <v>3.16</v>
      </c>
    </row>
    <row r="281">
      <c r="A281" s="4" t="inlineStr">
        <is>
          <t>04C1226120935</t>
        </is>
      </c>
      <c r="B281" s="4" t="inlineStr">
        <is>
          <t>MT</t>
        </is>
      </c>
      <c r="C281" s="4" t="inlineStr">
        <is>
          <t>CRS0000674</t>
        </is>
      </c>
      <c r="D281" s="10" t="n">
        <v>46094</v>
      </c>
      <c r="E281" s="4" t="inlineStr">
        <is>
          <t>Fail</t>
        </is>
      </c>
      <c r="F281" s="9" t="inlineStr">
        <is>
          <t>YES</t>
        </is>
      </c>
      <c r="G281" s="4" t="inlineStr">
        <is>
          <t>Evap Outlet Air Temp</t>
        </is>
      </c>
      <c r="H281" s="4" t="n">
        <v>63.3</v>
      </c>
      <c r="I281" s="4" t="n">
        <v>3.16</v>
      </c>
    </row>
    <row r="282">
      <c r="A282" s="3" t="inlineStr">
        <is>
          <t>04A2926120429</t>
        </is>
      </c>
      <c r="B282" s="3" t="inlineStr">
        <is>
          <t>LT</t>
        </is>
      </c>
      <c r="C282" s="3" t="inlineStr">
        <is>
          <t>CRS0000675</t>
        </is>
      </c>
      <c r="D282" s="8" t="n">
        <v>46064</v>
      </c>
      <c r="E282" s="3" t="inlineStr">
        <is>
          <t>Fail</t>
        </is>
      </c>
      <c r="F282" s="9" t="inlineStr">
        <is>
          <t>YES</t>
        </is>
      </c>
      <c r="G282" s="3" t="inlineStr">
        <is>
          <t>Final Current</t>
        </is>
      </c>
      <c r="H282" s="3" t="n">
        <v>9.18</v>
      </c>
      <c r="I282" s="3" t="n">
        <v>3.16</v>
      </c>
    </row>
    <row r="283">
      <c r="A283" s="4" t="inlineStr">
        <is>
          <t>04D0926121293</t>
        </is>
      </c>
      <c r="B283" s="4" t="inlineStr">
        <is>
          <t>LT</t>
        </is>
      </c>
      <c r="C283" s="4" t="inlineStr">
        <is>
          <t>CRS0000675</t>
        </is>
      </c>
      <c r="D283" s="10" t="n">
        <v>46129</v>
      </c>
      <c r="E283" s="4" t="inlineStr">
        <is>
          <t>Fail</t>
        </is>
      </c>
      <c r="F283" s="9" t="inlineStr">
        <is>
          <t>YES</t>
        </is>
      </c>
      <c r="G283" s="4" t="inlineStr">
        <is>
          <t>Suction Tube Temp</t>
        </is>
      </c>
      <c r="H283" s="4" t="n">
        <v>134.7</v>
      </c>
      <c r="I283" s="4" t="n">
        <v>3.15</v>
      </c>
    </row>
    <row r="284">
      <c r="A284" s="3" t="inlineStr">
        <is>
          <t>04B2826120725</t>
        </is>
      </c>
      <c r="B284" s="3" t="inlineStr">
        <is>
          <t>LT</t>
        </is>
      </c>
      <c r="C284" s="3" t="inlineStr">
        <is>
          <t>CRS0000675</t>
        </is>
      </c>
      <c r="D284" s="8" t="n">
        <v>46082</v>
      </c>
      <c r="E284" s="3" t="inlineStr">
        <is>
          <t>Pass</t>
        </is>
      </c>
      <c r="F284" s="3" t="inlineStr">
        <is>
          <t>no</t>
        </is>
      </c>
      <c r="G284" s="3" t="inlineStr">
        <is>
          <t>Inlet/Outlet Delta</t>
        </is>
      </c>
      <c r="H284" s="3" t="n">
        <v>6.2</v>
      </c>
      <c r="I284" s="3" t="n">
        <v>3.12</v>
      </c>
    </row>
    <row r="285">
      <c r="A285" s="4" t="inlineStr">
        <is>
          <t>04D0926121293</t>
        </is>
      </c>
      <c r="B285" s="4" t="inlineStr">
        <is>
          <t>LT</t>
        </is>
      </c>
      <c r="C285" s="4" t="inlineStr">
        <is>
          <t>CRS0000675</t>
        </is>
      </c>
      <c r="D285" s="10" t="n">
        <v>46129</v>
      </c>
      <c r="E285" s="4" t="inlineStr">
        <is>
          <t>Fail</t>
        </is>
      </c>
      <c r="F285" s="9" t="inlineStr">
        <is>
          <t>YES</t>
        </is>
      </c>
      <c r="G285" s="4" t="inlineStr">
        <is>
          <t>Final Current</t>
        </is>
      </c>
      <c r="H285" s="4" t="n">
        <v>6.67</v>
      </c>
      <c r="I285" s="4" t="n">
        <v>3.11</v>
      </c>
    </row>
    <row r="286">
      <c r="A286" s="3" t="inlineStr">
        <is>
          <t>04D1326121345</t>
        </is>
      </c>
      <c r="B286" s="3" t="inlineStr">
        <is>
          <t>LT</t>
        </is>
      </c>
      <c r="C286" s="3" t="inlineStr">
        <is>
          <t>CRS0000675</t>
        </is>
      </c>
      <c r="D286" s="8" t="n">
        <v>46135</v>
      </c>
      <c r="E286" s="3" t="inlineStr">
        <is>
          <t>Pass</t>
        </is>
      </c>
      <c r="F286" s="3" t="inlineStr">
        <is>
          <t>no</t>
        </is>
      </c>
      <c r="G286" s="3" t="inlineStr">
        <is>
          <t>Final Current</t>
        </is>
      </c>
      <c r="H286" s="3" t="n">
        <v>6.67</v>
      </c>
      <c r="I286" s="3" t="n">
        <v>3.11</v>
      </c>
    </row>
    <row r="287">
      <c r="A287" s="4" t="inlineStr">
        <is>
          <t>04C1326120945</t>
        </is>
      </c>
      <c r="B287" s="4" t="inlineStr">
        <is>
          <t>MT</t>
        </is>
      </c>
      <c r="C287" s="4" t="inlineStr">
        <is>
          <t>CRS0000674</t>
        </is>
      </c>
      <c r="D287" s="10" t="n">
        <v>46095</v>
      </c>
      <c r="E287" s="4" t="inlineStr">
        <is>
          <t>Fail</t>
        </is>
      </c>
      <c r="F287" s="9" t="inlineStr">
        <is>
          <t>YES</t>
        </is>
      </c>
      <c r="G287" s="4" t="inlineStr">
        <is>
          <t>Suction Tube Temp</t>
        </is>
      </c>
      <c r="H287" s="4" t="n">
        <v>128</v>
      </c>
      <c r="I287" s="4" t="n">
        <v>3.1</v>
      </c>
    </row>
    <row r="288">
      <c r="A288" s="3" t="inlineStr">
        <is>
          <t>04B2626120698</t>
        </is>
      </c>
      <c r="B288" s="3" t="inlineStr">
        <is>
          <t>MT</t>
        </is>
      </c>
      <c r="C288" s="3" t="inlineStr">
        <is>
          <t>CRS0000674</t>
        </is>
      </c>
      <c r="D288" s="8" t="n">
        <v>46080</v>
      </c>
      <c r="E288" s="3" t="inlineStr">
        <is>
          <t>Pass</t>
        </is>
      </c>
      <c r="F288" s="3" t="inlineStr">
        <is>
          <t>no</t>
        </is>
      </c>
      <c r="G288" s="3" t="inlineStr">
        <is>
          <t>Inlet/Outlet Delta</t>
        </is>
      </c>
      <c r="H288" s="3" t="n">
        <v>5.8</v>
      </c>
      <c r="I288" s="3" t="n">
        <v>3.1</v>
      </c>
    </row>
    <row r="289">
      <c r="A289" s="4" t="inlineStr">
        <is>
          <t>04C2326121067</t>
        </is>
      </c>
      <c r="B289" s="4" t="inlineStr">
        <is>
          <t>MT</t>
        </is>
      </c>
      <c r="C289" s="4" t="inlineStr">
        <is>
          <t>CRS0000674</t>
        </is>
      </c>
      <c r="D289" s="10" t="n">
        <v>46105</v>
      </c>
      <c r="E289" s="4" t="inlineStr">
        <is>
          <t>Pass</t>
        </is>
      </c>
      <c r="F289" s="4" t="inlineStr">
        <is>
          <t>no</t>
        </is>
      </c>
      <c r="G289" s="4" t="inlineStr">
        <is>
          <t>Suction Tube Temp</t>
        </is>
      </c>
      <c r="H289" s="4" t="n">
        <v>97.2</v>
      </c>
      <c r="I289" s="4" t="n">
        <v>3.08</v>
      </c>
    </row>
    <row r="290">
      <c r="A290" s="3" t="inlineStr">
        <is>
          <t>04D0926121293</t>
        </is>
      </c>
      <c r="B290" s="3" t="inlineStr">
        <is>
          <t>LT</t>
        </is>
      </c>
      <c r="C290" s="3" t="inlineStr">
        <is>
          <t>CRS0000675</t>
        </is>
      </c>
      <c r="D290" s="8" t="n">
        <v>46129</v>
      </c>
      <c r="E290" s="3" t="inlineStr">
        <is>
          <t>Fail</t>
        </is>
      </c>
      <c r="F290" s="9" t="inlineStr">
        <is>
          <t>YES</t>
        </is>
      </c>
      <c r="G290" s="3" t="inlineStr">
        <is>
          <t>Suction Tube Temp</t>
        </is>
      </c>
      <c r="H290" s="3" t="n">
        <v>135.2</v>
      </c>
      <c r="I290" s="3" t="n">
        <v>3.06</v>
      </c>
    </row>
    <row r="291">
      <c r="A291" s="4" t="inlineStr">
        <is>
          <t>04D1126121338</t>
        </is>
      </c>
      <c r="B291" s="4" t="inlineStr">
        <is>
          <t>LT</t>
        </is>
      </c>
      <c r="C291" s="4" t="inlineStr">
        <is>
          <t>CRS0000675</t>
        </is>
      </c>
      <c r="D291" s="10" t="n">
        <v>46135</v>
      </c>
      <c r="E291" s="4" t="inlineStr">
        <is>
          <t>Fail</t>
        </is>
      </c>
      <c r="F291" s="9" t="inlineStr">
        <is>
          <t>YES</t>
        </is>
      </c>
      <c r="G291" s="4" t="inlineStr">
        <is>
          <t>Final Current</t>
        </is>
      </c>
      <c r="H291" s="4" t="n">
        <v>6.69</v>
      </c>
      <c r="I291" s="4" t="n">
        <v>3.06</v>
      </c>
    </row>
    <row r="292">
      <c r="A292" s="3" t="inlineStr">
        <is>
          <t>04C2626121099</t>
        </is>
      </c>
      <c r="B292" s="3" t="inlineStr">
        <is>
          <t>LT</t>
        </is>
      </c>
      <c r="C292" s="3" t="inlineStr">
        <is>
          <t>CRS0000675</t>
        </is>
      </c>
      <c r="D292" s="8" t="n">
        <v>46107</v>
      </c>
      <c r="E292" s="3" t="inlineStr">
        <is>
          <t>Pass</t>
        </is>
      </c>
      <c r="F292" s="3" t="inlineStr">
        <is>
          <t>no</t>
        </is>
      </c>
      <c r="G292" s="3" t="inlineStr">
        <is>
          <t>Startup Current</t>
        </is>
      </c>
      <c r="H292" s="3" t="n">
        <v>6.35</v>
      </c>
      <c r="I292" s="3" t="n">
        <v>3.04</v>
      </c>
    </row>
    <row r="293">
      <c r="A293" s="4" t="inlineStr">
        <is>
          <t>04C3126121160</t>
        </is>
      </c>
      <c r="B293" s="4" t="inlineStr">
        <is>
          <t>MT</t>
        </is>
      </c>
      <c r="C293" s="4" t="inlineStr">
        <is>
          <t>CRS0000674</t>
        </is>
      </c>
      <c r="D293" s="10" t="n">
        <v>46112</v>
      </c>
      <c r="E293" s="4" t="inlineStr">
        <is>
          <t>Pass</t>
        </is>
      </c>
      <c r="F293" s="4" t="inlineStr">
        <is>
          <t>no</t>
        </is>
      </c>
      <c r="G293" s="4" t="inlineStr">
        <is>
          <t>Suction Tube Temp</t>
        </is>
      </c>
      <c r="H293" s="4" t="n">
        <v>127.6</v>
      </c>
      <c r="I293" s="4" t="n">
        <v>3.02</v>
      </c>
    </row>
    <row r="294">
      <c r="A294" s="3" t="inlineStr">
        <is>
          <t>04C2026121031</t>
        </is>
      </c>
      <c r="B294" s="3" t="inlineStr">
        <is>
          <t>MT</t>
        </is>
      </c>
      <c r="C294" s="3" t="inlineStr">
        <is>
          <t>CRS0000674</t>
        </is>
      </c>
      <c r="D294" s="8" t="n">
        <v>46101</v>
      </c>
      <c r="E294" s="3" t="inlineStr">
        <is>
          <t>Fail</t>
        </is>
      </c>
      <c r="F294" s="9" t="inlineStr">
        <is>
          <t>YES</t>
        </is>
      </c>
      <c r="G294" s="3" t="inlineStr">
        <is>
          <t>Ambient Temp</t>
        </is>
      </c>
      <c r="H294" s="3" t="n">
        <v>76.3</v>
      </c>
      <c r="I294" s="3" t="n">
        <v>3.01</v>
      </c>
    </row>
    <row r="295">
      <c r="A295" s="4" t="inlineStr">
        <is>
          <t>04C2526121094</t>
        </is>
      </c>
      <c r="B295" s="4" t="inlineStr">
        <is>
          <t>LT</t>
        </is>
      </c>
      <c r="C295" s="4" t="inlineStr">
        <is>
          <t>CRS0000675</t>
        </is>
      </c>
      <c r="D295" s="10" t="n">
        <v>46136</v>
      </c>
      <c r="E295" s="4" t="inlineStr">
        <is>
          <t>Fail</t>
        </is>
      </c>
      <c r="F295" s="9" t="inlineStr">
        <is>
          <t>YES</t>
        </is>
      </c>
      <c r="G295" s="4" t="inlineStr">
        <is>
          <t>Final Current</t>
        </is>
      </c>
      <c r="H295" s="4" t="n">
        <v>6.71</v>
      </c>
      <c r="I295" s="4" t="n">
        <v>3.01</v>
      </c>
    </row>
    <row r="296">
      <c r="A296" s="3" t="inlineStr">
        <is>
          <t>04D1626121408</t>
        </is>
      </c>
      <c r="B296" s="3" t="inlineStr">
        <is>
          <t>MT</t>
        </is>
      </c>
      <c r="C296" s="3" t="inlineStr">
        <is>
          <t>CRS0000674</t>
        </is>
      </c>
      <c r="D296" s="8" t="n">
        <v>46128</v>
      </c>
      <c r="E296" s="3" t="inlineStr">
        <is>
          <t>Pass</t>
        </is>
      </c>
      <c r="F296" s="3" t="inlineStr">
        <is>
          <t>no</t>
        </is>
      </c>
      <c r="G296" s="3" t="inlineStr">
        <is>
          <t>Final Current</t>
        </is>
      </c>
      <c r="H296" s="3" t="n">
        <v>4.32</v>
      </c>
      <c r="I296" s="3" t="n">
        <v>3.01</v>
      </c>
    </row>
    <row r="297">
      <c r="A297" s="4" t="inlineStr">
        <is>
          <t>04B0326120505</t>
        </is>
      </c>
      <c r="B297" s="4" t="inlineStr">
        <is>
          <t>LT</t>
        </is>
      </c>
      <c r="C297" s="4" t="inlineStr">
        <is>
          <t>CRS0000675</t>
        </is>
      </c>
      <c r="D297" s="10" t="n">
        <v>46056</v>
      </c>
      <c r="E297" s="4" t="inlineStr">
        <is>
          <t>Fail</t>
        </is>
      </c>
      <c r="F297" s="9" t="inlineStr">
        <is>
          <t>YES</t>
        </is>
      </c>
      <c r="G297" s="4" t="inlineStr">
        <is>
          <t>Startup Current</t>
        </is>
      </c>
      <c r="H297" s="4" t="n">
        <v>6.37</v>
      </c>
      <c r="I297" s="4" t="n">
        <v>3</v>
      </c>
    </row>
  </sheetData>
  <autoFilter ref="A1:I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2026-05-05T02:27:25Z</dcterms:created>
  <dcterms:modified xmlns:dcterms="http://purl.org/dc/terms/" xmlns:xsi="http://www.w3.org/2001/XMLSchema-instance" xsi:type="dcterms:W3CDTF">2026-05-05T02:27:25Z</dcterms:modified>
</cp:coreProperties>
</file>