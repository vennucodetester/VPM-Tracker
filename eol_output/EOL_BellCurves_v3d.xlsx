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T_HistData" sheetId="3" state="visible" r:id="rId3"/>
    <sheet xmlns:r="http://schemas.openxmlformats.org/officeDocument/2006/relationships" name="MT_HistData" sheetId="4" state="visible" r:id="rId4"/>
    <sheet xmlns:r="http://schemas.openxmlformats.org/officeDocument/2006/relationships" name="LT_BellCurves" sheetId="5" state="visible" r:id="rId5"/>
    <sheet xmlns:r="http://schemas.openxmlformats.org/officeDocument/2006/relationships" name="MT_BellCurves" sheetId="6" state="visible" r:id="rId6"/>
    <sheet xmlns:r="http://schemas.openxmlformats.org/officeDocument/2006/relationships" name="Tolerance_Bands" sheetId="7" state="visible" r:id="rId7"/>
    <sheet xmlns:r="http://schemas.openxmlformats.org/officeDocument/2006/relationships" name="Outliers" sheetId="8" state="visible" r:id="rId8"/>
  </sheets>
  <definedNames>
    <definedName name="_xlnm._FilterDatabase" localSheetId="0" hidden="1">'RawData'!$A$1:$AD$941</definedName>
    <definedName name="_xlnm._FilterDatabase" localSheetId="6" hidden="1">'Tolerance_Bands'!$A$1:$O$25</definedName>
    <definedName name="_xlnm._FilterDatabase" localSheetId="7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 t="inlineStr">
        <is>
          <t>G</t>
        </is>
      </c>
      <c r="D2" s="3">
        <f>COUNTIFS(RawData!$C$2:$C$941,"LT",RawData!$G$2:$G$941,"&lt;&gt;0")</f>
        <v/>
      </c>
      <c r="E2" s="3">
        <f>COUNTIFS(RawData!$C$2:$C$941,"LT",RawData!$F$2:$F$941,"Pass",RawData!$G$2:$G$941,"&lt;&gt;0")</f>
        <v/>
      </c>
      <c r="F2" s="3">
        <f>IFERROR(AVERAGEIFS(RawData!$G$2:$G$941,RawData!$C$2:$C$941,"LT",RawData!$F$2:$F$941,"Pass",RawData!$G$2:$G$941,"&lt;&gt;0"),0)</f>
        <v/>
      </c>
      <c r="G2" s="3">
        <f>IFERROR(SQRT(SUMPRODUCT((RawData!$C$2:$C$941="LT")*(RawData!$F$2:$F$941="Pass")*(RawData!$G$2:$G$941&lt;&gt;0)*(RawData!$G$2:$G$941-$F2)^2)/($E2-1)),0)</f>
        <v/>
      </c>
      <c r="H2" s="3">
        <f>IFERROR(AGGREGATE(15,6,RawData!$G$2:$G$941/((RawData!$C$2:$C$941="LT")*(RawData!$G$2:$G$941&lt;&gt;0)),1),0)</f>
        <v/>
      </c>
      <c r="I2" s="3">
        <f>IFERROR(AGGREGATE(14,6,RawData!$G$2:$G$941/((RawData!$C$2:$C$941="LT")*(RawData!$G$2:$G$941&lt;&gt;0)),1),0)</f>
        <v/>
      </c>
      <c r="J2" s="3">
        <f>IFERROR(($I2-$H2+$G2)/30,1)</f>
        <v/>
      </c>
      <c r="K2" s="3">
        <f>$H2-0.5*$G2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 t="inlineStr">
        <is>
          <t>H</t>
        </is>
      </c>
      <c r="D3" s="4">
        <f>COUNTIFS(RawData!$C$2:$C$941,"LT",RawData!$H$2:$H$941,"&lt;&gt;0")</f>
        <v/>
      </c>
      <c r="E3" s="4">
        <f>COUNTIFS(RawData!$C$2:$C$941,"LT",RawData!$F$2:$F$941,"Pass",RawData!$H$2:$H$941,"&lt;&gt;0")</f>
        <v/>
      </c>
      <c r="F3" s="4">
        <f>IFERROR(AVERAGEIFS(RawData!$H$2:$H$941,RawData!$C$2:$C$941,"LT",RawData!$F$2:$F$941,"Pass",RawData!$H$2:$H$941,"&lt;&gt;0"),0)</f>
        <v/>
      </c>
      <c r="G3" s="4">
        <f>IFERROR(SQRT(SUMPRODUCT((RawData!$C$2:$C$941="LT")*(RawData!$F$2:$F$941="Pass")*(RawData!$H$2:$H$941&lt;&gt;0)*(RawData!$H$2:$H$941-$F3)^2)/($E3-1)),0)</f>
        <v/>
      </c>
      <c r="H3" s="4">
        <f>IFERROR(AGGREGATE(15,6,RawData!$H$2:$H$941/((RawData!$C$2:$C$941="LT")*(RawData!$H$2:$H$941&lt;&gt;0)),1),0)</f>
        <v/>
      </c>
      <c r="I3" s="4">
        <f>IFERROR(AGGREGATE(14,6,RawData!$H$2:$H$941/((RawData!$C$2:$C$941="LT")*(RawData!$H$2:$H$941&lt;&gt;0)),1),0)</f>
        <v/>
      </c>
      <c r="J3" s="4">
        <f>IFERROR(($I3-$H3+$G3)/30,1)</f>
        <v/>
      </c>
      <c r="K3" s="4">
        <f>$H3-0.5*$G3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 t="inlineStr">
        <is>
          <t>I</t>
        </is>
      </c>
      <c r="D4" s="3">
        <f>COUNTIFS(RawData!$C$2:$C$941,"LT",RawData!$I$2:$I$941,"&lt;&gt;0")</f>
        <v/>
      </c>
      <c r="E4" s="3">
        <f>COUNTIFS(RawData!$C$2:$C$941,"LT",RawData!$F$2:$F$941,"Pass",RawData!$I$2:$I$941,"&lt;&gt;0")</f>
        <v/>
      </c>
      <c r="F4" s="3">
        <f>IFERROR(AVERAGEIFS(RawData!$I$2:$I$941,RawData!$C$2:$C$941,"LT",RawData!$F$2:$F$941,"Pass",RawData!$I$2:$I$941,"&lt;&gt;0"),0)</f>
        <v/>
      </c>
      <c r="G4" s="3">
        <f>IFERROR(SQRT(SUMPRODUCT((RawData!$C$2:$C$941="LT")*(RawData!$F$2:$F$941="Pass")*(RawData!$I$2:$I$941&lt;&gt;0)*(RawData!$I$2:$I$941-$F4)^2)/($E4-1)),0)</f>
        <v/>
      </c>
      <c r="H4" s="3">
        <f>IFERROR(AGGREGATE(15,6,RawData!$I$2:$I$941/((RawData!$C$2:$C$941="LT")*(RawData!$I$2:$I$941&lt;&gt;0)),1),0)</f>
        <v/>
      </c>
      <c r="I4" s="3">
        <f>IFERROR(AGGREGATE(14,6,RawData!$I$2:$I$941/((RawData!$C$2:$C$941="LT")*(RawData!$I$2:$I$941&lt;&gt;0)),1),0)</f>
        <v/>
      </c>
      <c r="J4" s="3">
        <f>IFERROR(($I4-$H4+$G4)/30,1)</f>
        <v/>
      </c>
      <c r="K4" s="3">
        <f>$H4-0.5*$G4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 t="inlineStr">
        <is>
          <t>J</t>
        </is>
      </c>
      <c r="D5" s="4">
        <f>COUNTIFS(RawData!$C$2:$C$941,"LT",RawData!$J$2:$J$941,"&lt;&gt;0")</f>
        <v/>
      </c>
      <c r="E5" s="4">
        <f>COUNTIFS(RawData!$C$2:$C$941,"LT",RawData!$F$2:$F$941,"Pass",RawData!$J$2:$J$941,"&lt;&gt;0")</f>
        <v/>
      </c>
      <c r="F5" s="4">
        <f>IFERROR(AVERAGEIFS(RawData!$J$2:$J$941,RawData!$C$2:$C$941,"LT",RawData!$F$2:$F$941,"Pass",RawData!$J$2:$J$941,"&lt;&gt;0"),0)</f>
        <v/>
      </c>
      <c r="G5" s="4">
        <f>IFERROR(SQRT(SUMPRODUCT((RawData!$C$2:$C$941="LT")*(RawData!$F$2:$F$941="Pass")*(RawData!$J$2:$J$941&lt;&gt;0)*(RawData!$J$2:$J$941-$F5)^2)/($E5-1)),0)</f>
        <v/>
      </c>
      <c r="H5" s="4">
        <f>IFERROR(AGGREGATE(15,6,RawData!$J$2:$J$941/((RawData!$C$2:$C$941="LT")*(RawData!$J$2:$J$941&lt;&gt;0)),1),0)</f>
        <v/>
      </c>
      <c r="I5" s="4">
        <f>IFERROR(AGGREGATE(14,6,RawData!$J$2:$J$941/((RawData!$C$2:$C$941="LT")*(RawData!$J$2:$J$941&lt;&gt;0)),1),0)</f>
        <v/>
      </c>
      <c r="J5" s="4">
        <f>IFERROR(($I5-$H5+$G5)/30,1)</f>
        <v/>
      </c>
      <c r="K5" s="4">
        <f>$H5-0.5*$G5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 t="inlineStr">
        <is>
          <t>K</t>
        </is>
      </c>
      <c r="D6" s="3">
        <f>COUNTIFS(RawData!$C$2:$C$941,"LT",RawData!$K$2:$K$941,"&lt;&gt;0")</f>
        <v/>
      </c>
      <c r="E6" s="3">
        <f>COUNTIFS(RawData!$C$2:$C$941,"LT",RawData!$F$2:$F$941,"Pass",RawData!$K$2:$K$941,"&lt;&gt;0")</f>
        <v/>
      </c>
      <c r="F6" s="3">
        <f>IFERROR(AVERAGEIFS(RawData!$K$2:$K$941,RawData!$C$2:$C$941,"LT",RawData!$F$2:$F$941,"Pass",RawData!$K$2:$K$941,"&lt;&gt;0"),0)</f>
        <v/>
      </c>
      <c r="G6" s="3">
        <f>IFERROR(SQRT(SUMPRODUCT((RawData!$C$2:$C$941="LT")*(RawData!$F$2:$F$941="Pass")*(RawData!$K$2:$K$941&lt;&gt;0)*(RawData!$K$2:$K$941-$F6)^2)/($E6-1)),0)</f>
        <v/>
      </c>
      <c r="H6" s="3">
        <f>IFERROR(AGGREGATE(15,6,RawData!$K$2:$K$941/((RawData!$C$2:$C$941="LT")*(RawData!$K$2:$K$941&lt;&gt;0)),1),0)</f>
        <v/>
      </c>
      <c r="I6" s="3">
        <f>IFERROR(AGGREGATE(14,6,RawData!$K$2:$K$941/((RawData!$C$2:$C$941="LT")*(RawData!$K$2:$K$941&lt;&gt;0)),1),0)</f>
        <v/>
      </c>
      <c r="J6" s="3">
        <f>IFERROR(($I6-$H6+$G6)/30,1)</f>
        <v/>
      </c>
      <c r="K6" s="3">
        <f>$H6-0.5*$G6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 t="inlineStr">
        <is>
          <t>L</t>
        </is>
      </c>
      <c r="D7" s="4">
        <f>COUNTIFS(RawData!$C$2:$C$941,"LT",RawData!$L$2:$L$941,"&lt;&gt;0")</f>
        <v/>
      </c>
      <c r="E7" s="4">
        <f>COUNTIFS(RawData!$C$2:$C$941,"LT",RawData!$F$2:$F$941,"Pass",RawData!$L$2:$L$941,"&lt;&gt;0")</f>
        <v/>
      </c>
      <c r="F7" s="4">
        <f>IFERROR(AVERAGEIFS(RawData!$L$2:$L$941,RawData!$C$2:$C$941,"LT",RawData!$F$2:$F$941,"Pass",RawData!$L$2:$L$941,"&lt;&gt;0"),0)</f>
        <v/>
      </c>
      <c r="G7" s="4">
        <f>IFERROR(SQRT(SUMPRODUCT((RawData!$C$2:$C$941="LT")*(RawData!$F$2:$F$941="Pass")*(RawData!$L$2:$L$941&lt;&gt;0)*(RawData!$L$2:$L$941-$F7)^2)/($E7-1)),0)</f>
        <v/>
      </c>
      <c r="H7" s="4">
        <f>IFERROR(AGGREGATE(15,6,RawData!$L$2:$L$941/((RawData!$C$2:$C$941="LT")*(RawData!$L$2:$L$941&lt;&gt;0)),1),0)</f>
        <v/>
      </c>
      <c r="I7" s="4">
        <f>IFERROR(AGGREGATE(14,6,RawData!$L$2:$L$941/((RawData!$C$2:$C$941="LT")*(RawData!$L$2:$L$941&lt;&gt;0)),1),0)</f>
        <v/>
      </c>
      <c r="J7" s="4">
        <f>IFERROR(($I7-$H7+$G7)/30,1)</f>
        <v/>
      </c>
      <c r="K7" s="4">
        <f>$H7-0.5*$G7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 t="inlineStr">
        <is>
          <t>M</t>
        </is>
      </c>
      <c r="D8" s="3">
        <f>COUNTIFS(RawData!$C$2:$C$941,"LT",RawData!$M$2:$M$941,"&lt;&gt;0")</f>
        <v/>
      </c>
      <c r="E8" s="3">
        <f>COUNTIFS(RawData!$C$2:$C$941,"LT",RawData!$F$2:$F$941,"Pass",RawData!$M$2:$M$941,"&lt;&gt;0")</f>
        <v/>
      </c>
      <c r="F8" s="3">
        <f>IFERROR(AVERAGEIFS(RawData!$M$2:$M$941,RawData!$C$2:$C$941,"LT",RawData!$F$2:$F$941,"Pass",RawData!$M$2:$M$941,"&lt;&gt;0"),0)</f>
        <v/>
      </c>
      <c r="G8" s="3">
        <f>IFERROR(SQRT(SUMPRODUCT((RawData!$C$2:$C$941="LT")*(RawData!$F$2:$F$941="Pass")*(RawData!$M$2:$M$941&lt;&gt;0)*(RawData!$M$2:$M$941-$F8)^2)/($E8-1)),0)</f>
        <v/>
      </c>
      <c r="H8" s="3">
        <f>IFERROR(AGGREGATE(15,6,RawData!$M$2:$M$941/((RawData!$C$2:$C$941="LT")*(RawData!$M$2:$M$941&lt;&gt;0)),1),0)</f>
        <v/>
      </c>
      <c r="I8" s="3">
        <f>IFERROR(AGGREGATE(14,6,RawData!$M$2:$M$941/((RawData!$C$2:$C$941="LT")*(RawData!$M$2:$M$941&lt;&gt;0)),1),0)</f>
        <v/>
      </c>
      <c r="J8" s="3">
        <f>IFERROR(($I8-$H8+$G8)/30,1)</f>
        <v/>
      </c>
      <c r="K8" s="3">
        <f>$H8-0.5*$G8</f>
        <v/>
      </c>
    </row>
    <row r="9">
      <c r="A9" s="4" t="inlineStr">
        <is>
          <t>LT</t>
        </is>
      </c>
      <c r="B9" s="4" t="inlineStr">
        <is>
          <t>Ambient Temp</t>
        </is>
      </c>
      <c r="C9" s="4" t="inlineStr">
        <is>
          <t>N</t>
        </is>
      </c>
      <c r="D9" s="4">
        <f>COUNTIFS(RawData!$C$2:$C$941,"LT",RawData!$N$2:$N$941,"&lt;&gt;0")</f>
        <v/>
      </c>
      <c r="E9" s="4">
        <f>COUNTIFS(RawData!$C$2:$C$941,"LT",RawData!$F$2:$F$941,"Pass",RawData!$N$2:$N$941,"&lt;&gt;0")</f>
        <v/>
      </c>
      <c r="F9" s="4">
        <f>IFERROR(AVERAGEIFS(RawData!$N$2:$N$941,RawData!$C$2:$C$941,"LT",RawData!$F$2:$F$941,"Pass",RawData!$N$2:$N$941,"&lt;&gt;0"),0)</f>
        <v/>
      </c>
      <c r="G9" s="4">
        <f>IFERROR(SQRT(SUMPRODUCT((RawData!$C$2:$C$941="LT")*(RawData!$F$2:$F$941="Pass")*(RawData!$N$2:$N$941&lt;&gt;0)*(RawData!$N$2:$N$941-$F9)^2)/($E9-1)),0)</f>
        <v/>
      </c>
      <c r="H9" s="4">
        <f>IFERROR(AGGREGATE(15,6,RawData!$N$2:$N$941/((RawData!$C$2:$C$941="LT")*(RawData!$N$2:$N$941&lt;&gt;0)),1),0)</f>
        <v/>
      </c>
      <c r="I9" s="4">
        <f>IFERROR(AGGREGATE(14,6,RawData!$N$2:$N$941/((RawData!$C$2:$C$941="LT")*(RawData!$N$2:$N$941&lt;&gt;0)),1),0)</f>
        <v/>
      </c>
      <c r="J9" s="4">
        <f>IFERROR(($I9-$H9+$G9)/30,1)</f>
        <v/>
      </c>
      <c r="K9" s="4">
        <f>$H9-0.5*$G9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 t="inlineStr">
        <is>
          <t>O</t>
        </is>
      </c>
      <c r="D10" s="3">
        <f>COUNTIFS(RawData!$C$2:$C$941,"LT",RawData!$O$2:$O$941,"&lt;&gt;0")</f>
        <v/>
      </c>
      <c r="E10" s="3">
        <f>COUNTIFS(RawData!$C$2:$C$941,"LT",RawData!$F$2:$F$941,"Pass",RawData!$O$2:$O$941,"&lt;&gt;0")</f>
        <v/>
      </c>
      <c r="F10" s="3">
        <f>IFERROR(AVERAGEIFS(RawData!$O$2:$O$941,RawData!$C$2:$C$941,"LT",RawData!$F$2:$F$941,"Pass",RawData!$O$2:$O$941,"&lt;&gt;0"),0)</f>
        <v/>
      </c>
      <c r="G10" s="3">
        <f>IFERROR(SQRT(SUMPRODUCT((RawData!$C$2:$C$941="LT")*(RawData!$F$2:$F$941="Pass")*(RawData!$O$2:$O$941&lt;&gt;0)*(RawData!$O$2:$O$941-$F10)^2)/($E10-1)),0)</f>
        <v/>
      </c>
      <c r="H10" s="3">
        <f>IFERROR(AGGREGATE(15,6,RawData!$O$2:$O$941/((RawData!$C$2:$C$941="LT")*(RawData!$O$2:$O$941&lt;&gt;0)),1),0)</f>
        <v/>
      </c>
      <c r="I10" s="3">
        <f>IFERROR(AGGREGATE(14,6,RawData!$O$2:$O$941/((RawData!$C$2:$C$941="LT")*(RawData!$O$2:$O$941&lt;&gt;0)),1),0)</f>
        <v/>
      </c>
      <c r="J10" s="3">
        <f>IFERROR(($I10-$H10+$G10)/30,1)</f>
        <v/>
      </c>
      <c r="K10" s="3">
        <f>$H10-0.5*$G10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 t="inlineStr">
        <is>
          <t>P</t>
        </is>
      </c>
      <c r="D11" s="4">
        <f>COUNTIFS(RawData!$C$2:$C$941,"LT",RawData!$P$2:$P$941,"&lt;&gt;0")</f>
        <v/>
      </c>
      <c r="E11" s="4">
        <f>COUNTIFS(RawData!$C$2:$C$941,"LT",RawData!$F$2:$F$941,"Pass",RawData!$P$2:$P$941,"&lt;&gt;0")</f>
        <v/>
      </c>
      <c r="F11" s="4">
        <f>IFERROR(AVERAGEIFS(RawData!$P$2:$P$941,RawData!$C$2:$C$941,"LT",RawData!$F$2:$F$941,"Pass",RawData!$P$2:$P$941,"&lt;&gt;0"),0)</f>
        <v/>
      </c>
      <c r="G11" s="4">
        <f>IFERROR(SQRT(SUMPRODUCT((RawData!$C$2:$C$941="LT")*(RawData!$F$2:$F$941="Pass")*(RawData!$P$2:$P$941&lt;&gt;0)*(RawData!$P$2:$P$941-$F11)^2)/($E11-1)),0)</f>
        <v/>
      </c>
      <c r="H11" s="4">
        <f>IFERROR(AGGREGATE(15,6,RawData!$P$2:$P$941/((RawData!$C$2:$C$941="LT")*(RawData!$P$2:$P$941&lt;&gt;0)),1),0)</f>
        <v/>
      </c>
      <c r="I11" s="4">
        <f>IFERROR(AGGREGATE(14,6,RawData!$P$2:$P$941/((RawData!$C$2:$C$941="LT")*(RawData!$P$2:$P$941&lt;&gt;0)),1),0)</f>
        <v/>
      </c>
      <c r="J11" s="4">
        <f>IFERROR(($I11-$H11+$G11)/30,1)</f>
        <v/>
      </c>
      <c r="K11" s="4">
        <f>$H11-0.5*$G11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 t="inlineStr">
        <is>
          <t>Q</t>
        </is>
      </c>
      <c r="D12" s="3">
        <f>COUNTIFS(RawData!$C$2:$C$941,"LT",RawData!$Q$2:$Q$941,"&lt;&gt;0")</f>
        <v/>
      </c>
      <c r="E12" s="3">
        <f>COUNTIFS(RawData!$C$2:$C$941,"LT",RawData!$F$2:$F$941,"Pass",RawData!$Q$2:$Q$941,"&lt;&gt;0")</f>
        <v/>
      </c>
      <c r="F12" s="3">
        <f>IFERROR(AVERAGEIFS(RawData!$Q$2:$Q$941,RawData!$C$2:$C$941,"LT",RawData!$F$2:$F$941,"Pass",RawData!$Q$2:$Q$941,"&lt;&gt;0"),0)</f>
        <v/>
      </c>
      <c r="G12" s="3">
        <f>IFERROR(SQRT(SUMPRODUCT((RawData!$C$2:$C$941="LT")*(RawData!$F$2:$F$941="Pass")*(RawData!$Q$2:$Q$941&lt;&gt;0)*(RawData!$Q$2:$Q$941-$F12)^2)/($E12-1)),0)</f>
        <v/>
      </c>
      <c r="H12" s="3">
        <f>IFERROR(AGGREGATE(15,6,RawData!$Q$2:$Q$941/((RawData!$C$2:$C$941="LT")*(RawData!$Q$2:$Q$941&lt;&gt;0)),1),0)</f>
        <v/>
      </c>
      <c r="I12" s="3">
        <f>IFERROR(AGGREGATE(14,6,RawData!$Q$2:$Q$941/((RawData!$C$2:$C$941="LT")*(RawData!$Q$2:$Q$941&lt;&gt;0)),1),0)</f>
        <v/>
      </c>
      <c r="J12" s="3">
        <f>IFERROR(($I12-$H12+$G12)/30,1)</f>
        <v/>
      </c>
      <c r="K12" s="3">
        <f>$H12-0.5*$G12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 t="inlineStr">
        <is>
          <t>R</t>
        </is>
      </c>
      <c r="D13" s="4">
        <f>COUNTIFS(RawData!$C$2:$C$941,"LT",RawData!$R$2:$R$941,"&lt;&gt;0")</f>
        <v/>
      </c>
      <c r="E13" s="4">
        <f>COUNTIFS(RawData!$C$2:$C$941,"LT",RawData!$F$2:$F$941,"Pass",RawData!$R$2:$R$941,"&lt;&gt;0")</f>
        <v/>
      </c>
      <c r="F13" s="4">
        <f>IFERROR(AVERAGEIFS(RawData!$R$2:$R$941,RawData!$C$2:$C$941,"LT",RawData!$F$2:$F$941,"Pass",RawData!$R$2:$R$941,"&lt;&gt;0"),0)</f>
        <v/>
      </c>
      <c r="G13" s="4">
        <f>IFERROR(SQRT(SUMPRODUCT((RawData!$C$2:$C$941="LT")*(RawData!$F$2:$F$941="Pass")*(RawData!$R$2:$R$941&lt;&gt;0)*(RawData!$R$2:$R$941-$F13)^2)/($E13-1)),0)</f>
        <v/>
      </c>
      <c r="H13" s="4">
        <f>IFERROR(AGGREGATE(15,6,RawData!$R$2:$R$941/((RawData!$C$2:$C$941="LT")*(RawData!$R$2:$R$941&lt;&gt;0)),1),0)</f>
        <v/>
      </c>
      <c r="I13" s="4">
        <f>IFERROR(AGGREGATE(14,6,RawData!$R$2:$R$941/((RawData!$C$2:$C$941="LT")*(RawData!$R$2:$R$941&lt;&gt;0)),1),0)</f>
        <v/>
      </c>
      <c r="J13" s="4">
        <f>IFERROR(($I13-$H13+$G13)/30,1)</f>
        <v/>
      </c>
      <c r="K13" s="4">
        <f>$H13-0.5*$G13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 t="inlineStr">
        <is>
          <t>G</t>
        </is>
      </c>
      <c r="D14" s="3">
        <f>COUNTIFS(RawData!$C$2:$C$941,"MT",RawData!$G$2:$G$941,"&lt;&gt;0")</f>
        <v/>
      </c>
      <c r="E14" s="3">
        <f>COUNTIFS(RawData!$C$2:$C$941,"MT",RawData!$F$2:$F$941,"Pass",RawData!$G$2:$G$941,"&lt;&gt;0")</f>
        <v/>
      </c>
      <c r="F14" s="3">
        <f>IFERROR(AVERAGEIFS(RawData!$G$2:$G$941,RawData!$C$2:$C$941,"MT",RawData!$F$2:$F$941,"Pass",RawData!$G$2:$G$941,"&lt;&gt;0"),0)</f>
        <v/>
      </c>
      <c r="G14" s="3">
        <f>IFERROR(SQRT(SUMPRODUCT((RawData!$C$2:$C$941="MT")*(RawData!$F$2:$F$941="Pass")*(RawData!$G$2:$G$941&lt;&gt;0)*(RawData!$G$2:$G$941-$F14)^2)/($E14-1)),0)</f>
        <v/>
      </c>
      <c r="H14" s="3">
        <f>IFERROR(AGGREGATE(15,6,RawData!$G$2:$G$941/((RawData!$C$2:$C$941="MT")*(RawData!$G$2:$G$941&lt;&gt;0)),1),0)</f>
        <v/>
      </c>
      <c r="I14" s="3">
        <f>IFERROR(AGGREGATE(14,6,RawData!$G$2:$G$941/((RawData!$C$2:$C$941="MT")*(RawData!$G$2:$G$941&lt;&gt;0)),1),0)</f>
        <v/>
      </c>
      <c r="J14" s="3">
        <f>IFERROR(($I14-$H14+$G14)/30,1)</f>
        <v/>
      </c>
      <c r="K14" s="3">
        <f>$H14-0.5*$G14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 t="inlineStr">
        <is>
          <t>H</t>
        </is>
      </c>
      <c r="D15" s="4">
        <f>COUNTIFS(RawData!$C$2:$C$941,"MT",RawData!$H$2:$H$941,"&lt;&gt;0")</f>
        <v/>
      </c>
      <c r="E15" s="4">
        <f>COUNTIFS(RawData!$C$2:$C$941,"MT",RawData!$F$2:$F$941,"Pass",RawData!$H$2:$H$941,"&lt;&gt;0")</f>
        <v/>
      </c>
      <c r="F15" s="4">
        <f>IFERROR(AVERAGEIFS(RawData!$H$2:$H$941,RawData!$C$2:$C$941,"MT",RawData!$F$2:$F$941,"Pass",RawData!$H$2:$H$941,"&lt;&gt;0"),0)</f>
        <v/>
      </c>
      <c r="G15" s="4">
        <f>IFERROR(SQRT(SUMPRODUCT((RawData!$C$2:$C$941="MT")*(RawData!$F$2:$F$941="Pass")*(RawData!$H$2:$H$941&lt;&gt;0)*(RawData!$H$2:$H$941-$F15)^2)/($E15-1)),0)</f>
        <v/>
      </c>
      <c r="H15" s="4">
        <f>IFERROR(AGGREGATE(15,6,RawData!$H$2:$H$941/((RawData!$C$2:$C$941="MT")*(RawData!$H$2:$H$941&lt;&gt;0)),1),0)</f>
        <v/>
      </c>
      <c r="I15" s="4">
        <f>IFERROR(AGGREGATE(14,6,RawData!$H$2:$H$941/((RawData!$C$2:$C$941="MT")*(RawData!$H$2:$H$941&lt;&gt;0)),1),0)</f>
        <v/>
      </c>
      <c r="J15" s="4">
        <f>IFERROR(($I15-$H15+$G15)/30,1)</f>
        <v/>
      </c>
      <c r="K15" s="4">
        <f>$H15-0.5*$G15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 t="inlineStr">
        <is>
          <t>I</t>
        </is>
      </c>
      <c r="D16" s="3">
        <f>COUNTIFS(RawData!$C$2:$C$941,"MT",RawData!$I$2:$I$941,"&lt;&gt;0")</f>
        <v/>
      </c>
      <c r="E16" s="3">
        <f>COUNTIFS(RawData!$C$2:$C$941,"MT",RawData!$F$2:$F$941,"Pass",RawData!$I$2:$I$941,"&lt;&gt;0")</f>
        <v/>
      </c>
      <c r="F16" s="3">
        <f>IFERROR(AVERAGEIFS(RawData!$I$2:$I$941,RawData!$C$2:$C$941,"MT",RawData!$F$2:$F$941,"Pass",RawData!$I$2:$I$941,"&lt;&gt;0"),0)</f>
        <v/>
      </c>
      <c r="G16" s="3">
        <f>IFERROR(SQRT(SUMPRODUCT((RawData!$C$2:$C$941="MT")*(RawData!$F$2:$F$941="Pass")*(RawData!$I$2:$I$941&lt;&gt;0)*(RawData!$I$2:$I$941-$F16)^2)/($E16-1)),0)</f>
        <v/>
      </c>
      <c r="H16" s="3">
        <f>IFERROR(AGGREGATE(15,6,RawData!$I$2:$I$941/((RawData!$C$2:$C$941="MT")*(RawData!$I$2:$I$941&lt;&gt;0)),1),0)</f>
        <v/>
      </c>
      <c r="I16" s="3">
        <f>IFERROR(AGGREGATE(14,6,RawData!$I$2:$I$941/((RawData!$C$2:$C$941="MT")*(RawData!$I$2:$I$941&lt;&gt;0)),1),0)</f>
        <v/>
      </c>
      <c r="J16" s="3">
        <f>IFERROR(($I16-$H16+$G16)/30,1)</f>
        <v/>
      </c>
      <c r="K16" s="3">
        <f>$H16-0.5*$G16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 t="inlineStr">
        <is>
          <t>J</t>
        </is>
      </c>
      <c r="D17" s="4">
        <f>COUNTIFS(RawData!$C$2:$C$941,"MT",RawData!$J$2:$J$941,"&lt;&gt;0")</f>
        <v/>
      </c>
      <c r="E17" s="4">
        <f>COUNTIFS(RawData!$C$2:$C$941,"MT",RawData!$F$2:$F$941,"Pass",RawData!$J$2:$J$941,"&lt;&gt;0")</f>
        <v/>
      </c>
      <c r="F17" s="4">
        <f>IFERROR(AVERAGEIFS(RawData!$J$2:$J$941,RawData!$C$2:$C$941,"MT",RawData!$F$2:$F$941,"Pass",RawData!$J$2:$J$941,"&lt;&gt;0"),0)</f>
        <v/>
      </c>
      <c r="G17" s="4">
        <f>IFERROR(SQRT(SUMPRODUCT((RawData!$C$2:$C$941="MT")*(RawData!$F$2:$F$941="Pass")*(RawData!$J$2:$J$941&lt;&gt;0)*(RawData!$J$2:$J$941-$F17)^2)/($E17-1)),0)</f>
        <v/>
      </c>
      <c r="H17" s="4">
        <f>IFERROR(AGGREGATE(15,6,RawData!$J$2:$J$941/((RawData!$C$2:$C$941="MT")*(RawData!$J$2:$J$941&lt;&gt;0)),1),0)</f>
        <v/>
      </c>
      <c r="I17" s="4">
        <f>IFERROR(AGGREGATE(14,6,RawData!$J$2:$J$941/((RawData!$C$2:$C$941="MT")*(RawData!$J$2:$J$941&lt;&gt;0)),1),0)</f>
        <v/>
      </c>
      <c r="J17" s="4">
        <f>IFERROR(($I17-$H17+$G17)/30,1)</f>
        <v/>
      </c>
      <c r="K17" s="4">
        <f>$H17-0.5*$G17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 t="inlineStr">
        <is>
          <t>K</t>
        </is>
      </c>
      <c r="D18" s="3">
        <f>COUNTIFS(RawData!$C$2:$C$941,"MT",RawData!$K$2:$K$941,"&lt;&gt;0")</f>
        <v/>
      </c>
      <c r="E18" s="3">
        <f>COUNTIFS(RawData!$C$2:$C$941,"MT",RawData!$F$2:$F$941,"Pass",RawData!$K$2:$K$941,"&lt;&gt;0")</f>
        <v/>
      </c>
      <c r="F18" s="3">
        <f>IFERROR(AVERAGEIFS(RawData!$K$2:$K$941,RawData!$C$2:$C$941,"MT",RawData!$F$2:$F$941,"Pass",RawData!$K$2:$K$941,"&lt;&gt;0"),0)</f>
        <v/>
      </c>
      <c r="G18" s="3">
        <f>IFERROR(SQRT(SUMPRODUCT((RawData!$C$2:$C$941="MT")*(RawData!$F$2:$F$941="Pass")*(RawData!$K$2:$K$941&lt;&gt;0)*(RawData!$K$2:$K$941-$F18)^2)/($E18-1)),0)</f>
        <v/>
      </c>
      <c r="H18" s="3">
        <f>IFERROR(AGGREGATE(15,6,RawData!$K$2:$K$941/((RawData!$C$2:$C$941="MT")*(RawData!$K$2:$K$941&lt;&gt;0)),1),0)</f>
        <v/>
      </c>
      <c r="I18" s="3">
        <f>IFERROR(AGGREGATE(14,6,RawData!$K$2:$K$941/((RawData!$C$2:$C$941="MT")*(RawData!$K$2:$K$941&lt;&gt;0)),1),0)</f>
        <v/>
      </c>
      <c r="J18" s="3">
        <f>IFERROR(($I18-$H18+$G18)/30,1)</f>
        <v/>
      </c>
      <c r="K18" s="3">
        <f>$H18-0.5*$G18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 t="inlineStr">
        <is>
          <t>L</t>
        </is>
      </c>
      <c r="D19" s="4">
        <f>COUNTIFS(RawData!$C$2:$C$941,"MT",RawData!$L$2:$L$941,"&lt;&gt;0")</f>
        <v/>
      </c>
      <c r="E19" s="4">
        <f>COUNTIFS(RawData!$C$2:$C$941,"MT",RawData!$F$2:$F$941,"Pass",RawData!$L$2:$L$941,"&lt;&gt;0")</f>
        <v/>
      </c>
      <c r="F19" s="4">
        <f>IFERROR(AVERAGEIFS(RawData!$L$2:$L$941,RawData!$C$2:$C$941,"MT",RawData!$F$2:$F$941,"Pass",RawData!$L$2:$L$941,"&lt;&gt;0"),0)</f>
        <v/>
      </c>
      <c r="G19" s="4">
        <f>IFERROR(SQRT(SUMPRODUCT((RawData!$C$2:$C$941="MT")*(RawData!$F$2:$F$941="Pass")*(RawData!$L$2:$L$941&lt;&gt;0)*(RawData!$L$2:$L$941-$F19)^2)/($E19-1)),0)</f>
        <v/>
      </c>
      <c r="H19" s="4">
        <f>IFERROR(AGGREGATE(15,6,RawData!$L$2:$L$941/((RawData!$C$2:$C$941="MT")*(RawData!$L$2:$L$941&lt;&gt;0)),1),0)</f>
        <v/>
      </c>
      <c r="I19" s="4">
        <f>IFERROR(AGGREGATE(14,6,RawData!$L$2:$L$941/((RawData!$C$2:$C$941="MT")*(RawData!$L$2:$L$941&lt;&gt;0)),1),0)</f>
        <v/>
      </c>
      <c r="J19" s="4">
        <f>IFERROR(($I19-$H19+$G19)/30,1)</f>
        <v/>
      </c>
      <c r="K19" s="4">
        <f>$H19-0.5*$G19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 t="inlineStr">
        <is>
          <t>M</t>
        </is>
      </c>
      <c r="D20" s="3">
        <f>COUNTIFS(RawData!$C$2:$C$941,"MT",RawData!$M$2:$M$941,"&lt;&gt;0")</f>
        <v/>
      </c>
      <c r="E20" s="3">
        <f>COUNTIFS(RawData!$C$2:$C$941,"MT",RawData!$F$2:$F$941,"Pass",RawData!$M$2:$M$941,"&lt;&gt;0")</f>
        <v/>
      </c>
      <c r="F20" s="3">
        <f>IFERROR(AVERAGEIFS(RawData!$M$2:$M$941,RawData!$C$2:$C$941,"MT",RawData!$F$2:$F$941,"Pass",RawData!$M$2:$M$941,"&lt;&gt;0"),0)</f>
        <v/>
      </c>
      <c r="G20" s="3">
        <f>IFERROR(SQRT(SUMPRODUCT((RawData!$C$2:$C$941="MT")*(RawData!$F$2:$F$941="Pass")*(RawData!$M$2:$M$941&lt;&gt;0)*(RawData!$M$2:$M$941-$F20)^2)/($E20-1)),0)</f>
        <v/>
      </c>
      <c r="H20" s="3">
        <f>IFERROR(AGGREGATE(15,6,RawData!$M$2:$M$941/((RawData!$C$2:$C$941="MT")*(RawData!$M$2:$M$941&lt;&gt;0)),1),0)</f>
        <v/>
      </c>
      <c r="I20" s="3">
        <f>IFERROR(AGGREGATE(14,6,RawData!$M$2:$M$941/((RawData!$C$2:$C$941="MT")*(RawData!$M$2:$M$941&lt;&gt;0)),1),0)</f>
        <v/>
      </c>
      <c r="J20" s="3">
        <f>IFERROR(($I20-$H20+$G20)/30,1)</f>
        <v/>
      </c>
      <c r="K20" s="3">
        <f>$H20-0.5*$G20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 t="inlineStr">
        <is>
          <t>N</t>
        </is>
      </c>
      <c r="D21" s="4">
        <f>COUNTIFS(RawData!$C$2:$C$941,"MT",RawData!$N$2:$N$941,"&lt;&gt;0")</f>
        <v/>
      </c>
      <c r="E21" s="4">
        <f>COUNTIFS(RawData!$C$2:$C$941,"MT",RawData!$F$2:$F$941,"Pass",RawData!$N$2:$N$941,"&lt;&gt;0")</f>
        <v/>
      </c>
      <c r="F21" s="4">
        <f>IFERROR(AVERAGEIFS(RawData!$N$2:$N$941,RawData!$C$2:$C$941,"MT",RawData!$F$2:$F$941,"Pass",RawData!$N$2:$N$941,"&lt;&gt;0"),0)</f>
        <v/>
      </c>
      <c r="G21" s="4">
        <f>IFERROR(SQRT(SUMPRODUCT((RawData!$C$2:$C$941="MT")*(RawData!$F$2:$F$941="Pass")*(RawData!$N$2:$N$941&lt;&gt;0)*(RawData!$N$2:$N$941-$F21)^2)/($E21-1)),0)</f>
        <v/>
      </c>
      <c r="H21" s="4">
        <f>IFERROR(AGGREGATE(15,6,RawData!$N$2:$N$941/((RawData!$C$2:$C$941="MT")*(RawData!$N$2:$N$941&lt;&gt;0)),1),0)</f>
        <v/>
      </c>
      <c r="I21" s="4">
        <f>IFERROR(AGGREGATE(14,6,RawData!$N$2:$N$941/((RawData!$C$2:$C$941="MT")*(RawData!$N$2:$N$941&lt;&gt;0)),1),0)</f>
        <v/>
      </c>
      <c r="J21" s="4">
        <f>IFERROR(($I21-$H21+$G21)/30,1)</f>
        <v/>
      </c>
      <c r="K21" s="4">
        <f>$H21-0.5*$G21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 t="inlineStr">
        <is>
          <t>O</t>
        </is>
      </c>
      <c r="D22" s="3">
        <f>COUNTIFS(RawData!$C$2:$C$941,"MT",RawData!$O$2:$O$941,"&lt;&gt;0")</f>
        <v/>
      </c>
      <c r="E22" s="3">
        <f>COUNTIFS(RawData!$C$2:$C$941,"MT",RawData!$F$2:$F$941,"Pass",RawData!$O$2:$O$941,"&lt;&gt;0")</f>
        <v/>
      </c>
      <c r="F22" s="3">
        <f>IFERROR(AVERAGEIFS(RawData!$O$2:$O$941,RawData!$C$2:$C$941,"MT",RawData!$F$2:$F$941,"Pass",RawData!$O$2:$O$941,"&lt;&gt;0"),0)</f>
        <v/>
      </c>
      <c r="G22" s="3">
        <f>IFERROR(SQRT(SUMPRODUCT((RawData!$C$2:$C$941="MT")*(RawData!$F$2:$F$941="Pass")*(RawData!$O$2:$O$941&lt;&gt;0)*(RawData!$O$2:$O$941-$F22)^2)/($E22-1)),0)</f>
        <v/>
      </c>
      <c r="H22" s="3">
        <f>IFERROR(AGGREGATE(15,6,RawData!$O$2:$O$941/((RawData!$C$2:$C$941="MT")*(RawData!$O$2:$O$941&lt;&gt;0)),1),0)</f>
        <v/>
      </c>
      <c r="I22" s="3">
        <f>IFERROR(AGGREGATE(14,6,RawData!$O$2:$O$941/((RawData!$C$2:$C$941="MT")*(RawData!$O$2:$O$941&lt;&gt;0)),1),0)</f>
        <v/>
      </c>
      <c r="J22" s="3">
        <f>IFERROR(($I22-$H22+$G22)/30,1)</f>
        <v/>
      </c>
      <c r="K22" s="3">
        <f>$H22-0.5*$G22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 t="inlineStr">
        <is>
          <t>P</t>
        </is>
      </c>
      <c r="D23" s="4">
        <f>COUNTIFS(RawData!$C$2:$C$941,"MT",RawData!$P$2:$P$941,"&lt;&gt;0")</f>
        <v/>
      </c>
      <c r="E23" s="4">
        <f>COUNTIFS(RawData!$C$2:$C$941,"MT",RawData!$F$2:$F$941,"Pass",RawData!$P$2:$P$941,"&lt;&gt;0")</f>
        <v/>
      </c>
      <c r="F23" s="4">
        <f>IFERROR(AVERAGEIFS(RawData!$P$2:$P$941,RawData!$C$2:$C$941,"MT",RawData!$F$2:$F$941,"Pass",RawData!$P$2:$P$941,"&lt;&gt;0"),0)</f>
        <v/>
      </c>
      <c r="G23" s="4">
        <f>IFERROR(SQRT(SUMPRODUCT((RawData!$C$2:$C$941="MT")*(RawData!$F$2:$F$941="Pass")*(RawData!$P$2:$P$941&lt;&gt;0)*(RawData!$P$2:$P$941-$F23)^2)/($E23-1)),0)</f>
        <v/>
      </c>
      <c r="H23" s="4">
        <f>IFERROR(AGGREGATE(15,6,RawData!$P$2:$P$941/((RawData!$C$2:$C$941="MT")*(RawData!$P$2:$P$941&lt;&gt;0)),1),0)</f>
        <v/>
      </c>
      <c r="I23" s="4">
        <f>IFERROR(AGGREGATE(14,6,RawData!$P$2:$P$941/((RawData!$C$2:$C$941="MT")*(RawData!$P$2:$P$941&lt;&gt;0)),1),0)</f>
        <v/>
      </c>
      <c r="J23" s="4">
        <f>IFERROR(($I23-$H23+$G23)/30,1)</f>
        <v/>
      </c>
      <c r="K23" s="4">
        <f>$H23-0.5*$G23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 t="inlineStr">
        <is>
          <t>Q</t>
        </is>
      </c>
      <c r="D24" s="3">
        <f>COUNTIFS(RawData!$C$2:$C$941,"MT",RawData!$Q$2:$Q$941,"&lt;&gt;0")</f>
        <v/>
      </c>
      <c r="E24" s="3">
        <f>COUNTIFS(RawData!$C$2:$C$941,"MT",RawData!$F$2:$F$941,"Pass",RawData!$Q$2:$Q$941,"&lt;&gt;0")</f>
        <v/>
      </c>
      <c r="F24" s="3">
        <f>IFERROR(AVERAGEIFS(RawData!$Q$2:$Q$941,RawData!$C$2:$C$941,"MT",RawData!$F$2:$F$941,"Pass",RawData!$Q$2:$Q$941,"&lt;&gt;0"),0)</f>
        <v/>
      </c>
      <c r="G24" s="3">
        <f>IFERROR(SQRT(SUMPRODUCT((RawData!$C$2:$C$941="MT")*(RawData!$F$2:$F$941="Pass")*(RawData!$Q$2:$Q$941&lt;&gt;0)*(RawData!$Q$2:$Q$941-$F24)^2)/($E24-1)),0)</f>
        <v/>
      </c>
      <c r="H24" s="3">
        <f>IFERROR(AGGREGATE(15,6,RawData!$Q$2:$Q$941/((RawData!$C$2:$C$941="MT")*(RawData!$Q$2:$Q$941&lt;&gt;0)),1),0)</f>
        <v/>
      </c>
      <c r="I24" s="3">
        <f>IFERROR(AGGREGATE(14,6,RawData!$Q$2:$Q$941/((RawData!$C$2:$C$941="MT")*(RawData!$Q$2:$Q$941&lt;&gt;0)),1),0)</f>
        <v/>
      </c>
      <c r="J24" s="3">
        <f>IFERROR(($I24-$H24+$G24)/30,1)</f>
        <v/>
      </c>
      <c r="K24" s="3">
        <f>$H24-0.5*$G24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 t="inlineStr">
        <is>
          <t>R</t>
        </is>
      </c>
      <c r="D25" s="4">
        <f>COUNTIFS(RawData!$C$2:$C$941,"MT",RawData!$R$2:$R$941,"&lt;&gt;0")</f>
        <v/>
      </c>
      <c r="E25" s="4">
        <f>COUNTIFS(RawData!$C$2:$C$941,"MT",RawData!$F$2:$F$941,"Pass",RawData!$R$2:$R$941,"&lt;&gt;0")</f>
        <v/>
      </c>
      <c r="F25" s="4">
        <f>IFERROR(AVERAGEIFS(RawData!$R$2:$R$941,RawData!$C$2:$C$941,"MT",RawData!$F$2:$F$941,"Pass",RawData!$R$2:$R$941,"&lt;&gt;0"),0)</f>
        <v/>
      </c>
      <c r="G25" s="4">
        <f>IFERROR(SQRT(SUMPRODUCT((RawData!$C$2:$C$941="MT")*(RawData!$F$2:$F$941="Pass")*(RawData!$R$2:$R$941&lt;&gt;0)*(RawData!$R$2:$R$941-$F25)^2)/($E25-1)),0)</f>
        <v/>
      </c>
      <c r="H25" s="4">
        <f>IFERROR(AGGREGATE(15,6,RawData!$R$2:$R$941/((RawData!$C$2:$C$941="MT")*(RawData!$R$2:$R$941&lt;&gt;0)),1),0)</f>
        <v/>
      </c>
      <c r="I25" s="4">
        <f>IFERROR(AGGREGATE(14,6,RawData!$R$2:$R$941/((RawData!$C$2:$C$941="MT")*(RawData!$R$2:$R$941&lt;&gt;0)),1),0)</f>
        <v/>
      </c>
      <c r="J25" s="4">
        <f>IFERROR(($I25-$H25+$G25)/30,1)</f>
        <v/>
      </c>
      <c r="K25" s="4">
        <f>$H25-0.5*$G25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Config!$K$2+0*Config!$J$2+Config!$J$2/2</f>
        <v/>
      </c>
      <c r="B2" s="6">
        <f>$A2-Config!$J$2/2</f>
        <v/>
      </c>
      <c r="C2" s="6">
        <f>$A2+Config!$J$2/2</f>
        <v/>
      </c>
      <c r="D2" s="6">
        <f>COUNTIFS(RawData!$C$2:$C$941,"LT",RawData!$G$2:$G$941,"&gt;="&amp;$B2,RawData!$G$2:$G$941,"&lt;"&amp;$C2,RawData!$G$2:$G$941,"&lt;&gt;0")</f>
        <v/>
      </c>
      <c r="E2" s="6">
        <f>IF(Config!$G$2=0,0,IF(ABS(($A2-Config!$F$2)/Config!$G$2)&lt;=2,$D2,0))</f>
        <v/>
      </c>
      <c r="F2" s="6">
        <f>IF(Config!$G$2=0,0,IF(AND(ABS(($A2-Config!$F$2)/Config!$G$2)&gt;2,ABS(($A2-Config!$F$2)/Config!$G$2)&lt;=3),$D2,0))</f>
        <v/>
      </c>
      <c r="G2" s="6">
        <f>IF(Config!$G$2=0,0,IF(ABS(($A2-Config!$F$2)/Config!$G$2)&gt;3,$D2,0))</f>
        <v/>
      </c>
      <c r="H2" s="6">
        <f>IFERROR(NORM.DIST($A2,Config!$F$2,Config!$G$2,FALSE)*Config!$D$2*Config!$J$2,0)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IFERROR(NORM.DIST($A3,Config!$F$2,Config!$G$2,FALSE)*Config!$D$2*Config!$J$2,0)</f>
        <v/>
      </c>
    </row>
    <row r="4">
      <c r="A4" s="6">
        <f>Config!$K$2+2*Config!$J$2+Config!$J$2/2</f>
        <v/>
      </c>
      <c r="B4" s="6">
        <f>$A4-Config!$J$2/2</f>
        <v/>
      </c>
      <c r="C4" s="6">
        <f>$A4+Config!$J$2/2</f>
        <v/>
      </c>
      <c r="D4" s="6">
        <f>COUNTIFS(RawData!$C$2:$C$941,"LT",RawData!$G$2:$G$941,"&gt;="&amp;$B4,RawData!$G$2:$G$941,"&lt;"&amp;$C4,RawData!$G$2:$G$941,"&lt;&gt;0")</f>
        <v/>
      </c>
      <c r="E4" s="6">
        <f>IF(Config!$G$2=0,0,IF(ABS(($A4-Config!$F$2)/Config!$G$2)&lt;=2,$D4,0))</f>
        <v/>
      </c>
      <c r="F4" s="6">
        <f>IF(Config!$G$2=0,0,IF(AND(ABS(($A4-Config!$F$2)/Config!$G$2)&gt;2,ABS(($A4-Config!$F$2)/Config!$G$2)&lt;=3),$D4,0))</f>
        <v/>
      </c>
      <c r="G4" s="6">
        <f>IF(Config!$G$2=0,0,IF(ABS(($A4-Config!$F$2)/Config!$G$2)&gt;3,$D4,0))</f>
        <v/>
      </c>
      <c r="H4" s="6">
        <f>IFERROR(NORM.DIST($A4,Config!$F$2,Config!$G$2,FALSE)*Config!$D$2*Config!$J$2,0)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IFERROR(NORM.DIST($A5,Config!$F$2,Config!$G$2,FALSE)*Config!$D$2*Config!$J$2,0)</f>
        <v/>
      </c>
    </row>
    <row r="6">
      <c r="A6" s="6">
        <f>Config!$K$2+4*Config!$J$2+Config!$J$2/2</f>
        <v/>
      </c>
      <c r="B6" s="6">
        <f>$A6-Config!$J$2/2</f>
        <v/>
      </c>
      <c r="C6" s="6">
        <f>$A6+Config!$J$2/2</f>
        <v/>
      </c>
      <c r="D6" s="6">
        <f>COUNTIFS(RawData!$C$2:$C$941,"LT",RawData!$G$2:$G$941,"&gt;="&amp;$B6,RawData!$G$2:$G$941,"&lt;"&amp;$C6,RawData!$G$2:$G$941,"&lt;&gt;0")</f>
        <v/>
      </c>
      <c r="E6" s="6">
        <f>IF(Config!$G$2=0,0,IF(ABS(($A6-Config!$F$2)/Config!$G$2)&lt;=2,$D6,0))</f>
        <v/>
      </c>
      <c r="F6" s="6">
        <f>IF(Config!$G$2=0,0,IF(AND(ABS(($A6-Config!$F$2)/Config!$G$2)&gt;2,ABS(($A6-Config!$F$2)/Config!$G$2)&lt;=3),$D6,0))</f>
        <v/>
      </c>
      <c r="G6" s="6">
        <f>IF(Config!$G$2=0,0,IF(ABS(($A6-Config!$F$2)/Config!$G$2)&gt;3,$D6,0))</f>
        <v/>
      </c>
      <c r="H6" s="6">
        <f>IFERROR(NORM.DIST($A6,Config!$F$2,Config!$G$2,FALSE)*Config!$D$2*Config!$J$2,0)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IFERROR(NORM.DIST($A7,Config!$F$2,Config!$G$2,FALSE)*Config!$D$2*Config!$J$2,0)</f>
        <v/>
      </c>
    </row>
    <row r="8">
      <c r="A8" s="6">
        <f>Config!$K$2+6*Config!$J$2+Config!$J$2/2</f>
        <v/>
      </c>
      <c r="B8" s="6">
        <f>$A8-Config!$J$2/2</f>
        <v/>
      </c>
      <c r="C8" s="6">
        <f>$A8+Config!$J$2/2</f>
        <v/>
      </c>
      <c r="D8" s="6">
        <f>COUNTIFS(RawData!$C$2:$C$941,"LT",RawData!$G$2:$G$941,"&gt;="&amp;$B8,RawData!$G$2:$G$941,"&lt;"&amp;$C8,RawData!$G$2:$G$941,"&lt;&gt;0")</f>
        <v/>
      </c>
      <c r="E8" s="6">
        <f>IF(Config!$G$2=0,0,IF(ABS(($A8-Config!$F$2)/Config!$G$2)&lt;=2,$D8,0))</f>
        <v/>
      </c>
      <c r="F8" s="6">
        <f>IF(Config!$G$2=0,0,IF(AND(ABS(($A8-Config!$F$2)/Config!$G$2)&gt;2,ABS(($A8-Config!$F$2)/Config!$G$2)&lt;=3),$D8,0))</f>
        <v/>
      </c>
      <c r="G8" s="6">
        <f>IF(Config!$G$2=0,0,IF(ABS(($A8-Config!$F$2)/Config!$G$2)&gt;3,$D8,0))</f>
        <v/>
      </c>
      <c r="H8" s="6">
        <f>IFERROR(NORM.DIST($A8,Config!$F$2,Config!$G$2,FALSE)*Config!$D$2*Config!$J$2,0)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IFERROR(NORM.DIST($A9,Config!$F$2,Config!$G$2,FALSE)*Config!$D$2*Config!$J$2,0)</f>
        <v/>
      </c>
    </row>
    <row r="10">
      <c r="A10" s="6">
        <f>Config!$K$2+8*Config!$J$2+Config!$J$2/2</f>
        <v/>
      </c>
      <c r="B10" s="6">
        <f>$A10-Config!$J$2/2</f>
        <v/>
      </c>
      <c r="C10" s="6">
        <f>$A10+Config!$J$2/2</f>
        <v/>
      </c>
      <c r="D10" s="6">
        <f>COUNTIFS(RawData!$C$2:$C$941,"LT",RawData!$G$2:$G$941,"&gt;="&amp;$B10,RawData!$G$2:$G$941,"&lt;"&amp;$C10,RawData!$G$2:$G$941,"&lt;&gt;0")</f>
        <v/>
      </c>
      <c r="E10" s="6">
        <f>IF(Config!$G$2=0,0,IF(ABS(($A10-Config!$F$2)/Config!$G$2)&lt;=2,$D10,0))</f>
        <v/>
      </c>
      <c r="F10" s="6">
        <f>IF(Config!$G$2=0,0,IF(AND(ABS(($A10-Config!$F$2)/Config!$G$2)&gt;2,ABS(($A10-Config!$F$2)/Config!$G$2)&lt;=3),$D10,0))</f>
        <v/>
      </c>
      <c r="G10" s="6">
        <f>IF(Config!$G$2=0,0,IF(ABS(($A10-Config!$F$2)/Config!$G$2)&gt;3,$D10,0))</f>
        <v/>
      </c>
      <c r="H10" s="6">
        <f>IFERROR(NORM.DIST($A10,Config!$F$2,Config!$G$2,FALSE)*Config!$D$2*Config!$J$2,0)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IFERROR(NORM.DIST($A11,Config!$F$2,Config!$G$2,FALSE)*Config!$D$2*Config!$J$2,0)</f>
        <v/>
      </c>
    </row>
    <row r="12">
      <c r="A12" s="6">
        <f>Config!$K$2+10*Config!$J$2+Config!$J$2/2</f>
        <v/>
      </c>
      <c r="B12" s="6">
        <f>$A12-Config!$J$2/2</f>
        <v/>
      </c>
      <c r="C12" s="6">
        <f>$A12+Config!$J$2/2</f>
        <v/>
      </c>
      <c r="D12" s="6">
        <f>COUNTIFS(RawData!$C$2:$C$941,"LT",RawData!$G$2:$G$941,"&gt;="&amp;$B12,RawData!$G$2:$G$941,"&lt;"&amp;$C12,RawData!$G$2:$G$941,"&lt;&gt;0")</f>
        <v/>
      </c>
      <c r="E12" s="6">
        <f>IF(Config!$G$2=0,0,IF(ABS(($A12-Config!$F$2)/Config!$G$2)&lt;=2,$D12,0))</f>
        <v/>
      </c>
      <c r="F12" s="6">
        <f>IF(Config!$G$2=0,0,IF(AND(ABS(($A12-Config!$F$2)/Config!$G$2)&gt;2,ABS(($A12-Config!$F$2)/Config!$G$2)&lt;=3),$D12,0))</f>
        <v/>
      </c>
      <c r="G12" s="6">
        <f>IF(Config!$G$2=0,0,IF(ABS(($A12-Config!$F$2)/Config!$G$2)&gt;3,$D12,0))</f>
        <v/>
      </c>
      <c r="H12" s="6">
        <f>IFERROR(NORM.DIST($A12,Config!$F$2,Config!$G$2,FALSE)*Config!$D$2*Config!$J$2,0)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IFERROR(NORM.DIST($A13,Config!$F$2,Config!$G$2,FALSE)*Config!$D$2*Config!$J$2,0)</f>
        <v/>
      </c>
    </row>
    <row r="14">
      <c r="A14" s="6">
        <f>Config!$K$2+12*Config!$J$2+Config!$J$2/2</f>
        <v/>
      </c>
      <c r="B14" s="6">
        <f>$A14-Config!$J$2/2</f>
        <v/>
      </c>
      <c r="C14" s="6">
        <f>$A14+Config!$J$2/2</f>
        <v/>
      </c>
      <c r="D14" s="6">
        <f>COUNTIFS(RawData!$C$2:$C$941,"LT",RawData!$G$2:$G$941,"&gt;="&amp;$B14,RawData!$G$2:$G$941,"&lt;"&amp;$C14,RawData!$G$2:$G$941,"&lt;&gt;0")</f>
        <v/>
      </c>
      <c r="E14" s="6">
        <f>IF(Config!$G$2=0,0,IF(ABS(($A14-Config!$F$2)/Config!$G$2)&lt;=2,$D14,0))</f>
        <v/>
      </c>
      <c r="F14" s="6">
        <f>IF(Config!$G$2=0,0,IF(AND(ABS(($A14-Config!$F$2)/Config!$G$2)&gt;2,ABS(($A14-Config!$F$2)/Config!$G$2)&lt;=3),$D14,0))</f>
        <v/>
      </c>
      <c r="G14" s="6">
        <f>IF(Config!$G$2=0,0,IF(ABS(($A14-Config!$F$2)/Config!$G$2)&gt;3,$D14,0))</f>
        <v/>
      </c>
      <c r="H14" s="6">
        <f>IFERROR(NORM.DIST($A14,Config!$F$2,Config!$G$2,FALSE)*Config!$D$2*Config!$J$2,0)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IFERROR(NORM.DIST($A15,Config!$F$2,Config!$G$2,FALSE)*Config!$D$2*Config!$J$2,0)</f>
        <v/>
      </c>
    </row>
    <row r="16">
      <c r="A16" s="6">
        <f>Config!$K$2+14*Config!$J$2+Config!$J$2/2</f>
        <v/>
      </c>
      <c r="B16" s="6">
        <f>$A16-Config!$J$2/2</f>
        <v/>
      </c>
      <c r="C16" s="6">
        <f>$A16+Config!$J$2/2</f>
        <v/>
      </c>
      <c r="D16" s="6">
        <f>COUNTIFS(RawData!$C$2:$C$941,"LT",RawData!$G$2:$G$941,"&gt;="&amp;$B16,RawData!$G$2:$G$941,"&lt;"&amp;$C16,RawData!$G$2:$G$941,"&lt;&gt;0")</f>
        <v/>
      </c>
      <c r="E16" s="6">
        <f>IF(Config!$G$2=0,0,IF(ABS(($A16-Config!$F$2)/Config!$G$2)&lt;=2,$D16,0))</f>
        <v/>
      </c>
      <c r="F16" s="6">
        <f>IF(Config!$G$2=0,0,IF(AND(ABS(($A16-Config!$F$2)/Config!$G$2)&gt;2,ABS(($A16-Config!$F$2)/Config!$G$2)&lt;=3),$D16,0))</f>
        <v/>
      </c>
      <c r="G16" s="6">
        <f>IF(Config!$G$2=0,0,IF(ABS(($A16-Config!$F$2)/Config!$G$2)&gt;3,$D16,0))</f>
        <v/>
      </c>
      <c r="H16" s="6">
        <f>IFERROR(NORM.DIST($A16,Config!$F$2,Config!$G$2,FALSE)*Config!$D$2*Config!$J$2,0)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IFERROR(NORM.DIST($A17,Config!$F$2,Config!$G$2,FALSE)*Config!$D$2*Config!$J$2,0)</f>
        <v/>
      </c>
    </row>
    <row r="18">
      <c r="A18" s="6">
        <f>Config!$K$2+16*Config!$J$2+Config!$J$2/2</f>
        <v/>
      </c>
      <c r="B18" s="6">
        <f>$A18-Config!$J$2/2</f>
        <v/>
      </c>
      <c r="C18" s="6">
        <f>$A18+Config!$J$2/2</f>
        <v/>
      </c>
      <c r="D18" s="6">
        <f>COUNTIFS(RawData!$C$2:$C$941,"LT",RawData!$G$2:$G$941,"&gt;="&amp;$B18,RawData!$G$2:$G$941,"&lt;"&amp;$C18,RawData!$G$2:$G$941,"&lt;&gt;0")</f>
        <v/>
      </c>
      <c r="E18" s="6">
        <f>IF(Config!$G$2=0,0,IF(ABS(($A18-Config!$F$2)/Config!$G$2)&lt;=2,$D18,0))</f>
        <v/>
      </c>
      <c r="F18" s="6">
        <f>IF(Config!$G$2=0,0,IF(AND(ABS(($A18-Config!$F$2)/Config!$G$2)&gt;2,ABS(($A18-Config!$F$2)/Config!$G$2)&lt;=3),$D18,0))</f>
        <v/>
      </c>
      <c r="G18" s="6">
        <f>IF(Config!$G$2=0,0,IF(ABS(($A18-Config!$F$2)/Config!$G$2)&gt;3,$D18,0))</f>
        <v/>
      </c>
      <c r="H18" s="6">
        <f>IFERROR(NORM.DIST($A18,Config!$F$2,Config!$G$2,FALSE)*Config!$D$2*Config!$J$2,0)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IFERROR(NORM.DIST($A19,Config!$F$2,Config!$G$2,FALSE)*Config!$D$2*Config!$J$2,0)</f>
        <v/>
      </c>
    </row>
    <row r="20">
      <c r="A20" s="6">
        <f>Config!$K$2+18*Config!$J$2+Config!$J$2/2</f>
        <v/>
      </c>
      <c r="B20" s="6">
        <f>$A20-Config!$J$2/2</f>
        <v/>
      </c>
      <c r="C20" s="6">
        <f>$A20+Config!$J$2/2</f>
        <v/>
      </c>
      <c r="D20" s="6">
        <f>COUNTIFS(RawData!$C$2:$C$941,"LT",RawData!$G$2:$G$941,"&gt;="&amp;$B20,RawData!$G$2:$G$941,"&lt;"&amp;$C20,RawData!$G$2:$G$941,"&lt;&gt;0")</f>
        <v/>
      </c>
      <c r="E20" s="6">
        <f>IF(Config!$G$2=0,0,IF(ABS(($A20-Config!$F$2)/Config!$G$2)&lt;=2,$D20,0))</f>
        <v/>
      </c>
      <c r="F20" s="6">
        <f>IF(Config!$G$2=0,0,IF(AND(ABS(($A20-Config!$F$2)/Config!$G$2)&gt;2,ABS(($A20-Config!$F$2)/Config!$G$2)&lt;=3),$D20,0))</f>
        <v/>
      </c>
      <c r="G20" s="6">
        <f>IF(Config!$G$2=0,0,IF(ABS(($A20-Config!$F$2)/Config!$G$2)&gt;3,$D20,0))</f>
        <v/>
      </c>
      <c r="H20" s="6">
        <f>IFERROR(NORM.DIST($A20,Config!$F$2,Config!$G$2,FALSE)*Config!$D$2*Config!$J$2,0)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IFERROR(NORM.DIST($A21,Config!$F$2,Config!$G$2,FALSE)*Config!$D$2*Config!$J$2,0)</f>
        <v/>
      </c>
    </row>
    <row r="22">
      <c r="A22" s="6">
        <f>Config!$K$2+20*Config!$J$2+Config!$J$2/2</f>
        <v/>
      </c>
      <c r="B22" s="6">
        <f>$A22-Config!$J$2/2</f>
        <v/>
      </c>
      <c r="C22" s="6">
        <f>$A22+Config!$J$2/2</f>
        <v/>
      </c>
      <c r="D22" s="6">
        <f>COUNTIFS(RawData!$C$2:$C$941,"LT",RawData!$G$2:$G$941,"&gt;="&amp;$B22,RawData!$G$2:$G$941,"&lt;"&amp;$C22,RawData!$G$2:$G$941,"&lt;&gt;0")</f>
        <v/>
      </c>
      <c r="E22" s="6">
        <f>IF(Config!$G$2=0,0,IF(ABS(($A22-Config!$F$2)/Config!$G$2)&lt;=2,$D22,0))</f>
        <v/>
      </c>
      <c r="F22" s="6">
        <f>IF(Config!$G$2=0,0,IF(AND(ABS(($A22-Config!$F$2)/Config!$G$2)&gt;2,ABS(($A22-Config!$F$2)/Config!$G$2)&lt;=3),$D22,0))</f>
        <v/>
      </c>
      <c r="G22" s="6">
        <f>IF(Config!$G$2=0,0,IF(ABS(($A22-Config!$F$2)/Config!$G$2)&gt;3,$D22,0))</f>
        <v/>
      </c>
      <c r="H22" s="6">
        <f>IFERROR(NORM.DIST($A22,Config!$F$2,Config!$G$2,FALSE)*Config!$D$2*Config!$J$2,0)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IFERROR(NORM.DIST($A23,Config!$F$2,Config!$G$2,FALSE)*Config!$D$2*Config!$J$2,0)</f>
        <v/>
      </c>
    </row>
    <row r="24">
      <c r="A24" s="6">
        <f>Config!$K$2+22*Config!$J$2+Config!$J$2/2</f>
        <v/>
      </c>
      <c r="B24" s="6">
        <f>$A24-Config!$J$2/2</f>
        <v/>
      </c>
      <c r="C24" s="6">
        <f>$A24+Config!$J$2/2</f>
        <v/>
      </c>
      <c r="D24" s="6">
        <f>COUNTIFS(RawData!$C$2:$C$941,"LT",RawData!$G$2:$G$941,"&gt;="&amp;$B24,RawData!$G$2:$G$941,"&lt;"&amp;$C24,RawData!$G$2:$G$941,"&lt;&gt;0")</f>
        <v/>
      </c>
      <c r="E24" s="6">
        <f>IF(Config!$G$2=0,0,IF(ABS(($A24-Config!$F$2)/Config!$G$2)&lt;=2,$D24,0))</f>
        <v/>
      </c>
      <c r="F24" s="6">
        <f>IF(Config!$G$2=0,0,IF(AND(ABS(($A24-Config!$F$2)/Config!$G$2)&gt;2,ABS(($A24-Config!$F$2)/Config!$G$2)&lt;=3),$D24,0))</f>
        <v/>
      </c>
      <c r="G24" s="6">
        <f>IF(Config!$G$2=0,0,IF(ABS(($A24-Config!$F$2)/Config!$G$2)&gt;3,$D24,0))</f>
        <v/>
      </c>
      <c r="H24" s="6">
        <f>IFERROR(NORM.DIST($A24,Config!$F$2,Config!$G$2,FALSE)*Config!$D$2*Config!$J$2,0)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IFERROR(NORM.DIST($A25,Config!$F$2,Config!$G$2,FALSE)*Config!$D$2*Config!$J$2,0)</f>
        <v/>
      </c>
    </row>
    <row r="26">
      <c r="A26" s="6">
        <f>Config!$K$2+24*Config!$J$2+Config!$J$2/2</f>
        <v/>
      </c>
      <c r="B26" s="6">
        <f>$A26-Config!$J$2/2</f>
        <v/>
      </c>
      <c r="C26" s="6">
        <f>$A26+Config!$J$2/2</f>
        <v/>
      </c>
      <c r="D26" s="6">
        <f>COUNTIFS(RawData!$C$2:$C$941,"LT",RawData!$G$2:$G$941,"&gt;="&amp;$B26,RawData!$G$2:$G$941,"&lt;"&amp;$C26,RawData!$G$2:$G$941,"&lt;&gt;0")</f>
        <v/>
      </c>
      <c r="E26" s="6">
        <f>IF(Config!$G$2=0,0,IF(ABS(($A26-Config!$F$2)/Config!$G$2)&lt;=2,$D26,0))</f>
        <v/>
      </c>
      <c r="F26" s="6">
        <f>IF(Config!$G$2=0,0,IF(AND(ABS(($A26-Config!$F$2)/Config!$G$2)&gt;2,ABS(($A26-Config!$F$2)/Config!$G$2)&lt;=3),$D26,0))</f>
        <v/>
      </c>
      <c r="G26" s="6">
        <f>IF(Config!$G$2=0,0,IF(ABS(($A26-Config!$F$2)/Config!$G$2)&gt;3,$D26,0))</f>
        <v/>
      </c>
      <c r="H26" s="6">
        <f>IFERROR(NORM.DIST($A26,Config!$F$2,Config!$G$2,FALSE)*Config!$D$2*Config!$J$2,0)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IFERROR(NORM.DIST($A27,Config!$F$2,Config!$G$2,FALSE)*Config!$D$2*Config!$J$2,0)</f>
        <v/>
      </c>
    </row>
    <row r="28">
      <c r="A28" s="6">
        <f>Config!$K$2+26*Config!$J$2+Config!$J$2/2</f>
        <v/>
      </c>
      <c r="B28" s="6">
        <f>$A28-Config!$J$2/2</f>
        <v/>
      </c>
      <c r="C28" s="6">
        <f>$A28+Config!$J$2/2</f>
        <v/>
      </c>
      <c r="D28" s="6">
        <f>COUNTIFS(RawData!$C$2:$C$941,"LT",RawData!$G$2:$G$941,"&gt;="&amp;$B28,RawData!$G$2:$G$941,"&lt;"&amp;$C28,RawData!$G$2:$G$941,"&lt;&gt;0")</f>
        <v/>
      </c>
      <c r="E28" s="6">
        <f>IF(Config!$G$2=0,0,IF(ABS(($A28-Config!$F$2)/Config!$G$2)&lt;=2,$D28,0))</f>
        <v/>
      </c>
      <c r="F28" s="6">
        <f>IF(Config!$G$2=0,0,IF(AND(ABS(($A28-Config!$F$2)/Config!$G$2)&gt;2,ABS(($A28-Config!$F$2)/Config!$G$2)&lt;=3),$D28,0))</f>
        <v/>
      </c>
      <c r="G28" s="6">
        <f>IF(Config!$G$2=0,0,IF(ABS(($A28-Config!$F$2)/Config!$G$2)&gt;3,$D28,0))</f>
        <v/>
      </c>
      <c r="H28" s="6">
        <f>IFERROR(NORM.DIST($A28,Config!$F$2,Config!$G$2,FALSE)*Config!$D$2*Config!$J$2,0)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IFERROR(NORM.DIST($A29,Config!$F$2,Config!$G$2,FALSE)*Config!$D$2*Config!$J$2,0)</f>
        <v/>
      </c>
    </row>
    <row r="30">
      <c r="A30" s="6">
        <f>Config!$K$2+28*Config!$J$2+Config!$J$2/2</f>
        <v/>
      </c>
      <c r="B30" s="6">
        <f>$A30-Config!$J$2/2</f>
        <v/>
      </c>
      <c r="C30" s="6">
        <f>$A30+Config!$J$2/2</f>
        <v/>
      </c>
      <c r="D30" s="6">
        <f>COUNTIFS(RawData!$C$2:$C$941,"LT",RawData!$G$2:$G$941,"&gt;="&amp;$B30,RawData!$G$2:$G$941,"&lt;"&amp;$C30,RawData!$G$2:$G$941,"&lt;&gt;0")</f>
        <v/>
      </c>
      <c r="E30" s="6">
        <f>IF(Config!$G$2=0,0,IF(ABS(($A30-Config!$F$2)/Config!$G$2)&lt;=2,$D30,0))</f>
        <v/>
      </c>
      <c r="F30" s="6">
        <f>IF(Config!$G$2=0,0,IF(AND(ABS(($A30-Config!$F$2)/Config!$G$2)&gt;2,ABS(($A30-Config!$F$2)/Config!$G$2)&lt;=3),$D30,0))</f>
        <v/>
      </c>
      <c r="G30" s="6">
        <f>IF(Config!$G$2=0,0,IF(ABS(($A30-Config!$F$2)/Config!$G$2)&gt;3,$D30,0))</f>
        <v/>
      </c>
      <c r="H30" s="6">
        <f>IFERROR(NORM.DIST($A30,Config!$F$2,Config!$G$2,FALSE)*Config!$D$2*Config!$J$2,0)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IFERROR(NORM.DIST($A31,Config!$F$2,Config!$G$2,FALSE)*Config!$D$2*Config!$J$2,0)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Config!$K$3+0*Config!$J$3+Config!$J$3/2</f>
        <v/>
      </c>
      <c r="B34" s="6">
        <f>$A34-Config!$J$3/2</f>
        <v/>
      </c>
      <c r="C34" s="6">
        <f>$A34+Config!$J$3/2</f>
        <v/>
      </c>
      <c r="D34" s="6">
        <f>COUNTIFS(RawData!$C$2:$C$941,"LT",RawData!$H$2:$H$941,"&gt;="&amp;$B34,RawData!$H$2:$H$941,"&lt;"&amp;$C34,RawData!$H$2:$H$941,"&lt;&gt;0")</f>
        <v/>
      </c>
      <c r="E34" s="6">
        <f>IF(Config!$G$3=0,0,IF(ABS(($A34-Config!$F$3)/Config!$G$3)&lt;=2,$D34,0))</f>
        <v/>
      </c>
      <c r="F34" s="6">
        <f>IF(Config!$G$3=0,0,IF(AND(ABS(($A34-Config!$F$3)/Config!$G$3)&gt;2,ABS(($A34-Config!$F$3)/Config!$G$3)&lt;=3),$D34,0))</f>
        <v/>
      </c>
      <c r="G34" s="6">
        <f>IF(Config!$G$3=0,0,IF(ABS(($A34-Config!$F$3)/Config!$G$3)&gt;3,$D34,0))</f>
        <v/>
      </c>
      <c r="H34" s="6">
        <f>IFERROR(NORM.DIST($A34,Config!$F$3,Config!$G$3,FALSE)*Config!$D$3*Config!$J$3,0)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IFERROR(NORM.DIST($A35,Config!$F$3,Config!$G$3,FALSE)*Config!$D$3*Config!$J$3,0)</f>
        <v/>
      </c>
    </row>
    <row r="36">
      <c r="A36" s="6">
        <f>Config!$K$3+2*Config!$J$3+Config!$J$3/2</f>
        <v/>
      </c>
      <c r="B36" s="6">
        <f>$A36-Config!$J$3/2</f>
        <v/>
      </c>
      <c r="C36" s="6">
        <f>$A36+Config!$J$3/2</f>
        <v/>
      </c>
      <c r="D36" s="6">
        <f>COUNTIFS(RawData!$C$2:$C$941,"LT",RawData!$H$2:$H$941,"&gt;="&amp;$B36,RawData!$H$2:$H$941,"&lt;"&amp;$C36,RawData!$H$2:$H$941,"&lt;&gt;0")</f>
        <v/>
      </c>
      <c r="E36" s="6">
        <f>IF(Config!$G$3=0,0,IF(ABS(($A36-Config!$F$3)/Config!$G$3)&lt;=2,$D36,0))</f>
        <v/>
      </c>
      <c r="F36" s="6">
        <f>IF(Config!$G$3=0,0,IF(AND(ABS(($A36-Config!$F$3)/Config!$G$3)&gt;2,ABS(($A36-Config!$F$3)/Config!$G$3)&lt;=3),$D36,0))</f>
        <v/>
      </c>
      <c r="G36" s="6">
        <f>IF(Config!$G$3=0,0,IF(ABS(($A36-Config!$F$3)/Config!$G$3)&gt;3,$D36,0))</f>
        <v/>
      </c>
      <c r="H36" s="6">
        <f>IFERROR(NORM.DIST($A36,Config!$F$3,Config!$G$3,FALSE)*Config!$D$3*Config!$J$3,0)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IFERROR(NORM.DIST($A37,Config!$F$3,Config!$G$3,FALSE)*Config!$D$3*Config!$J$3,0)</f>
        <v/>
      </c>
    </row>
    <row r="38">
      <c r="A38" s="6">
        <f>Config!$K$3+4*Config!$J$3+Config!$J$3/2</f>
        <v/>
      </c>
      <c r="B38" s="6">
        <f>$A38-Config!$J$3/2</f>
        <v/>
      </c>
      <c r="C38" s="6">
        <f>$A38+Config!$J$3/2</f>
        <v/>
      </c>
      <c r="D38" s="6">
        <f>COUNTIFS(RawData!$C$2:$C$941,"LT",RawData!$H$2:$H$941,"&gt;="&amp;$B38,RawData!$H$2:$H$941,"&lt;"&amp;$C38,RawData!$H$2:$H$941,"&lt;&gt;0")</f>
        <v/>
      </c>
      <c r="E38" s="6">
        <f>IF(Config!$G$3=0,0,IF(ABS(($A38-Config!$F$3)/Config!$G$3)&lt;=2,$D38,0))</f>
        <v/>
      </c>
      <c r="F38" s="6">
        <f>IF(Config!$G$3=0,0,IF(AND(ABS(($A38-Config!$F$3)/Config!$G$3)&gt;2,ABS(($A38-Config!$F$3)/Config!$G$3)&lt;=3),$D38,0))</f>
        <v/>
      </c>
      <c r="G38" s="6">
        <f>IF(Config!$G$3=0,0,IF(ABS(($A38-Config!$F$3)/Config!$G$3)&gt;3,$D38,0))</f>
        <v/>
      </c>
      <c r="H38" s="6">
        <f>IFERROR(NORM.DIST($A38,Config!$F$3,Config!$G$3,FALSE)*Config!$D$3*Config!$J$3,0)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IFERROR(NORM.DIST($A39,Config!$F$3,Config!$G$3,FALSE)*Config!$D$3*Config!$J$3,0)</f>
        <v/>
      </c>
    </row>
    <row r="40">
      <c r="A40" s="6">
        <f>Config!$K$3+6*Config!$J$3+Config!$J$3/2</f>
        <v/>
      </c>
      <c r="B40" s="6">
        <f>$A40-Config!$J$3/2</f>
        <v/>
      </c>
      <c r="C40" s="6">
        <f>$A40+Config!$J$3/2</f>
        <v/>
      </c>
      <c r="D40" s="6">
        <f>COUNTIFS(RawData!$C$2:$C$941,"LT",RawData!$H$2:$H$941,"&gt;="&amp;$B40,RawData!$H$2:$H$941,"&lt;"&amp;$C40,RawData!$H$2:$H$941,"&lt;&gt;0")</f>
        <v/>
      </c>
      <c r="E40" s="6">
        <f>IF(Config!$G$3=0,0,IF(ABS(($A40-Config!$F$3)/Config!$G$3)&lt;=2,$D40,0))</f>
        <v/>
      </c>
      <c r="F40" s="6">
        <f>IF(Config!$G$3=0,0,IF(AND(ABS(($A40-Config!$F$3)/Config!$G$3)&gt;2,ABS(($A40-Config!$F$3)/Config!$G$3)&lt;=3),$D40,0))</f>
        <v/>
      </c>
      <c r="G40" s="6">
        <f>IF(Config!$G$3=0,0,IF(ABS(($A40-Config!$F$3)/Config!$G$3)&gt;3,$D40,0))</f>
        <v/>
      </c>
      <c r="H40" s="6">
        <f>IFERROR(NORM.DIST($A40,Config!$F$3,Config!$G$3,FALSE)*Config!$D$3*Config!$J$3,0)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IFERROR(NORM.DIST($A41,Config!$F$3,Config!$G$3,FALSE)*Config!$D$3*Config!$J$3,0)</f>
        <v/>
      </c>
    </row>
    <row r="42">
      <c r="A42" s="6">
        <f>Config!$K$3+8*Config!$J$3+Config!$J$3/2</f>
        <v/>
      </c>
      <c r="B42" s="6">
        <f>$A42-Config!$J$3/2</f>
        <v/>
      </c>
      <c r="C42" s="6">
        <f>$A42+Config!$J$3/2</f>
        <v/>
      </c>
      <c r="D42" s="6">
        <f>COUNTIFS(RawData!$C$2:$C$941,"LT",RawData!$H$2:$H$941,"&gt;="&amp;$B42,RawData!$H$2:$H$941,"&lt;"&amp;$C42,RawData!$H$2:$H$941,"&lt;&gt;0")</f>
        <v/>
      </c>
      <c r="E42" s="6">
        <f>IF(Config!$G$3=0,0,IF(ABS(($A42-Config!$F$3)/Config!$G$3)&lt;=2,$D42,0))</f>
        <v/>
      </c>
      <c r="F42" s="6">
        <f>IF(Config!$G$3=0,0,IF(AND(ABS(($A42-Config!$F$3)/Config!$G$3)&gt;2,ABS(($A42-Config!$F$3)/Config!$G$3)&lt;=3),$D42,0))</f>
        <v/>
      </c>
      <c r="G42" s="6">
        <f>IF(Config!$G$3=0,0,IF(ABS(($A42-Config!$F$3)/Config!$G$3)&gt;3,$D42,0))</f>
        <v/>
      </c>
      <c r="H42" s="6">
        <f>IFERROR(NORM.DIST($A42,Config!$F$3,Config!$G$3,FALSE)*Config!$D$3*Config!$J$3,0)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IFERROR(NORM.DIST($A43,Config!$F$3,Config!$G$3,FALSE)*Config!$D$3*Config!$J$3,0)</f>
        <v/>
      </c>
    </row>
    <row r="44">
      <c r="A44" s="6">
        <f>Config!$K$3+10*Config!$J$3+Config!$J$3/2</f>
        <v/>
      </c>
      <c r="B44" s="6">
        <f>$A44-Config!$J$3/2</f>
        <v/>
      </c>
      <c r="C44" s="6">
        <f>$A44+Config!$J$3/2</f>
        <v/>
      </c>
      <c r="D44" s="6">
        <f>COUNTIFS(RawData!$C$2:$C$941,"LT",RawData!$H$2:$H$941,"&gt;="&amp;$B44,RawData!$H$2:$H$941,"&lt;"&amp;$C44,RawData!$H$2:$H$941,"&lt;&gt;0")</f>
        <v/>
      </c>
      <c r="E44" s="6">
        <f>IF(Config!$G$3=0,0,IF(ABS(($A44-Config!$F$3)/Config!$G$3)&lt;=2,$D44,0))</f>
        <v/>
      </c>
      <c r="F44" s="6">
        <f>IF(Config!$G$3=0,0,IF(AND(ABS(($A44-Config!$F$3)/Config!$G$3)&gt;2,ABS(($A44-Config!$F$3)/Config!$G$3)&lt;=3),$D44,0))</f>
        <v/>
      </c>
      <c r="G44" s="6">
        <f>IF(Config!$G$3=0,0,IF(ABS(($A44-Config!$F$3)/Config!$G$3)&gt;3,$D44,0))</f>
        <v/>
      </c>
      <c r="H44" s="6">
        <f>IFERROR(NORM.DIST($A44,Config!$F$3,Config!$G$3,FALSE)*Config!$D$3*Config!$J$3,0)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IFERROR(NORM.DIST($A45,Config!$F$3,Config!$G$3,FALSE)*Config!$D$3*Config!$J$3,0)</f>
        <v/>
      </c>
    </row>
    <row r="46">
      <c r="A46" s="6">
        <f>Config!$K$3+12*Config!$J$3+Config!$J$3/2</f>
        <v/>
      </c>
      <c r="B46" s="6">
        <f>$A46-Config!$J$3/2</f>
        <v/>
      </c>
      <c r="C46" s="6">
        <f>$A46+Config!$J$3/2</f>
        <v/>
      </c>
      <c r="D46" s="6">
        <f>COUNTIFS(RawData!$C$2:$C$941,"LT",RawData!$H$2:$H$941,"&gt;="&amp;$B46,RawData!$H$2:$H$941,"&lt;"&amp;$C46,RawData!$H$2:$H$941,"&lt;&gt;0")</f>
        <v/>
      </c>
      <c r="E46" s="6">
        <f>IF(Config!$G$3=0,0,IF(ABS(($A46-Config!$F$3)/Config!$G$3)&lt;=2,$D46,0))</f>
        <v/>
      </c>
      <c r="F46" s="6">
        <f>IF(Config!$G$3=0,0,IF(AND(ABS(($A46-Config!$F$3)/Config!$G$3)&gt;2,ABS(($A46-Config!$F$3)/Config!$G$3)&lt;=3),$D46,0))</f>
        <v/>
      </c>
      <c r="G46" s="6">
        <f>IF(Config!$G$3=0,0,IF(ABS(($A46-Config!$F$3)/Config!$G$3)&gt;3,$D46,0))</f>
        <v/>
      </c>
      <c r="H46" s="6">
        <f>IFERROR(NORM.DIST($A46,Config!$F$3,Config!$G$3,FALSE)*Config!$D$3*Config!$J$3,0)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IFERROR(NORM.DIST($A47,Config!$F$3,Config!$G$3,FALSE)*Config!$D$3*Config!$J$3,0)</f>
        <v/>
      </c>
    </row>
    <row r="48">
      <c r="A48" s="6">
        <f>Config!$K$3+14*Config!$J$3+Config!$J$3/2</f>
        <v/>
      </c>
      <c r="B48" s="6">
        <f>$A48-Config!$J$3/2</f>
        <v/>
      </c>
      <c r="C48" s="6">
        <f>$A48+Config!$J$3/2</f>
        <v/>
      </c>
      <c r="D48" s="6">
        <f>COUNTIFS(RawData!$C$2:$C$941,"LT",RawData!$H$2:$H$941,"&gt;="&amp;$B48,RawData!$H$2:$H$941,"&lt;"&amp;$C48,RawData!$H$2:$H$941,"&lt;&gt;0")</f>
        <v/>
      </c>
      <c r="E48" s="6">
        <f>IF(Config!$G$3=0,0,IF(ABS(($A48-Config!$F$3)/Config!$G$3)&lt;=2,$D48,0))</f>
        <v/>
      </c>
      <c r="F48" s="6">
        <f>IF(Config!$G$3=0,0,IF(AND(ABS(($A48-Config!$F$3)/Config!$G$3)&gt;2,ABS(($A48-Config!$F$3)/Config!$G$3)&lt;=3),$D48,0))</f>
        <v/>
      </c>
      <c r="G48" s="6">
        <f>IF(Config!$G$3=0,0,IF(ABS(($A48-Config!$F$3)/Config!$G$3)&gt;3,$D48,0))</f>
        <v/>
      </c>
      <c r="H48" s="6">
        <f>IFERROR(NORM.DIST($A48,Config!$F$3,Config!$G$3,FALSE)*Config!$D$3*Config!$J$3,0)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IFERROR(NORM.DIST($A49,Config!$F$3,Config!$G$3,FALSE)*Config!$D$3*Config!$J$3,0)</f>
        <v/>
      </c>
    </row>
    <row r="50">
      <c r="A50" s="6">
        <f>Config!$K$3+16*Config!$J$3+Config!$J$3/2</f>
        <v/>
      </c>
      <c r="B50" s="6">
        <f>$A50-Config!$J$3/2</f>
        <v/>
      </c>
      <c r="C50" s="6">
        <f>$A50+Config!$J$3/2</f>
        <v/>
      </c>
      <c r="D50" s="6">
        <f>COUNTIFS(RawData!$C$2:$C$941,"LT",RawData!$H$2:$H$941,"&gt;="&amp;$B50,RawData!$H$2:$H$941,"&lt;"&amp;$C50,RawData!$H$2:$H$941,"&lt;&gt;0")</f>
        <v/>
      </c>
      <c r="E50" s="6">
        <f>IF(Config!$G$3=0,0,IF(ABS(($A50-Config!$F$3)/Config!$G$3)&lt;=2,$D50,0))</f>
        <v/>
      </c>
      <c r="F50" s="6">
        <f>IF(Config!$G$3=0,0,IF(AND(ABS(($A50-Config!$F$3)/Config!$G$3)&gt;2,ABS(($A50-Config!$F$3)/Config!$G$3)&lt;=3),$D50,0))</f>
        <v/>
      </c>
      <c r="G50" s="6">
        <f>IF(Config!$G$3=0,0,IF(ABS(($A50-Config!$F$3)/Config!$G$3)&gt;3,$D50,0))</f>
        <v/>
      </c>
      <c r="H50" s="6">
        <f>IFERROR(NORM.DIST($A50,Config!$F$3,Config!$G$3,FALSE)*Config!$D$3*Config!$J$3,0)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IFERROR(NORM.DIST($A51,Config!$F$3,Config!$G$3,FALSE)*Config!$D$3*Config!$J$3,0)</f>
        <v/>
      </c>
    </row>
    <row r="52">
      <c r="A52" s="6">
        <f>Config!$K$3+18*Config!$J$3+Config!$J$3/2</f>
        <v/>
      </c>
      <c r="B52" s="6">
        <f>$A52-Config!$J$3/2</f>
        <v/>
      </c>
      <c r="C52" s="6">
        <f>$A52+Config!$J$3/2</f>
        <v/>
      </c>
      <c r="D52" s="6">
        <f>COUNTIFS(RawData!$C$2:$C$941,"LT",RawData!$H$2:$H$941,"&gt;="&amp;$B52,RawData!$H$2:$H$941,"&lt;"&amp;$C52,RawData!$H$2:$H$941,"&lt;&gt;0")</f>
        <v/>
      </c>
      <c r="E52" s="6">
        <f>IF(Config!$G$3=0,0,IF(ABS(($A52-Config!$F$3)/Config!$G$3)&lt;=2,$D52,0))</f>
        <v/>
      </c>
      <c r="F52" s="6">
        <f>IF(Config!$G$3=0,0,IF(AND(ABS(($A52-Config!$F$3)/Config!$G$3)&gt;2,ABS(($A52-Config!$F$3)/Config!$G$3)&lt;=3),$D52,0))</f>
        <v/>
      </c>
      <c r="G52" s="6">
        <f>IF(Config!$G$3=0,0,IF(ABS(($A52-Config!$F$3)/Config!$G$3)&gt;3,$D52,0))</f>
        <v/>
      </c>
      <c r="H52" s="6">
        <f>IFERROR(NORM.DIST($A52,Config!$F$3,Config!$G$3,FALSE)*Config!$D$3*Config!$J$3,0)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IFERROR(NORM.DIST($A53,Config!$F$3,Config!$G$3,FALSE)*Config!$D$3*Config!$J$3,0)</f>
        <v/>
      </c>
    </row>
    <row r="54">
      <c r="A54" s="6">
        <f>Config!$K$3+20*Config!$J$3+Config!$J$3/2</f>
        <v/>
      </c>
      <c r="B54" s="6">
        <f>$A54-Config!$J$3/2</f>
        <v/>
      </c>
      <c r="C54" s="6">
        <f>$A54+Config!$J$3/2</f>
        <v/>
      </c>
      <c r="D54" s="6">
        <f>COUNTIFS(RawData!$C$2:$C$941,"LT",RawData!$H$2:$H$941,"&gt;="&amp;$B54,RawData!$H$2:$H$941,"&lt;"&amp;$C54,RawData!$H$2:$H$941,"&lt;&gt;0")</f>
        <v/>
      </c>
      <c r="E54" s="6">
        <f>IF(Config!$G$3=0,0,IF(ABS(($A54-Config!$F$3)/Config!$G$3)&lt;=2,$D54,0))</f>
        <v/>
      </c>
      <c r="F54" s="6">
        <f>IF(Config!$G$3=0,0,IF(AND(ABS(($A54-Config!$F$3)/Config!$G$3)&gt;2,ABS(($A54-Config!$F$3)/Config!$G$3)&lt;=3),$D54,0))</f>
        <v/>
      </c>
      <c r="G54" s="6">
        <f>IF(Config!$G$3=0,0,IF(ABS(($A54-Config!$F$3)/Config!$G$3)&gt;3,$D54,0))</f>
        <v/>
      </c>
      <c r="H54" s="6">
        <f>IFERROR(NORM.DIST($A54,Config!$F$3,Config!$G$3,FALSE)*Config!$D$3*Config!$J$3,0)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IFERROR(NORM.DIST($A55,Config!$F$3,Config!$G$3,FALSE)*Config!$D$3*Config!$J$3,0)</f>
        <v/>
      </c>
    </row>
    <row r="56">
      <c r="A56" s="6">
        <f>Config!$K$3+22*Config!$J$3+Config!$J$3/2</f>
        <v/>
      </c>
      <c r="B56" s="6">
        <f>$A56-Config!$J$3/2</f>
        <v/>
      </c>
      <c r="C56" s="6">
        <f>$A56+Config!$J$3/2</f>
        <v/>
      </c>
      <c r="D56" s="6">
        <f>COUNTIFS(RawData!$C$2:$C$941,"LT",RawData!$H$2:$H$941,"&gt;="&amp;$B56,RawData!$H$2:$H$941,"&lt;"&amp;$C56,RawData!$H$2:$H$941,"&lt;&gt;0")</f>
        <v/>
      </c>
      <c r="E56" s="6">
        <f>IF(Config!$G$3=0,0,IF(ABS(($A56-Config!$F$3)/Config!$G$3)&lt;=2,$D56,0))</f>
        <v/>
      </c>
      <c r="F56" s="6">
        <f>IF(Config!$G$3=0,0,IF(AND(ABS(($A56-Config!$F$3)/Config!$G$3)&gt;2,ABS(($A56-Config!$F$3)/Config!$G$3)&lt;=3),$D56,0))</f>
        <v/>
      </c>
      <c r="G56" s="6">
        <f>IF(Config!$G$3=0,0,IF(ABS(($A56-Config!$F$3)/Config!$G$3)&gt;3,$D56,0))</f>
        <v/>
      </c>
      <c r="H56" s="6">
        <f>IFERROR(NORM.DIST($A56,Config!$F$3,Config!$G$3,FALSE)*Config!$D$3*Config!$J$3,0)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IFERROR(NORM.DIST($A57,Config!$F$3,Config!$G$3,FALSE)*Config!$D$3*Config!$J$3,0)</f>
        <v/>
      </c>
    </row>
    <row r="58">
      <c r="A58" s="6">
        <f>Config!$K$3+24*Config!$J$3+Config!$J$3/2</f>
        <v/>
      </c>
      <c r="B58" s="6">
        <f>$A58-Config!$J$3/2</f>
        <v/>
      </c>
      <c r="C58" s="6">
        <f>$A58+Config!$J$3/2</f>
        <v/>
      </c>
      <c r="D58" s="6">
        <f>COUNTIFS(RawData!$C$2:$C$941,"LT",RawData!$H$2:$H$941,"&gt;="&amp;$B58,RawData!$H$2:$H$941,"&lt;"&amp;$C58,RawData!$H$2:$H$941,"&lt;&gt;0")</f>
        <v/>
      </c>
      <c r="E58" s="6">
        <f>IF(Config!$G$3=0,0,IF(ABS(($A58-Config!$F$3)/Config!$G$3)&lt;=2,$D58,0))</f>
        <v/>
      </c>
      <c r="F58" s="6">
        <f>IF(Config!$G$3=0,0,IF(AND(ABS(($A58-Config!$F$3)/Config!$G$3)&gt;2,ABS(($A58-Config!$F$3)/Config!$G$3)&lt;=3),$D58,0))</f>
        <v/>
      </c>
      <c r="G58" s="6">
        <f>IF(Config!$G$3=0,0,IF(ABS(($A58-Config!$F$3)/Config!$G$3)&gt;3,$D58,0))</f>
        <v/>
      </c>
      <c r="H58" s="6">
        <f>IFERROR(NORM.DIST($A58,Config!$F$3,Config!$G$3,FALSE)*Config!$D$3*Config!$J$3,0)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IFERROR(NORM.DIST($A59,Config!$F$3,Config!$G$3,FALSE)*Config!$D$3*Config!$J$3,0)</f>
        <v/>
      </c>
    </row>
    <row r="60">
      <c r="A60" s="6">
        <f>Config!$K$3+26*Config!$J$3+Config!$J$3/2</f>
        <v/>
      </c>
      <c r="B60" s="6">
        <f>$A60-Config!$J$3/2</f>
        <v/>
      </c>
      <c r="C60" s="6">
        <f>$A60+Config!$J$3/2</f>
        <v/>
      </c>
      <c r="D60" s="6">
        <f>COUNTIFS(RawData!$C$2:$C$941,"LT",RawData!$H$2:$H$941,"&gt;="&amp;$B60,RawData!$H$2:$H$941,"&lt;"&amp;$C60,RawData!$H$2:$H$941,"&lt;&gt;0")</f>
        <v/>
      </c>
      <c r="E60" s="6">
        <f>IF(Config!$G$3=0,0,IF(ABS(($A60-Config!$F$3)/Config!$G$3)&lt;=2,$D60,0))</f>
        <v/>
      </c>
      <c r="F60" s="6">
        <f>IF(Config!$G$3=0,0,IF(AND(ABS(($A60-Config!$F$3)/Config!$G$3)&gt;2,ABS(($A60-Config!$F$3)/Config!$G$3)&lt;=3),$D60,0))</f>
        <v/>
      </c>
      <c r="G60" s="6">
        <f>IF(Config!$G$3=0,0,IF(ABS(($A60-Config!$F$3)/Config!$G$3)&gt;3,$D60,0))</f>
        <v/>
      </c>
      <c r="H60" s="6">
        <f>IFERROR(NORM.DIST($A60,Config!$F$3,Config!$G$3,FALSE)*Config!$D$3*Config!$J$3,0)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IFERROR(NORM.DIST($A61,Config!$F$3,Config!$G$3,FALSE)*Config!$D$3*Config!$J$3,0)</f>
        <v/>
      </c>
    </row>
    <row r="62">
      <c r="A62" s="6">
        <f>Config!$K$3+28*Config!$J$3+Config!$J$3/2</f>
        <v/>
      </c>
      <c r="B62" s="6">
        <f>$A62-Config!$J$3/2</f>
        <v/>
      </c>
      <c r="C62" s="6">
        <f>$A62+Config!$J$3/2</f>
        <v/>
      </c>
      <c r="D62" s="6">
        <f>COUNTIFS(RawData!$C$2:$C$941,"LT",RawData!$H$2:$H$941,"&gt;="&amp;$B62,RawData!$H$2:$H$941,"&lt;"&amp;$C62,RawData!$H$2:$H$941,"&lt;&gt;0")</f>
        <v/>
      </c>
      <c r="E62" s="6">
        <f>IF(Config!$G$3=0,0,IF(ABS(($A62-Config!$F$3)/Config!$G$3)&lt;=2,$D62,0))</f>
        <v/>
      </c>
      <c r="F62" s="6">
        <f>IF(Config!$G$3=0,0,IF(AND(ABS(($A62-Config!$F$3)/Config!$G$3)&gt;2,ABS(($A62-Config!$F$3)/Config!$G$3)&lt;=3),$D62,0))</f>
        <v/>
      </c>
      <c r="G62" s="6">
        <f>IF(Config!$G$3=0,0,IF(ABS(($A62-Config!$F$3)/Config!$G$3)&gt;3,$D62,0))</f>
        <v/>
      </c>
      <c r="H62" s="6">
        <f>IFERROR(NORM.DIST($A62,Config!$F$3,Config!$G$3,FALSE)*Config!$D$3*Config!$J$3,0)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IFERROR(NORM.DIST($A63,Config!$F$3,Config!$G$3,FALSE)*Config!$D$3*Config!$J$3,0)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Config!$K$4+0*Config!$J$4+Config!$J$4/2</f>
        <v/>
      </c>
      <c r="B66" s="6">
        <f>$A66-Config!$J$4/2</f>
        <v/>
      </c>
      <c r="C66" s="6">
        <f>$A66+Config!$J$4/2</f>
        <v/>
      </c>
      <c r="D66" s="6">
        <f>COUNTIFS(RawData!$C$2:$C$941,"LT",RawData!$I$2:$I$941,"&gt;="&amp;$B66,RawData!$I$2:$I$941,"&lt;"&amp;$C66,RawData!$I$2:$I$941,"&lt;&gt;0")</f>
        <v/>
      </c>
      <c r="E66" s="6">
        <f>IF(Config!$G$4=0,0,IF(ABS(($A66-Config!$F$4)/Config!$G$4)&lt;=2,$D66,0))</f>
        <v/>
      </c>
      <c r="F66" s="6">
        <f>IF(Config!$G$4=0,0,IF(AND(ABS(($A66-Config!$F$4)/Config!$G$4)&gt;2,ABS(($A66-Config!$F$4)/Config!$G$4)&lt;=3),$D66,0))</f>
        <v/>
      </c>
      <c r="G66" s="6">
        <f>IF(Config!$G$4=0,0,IF(ABS(($A66-Config!$F$4)/Config!$G$4)&gt;3,$D66,0))</f>
        <v/>
      </c>
      <c r="H66" s="6">
        <f>IFERROR(NORM.DIST($A66,Config!$F$4,Config!$G$4,FALSE)*Config!$D$4*Config!$J$4,0)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IFERROR(NORM.DIST($A67,Config!$F$4,Config!$G$4,FALSE)*Config!$D$4*Config!$J$4,0)</f>
        <v/>
      </c>
    </row>
    <row r="68">
      <c r="A68" s="6">
        <f>Config!$K$4+2*Config!$J$4+Config!$J$4/2</f>
        <v/>
      </c>
      <c r="B68" s="6">
        <f>$A68-Config!$J$4/2</f>
        <v/>
      </c>
      <c r="C68" s="6">
        <f>$A68+Config!$J$4/2</f>
        <v/>
      </c>
      <c r="D68" s="6">
        <f>COUNTIFS(RawData!$C$2:$C$941,"LT",RawData!$I$2:$I$941,"&gt;="&amp;$B68,RawData!$I$2:$I$941,"&lt;"&amp;$C68,RawData!$I$2:$I$941,"&lt;&gt;0")</f>
        <v/>
      </c>
      <c r="E68" s="6">
        <f>IF(Config!$G$4=0,0,IF(ABS(($A68-Config!$F$4)/Config!$G$4)&lt;=2,$D68,0))</f>
        <v/>
      </c>
      <c r="F68" s="6">
        <f>IF(Config!$G$4=0,0,IF(AND(ABS(($A68-Config!$F$4)/Config!$G$4)&gt;2,ABS(($A68-Config!$F$4)/Config!$G$4)&lt;=3),$D68,0))</f>
        <v/>
      </c>
      <c r="G68" s="6">
        <f>IF(Config!$G$4=0,0,IF(ABS(($A68-Config!$F$4)/Config!$G$4)&gt;3,$D68,0))</f>
        <v/>
      </c>
      <c r="H68" s="6">
        <f>IFERROR(NORM.DIST($A68,Config!$F$4,Config!$G$4,FALSE)*Config!$D$4*Config!$J$4,0)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IFERROR(NORM.DIST($A69,Config!$F$4,Config!$G$4,FALSE)*Config!$D$4*Config!$J$4,0)</f>
        <v/>
      </c>
    </row>
    <row r="70">
      <c r="A70" s="6">
        <f>Config!$K$4+4*Config!$J$4+Config!$J$4/2</f>
        <v/>
      </c>
      <c r="B70" s="6">
        <f>$A70-Config!$J$4/2</f>
        <v/>
      </c>
      <c r="C70" s="6">
        <f>$A70+Config!$J$4/2</f>
        <v/>
      </c>
      <c r="D70" s="6">
        <f>COUNTIFS(RawData!$C$2:$C$941,"LT",RawData!$I$2:$I$941,"&gt;="&amp;$B70,RawData!$I$2:$I$941,"&lt;"&amp;$C70,RawData!$I$2:$I$941,"&lt;&gt;0")</f>
        <v/>
      </c>
      <c r="E70" s="6">
        <f>IF(Config!$G$4=0,0,IF(ABS(($A70-Config!$F$4)/Config!$G$4)&lt;=2,$D70,0))</f>
        <v/>
      </c>
      <c r="F70" s="6">
        <f>IF(Config!$G$4=0,0,IF(AND(ABS(($A70-Config!$F$4)/Config!$G$4)&gt;2,ABS(($A70-Config!$F$4)/Config!$G$4)&lt;=3),$D70,0))</f>
        <v/>
      </c>
      <c r="G70" s="6">
        <f>IF(Config!$G$4=0,0,IF(ABS(($A70-Config!$F$4)/Config!$G$4)&gt;3,$D70,0))</f>
        <v/>
      </c>
      <c r="H70" s="6">
        <f>IFERROR(NORM.DIST($A70,Config!$F$4,Config!$G$4,FALSE)*Config!$D$4*Config!$J$4,0)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IFERROR(NORM.DIST($A71,Config!$F$4,Config!$G$4,FALSE)*Config!$D$4*Config!$J$4,0)</f>
        <v/>
      </c>
    </row>
    <row r="72">
      <c r="A72" s="6">
        <f>Config!$K$4+6*Config!$J$4+Config!$J$4/2</f>
        <v/>
      </c>
      <c r="B72" s="6">
        <f>$A72-Config!$J$4/2</f>
        <v/>
      </c>
      <c r="C72" s="6">
        <f>$A72+Config!$J$4/2</f>
        <v/>
      </c>
      <c r="D72" s="6">
        <f>COUNTIFS(RawData!$C$2:$C$941,"LT",RawData!$I$2:$I$941,"&gt;="&amp;$B72,RawData!$I$2:$I$941,"&lt;"&amp;$C72,RawData!$I$2:$I$941,"&lt;&gt;0")</f>
        <v/>
      </c>
      <c r="E72" s="6">
        <f>IF(Config!$G$4=0,0,IF(ABS(($A72-Config!$F$4)/Config!$G$4)&lt;=2,$D72,0))</f>
        <v/>
      </c>
      <c r="F72" s="6">
        <f>IF(Config!$G$4=0,0,IF(AND(ABS(($A72-Config!$F$4)/Config!$G$4)&gt;2,ABS(($A72-Config!$F$4)/Config!$G$4)&lt;=3),$D72,0))</f>
        <v/>
      </c>
      <c r="G72" s="6">
        <f>IF(Config!$G$4=0,0,IF(ABS(($A72-Config!$F$4)/Config!$G$4)&gt;3,$D72,0))</f>
        <v/>
      </c>
      <c r="H72" s="6">
        <f>IFERROR(NORM.DIST($A72,Config!$F$4,Config!$G$4,FALSE)*Config!$D$4*Config!$J$4,0)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IFERROR(NORM.DIST($A73,Config!$F$4,Config!$G$4,FALSE)*Config!$D$4*Config!$J$4,0)</f>
        <v/>
      </c>
    </row>
    <row r="74">
      <c r="A74" s="6">
        <f>Config!$K$4+8*Config!$J$4+Config!$J$4/2</f>
        <v/>
      </c>
      <c r="B74" s="6">
        <f>$A74-Config!$J$4/2</f>
        <v/>
      </c>
      <c r="C74" s="6">
        <f>$A74+Config!$J$4/2</f>
        <v/>
      </c>
      <c r="D74" s="6">
        <f>COUNTIFS(RawData!$C$2:$C$941,"LT",RawData!$I$2:$I$941,"&gt;="&amp;$B74,RawData!$I$2:$I$941,"&lt;"&amp;$C74,RawData!$I$2:$I$941,"&lt;&gt;0")</f>
        <v/>
      </c>
      <c r="E74" s="6">
        <f>IF(Config!$G$4=0,0,IF(ABS(($A74-Config!$F$4)/Config!$G$4)&lt;=2,$D74,0))</f>
        <v/>
      </c>
      <c r="F74" s="6">
        <f>IF(Config!$G$4=0,0,IF(AND(ABS(($A74-Config!$F$4)/Config!$G$4)&gt;2,ABS(($A74-Config!$F$4)/Config!$G$4)&lt;=3),$D74,0))</f>
        <v/>
      </c>
      <c r="G74" s="6">
        <f>IF(Config!$G$4=0,0,IF(ABS(($A74-Config!$F$4)/Config!$G$4)&gt;3,$D74,0))</f>
        <v/>
      </c>
      <c r="H74" s="6">
        <f>IFERROR(NORM.DIST($A74,Config!$F$4,Config!$G$4,FALSE)*Config!$D$4*Config!$J$4,0)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IFERROR(NORM.DIST($A75,Config!$F$4,Config!$G$4,FALSE)*Config!$D$4*Config!$J$4,0)</f>
        <v/>
      </c>
    </row>
    <row r="76">
      <c r="A76" s="6">
        <f>Config!$K$4+10*Config!$J$4+Config!$J$4/2</f>
        <v/>
      </c>
      <c r="B76" s="6">
        <f>$A76-Config!$J$4/2</f>
        <v/>
      </c>
      <c r="C76" s="6">
        <f>$A76+Config!$J$4/2</f>
        <v/>
      </c>
      <c r="D76" s="6">
        <f>COUNTIFS(RawData!$C$2:$C$941,"LT",RawData!$I$2:$I$941,"&gt;="&amp;$B76,RawData!$I$2:$I$941,"&lt;"&amp;$C76,RawData!$I$2:$I$941,"&lt;&gt;0")</f>
        <v/>
      </c>
      <c r="E76" s="6">
        <f>IF(Config!$G$4=0,0,IF(ABS(($A76-Config!$F$4)/Config!$G$4)&lt;=2,$D76,0))</f>
        <v/>
      </c>
      <c r="F76" s="6">
        <f>IF(Config!$G$4=0,0,IF(AND(ABS(($A76-Config!$F$4)/Config!$G$4)&gt;2,ABS(($A76-Config!$F$4)/Config!$G$4)&lt;=3),$D76,0))</f>
        <v/>
      </c>
      <c r="G76" s="6">
        <f>IF(Config!$G$4=0,0,IF(ABS(($A76-Config!$F$4)/Config!$G$4)&gt;3,$D76,0))</f>
        <v/>
      </c>
      <c r="H76" s="6">
        <f>IFERROR(NORM.DIST($A76,Config!$F$4,Config!$G$4,FALSE)*Config!$D$4*Config!$J$4,0)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IFERROR(NORM.DIST($A77,Config!$F$4,Config!$G$4,FALSE)*Config!$D$4*Config!$J$4,0)</f>
        <v/>
      </c>
    </row>
    <row r="78">
      <c r="A78" s="6">
        <f>Config!$K$4+12*Config!$J$4+Config!$J$4/2</f>
        <v/>
      </c>
      <c r="B78" s="6">
        <f>$A78-Config!$J$4/2</f>
        <v/>
      </c>
      <c r="C78" s="6">
        <f>$A78+Config!$J$4/2</f>
        <v/>
      </c>
      <c r="D78" s="6">
        <f>COUNTIFS(RawData!$C$2:$C$941,"LT",RawData!$I$2:$I$941,"&gt;="&amp;$B78,RawData!$I$2:$I$941,"&lt;"&amp;$C78,RawData!$I$2:$I$941,"&lt;&gt;0")</f>
        <v/>
      </c>
      <c r="E78" s="6">
        <f>IF(Config!$G$4=0,0,IF(ABS(($A78-Config!$F$4)/Config!$G$4)&lt;=2,$D78,0))</f>
        <v/>
      </c>
      <c r="F78" s="6">
        <f>IF(Config!$G$4=0,0,IF(AND(ABS(($A78-Config!$F$4)/Config!$G$4)&gt;2,ABS(($A78-Config!$F$4)/Config!$G$4)&lt;=3),$D78,0))</f>
        <v/>
      </c>
      <c r="G78" s="6">
        <f>IF(Config!$G$4=0,0,IF(ABS(($A78-Config!$F$4)/Config!$G$4)&gt;3,$D78,0))</f>
        <v/>
      </c>
      <c r="H78" s="6">
        <f>IFERROR(NORM.DIST($A78,Config!$F$4,Config!$G$4,FALSE)*Config!$D$4*Config!$J$4,0)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IFERROR(NORM.DIST($A79,Config!$F$4,Config!$G$4,FALSE)*Config!$D$4*Config!$J$4,0)</f>
        <v/>
      </c>
    </row>
    <row r="80">
      <c r="A80" s="6">
        <f>Config!$K$4+14*Config!$J$4+Config!$J$4/2</f>
        <v/>
      </c>
      <c r="B80" s="6">
        <f>$A80-Config!$J$4/2</f>
        <v/>
      </c>
      <c r="C80" s="6">
        <f>$A80+Config!$J$4/2</f>
        <v/>
      </c>
      <c r="D80" s="6">
        <f>COUNTIFS(RawData!$C$2:$C$941,"LT",RawData!$I$2:$I$941,"&gt;="&amp;$B80,RawData!$I$2:$I$941,"&lt;"&amp;$C80,RawData!$I$2:$I$941,"&lt;&gt;0")</f>
        <v/>
      </c>
      <c r="E80" s="6">
        <f>IF(Config!$G$4=0,0,IF(ABS(($A80-Config!$F$4)/Config!$G$4)&lt;=2,$D80,0))</f>
        <v/>
      </c>
      <c r="F80" s="6">
        <f>IF(Config!$G$4=0,0,IF(AND(ABS(($A80-Config!$F$4)/Config!$G$4)&gt;2,ABS(($A80-Config!$F$4)/Config!$G$4)&lt;=3),$D80,0))</f>
        <v/>
      </c>
      <c r="G80" s="6">
        <f>IF(Config!$G$4=0,0,IF(ABS(($A80-Config!$F$4)/Config!$G$4)&gt;3,$D80,0))</f>
        <v/>
      </c>
      <c r="H80" s="6">
        <f>IFERROR(NORM.DIST($A80,Config!$F$4,Config!$G$4,FALSE)*Config!$D$4*Config!$J$4,0)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IFERROR(NORM.DIST($A81,Config!$F$4,Config!$G$4,FALSE)*Config!$D$4*Config!$J$4,0)</f>
        <v/>
      </c>
    </row>
    <row r="82">
      <c r="A82" s="6">
        <f>Config!$K$4+16*Config!$J$4+Config!$J$4/2</f>
        <v/>
      </c>
      <c r="B82" s="6">
        <f>$A82-Config!$J$4/2</f>
        <v/>
      </c>
      <c r="C82" s="6">
        <f>$A82+Config!$J$4/2</f>
        <v/>
      </c>
      <c r="D82" s="6">
        <f>COUNTIFS(RawData!$C$2:$C$941,"LT",RawData!$I$2:$I$941,"&gt;="&amp;$B82,RawData!$I$2:$I$941,"&lt;"&amp;$C82,RawData!$I$2:$I$941,"&lt;&gt;0")</f>
        <v/>
      </c>
      <c r="E82" s="6">
        <f>IF(Config!$G$4=0,0,IF(ABS(($A82-Config!$F$4)/Config!$G$4)&lt;=2,$D82,0))</f>
        <v/>
      </c>
      <c r="F82" s="6">
        <f>IF(Config!$G$4=0,0,IF(AND(ABS(($A82-Config!$F$4)/Config!$G$4)&gt;2,ABS(($A82-Config!$F$4)/Config!$G$4)&lt;=3),$D82,0))</f>
        <v/>
      </c>
      <c r="G82" s="6">
        <f>IF(Config!$G$4=0,0,IF(ABS(($A82-Config!$F$4)/Config!$G$4)&gt;3,$D82,0))</f>
        <v/>
      </c>
      <c r="H82" s="6">
        <f>IFERROR(NORM.DIST($A82,Config!$F$4,Config!$G$4,FALSE)*Config!$D$4*Config!$J$4,0)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IFERROR(NORM.DIST($A83,Config!$F$4,Config!$G$4,FALSE)*Config!$D$4*Config!$J$4,0)</f>
        <v/>
      </c>
    </row>
    <row r="84">
      <c r="A84" s="6">
        <f>Config!$K$4+18*Config!$J$4+Config!$J$4/2</f>
        <v/>
      </c>
      <c r="B84" s="6">
        <f>$A84-Config!$J$4/2</f>
        <v/>
      </c>
      <c r="C84" s="6">
        <f>$A84+Config!$J$4/2</f>
        <v/>
      </c>
      <c r="D84" s="6">
        <f>COUNTIFS(RawData!$C$2:$C$941,"LT",RawData!$I$2:$I$941,"&gt;="&amp;$B84,RawData!$I$2:$I$941,"&lt;"&amp;$C84,RawData!$I$2:$I$941,"&lt;&gt;0")</f>
        <v/>
      </c>
      <c r="E84" s="6">
        <f>IF(Config!$G$4=0,0,IF(ABS(($A84-Config!$F$4)/Config!$G$4)&lt;=2,$D84,0))</f>
        <v/>
      </c>
      <c r="F84" s="6">
        <f>IF(Config!$G$4=0,0,IF(AND(ABS(($A84-Config!$F$4)/Config!$G$4)&gt;2,ABS(($A84-Config!$F$4)/Config!$G$4)&lt;=3),$D84,0))</f>
        <v/>
      </c>
      <c r="G84" s="6">
        <f>IF(Config!$G$4=0,0,IF(ABS(($A84-Config!$F$4)/Config!$G$4)&gt;3,$D84,0))</f>
        <v/>
      </c>
      <c r="H84" s="6">
        <f>IFERROR(NORM.DIST($A84,Config!$F$4,Config!$G$4,FALSE)*Config!$D$4*Config!$J$4,0)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IFERROR(NORM.DIST($A85,Config!$F$4,Config!$G$4,FALSE)*Config!$D$4*Config!$J$4,0)</f>
        <v/>
      </c>
    </row>
    <row r="86">
      <c r="A86" s="6">
        <f>Config!$K$4+20*Config!$J$4+Config!$J$4/2</f>
        <v/>
      </c>
      <c r="B86" s="6">
        <f>$A86-Config!$J$4/2</f>
        <v/>
      </c>
      <c r="C86" s="6">
        <f>$A86+Config!$J$4/2</f>
        <v/>
      </c>
      <c r="D86" s="6">
        <f>COUNTIFS(RawData!$C$2:$C$941,"LT",RawData!$I$2:$I$941,"&gt;="&amp;$B86,RawData!$I$2:$I$941,"&lt;"&amp;$C86,RawData!$I$2:$I$941,"&lt;&gt;0")</f>
        <v/>
      </c>
      <c r="E86" s="6">
        <f>IF(Config!$G$4=0,0,IF(ABS(($A86-Config!$F$4)/Config!$G$4)&lt;=2,$D86,0))</f>
        <v/>
      </c>
      <c r="F86" s="6">
        <f>IF(Config!$G$4=0,0,IF(AND(ABS(($A86-Config!$F$4)/Config!$G$4)&gt;2,ABS(($A86-Config!$F$4)/Config!$G$4)&lt;=3),$D86,0))</f>
        <v/>
      </c>
      <c r="G86" s="6">
        <f>IF(Config!$G$4=0,0,IF(ABS(($A86-Config!$F$4)/Config!$G$4)&gt;3,$D86,0))</f>
        <v/>
      </c>
      <c r="H86" s="6">
        <f>IFERROR(NORM.DIST($A86,Config!$F$4,Config!$G$4,FALSE)*Config!$D$4*Config!$J$4,0)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IFERROR(NORM.DIST($A87,Config!$F$4,Config!$G$4,FALSE)*Config!$D$4*Config!$J$4,0)</f>
        <v/>
      </c>
    </row>
    <row r="88">
      <c r="A88" s="6">
        <f>Config!$K$4+22*Config!$J$4+Config!$J$4/2</f>
        <v/>
      </c>
      <c r="B88" s="6">
        <f>$A88-Config!$J$4/2</f>
        <v/>
      </c>
      <c r="C88" s="6">
        <f>$A88+Config!$J$4/2</f>
        <v/>
      </c>
      <c r="D88" s="6">
        <f>COUNTIFS(RawData!$C$2:$C$941,"LT",RawData!$I$2:$I$941,"&gt;="&amp;$B88,RawData!$I$2:$I$941,"&lt;"&amp;$C88,RawData!$I$2:$I$941,"&lt;&gt;0")</f>
        <v/>
      </c>
      <c r="E88" s="6">
        <f>IF(Config!$G$4=0,0,IF(ABS(($A88-Config!$F$4)/Config!$G$4)&lt;=2,$D88,0))</f>
        <v/>
      </c>
      <c r="F88" s="6">
        <f>IF(Config!$G$4=0,0,IF(AND(ABS(($A88-Config!$F$4)/Config!$G$4)&gt;2,ABS(($A88-Config!$F$4)/Config!$G$4)&lt;=3),$D88,0))</f>
        <v/>
      </c>
      <c r="G88" s="6">
        <f>IF(Config!$G$4=0,0,IF(ABS(($A88-Config!$F$4)/Config!$G$4)&gt;3,$D88,0))</f>
        <v/>
      </c>
      <c r="H88" s="6">
        <f>IFERROR(NORM.DIST($A88,Config!$F$4,Config!$G$4,FALSE)*Config!$D$4*Config!$J$4,0)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IFERROR(NORM.DIST($A89,Config!$F$4,Config!$G$4,FALSE)*Config!$D$4*Config!$J$4,0)</f>
        <v/>
      </c>
    </row>
    <row r="90">
      <c r="A90" s="6">
        <f>Config!$K$4+24*Config!$J$4+Config!$J$4/2</f>
        <v/>
      </c>
      <c r="B90" s="6">
        <f>$A90-Config!$J$4/2</f>
        <v/>
      </c>
      <c r="C90" s="6">
        <f>$A90+Config!$J$4/2</f>
        <v/>
      </c>
      <c r="D90" s="6">
        <f>COUNTIFS(RawData!$C$2:$C$941,"LT",RawData!$I$2:$I$941,"&gt;="&amp;$B90,RawData!$I$2:$I$941,"&lt;"&amp;$C90,RawData!$I$2:$I$941,"&lt;&gt;0")</f>
        <v/>
      </c>
      <c r="E90" s="6">
        <f>IF(Config!$G$4=0,0,IF(ABS(($A90-Config!$F$4)/Config!$G$4)&lt;=2,$D90,0))</f>
        <v/>
      </c>
      <c r="F90" s="6">
        <f>IF(Config!$G$4=0,0,IF(AND(ABS(($A90-Config!$F$4)/Config!$G$4)&gt;2,ABS(($A90-Config!$F$4)/Config!$G$4)&lt;=3),$D90,0))</f>
        <v/>
      </c>
      <c r="G90" s="6">
        <f>IF(Config!$G$4=0,0,IF(ABS(($A90-Config!$F$4)/Config!$G$4)&gt;3,$D90,0))</f>
        <v/>
      </c>
      <c r="H90" s="6">
        <f>IFERROR(NORM.DIST($A90,Config!$F$4,Config!$G$4,FALSE)*Config!$D$4*Config!$J$4,0)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IFERROR(NORM.DIST($A91,Config!$F$4,Config!$G$4,FALSE)*Config!$D$4*Config!$J$4,0)</f>
        <v/>
      </c>
    </row>
    <row r="92">
      <c r="A92" s="6">
        <f>Config!$K$4+26*Config!$J$4+Config!$J$4/2</f>
        <v/>
      </c>
      <c r="B92" s="6">
        <f>$A92-Config!$J$4/2</f>
        <v/>
      </c>
      <c r="C92" s="6">
        <f>$A92+Config!$J$4/2</f>
        <v/>
      </c>
      <c r="D92" s="6">
        <f>COUNTIFS(RawData!$C$2:$C$941,"LT",RawData!$I$2:$I$941,"&gt;="&amp;$B92,RawData!$I$2:$I$941,"&lt;"&amp;$C92,RawData!$I$2:$I$941,"&lt;&gt;0")</f>
        <v/>
      </c>
      <c r="E92" s="6">
        <f>IF(Config!$G$4=0,0,IF(ABS(($A92-Config!$F$4)/Config!$G$4)&lt;=2,$D92,0))</f>
        <v/>
      </c>
      <c r="F92" s="6">
        <f>IF(Config!$G$4=0,0,IF(AND(ABS(($A92-Config!$F$4)/Config!$G$4)&gt;2,ABS(($A92-Config!$F$4)/Config!$G$4)&lt;=3),$D92,0))</f>
        <v/>
      </c>
      <c r="G92" s="6">
        <f>IF(Config!$G$4=0,0,IF(ABS(($A92-Config!$F$4)/Config!$G$4)&gt;3,$D92,0))</f>
        <v/>
      </c>
      <c r="H92" s="6">
        <f>IFERROR(NORM.DIST($A92,Config!$F$4,Config!$G$4,FALSE)*Config!$D$4*Config!$J$4,0)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IFERROR(NORM.DIST($A93,Config!$F$4,Config!$G$4,FALSE)*Config!$D$4*Config!$J$4,0)</f>
        <v/>
      </c>
    </row>
    <row r="94">
      <c r="A94" s="6">
        <f>Config!$K$4+28*Config!$J$4+Config!$J$4/2</f>
        <v/>
      </c>
      <c r="B94" s="6">
        <f>$A94-Config!$J$4/2</f>
        <v/>
      </c>
      <c r="C94" s="6">
        <f>$A94+Config!$J$4/2</f>
        <v/>
      </c>
      <c r="D94" s="6">
        <f>COUNTIFS(RawData!$C$2:$C$941,"LT",RawData!$I$2:$I$941,"&gt;="&amp;$B94,RawData!$I$2:$I$941,"&lt;"&amp;$C94,RawData!$I$2:$I$941,"&lt;&gt;0")</f>
        <v/>
      </c>
      <c r="E94" s="6">
        <f>IF(Config!$G$4=0,0,IF(ABS(($A94-Config!$F$4)/Config!$G$4)&lt;=2,$D94,0))</f>
        <v/>
      </c>
      <c r="F94" s="6">
        <f>IF(Config!$G$4=0,0,IF(AND(ABS(($A94-Config!$F$4)/Config!$G$4)&gt;2,ABS(($A94-Config!$F$4)/Config!$G$4)&lt;=3),$D94,0))</f>
        <v/>
      </c>
      <c r="G94" s="6">
        <f>IF(Config!$G$4=0,0,IF(ABS(($A94-Config!$F$4)/Config!$G$4)&gt;3,$D94,0))</f>
        <v/>
      </c>
      <c r="H94" s="6">
        <f>IFERROR(NORM.DIST($A94,Config!$F$4,Config!$G$4,FALSE)*Config!$D$4*Config!$J$4,0)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IFERROR(NORM.DIST($A95,Config!$F$4,Config!$G$4,FALSE)*Config!$D$4*Config!$J$4,0)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Config!$K$5+0*Config!$J$5+Config!$J$5/2</f>
        <v/>
      </c>
      <c r="B98" s="6">
        <f>$A98-Config!$J$5/2</f>
        <v/>
      </c>
      <c r="C98" s="6">
        <f>$A98+Config!$J$5/2</f>
        <v/>
      </c>
      <c r="D98" s="6">
        <f>COUNTIFS(RawData!$C$2:$C$941,"LT",RawData!$J$2:$J$941,"&gt;="&amp;$B98,RawData!$J$2:$J$941,"&lt;"&amp;$C98,RawData!$J$2:$J$941,"&lt;&gt;0")</f>
        <v/>
      </c>
      <c r="E98" s="6">
        <f>IF(Config!$G$5=0,0,IF(ABS(($A98-Config!$F$5)/Config!$G$5)&lt;=2,$D98,0))</f>
        <v/>
      </c>
      <c r="F98" s="6">
        <f>IF(Config!$G$5=0,0,IF(AND(ABS(($A98-Config!$F$5)/Config!$G$5)&gt;2,ABS(($A98-Config!$F$5)/Config!$G$5)&lt;=3),$D98,0))</f>
        <v/>
      </c>
      <c r="G98" s="6">
        <f>IF(Config!$G$5=0,0,IF(ABS(($A98-Config!$F$5)/Config!$G$5)&gt;3,$D98,0))</f>
        <v/>
      </c>
      <c r="H98" s="6">
        <f>IFERROR(NORM.DIST($A98,Config!$F$5,Config!$G$5,FALSE)*Config!$D$5*Config!$J$5,0)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IFERROR(NORM.DIST($A99,Config!$F$5,Config!$G$5,FALSE)*Config!$D$5*Config!$J$5,0)</f>
        <v/>
      </c>
    </row>
    <row r="100">
      <c r="A100" s="6">
        <f>Config!$K$5+2*Config!$J$5+Config!$J$5/2</f>
        <v/>
      </c>
      <c r="B100" s="6">
        <f>$A100-Config!$J$5/2</f>
        <v/>
      </c>
      <c r="C100" s="6">
        <f>$A100+Config!$J$5/2</f>
        <v/>
      </c>
      <c r="D100" s="6">
        <f>COUNTIFS(RawData!$C$2:$C$941,"LT",RawData!$J$2:$J$941,"&gt;="&amp;$B100,RawData!$J$2:$J$941,"&lt;"&amp;$C100,RawData!$J$2:$J$941,"&lt;&gt;0")</f>
        <v/>
      </c>
      <c r="E100" s="6">
        <f>IF(Config!$G$5=0,0,IF(ABS(($A100-Config!$F$5)/Config!$G$5)&lt;=2,$D100,0))</f>
        <v/>
      </c>
      <c r="F100" s="6">
        <f>IF(Config!$G$5=0,0,IF(AND(ABS(($A100-Config!$F$5)/Config!$G$5)&gt;2,ABS(($A100-Config!$F$5)/Config!$G$5)&lt;=3),$D100,0))</f>
        <v/>
      </c>
      <c r="G100" s="6">
        <f>IF(Config!$G$5=0,0,IF(ABS(($A100-Config!$F$5)/Config!$G$5)&gt;3,$D100,0))</f>
        <v/>
      </c>
      <c r="H100" s="6">
        <f>IFERROR(NORM.DIST($A100,Config!$F$5,Config!$G$5,FALSE)*Config!$D$5*Config!$J$5,0)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IFERROR(NORM.DIST($A101,Config!$F$5,Config!$G$5,FALSE)*Config!$D$5*Config!$J$5,0)</f>
        <v/>
      </c>
    </row>
    <row r="102">
      <c r="A102" s="6">
        <f>Config!$K$5+4*Config!$J$5+Config!$J$5/2</f>
        <v/>
      </c>
      <c r="B102" s="6">
        <f>$A102-Config!$J$5/2</f>
        <v/>
      </c>
      <c r="C102" s="6">
        <f>$A102+Config!$J$5/2</f>
        <v/>
      </c>
      <c r="D102" s="6">
        <f>COUNTIFS(RawData!$C$2:$C$941,"LT",RawData!$J$2:$J$941,"&gt;="&amp;$B102,RawData!$J$2:$J$941,"&lt;"&amp;$C102,RawData!$J$2:$J$941,"&lt;&gt;0")</f>
        <v/>
      </c>
      <c r="E102" s="6">
        <f>IF(Config!$G$5=0,0,IF(ABS(($A102-Config!$F$5)/Config!$G$5)&lt;=2,$D102,0))</f>
        <v/>
      </c>
      <c r="F102" s="6">
        <f>IF(Config!$G$5=0,0,IF(AND(ABS(($A102-Config!$F$5)/Config!$G$5)&gt;2,ABS(($A102-Config!$F$5)/Config!$G$5)&lt;=3),$D102,0))</f>
        <v/>
      </c>
      <c r="G102" s="6">
        <f>IF(Config!$G$5=0,0,IF(ABS(($A102-Config!$F$5)/Config!$G$5)&gt;3,$D102,0))</f>
        <v/>
      </c>
      <c r="H102" s="6">
        <f>IFERROR(NORM.DIST($A102,Config!$F$5,Config!$G$5,FALSE)*Config!$D$5*Config!$J$5,0)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IFERROR(NORM.DIST($A103,Config!$F$5,Config!$G$5,FALSE)*Config!$D$5*Config!$J$5,0)</f>
        <v/>
      </c>
    </row>
    <row r="104">
      <c r="A104" s="6">
        <f>Config!$K$5+6*Config!$J$5+Config!$J$5/2</f>
        <v/>
      </c>
      <c r="B104" s="6">
        <f>$A104-Config!$J$5/2</f>
        <v/>
      </c>
      <c r="C104" s="6">
        <f>$A104+Config!$J$5/2</f>
        <v/>
      </c>
      <c r="D104" s="6">
        <f>COUNTIFS(RawData!$C$2:$C$941,"LT",RawData!$J$2:$J$941,"&gt;="&amp;$B104,RawData!$J$2:$J$941,"&lt;"&amp;$C104,RawData!$J$2:$J$941,"&lt;&gt;0")</f>
        <v/>
      </c>
      <c r="E104" s="6">
        <f>IF(Config!$G$5=0,0,IF(ABS(($A104-Config!$F$5)/Config!$G$5)&lt;=2,$D104,0))</f>
        <v/>
      </c>
      <c r="F104" s="6">
        <f>IF(Config!$G$5=0,0,IF(AND(ABS(($A104-Config!$F$5)/Config!$G$5)&gt;2,ABS(($A104-Config!$F$5)/Config!$G$5)&lt;=3),$D104,0))</f>
        <v/>
      </c>
      <c r="G104" s="6">
        <f>IF(Config!$G$5=0,0,IF(ABS(($A104-Config!$F$5)/Config!$G$5)&gt;3,$D104,0))</f>
        <v/>
      </c>
      <c r="H104" s="6">
        <f>IFERROR(NORM.DIST($A104,Config!$F$5,Config!$G$5,FALSE)*Config!$D$5*Config!$J$5,0)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IFERROR(NORM.DIST($A105,Config!$F$5,Config!$G$5,FALSE)*Config!$D$5*Config!$J$5,0)</f>
        <v/>
      </c>
    </row>
    <row r="106">
      <c r="A106" s="6">
        <f>Config!$K$5+8*Config!$J$5+Config!$J$5/2</f>
        <v/>
      </c>
      <c r="B106" s="6">
        <f>$A106-Config!$J$5/2</f>
        <v/>
      </c>
      <c r="C106" s="6">
        <f>$A106+Config!$J$5/2</f>
        <v/>
      </c>
      <c r="D106" s="6">
        <f>COUNTIFS(RawData!$C$2:$C$941,"LT",RawData!$J$2:$J$941,"&gt;="&amp;$B106,RawData!$J$2:$J$941,"&lt;"&amp;$C106,RawData!$J$2:$J$941,"&lt;&gt;0")</f>
        <v/>
      </c>
      <c r="E106" s="6">
        <f>IF(Config!$G$5=0,0,IF(ABS(($A106-Config!$F$5)/Config!$G$5)&lt;=2,$D106,0))</f>
        <v/>
      </c>
      <c r="F106" s="6">
        <f>IF(Config!$G$5=0,0,IF(AND(ABS(($A106-Config!$F$5)/Config!$G$5)&gt;2,ABS(($A106-Config!$F$5)/Config!$G$5)&lt;=3),$D106,0))</f>
        <v/>
      </c>
      <c r="G106" s="6">
        <f>IF(Config!$G$5=0,0,IF(ABS(($A106-Config!$F$5)/Config!$G$5)&gt;3,$D106,0))</f>
        <v/>
      </c>
      <c r="H106" s="6">
        <f>IFERROR(NORM.DIST($A106,Config!$F$5,Config!$G$5,FALSE)*Config!$D$5*Config!$J$5,0)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IFERROR(NORM.DIST($A107,Config!$F$5,Config!$G$5,FALSE)*Config!$D$5*Config!$J$5,0)</f>
        <v/>
      </c>
    </row>
    <row r="108">
      <c r="A108" s="6">
        <f>Config!$K$5+10*Config!$J$5+Config!$J$5/2</f>
        <v/>
      </c>
      <c r="B108" s="6">
        <f>$A108-Config!$J$5/2</f>
        <v/>
      </c>
      <c r="C108" s="6">
        <f>$A108+Config!$J$5/2</f>
        <v/>
      </c>
      <c r="D108" s="6">
        <f>COUNTIFS(RawData!$C$2:$C$941,"LT",RawData!$J$2:$J$941,"&gt;="&amp;$B108,RawData!$J$2:$J$941,"&lt;"&amp;$C108,RawData!$J$2:$J$941,"&lt;&gt;0")</f>
        <v/>
      </c>
      <c r="E108" s="6">
        <f>IF(Config!$G$5=0,0,IF(ABS(($A108-Config!$F$5)/Config!$G$5)&lt;=2,$D108,0))</f>
        <v/>
      </c>
      <c r="F108" s="6">
        <f>IF(Config!$G$5=0,0,IF(AND(ABS(($A108-Config!$F$5)/Config!$G$5)&gt;2,ABS(($A108-Config!$F$5)/Config!$G$5)&lt;=3),$D108,0))</f>
        <v/>
      </c>
      <c r="G108" s="6">
        <f>IF(Config!$G$5=0,0,IF(ABS(($A108-Config!$F$5)/Config!$G$5)&gt;3,$D108,0))</f>
        <v/>
      </c>
      <c r="H108" s="6">
        <f>IFERROR(NORM.DIST($A108,Config!$F$5,Config!$G$5,FALSE)*Config!$D$5*Config!$J$5,0)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IFERROR(NORM.DIST($A109,Config!$F$5,Config!$G$5,FALSE)*Config!$D$5*Config!$J$5,0)</f>
        <v/>
      </c>
    </row>
    <row r="110">
      <c r="A110" s="6">
        <f>Config!$K$5+12*Config!$J$5+Config!$J$5/2</f>
        <v/>
      </c>
      <c r="B110" s="6">
        <f>$A110-Config!$J$5/2</f>
        <v/>
      </c>
      <c r="C110" s="6">
        <f>$A110+Config!$J$5/2</f>
        <v/>
      </c>
      <c r="D110" s="6">
        <f>COUNTIFS(RawData!$C$2:$C$941,"LT",RawData!$J$2:$J$941,"&gt;="&amp;$B110,RawData!$J$2:$J$941,"&lt;"&amp;$C110,RawData!$J$2:$J$941,"&lt;&gt;0")</f>
        <v/>
      </c>
      <c r="E110" s="6">
        <f>IF(Config!$G$5=0,0,IF(ABS(($A110-Config!$F$5)/Config!$G$5)&lt;=2,$D110,0))</f>
        <v/>
      </c>
      <c r="F110" s="6">
        <f>IF(Config!$G$5=0,0,IF(AND(ABS(($A110-Config!$F$5)/Config!$G$5)&gt;2,ABS(($A110-Config!$F$5)/Config!$G$5)&lt;=3),$D110,0))</f>
        <v/>
      </c>
      <c r="G110" s="6">
        <f>IF(Config!$G$5=0,0,IF(ABS(($A110-Config!$F$5)/Config!$G$5)&gt;3,$D110,0))</f>
        <v/>
      </c>
      <c r="H110" s="6">
        <f>IFERROR(NORM.DIST($A110,Config!$F$5,Config!$G$5,FALSE)*Config!$D$5*Config!$J$5,0)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IFERROR(NORM.DIST($A111,Config!$F$5,Config!$G$5,FALSE)*Config!$D$5*Config!$J$5,0)</f>
        <v/>
      </c>
    </row>
    <row r="112">
      <c r="A112" s="6">
        <f>Config!$K$5+14*Config!$J$5+Config!$J$5/2</f>
        <v/>
      </c>
      <c r="B112" s="6">
        <f>$A112-Config!$J$5/2</f>
        <v/>
      </c>
      <c r="C112" s="6">
        <f>$A112+Config!$J$5/2</f>
        <v/>
      </c>
      <c r="D112" s="6">
        <f>COUNTIFS(RawData!$C$2:$C$941,"LT",RawData!$J$2:$J$941,"&gt;="&amp;$B112,RawData!$J$2:$J$941,"&lt;"&amp;$C112,RawData!$J$2:$J$941,"&lt;&gt;0")</f>
        <v/>
      </c>
      <c r="E112" s="6">
        <f>IF(Config!$G$5=0,0,IF(ABS(($A112-Config!$F$5)/Config!$G$5)&lt;=2,$D112,0))</f>
        <v/>
      </c>
      <c r="F112" s="6">
        <f>IF(Config!$G$5=0,0,IF(AND(ABS(($A112-Config!$F$5)/Config!$G$5)&gt;2,ABS(($A112-Config!$F$5)/Config!$G$5)&lt;=3),$D112,0))</f>
        <v/>
      </c>
      <c r="G112" s="6">
        <f>IF(Config!$G$5=0,0,IF(ABS(($A112-Config!$F$5)/Config!$G$5)&gt;3,$D112,0))</f>
        <v/>
      </c>
      <c r="H112" s="6">
        <f>IFERROR(NORM.DIST($A112,Config!$F$5,Config!$G$5,FALSE)*Config!$D$5*Config!$J$5,0)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IFERROR(NORM.DIST($A113,Config!$F$5,Config!$G$5,FALSE)*Config!$D$5*Config!$J$5,0)</f>
        <v/>
      </c>
    </row>
    <row r="114">
      <c r="A114" s="6">
        <f>Config!$K$5+16*Config!$J$5+Config!$J$5/2</f>
        <v/>
      </c>
      <c r="B114" s="6">
        <f>$A114-Config!$J$5/2</f>
        <v/>
      </c>
      <c r="C114" s="6">
        <f>$A114+Config!$J$5/2</f>
        <v/>
      </c>
      <c r="D114" s="6">
        <f>COUNTIFS(RawData!$C$2:$C$941,"LT",RawData!$J$2:$J$941,"&gt;="&amp;$B114,RawData!$J$2:$J$941,"&lt;"&amp;$C114,RawData!$J$2:$J$941,"&lt;&gt;0")</f>
        <v/>
      </c>
      <c r="E114" s="6">
        <f>IF(Config!$G$5=0,0,IF(ABS(($A114-Config!$F$5)/Config!$G$5)&lt;=2,$D114,0))</f>
        <v/>
      </c>
      <c r="F114" s="6">
        <f>IF(Config!$G$5=0,0,IF(AND(ABS(($A114-Config!$F$5)/Config!$G$5)&gt;2,ABS(($A114-Config!$F$5)/Config!$G$5)&lt;=3),$D114,0))</f>
        <v/>
      </c>
      <c r="G114" s="6">
        <f>IF(Config!$G$5=0,0,IF(ABS(($A114-Config!$F$5)/Config!$G$5)&gt;3,$D114,0))</f>
        <v/>
      </c>
      <c r="H114" s="6">
        <f>IFERROR(NORM.DIST($A114,Config!$F$5,Config!$G$5,FALSE)*Config!$D$5*Config!$J$5,0)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IFERROR(NORM.DIST($A115,Config!$F$5,Config!$G$5,FALSE)*Config!$D$5*Config!$J$5,0)</f>
        <v/>
      </c>
    </row>
    <row r="116">
      <c r="A116" s="6">
        <f>Config!$K$5+18*Config!$J$5+Config!$J$5/2</f>
        <v/>
      </c>
      <c r="B116" s="6">
        <f>$A116-Config!$J$5/2</f>
        <v/>
      </c>
      <c r="C116" s="6">
        <f>$A116+Config!$J$5/2</f>
        <v/>
      </c>
      <c r="D116" s="6">
        <f>COUNTIFS(RawData!$C$2:$C$941,"LT",RawData!$J$2:$J$941,"&gt;="&amp;$B116,RawData!$J$2:$J$941,"&lt;"&amp;$C116,RawData!$J$2:$J$941,"&lt;&gt;0")</f>
        <v/>
      </c>
      <c r="E116" s="6">
        <f>IF(Config!$G$5=0,0,IF(ABS(($A116-Config!$F$5)/Config!$G$5)&lt;=2,$D116,0))</f>
        <v/>
      </c>
      <c r="F116" s="6">
        <f>IF(Config!$G$5=0,0,IF(AND(ABS(($A116-Config!$F$5)/Config!$G$5)&gt;2,ABS(($A116-Config!$F$5)/Config!$G$5)&lt;=3),$D116,0))</f>
        <v/>
      </c>
      <c r="G116" s="6">
        <f>IF(Config!$G$5=0,0,IF(ABS(($A116-Config!$F$5)/Config!$G$5)&gt;3,$D116,0))</f>
        <v/>
      </c>
      <c r="H116" s="6">
        <f>IFERROR(NORM.DIST($A116,Config!$F$5,Config!$G$5,FALSE)*Config!$D$5*Config!$J$5,0)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IFERROR(NORM.DIST($A117,Config!$F$5,Config!$G$5,FALSE)*Config!$D$5*Config!$J$5,0)</f>
        <v/>
      </c>
    </row>
    <row r="118">
      <c r="A118" s="6">
        <f>Config!$K$5+20*Config!$J$5+Config!$J$5/2</f>
        <v/>
      </c>
      <c r="B118" s="6">
        <f>$A118-Config!$J$5/2</f>
        <v/>
      </c>
      <c r="C118" s="6">
        <f>$A118+Config!$J$5/2</f>
        <v/>
      </c>
      <c r="D118" s="6">
        <f>COUNTIFS(RawData!$C$2:$C$941,"LT",RawData!$J$2:$J$941,"&gt;="&amp;$B118,RawData!$J$2:$J$941,"&lt;"&amp;$C118,RawData!$J$2:$J$941,"&lt;&gt;0")</f>
        <v/>
      </c>
      <c r="E118" s="6">
        <f>IF(Config!$G$5=0,0,IF(ABS(($A118-Config!$F$5)/Config!$G$5)&lt;=2,$D118,0))</f>
        <v/>
      </c>
      <c r="F118" s="6">
        <f>IF(Config!$G$5=0,0,IF(AND(ABS(($A118-Config!$F$5)/Config!$G$5)&gt;2,ABS(($A118-Config!$F$5)/Config!$G$5)&lt;=3),$D118,0))</f>
        <v/>
      </c>
      <c r="G118" s="6">
        <f>IF(Config!$G$5=0,0,IF(ABS(($A118-Config!$F$5)/Config!$G$5)&gt;3,$D118,0))</f>
        <v/>
      </c>
      <c r="H118" s="6">
        <f>IFERROR(NORM.DIST($A118,Config!$F$5,Config!$G$5,FALSE)*Config!$D$5*Config!$J$5,0)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IFERROR(NORM.DIST($A119,Config!$F$5,Config!$G$5,FALSE)*Config!$D$5*Config!$J$5,0)</f>
        <v/>
      </c>
    </row>
    <row r="120">
      <c r="A120" s="6">
        <f>Config!$K$5+22*Config!$J$5+Config!$J$5/2</f>
        <v/>
      </c>
      <c r="B120" s="6">
        <f>$A120-Config!$J$5/2</f>
        <v/>
      </c>
      <c r="C120" s="6">
        <f>$A120+Config!$J$5/2</f>
        <v/>
      </c>
      <c r="D120" s="6">
        <f>COUNTIFS(RawData!$C$2:$C$941,"LT",RawData!$J$2:$J$941,"&gt;="&amp;$B120,RawData!$J$2:$J$941,"&lt;"&amp;$C120,RawData!$J$2:$J$941,"&lt;&gt;0")</f>
        <v/>
      </c>
      <c r="E120" s="6">
        <f>IF(Config!$G$5=0,0,IF(ABS(($A120-Config!$F$5)/Config!$G$5)&lt;=2,$D120,0))</f>
        <v/>
      </c>
      <c r="F120" s="6">
        <f>IF(Config!$G$5=0,0,IF(AND(ABS(($A120-Config!$F$5)/Config!$G$5)&gt;2,ABS(($A120-Config!$F$5)/Config!$G$5)&lt;=3),$D120,0))</f>
        <v/>
      </c>
      <c r="G120" s="6">
        <f>IF(Config!$G$5=0,0,IF(ABS(($A120-Config!$F$5)/Config!$G$5)&gt;3,$D120,0))</f>
        <v/>
      </c>
      <c r="H120" s="6">
        <f>IFERROR(NORM.DIST($A120,Config!$F$5,Config!$G$5,FALSE)*Config!$D$5*Config!$J$5,0)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IFERROR(NORM.DIST($A121,Config!$F$5,Config!$G$5,FALSE)*Config!$D$5*Config!$J$5,0)</f>
        <v/>
      </c>
    </row>
    <row r="122">
      <c r="A122" s="6">
        <f>Config!$K$5+24*Config!$J$5+Config!$J$5/2</f>
        <v/>
      </c>
      <c r="B122" s="6">
        <f>$A122-Config!$J$5/2</f>
        <v/>
      </c>
      <c r="C122" s="6">
        <f>$A122+Config!$J$5/2</f>
        <v/>
      </c>
      <c r="D122" s="6">
        <f>COUNTIFS(RawData!$C$2:$C$941,"LT",RawData!$J$2:$J$941,"&gt;="&amp;$B122,RawData!$J$2:$J$941,"&lt;"&amp;$C122,RawData!$J$2:$J$941,"&lt;&gt;0")</f>
        <v/>
      </c>
      <c r="E122" s="6">
        <f>IF(Config!$G$5=0,0,IF(ABS(($A122-Config!$F$5)/Config!$G$5)&lt;=2,$D122,0))</f>
        <v/>
      </c>
      <c r="F122" s="6">
        <f>IF(Config!$G$5=0,0,IF(AND(ABS(($A122-Config!$F$5)/Config!$G$5)&gt;2,ABS(($A122-Config!$F$5)/Config!$G$5)&lt;=3),$D122,0))</f>
        <v/>
      </c>
      <c r="G122" s="6">
        <f>IF(Config!$G$5=0,0,IF(ABS(($A122-Config!$F$5)/Config!$G$5)&gt;3,$D122,0))</f>
        <v/>
      </c>
      <c r="H122" s="6">
        <f>IFERROR(NORM.DIST($A122,Config!$F$5,Config!$G$5,FALSE)*Config!$D$5*Config!$J$5,0)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IFERROR(NORM.DIST($A123,Config!$F$5,Config!$G$5,FALSE)*Config!$D$5*Config!$J$5,0)</f>
        <v/>
      </c>
    </row>
    <row r="124">
      <c r="A124" s="6">
        <f>Config!$K$5+26*Config!$J$5+Config!$J$5/2</f>
        <v/>
      </c>
      <c r="B124" s="6">
        <f>$A124-Config!$J$5/2</f>
        <v/>
      </c>
      <c r="C124" s="6">
        <f>$A124+Config!$J$5/2</f>
        <v/>
      </c>
      <c r="D124" s="6">
        <f>COUNTIFS(RawData!$C$2:$C$941,"LT",RawData!$J$2:$J$941,"&gt;="&amp;$B124,RawData!$J$2:$J$941,"&lt;"&amp;$C124,RawData!$J$2:$J$941,"&lt;&gt;0")</f>
        <v/>
      </c>
      <c r="E124" s="6">
        <f>IF(Config!$G$5=0,0,IF(ABS(($A124-Config!$F$5)/Config!$G$5)&lt;=2,$D124,0))</f>
        <v/>
      </c>
      <c r="F124" s="6">
        <f>IF(Config!$G$5=0,0,IF(AND(ABS(($A124-Config!$F$5)/Config!$G$5)&gt;2,ABS(($A124-Config!$F$5)/Config!$G$5)&lt;=3),$D124,0))</f>
        <v/>
      </c>
      <c r="G124" s="6">
        <f>IF(Config!$G$5=0,0,IF(ABS(($A124-Config!$F$5)/Config!$G$5)&gt;3,$D124,0))</f>
        <v/>
      </c>
      <c r="H124" s="6">
        <f>IFERROR(NORM.DIST($A124,Config!$F$5,Config!$G$5,FALSE)*Config!$D$5*Config!$J$5,0)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IFERROR(NORM.DIST($A125,Config!$F$5,Config!$G$5,FALSE)*Config!$D$5*Config!$J$5,0)</f>
        <v/>
      </c>
    </row>
    <row r="126">
      <c r="A126" s="6">
        <f>Config!$K$5+28*Config!$J$5+Config!$J$5/2</f>
        <v/>
      </c>
      <c r="B126" s="6">
        <f>$A126-Config!$J$5/2</f>
        <v/>
      </c>
      <c r="C126" s="6">
        <f>$A126+Config!$J$5/2</f>
        <v/>
      </c>
      <c r="D126" s="6">
        <f>COUNTIFS(RawData!$C$2:$C$941,"LT",RawData!$J$2:$J$941,"&gt;="&amp;$B126,RawData!$J$2:$J$941,"&lt;"&amp;$C126,RawData!$J$2:$J$941,"&lt;&gt;0")</f>
        <v/>
      </c>
      <c r="E126" s="6">
        <f>IF(Config!$G$5=0,0,IF(ABS(($A126-Config!$F$5)/Config!$G$5)&lt;=2,$D126,0))</f>
        <v/>
      </c>
      <c r="F126" s="6">
        <f>IF(Config!$G$5=0,0,IF(AND(ABS(($A126-Config!$F$5)/Config!$G$5)&gt;2,ABS(($A126-Config!$F$5)/Config!$G$5)&lt;=3),$D126,0))</f>
        <v/>
      </c>
      <c r="G126" s="6">
        <f>IF(Config!$G$5=0,0,IF(ABS(($A126-Config!$F$5)/Config!$G$5)&gt;3,$D126,0))</f>
        <v/>
      </c>
      <c r="H126" s="6">
        <f>IFERROR(NORM.DIST($A126,Config!$F$5,Config!$G$5,FALSE)*Config!$D$5*Config!$J$5,0)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IFERROR(NORM.DIST($A127,Config!$F$5,Config!$G$5,FALSE)*Config!$D$5*Config!$J$5,0)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Config!$K$6+0*Config!$J$6+Config!$J$6/2</f>
        <v/>
      </c>
      <c r="B130" s="6">
        <f>$A130-Config!$J$6/2</f>
        <v/>
      </c>
      <c r="C130" s="6">
        <f>$A130+Config!$J$6/2</f>
        <v/>
      </c>
      <c r="D130" s="6">
        <f>COUNTIFS(RawData!$C$2:$C$941,"LT",RawData!$K$2:$K$941,"&gt;="&amp;$B130,RawData!$K$2:$K$941,"&lt;"&amp;$C130,RawData!$K$2:$K$941,"&lt;&gt;0")</f>
        <v/>
      </c>
      <c r="E130" s="6">
        <f>IF(Config!$G$6=0,0,IF(ABS(($A130-Config!$F$6)/Config!$G$6)&lt;=2,$D130,0))</f>
        <v/>
      </c>
      <c r="F130" s="6">
        <f>IF(Config!$G$6=0,0,IF(AND(ABS(($A130-Config!$F$6)/Config!$G$6)&gt;2,ABS(($A130-Config!$F$6)/Config!$G$6)&lt;=3),$D130,0))</f>
        <v/>
      </c>
      <c r="G130" s="6">
        <f>IF(Config!$G$6=0,0,IF(ABS(($A130-Config!$F$6)/Config!$G$6)&gt;3,$D130,0))</f>
        <v/>
      </c>
      <c r="H130" s="6">
        <f>IFERROR(NORM.DIST($A130,Config!$F$6,Config!$G$6,FALSE)*Config!$D$6*Config!$J$6,0)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IFERROR(NORM.DIST($A131,Config!$F$6,Config!$G$6,FALSE)*Config!$D$6*Config!$J$6,0)</f>
        <v/>
      </c>
    </row>
    <row r="132">
      <c r="A132" s="6">
        <f>Config!$K$6+2*Config!$J$6+Config!$J$6/2</f>
        <v/>
      </c>
      <c r="B132" s="6">
        <f>$A132-Config!$J$6/2</f>
        <v/>
      </c>
      <c r="C132" s="6">
        <f>$A132+Config!$J$6/2</f>
        <v/>
      </c>
      <c r="D132" s="6">
        <f>COUNTIFS(RawData!$C$2:$C$941,"LT",RawData!$K$2:$K$941,"&gt;="&amp;$B132,RawData!$K$2:$K$941,"&lt;"&amp;$C132,RawData!$K$2:$K$941,"&lt;&gt;0")</f>
        <v/>
      </c>
      <c r="E132" s="6">
        <f>IF(Config!$G$6=0,0,IF(ABS(($A132-Config!$F$6)/Config!$G$6)&lt;=2,$D132,0))</f>
        <v/>
      </c>
      <c r="F132" s="6">
        <f>IF(Config!$G$6=0,0,IF(AND(ABS(($A132-Config!$F$6)/Config!$G$6)&gt;2,ABS(($A132-Config!$F$6)/Config!$G$6)&lt;=3),$D132,0))</f>
        <v/>
      </c>
      <c r="G132" s="6">
        <f>IF(Config!$G$6=0,0,IF(ABS(($A132-Config!$F$6)/Config!$G$6)&gt;3,$D132,0))</f>
        <v/>
      </c>
      <c r="H132" s="6">
        <f>IFERROR(NORM.DIST($A132,Config!$F$6,Config!$G$6,FALSE)*Config!$D$6*Config!$J$6,0)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IFERROR(NORM.DIST($A133,Config!$F$6,Config!$G$6,FALSE)*Config!$D$6*Config!$J$6,0)</f>
        <v/>
      </c>
    </row>
    <row r="134">
      <c r="A134" s="6">
        <f>Config!$K$6+4*Config!$J$6+Config!$J$6/2</f>
        <v/>
      </c>
      <c r="B134" s="6">
        <f>$A134-Config!$J$6/2</f>
        <v/>
      </c>
      <c r="C134" s="6">
        <f>$A134+Config!$J$6/2</f>
        <v/>
      </c>
      <c r="D134" s="6">
        <f>COUNTIFS(RawData!$C$2:$C$941,"LT",RawData!$K$2:$K$941,"&gt;="&amp;$B134,RawData!$K$2:$K$941,"&lt;"&amp;$C134,RawData!$K$2:$K$941,"&lt;&gt;0")</f>
        <v/>
      </c>
      <c r="E134" s="6">
        <f>IF(Config!$G$6=0,0,IF(ABS(($A134-Config!$F$6)/Config!$G$6)&lt;=2,$D134,0))</f>
        <v/>
      </c>
      <c r="F134" s="6">
        <f>IF(Config!$G$6=0,0,IF(AND(ABS(($A134-Config!$F$6)/Config!$G$6)&gt;2,ABS(($A134-Config!$F$6)/Config!$G$6)&lt;=3),$D134,0))</f>
        <v/>
      </c>
      <c r="G134" s="6">
        <f>IF(Config!$G$6=0,0,IF(ABS(($A134-Config!$F$6)/Config!$G$6)&gt;3,$D134,0))</f>
        <v/>
      </c>
      <c r="H134" s="6">
        <f>IFERROR(NORM.DIST($A134,Config!$F$6,Config!$G$6,FALSE)*Config!$D$6*Config!$J$6,0)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IFERROR(NORM.DIST($A135,Config!$F$6,Config!$G$6,FALSE)*Config!$D$6*Config!$J$6,0)</f>
        <v/>
      </c>
    </row>
    <row r="136">
      <c r="A136" s="6">
        <f>Config!$K$6+6*Config!$J$6+Config!$J$6/2</f>
        <v/>
      </c>
      <c r="B136" s="6">
        <f>$A136-Config!$J$6/2</f>
        <v/>
      </c>
      <c r="C136" s="6">
        <f>$A136+Config!$J$6/2</f>
        <v/>
      </c>
      <c r="D136" s="6">
        <f>COUNTIFS(RawData!$C$2:$C$941,"LT",RawData!$K$2:$K$941,"&gt;="&amp;$B136,RawData!$K$2:$K$941,"&lt;"&amp;$C136,RawData!$K$2:$K$941,"&lt;&gt;0")</f>
        <v/>
      </c>
      <c r="E136" s="6">
        <f>IF(Config!$G$6=0,0,IF(ABS(($A136-Config!$F$6)/Config!$G$6)&lt;=2,$D136,0))</f>
        <v/>
      </c>
      <c r="F136" s="6">
        <f>IF(Config!$G$6=0,0,IF(AND(ABS(($A136-Config!$F$6)/Config!$G$6)&gt;2,ABS(($A136-Config!$F$6)/Config!$G$6)&lt;=3),$D136,0))</f>
        <v/>
      </c>
      <c r="G136" s="6">
        <f>IF(Config!$G$6=0,0,IF(ABS(($A136-Config!$F$6)/Config!$G$6)&gt;3,$D136,0))</f>
        <v/>
      </c>
      <c r="H136" s="6">
        <f>IFERROR(NORM.DIST($A136,Config!$F$6,Config!$G$6,FALSE)*Config!$D$6*Config!$J$6,0)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IFERROR(NORM.DIST($A137,Config!$F$6,Config!$G$6,FALSE)*Config!$D$6*Config!$J$6,0)</f>
        <v/>
      </c>
    </row>
    <row r="138">
      <c r="A138" s="6">
        <f>Config!$K$6+8*Config!$J$6+Config!$J$6/2</f>
        <v/>
      </c>
      <c r="B138" s="6">
        <f>$A138-Config!$J$6/2</f>
        <v/>
      </c>
      <c r="C138" s="6">
        <f>$A138+Config!$J$6/2</f>
        <v/>
      </c>
      <c r="D138" s="6">
        <f>COUNTIFS(RawData!$C$2:$C$941,"LT",RawData!$K$2:$K$941,"&gt;="&amp;$B138,RawData!$K$2:$K$941,"&lt;"&amp;$C138,RawData!$K$2:$K$941,"&lt;&gt;0")</f>
        <v/>
      </c>
      <c r="E138" s="6">
        <f>IF(Config!$G$6=0,0,IF(ABS(($A138-Config!$F$6)/Config!$G$6)&lt;=2,$D138,0))</f>
        <v/>
      </c>
      <c r="F138" s="6">
        <f>IF(Config!$G$6=0,0,IF(AND(ABS(($A138-Config!$F$6)/Config!$G$6)&gt;2,ABS(($A138-Config!$F$6)/Config!$G$6)&lt;=3),$D138,0))</f>
        <v/>
      </c>
      <c r="G138" s="6">
        <f>IF(Config!$G$6=0,0,IF(ABS(($A138-Config!$F$6)/Config!$G$6)&gt;3,$D138,0))</f>
        <v/>
      </c>
      <c r="H138" s="6">
        <f>IFERROR(NORM.DIST($A138,Config!$F$6,Config!$G$6,FALSE)*Config!$D$6*Config!$J$6,0)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IFERROR(NORM.DIST($A139,Config!$F$6,Config!$G$6,FALSE)*Config!$D$6*Config!$J$6,0)</f>
        <v/>
      </c>
    </row>
    <row r="140">
      <c r="A140" s="6">
        <f>Config!$K$6+10*Config!$J$6+Config!$J$6/2</f>
        <v/>
      </c>
      <c r="B140" s="6">
        <f>$A140-Config!$J$6/2</f>
        <v/>
      </c>
      <c r="C140" s="6">
        <f>$A140+Config!$J$6/2</f>
        <v/>
      </c>
      <c r="D140" s="6">
        <f>COUNTIFS(RawData!$C$2:$C$941,"LT",RawData!$K$2:$K$941,"&gt;="&amp;$B140,RawData!$K$2:$K$941,"&lt;"&amp;$C140,RawData!$K$2:$K$941,"&lt;&gt;0")</f>
        <v/>
      </c>
      <c r="E140" s="6">
        <f>IF(Config!$G$6=0,0,IF(ABS(($A140-Config!$F$6)/Config!$G$6)&lt;=2,$D140,0))</f>
        <v/>
      </c>
      <c r="F140" s="6">
        <f>IF(Config!$G$6=0,0,IF(AND(ABS(($A140-Config!$F$6)/Config!$G$6)&gt;2,ABS(($A140-Config!$F$6)/Config!$G$6)&lt;=3),$D140,0))</f>
        <v/>
      </c>
      <c r="G140" s="6">
        <f>IF(Config!$G$6=0,0,IF(ABS(($A140-Config!$F$6)/Config!$G$6)&gt;3,$D140,0))</f>
        <v/>
      </c>
      <c r="H140" s="6">
        <f>IFERROR(NORM.DIST($A140,Config!$F$6,Config!$G$6,FALSE)*Config!$D$6*Config!$J$6,0)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IFERROR(NORM.DIST($A141,Config!$F$6,Config!$G$6,FALSE)*Config!$D$6*Config!$J$6,0)</f>
        <v/>
      </c>
    </row>
    <row r="142">
      <c r="A142" s="6">
        <f>Config!$K$6+12*Config!$J$6+Config!$J$6/2</f>
        <v/>
      </c>
      <c r="B142" s="6">
        <f>$A142-Config!$J$6/2</f>
        <v/>
      </c>
      <c r="C142" s="6">
        <f>$A142+Config!$J$6/2</f>
        <v/>
      </c>
      <c r="D142" s="6">
        <f>COUNTIFS(RawData!$C$2:$C$941,"LT",RawData!$K$2:$K$941,"&gt;="&amp;$B142,RawData!$K$2:$K$941,"&lt;"&amp;$C142,RawData!$K$2:$K$941,"&lt;&gt;0")</f>
        <v/>
      </c>
      <c r="E142" s="6">
        <f>IF(Config!$G$6=0,0,IF(ABS(($A142-Config!$F$6)/Config!$G$6)&lt;=2,$D142,0))</f>
        <v/>
      </c>
      <c r="F142" s="6">
        <f>IF(Config!$G$6=0,0,IF(AND(ABS(($A142-Config!$F$6)/Config!$G$6)&gt;2,ABS(($A142-Config!$F$6)/Config!$G$6)&lt;=3),$D142,0))</f>
        <v/>
      </c>
      <c r="G142" s="6">
        <f>IF(Config!$G$6=0,0,IF(ABS(($A142-Config!$F$6)/Config!$G$6)&gt;3,$D142,0))</f>
        <v/>
      </c>
      <c r="H142" s="6">
        <f>IFERROR(NORM.DIST($A142,Config!$F$6,Config!$G$6,FALSE)*Config!$D$6*Config!$J$6,0)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IFERROR(NORM.DIST($A143,Config!$F$6,Config!$G$6,FALSE)*Config!$D$6*Config!$J$6,0)</f>
        <v/>
      </c>
    </row>
    <row r="144">
      <c r="A144" s="6">
        <f>Config!$K$6+14*Config!$J$6+Config!$J$6/2</f>
        <v/>
      </c>
      <c r="B144" s="6">
        <f>$A144-Config!$J$6/2</f>
        <v/>
      </c>
      <c r="C144" s="6">
        <f>$A144+Config!$J$6/2</f>
        <v/>
      </c>
      <c r="D144" s="6">
        <f>COUNTIFS(RawData!$C$2:$C$941,"LT",RawData!$K$2:$K$941,"&gt;="&amp;$B144,RawData!$K$2:$K$941,"&lt;"&amp;$C144,RawData!$K$2:$K$941,"&lt;&gt;0")</f>
        <v/>
      </c>
      <c r="E144" s="6">
        <f>IF(Config!$G$6=0,0,IF(ABS(($A144-Config!$F$6)/Config!$G$6)&lt;=2,$D144,0))</f>
        <v/>
      </c>
      <c r="F144" s="6">
        <f>IF(Config!$G$6=0,0,IF(AND(ABS(($A144-Config!$F$6)/Config!$G$6)&gt;2,ABS(($A144-Config!$F$6)/Config!$G$6)&lt;=3),$D144,0))</f>
        <v/>
      </c>
      <c r="G144" s="6">
        <f>IF(Config!$G$6=0,0,IF(ABS(($A144-Config!$F$6)/Config!$G$6)&gt;3,$D144,0))</f>
        <v/>
      </c>
      <c r="H144" s="6">
        <f>IFERROR(NORM.DIST($A144,Config!$F$6,Config!$G$6,FALSE)*Config!$D$6*Config!$J$6,0)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IFERROR(NORM.DIST($A145,Config!$F$6,Config!$G$6,FALSE)*Config!$D$6*Config!$J$6,0)</f>
        <v/>
      </c>
    </row>
    <row r="146">
      <c r="A146" s="6">
        <f>Config!$K$6+16*Config!$J$6+Config!$J$6/2</f>
        <v/>
      </c>
      <c r="B146" s="6">
        <f>$A146-Config!$J$6/2</f>
        <v/>
      </c>
      <c r="C146" s="6">
        <f>$A146+Config!$J$6/2</f>
        <v/>
      </c>
      <c r="D146" s="6">
        <f>COUNTIFS(RawData!$C$2:$C$941,"LT",RawData!$K$2:$K$941,"&gt;="&amp;$B146,RawData!$K$2:$K$941,"&lt;"&amp;$C146,RawData!$K$2:$K$941,"&lt;&gt;0")</f>
        <v/>
      </c>
      <c r="E146" s="6">
        <f>IF(Config!$G$6=0,0,IF(ABS(($A146-Config!$F$6)/Config!$G$6)&lt;=2,$D146,0))</f>
        <v/>
      </c>
      <c r="F146" s="6">
        <f>IF(Config!$G$6=0,0,IF(AND(ABS(($A146-Config!$F$6)/Config!$G$6)&gt;2,ABS(($A146-Config!$F$6)/Config!$G$6)&lt;=3),$D146,0))</f>
        <v/>
      </c>
      <c r="G146" s="6">
        <f>IF(Config!$G$6=0,0,IF(ABS(($A146-Config!$F$6)/Config!$G$6)&gt;3,$D146,0))</f>
        <v/>
      </c>
      <c r="H146" s="6">
        <f>IFERROR(NORM.DIST($A146,Config!$F$6,Config!$G$6,FALSE)*Config!$D$6*Config!$J$6,0)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IFERROR(NORM.DIST($A147,Config!$F$6,Config!$G$6,FALSE)*Config!$D$6*Config!$J$6,0)</f>
        <v/>
      </c>
    </row>
    <row r="148">
      <c r="A148" s="6">
        <f>Config!$K$6+18*Config!$J$6+Config!$J$6/2</f>
        <v/>
      </c>
      <c r="B148" s="6">
        <f>$A148-Config!$J$6/2</f>
        <v/>
      </c>
      <c r="C148" s="6">
        <f>$A148+Config!$J$6/2</f>
        <v/>
      </c>
      <c r="D148" s="6">
        <f>COUNTIFS(RawData!$C$2:$C$941,"LT",RawData!$K$2:$K$941,"&gt;="&amp;$B148,RawData!$K$2:$K$941,"&lt;"&amp;$C148,RawData!$K$2:$K$941,"&lt;&gt;0")</f>
        <v/>
      </c>
      <c r="E148" s="6">
        <f>IF(Config!$G$6=0,0,IF(ABS(($A148-Config!$F$6)/Config!$G$6)&lt;=2,$D148,0))</f>
        <v/>
      </c>
      <c r="F148" s="6">
        <f>IF(Config!$G$6=0,0,IF(AND(ABS(($A148-Config!$F$6)/Config!$G$6)&gt;2,ABS(($A148-Config!$F$6)/Config!$G$6)&lt;=3),$D148,0))</f>
        <v/>
      </c>
      <c r="G148" s="6">
        <f>IF(Config!$G$6=0,0,IF(ABS(($A148-Config!$F$6)/Config!$G$6)&gt;3,$D148,0))</f>
        <v/>
      </c>
      <c r="H148" s="6">
        <f>IFERROR(NORM.DIST($A148,Config!$F$6,Config!$G$6,FALSE)*Config!$D$6*Config!$J$6,0)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IFERROR(NORM.DIST($A149,Config!$F$6,Config!$G$6,FALSE)*Config!$D$6*Config!$J$6,0)</f>
        <v/>
      </c>
    </row>
    <row r="150">
      <c r="A150" s="6">
        <f>Config!$K$6+20*Config!$J$6+Config!$J$6/2</f>
        <v/>
      </c>
      <c r="B150" s="6">
        <f>$A150-Config!$J$6/2</f>
        <v/>
      </c>
      <c r="C150" s="6">
        <f>$A150+Config!$J$6/2</f>
        <v/>
      </c>
      <c r="D150" s="6">
        <f>COUNTIFS(RawData!$C$2:$C$941,"LT",RawData!$K$2:$K$941,"&gt;="&amp;$B150,RawData!$K$2:$K$941,"&lt;"&amp;$C150,RawData!$K$2:$K$941,"&lt;&gt;0")</f>
        <v/>
      </c>
      <c r="E150" s="6">
        <f>IF(Config!$G$6=0,0,IF(ABS(($A150-Config!$F$6)/Config!$G$6)&lt;=2,$D150,0))</f>
        <v/>
      </c>
      <c r="F150" s="6">
        <f>IF(Config!$G$6=0,0,IF(AND(ABS(($A150-Config!$F$6)/Config!$G$6)&gt;2,ABS(($A150-Config!$F$6)/Config!$G$6)&lt;=3),$D150,0))</f>
        <v/>
      </c>
      <c r="G150" s="6">
        <f>IF(Config!$G$6=0,0,IF(ABS(($A150-Config!$F$6)/Config!$G$6)&gt;3,$D150,0))</f>
        <v/>
      </c>
      <c r="H150" s="6">
        <f>IFERROR(NORM.DIST($A150,Config!$F$6,Config!$G$6,FALSE)*Config!$D$6*Config!$J$6,0)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IFERROR(NORM.DIST($A151,Config!$F$6,Config!$G$6,FALSE)*Config!$D$6*Config!$J$6,0)</f>
        <v/>
      </c>
    </row>
    <row r="152">
      <c r="A152" s="6">
        <f>Config!$K$6+22*Config!$J$6+Config!$J$6/2</f>
        <v/>
      </c>
      <c r="B152" s="6">
        <f>$A152-Config!$J$6/2</f>
        <v/>
      </c>
      <c r="C152" s="6">
        <f>$A152+Config!$J$6/2</f>
        <v/>
      </c>
      <c r="D152" s="6">
        <f>COUNTIFS(RawData!$C$2:$C$941,"LT",RawData!$K$2:$K$941,"&gt;="&amp;$B152,RawData!$K$2:$K$941,"&lt;"&amp;$C152,RawData!$K$2:$K$941,"&lt;&gt;0")</f>
        <v/>
      </c>
      <c r="E152" s="6">
        <f>IF(Config!$G$6=0,0,IF(ABS(($A152-Config!$F$6)/Config!$G$6)&lt;=2,$D152,0))</f>
        <v/>
      </c>
      <c r="F152" s="6">
        <f>IF(Config!$G$6=0,0,IF(AND(ABS(($A152-Config!$F$6)/Config!$G$6)&gt;2,ABS(($A152-Config!$F$6)/Config!$G$6)&lt;=3),$D152,0))</f>
        <v/>
      </c>
      <c r="G152" s="6">
        <f>IF(Config!$G$6=0,0,IF(ABS(($A152-Config!$F$6)/Config!$G$6)&gt;3,$D152,0))</f>
        <v/>
      </c>
      <c r="H152" s="6">
        <f>IFERROR(NORM.DIST($A152,Config!$F$6,Config!$G$6,FALSE)*Config!$D$6*Config!$J$6,0)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IFERROR(NORM.DIST($A153,Config!$F$6,Config!$G$6,FALSE)*Config!$D$6*Config!$J$6,0)</f>
        <v/>
      </c>
    </row>
    <row r="154">
      <c r="A154" s="6">
        <f>Config!$K$6+24*Config!$J$6+Config!$J$6/2</f>
        <v/>
      </c>
      <c r="B154" s="6">
        <f>$A154-Config!$J$6/2</f>
        <v/>
      </c>
      <c r="C154" s="6">
        <f>$A154+Config!$J$6/2</f>
        <v/>
      </c>
      <c r="D154" s="6">
        <f>COUNTIFS(RawData!$C$2:$C$941,"LT",RawData!$K$2:$K$941,"&gt;="&amp;$B154,RawData!$K$2:$K$941,"&lt;"&amp;$C154,RawData!$K$2:$K$941,"&lt;&gt;0")</f>
        <v/>
      </c>
      <c r="E154" s="6">
        <f>IF(Config!$G$6=0,0,IF(ABS(($A154-Config!$F$6)/Config!$G$6)&lt;=2,$D154,0))</f>
        <v/>
      </c>
      <c r="F154" s="6">
        <f>IF(Config!$G$6=0,0,IF(AND(ABS(($A154-Config!$F$6)/Config!$G$6)&gt;2,ABS(($A154-Config!$F$6)/Config!$G$6)&lt;=3),$D154,0))</f>
        <v/>
      </c>
      <c r="G154" s="6">
        <f>IF(Config!$G$6=0,0,IF(ABS(($A154-Config!$F$6)/Config!$G$6)&gt;3,$D154,0))</f>
        <v/>
      </c>
      <c r="H154" s="6">
        <f>IFERROR(NORM.DIST($A154,Config!$F$6,Config!$G$6,FALSE)*Config!$D$6*Config!$J$6,0)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IFERROR(NORM.DIST($A155,Config!$F$6,Config!$G$6,FALSE)*Config!$D$6*Config!$J$6,0)</f>
        <v/>
      </c>
    </row>
    <row r="156">
      <c r="A156" s="6">
        <f>Config!$K$6+26*Config!$J$6+Config!$J$6/2</f>
        <v/>
      </c>
      <c r="B156" s="6">
        <f>$A156-Config!$J$6/2</f>
        <v/>
      </c>
      <c r="C156" s="6">
        <f>$A156+Config!$J$6/2</f>
        <v/>
      </c>
      <c r="D156" s="6">
        <f>COUNTIFS(RawData!$C$2:$C$941,"LT",RawData!$K$2:$K$941,"&gt;="&amp;$B156,RawData!$K$2:$K$941,"&lt;"&amp;$C156,RawData!$K$2:$K$941,"&lt;&gt;0")</f>
        <v/>
      </c>
      <c r="E156" s="6">
        <f>IF(Config!$G$6=0,0,IF(ABS(($A156-Config!$F$6)/Config!$G$6)&lt;=2,$D156,0))</f>
        <v/>
      </c>
      <c r="F156" s="6">
        <f>IF(Config!$G$6=0,0,IF(AND(ABS(($A156-Config!$F$6)/Config!$G$6)&gt;2,ABS(($A156-Config!$F$6)/Config!$G$6)&lt;=3),$D156,0))</f>
        <v/>
      </c>
      <c r="G156" s="6">
        <f>IF(Config!$G$6=0,0,IF(ABS(($A156-Config!$F$6)/Config!$G$6)&gt;3,$D156,0))</f>
        <v/>
      </c>
      <c r="H156" s="6">
        <f>IFERROR(NORM.DIST($A156,Config!$F$6,Config!$G$6,FALSE)*Config!$D$6*Config!$J$6,0)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IFERROR(NORM.DIST($A157,Config!$F$6,Config!$G$6,FALSE)*Config!$D$6*Config!$J$6,0)</f>
        <v/>
      </c>
    </row>
    <row r="158">
      <c r="A158" s="6">
        <f>Config!$K$6+28*Config!$J$6+Config!$J$6/2</f>
        <v/>
      </c>
      <c r="B158" s="6">
        <f>$A158-Config!$J$6/2</f>
        <v/>
      </c>
      <c r="C158" s="6">
        <f>$A158+Config!$J$6/2</f>
        <v/>
      </c>
      <c r="D158" s="6">
        <f>COUNTIFS(RawData!$C$2:$C$941,"LT",RawData!$K$2:$K$941,"&gt;="&amp;$B158,RawData!$K$2:$K$941,"&lt;"&amp;$C158,RawData!$K$2:$K$941,"&lt;&gt;0")</f>
        <v/>
      </c>
      <c r="E158" s="6">
        <f>IF(Config!$G$6=0,0,IF(ABS(($A158-Config!$F$6)/Config!$G$6)&lt;=2,$D158,0))</f>
        <v/>
      </c>
      <c r="F158" s="6">
        <f>IF(Config!$G$6=0,0,IF(AND(ABS(($A158-Config!$F$6)/Config!$G$6)&gt;2,ABS(($A158-Config!$F$6)/Config!$G$6)&lt;=3),$D158,0))</f>
        <v/>
      </c>
      <c r="G158" s="6">
        <f>IF(Config!$G$6=0,0,IF(ABS(($A158-Config!$F$6)/Config!$G$6)&gt;3,$D158,0))</f>
        <v/>
      </c>
      <c r="H158" s="6">
        <f>IFERROR(NORM.DIST($A158,Config!$F$6,Config!$G$6,FALSE)*Config!$D$6*Config!$J$6,0)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IFERROR(NORM.DIST($A159,Config!$F$6,Config!$G$6,FALSE)*Config!$D$6*Config!$J$6,0)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Config!$K$7+0*Config!$J$7+Config!$J$7/2</f>
        <v/>
      </c>
      <c r="B162" s="6">
        <f>$A162-Config!$J$7/2</f>
        <v/>
      </c>
      <c r="C162" s="6">
        <f>$A162+Config!$J$7/2</f>
        <v/>
      </c>
      <c r="D162" s="6">
        <f>COUNTIFS(RawData!$C$2:$C$941,"LT",RawData!$L$2:$L$941,"&gt;="&amp;$B162,RawData!$L$2:$L$941,"&lt;"&amp;$C162,RawData!$L$2:$L$941,"&lt;&gt;0")</f>
        <v/>
      </c>
      <c r="E162" s="6">
        <f>IF(Config!$G$7=0,0,IF(ABS(($A162-Config!$F$7)/Config!$G$7)&lt;=2,$D162,0))</f>
        <v/>
      </c>
      <c r="F162" s="6">
        <f>IF(Config!$G$7=0,0,IF(AND(ABS(($A162-Config!$F$7)/Config!$G$7)&gt;2,ABS(($A162-Config!$F$7)/Config!$G$7)&lt;=3),$D162,0))</f>
        <v/>
      </c>
      <c r="G162" s="6">
        <f>IF(Config!$G$7=0,0,IF(ABS(($A162-Config!$F$7)/Config!$G$7)&gt;3,$D162,0))</f>
        <v/>
      </c>
      <c r="H162" s="6">
        <f>IFERROR(NORM.DIST($A162,Config!$F$7,Config!$G$7,FALSE)*Config!$D$7*Config!$J$7,0)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IFERROR(NORM.DIST($A163,Config!$F$7,Config!$G$7,FALSE)*Config!$D$7*Config!$J$7,0)</f>
        <v/>
      </c>
    </row>
    <row r="164">
      <c r="A164" s="6">
        <f>Config!$K$7+2*Config!$J$7+Config!$J$7/2</f>
        <v/>
      </c>
      <c r="B164" s="6">
        <f>$A164-Config!$J$7/2</f>
        <v/>
      </c>
      <c r="C164" s="6">
        <f>$A164+Config!$J$7/2</f>
        <v/>
      </c>
      <c r="D164" s="6">
        <f>COUNTIFS(RawData!$C$2:$C$941,"LT",RawData!$L$2:$L$941,"&gt;="&amp;$B164,RawData!$L$2:$L$941,"&lt;"&amp;$C164,RawData!$L$2:$L$941,"&lt;&gt;0")</f>
        <v/>
      </c>
      <c r="E164" s="6">
        <f>IF(Config!$G$7=0,0,IF(ABS(($A164-Config!$F$7)/Config!$G$7)&lt;=2,$D164,0))</f>
        <v/>
      </c>
      <c r="F164" s="6">
        <f>IF(Config!$G$7=0,0,IF(AND(ABS(($A164-Config!$F$7)/Config!$G$7)&gt;2,ABS(($A164-Config!$F$7)/Config!$G$7)&lt;=3),$D164,0))</f>
        <v/>
      </c>
      <c r="G164" s="6">
        <f>IF(Config!$G$7=0,0,IF(ABS(($A164-Config!$F$7)/Config!$G$7)&gt;3,$D164,0))</f>
        <v/>
      </c>
      <c r="H164" s="6">
        <f>IFERROR(NORM.DIST($A164,Config!$F$7,Config!$G$7,FALSE)*Config!$D$7*Config!$J$7,0)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IFERROR(NORM.DIST($A165,Config!$F$7,Config!$G$7,FALSE)*Config!$D$7*Config!$J$7,0)</f>
        <v/>
      </c>
    </row>
    <row r="166">
      <c r="A166" s="6">
        <f>Config!$K$7+4*Config!$J$7+Config!$J$7/2</f>
        <v/>
      </c>
      <c r="B166" s="6">
        <f>$A166-Config!$J$7/2</f>
        <v/>
      </c>
      <c r="C166" s="6">
        <f>$A166+Config!$J$7/2</f>
        <v/>
      </c>
      <c r="D166" s="6">
        <f>COUNTIFS(RawData!$C$2:$C$941,"LT",RawData!$L$2:$L$941,"&gt;="&amp;$B166,RawData!$L$2:$L$941,"&lt;"&amp;$C166,RawData!$L$2:$L$941,"&lt;&gt;0")</f>
        <v/>
      </c>
      <c r="E166" s="6">
        <f>IF(Config!$G$7=0,0,IF(ABS(($A166-Config!$F$7)/Config!$G$7)&lt;=2,$D166,0))</f>
        <v/>
      </c>
      <c r="F166" s="6">
        <f>IF(Config!$G$7=0,0,IF(AND(ABS(($A166-Config!$F$7)/Config!$G$7)&gt;2,ABS(($A166-Config!$F$7)/Config!$G$7)&lt;=3),$D166,0))</f>
        <v/>
      </c>
      <c r="G166" s="6">
        <f>IF(Config!$G$7=0,0,IF(ABS(($A166-Config!$F$7)/Config!$G$7)&gt;3,$D166,0))</f>
        <v/>
      </c>
      <c r="H166" s="6">
        <f>IFERROR(NORM.DIST($A166,Config!$F$7,Config!$G$7,FALSE)*Config!$D$7*Config!$J$7,0)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IFERROR(NORM.DIST($A167,Config!$F$7,Config!$G$7,FALSE)*Config!$D$7*Config!$J$7,0)</f>
        <v/>
      </c>
    </row>
    <row r="168">
      <c r="A168" s="6">
        <f>Config!$K$7+6*Config!$J$7+Config!$J$7/2</f>
        <v/>
      </c>
      <c r="B168" s="6">
        <f>$A168-Config!$J$7/2</f>
        <v/>
      </c>
      <c r="C168" s="6">
        <f>$A168+Config!$J$7/2</f>
        <v/>
      </c>
      <c r="D168" s="6">
        <f>COUNTIFS(RawData!$C$2:$C$941,"LT",RawData!$L$2:$L$941,"&gt;="&amp;$B168,RawData!$L$2:$L$941,"&lt;"&amp;$C168,RawData!$L$2:$L$941,"&lt;&gt;0")</f>
        <v/>
      </c>
      <c r="E168" s="6">
        <f>IF(Config!$G$7=0,0,IF(ABS(($A168-Config!$F$7)/Config!$G$7)&lt;=2,$D168,0))</f>
        <v/>
      </c>
      <c r="F168" s="6">
        <f>IF(Config!$G$7=0,0,IF(AND(ABS(($A168-Config!$F$7)/Config!$G$7)&gt;2,ABS(($A168-Config!$F$7)/Config!$G$7)&lt;=3),$D168,0))</f>
        <v/>
      </c>
      <c r="G168" s="6">
        <f>IF(Config!$G$7=0,0,IF(ABS(($A168-Config!$F$7)/Config!$G$7)&gt;3,$D168,0))</f>
        <v/>
      </c>
      <c r="H168" s="6">
        <f>IFERROR(NORM.DIST($A168,Config!$F$7,Config!$G$7,FALSE)*Config!$D$7*Config!$J$7,0)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IFERROR(NORM.DIST($A169,Config!$F$7,Config!$G$7,FALSE)*Config!$D$7*Config!$J$7,0)</f>
        <v/>
      </c>
    </row>
    <row r="170">
      <c r="A170" s="6">
        <f>Config!$K$7+8*Config!$J$7+Config!$J$7/2</f>
        <v/>
      </c>
      <c r="B170" s="6">
        <f>$A170-Config!$J$7/2</f>
        <v/>
      </c>
      <c r="C170" s="6">
        <f>$A170+Config!$J$7/2</f>
        <v/>
      </c>
      <c r="D170" s="6">
        <f>COUNTIFS(RawData!$C$2:$C$941,"LT",RawData!$L$2:$L$941,"&gt;="&amp;$B170,RawData!$L$2:$L$941,"&lt;"&amp;$C170,RawData!$L$2:$L$941,"&lt;&gt;0")</f>
        <v/>
      </c>
      <c r="E170" s="6">
        <f>IF(Config!$G$7=0,0,IF(ABS(($A170-Config!$F$7)/Config!$G$7)&lt;=2,$D170,0))</f>
        <v/>
      </c>
      <c r="F170" s="6">
        <f>IF(Config!$G$7=0,0,IF(AND(ABS(($A170-Config!$F$7)/Config!$G$7)&gt;2,ABS(($A170-Config!$F$7)/Config!$G$7)&lt;=3),$D170,0))</f>
        <v/>
      </c>
      <c r="G170" s="6">
        <f>IF(Config!$G$7=0,0,IF(ABS(($A170-Config!$F$7)/Config!$G$7)&gt;3,$D170,0))</f>
        <v/>
      </c>
      <c r="H170" s="6">
        <f>IFERROR(NORM.DIST($A170,Config!$F$7,Config!$G$7,FALSE)*Config!$D$7*Config!$J$7,0)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IFERROR(NORM.DIST($A171,Config!$F$7,Config!$G$7,FALSE)*Config!$D$7*Config!$J$7,0)</f>
        <v/>
      </c>
    </row>
    <row r="172">
      <c r="A172" s="6">
        <f>Config!$K$7+10*Config!$J$7+Config!$J$7/2</f>
        <v/>
      </c>
      <c r="B172" s="6">
        <f>$A172-Config!$J$7/2</f>
        <v/>
      </c>
      <c r="C172" s="6">
        <f>$A172+Config!$J$7/2</f>
        <v/>
      </c>
      <c r="D172" s="6">
        <f>COUNTIFS(RawData!$C$2:$C$941,"LT",RawData!$L$2:$L$941,"&gt;="&amp;$B172,RawData!$L$2:$L$941,"&lt;"&amp;$C172,RawData!$L$2:$L$941,"&lt;&gt;0")</f>
        <v/>
      </c>
      <c r="E172" s="6">
        <f>IF(Config!$G$7=0,0,IF(ABS(($A172-Config!$F$7)/Config!$G$7)&lt;=2,$D172,0))</f>
        <v/>
      </c>
      <c r="F172" s="6">
        <f>IF(Config!$G$7=0,0,IF(AND(ABS(($A172-Config!$F$7)/Config!$G$7)&gt;2,ABS(($A172-Config!$F$7)/Config!$G$7)&lt;=3),$D172,0))</f>
        <v/>
      </c>
      <c r="G172" s="6">
        <f>IF(Config!$G$7=0,0,IF(ABS(($A172-Config!$F$7)/Config!$G$7)&gt;3,$D172,0))</f>
        <v/>
      </c>
      <c r="H172" s="6">
        <f>IFERROR(NORM.DIST($A172,Config!$F$7,Config!$G$7,FALSE)*Config!$D$7*Config!$J$7,0)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IFERROR(NORM.DIST($A173,Config!$F$7,Config!$G$7,FALSE)*Config!$D$7*Config!$J$7,0)</f>
        <v/>
      </c>
    </row>
    <row r="174">
      <c r="A174" s="6">
        <f>Config!$K$7+12*Config!$J$7+Config!$J$7/2</f>
        <v/>
      </c>
      <c r="B174" s="6">
        <f>$A174-Config!$J$7/2</f>
        <v/>
      </c>
      <c r="C174" s="6">
        <f>$A174+Config!$J$7/2</f>
        <v/>
      </c>
      <c r="D174" s="6">
        <f>COUNTIFS(RawData!$C$2:$C$941,"LT",RawData!$L$2:$L$941,"&gt;="&amp;$B174,RawData!$L$2:$L$941,"&lt;"&amp;$C174,RawData!$L$2:$L$941,"&lt;&gt;0")</f>
        <v/>
      </c>
      <c r="E174" s="6">
        <f>IF(Config!$G$7=0,0,IF(ABS(($A174-Config!$F$7)/Config!$G$7)&lt;=2,$D174,0))</f>
        <v/>
      </c>
      <c r="F174" s="6">
        <f>IF(Config!$G$7=0,0,IF(AND(ABS(($A174-Config!$F$7)/Config!$G$7)&gt;2,ABS(($A174-Config!$F$7)/Config!$G$7)&lt;=3),$D174,0))</f>
        <v/>
      </c>
      <c r="G174" s="6">
        <f>IF(Config!$G$7=0,0,IF(ABS(($A174-Config!$F$7)/Config!$G$7)&gt;3,$D174,0))</f>
        <v/>
      </c>
      <c r="H174" s="6">
        <f>IFERROR(NORM.DIST($A174,Config!$F$7,Config!$G$7,FALSE)*Config!$D$7*Config!$J$7,0)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IFERROR(NORM.DIST($A175,Config!$F$7,Config!$G$7,FALSE)*Config!$D$7*Config!$J$7,0)</f>
        <v/>
      </c>
    </row>
    <row r="176">
      <c r="A176" s="6">
        <f>Config!$K$7+14*Config!$J$7+Config!$J$7/2</f>
        <v/>
      </c>
      <c r="B176" s="6">
        <f>$A176-Config!$J$7/2</f>
        <v/>
      </c>
      <c r="C176" s="6">
        <f>$A176+Config!$J$7/2</f>
        <v/>
      </c>
      <c r="D176" s="6">
        <f>COUNTIFS(RawData!$C$2:$C$941,"LT",RawData!$L$2:$L$941,"&gt;="&amp;$B176,RawData!$L$2:$L$941,"&lt;"&amp;$C176,RawData!$L$2:$L$941,"&lt;&gt;0")</f>
        <v/>
      </c>
      <c r="E176" s="6">
        <f>IF(Config!$G$7=0,0,IF(ABS(($A176-Config!$F$7)/Config!$G$7)&lt;=2,$D176,0))</f>
        <v/>
      </c>
      <c r="F176" s="6">
        <f>IF(Config!$G$7=0,0,IF(AND(ABS(($A176-Config!$F$7)/Config!$G$7)&gt;2,ABS(($A176-Config!$F$7)/Config!$G$7)&lt;=3),$D176,0))</f>
        <v/>
      </c>
      <c r="G176" s="6">
        <f>IF(Config!$G$7=0,0,IF(ABS(($A176-Config!$F$7)/Config!$G$7)&gt;3,$D176,0))</f>
        <v/>
      </c>
      <c r="H176" s="6">
        <f>IFERROR(NORM.DIST($A176,Config!$F$7,Config!$G$7,FALSE)*Config!$D$7*Config!$J$7,0)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IFERROR(NORM.DIST($A177,Config!$F$7,Config!$G$7,FALSE)*Config!$D$7*Config!$J$7,0)</f>
        <v/>
      </c>
    </row>
    <row r="178">
      <c r="A178" s="6">
        <f>Config!$K$7+16*Config!$J$7+Config!$J$7/2</f>
        <v/>
      </c>
      <c r="B178" s="6">
        <f>$A178-Config!$J$7/2</f>
        <v/>
      </c>
      <c r="C178" s="6">
        <f>$A178+Config!$J$7/2</f>
        <v/>
      </c>
      <c r="D178" s="6">
        <f>COUNTIFS(RawData!$C$2:$C$941,"LT",RawData!$L$2:$L$941,"&gt;="&amp;$B178,RawData!$L$2:$L$941,"&lt;"&amp;$C178,RawData!$L$2:$L$941,"&lt;&gt;0")</f>
        <v/>
      </c>
      <c r="E178" s="6">
        <f>IF(Config!$G$7=0,0,IF(ABS(($A178-Config!$F$7)/Config!$G$7)&lt;=2,$D178,0))</f>
        <v/>
      </c>
      <c r="F178" s="6">
        <f>IF(Config!$G$7=0,0,IF(AND(ABS(($A178-Config!$F$7)/Config!$G$7)&gt;2,ABS(($A178-Config!$F$7)/Config!$G$7)&lt;=3),$D178,0))</f>
        <v/>
      </c>
      <c r="G178" s="6">
        <f>IF(Config!$G$7=0,0,IF(ABS(($A178-Config!$F$7)/Config!$G$7)&gt;3,$D178,0))</f>
        <v/>
      </c>
      <c r="H178" s="6">
        <f>IFERROR(NORM.DIST($A178,Config!$F$7,Config!$G$7,FALSE)*Config!$D$7*Config!$J$7,0)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IFERROR(NORM.DIST($A179,Config!$F$7,Config!$G$7,FALSE)*Config!$D$7*Config!$J$7,0)</f>
        <v/>
      </c>
    </row>
    <row r="180">
      <c r="A180" s="6">
        <f>Config!$K$7+18*Config!$J$7+Config!$J$7/2</f>
        <v/>
      </c>
      <c r="B180" s="6">
        <f>$A180-Config!$J$7/2</f>
        <v/>
      </c>
      <c r="C180" s="6">
        <f>$A180+Config!$J$7/2</f>
        <v/>
      </c>
      <c r="D180" s="6">
        <f>COUNTIFS(RawData!$C$2:$C$941,"LT",RawData!$L$2:$L$941,"&gt;="&amp;$B180,RawData!$L$2:$L$941,"&lt;"&amp;$C180,RawData!$L$2:$L$941,"&lt;&gt;0")</f>
        <v/>
      </c>
      <c r="E180" s="6">
        <f>IF(Config!$G$7=0,0,IF(ABS(($A180-Config!$F$7)/Config!$G$7)&lt;=2,$D180,0))</f>
        <v/>
      </c>
      <c r="F180" s="6">
        <f>IF(Config!$G$7=0,0,IF(AND(ABS(($A180-Config!$F$7)/Config!$G$7)&gt;2,ABS(($A180-Config!$F$7)/Config!$G$7)&lt;=3),$D180,0))</f>
        <v/>
      </c>
      <c r="G180" s="6">
        <f>IF(Config!$G$7=0,0,IF(ABS(($A180-Config!$F$7)/Config!$G$7)&gt;3,$D180,0))</f>
        <v/>
      </c>
      <c r="H180" s="6">
        <f>IFERROR(NORM.DIST($A180,Config!$F$7,Config!$G$7,FALSE)*Config!$D$7*Config!$J$7,0)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IFERROR(NORM.DIST($A181,Config!$F$7,Config!$G$7,FALSE)*Config!$D$7*Config!$J$7,0)</f>
        <v/>
      </c>
    </row>
    <row r="182">
      <c r="A182" s="6">
        <f>Config!$K$7+20*Config!$J$7+Config!$J$7/2</f>
        <v/>
      </c>
      <c r="B182" s="6">
        <f>$A182-Config!$J$7/2</f>
        <v/>
      </c>
      <c r="C182" s="6">
        <f>$A182+Config!$J$7/2</f>
        <v/>
      </c>
      <c r="D182" s="6">
        <f>COUNTIFS(RawData!$C$2:$C$941,"LT",RawData!$L$2:$L$941,"&gt;="&amp;$B182,RawData!$L$2:$L$941,"&lt;"&amp;$C182,RawData!$L$2:$L$941,"&lt;&gt;0")</f>
        <v/>
      </c>
      <c r="E182" s="6">
        <f>IF(Config!$G$7=0,0,IF(ABS(($A182-Config!$F$7)/Config!$G$7)&lt;=2,$D182,0))</f>
        <v/>
      </c>
      <c r="F182" s="6">
        <f>IF(Config!$G$7=0,0,IF(AND(ABS(($A182-Config!$F$7)/Config!$G$7)&gt;2,ABS(($A182-Config!$F$7)/Config!$G$7)&lt;=3),$D182,0))</f>
        <v/>
      </c>
      <c r="G182" s="6">
        <f>IF(Config!$G$7=0,0,IF(ABS(($A182-Config!$F$7)/Config!$G$7)&gt;3,$D182,0))</f>
        <v/>
      </c>
      <c r="H182" s="6">
        <f>IFERROR(NORM.DIST($A182,Config!$F$7,Config!$G$7,FALSE)*Config!$D$7*Config!$J$7,0)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IFERROR(NORM.DIST($A183,Config!$F$7,Config!$G$7,FALSE)*Config!$D$7*Config!$J$7,0)</f>
        <v/>
      </c>
    </row>
    <row r="184">
      <c r="A184" s="6">
        <f>Config!$K$7+22*Config!$J$7+Config!$J$7/2</f>
        <v/>
      </c>
      <c r="B184" s="6">
        <f>$A184-Config!$J$7/2</f>
        <v/>
      </c>
      <c r="C184" s="6">
        <f>$A184+Config!$J$7/2</f>
        <v/>
      </c>
      <c r="D184" s="6">
        <f>COUNTIFS(RawData!$C$2:$C$941,"LT",RawData!$L$2:$L$941,"&gt;="&amp;$B184,RawData!$L$2:$L$941,"&lt;"&amp;$C184,RawData!$L$2:$L$941,"&lt;&gt;0")</f>
        <v/>
      </c>
      <c r="E184" s="6">
        <f>IF(Config!$G$7=0,0,IF(ABS(($A184-Config!$F$7)/Config!$G$7)&lt;=2,$D184,0))</f>
        <v/>
      </c>
      <c r="F184" s="6">
        <f>IF(Config!$G$7=0,0,IF(AND(ABS(($A184-Config!$F$7)/Config!$G$7)&gt;2,ABS(($A184-Config!$F$7)/Config!$G$7)&lt;=3),$D184,0))</f>
        <v/>
      </c>
      <c r="G184" s="6">
        <f>IF(Config!$G$7=0,0,IF(ABS(($A184-Config!$F$7)/Config!$G$7)&gt;3,$D184,0))</f>
        <v/>
      </c>
      <c r="H184" s="6">
        <f>IFERROR(NORM.DIST($A184,Config!$F$7,Config!$G$7,FALSE)*Config!$D$7*Config!$J$7,0)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IFERROR(NORM.DIST($A185,Config!$F$7,Config!$G$7,FALSE)*Config!$D$7*Config!$J$7,0)</f>
        <v/>
      </c>
    </row>
    <row r="186">
      <c r="A186" s="6">
        <f>Config!$K$7+24*Config!$J$7+Config!$J$7/2</f>
        <v/>
      </c>
      <c r="B186" s="6">
        <f>$A186-Config!$J$7/2</f>
        <v/>
      </c>
      <c r="C186" s="6">
        <f>$A186+Config!$J$7/2</f>
        <v/>
      </c>
      <c r="D186" s="6">
        <f>COUNTIFS(RawData!$C$2:$C$941,"LT",RawData!$L$2:$L$941,"&gt;="&amp;$B186,RawData!$L$2:$L$941,"&lt;"&amp;$C186,RawData!$L$2:$L$941,"&lt;&gt;0")</f>
        <v/>
      </c>
      <c r="E186" s="6">
        <f>IF(Config!$G$7=0,0,IF(ABS(($A186-Config!$F$7)/Config!$G$7)&lt;=2,$D186,0))</f>
        <v/>
      </c>
      <c r="F186" s="6">
        <f>IF(Config!$G$7=0,0,IF(AND(ABS(($A186-Config!$F$7)/Config!$G$7)&gt;2,ABS(($A186-Config!$F$7)/Config!$G$7)&lt;=3),$D186,0))</f>
        <v/>
      </c>
      <c r="G186" s="6">
        <f>IF(Config!$G$7=0,0,IF(ABS(($A186-Config!$F$7)/Config!$G$7)&gt;3,$D186,0))</f>
        <v/>
      </c>
      <c r="H186" s="6">
        <f>IFERROR(NORM.DIST($A186,Config!$F$7,Config!$G$7,FALSE)*Config!$D$7*Config!$J$7,0)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IFERROR(NORM.DIST($A187,Config!$F$7,Config!$G$7,FALSE)*Config!$D$7*Config!$J$7,0)</f>
        <v/>
      </c>
    </row>
    <row r="188">
      <c r="A188" s="6">
        <f>Config!$K$7+26*Config!$J$7+Config!$J$7/2</f>
        <v/>
      </c>
      <c r="B188" s="6">
        <f>$A188-Config!$J$7/2</f>
        <v/>
      </c>
      <c r="C188" s="6">
        <f>$A188+Config!$J$7/2</f>
        <v/>
      </c>
      <c r="D188" s="6">
        <f>COUNTIFS(RawData!$C$2:$C$941,"LT",RawData!$L$2:$L$941,"&gt;="&amp;$B188,RawData!$L$2:$L$941,"&lt;"&amp;$C188,RawData!$L$2:$L$941,"&lt;&gt;0")</f>
        <v/>
      </c>
      <c r="E188" s="6">
        <f>IF(Config!$G$7=0,0,IF(ABS(($A188-Config!$F$7)/Config!$G$7)&lt;=2,$D188,0))</f>
        <v/>
      </c>
      <c r="F188" s="6">
        <f>IF(Config!$G$7=0,0,IF(AND(ABS(($A188-Config!$F$7)/Config!$G$7)&gt;2,ABS(($A188-Config!$F$7)/Config!$G$7)&lt;=3),$D188,0))</f>
        <v/>
      </c>
      <c r="G188" s="6">
        <f>IF(Config!$G$7=0,0,IF(ABS(($A188-Config!$F$7)/Config!$G$7)&gt;3,$D188,0))</f>
        <v/>
      </c>
      <c r="H188" s="6">
        <f>IFERROR(NORM.DIST($A188,Config!$F$7,Config!$G$7,FALSE)*Config!$D$7*Config!$J$7,0)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IFERROR(NORM.DIST($A189,Config!$F$7,Config!$G$7,FALSE)*Config!$D$7*Config!$J$7,0)</f>
        <v/>
      </c>
    </row>
    <row r="190">
      <c r="A190" s="6">
        <f>Config!$K$7+28*Config!$J$7+Config!$J$7/2</f>
        <v/>
      </c>
      <c r="B190" s="6">
        <f>$A190-Config!$J$7/2</f>
        <v/>
      </c>
      <c r="C190" s="6">
        <f>$A190+Config!$J$7/2</f>
        <v/>
      </c>
      <c r="D190" s="6">
        <f>COUNTIFS(RawData!$C$2:$C$941,"LT",RawData!$L$2:$L$941,"&gt;="&amp;$B190,RawData!$L$2:$L$941,"&lt;"&amp;$C190,RawData!$L$2:$L$941,"&lt;&gt;0")</f>
        <v/>
      </c>
      <c r="E190" s="6">
        <f>IF(Config!$G$7=0,0,IF(ABS(($A190-Config!$F$7)/Config!$G$7)&lt;=2,$D190,0))</f>
        <v/>
      </c>
      <c r="F190" s="6">
        <f>IF(Config!$G$7=0,0,IF(AND(ABS(($A190-Config!$F$7)/Config!$G$7)&gt;2,ABS(($A190-Config!$F$7)/Config!$G$7)&lt;=3),$D190,0))</f>
        <v/>
      </c>
      <c r="G190" s="6">
        <f>IF(Config!$G$7=0,0,IF(ABS(($A190-Config!$F$7)/Config!$G$7)&gt;3,$D190,0))</f>
        <v/>
      </c>
      <c r="H190" s="6">
        <f>IFERROR(NORM.DIST($A190,Config!$F$7,Config!$G$7,FALSE)*Config!$D$7*Config!$J$7,0)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IFERROR(NORM.DIST($A191,Config!$F$7,Config!$G$7,FALSE)*Config!$D$7*Config!$J$7,0)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Config!$K$8+0*Config!$J$8+Config!$J$8/2</f>
        <v/>
      </c>
      <c r="B194" s="6">
        <f>$A194-Config!$J$8/2</f>
        <v/>
      </c>
      <c r="C194" s="6">
        <f>$A194+Config!$J$8/2</f>
        <v/>
      </c>
      <c r="D194" s="6">
        <f>COUNTIFS(RawData!$C$2:$C$941,"LT",RawData!$M$2:$M$941,"&gt;="&amp;$B194,RawData!$M$2:$M$941,"&lt;"&amp;$C194,RawData!$M$2:$M$941,"&lt;&gt;0")</f>
        <v/>
      </c>
      <c r="E194" s="6">
        <f>IF(Config!$G$8=0,0,IF(ABS(($A194-Config!$F$8)/Config!$G$8)&lt;=2,$D194,0))</f>
        <v/>
      </c>
      <c r="F194" s="6">
        <f>IF(Config!$G$8=0,0,IF(AND(ABS(($A194-Config!$F$8)/Config!$G$8)&gt;2,ABS(($A194-Config!$F$8)/Config!$G$8)&lt;=3),$D194,0))</f>
        <v/>
      </c>
      <c r="G194" s="6">
        <f>IF(Config!$G$8=0,0,IF(ABS(($A194-Config!$F$8)/Config!$G$8)&gt;3,$D194,0))</f>
        <v/>
      </c>
      <c r="H194" s="6">
        <f>IFERROR(NORM.DIST($A194,Config!$F$8,Config!$G$8,FALSE)*Config!$D$8*Config!$J$8,0)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IFERROR(NORM.DIST($A195,Config!$F$8,Config!$G$8,FALSE)*Config!$D$8*Config!$J$8,0)</f>
        <v/>
      </c>
    </row>
    <row r="196">
      <c r="A196" s="6">
        <f>Config!$K$8+2*Config!$J$8+Config!$J$8/2</f>
        <v/>
      </c>
      <c r="B196" s="6">
        <f>$A196-Config!$J$8/2</f>
        <v/>
      </c>
      <c r="C196" s="6">
        <f>$A196+Config!$J$8/2</f>
        <v/>
      </c>
      <c r="D196" s="6">
        <f>COUNTIFS(RawData!$C$2:$C$941,"LT",RawData!$M$2:$M$941,"&gt;="&amp;$B196,RawData!$M$2:$M$941,"&lt;"&amp;$C196,RawData!$M$2:$M$941,"&lt;&gt;0")</f>
        <v/>
      </c>
      <c r="E196" s="6">
        <f>IF(Config!$G$8=0,0,IF(ABS(($A196-Config!$F$8)/Config!$G$8)&lt;=2,$D196,0))</f>
        <v/>
      </c>
      <c r="F196" s="6">
        <f>IF(Config!$G$8=0,0,IF(AND(ABS(($A196-Config!$F$8)/Config!$G$8)&gt;2,ABS(($A196-Config!$F$8)/Config!$G$8)&lt;=3),$D196,0))</f>
        <v/>
      </c>
      <c r="G196" s="6">
        <f>IF(Config!$G$8=0,0,IF(ABS(($A196-Config!$F$8)/Config!$G$8)&gt;3,$D196,0))</f>
        <v/>
      </c>
      <c r="H196" s="6">
        <f>IFERROR(NORM.DIST($A196,Config!$F$8,Config!$G$8,FALSE)*Config!$D$8*Config!$J$8,0)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IFERROR(NORM.DIST($A197,Config!$F$8,Config!$G$8,FALSE)*Config!$D$8*Config!$J$8,0)</f>
        <v/>
      </c>
    </row>
    <row r="198">
      <c r="A198" s="6">
        <f>Config!$K$8+4*Config!$J$8+Config!$J$8/2</f>
        <v/>
      </c>
      <c r="B198" s="6">
        <f>$A198-Config!$J$8/2</f>
        <v/>
      </c>
      <c r="C198" s="6">
        <f>$A198+Config!$J$8/2</f>
        <v/>
      </c>
      <c r="D198" s="6">
        <f>COUNTIFS(RawData!$C$2:$C$941,"LT",RawData!$M$2:$M$941,"&gt;="&amp;$B198,RawData!$M$2:$M$941,"&lt;"&amp;$C198,RawData!$M$2:$M$941,"&lt;&gt;0")</f>
        <v/>
      </c>
      <c r="E198" s="6">
        <f>IF(Config!$G$8=0,0,IF(ABS(($A198-Config!$F$8)/Config!$G$8)&lt;=2,$D198,0))</f>
        <v/>
      </c>
      <c r="F198" s="6">
        <f>IF(Config!$G$8=0,0,IF(AND(ABS(($A198-Config!$F$8)/Config!$G$8)&gt;2,ABS(($A198-Config!$F$8)/Config!$G$8)&lt;=3),$D198,0))</f>
        <v/>
      </c>
      <c r="G198" s="6">
        <f>IF(Config!$G$8=0,0,IF(ABS(($A198-Config!$F$8)/Config!$G$8)&gt;3,$D198,0))</f>
        <v/>
      </c>
      <c r="H198" s="6">
        <f>IFERROR(NORM.DIST($A198,Config!$F$8,Config!$G$8,FALSE)*Config!$D$8*Config!$J$8,0)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IFERROR(NORM.DIST($A199,Config!$F$8,Config!$G$8,FALSE)*Config!$D$8*Config!$J$8,0)</f>
        <v/>
      </c>
    </row>
    <row r="200">
      <c r="A200" s="6">
        <f>Config!$K$8+6*Config!$J$8+Config!$J$8/2</f>
        <v/>
      </c>
      <c r="B200" s="6">
        <f>$A200-Config!$J$8/2</f>
        <v/>
      </c>
      <c r="C200" s="6">
        <f>$A200+Config!$J$8/2</f>
        <v/>
      </c>
      <c r="D200" s="6">
        <f>COUNTIFS(RawData!$C$2:$C$941,"LT",RawData!$M$2:$M$941,"&gt;="&amp;$B200,RawData!$M$2:$M$941,"&lt;"&amp;$C200,RawData!$M$2:$M$941,"&lt;&gt;0")</f>
        <v/>
      </c>
      <c r="E200" s="6">
        <f>IF(Config!$G$8=0,0,IF(ABS(($A200-Config!$F$8)/Config!$G$8)&lt;=2,$D200,0))</f>
        <v/>
      </c>
      <c r="F200" s="6">
        <f>IF(Config!$G$8=0,0,IF(AND(ABS(($A200-Config!$F$8)/Config!$G$8)&gt;2,ABS(($A200-Config!$F$8)/Config!$G$8)&lt;=3),$D200,0))</f>
        <v/>
      </c>
      <c r="G200" s="6">
        <f>IF(Config!$G$8=0,0,IF(ABS(($A200-Config!$F$8)/Config!$G$8)&gt;3,$D200,0))</f>
        <v/>
      </c>
      <c r="H200" s="6">
        <f>IFERROR(NORM.DIST($A200,Config!$F$8,Config!$G$8,FALSE)*Config!$D$8*Config!$J$8,0)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IFERROR(NORM.DIST($A201,Config!$F$8,Config!$G$8,FALSE)*Config!$D$8*Config!$J$8,0)</f>
        <v/>
      </c>
    </row>
    <row r="202">
      <c r="A202" s="6">
        <f>Config!$K$8+8*Config!$J$8+Config!$J$8/2</f>
        <v/>
      </c>
      <c r="B202" s="6">
        <f>$A202-Config!$J$8/2</f>
        <v/>
      </c>
      <c r="C202" s="6">
        <f>$A202+Config!$J$8/2</f>
        <v/>
      </c>
      <c r="D202" s="6">
        <f>COUNTIFS(RawData!$C$2:$C$941,"LT",RawData!$M$2:$M$941,"&gt;="&amp;$B202,RawData!$M$2:$M$941,"&lt;"&amp;$C202,RawData!$M$2:$M$941,"&lt;&gt;0")</f>
        <v/>
      </c>
      <c r="E202" s="6">
        <f>IF(Config!$G$8=0,0,IF(ABS(($A202-Config!$F$8)/Config!$G$8)&lt;=2,$D202,0))</f>
        <v/>
      </c>
      <c r="F202" s="6">
        <f>IF(Config!$G$8=0,0,IF(AND(ABS(($A202-Config!$F$8)/Config!$G$8)&gt;2,ABS(($A202-Config!$F$8)/Config!$G$8)&lt;=3),$D202,0))</f>
        <v/>
      </c>
      <c r="G202" s="6">
        <f>IF(Config!$G$8=0,0,IF(ABS(($A202-Config!$F$8)/Config!$G$8)&gt;3,$D202,0))</f>
        <v/>
      </c>
      <c r="H202" s="6">
        <f>IFERROR(NORM.DIST($A202,Config!$F$8,Config!$G$8,FALSE)*Config!$D$8*Config!$J$8,0)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IFERROR(NORM.DIST($A203,Config!$F$8,Config!$G$8,FALSE)*Config!$D$8*Config!$J$8,0)</f>
        <v/>
      </c>
    </row>
    <row r="204">
      <c r="A204" s="6">
        <f>Config!$K$8+10*Config!$J$8+Config!$J$8/2</f>
        <v/>
      </c>
      <c r="B204" s="6">
        <f>$A204-Config!$J$8/2</f>
        <v/>
      </c>
      <c r="C204" s="6">
        <f>$A204+Config!$J$8/2</f>
        <v/>
      </c>
      <c r="D204" s="6">
        <f>COUNTIFS(RawData!$C$2:$C$941,"LT",RawData!$M$2:$M$941,"&gt;="&amp;$B204,RawData!$M$2:$M$941,"&lt;"&amp;$C204,RawData!$M$2:$M$941,"&lt;&gt;0")</f>
        <v/>
      </c>
      <c r="E204" s="6">
        <f>IF(Config!$G$8=0,0,IF(ABS(($A204-Config!$F$8)/Config!$G$8)&lt;=2,$D204,0))</f>
        <v/>
      </c>
      <c r="F204" s="6">
        <f>IF(Config!$G$8=0,0,IF(AND(ABS(($A204-Config!$F$8)/Config!$G$8)&gt;2,ABS(($A204-Config!$F$8)/Config!$G$8)&lt;=3),$D204,0))</f>
        <v/>
      </c>
      <c r="G204" s="6">
        <f>IF(Config!$G$8=0,0,IF(ABS(($A204-Config!$F$8)/Config!$G$8)&gt;3,$D204,0))</f>
        <v/>
      </c>
      <c r="H204" s="6">
        <f>IFERROR(NORM.DIST($A204,Config!$F$8,Config!$G$8,FALSE)*Config!$D$8*Config!$J$8,0)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IFERROR(NORM.DIST($A205,Config!$F$8,Config!$G$8,FALSE)*Config!$D$8*Config!$J$8,0)</f>
        <v/>
      </c>
    </row>
    <row r="206">
      <c r="A206" s="6">
        <f>Config!$K$8+12*Config!$J$8+Config!$J$8/2</f>
        <v/>
      </c>
      <c r="B206" s="6">
        <f>$A206-Config!$J$8/2</f>
        <v/>
      </c>
      <c r="C206" s="6">
        <f>$A206+Config!$J$8/2</f>
        <v/>
      </c>
      <c r="D206" s="6">
        <f>COUNTIFS(RawData!$C$2:$C$941,"LT",RawData!$M$2:$M$941,"&gt;="&amp;$B206,RawData!$M$2:$M$941,"&lt;"&amp;$C206,RawData!$M$2:$M$941,"&lt;&gt;0")</f>
        <v/>
      </c>
      <c r="E206" s="6">
        <f>IF(Config!$G$8=0,0,IF(ABS(($A206-Config!$F$8)/Config!$G$8)&lt;=2,$D206,0))</f>
        <v/>
      </c>
      <c r="F206" s="6">
        <f>IF(Config!$G$8=0,0,IF(AND(ABS(($A206-Config!$F$8)/Config!$G$8)&gt;2,ABS(($A206-Config!$F$8)/Config!$G$8)&lt;=3),$D206,0))</f>
        <v/>
      </c>
      <c r="G206" s="6">
        <f>IF(Config!$G$8=0,0,IF(ABS(($A206-Config!$F$8)/Config!$G$8)&gt;3,$D206,0))</f>
        <v/>
      </c>
      <c r="H206" s="6">
        <f>IFERROR(NORM.DIST($A206,Config!$F$8,Config!$G$8,FALSE)*Config!$D$8*Config!$J$8,0)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IFERROR(NORM.DIST($A207,Config!$F$8,Config!$G$8,FALSE)*Config!$D$8*Config!$J$8,0)</f>
        <v/>
      </c>
    </row>
    <row r="208">
      <c r="A208" s="6">
        <f>Config!$K$8+14*Config!$J$8+Config!$J$8/2</f>
        <v/>
      </c>
      <c r="B208" s="6">
        <f>$A208-Config!$J$8/2</f>
        <v/>
      </c>
      <c r="C208" s="6">
        <f>$A208+Config!$J$8/2</f>
        <v/>
      </c>
      <c r="D208" s="6">
        <f>COUNTIFS(RawData!$C$2:$C$941,"LT",RawData!$M$2:$M$941,"&gt;="&amp;$B208,RawData!$M$2:$M$941,"&lt;"&amp;$C208,RawData!$M$2:$M$941,"&lt;&gt;0")</f>
        <v/>
      </c>
      <c r="E208" s="6">
        <f>IF(Config!$G$8=0,0,IF(ABS(($A208-Config!$F$8)/Config!$G$8)&lt;=2,$D208,0))</f>
        <v/>
      </c>
      <c r="F208" s="6">
        <f>IF(Config!$G$8=0,0,IF(AND(ABS(($A208-Config!$F$8)/Config!$G$8)&gt;2,ABS(($A208-Config!$F$8)/Config!$G$8)&lt;=3),$D208,0))</f>
        <v/>
      </c>
      <c r="G208" s="6">
        <f>IF(Config!$G$8=0,0,IF(ABS(($A208-Config!$F$8)/Config!$G$8)&gt;3,$D208,0))</f>
        <v/>
      </c>
      <c r="H208" s="6">
        <f>IFERROR(NORM.DIST($A208,Config!$F$8,Config!$G$8,FALSE)*Config!$D$8*Config!$J$8,0)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IFERROR(NORM.DIST($A209,Config!$F$8,Config!$G$8,FALSE)*Config!$D$8*Config!$J$8,0)</f>
        <v/>
      </c>
    </row>
    <row r="210">
      <c r="A210" s="6">
        <f>Config!$K$8+16*Config!$J$8+Config!$J$8/2</f>
        <v/>
      </c>
      <c r="B210" s="6">
        <f>$A210-Config!$J$8/2</f>
        <v/>
      </c>
      <c r="C210" s="6">
        <f>$A210+Config!$J$8/2</f>
        <v/>
      </c>
      <c r="D210" s="6">
        <f>COUNTIFS(RawData!$C$2:$C$941,"LT",RawData!$M$2:$M$941,"&gt;="&amp;$B210,RawData!$M$2:$M$941,"&lt;"&amp;$C210,RawData!$M$2:$M$941,"&lt;&gt;0")</f>
        <v/>
      </c>
      <c r="E210" s="6">
        <f>IF(Config!$G$8=0,0,IF(ABS(($A210-Config!$F$8)/Config!$G$8)&lt;=2,$D210,0))</f>
        <v/>
      </c>
      <c r="F210" s="6">
        <f>IF(Config!$G$8=0,0,IF(AND(ABS(($A210-Config!$F$8)/Config!$G$8)&gt;2,ABS(($A210-Config!$F$8)/Config!$G$8)&lt;=3),$D210,0))</f>
        <v/>
      </c>
      <c r="G210" s="6">
        <f>IF(Config!$G$8=0,0,IF(ABS(($A210-Config!$F$8)/Config!$G$8)&gt;3,$D210,0))</f>
        <v/>
      </c>
      <c r="H210" s="6">
        <f>IFERROR(NORM.DIST($A210,Config!$F$8,Config!$G$8,FALSE)*Config!$D$8*Config!$J$8,0)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IFERROR(NORM.DIST($A211,Config!$F$8,Config!$G$8,FALSE)*Config!$D$8*Config!$J$8,0)</f>
        <v/>
      </c>
    </row>
    <row r="212">
      <c r="A212" s="6">
        <f>Config!$K$8+18*Config!$J$8+Config!$J$8/2</f>
        <v/>
      </c>
      <c r="B212" s="6">
        <f>$A212-Config!$J$8/2</f>
        <v/>
      </c>
      <c r="C212" s="6">
        <f>$A212+Config!$J$8/2</f>
        <v/>
      </c>
      <c r="D212" s="6">
        <f>COUNTIFS(RawData!$C$2:$C$941,"LT",RawData!$M$2:$M$941,"&gt;="&amp;$B212,RawData!$M$2:$M$941,"&lt;"&amp;$C212,RawData!$M$2:$M$941,"&lt;&gt;0")</f>
        <v/>
      </c>
      <c r="E212" s="6">
        <f>IF(Config!$G$8=0,0,IF(ABS(($A212-Config!$F$8)/Config!$G$8)&lt;=2,$D212,0))</f>
        <v/>
      </c>
      <c r="F212" s="6">
        <f>IF(Config!$G$8=0,0,IF(AND(ABS(($A212-Config!$F$8)/Config!$G$8)&gt;2,ABS(($A212-Config!$F$8)/Config!$G$8)&lt;=3),$D212,0))</f>
        <v/>
      </c>
      <c r="G212" s="6">
        <f>IF(Config!$G$8=0,0,IF(ABS(($A212-Config!$F$8)/Config!$G$8)&gt;3,$D212,0))</f>
        <v/>
      </c>
      <c r="H212" s="6">
        <f>IFERROR(NORM.DIST($A212,Config!$F$8,Config!$G$8,FALSE)*Config!$D$8*Config!$J$8,0)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IFERROR(NORM.DIST($A213,Config!$F$8,Config!$G$8,FALSE)*Config!$D$8*Config!$J$8,0)</f>
        <v/>
      </c>
    </row>
    <row r="214">
      <c r="A214" s="6">
        <f>Config!$K$8+20*Config!$J$8+Config!$J$8/2</f>
        <v/>
      </c>
      <c r="B214" s="6">
        <f>$A214-Config!$J$8/2</f>
        <v/>
      </c>
      <c r="C214" s="6">
        <f>$A214+Config!$J$8/2</f>
        <v/>
      </c>
      <c r="D214" s="6">
        <f>COUNTIFS(RawData!$C$2:$C$941,"LT",RawData!$M$2:$M$941,"&gt;="&amp;$B214,RawData!$M$2:$M$941,"&lt;"&amp;$C214,RawData!$M$2:$M$941,"&lt;&gt;0")</f>
        <v/>
      </c>
      <c r="E214" s="6">
        <f>IF(Config!$G$8=0,0,IF(ABS(($A214-Config!$F$8)/Config!$G$8)&lt;=2,$D214,0))</f>
        <v/>
      </c>
      <c r="F214" s="6">
        <f>IF(Config!$G$8=0,0,IF(AND(ABS(($A214-Config!$F$8)/Config!$G$8)&gt;2,ABS(($A214-Config!$F$8)/Config!$G$8)&lt;=3),$D214,0))</f>
        <v/>
      </c>
      <c r="G214" s="6">
        <f>IF(Config!$G$8=0,0,IF(ABS(($A214-Config!$F$8)/Config!$G$8)&gt;3,$D214,0))</f>
        <v/>
      </c>
      <c r="H214" s="6">
        <f>IFERROR(NORM.DIST($A214,Config!$F$8,Config!$G$8,FALSE)*Config!$D$8*Config!$J$8,0)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IFERROR(NORM.DIST($A215,Config!$F$8,Config!$G$8,FALSE)*Config!$D$8*Config!$J$8,0)</f>
        <v/>
      </c>
    </row>
    <row r="216">
      <c r="A216" s="6">
        <f>Config!$K$8+22*Config!$J$8+Config!$J$8/2</f>
        <v/>
      </c>
      <c r="B216" s="6">
        <f>$A216-Config!$J$8/2</f>
        <v/>
      </c>
      <c r="C216" s="6">
        <f>$A216+Config!$J$8/2</f>
        <v/>
      </c>
      <c r="D216" s="6">
        <f>COUNTIFS(RawData!$C$2:$C$941,"LT",RawData!$M$2:$M$941,"&gt;="&amp;$B216,RawData!$M$2:$M$941,"&lt;"&amp;$C216,RawData!$M$2:$M$941,"&lt;&gt;0")</f>
        <v/>
      </c>
      <c r="E216" s="6">
        <f>IF(Config!$G$8=0,0,IF(ABS(($A216-Config!$F$8)/Config!$G$8)&lt;=2,$D216,0))</f>
        <v/>
      </c>
      <c r="F216" s="6">
        <f>IF(Config!$G$8=0,0,IF(AND(ABS(($A216-Config!$F$8)/Config!$G$8)&gt;2,ABS(($A216-Config!$F$8)/Config!$G$8)&lt;=3),$D216,0))</f>
        <v/>
      </c>
      <c r="G216" s="6">
        <f>IF(Config!$G$8=0,0,IF(ABS(($A216-Config!$F$8)/Config!$G$8)&gt;3,$D216,0))</f>
        <v/>
      </c>
      <c r="H216" s="6">
        <f>IFERROR(NORM.DIST($A216,Config!$F$8,Config!$G$8,FALSE)*Config!$D$8*Config!$J$8,0)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IFERROR(NORM.DIST($A217,Config!$F$8,Config!$G$8,FALSE)*Config!$D$8*Config!$J$8,0)</f>
        <v/>
      </c>
    </row>
    <row r="218">
      <c r="A218" s="6">
        <f>Config!$K$8+24*Config!$J$8+Config!$J$8/2</f>
        <v/>
      </c>
      <c r="B218" s="6">
        <f>$A218-Config!$J$8/2</f>
        <v/>
      </c>
      <c r="C218" s="6">
        <f>$A218+Config!$J$8/2</f>
        <v/>
      </c>
      <c r="D218" s="6">
        <f>COUNTIFS(RawData!$C$2:$C$941,"LT",RawData!$M$2:$M$941,"&gt;="&amp;$B218,RawData!$M$2:$M$941,"&lt;"&amp;$C218,RawData!$M$2:$M$941,"&lt;&gt;0")</f>
        <v/>
      </c>
      <c r="E218" s="6">
        <f>IF(Config!$G$8=0,0,IF(ABS(($A218-Config!$F$8)/Config!$G$8)&lt;=2,$D218,0))</f>
        <v/>
      </c>
      <c r="F218" s="6">
        <f>IF(Config!$G$8=0,0,IF(AND(ABS(($A218-Config!$F$8)/Config!$G$8)&gt;2,ABS(($A218-Config!$F$8)/Config!$G$8)&lt;=3),$D218,0))</f>
        <v/>
      </c>
      <c r="G218" s="6">
        <f>IF(Config!$G$8=0,0,IF(ABS(($A218-Config!$F$8)/Config!$G$8)&gt;3,$D218,0))</f>
        <v/>
      </c>
      <c r="H218" s="6">
        <f>IFERROR(NORM.DIST($A218,Config!$F$8,Config!$G$8,FALSE)*Config!$D$8*Config!$J$8,0)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IFERROR(NORM.DIST($A219,Config!$F$8,Config!$G$8,FALSE)*Config!$D$8*Config!$J$8,0)</f>
        <v/>
      </c>
    </row>
    <row r="220">
      <c r="A220" s="6">
        <f>Config!$K$8+26*Config!$J$8+Config!$J$8/2</f>
        <v/>
      </c>
      <c r="B220" s="6">
        <f>$A220-Config!$J$8/2</f>
        <v/>
      </c>
      <c r="C220" s="6">
        <f>$A220+Config!$J$8/2</f>
        <v/>
      </c>
      <c r="D220" s="6">
        <f>COUNTIFS(RawData!$C$2:$C$941,"LT",RawData!$M$2:$M$941,"&gt;="&amp;$B220,RawData!$M$2:$M$941,"&lt;"&amp;$C220,RawData!$M$2:$M$941,"&lt;&gt;0")</f>
        <v/>
      </c>
      <c r="E220" s="6">
        <f>IF(Config!$G$8=0,0,IF(ABS(($A220-Config!$F$8)/Config!$G$8)&lt;=2,$D220,0))</f>
        <v/>
      </c>
      <c r="F220" s="6">
        <f>IF(Config!$G$8=0,0,IF(AND(ABS(($A220-Config!$F$8)/Config!$G$8)&gt;2,ABS(($A220-Config!$F$8)/Config!$G$8)&lt;=3),$D220,0))</f>
        <v/>
      </c>
      <c r="G220" s="6">
        <f>IF(Config!$G$8=0,0,IF(ABS(($A220-Config!$F$8)/Config!$G$8)&gt;3,$D220,0))</f>
        <v/>
      </c>
      <c r="H220" s="6">
        <f>IFERROR(NORM.DIST($A220,Config!$F$8,Config!$G$8,FALSE)*Config!$D$8*Config!$J$8,0)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IFERROR(NORM.DIST($A221,Config!$F$8,Config!$G$8,FALSE)*Config!$D$8*Config!$J$8,0)</f>
        <v/>
      </c>
    </row>
    <row r="222">
      <c r="A222" s="6">
        <f>Config!$K$8+28*Config!$J$8+Config!$J$8/2</f>
        <v/>
      </c>
      <c r="B222" s="6">
        <f>$A222-Config!$J$8/2</f>
        <v/>
      </c>
      <c r="C222" s="6">
        <f>$A222+Config!$J$8/2</f>
        <v/>
      </c>
      <c r="D222" s="6">
        <f>COUNTIFS(RawData!$C$2:$C$941,"LT",RawData!$M$2:$M$941,"&gt;="&amp;$B222,RawData!$M$2:$M$941,"&lt;"&amp;$C222,RawData!$M$2:$M$941,"&lt;&gt;0")</f>
        <v/>
      </c>
      <c r="E222" s="6">
        <f>IF(Config!$G$8=0,0,IF(ABS(($A222-Config!$F$8)/Config!$G$8)&lt;=2,$D222,0))</f>
        <v/>
      </c>
      <c r="F222" s="6">
        <f>IF(Config!$G$8=0,0,IF(AND(ABS(($A222-Config!$F$8)/Config!$G$8)&gt;2,ABS(($A222-Config!$F$8)/Config!$G$8)&lt;=3),$D222,0))</f>
        <v/>
      </c>
      <c r="G222" s="6">
        <f>IF(Config!$G$8=0,0,IF(ABS(($A222-Config!$F$8)/Config!$G$8)&gt;3,$D222,0))</f>
        <v/>
      </c>
      <c r="H222" s="6">
        <f>IFERROR(NORM.DIST($A222,Config!$F$8,Config!$G$8,FALSE)*Config!$D$8*Config!$J$8,0)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IFERROR(NORM.DIST($A223,Config!$F$8,Config!$G$8,FALSE)*Config!$D$8*Config!$J$8,0)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Config!$K$9+0*Config!$J$9+Config!$J$9/2</f>
        <v/>
      </c>
      <c r="B226" s="6">
        <f>$A226-Config!$J$9/2</f>
        <v/>
      </c>
      <c r="C226" s="6">
        <f>$A226+Config!$J$9/2</f>
        <v/>
      </c>
      <c r="D226" s="6">
        <f>COUNTIFS(RawData!$C$2:$C$941,"LT",RawData!$N$2:$N$941,"&gt;="&amp;$B226,RawData!$N$2:$N$941,"&lt;"&amp;$C226,RawData!$N$2:$N$941,"&lt;&gt;0")</f>
        <v/>
      </c>
      <c r="E226" s="6">
        <f>IF(Config!$G$9=0,0,IF(ABS(($A226-Config!$F$9)/Config!$G$9)&lt;=2,$D226,0))</f>
        <v/>
      </c>
      <c r="F226" s="6">
        <f>IF(Config!$G$9=0,0,IF(AND(ABS(($A226-Config!$F$9)/Config!$G$9)&gt;2,ABS(($A226-Config!$F$9)/Config!$G$9)&lt;=3),$D226,0))</f>
        <v/>
      </c>
      <c r="G226" s="6">
        <f>IF(Config!$G$9=0,0,IF(ABS(($A226-Config!$F$9)/Config!$G$9)&gt;3,$D226,0))</f>
        <v/>
      </c>
      <c r="H226" s="6">
        <f>IFERROR(NORM.DIST($A226,Config!$F$9,Config!$G$9,FALSE)*Config!$D$9*Config!$J$9,0)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IFERROR(NORM.DIST($A227,Config!$F$9,Config!$G$9,FALSE)*Config!$D$9*Config!$J$9,0)</f>
        <v/>
      </c>
    </row>
    <row r="228">
      <c r="A228" s="6">
        <f>Config!$K$9+2*Config!$J$9+Config!$J$9/2</f>
        <v/>
      </c>
      <c r="B228" s="6">
        <f>$A228-Config!$J$9/2</f>
        <v/>
      </c>
      <c r="C228" s="6">
        <f>$A228+Config!$J$9/2</f>
        <v/>
      </c>
      <c r="D228" s="6">
        <f>COUNTIFS(RawData!$C$2:$C$941,"LT",RawData!$N$2:$N$941,"&gt;="&amp;$B228,RawData!$N$2:$N$941,"&lt;"&amp;$C228,RawData!$N$2:$N$941,"&lt;&gt;0")</f>
        <v/>
      </c>
      <c r="E228" s="6">
        <f>IF(Config!$G$9=0,0,IF(ABS(($A228-Config!$F$9)/Config!$G$9)&lt;=2,$D228,0))</f>
        <v/>
      </c>
      <c r="F228" s="6">
        <f>IF(Config!$G$9=0,0,IF(AND(ABS(($A228-Config!$F$9)/Config!$G$9)&gt;2,ABS(($A228-Config!$F$9)/Config!$G$9)&lt;=3),$D228,0))</f>
        <v/>
      </c>
      <c r="G228" s="6">
        <f>IF(Config!$G$9=0,0,IF(ABS(($A228-Config!$F$9)/Config!$G$9)&gt;3,$D228,0))</f>
        <v/>
      </c>
      <c r="H228" s="6">
        <f>IFERROR(NORM.DIST($A228,Config!$F$9,Config!$G$9,FALSE)*Config!$D$9*Config!$J$9,0)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IFERROR(NORM.DIST($A229,Config!$F$9,Config!$G$9,FALSE)*Config!$D$9*Config!$J$9,0)</f>
        <v/>
      </c>
    </row>
    <row r="230">
      <c r="A230" s="6">
        <f>Config!$K$9+4*Config!$J$9+Config!$J$9/2</f>
        <v/>
      </c>
      <c r="B230" s="6">
        <f>$A230-Config!$J$9/2</f>
        <v/>
      </c>
      <c r="C230" s="6">
        <f>$A230+Config!$J$9/2</f>
        <v/>
      </c>
      <c r="D230" s="6">
        <f>COUNTIFS(RawData!$C$2:$C$941,"LT",RawData!$N$2:$N$941,"&gt;="&amp;$B230,RawData!$N$2:$N$941,"&lt;"&amp;$C230,RawData!$N$2:$N$941,"&lt;&gt;0")</f>
        <v/>
      </c>
      <c r="E230" s="6">
        <f>IF(Config!$G$9=0,0,IF(ABS(($A230-Config!$F$9)/Config!$G$9)&lt;=2,$D230,0))</f>
        <v/>
      </c>
      <c r="F230" s="6">
        <f>IF(Config!$G$9=0,0,IF(AND(ABS(($A230-Config!$F$9)/Config!$G$9)&gt;2,ABS(($A230-Config!$F$9)/Config!$G$9)&lt;=3),$D230,0))</f>
        <v/>
      </c>
      <c r="G230" s="6">
        <f>IF(Config!$G$9=0,0,IF(ABS(($A230-Config!$F$9)/Config!$G$9)&gt;3,$D230,0))</f>
        <v/>
      </c>
      <c r="H230" s="6">
        <f>IFERROR(NORM.DIST($A230,Config!$F$9,Config!$G$9,FALSE)*Config!$D$9*Config!$J$9,0)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IFERROR(NORM.DIST($A231,Config!$F$9,Config!$G$9,FALSE)*Config!$D$9*Config!$J$9,0)</f>
        <v/>
      </c>
    </row>
    <row r="232">
      <c r="A232" s="6">
        <f>Config!$K$9+6*Config!$J$9+Config!$J$9/2</f>
        <v/>
      </c>
      <c r="B232" s="6">
        <f>$A232-Config!$J$9/2</f>
        <v/>
      </c>
      <c r="C232" s="6">
        <f>$A232+Config!$J$9/2</f>
        <v/>
      </c>
      <c r="D232" s="6">
        <f>COUNTIFS(RawData!$C$2:$C$941,"LT",RawData!$N$2:$N$941,"&gt;="&amp;$B232,RawData!$N$2:$N$941,"&lt;"&amp;$C232,RawData!$N$2:$N$941,"&lt;&gt;0")</f>
        <v/>
      </c>
      <c r="E232" s="6">
        <f>IF(Config!$G$9=0,0,IF(ABS(($A232-Config!$F$9)/Config!$G$9)&lt;=2,$D232,0))</f>
        <v/>
      </c>
      <c r="F232" s="6">
        <f>IF(Config!$G$9=0,0,IF(AND(ABS(($A232-Config!$F$9)/Config!$G$9)&gt;2,ABS(($A232-Config!$F$9)/Config!$G$9)&lt;=3),$D232,0))</f>
        <v/>
      </c>
      <c r="G232" s="6">
        <f>IF(Config!$G$9=0,0,IF(ABS(($A232-Config!$F$9)/Config!$G$9)&gt;3,$D232,0))</f>
        <v/>
      </c>
      <c r="H232" s="6">
        <f>IFERROR(NORM.DIST($A232,Config!$F$9,Config!$G$9,FALSE)*Config!$D$9*Config!$J$9,0)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IFERROR(NORM.DIST($A233,Config!$F$9,Config!$G$9,FALSE)*Config!$D$9*Config!$J$9,0)</f>
        <v/>
      </c>
    </row>
    <row r="234">
      <c r="A234" s="6">
        <f>Config!$K$9+8*Config!$J$9+Config!$J$9/2</f>
        <v/>
      </c>
      <c r="B234" s="6">
        <f>$A234-Config!$J$9/2</f>
        <v/>
      </c>
      <c r="C234" s="6">
        <f>$A234+Config!$J$9/2</f>
        <v/>
      </c>
      <c r="D234" s="6">
        <f>COUNTIFS(RawData!$C$2:$C$941,"LT",RawData!$N$2:$N$941,"&gt;="&amp;$B234,RawData!$N$2:$N$941,"&lt;"&amp;$C234,RawData!$N$2:$N$941,"&lt;&gt;0")</f>
        <v/>
      </c>
      <c r="E234" s="6">
        <f>IF(Config!$G$9=0,0,IF(ABS(($A234-Config!$F$9)/Config!$G$9)&lt;=2,$D234,0))</f>
        <v/>
      </c>
      <c r="F234" s="6">
        <f>IF(Config!$G$9=0,0,IF(AND(ABS(($A234-Config!$F$9)/Config!$G$9)&gt;2,ABS(($A234-Config!$F$9)/Config!$G$9)&lt;=3),$D234,0))</f>
        <v/>
      </c>
      <c r="G234" s="6">
        <f>IF(Config!$G$9=0,0,IF(ABS(($A234-Config!$F$9)/Config!$G$9)&gt;3,$D234,0))</f>
        <v/>
      </c>
      <c r="H234" s="6">
        <f>IFERROR(NORM.DIST($A234,Config!$F$9,Config!$G$9,FALSE)*Config!$D$9*Config!$J$9,0)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IFERROR(NORM.DIST($A235,Config!$F$9,Config!$G$9,FALSE)*Config!$D$9*Config!$J$9,0)</f>
        <v/>
      </c>
    </row>
    <row r="236">
      <c r="A236" s="6">
        <f>Config!$K$9+10*Config!$J$9+Config!$J$9/2</f>
        <v/>
      </c>
      <c r="B236" s="6">
        <f>$A236-Config!$J$9/2</f>
        <v/>
      </c>
      <c r="C236" s="6">
        <f>$A236+Config!$J$9/2</f>
        <v/>
      </c>
      <c r="D236" s="6">
        <f>COUNTIFS(RawData!$C$2:$C$941,"LT",RawData!$N$2:$N$941,"&gt;="&amp;$B236,RawData!$N$2:$N$941,"&lt;"&amp;$C236,RawData!$N$2:$N$941,"&lt;&gt;0")</f>
        <v/>
      </c>
      <c r="E236" s="6">
        <f>IF(Config!$G$9=0,0,IF(ABS(($A236-Config!$F$9)/Config!$G$9)&lt;=2,$D236,0))</f>
        <v/>
      </c>
      <c r="F236" s="6">
        <f>IF(Config!$G$9=0,0,IF(AND(ABS(($A236-Config!$F$9)/Config!$G$9)&gt;2,ABS(($A236-Config!$F$9)/Config!$G$9)&lt;=3),$D236,0))</f>
        <v/>
      </c>
      <c r="G236" s="6">
        <f>IF(Config!$G$9=0,0,IF(ABS(($A236-Config!$F$9)/Config!$G$9)&gt;3,$D236,0))</f>
        <v/>
      </c>
      <c r="H236" s="6">
        <f>IFERROR(NORM.DIST($A236,Config!$F$9,Config!$G$9,FALSE)*Config!$D$9*Config!$J$9,0)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IFERROR(NORM.DIST($A237,Config!$F$9,Config!$G$9,FALSE)*Config!$D$9*Config!$J$9,0)</f>
        <v/>
      </c>
    </row>
    <row r="238">
      <c r="A238" s="6">
        <f>Config!$K$9+12*Config!$J$9+Config!$J$9/2</f>
        <v/>
      </c>
      <c r="B238" s="6">
        <f>$A238-Config!$J$9/2</f>
        <v/>
      </c>
      <c r="C238" s="6">
        <f>$A238+Config!$J$9/2</f>
        <v/>
      </c>
      <c r="D238" s="6">
        <f>COUNTIFS(RawData!$C$2:$C$941,"LT",RawData!$N$2:$N$941,"&gt;="&amp;$B238,RawData!$N$2:$N$941,"&lt;"&amp;$C238,RawData!$N$2:$N$941,"&lt;&gt;0")</f>
        <v/>
      </c>
      <c r="E238" s="6">
        <f>IF(Config!$G$9=0,0,IF(ABS(($A238-Config!$F$9)/Config!$G$9)&lt;=2,$D238,0))</f>
        <v/>
      </c>
      <c r="F238" s="6">
        <f>IF(Config!$G$9=0,0,IF(AND(ABS(($A238-Config!$F$9)/Config!$G$9)&gt;2,ABS(($A238-Config!$F$9)/Config!$G$9)&lt;=3),$D238,0))</f>
        <v/>
      </c>
      <c r="G238" s="6">
        <f>IF(Config!$G$9=0,0,IF(ABS(($A238-Config!$F$9)/Config!$G$9)&gt;3,$D238,0))</f>
        <v/>
      </c>
      <c r="H238" s="6">
        <f>IFERROR(NORM.DIST($A238,Config!$F$9,Config!$G$9,FALSE)*Config!$D$9*Config!$J$9,0)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IFERROR(NORM.DIST($A239,Config!$F$9,Config!$G$9,FALSE)*Config!$D$9*Config!$J$9,0)</f>
        <v/>
      </c>
    </row>
    <row r="240">
      <c r="A240" s="6">
        <f>Config!$K$9+14*Config!$J$9+Config!$J$9/2</f>
        <v/>
      </c>
      <c r="B240" s="6">
        <f>$A240-Config!$J$9/2</f>
        <v/>
      </c>
      <c r="C240" s="6">
        <f>$A240+Config!$J$9/2</f>
        <v/>
      </c>
      <c r="D240" s="6">
        <f>COUNTIFS(RawData!$C$2:$C$941,"LT",RawData!$N$2:$N$941,"&gt;="&amp;$B240,RawData!$N$2:$N$941,"&lt;"&amp;$C240,RawData!$N$2:$N$941,"&lt;&gt;0")</f>
        <v/>
      </c>
      <c r="E240" s="6">
        <f>IF(Config!$G$9=0,0,IF(ABS(($A240-Config!$F$9)/Config!$G$9)&lt;=2,$D240,0))</f>
        <v/>
      </c>
      <c r="F240" s="6">
        <f>IF(Config!$G$9=0,0,IF(AND(ABS(($A240-Config!$F$9)/Config!$G$9)&gt;2,ABS(($A240-Config!$F$9)/Config!$G$9)&lt;=3),$D240,0))</f>
        <v/>
      </c>
      <c r="G240" s="6">
        <f>IF(Config!$G$9=0,0,IF(ABS(($A240-Config!$F$9)/Config!$G$9)&gt;3,$D240,0))</f>
        <v/>
      </c>
      <c r="H240" s="6">
        <f>IFERROR(NORM.DIST($A240,Config!$F$9,Config!$G$9,FALSE)*Config!$D$9*Config!$J$9,0)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IFERROR(NORM.DIST($A241,Config!$F$9,Config!$G$9,FALSE)*Config!$D$9*Config!$J$9,0)</f>
        <v/>
      </c>
    </row>
    <row r="242">
      <c r="A242" s="6">
        <f>Config!$K$9+16*Config!$J$9+Config!$J$9/2</f>
        <v/>
      </c>
      <c r="B242" s="6">
        <f>$A242-Config!$J$9/2</f>
        <v/>
      </c>
      <c r="C242" s="6">
        <f>$A242+Config!$J$9/2</f>
        <v/>
      </c>
      <c r="D242" s="6">
        <f>COUNTIFS(RawData!$C$2:$C$941,"LT",RawData!$N$2:$N$941,"&gt;="&amp;$B242,RawData!$N$2:$N$941,"&lt;"&amp;$C242,RawData!$N$2:$N$941,"&lt;&gt;0")</f>
        <v/>
      </c>
      <c r="E242" s="6">
        <f>IF(Config!$G$9=0,0,IF(ABS(($A242-Config!$F$9)/Config!$G$9)&lt;=2,$D242,0))</f>
        <v/>
      </c>
      <c r="F242" s="6">
        <f>IF(Config!$G$9=0,0,IF(AND(ABS(($A242-Config!$F$9)/Config!$G$9)&gt;2,ABS(($A242-Config!$F$9)/Config!$G$9)&lt;=3),$D242,0))</f>
        <v/>
      </c>
      <c r="G242" s="6">
        <f>IF(Config!$G$9=0,0,IF(ABS(($A242-Config!$F$9)/Config!$G$9)&gt;3,$D242,0))</f>
        <v/>
      </c>
      <c r="H242" s="6">
        <f>IFERROR(NORM.DIST($A242,Config!$F$9,Config!$G$9,FALSE)*Config!$D$9*Config!$J$9,0)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IFERROR(NORM.DIST($A243,Config!$F$9,Config!$G$9,FALSE)*Config!$D$9*Config!$J$9,0)</f>
        <v/>
      </c>
    </row>
    <row r="244">
      <c r="A244" s="6">
        <f>Config!$K$9+18*Config!$J$9+Config!$J$9/2</f>
        <v/>
      </c>
      <c r="B244" s="6">
        <f>$A244-Config!$J$9/2</f>
        <v/>
      </c>
      <c r="C244" s="6">
        <f>$A244+Config!$J$9/2</f>
        <v/>
      </c>
      <c r="D244" s="6">
        <f>COUNTIFS(RawData!$C$2:$C$941,"LT",RawData!$N$2:$N$941,"&gt;="&amp;$B244,RawData!$N$2:$N$941,"&lt;"&amp;$C244,RawData!$N$2:$N$941,"&lt;&gt;0")</f>
        <v/>
      </c>
      <c r="E244" s="6">
        <f>IF(Config!$G$9=0,0,IF(ABS(($A244-Config!$F$9)/Config!$G$9)&lt;=2,$D244,0))</f>
        <v/>
      </c>
      <c r="F244" s="6">
        <f>IF(Config!$G$9=0,0,IF(AND(ABS(($A244-Config!$F$9)/Config!$G$9)&gt;2,ABS(($A244-Config!$F$9)/Config!$G$9)&lt;=3),$D244,0))</f>
        <v/>
      </c>
      <c r="G244" s="6">
        <f>IF(Config!$G$9=0,0,IF(ABS(($A244-Config!$F$9)/Config!$G$9)&gt;3,$D244,0))</f>
        <v/>
      </c>
      <c r="H244" s="6">
        <f>IFERROR(NORM.DIST($A244,Config!$F$9,Config!$G$9,FALSE)*Config!$D$9*Config!$J$9,0)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IFERROR(NORM.DIST($A245,Config!$F$9,Config!$G$9,FALSE)*Config!$D$9*Config!$J$9,0)</f>
        <v/>
      </c>
    </row>
    <row r="246">
      <c r="A246" s="6">
        <f>Config!$K$9+20*Config!$J$9+Config!$J$9/2</f>
        <v/>
      </c>
      <c r="B246" s="6">
        <f>$A246-Config!$J$9/2</f>
        <v/>
      </c>
      <c r="C246" s="6">
        <f>$A246+Config!$J$9/2</f>
        <v/>
      </c>
      <c r="D246" s="6">
        <f>COUNTIFS(RawData!$C$2:$C$941,"LT",RawData!$N$2:$N$941,"&gt;="&amp;$B246,RawData!$N$2:$N$941,"&lt;"&amp;$C246,RawData!$N$2:$N$941,"&lt;&gt;0")</f>
        <v/>
      </c>
      <c r="E246" s="6">
        <f>IF(Config!$G$9=0,0,IF(ABS(($A246-Config!$F$9)/Config!$G$9)&lt;=2,$D246,0))</f>
        <v/>
      </c>
      <c r="F246" s="6">
        <f>IF(Config!$G$9=0,0,IF(AND(ABS(($A246-Config!$F$9)/Config!$G$9)&gt;2,ABS(($A246-Config!$F$9)/Config!$G$9)&lt;=3),$D246,0))</f>
        <v/>
      </c>
      <c r="G246" s="6">
        <f>IF(Config!$G$9=0,0,IF(ABS(($A246-Config!$F$9)/Config!$G$9)&gt;3,$D246,0))</f>
        <v/>
      </c>
      <c r="H246" s="6">
        <f>IFERROR(NORM.DIST($A246,Config!$F$9,Config!$G$9,FALSE)*Config!$D$9*Config!$J$9,0)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IFERROR(NORM.DIST($A247,Config!$F$9,Config!$G$9,FALSE)*Config!$D$9*Config!$J$9,0)</f>
        <v/>
      </c>
    </row>
    <row r="248">
      <c r="A248" s="6">
        <f>Config!$K$9+22*Config!$J$9+Config!$J$9/2</f>
        <v/>
      </c>
      <c r="B248" s="6">
        <f>$A248-Config!$J$9/2</f>
        <v/>
      </c>
      <c r="C248" s="6">
        <f>$A248+Config!$J$9/2</f>
        <v/>
      </c>
      <c r="D248" s="6">
        <f>COUNTIFS(RawData!$C$2:$C$941,"LT",RawData!$N$2:$N$941,"&gt;="&amp;$B248,RawData!$N$2:$N$941,"&lt;"&amp;$C248,RawData!$N$2:$N$941,"&lt;&gt;0")</f>
        <v/>
      </c>
      <c r="E248" s="6">
        <f>IF(Config!$G$9=0,0,IF(ABS(($A248-Config!$F$9)/Config!$G$9)&lt;=2,$D248,0))</f>
        <v/>
      </c>
      <c r="F248" s="6">
        <f>IF(Config!$G$9=0,0,IF(AND(ABS(($A248-Config!$F$9)/Config!$G$9)&gt;2,ABS(($A248-Config!$F$9)/Config!$G$9)&lt;=3),$D248,0))</f>
        <v/>
      </c>
      <c r="G248" s="6">
        <f>IF(Config!$G$9=0,0,IF(ABS(($A248-Config!$F$9)/Config!$G$9)&gt;3,$D248,0))</f>
        <v/>
      </c>
      <c r="H248" s="6">
        <f>IFERROR(NORM.DIST($A248,Config!$F$9,Config!$G$9,FALSE)*Config!$D$9*Config!$J$9,0)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IFERROR(NORM.DIST($A249,Config!$F$9,Config!$G$9,FALSE)*Config!$D$9*Config!$J$9,0)</f>
        <v/>
      </c>
    </row>
    <row r="250">
      <c r="A250" s="6">
        <f>Config!$K$9+24*Config!$J$9+Config!$J$9/2</f>
        <v/>
      </c>
      <c r="B250" s="6">
        <f>$A250-Config!$J$9/2</f>
        <v/>
      </c>
      <c r="C250" s="6">
        <f>$A250+Config!$J$9/2</f>
        <v/>
      </c>
      <c r="D250" s="6">
        <f>COUNTIFS(RawData!$C$2:$C$941,"LT",RawData!$N$2:$N$941,"&gt;="&amp;$B250,RawData!$N$2:$N$941,"&lt;"&amp;$C250,RawData!$N$2:$N$941,"&lt;&gt;0")</f>
        <v/>
      </c>
      <c r="E250" s="6">
        <f>IF(Config!$G$9=0,0,IF(ABS(($A250-Config!$F$9)/Config!$G$9)&lt;=2,$D250,0))</f>
        <v/>
      </c>
      <c r="F250" s="6">
        <f>IF(Config!$G$9=0,0,IF(AND(ABS(($A250-Config!$F$9)/Config!$G$9)&gt;2,ABS(($A250-Config!$F$9)/Config!$G$9)&lt;=3),$D250,0))</f>
        <v/>
      </c>
      <c r="G250" s="6">
        <f>IF(Config!$G$9=0,0,IF(ABS(($A250-Config!$F$9)/Config!$G$9)&gt;3,$D250,0))</f>
        <v/>
      </c>
      <c r="H250" s="6">
        <f>IFERROR(NORM.DIST($A250,Config!$F$9,Config!$G$9,FALSE)*Config!$D$9*Config!$J$9,0)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IFERROR(NORM.DIST($A251,Config!$F$9,Config!$G$9,FALSE)*Config!$D$9*Config!$J$9,0)</f>
        <v/>
      </c>
    </row>
    <row r="252">
      <c r="A252" s="6">
        <f>Config!$K$9+26*Config!$J$9+Config!$J$9/2</f>
        <v/>
      </c>
      <c r="B252" s="6">
        <f>$A252-Config!$J$9/2</f>
        <v/>
      </c>
      <c r="C252" s="6">
        <f>$A252+Config!$J$9/2</f>
        <v/>
      </c>
      <c r="D252" s="6">
        <f>COUNTIFS(RawData!$C$2:$C$941,"LT",RawData!$N$2:$N$941,"&gt;="&amp;$B252,RawData!$N$2:$N$941,"&lt;"&amp;$C252,RawData!$N$2:$N$941,"&lt;&gt;0")</f>
        <v/>
      </c>
      <c r="E252" s="6">
        <f>IF(Config!$G$9=0,0,IF(ABS(($A252-Config!$F$9)/Config!$G$9)&lt;=2,$D252,0))</f>
        <v/>
      </c>
      <c r="F252" s="6">
        <f>IF(Config!$G$9=0,0,IF(AND(ABS(($A252-Config!$F$9)/Config!$G$9)&gt;2,ABS(($A252-Config!$F$9)/Config!$G$9)&lt;=3),$D252,0))</f>
        <v/>
      </c>
      <c r="G252" s="6">
        <f>IF(Config!$G$9=0,0,IF(ABS(($A252-Config!$F$9)/Config!$G$9)&gt;3,$D252,0))</f>
        <v/>
      </c>
      <c r="H252" s="6">
        <f>IFERROR(NORM.DIST($A252,Config!$F$9,Config!$G$9,FALSE)*Config!$D$9*Config!$J$9,0)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IFERROR(NORM.DIST($A253,Config!$F$9,Config!$G$9,FALSE)*Config!$D$9*Config!$J$9,0)</f>
        <v/>
      </c>
    </row>
    <row r="254">
      <c r="A254" s="6">
        <f>Config!$K$9+28*Config!$J$9+Config!$J$9/2</f>
        <v/>
      </c>
      <c r="B254" s="6">
        <f>$A254-Config!$J$9/2</f>
        <v/>
      </c>
      <c r="C254" s="6">
        <f>$A254+Config!$J$9/2</f>
        <v/>
      </c>
      <c r="D254" s="6">
        <f>COUNTIFS(RawData!$C$2:$C$941,"LT",RawData!$N$2:$N$941,"&gt;="&amp;$B254,RawData!$N$2:$N$941,"&lt;"&amp;$C254,RawData!$N$2:$N$941,"&lt;&gt;0")</f>
        <v/>
      </c>
      <c r="E254" s="6">
        <f>IF(Config!$G$9=0,0,IF(ABS(($A254-Config!$F$9)/Config!$G$9)&lt;=2,$D254,0))</f>
        <v/>
      </c>
      <c r="F254" s="6">
        <f>IF(Config!$G$9=0,0,IF(AND(ABS(($A254-Config!$F$9)/Config!$G$9)&gt;2,ABS(($A254-Config!$F$9)/Config!$G$9)&lt;=3),$D254,0))</f>
        <v/>
      </c>
      <c r="G254" s="6">
        <f>IF(Config!$G$9=0,0,IF(ABS(($A254-Config!$F$9)/Config!$G$9)&gt;3,$D254,0))</f>
        <v/>
      </c>
      <c r="H254" s="6">
        <f>IFERROR(NORM.DIST($A254,Config!$F$9,Config!$G$9,FALSE)*Config!$D$9*Config!$J$9,0)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IFERROR(NORM.DIST($A255,Config!$F$9,Config!$G$9,FALSE)*Config!$D$9*Config!$J$9,0)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Config!$K$10+0*Config!$J$10+Config!$J$10/2</f>
        <v/>
      </c>
      <c r="B258" s="6">
        <f>$A258-Config!$J$10/2</f>
        <v/>
      </c>
      <c r="C258" s="6">
        <f>$A258+Config!$J$10/2</f>
        <v/>
      </c>
      <c r="D258" s="6">
        <f>COUNTIFS(RawData!$C$2:$C$941,"LT",RawData!$O$2:$O$941,"&gt;="&amp;$B258,RawData!$O$2:$O$941,"&lt;"&amp;$C258,RawData!$O$2:$O$941,"&lt;&gt;0")</f>
        <v/>
      </c>
      <c r="E258" s="6">
        <f>IF(Config!$G$10=0,0,IF(ABS(($A258-Config!$F$10)/Config!$G$10)&lt;=2,$D258,0))</f>
        <v/>
      </c>
      <c r="F258" s="6">
        <f>IF(Config!$G$10=0,0,IF(AND(ABS(($A258-Config!$F$10)/Config!$G$10)&gt;2,ABS(($A258-Config!$F$10)/Config!$G$10)&lt;=3),$D258,0))</f>
        <v/>
      </c>
      <c r="G258" s="6">
        <f>IF(Config!$G$10=0,0,IF(ABS(($A258-Config!$F$10)/Config!$G$10)&gt;3,$D258,0))</f>
        <v/>
      </c>
      <c r="H258" s="6">
        <f>IFERROR(NORM.DIST($A258,Config!$F$10,Config!$G$10,FALSE)*Config!$D$10*Config!$J$10,0)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IFERROR(NORM.DIST($A259,Config!$F$10,Config!$G$10,FALSE)*Config!$D$10*Config!$J$10,0)</f>
        <v/>
      </c>
    </row>
    <row r="260">
      <c r="A260" s="6">
        <f>Config!$K$10+2*Config!$J$10+Config!$J$10/2</f>
        <v/>
      </c>
      <c r="B260" s="6">
        <f>$A260-Config!$J$10/2</f>
        <v/>
      </c>
      <c r="C260" s="6">
        <f>$A260+Config!$J$10/2</f>
        <v/>
      </c>
      <c r="D260" s="6">
        <f>COUNTIFS(RawData!$C$2:$C$941,"LT",RawData!$O$2:$O$941,"&gt;="&amp;$B260,RawData!$O$2:$O$941,"&lt;"&amp;$C260,RawData!$O$2:$O$941,"&lt;&gt;0")</f>
        <v/>
      </c>
      <c r="E260" s="6">
        <f>IF(Config!$G$10=0,0,IF(ABS(($A260-Config!$F$10)/Config!$G$10)&lt;=2,$D260,0))</f>
        <v/>
      </c>
      <c r="F260" s="6">
        <f>IF(Config!$G$10=0,0,IF(AND(ABS(($A260-Config!$F$10)/Config!$G$10)&gt;2,ABS(($A260-Config!$F$10)/Config!$G$10)&lt;=3),$D260,0))</f>
        <v/>
      </c>
      <c r="G260" s="6">
        <f>IF(Config!$G$10=0,0,IF(ABS(($A260-Config!$F$10)/Config!$G$10)&gt;3,$D260,0))</f>
        <v/>
      </c>
      <c r="H260" s="6">
        <f>IFERROR(NORM.DIST($A260,Config!$F$10,Config!$G$10,FALSE)*Config!$D$10*Config!$J$10,0)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IFERROR(NORM.DIST($A261,Config!$F$10,Config!$G$10,FALSE)*Config!$D$10*Config!$J$10,0)</f>
        <v/>
      </c>
    </row>
    <row r="262">
      <c r="A262" s="6">
        <f>Config!$K$10+4*Config!$J$10+Config!$J$10/2</f>
        <v/>
      </c>
      <c r="B262" s="6">
        <f>$A262-Config!$J$10/2</f>
        <v/>
      </c>
      <c r="C262" s="6">
        <f>$A262+Config!$J$10/2</f>
        <v/>
      </c>
      <c r="D262" s="6">
        <f>COUNTIFS(RawData!$C$2:$C$941,"LT",RawData!$O$2:$O$941,"&gt;="&amp;$B262,RawData!$O$2:$O$941,"&lt;"&amp;$C262,RawData!$O$2:$O$941,"&lt;&gt;0")</f>
        <v/>
      </c>
      <c r="E262" s="6">
        <f>IF(Config!$G$10=0,0,IF(ABS(($A262-Config!$F$10)/Config!$G$10)&lt;=2,$D262,0))</f>
        <v/>
      </c>
      <c r="F262" s="6">
        <f>IF(Config!$G$10=0,0,IF(AND(ABS(($A262-Config!$F$10)/Config!$G$10)&gt;2,ABS(($A262-Config!$F$10)/Config!$G$10)&lt;=3),$D262,0))</f>
        <v/>
      </c>
      <c r="G262" s="6">
        <f>IF(Config!$G$10=0,0,IF(ABS(($A262-Config!$F$10)/Config!$G$10)&gt;3,$D262,0))</f>
        <v/>
      </c>
      <c r="H262" s="6">
        <f>IFERROR(NORM.DIST($A262,Config!$F$10,Config!$G$10,FALSE)*Config!$D$10*Config!$J$10,0)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IFERROR(NORM.DIST($A263,Config!$F$10,Config!$G$10,FALSE)*Config!$D$10*Config!$J$10,0)</f>
        <v/>
      </c>
    </row>
    <row r="264">
      <c r="A264" s="6">
        <f>Config!$K$10+6*Config!$J$10+Config!$J$10/2</f>
        <v/>
      </c>
      <c r="B264" s="6">
        <f>$A264-Config!$J$10/2</f>
        <v/>
      </c>
      <c r="C264" s="6">
        <f>$A264+Config!$J$10/2</f>
        <v/>
      </c>
      <c r="D264" s="6">
        <f>COUNTIFS(RawData!$C$2:$C$941,"LT",RawData!$O$2:$O$941,"&gt;="&amp;$B264,RawData!$O$2:$O$941,"&lt;"&amp;$C264,RawData!$O$2:$O$941,"&lt;&gt;0")</f>
        <v/>
      </c>
      <c r="E264" s="6">
        <f>IF(Config!$G$10=0,0,IF(ABS(($A264-Config!$F$10)/Config!$G$10)&lt;=2,$D264,0))</f>
        <v/>
      </c>
      <c r="F264" s="6">
        <f>IF(Config!$G$10=0,0,IF(AND(ABS(($A264-Config!$F$10)/Config!$G$10)&gt;2,ABS(($A264-Config!$F$10)/Config!$G$10)&lt;=3),$D264,0))</f>
        <v/>
      </c>
      <c r="G264" s="6">
        <f>IF(Config!$G$10=0,0,IF(ABS(($A264-Config!$F$10)/Config!$G$10)&gt;3,$D264,0))</f>
        <v/>
      </c>
      <c r="H264" s="6">
        <f>IFERROR(NORM.DIST($A264,Config!$F$10,Config!$G$10,FALSE)*Config!$D$10*Config!$J$10,0)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IFERROR(NORM.DIST($A265,Config!$F$10,Config!$G$10,FALSE)*Config!$D$10*Config!$J$10,0)</f>
        <v/>
      </c>
    </row>
    <row r="266">
      <c r="A266" s="6">
        <f>Config!$K$10+8*Config!$J$10+Config!$J$10/2</f>
        <v/>
      </c>
      <c r="B266" s="6">
        <f>$A266-Config!$J$10/2</f>
        <v/>
      </c>
      <c r="C266" s="6">
        <f>$A266+Config!$J$10/2</f>
        <v/>
      </c>
      <c r="D266" s="6">
        <f>COUNTIFS(RawData!$C$2:$C$941,"LT",RawData!$O$2:$O$941,"&gt;="&amp;$B266,RawData!$O$2:$O$941,"&lt;"&amp;$C266,RawData!$O$2:$O$941,"&lt;&gt;0")</f>
        <v/>
      </c>
      <c r="E266" s="6">
        <f>IF(Config!$G$10=0,0,IF(ABS(($A266-Config!$F$10)/Config!$G$10)&lt;=2,$D266,0))</f>
        <v/>
      </c>
      <c r="F266" s="6">
        <f>IF(Config!$G$10=0,0,IF(AND(ABS(($A266-Config!$F$10)/Config!$G$10)&gt;2,ABS(($A266-Config!$F$10)/Config!$G$10)&lt;=3),$D266,0))</f>
        <v/>
      </c>
      <c r="G266" s="6">
        <f>IF(Config!$G$10=0,0,IF(ABS(($A266-Config!$F$10)/Config!$G$10)&gt;3,$D266,0))</f>
        <v/>
      </c>
      <c r="H266" s="6">
        <f>IFERROR(NORM.DIST($A266,Config!$F$10,Config!$G$10,FALSE)*Config!$D$10*Config!$J$10,0)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IFERROR(NORM.DIST($A267,Config!$F$10,Config!$G$10,FALSE)*Config!$D$10*Config!$J$10,0)</f>
        <v/>
      </c>
    </row>
    <row r="268">
      <c r="A268" s="6">
        <f>Config!$K$10+10*Config!$J$10+Config!$J$10/2</f>
        <v/>
      </c>
      <c r="B268" s="6">
        <f>$A268-Config!$J$10/2</f>
        <v/>
      </c>
      <c r="C268" s="6">
        <f>$A268+Config!$J$10/2</f>
        <v/>
      </c>
      <c r="D268" s="6">
        <f>COUNTIFS(RawData!$C$2:$C$941,"LT",RawData!$O$2:$O$941,"&gt;="&amp;$B268,RawData!$O$2:$O$941,"&lt;"&amp;$C268,RawData!$O$2:$O$941,"&lt;&gt;0")</f>
        <v/>
      </c>
      <c r="E268" s="6">
        <f>IF(Config!$G$10=0,0,IF(ABS(($A268-Config!$F$10)/Config!$G$10)&lt;=2,$D268,0))</f>
        <v/>
      </c>
      <c r="F268" s="6">
        <f>IF(Config!$G$10=0,0,IF(AND(ABS(($A268-Config!$F$10)/Config!$G$10)&gt;2,ABS(($A268-Config!$F$10)/Config!$G$10)&lt;=3),$D268,0))</f>
        <v/>
      </c>
      <c r="G268" s="6">
        <f>IF(Config!$G$10=0,0,IF(ABS(($A268-Config!$F$10)/Config!$G$10)&gt;3,$D268,0))</f>
        <v/>
      </c>
      <c r="H268" s="6">
        <f>IFERROR(NORM.DIST($A268,Config!$F$10,Config!$G$10,FALSE)*Config!$D$10*Config!$J$10,0)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IFERROR(NORM.DIST($A269,Config!$F$10,Config!$G$10,FALSE)*Config!$D$10*Config!$J$10,0)</f>
        <v/>
      </c>
    </row>
    <row r="270">
      <c r="A270" s="6">
        <f>Config!$K$10+12*Config!$J$10+Config!$J$10/2</f>
        <v/>
      </c>
      <c r="B270" s="6">
        <f>$A270-Config!$J$10/2</f>
        <v/>
      </c>
      <c r="C270" s="6">
        <f>$A270+Config!$J$10/2</f>
        <v/>
      </c>
      <c r="D270" s="6">
        <f>COUNTIFS(RawData!$C$2:$C$941,"LT",RawData!$O$2:$O$941,"&gt;="&amp;$B270,RawData!$O$2:$O$941,"&lt;"&amp;$C270,RawData!$O$2:$O$941,"&lt;&gt;0")</f>
        <v/>
      </c>
      <c r="E270" s="6">
        <f>IF(Config!$G$10=0,0,IF(ABS(($A270-Config!$F$10)/Config!$G$10)&lt;=2,$D270,0))</f>
        <v/>
      </c>
      <c r="F270" s="6">
        <f>IF(Config!$G$10=0,0,IF(AND(ABS(($A270-Config!$F$10)/Config!$G$10)&gt;2,ABS(($A270-Config!$F$10)/Config!$G$10)&lt;=3),$D270,0))</f>
        <v/>
      </c>
      <c r="G270" s="6">
        <f>IF(Config!$G$10=0,0,IF(ABS(($A270-Config!$F$10)/Config!$G$10)&gt;3,$D270,0))</f>
        <v/>
      </c>
      <c r="H270" s="6">
        <f>IFERROR(NORM.DIST($A270,Config!$F$10,Config!$G$10,FALSE)*Config!$D$10*Config!$J$10,0)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IFERROR(NORM.DIST($A271,Config!$F$10,Config!$G$10,FALSE)*Config!$D$10*Config!$J$10,0)</f>
        <v/>
      </c>
    </row>
    <row r="272">
      <c r="A272" s="6">
        <f>Config!$K$10+14*Config!$J$10+Config!$J$10/2</f>
        <v/>
      </c>
      <c r="B272" s="6">
        <f>$A272-Config!$J$10/2</f>
        <v/>
      </c>
      <c r="C272" s="6">
        <f>$A272+Config!$J$10/2</f>
        <v/>
      </c>
      <c r="D272" s="6">
        <f>COUNTIFS(RawData!$C$2:$C$941,"LT",RawData!$O$2:$O$941,"&gt;="&amp;$B272,RawData!$O$2:$O$941,"&lt;"&amp;$C272,RawData!$O$2:$O$941,"&lt;&gt;0")</f>
        <v/>
      </c>
      <c r="E272" s="6">
        <f>IF(Config!$G$10=0,0,IF(ABS(($A272-Config!$F$10)/Config!$G$10)&lt;=2,$D272,0))</f>
        <v/>
      </c>
      <c r="F272" s="6">
        <f>IF(Config!$G$10=0,0,IF(AND(ABS(($A272-Config!$F$10)/Config!$G$10)&gt;2,ABS(($A272-Config!$F$10)/Config!$G$10)&lt;=3),$D272,0))</f>
        <v/>
      </c>
      <c r="G272" s="6">
        <f>IF(Config!$G$10=0,0,IF(ABS(($A272-Config!$F$10)/Config!$G$10)&gt;3,$D272,0))</f>
        <v/>
      </c>
      <c r="H272" s="6">
        <f>IFERROR(NORM.DIST($A272,Config!$F$10,Config!$G$10,FALSE)*Config!$D$10*Config!$J$10,0)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IFERROR(NORM.DIST($A273,Config!$F$10,Config!$G$10,FALSE)*Config!$D$10*Config!$J$10,0)</f>
        <v/>
      </c>
    </row>
    <row r="274">
      <c r="A274" s="6">
        <f>Config!$K$10+16*Config!$J$10+Config!$J$10/2</f>
        <v/>
      </c>
      <c r="B274" s="6">
        <f>$A274-Config!$J$10/2</f>
        <v/>
      </c>
      <c r="C274" s="6">
        <f>$A274+Config!$J$10/2</f>
        <v/>
      </c>
      <c r="D274" s="6">
        <f>COUNTIFS(RawData!$C$2:$C$941,"LT",RawData!$O$2:$O$941,"&gt;="&amp;$B274,RawData!$O$2:$O$941,"&lt;"&amp;$C274,RawData!$O$2:$O$941,"&lt;&gt;0")</f>
        <v/>
      </c>
      <c r="E274" s="6">
        <f>IF(Config!$G$10=0,0,IF(ABS(($A274-Config!$F$10)/Config!$G$10)&lt;=2,$D274,0))</f>
        <v/>
      </c>
      <c r="F274" s="6">
        <f>IF(Config!$G$10=0,0,IF(AND(ABS(($A274-Config!$F$10)/Config!$G$10)&gt;2,ABS(($A274-Config!$F$10)/Config!$G$10)&lt;=3),$D274,0))</f>
        <v/>
      </c>
      <c r="G274" s="6">
        <f>IF(Config!$G$10=0,0,IF(ABS(($A274-Config!$F$10)/Config!$G$10)&gt;3,$D274,0))</f>
        <v/>
      </c>
      <c r="H274" s="6">
        <f>IFERROR(NORM.DIST($A274,Config!$F$10,Config!$G$10,FALSE)*Config!$D$10*Config!$J$10,0)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IFERROR(NORM.DIST($A275,Config!$F$10,Config!$G$10,FALSE)*Config!$D$10*Config!$J$10,0)</f>
        <v/>
      </c>
    </row>
    <row r="276">
      <c r="A276" s="6">
        <f>Config!$K$10+18*Config!$J$10+Config!$J$10/2</f>
        <v/>
      </c>
      <c r="B276" s="6">
        <f>$A276-Config!$J$10/2</f>
        <v/>
      </c>
      <c r="C276" s="6">
        <f>$A276+Config!$J$10/2</f>
        <v/>
      </c>
      <c r="D276" s="6">
        <f>COUNTIFS(RawData!$C$2:$C$941,"LT",RawData!$O$2:$O$941,"&gt;="&amp;$B276,RawData!$O$2:$O$941,"&lt;"&amp;$C276,RawData!$O$2:$O$941,"&lt;&gt;0")</f>
        <v/>
      </c>
      <c r="E276" s="6">
        <f>IF(Config!$G$10=0,0,IF(ABS(($A276-Config!$F$10)/Config!$G$10)&lt;=2,$D276,0))</f>
        <v/>
      </c>
      <c r="F276" s="6">
        <f>IF(Config!$G$10=0,0,IF(AND(ABS(($A276-Config!$F$10)/Config!$G$10)&gt;2,ABS(($A276-Config!$F$10)/Config!$G$10)&lt;=3),$D276,0))</f>
        <v/>
      </c>
      <c r="G276" s="6">
        <f>IF(Config!$G$10=0,0,IF(ABS(($A276-Config!$F$10)/Config!$G$10)&gt;3,$D276,0))</f>
        <v/>
      </c>
      <c r="H276" s="6">
        <f>IFERROR(NORM.DIST($A276,Config!$F$10,Config!$G$10,FALSE)*Config!$D$10*Config!$J$10,0)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IFERROR(NORM.DIST($A277,Config!$F$10,Config!$G$10,FALSE)*Config!$D$10*Config!$J$10,0)</f>
        <v/>
      </c>
    </row>
    <row r="278">
      <c r="A278" s="6">
        <f>Config!$K$10+20*Config!$J$10+Config!$J$10/2</f>
        <v/>
      </c>
      <c r="B278" s="6">
        <f>$A278-Config!$J$10/2</f>
        <v/>
      </c>
      <c r="C278" s="6">
        <f>$A278+Config!$J$10/2</f>
        <v/>
      </c>
      <c r="D278" s="6">
        <f>COUNTIFS(RawData!$C$2:$C$941,"LT",RawData!$O$2:$O$941,"&gt;="&amp;$B278,RawData!$O$2:$O$941,"&lt;"&amp;$C278,RawData!$O$2:$O$941,"&lt;&gt;0")</f>
        <v/>
      </c>
      <c r="E278" s="6">
        <f>IF(Config!$G$10=0,0,IF(ABS(($A278-Config!$F$10)/Config!$G$10)&lt;=2,$D278,0))</f>
        <v/>
      </c>
      <c r="F278" s="6">
        <f>IF(Config!$G$10=0,0,IF(AND(ABS(($A278-Config!$F$10)/Config!$G$10)&gt;2,ABS(($A278-Config!$F$10)/Config!$G$10)&lt;=3),$D278,0))</f>
        <v/>
      </c>
      <c r="G278" s="6">
        <f>IF(Config!$G$10=0,0,IF(ABS(($A278-Config!$F$10)/Config!$G$10)&gt;3,$D278,0))</f>
        <v/>
      </c>
      <c r="H278" s="6">
        <f>IFERROR(NORM.DIST($A278,Config!$F$10,Config!$G$10,FALSE)*Config!$D$10*Config!$J$10,0)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IFERROR(NORM.DIST($A279,Config!$F$10,Config!$G$10,FALSE)*Config!$D$10*Config!$J$10,0)</f>
        <v/>
      </c>
    </row>
    <row r="280">
      <c r="A280" s="6">
        <f>Config!$K$10+22*Config!$J$10+Config!$J$10/2</f>
        <v/>
      </c>
      <c r="B280" s="6">
        <f>$A280-Config!$J$10/2</f>
        <v/>
      </c>
      <c r="C280" s="6">
        <f>$A280+Config!$J$10/2</f>
        <v/>
      </c>
      <c r="D280" s="6">
        <f>COUNTIFS(RawData!$C$2:$C$941,"LT",RawData!$O$2:$O$941,"&gt;="&amp;$B280,RawData!$O$2:$O$941,"&lt;"&amp;$C280,RawData!$O$2:$O$941,"&lt;&gt;0")</f>
        <v/>
      </c>
      <c r="E280" s="6">
        <f>IF(Config!$G$10=0,0,IF(ABS(($A280-Config!$F$10)/Config!$G$10)&lt;=2,$D280,0))</f>
        <v/>
      </c>
      <c r="F280" s="6">
        <f>IF(Config!$G$10=0,0,IF(AND(ABS(($A280-Config!$F$10)/Config!$G$10)&gt;2,ABS(($A280-Config!$F$10)/Config!$G$10)&lt;=3),$D280,0))</f>
        <v/>
      </c>
      <c r="G280" s="6">
        <f>IF(Config!$G$10=0,0,IF(ABS(($A280-Config!$F$10)/Config!$G$10)&gt;3,$D280,0))</f>
        <v/>
      </c>
      <c r="H280" s="6">
        <f>IFERROR(NORM.DIST($A280,Config!$F$10,Config!$G$10,FALSE)*Config!$D$10*Config!$J$10,0)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IFERROR(NORM.DIST($A281,Config!$F$10,Config!$G$10,FALSE)*Config!$D$10*Config!$J$10,0)</f>
        <v/>
      </c>
    </row>
    <row r="282">
      <c r="A282" s="6">
        <f>Config!$K$10+24*Config!$J$10+Config!$J$10/2</f>
        <v/>
      </c>
      <c r="B282" s="6">
        <f>$A282-Config!$J$10/2</f>
        <v/>
      </c>
      <c r="C282" s="6">
        <f>$A282+Config!$J$10/2</f>
        <v/>
      </c>
      <c r="D282" s="6">
        <f>COUNTIFS(RawData!$C$2:$C$941,"LT",RawData!$O$2:$O$941,"&gt;="&amp;$B282,RawData!$O$2:$O$941,"&lt;"&amp;$C282,RawData!$O$2:$O$941,"&lt;&gt;0")</f>
        <v/>
      </c>
      <c r="E282" s="6">
        <f>IF(Config!$G$10=0,0,IF(ABS(($A282-Config!$F$10)/Config!$G$10)&lt;=2,$D282,0))</f>
        <v/>
      </c>
      <c r="F282" s="6">
        <f>IF(Config!$G$10=0,0,IF(AND(ABS(($A282-Config!$F$10)/Config!$G$10)&gt;2,ABS(($A282-Config!$F$10)/Config!$G$10)&lt;=3),$D282,0))</f>
        <v/>
      </c>
      <c r="G282" s="6">
        <f>IF(Config!$G$10=0,0,IF(ABS(($A282-Config!$F$10)/Config!$G$10)&gt;3,$D282,0))</f>
        <v/>
      </c>
      <c r="H282" s="6">
        <f>IFERROR(NORM.DIST($A282,Config!$F$10,Config!$G$10,FALSE)*Config!$D$10*Config!$J$10,0)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IFERROR(NORM.DIST($A283,Config!$F$10,Config!$G$10,FALSE)*Config!$D$10*Config!$J$10,0)</f>
        <v/>
      </c>
    </row>
    <row r="284">
      <c r="A284" s="6">
        <f>Config!$K$10+26*Config!$J$10+Config!$J$10/2</f>
        <v/>
      </c>
      <c r="B284" s="6">
        <f>$A284-Config!$J$10/2</f>
        <v/>
      </c>
      <c r="C284" s="6">
        <f>$A284+Config!$J$10/2</f>
        <v/>
      </c>
      <c r="D284" s="6">
        <f>COUNTIFS(RawData!$C$2:$C$941,"LT",RawData!$O$2:$O$941,"&gt;="&amp;$B284,RawData!$O$2:$O$941,"&lt;"&amp;$C284,RawData!$O$2:$O$941,"&lt;&gt;0")</f>
        <v/>
      </c>
      <c r="E284" s="6">
        <f>IF(Config!$G$10=0,0,IF(ABS(($A284-Config!$F$10)/Config!$G$10)&lt;=2,$D284,0))</f>
        <v/>
      </c>
      <c r="F284" s="6">
        <f>IF(Config!$G$10=0,0,IF(AND(ABS(($A284-Config!$F$10)/Config!$G$10)&gt;2,ABS(($A284-Config!$F$10)/Config!$G$10)&lt;=3),$D284,0))</f>
        <v/>
      </c>
      <c r="G284" s="6">
        <f>IF(Config!$G$10=0,0,IF(ABS(($A284-Config!$F$10)/Config!$G$10)&gt;3,$D284,0))</f>
        <v/>
      </c>
      <c r="H284" s="6">
        <f>IFERROR(NORM.DIST($A284,Config!$F$10,Config!$G$10,FALSE)*Config!$D$10*Config!$J$10,0)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IFERROR(NORM.DIST($A285,Config!$F$10,Config!$G$10,FALSE)*Config!$D$10*Config!$J$10,0)</f>
        <v/>
      </c>
    </row>
    <row r="286">
      <c r="A286" s="6">
        <f>Config!$K$10+28*Config!$J$10+Config!$J$10/2</f>
        <v/>
      </c>
      <c r="B286" s="6">
        <f>$A286-Config!$J$10/2</f>
        <v/>
      </c>
      <c r="C286" s="6">
        <f>$A286+Config!$J$10/2</f>
        <v/>
      </c>
      <c r="D286" s="6">
        <f>COUNTIFS(RawData!$C$2:$C$941,"LT",RawData!$O$2:$O$941,"&gt;="&amp;$B286,RawData!$O$2:$O$941,"&lt;"&amp;$C286,RawData!$O$2:$O$941,"&lt;&gt;0")</f>
        <v/>
      </c>
      <c r="E286" s="6">
        <f>IF(Config!$G$10=0,0,IF(ABS(($A286-Config!$F$10)/Config!$G$10)&lt;=2,$D286,0))</f>
        <v/>
      </c>
      <c r="F286" s="6">
        <f>IF(Config!$G$10=0,0,IF(AND(ABS(($A286-Config!$F$10)/Config!$G$10)&gt;2,ABS(($A286-Config!$F$10)/Config!$G$10)&lt;=3),$D286,0))</f>
        <v/>
      </c>
      <c r="G286" s="6">
        <f>IF(Config!$G$10=0,0,IF(ABS(($A286-Config!$F$10)/Config!$G$10)&gt;3,$D286,0))</f>
        <v/>
      </c>
      <c r="H286" s="6">
        <f>IFERROR(NORM.DIST($A286,Config!$F$10,Config!$G$10,FALSE)*Config!$D$10*Config!$J$10,0)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IFERROR(NORM.DIST($A287,Config!$F$10,Config!$G$10,FALSE)*Config!$D$10*Config!$J$10,0)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Config!$K$11+0*Config!$J$11+Config!$J$11/2</f>
        <v/>
      </c>
      <c r="B290" s="6">
        <f>$A290-Config!$J$11/2</f>
        <v/>
      </c>
      <c r="C290" s="6">
        <f>$A290+Config!$J$11/2</f>
        <v/>
      </c>
      <c r="D290" s="6">
        <f>COUNTIFS(RawData!$C$2:$C$941,"LT",RawData!$P$2:$P$941,"&gt;="&amp;$B290,RawData!$P$2:$P$941,"&lt;"&amp;$C290,RawData!$P$2:$P$941,"&lt;&gt;0")</f>
        <v/>
      </c>
      <c r="E290" s="6">
        <f>IF(Config!$G$11=0,0,IF(ABS(($A290-Config!$F$11)/Config!$G$11)&lt;=2,$D290,0))</f>
        <v/>
      </c>
      <c r="F290" s="6">
        <f>IF(Config!$G$11=0,0,IF(AND(ABS(($A290-Config!$F$11)/Config!$G$11)&gt;2,ABS(($A290-Config!$F$11)/Config!$G$11)&lt;=3),$D290,0))</f>
        <v/>
      </c>
      <c r="G290" s="6">
        <f>IF(Config!$G$11=0,0,IF(ABS(($A290-Config!$F$11)/Config!$G$11)&gt;3,$D290,0))</f>
        <v/>
      </c>
      <c r="H290" s="6">
        <f>IFERROR(NORM.DIST($A290,Config!$F$11,Config!$G$11,FALSE)*Config!$D$11*Config!$J$11,0)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IFERROR(NORM.DIST($A291,Config!$F$11,Config!$G$11,FALSE)*Config!$D$11*Config!$J$11,0)</f>
        <v/>
      </c>
    </row>
    <row r="292">
      <c r="A292" s="6">
        <f>Config!$K$11+2*Config!$J$11+Config!$J$11/2</f>
        <v/>
      </c>
      <c r="B292" s="6">
        <f>$A292-Config!$J$11/2</f>
        <v/>
      </c>
      <c r="C292" s="6">
        <f>$A292+Config!$J$11/2</f>
        <v/>
      </c>
      <c r="D292" s="6">
        <f>COUNTIFS(RawData!$C$2:$C$941,"LT",RawData!$P$2:$P$941,"&gt;="&amp;$B292,RawData!$P$2:$P$941,"&lt;"&amp;$C292,RawData!$P$2:$P$941,"&lt;&gt;0")</f>
        <v/>
      </c>
      <c r="E292" s="6">
        <f>IF(Config!$G$11=0,0,IF(ABS(($A292-Config!$F$11)/Config!$G$11)&lt;=2,$D292,0))</f>
        <v/>
      </c>
      <c r="F292" s="6">
        <f>IF(Config!$G$11=0,0,IF(AND(ABS(($A292-Config!$F$11)/Config!$G$11)&gt;2,ABS(($A292-Config!$F$11)/Config!$G$11)&lt;=3),$D292,0))</f>
        <v/>
      </c>
      <c r="G292" s="6">
        <f>IF(Config!$G$11=0,0,IF(ABS(($A292-Config!$F$11)/Config!$G$11)&gt;3,$D292,0))</f>
        <v/>
      </c>
      <c r="H292" s="6">
        <f>IFERROR(NORM.DIST($A292,Config!$F$11,Config!$G$11,FALSE)*Config!$D$11*Config!$J$11,0)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IFERROR(NORM.DIST($A293,Config!$F$11,Config!$G$11,FALSE)*Config!$D$11*Config!$J$11,0)</f>
        <v/>
      </c>
    </row>
    <row r="294">
      <c r="A294" s="6">
        <f>Config!$K$11+4*Config!$J$11+Config!$J$11/2</f>
        <v/>
      </c>
      <c r="B294" s="6">
        <f>$A294-Config!$J$11/2</f>
        <v/>
      </c>
      <c r="C294" s="6">
        <f>$A294+Config!$J$11/2</f>
        <v/>
      </c>
      <c r="D294" s="6">
        <f>COUNTIFS(RawData!$C$2:$C$941,"LT",RawData!$P$2:$P$941,"&gt;="&amp;$B294,RawData!$P$2:$P$941,"&lt;"&amp;$C294,RawData!$P$2:$P$941,"&lt;&gt;0")</f>
        <v/>
      </c>
      <c r="E294" s="6">
        <f>IF(Config!$G$11=0,0,IF(ABS(($A294-Config!$F$11)/Config!$G$11)&lt;=2,$D294,0))</f>
        <v/>
      </c>
      <c r="F294" s="6">
        <f>IF(Config!$G$11=0,0,IF(AND(ABS(($A294-Config!$F$11)/Config!$G$11)&gt;2,ABS(($A294-Config!$F$11)/Config!$G$11)&lt;=3),$D294,0))</f>
        <v/>
      </c>
      <c r="G294" s="6">
        <f>IF(Config!$G$11=0,0,IF(ABS(($A294-Config!$F$11)/Config!$G$11)&gt;3,$D294,0))</f>
        <v/>
      </c>
      <c r="H294" s="6">
        <f>IFERROR(NORM.DIST($A294,Config!$F$11,Config!$G$11,FALSE)*Config!$D$11*Config!$J$11,0)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IFERROR(NORM.DIST($A295,Config!$F$11,Config!$G$11,FALSE)*Config!$D$11*Config!$J$11,0)</f>
        <v/>
      </c>
    </row>
    <row r="296">
      <c r="A296" s="6">
        <f>Config!$K$11+6*Config!$J$11+Config!$J$11/2</f>
        <v/>
      </c>
      <c r="B296" s="6">
        <f>$A296-Config!$J$11/2</f>
        <v/>
      </c>
      <c r="C296" s="6">
        <f>$A296+Config!$J$11/2</f>
        <v/>
      </c>
      <c r="D296" s="6">
        <f>COUNTIFS(RawData!$C$2:$C$941,"LT",RawData!$P$2:$P$941,"&gt;="&amp;$B296,RawData!$P$2:$P$941,"&lt;"&amp;$C296,RawData!$P$2:$P$941,"&lt;&gt;0")</f>
        <v/>
      </c>
      <c r="E296" s="6">
        <f>IF(Config!$G$11=0,0,IF(ABS(($A296-Config!$F$11)/Config!$G$11)&lt;=2,$D296,0))</f>
        <v/>
      </c>
      <c r="F296" s="6">
        <f>IF(Config!$G$11=0,0,IF(AND(ABS(($A296-Config!$F$11)/Config!$G$11)&gt;2,ABS(($A296-Config!$F$11)/Config!$G$11)&lt;=3),$D296,0))</f>
        <v/>
      </c>
      <c r="G296" s="6">
        <f>IF(Config!$G$11=0,0,IF(ABS(($A296-Config!$F$11)/Config!$G$11)&gt;3,$D296,0))</f>
        <v/>
      </c>
      <c r="H296" s="6">
        <f>IFERROR(NORM.DIST($A296,Config!$F$11,Config!$G$11,FALSE)*Config!$D$11*Config!$J$11,0)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IFERROR(NORM.DIST($A297,Config!$F$11,Config!$G$11,FALSE)*Config!$D$11*Config!$J$11,0)</f>
        <v/>
      </c>
    </row>
    <row r="298">
      <c r="A298" s="6">
        <f>Config!$K$11+8*Config!$J$11+Config!$J$11/2</f>
        <v/>
      </c>
      <c r="B298" s="6">
        <f>$A298-Config!$J$11/2</f>
        <v/>
      </c>
      <c r="C298" s="6">
        <f>$A298+Config!$J$11/2</f>
        <v/>
      </c>
      <c r="D298" s="6">
        <f>COUNTIFS(RawData!$C$2:$C$941,"LT",RawData!$P$2:$P$941,"&gt;="&amp;$B298,RawData!$P$2:$P$941,"&lt;"&amp;$C298,RawData!$P$2:$P$941,"&lt;&gt;0")</f>
        <v/>
      </c>
      <c r="E298" s="6">
        <f>IF(Config!$G$11=0,0,IF(ABS(($A298-Config!$F$11)/Config!$G$11)&lt;=2,$D298,0))</f>
        <v/>
      </c>
      <c r="F298" s="6">
        <f>IF(Config!$G$11=0,0,IF(AND(ABS(($A298-Config!$F$11)/Config!$G$11)&gt;2,ABS(($A298-Config!$F$11)/Config!$G$11)&lt;=3),$D298,0))</f>
        <v/>
      </c>
      <c r="G298" s="6">
        <f>IF(Config!$G$11=0,0,IF(ABS(($A298-Config!$F$11)/Config!$G$11)&gt;3,$D298,0))</f>
        <v/>
      </c>
      <c r="H298" s="6">
        <f>IFERROR(NORM.DIST($A298,Config!$F$11,Config!$G$11,FALSE)*Config!$D$11*Config!$J$11,0)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IFERROR(NORM.DIST($A299,Config!$F$11,Config!$G$11,FALSE)*Config!$D$11*Config!$J$11,0)</f>
        <v/>
      </c>
    </row>
    <row r="300">
      <c r="A300" s="6">
        <f>Config!$K$11+10*Config!$J$11+Config!$J$11/2</f>
        <v/>
      </c>
      <c r="B300" s="6">
        <f>$A300-Config!$J$11/2</f>
        <v/>
      </c>
      <c r="C300" s="6">
        <f>$A300+Config!$J$11/2</f>
        <v/>
      </c>
      <c r="D300" s="6">
        <f>COUNTIFS(RawData!$C$2:$C$941,"LT",RawData!$P$2:$P$941,"&gt;="&amp;$B300,RawData!$P$2:$P$941,"&lt;"&amp;$C300,RawData!$P$2:$P$941,"&lt;&gt;0")</f>
        <v/>
      </c>
      <c r="E300" s="6">
        <f>IF(Config!$G$11=0,0,IF(ABS(($A300-Config!$F$11)/Config!$G$11)&lt;=2,$D300,0))</f>
        <v/>
      </c>
      <c r="F300" s="6">
        <f>IF(Config!$G$11=0,0,IF(AND(ABS(($A300-Config!$F$11)/Config!$G$11)&gt;2,ABS(($A300-Config!$F$11)/Config!$G$11)&lt;=3),$D300,0))</f>
        <v/>
      </c>
      <c r="G300" s="6">
        <f>IF(Config!$G$11=0,0,IF(ABS(($A300-Config!$F$11)/Config!$G$11)&gt;3,$D300,0))</f>
        <v/>
      </c>
      <c r="H300" s="6">
        <f>IFERROR(NORM.DIST($A300,Config!$F$11,Config!$G$11,FALSE)*Config!$D$11*Config!$J$11,0)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IFERROR(NORM.DIST($A301,Config!$F$11,Config!$G$11,FALSE)*Config!$D$11*Config!$J$11,0)</f>
        <v/>
      </c>
    </row>
    <row r="302">
      <c r="A302" s="6">
        <f>Config!$K$11+12*Config!$J$11+Config!$J$11/2</f>
        <v/>
      </c>
      <c r="B302" s="6">
        <f>$A302-Config!$J$11/2</f>
        <v/>
      </c>
      <c r="C302" s="6">
        <f>$A302+Config!$J$11/2</f>
        <v/>
      </c>
      <c r="D302" s="6">
        <f>COUNTIFS(RawData!$C$2:$C$941,"LT",RawData!$P$2:$P$941,"&gt;="&amp;$B302,RawData!$P$2:$P$941,"&lt;"&amp;$C302,RawData!$P$2:$P$941,"&lt;&gt;0")</f>
        <v/>
      </c>
      <c r="E302" s="6">
        <f>IF(Config!$G$11=0,0,IF(ABS(($A302-Config!$F$11)/Config!$G$11)&lt;=2,$D302,0))</f>
        <v/>
      </c>
      <c r="F302" s="6">
        <f>IF(Config!$G$11=0,0,IF(AND(ABS(($A302-Config!$F$11)/Config!$G$11)&gt;2,ABS(($A302-Config!$F$11)/Config!$G$11)&lt;=3),$D302,0))</f>
        <v/>
      </c>
      <c r="G302" s="6">
        <f>IF(Config!$G$11=0,0,IF(ABS(($A302-Config!$F$11)/Config!$G$11)&gt;3,$D302,0))</f>
        <v/>
      </c>
      <c r="H302" s="6">
        <f>IFERROR(NORM.DIST($A302,Config!$F$11,Config!$G$11,FALSE)*Config!$D$11*Config!$J$11,0)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IFERROR(NORM.DIST($A303,Config!$F$11,Config!$G$11,FALSE)*Config!$D$11*Config!$J$11,0)</f>
        <v/>
      </c>
    </row>
    <row r="304">
      <c r="A304" s="6">
        <f>Config!$K$11+14*Config!$J$11+Config!$J$11/2</f>
        <v/>
      </c>
      <c r="B304" s="6">
        <f>$A304-Config!$J$11/2</f>
        <v/>
      </c>
      <c r="C304" s="6">
        <f>$A304+Config!$J$11/2</f>
        <v/>
      </c>
      <c r="D304" s="6">
        <f>COUNTIFS(RawData!$C$2:$C$941,"LT",RawData!$P$2:$P$941,"&gt;="&amp;$B304,RawData!$P$2:$P$941,"&lt;"&amp;$C304,RawData!$P$2:$P$941,"&lt;&gt;0")</f>
        <v/>
      </c>
      <c r="E304" s="6">
        <f>IF(Config!$G$11=0,0,IF(ABS(($A304-Config!$F$11)/Config!$G$11)&lt;=2,$D304,0))</f>
        <v/>
      </c>
      <c r="F304" s="6">
        <f>IF(Config!$G$11=0,0,IF(AND(ABS(($A304-Config!$F$11)/Config!$G$11)&gt;2,ABS(($A304-Config!$F$11)/Config!$G$11)&lt;=3),$D304,0))</f>
        <v/>
      </c>
      <c r="G304" s="6">
        <f>IF(Config!$G$11=0,0,IF(ABS(($A304-Config!$F$11)/Config!$G$11)&gt;3,$D304,0))</f>
        <v/>
      </c>
      <c r="H304" s="6">
        <f>IFERROR(NORM.DIST($A304,Config!$F$11,Config!$G$11,FALSE)*Config!$D$11*Config!$J$11,0)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IFERROR(NORM.DIST($A305,Config!$F$11,Config!$G$11,FALSE)*Config!$D$11*Config!$J$11,0)</f>
        <v/>
      </c>
    </row>
    <row r="306">
      <c r="A306" s="6">
        <f>Config!$K$11+16*Config!$J$11+Config!$J$11/2</f>
        <v/>
      </c>
      <c r="B306" s="6">
        <f>$A306-Config!$J$11/2</f>
        <v/>
      </c>
      <c r="C306" s="6">
        <f>$A306+Config!$J$11/2</f>
        <v/>
      </c>
      <c r="D306" s="6">
        <f>COUNTIFS(RawData!$C$2:$C$941,"LT",RawData!$P$2:$P$941,"&gt;="&amp;$B306,RawData!$P$2:$P$941,"&lt;"&amp;$C306,RawData!$P$2:$P$941,"&lt;&gt;0")</f>
        <v/>
      </c>
      <c r="E306" s="6">
        <f>IF(Config!$G$11=0,0,IF(ABS(($A306-Config!$F$11)/Config!$G$11)&lt;=2,$D306,0))</f>
        <v/>
      </c>
      <c r="F306" s="6">
        <f>IF(Config!$G$11=0,0,IF(AND(ABS(($A306-Config!$F$11)/Config!$G$11)&gt;2,ABS(($A306-Config!$F$11)/Config!$G$11)&lt;=3),$D306,0))</f>
        <v/>
      </c>
      <c r="G306" s="6">
        <f>IF(Config!$G$11=0,0,IF(ABS(($A306-Config!$F$11)/Config!$G$11)&gt;3,$D306,0))</f>
        <v/>
      </c>
      <c r="H306" s="6">
        <f>IFERROR(NORM.DIST($A306,Config!$F$11,Config!$G$11,FALSE)*Config!$D$11*Config!$J$11,0)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IFERROR(NORM.DIST($A307,Config!$F$11,Config!$G$11,FALSE)*Config!$D$11*Config!$J$11,0)</f>
        <v/>
      </c>
    </row>
    <row r="308">
      <c r="A308" s="6">
        <f>Config!$K$11+18*Config!$J$11+Config!$J$11/2</f>
        <v/>
      </c>
      <c r="B308" s="6">
        <f>$A308-Config!$J$11/2</f>
        <v/>
      </c>
      <c r="C308" s="6">
        <f>$A308+Config!$J$11/2</f>
        <v/>
      </c>
      <c r="D308" s="6">
        <f>COUNTIFS(RawData!$C$2:$C$941,"LT",RawData!$P$2:$P$941,"&gt;="&amp;$B308,RawData!$P$2:$P$941,"&lt;"&amp;$C308,RawData!$P$2:$P$941,"&lt;&gt;0")</f>
        <v/>
      </c>
      <c r="E308" s="6">
        <f>IF(Config!$G$11=0,0,IF(ABS(($A308-Config!$F$11)/Config!$G$11)&lt;=2,$D308,0))</f>
        <v/>
      </c>
      <c r="F308" s="6">
        <f>IF(Config!$G$11=0,0,IF(AND(ABS(($A308-Config!$F$11)/Config!$G$11)&gt;2,ABS(($A308-Config!$F$11)/Config!$G$11)&lt;=3),$D308,0))</f>
        <v/>
      </c>
      <c r="G308" s="6">
        <f>IF(Config!$G$11=0,0,IF(ABS(($A308-Config!$F$11)/Config!$G$11)&gt;3,$D308,0))</f>
        <v/>
      </c>
      <c r="H308" s="6">
        <f>IFERROR(NORM.DIST($A308,Config!$F$11,Config!$G$11,FALSE)*Config!$D$11*Config!$J$11,0)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IFERROR(NORM.DIST($A309,Config!$F$11,Config!$G$11,FALSE)*Config!$D$11*Config!$J$11,0)</f>
        <v/>
      </c>
    </row>
    <row r="310">
      <c r="A310" s="6">
        <f>Config!$K$11+20*Config!$J$11+Config!$J$11/2</f>
        <v/>
      </c>
      <c r="B310" s="6">
        <f>$A310-Config!$J$11/2</f>
        <v/>
      </c>
      <c r="C310" s="6">
        <f>$A310+Config!$J$11/2</f>
        <v/>
      </c>
      <c r="D310" s="6">
        <f>COUNTIFS(RawData!$C$2:$C$941,"LT",RawData!$P$2:$P$941,"&gt;="&amp;$B310,RawData!$P$2:$P$941,"&lt;"&amp;$C310,RawData!$P$2:$P$941,"&lt;&gt;0")</f>
        <v/>
      </c>
      <c r="E310" s="6">
        <f>IF(Config!$G$11=0,0,IF(ABS(($A310-Config!$F$11)/Config!$G$11)&lt;=2,$D310,0))</f>
        <v/>
      </c>
      <c r="F310" s="6">
        <f>IF(Config!$G$11=0,0,IF(AND(ABS(($A310-Config!$F$11)/Config!$G$11)&gt;2,ABS(($A310-Config!$F$11)/Config!$G$11)&lt;=3),$D310,0))</f>
        <v/>
      </c>
      <c r="G310" s="6">
        <f>IF(Config!$G$11=0,0,IF(ABS(($A310-Config!$F$11)/Config!$G$11)&gt;3,$D310,0))</f>
        <v/>
      </c>
      <c r="H310" s="6">
        <f>IFERROR(NORM.DIST($A310,Config!$F$11,Config!$G$11,FALSE)*Config!$D$11*Config!$J$11,0)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IFERROR(NORM.DIST($A311,Config!$F$11,Config!$G$11,FALSE)*Config!$D$11*Config!$J$11,0)</f>
        <v/>
      </c>
    </row>
    <row r="312">
      <c r="A312" s="6">
        <f>Config!$K$11+22*Config!$J$11+Config!$J$11/2</f>
        <v/>
      </c>
      <c r="B312" s="6">
        <f>$A312-Config!$J$11/2</f>
        <v/>
      </c>
      <c r="C312" s="6">
        <f>$A312+Config!$J$11/2</f>
        <v/>
      </c>
      <c r="D312" s="6">
        <f>COUNTIFS(RawData!$C$2:$C$941,"LT",RawData!$P$2:$P$941,"&gt;="&amp;$B312,RawData!$P$2:$P$941,"&lt;"&amp;$C312,RawData!$P$2:$P$941,"&lt;&gt;0")</f>
        <v/>
      </c>
      <c r="E312" s="6">
        <f>IF(Config!$G$11=0,0,IF(ABS(($A312-Config!$F$11)/Config!$G$11)&lt;=2,$D312,0))</f>
        <v/>
      </c>
      <c r="F312" s="6">
        <f>IF(Config!$G$11=0,0,IF(AND(ABS(($A312-Config!$F$11)/Config!$G$11)&gt;2,ABS(($A312-Config!$F$11)/Config!$G$11)&lt;=3),$D312,0))</f>
        <v/>
      </c>
      <c r="G312" s="6">
        <f>IF(Config!$G$11=0,0,IF(ABS(($A312-Config!$F$11)/Config!$G$11)&gt;3,$D312,0))</f>
        <v/>
      </c>
      <c r="H312" s="6">
        <f>IFERROR(NORM.DIST($A312,Config!$F$11,Config!$G$11,FALSE)*Config!$D$11*Config!$J$11,0)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IFERROR(NORM.DIST($A313,Config!$F$11,Config!$G$11,FALSE)*Config!$D$11*Config!$J$11,0)</f>
        <v/>
      </c>
    </row>
    <row r="314">
      <c r="A314" s="6">
        <f>Config!$K$11+24*Config!$J$11+Config!$J$11/2</f>
        <v/>
      </c>
      <c r="B314" s="6">
        <f>$A314-Config!$J$11/2</f>
        <v/>
      </c>
      <c r="C314" s="6">
        <f>$A314+Config!$J$11/2</f>
        <v/>
      </c>
      <c r="D314" s="6">
        <f>COUNTIFS(RawData!$C$2:$C$941,"LT",RawData!$P$2:$P$941,"&gt;="&amp;$B314,RawData!$P$2:$P$941,"&lt;"&amp;$C314,RawData!$P$2:$P$941,"&lt;&gt;0")</f>
        <v/>
      </c>
      <c r="E314" s="6">
        <f>IF(Config!$G$11=0,0,IF(ABS(($A314-Config!$F$11)/Config!$G$11)&lt;=2,$D314,0))</f>
        <v/>
      </c>
      <c r="F314" s="6">
        <f>IF(Config!$G$11=0,0,IF(AND(ABS(($A314-Config!$F$11)/Config!$G$11)&gt;2,ABS(($A314-Config!$F$11)/Config!$G$11)&lt;=3),$D314,0))</f>
        <v/>
      </c>
      <c r="G314" s="6">
        <f>IF(Config!$G$11=0,0,IF(ABS(($A314-Config!$F$11)/Config!$G$11)&gt;3,$D314,0))</f>
        <v/>
      </c>
      <c r="H314" s="6">
        <f>IFERROR(NORM.DIST($A314,Config!$F$11,Config!$G$11,FALSE)*Config!$D$11*Config!$J$11,0)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IFERROR(NORM.DIST($A315,Config!$F$11,Config!$G$11,FALSE)*Config!$D$11*Config!$J$11,0)</f>
        <v/>
      </c>
    </row>
    <row r="316">
      <c r="A316" s="6">
        <f>Config!$K$11+26*Config!$J$11+Config!$J$11/2</f>
        <v/>
      </c>
      <c r="B316" s="6">
        <f>$A316-Config!$J$11/2</f>
        <v/>
      </c>
      <c r="C316" s="6">
        <f>$A316+Config!$J$11/2</f>
        <v/>
      </c>
      <c r="D316" s="6">
        <f>COUNTIFS(RawData!$C$2:$C$941,"LT",RawData!$P$2:$P$941,"&gt;="&amp;$B316,RawData!$P$2:$P$941,"&lt;"&amp;$C316,RawData!$P$2:$P$941,"&lt;&gt;0")</f>
        <v/>
      </c>
      <c r="E316" s="6">
        <f>IF(Config!$G$11=0,0,IF(ABS(($A316-Config!$F$11)/Config!$G$11)&lt;=2,$D316,0))</f>
        <v/>
      </c>
      <c r="F316" s="6">
        <f>IF(Config!$G$11=0,0,IF(AND(ABS(($A316-Config!$F$11)/Config!$G$11)&gt;2,ABS(($A316-Config!$F$11)/Config!$G$11)&lt;=3),$D316,0))</f>
        <v/>
      </c>
      <c r="G316" s="6">
        <f>IF(Config!$G$11=0,0,IF(ABS(($A316-Config!$F$11)/Config!$G$11)&gt;3,$D316,0))</f>
        <v/>
      </c>
      <c r="H316" s="6">
        <f>IFERROR(NORM.DIST($A316,Config!$F$11,Config!$G$11,FALSE)*Config!$D$11*Config!$J$11,0)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IFERROR(NORM.DIST($A317,Config!$F$11,Config!$G$11,FALSE)*Config!$D$11*Config!$J$11,0)</f>
        <v/>
      </c>
    </row>
    <row r="318">
      <c r="A318" s="6">
        <f>Config!$K$11+28*Config!$J$11+Config!$J$11/2</f>
        <v/>
      </c>
      <c r="B318" s="6">
        <f>$A318-Config!$J$11/2</f>
        <v/>
      </c>
      <c r="C318" s="6">
        <f>$A318+Config!$J$11/2</f>
        <v/>
      </c>
      <c r="D318" s="6">
        <f>COUNTIFS(RawData!$C$2:$C$941,"LT",RawData!$P$2:$P$941,"&gt;="&amp;$B318,RawData!$P$2:$P$941,"&lt;"&amp;$C318,RawData!$P$2:$P$941,"&lt;&gt;0")</f>
        <v/>
      </c>
      <c r="E318" s="6">
        <f>IF(Config!$G$11=0,0,IF(ABS(($A318-Config!$F$11)/Config!$G$11)&lt;=2,$D318,0))</f>
        <v/>
      </c>
      <c r="F318" s="6">
        <f>IF(Config!$G$11=0,0,IF(AND(ABS(($A318-Config!$F$11)/Config!$G$11)&gt;2,ABS(($A318-Config!$F$11)/Config!$G$11)&lt;=3),$D318,0))</f>
        <v/>
      </c>
      <c r="G318" s="6">
        <f>IF(Config!$G$11=0,0,IF(ABS(($A318-Config!$F$11)/Config!$G$11)&gt;3,$D318,0))</f>
        <v/>
      </c>
      <c r="H318" s="6">
        <f>IFERROR(NORM.DIST($A318,Config!$F$11,Config!$G$11,FALSE)*Config!$D$11*Config!$J$11,0)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IFERROR(NORM.DIST($A319,Config!$F$11,Config!$G$11,FALSE)*Config!$D$11*Config!$J$11,0)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Config!$K$12+0*Config!$J$12+Config!$J$12/2</f>
        <v/>
      </c>
      <c r="B322" s="6">
        <f>$A322-Config!$J$12/2</f>
        <v/>
      </c>
      <c r="C322" s="6">
        <f>$A322+Config!$J$12/2</f>
        <v/>
      </c>
      <c r="D322" s="6">
        <f>COUNTIFS(RawData!$C$2:$C$941,"LT",RawData!$Q$2:$Q$941,"&gt;="&amp;$B322,RawData!$Q$2:$Q$941,"&lt;"&amp;$C322,RawData!$Q$2:$Q$941,"&lt;&gt;0")</f>
        <v/>
      </c>
      <c r="E322" s="6">
        <f>IF(Config!$G$12=0,0,IF(ABS(($A322-Config!$F$12)/Config!$G$12)&lt;=2,$D322,0))</f>
        <v/>
      </c>
      <c r="F322" s="6">
        <f>IF(Config!$G$12=0,0,IF(AND(ABS(($A322-Config!$F$12)/Config!$G$12)&gt;2,ABS(($A322-Config!$F$12)/Config!$G$12)&lt;=3),$D322,0))</f>
        <v/>
      </c>
      <c r="G322" s="6">
        <f>IF(Config!$G$12=0,0,IF(ABS(($A322-Config!$F$12)/Config!$G$12)&gt;3,$D322,0))</f>
        <v/>
      </c>
      <c r="H322" s="6">
        <f>IFERROR(NORM.DIST($A322,Config!$F$12,Config!$G$12,FALSE)*Config!$D$12*Config!$J$12,0)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IFERROR(NORM.DIST($A323,Config!$F$12,Config!$G$12,FALSE)*Config!$D$12*Config!$J$12,0)</f>
        <v/>
      </c>
    </row>
    <row r="324">
      <c r="A324" s="6">
        <f>Config!$K$12+2*Config!$J$12+Config!$J$12/2</f>
        <v/>
      </c>
      <c r="B324" s="6">
        <f>$A324-Config!$J$12/2</f>
        <v/>
      </c>
      <c r="C324" s="6">
        <f>$A324+Config!$J$12/2</f>
        <v/>
      </c>
      <c r="D324" s="6">
        <f>COUNTIFS(RawData!$C$2:$C$941,"LT",RawData!$Q$2:$Q$941,"&gt;="&amp;$B324,RawData!$Q$2:$Q$941,"&lt;"&amp;$C324,RawData!$Q$2:$Q$941,"&lt;&gt;0")</f>
        <v/>
      </c>
      <c r="E324" s="6">
        <f>IF(Config!$G$12=0,0,IF(ABS(($A324-Config!$F$12)/Config!$G$12)&lt;=2,$D324,0))</f>
        <v/>
      </c>
      <c r="F324" s="6">
        <f>IF(Config!$G$12=0,0,IF(AND(ABS(($A324-Config!$F$12)/Config!$G$12)&gt;2,ABS(($A324-Config!$F$12)/Config!$G$12)&lt;=3),$D324,0))</f>
        <v/>
      </c>
      <c r="G324" s="6">
        <f>IF(Config!$G$12=0,0,IF(ABS(($A324-Config!$F$12)/Config!$G$12)&gt;3,$D324,0))</f>
        <v/>
      </c>
      <c r="H324" s="6">
        <f>IFERROR(NORM.DIST($A324,Config!$F$12,Config!$G$12,FALSE)*Config!$D$12*Config!$J$12,0)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IFERROR(NORM.DIST($A325,Config!$F$12,Config!$G$12,FALSE)*Config!$D$12*Config!$J$12,0)</f>
        <v/>
      </c>
    </row>
    <row r="326">
      <c r="A326" s="6">
        <f>Config!$K$12+4*Config!$J$12+Config!$J$12/2</f>
        <v/>
      </c>
      <c r="B326" s="6">
        <f>$A326-Config!$J$12/2</f>
        <v/>
      </c>
      <c r="C326" s="6">
        <f>$A326+Config!$J$12/2</f>
        <v/>
      </c>
      <c r="D326" s="6">
        <f>COUNTIFS(RawData!$C$2:$C$941,"LT",RawData!$Q$2:$Q$941,"&gt;="&amp;$B326,RawData!$Q$2:$Q$941,"&lt;"&amp;$C326,RawData!$Q$2:$Q$941,"&lt;&gt;0")</f>
        <v/>
      </c>
      <c r="E326" s="6">
        <f>IF(Config!$G$12=0,0,IF(ABS(($A326-Config!$F$12)/Config!$G$12)&lt;=2,$D326,0))</f>
        <v/>
      </c>
      <c r="F326" s="6">
        <f>IF(Config!$G$12=0,0,IF(AND(ABS(($A326-Config!$F$12)/Config!$G$12)&gt;2,ABS(($A326-Config!$F$12)/Config!$G$12)&lt;=3),$D326,0))</f>
        <v/>
      </c>
      <c r="G326" s="6">
        <f>IF(Config!$G$12=0,0,IF(ABS(($A326-Config!$F$12)/Config!$G$12)&gt;3,$D326,0))</f>
        <v/>
      </c>
      <c r="H326" s="6">
        <f>IFERROR(NORM.DIST($A326,Config!$F$12,Config!$G$12,FALSE)*Config!$D$12*Config!$J$12,0)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IFERROR(NORM.DIST($A327,Config!$F$12,Config!$G$12,FALSE)*Config!$D$12*Config!$J$12,0)</f>
        <v/>
      </c>
    </row>
    <row r="328">
      <c r="A328" s="6">
        <f>Config!$K$12+6*Config!$J$12+Config!$J$12/2</f>
        <v/>
      </c>
      <c r="B328" s="6">
        <f>$A328-Config!$J$12/2</f>
        <v/>
      </c>
      <c r="C328" s="6">
        <f>$A328+Config!$J$12/2</f>
        <v/>
      </c>
      <c r="D328" s="6">
        <f>COUNTIFS(RawData!$C$2:$C$941,"LT",RawData!$Q$2:$Q$941,"&gt;="&amp;$B328,RawData!$Q$2:$Q$941,"&lt;"&amp;$C328,RawData!$Q$2:$Q$941,"&lt;&gt;0")</f>
        <v/>
      </c>
      <c r="E328" s="6">
        <f>IF(Config!$G$12=0,0,IF(ABS(($A328-Config!$F$12)/Config!$G$12)&lt;=2,$D328,0))</f>
        <v/>
      </c>
      <c r="F328" s="6">
        <f>IF(Config!$G$12=0,0,IF(AND(ABS(($A328-Config!$F$12)/Config!$G$12)&gt;2,ABS(($A328-Config!$F$12)/Config!$G$12)&lt;=3),$D328,0))</f>
        <v/>
      </c>
      <c r="G328" s="6">
        <f>IF(Config!$G$12=0,0,IF(ABS(($A328-Config!$F$12)/Config!$G$12)&gt;3,$D328,0))</f>
        <v/>
      </c>
      <c r="H328" s="6">
        <f>IFERROR(NORM.DIST($A328,Config!$F$12,Config!$G$12,FALSE)*Config!$D$12*Config!$J$12,0)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IFERROR(NORM.DIST($A329,Config!$F$12,Config!$G$12,FALSE)*Config!$D$12*Config!$J$12,0)</f>
        <v/>
      </c>
    </row>
    <row r="330">
      <c r="A330" s="6">
        <f>Config!$K$12+8*Config!$J$12+Config!$J$12/2</f>
        <v/>
      </c>
      <c r="B330" s="6">
        <f>$A330-Config!$J$12/2</f>
        <v/>
      </c>
      <c r="C330" s="6">
        <f>$A330+Config!$J$12/2</f>
        <v/>
      </c>
      <c r="D330" s="6">
        <f>COUNTIFS(RawData!$C$2:$C$941,"LT",RawData!$Q$2:$Q$941,"&gt;="&amp;$B330,RawData!$Q$2:$Q$941,"&lt;"&amp;$C330,RawData!$Q$2:$Q$941,"&lt;&gt;0")</f>
        <v/>
      </c>
      <c r="E330" s="6">
        <f>IF(Config!$G$12=0,0,IF(ABS(($A330-Config!$F$12)/Config!$G$12)&lt;=2,$D330,0))</f>
        <v/>
      </c>
      <c r="F330" s="6">
        <f>IF(Config!$G$12=0,0,IF(AND(ABS(($A330-Config!$F$12)/Config!$G$12)&gt;2,ABS(($A330-Config!$F$12)/Config!$G$12)&lt;=3),$D330,0))</f>
        <v/>
      </c>
      <c r="G330" s="6">
        <f>IF(Config!$G$12=0,0,IF(ABS(($A330-Config!$F$12)/Config!$G$12)&gt;3,$D330,0))</f>
        <v/>
      </c>
      <c r="H330" s="6">
        <f>IFERROR(NORM.DIST($A330,Config!$F$12,Config!$G$12,FALSE)*Config!$D$12*Config!$J$12,0)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IFERROR(NORM.DIST($A331,Config!$F$12,Config!$G$12,FALSE)*Config!$D$12*Config!$J$12,0)</f>
        <v/>
      </c>
    </row>
    <row r="332">
      <c r="A332" s="6">
        <f>Config!$K$12+10*Config!$J$12+Config!$J$12/2</f>
        <v/>
      </c>
      <c r="B332" s="6">
        <f>$A332-Config!$J$12/2</f>
        <v/>
      </c>
      <c r="C332" s="6">
        <f>$A332+Config!$J$12/2</f>
        <v/>
      </c>
      <c r="D332" s="6">
        <f>COUNTIFS(RawData!$C$2:$C$941,"LT",RawData!$Q$2:$Q$941,"&gt;="&amp;$B332,RawData!$Q$2:$Q$941,"&lt;"&amp;$C332,RawData!$Q$2:$Q$941,"&lt;&gt;0")</f>
        <v/>
      </c>
      <c r="E332" s="6">
        <f>IF(Config!$G$12=0,0,IF(ABS(($A332-Config!$F$12)/Config!$G$12)&lt;=2,$D332,0))</f>
        <v/>
      </c>
      <c r="F332" s="6">
        <f>IF(Config!$G$12=0,0,IF(AND(ABS(($A332-Config!$F$12)/Config!$G$12)&gt;2,ABS(($A332-Config!$F$12)/Config!$G$12)&lt;=3),$D332,0))</f>
        <v/>
      </c>
      <c r="G332" s="6">
        <f>IF(Config!$G$12=0,0,IF(ABS(($A332-Config!$F$12)/Config!$G$12)&gt;3,$D332,0))</f>
        <v/>
      </c>
      <c r="H332" s="6">
        <f>IFERROR(NORM.DIST($A332,Config!$F$12,Config!$G$12,FALSE)*Config!$D$12*Config!$J$12,0)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IFERROR(NORM.DIST($A333,Config!$F$12,Config!$G$12,FALSE)*Config!$D$12*Config!$J$12,0)</f>
        <v/>
      </c>
    </row>
    <row r="334">
      <c r="A334" s="6">
        <f>Config!$K$12+12*Config!$J$12+Config!$J$12/2</f>
        <v/>
      </c>
      <c r="B334" s="6">
        <f>$A334-Config!$J$12/2</f>
        <v/>
      </c>
      <c r="C334" s="6">
        <f>$A334+Config!$J$12/2</f>
        <v/>
      </c>
      <c r="D334" s="6">
        <f>COUNTIFS(RawData!$C$2:$C$941,"LT",RawData!$Q$2:$Q$941,"&gt;="&amp;$B334,RawData!$Q$2:$Q$941,"&lt;"&amp;$C334,RawData!$Q$2:$Q$941,"&lt;&gt;0")</f>
        <v/>
      </c>
      <c r="E334" s="6">
        <f>IF(Config!$G$12=0,0,IF(ABS(($A334-Config!$F$12)/Config!$G$12)&lt;=2,$D334,0))</f>
        <v/>
      </c>
      <c r="F334" s="6">
        <f>IF(Config!$G$12=0,0,IF(AND(ABS(($A334-Config!$F$12)/Config!$G$12)&gt;2,ABS(($A334-Config!$F$12)/Config!$G$12)&lt;=3),$D334,0))</f>
        <v/>
      </c>
      <c r="G334" s="6">
        <f>IF(Config!$G$12=0,0,IF(ABS(($A334-Config!$F$12)/Config!$G$12)&gt;3,$D334,0))</f>
        <v/>
      </c>
      <c r="H334" s="6">
        <f>IFERROR(NORM.DIST($A334,Config!$F$12,Config!$G$12,FALSE)*Config!$D$12*Config!$J$12,0)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IFERROR(NORM.DIST($A335,Config!$F$12,Config!$G$12,FALSE)*Config!$D$12*Config!$J$12,0)</f>
        <v/>
      </c>
    </row>
    <row r="336">
      <c r="A336" s="6">
        <f>Config!$K$12+14*Config!$J$12+Config!$J$12/2</f>
        <v/>
      </c>
      <c r="B336" s="6">
        <f>$A336-Config!$J$12/2</f>
        <v/>
      </c>
      <c r="C336" s="6">
        <f>$A336+Config!$J$12/2</f>
        <v/>
      </c>
      <c r="D336" s="6">
        <f>COUNTIFS(RawData!$C$2:$C$941,"LT",RawData!$Q$2:$Q$941,"&gt;="&amp;$B336,RawData!$Q$2:$Q$941,"&lt;"&amp;$C336,RawData!$Q$2:$Q$941,"&lt;&gt;0")</f>
        <v/>
      </c>
      <c r="E336" s="6">
        <f>IF(Config!$G$12=0,0,IF(ABS(($A336-Config!$F$12)/Config!$G$12)&lt;=2,$D336,0))</f>
        <v/>
      </c>
      <c r="F336" s="6">
        <f>IF(Config!$G$12=0,0,IF(AND(ABS(($A336-Config!$F$12)/Config!$G$12)&gt;2,ABS(($A336-Config!$F$12)/Config!$G$12)&lt;=3),$D336,0))</f>
        <v/>
      </c>
      <c r="G336" s="6">
        <f>IF(Config!$G$12=0,0,IF(ABS(($A336-Config!$F$12)/Config!$G$12)&gt;3,$D336,0))</f>
        <v/>
      </c>
      <c r="H336" s="6">
        <f>IFERROR(NORM.DIST($A336,Config!$F$12,Config!$G$12,FALSE)*Config!$D$12*Config!$J$12,0)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IFERROR(NORM.DIST($A337,Config!$F$12,Config!$G$12,FALSE)*Config!$D$12*Config!$J$12,0)</f>
        <v/>
      </c>
    </row>
    <row r="338">
      <c r="A338" s="6">
        <f>Config!$K$12+16*Config!$J$12+Config!$J$12/2</f>
        <v/>
      </c>
      <c r="B338" s="6">
        <f>$A338-Config!$J$12/2</f>
        <v/>
      </c>
      <c r="C338" s="6">
        <f>$A338+Config!$J$12/2</f>
        <v/>
      </c>
      <c r="D338" s="6">
        <f>COUNTIFS(RawData!$C$2:$C$941,"LT",RawData!$Q$2:$Q$941,"&gt;="&amp;$B338,RawData!$Q$2:$Q$941,"&lt;"&amp;$C338,RawData!$Q$2:$Q$941,"&lt;&gt;0")</f>
        <v/>
      </c>
      <c r="E338" s="6">
        <f>IF(Config!$G$12=0,0,IF(ABS(($A338-Config!$F$12)/Config!$G$12)&lt;=2,$D338,0))</f>
        <v/>
      </c>
      <c r="F338" s="6">
        <f>IF(Config!$G$12=0,0,IF(AND(ABS(($A338-Config!$F$12)/Config!$G$12)&gt;2,ABS(($A338-Config!$F$12)/Config!$G$12)&lt;=3),$D338,0))</f>
        <v/>
      </c>
      <c r="G338" s="6">
        <f>IF(Config!$G$12=0,0,IF(ABS(($A338-Config!$F$12)/Config!$G$12)&gt;3,$D338,0))</f>
        <v/>
      </c>
      <c r="H338" s="6">
        <f>IFERROR(NORM.DIST($A338,Config!$F$12,Config!$G$12,FALSE)*Config!$D$12*Config!$J$12,0)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IFERROR(NORM.DIST($A339,Config!$F$12,Config!$G$12,FALSE)*Config!$D$12*Config!$J$12,0)</f>
        <v/>
      </c>
    </row>
    <row r="340">
      <c r="A340" s="6">
        <f>Config!$K$12+18*Config!$J$12+Config!$J$12/2</f>
        <v/>
      </c>
      <c r="B340" s="6">
        <f>$A340-Config!$J$12/2</f>
        <v/>
      </c>
      <c r="C340" s="6">
        <f>$A340+Config!$J$12/2</f>
        <v/>
      </c>
      <c r="D340" s="6">
        <f>COUNTIFS(RawData!$C$2:$C$941,"LT",RawData!$Q$2:$Q$941,"&gt;="&amp;$B340,RawData!$Q$2:$Q$941,"&lt;"&amp;$C340,RawData!$Q$2:$Q$941,"&lt;&gt;0")</f>
        <v/>
      </c>
      <c r="E340" s="6">
        <f>IF(Config!$G$12=0,0,IF(ABS(($A340-Config!$F$12)/Config!$G$12)&lt;=2,$D340,0))</f>
        <v/>
      </c>
      <c r="F340" s="6">
        <f>IF(Config!$G$12=0,0,IF(AND(ABS(($A340-Config!$F$12)/Config!$G$12)&gt;2,ABS(($A340-Config!$F$12)/Config!$G$12)&lt;=3),$D340,0))</f>
        <v/>
      </c>
      <c r="G340" s="6">
        <f>IF(Config!$G$12=0,0,IF(ABS(($A340-Config!$F$12)/Config!$G$12)&gt;3,$D340,0))</f>
        <v/>
      </c>
      <c r="H340" s="6">
        <f>IFERROR(NORM.DIST($A340,Config!$F$12,Config!$G$12,FALSE)*Config!$D$12*Config!$J$12,0)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IFERROR(NORM.DIST($A341,Config!$F$12,Config!$G$12,FALSE)*Config!$D$12*Config!$J$12,0)</f>
        <v/>
      </c>
    </row>
    <row r="342">
      <c r="A342" s="6">
        <f>Config!$K$12+20*Config!$J$12+Config!$J$12/2</f>
        <v/>
      </c>
      <c r="B342" s="6">
        <f>$A342-Config!$J$12/2</f>
        <v/>
      </c>
      <c r="C342" s="6">
        <f>$A342+Config!$J$12/2</f>
        <v/>
      </c>
      <c r="D342" s="6">
        <f>COUNTIFS(RawData!$C$2:$C$941,"LT",RawData!$Q$2:$Q$941,"&gt;="&amp;$B342,RawData!$Q$2:$Q$941,"&lt;"&amp;$C342,RawData!$Q$2:$Q$941,"&lt;&gt;0")</f>
        <v/>
      </c>
      <c r="E342" s="6">
        <f>IF(Config!$G$12=0,0,IF(ABS(($A342-Config!$F$12)/Config!$G$12)&lt;=2,$D342,0))</f>
        <v/>
      </c>
      <c r="F342" s="6">
        <f>IF(Config!$G$12=0,0,IF(AND(ABS(($A342-Config!$F$12)/Config!$G$12)&gt;2,ABS(($A342-Config!$F$12)/Config!$G$12)&lt;=3),$D342,0))</f>
        <v/>
      </c>
      <c r="G342" s="6">
        <f>IF(Config!$G$12=0,0,IF(ABS(($A342-Config!$F$12)/Config!$G$12)&gt;3,$D342,0))</f>
        <v/>
      </c>
      <c r="H342" s="6">
        <f>IFERROR(NORM.DIST($A342,Config!$F$12,Config!$G$12,FALSE)*Config!$D$12*Config!$J$12,0)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IFERROR(NORM.DIST($A343,Config!$F$12,Config!$G$12,FALSE)*Config!$D$12*Config!$J$12,0)</f>
        <v/>
      </c>
    </row>
    <row r="344">
      <c r="A344" s="6">
        <f>Config!$K$12+22*Config!$J$12+Config!$J$12/2</f>
        <v/>
      </c>
      <c r="B344" s="6">
        <f>$A344-Config!$J$12/2</f>
        <v/>
      </c>
      <c r="C344" s="6">
        <f>$A344+Config!$J$12/2</f>
        <v/>
      </c>
      <c r="D344" s="6">
        <f>COUNTIFS(RawData!$C$2:$C$941,"LT",RawData!$Q$2:$Q$941,"&gt;="&amp;$B344,RawData!$Q$2:$Q$941,"&lt;"&amp;$C344,RawData!$Q$2:$Q$941,"&lt;&gt;0")</f>
        <v/>
      </c>
      <c r="E344" s="6">
        <f>IF(Config!$G$12=0,0,IF(ABS(($A344-Config!$F$12)/Config!$G$12)&lt;=2,$D344,0))</f>
        <v/>
      </c>
      <c r="F344" s="6">
        <f>IF(Config!$G$12=0,0,IF(AND(ABS(($A344-Config!$F$12)/Config!$G$12)&gt;2,ABS(($A344-Config!$F$12)/Config!$G$12)&lt;=3),$D344,0))</f>
        <v/>
      </c>
      <c r="G344" s="6">
        <f>IF(Config!$G$12=0,0,IF(ABS(($A344-Config!$F$12)/Config!$G$12)&gt;3,$D344,0))</f>
        <v/>
      </c>
      <c r="H344" s="6">
        <f>IFERROR(NORM.DIST($A344,Config!$F$12,Config!$G$12,FALSE)*Config!$D$12*Config!$J$12,0)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IFERROR(NORM.DIST($A345,Config!$F$12,Config!$G$12,FALSE)*Config!$D$12*Config!$J$12,0)</f>
        <v/>
      </c>
    </row>
    <row r="346">
      <c r="A346" s="6">
        <f>Config!$K$12+24*Config!$J$12+Config!$J$12/2</f>
        <v/>
      </c>
      <c r="B346" s="6">
        <f>$A346-Config!$J$12/2</f>
        <v/>
      </c>
      <c r="C346" s="6">
        <f>$A346+Config!$J$12/2</f>
        <v/>
      </c>
      <c r="D346" s="6">
        <f>COUNTIFS(RawData!$C$2:$C$941,"LT",RawData!$Q$2:$Q$941,"&gt;="&amp;$B346,RawData!$Q$2:$Q$941,"&lt;"&amp;$C346,RawData!$Q$2:$Q$941,"&lt;&gt;0")</f>
        <v/>
      </c>
      <c r="E346" s="6">
        <f>IF(Config!$G$12=0,0,IF(ABS(($A346-Config!$F$12)/Config!$G$12)&lt;=2,$D346,0))</f>
        <v/>
      </c>
      <c r="F346" s="6">
        <f>IF(Config!$G$12=0,0,IF(AND(ABS(($A346-Config!$F$12)/Config!$G$12)&gt;2,ABS(($A346-Config!$F$12)/Config!$G$12)&lt;=3),$D346,0))</f>
        <v/>
      </c>
      <c r="G346" s="6">
        <f>IF(Config!$G$12=0,0,IF(ABS(($A346-Config!$F$12)/Config!$G$12)&gt;3,$D346,0))</f>
        <v/>
      </c>
      <c r="H346" s="6">
        <f>IFERROR(NORM.DIST($A346,Config!$F$12,Config!$G$12,FALSE)*Config!$D$12*Config!$J$12,0)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IFERROR(NORM.DIST($A347,Config!$F$12,Config!$G$12,FALSE)*Config!$D$12*Config!$J$12,0)</f>
        <v/>
      </c>
    </row>
    <row r="348">
      <c r="A348" s="6">
        <f>Config!$K$12+26*Config!$J$12+Config!$J$12/2</f>
        <v/>
      </c>
      <c r="B348" s="6">
        <f>$A348-Config!$J$12/2</f>
        <v/>
      </c>
      <c r="C348" s="6">
        <f>$A348+Config!$J$12/2</f>
        <v/>
      </c>
      <c r="D348" s="6">
        <f>COUNTIFS(RawData!$C$2:$C$941,"LT",RawData!$Q$2:$Q$941,"&gt;="&amp;$B348,RawData!$Q$2:$Q$941,"&lt;"&amp;$C348,RawData!$Q$2:$Q$941,"&lt;&gt;0")</f>
        <v/>
      </c>
      <c r="E348" s="6">
        <f>IF(Config!$G$12=0,0,IF(ABS(($A348-Config!$F$12)/Config!$G$12)&lt;=2,$D348,0))</f>
        <v/>
      </c>
      <c r="F348" s="6">
        <f>IF(Config!$G$12=0,0,IF(AND(ABS(($A348-Config!$F$12)/Config!$G$12)&gt;2,ABS(($A348-Config!$F$12)/Config!$G$12)&lt;=3),$D348,0))</f>
        <v/>
      </c>
      <c r="G348" s="6">
        <f>IF(Config!$G$12=0,0,IF(ABS(($A348-Config!$F$12)/Config!$G$12)&gt;3,$D348,0))</f>
        <v/>
      </c>
      <c r="H348" s="6">
        <f>IFERROR(NORM.DIST($A348,Config!$F$12,Config!$G$12,FALSE)*Config!$D$12*Config!$J$12,0)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IFERROR(NORM.DIST($A349,Config!$F$12,Config!$G$12,FALSE)*Config!$D$12*Config!$J$12,0)</f>
        <v/>
      </c>
    </row>
    <row r="350">
      <c r="A350" s="6">
        <f>Config!$K$12+28*Config!$J$12+Config!$J$12/2</f>
        <v/>
      </c>
      <c r="B350" s="6">
        <f>$A350-Config!$J$12/2</f>
        <v/>
      </c>
      <c r="C350" s="6">
        <f>$A350+Config!$J$12/2</f>
        <v/>
      </c>
      <c r="D350" s="6">
        <f>COUNTIFS(RawData!$C$2:$C$941,"LT",RawData!$Q$2:$Q$941,"&gt;="&amp;$B350,RawData!$Q$2:$Q$941,"&lt;"&amp;$C350,RawData!$Q$2:$Q$941,"&lt;&gt;0")</f>
        <v/>
      </c>
      <c r="E350" s="6">
        <f>IF(Config!$G$12=0,0,IF(ABS(($A350-Config!$F$12)/Config!$G$12)&lt;=2,$D350,0))</f>
        <v/>
      </c>
      <c r="F350" s="6">
        <f>IF(Config!$G$12=0,0,IF(AND(ABS(($A350-Config!$F$12)/Config!$G$12)&gt;2,ABS(($A350-Config!$F$12)/Config!$G$12)&lt;=3),$D350,0))</f>
        <v/>
      </c>
      <c r="G350" s="6">
        <f>IF(Config!$G$12=0,0,IF(ABS(($A350-Config!$F$12)/Config!$G$12)&gt;3,$D350,0))</f>
        <v/>
      </c>
      <c r="H350" s="6">
        <f>IFERROR(NORM.DIST($A350,Config!$F$12,Config!$G$12,FALSE)*Config!$D$12*Config!$J$12,0)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IFERROR(NORM.DIST($A351,Config!$F$12,Config!$G$12,FALSE)*Config!$D$12*Config!$J$12,0)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Config!$K$13+0*Config!$J$13+Config!$J$13/2</f>
        <v/>
      </c>
      <c r="B354" s="6">
        <f>$A354-Config!$J$13/2</f>
        <v/>
      </c>
      <c r="C354" s="6">
        <f>$A354+Config!$J$13/2</f>
        <v/>
      </c>
      <c r="D354" s="6">
        <f>COUNTIFS(RawData!$C$2:$C$941,"LT",RawData!$R$2:$R$941,"&gt;="&amp;$B354,RawData!$R$2:$R$941,"&lt;"&amp;$C354,RawData!$R$2:$R$941,"&lt;&gt;0")</f>
        <v/>
      </c>
      <c r="E354" s="6">
        <f>IF(Config!$G$13=0,0,IF(ABS(($A354-Config!$F$13)/Config!$G$13)&lt;=2,$D354,0))</f>
        <v/>
      </c>
      <c r="F354" s="6">
        <f>IF(Config!$G$13=0,0,IF(AND(ABS(($A354-Config!$F$13)/Config!$G$13)&gt;2,ABS(($A354-Config!$F$13)/Config!$G$13)&lt;=3),$D354,0))</f>
        <v/>
      </c>
      <c r="G354" s="6">
        <f>IF(Config!$G$13=0,0,IF(ABS(($A354-Config!$F$13)/Config!$G$13)&gt;3,$D354,0))</f>
        <v/>
      </c>
      <c r="H354" s="6">
        <f>IFERROR(NORM.DIST($A354,Config!$F$13,Config!$G$13,FALSE)*Config!$D$13*Config!$J$13,0)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IFERROR(NORM.DIST($A355,Config!$F$13,Config!$G$13,FALSE)*Config!$D$13*Config!$J$13,0)</f>
        <v/>
      </c>
    </row>
    <row r="356">
      <c r="A356" s="6">
        <f>Config!$K$13+2*Config!$J$13+Config!$J$13/2</f>
        <v/>
      </c>
      <c r="B356" s="6">
        <f>$A356-Config!$J$13/2</f>
        <v/>
      </c>
      <c r="C356" s="6">
        <f>$A356+Config!$J$13/2</f>
        <v/>
      </c>
      <c r="D356" s="6">
        <f>COUNTIFS(RawData!$C$2:$C$941,"LT",RawData!$R$2:$R$941,"&gt;="&amp;$B356,RawData!$R$2:$R$941,"&lt;"&amp;$C356,RawData!$R$2:$R$941,"&lt;&gt;0")</f>
        <v/>
      </c>
      <c r="E356" s="6">
        <f>IF(Config!$G$13=0,0,IF(ABS(($A356-Config!$F$13)/Config!$G$13)&lt;=2,$D356,0))</f>
        <v/>
      </c>
      <c r="F356" s="6">
        <f>IF(Config!$G$13=0,0,IF(AND(ABS(($A356-Config!$F$13)/Config!$G$13)&gt;2,ABS(($A356-Config!$F$13)/Config!$G$13)&lt;=3),$D356,0))</f>
        <v/>
      </c>
      <c r="G356" s="6">
        <f>IF(Config!$G$13=0,0,IF(ABS(($A356-Config!$F$13)/Config!$G$13)&gt;3,$D356,0))</f>
        <v/>
      </c>
      <c r="H356" s="6">
        <f>IFERROR(NORM.DIST($A356,Config!$F$13,Config!$G$13,FALSE)*Config!$D$13*Config!$J$13,0)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IFERROR(NORM.DIST($A357,Config!$F$13,Config!$G$13,FALSE)*Config!$D$13*Config!$J$13,0)</f>
        <v/>
      </c>
    </row>
    <row r="358">
      <c r="A358" s="6">
        <f>Config!$K$13+4*Config!$J$13+Config!$J$13/2</f>
        <v/>
      </c>
      <c r="B358" s="6">
        <f>$A358-Config!$J$13/2</f>
        <v/>
      </c>
      <c r="C358" s="6">
        <f>$A358+Config!$J$13/2</f>
        <v/>
      </c>
      <c r="D358" s="6">
        <f>COUNTIFS(RawData!$C$2:$C$941,"LT",RawData!$R$2:$R$941,"&gt;="&amp;$B358,RawData!$R$2:$R$941,"&lt;"&amp;$C358,RawData!$R$2:$R$941,"&lt;&gt;0")</f>
        <v/>
      </c>
      <c r="E358" s="6">
        <f>IF(Config!$G$13=0,0,IF(ABS(($A358-Config!$F$13)/Config!$G$13)&lt;=2,$D358,0))</f>
        <v/>
      </c>
      <c r="F358" s="6">
        <f>IF(Config!$G$13=0,0,IF(AND(ABS(($A358-Config!$F$13)/Config!$G$13)&gt;2,ABS(($A358-Config!$F$13)/Config!$G$13)&lt;=3),$D358,0))</f>
        <v/>
      </c>
      <c r="G358" s="6">
        <f>IF(Config!$G$13=0,0,IF(ABS(($A358-Config!$F$13)/Config!$G$13)&gt;3,$D358,0))</f>
        <v/>
      </c>
      <c r="H358" s="6">
        <f>IFERROR(NORM.DIST($A358,Config!$F$13,Config!$G$13,FALSE)*Config!$D$13*Config!$J$13,0)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IFERROR(NORM.DIST($A359,Config!$F$13,Config!$G$13,FALSE)*Config!$D$13*Config!$J$13,0)</f>
        <v/>
      </c>
    </row>
    <row r="360">
      <c r="A360" s="6">
        <f>Config!$K$13+6*Config!$J$13+Config!$J$13/2</f>
        <v/>
      </c>
      <c r="B360" s="6">
        <f>$A360-Config!$J$13/2</f>
        <v/>
      </c>
      <c r="C360" s="6">
        <f>$A360+Config!$J$13/2</f>
        <v/>
      </c>
      <c r="D360" s="6">
        <f>COUNTIFS(RawData!$C$2:$C$941,"LT",RawData!$R$2:$R$941,"&gt;="&amp;$B360,RawData!$R$2:$R$941,"&lt;"&amp;$C360,RawData!$R$2:$R$941,"&lt;&gt;0")</f>
        <v/>
      </c>
      <c r="E360" s="6">
        <f>IF(Config!$G$13=0,0,IF(ABS(($A360-Config!$F$13)/Config!$G$13)&lt;=2,$D360,0))</f>
        <v/>
      </c>
      <c r="F360" s="6">
        <f>IF(Config!$G$13=0,0,IF(AND(ABS(($A360-Config!$F$13)/Config!$G$13)&gt;2,ABS(($A360-Config!$F$13)/Config!$G$13)&lt;=3),$D360,0))</f>
        <v/>
      </c>
      <c r="G360" s="6">
        <f>IF(Config!$G$13=0,0,IF(ABS(($A360-Config!$F$13)/Config!$G$13)&gt;3,$D360,0))</f>
        <v/>
      </c>
      <c r="H360" s="6">
        <f>IFERROR(NORM.DIST($A360,Config!$F$13,Config!$G$13,FALSE)*Config!$D$13*Config!$J$13,0)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IFERROR(NORM.DIST($A361,Config!$F$13,Config!$G$13,FALSE)*Config!$D$13*Config!$J$13,0)</f>
        <v/>
      </c>
    </row>
    <row r="362">
      <c r="A362" s="6">
        <f>Config!$K$13+8*Config!$J$13+Config!$J$13/2</f>
        <v/>
      </c>
      <c r="B362" s="6">
        <f>$A362-Config!$J$13/2</f>
        <v/>
      </c>
      <c r="C362" s="6">
        <f>$A362+Config!$J$13/2</f>
        <v/>
      </c>
      <c r="D362" s="6">
        <f>COUNTIFS(RawData!$C$2:$C$941,"LT",RawData!$R$2:$R$941,"&gt;="&amp;$B362,RawData!$R$2:$R$941,"&lt;"&amp;$C362,RawData!$R$2:$R$941,"&lt;&gt;0")</f>
        <v/>
      </c>
      <c r="E362" s="6">
        <f>IF(Config!$G$13=0,0,IF(ABS(($A362-Config!$F$13)/Config!$G$13)&lt;=2,$D362,0))</f>
        <v/>
      </c>
      <c r="F362" s="6">
        <f>IF(Config!$G$13=0,0,IF(AND(ABS(($A362-Config!$F$13)/Config!$G$13)&gt;2,ABS(($A362-Config!$F$13)/Config!$G$13)&lt;=3),$D362,0))</f>
        <v/>
      </c>
      <c r="G362" s="6">
        <f>IF(Config!$G$13=0,0,IF(ABS(($A362-Config!$F$13)/Config!$G$13)&gt;3,$D362,0))</f>
        <v/>
      </c>
      <c r="H362" s="6">
        <f>IFERROR(NORM.DIST($A362,Config!$F$13,Config!$G$13,FALSE)*Config!$D$13*Config!$J$13,0)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IFERROR(NORM.DIST($A363,Config!$F$13,Config!$G$13,FALSE)*Config!$D$13*Config!$J$13,0)</f>
        <v/>
      </c>
    </row>
    <row r="364">
      <c r="A364" s="6">
        <f>Config!$K$13+10*Config!$J$13+Config!$J$13/2</f>
        <v/>
      </c>
      <c r="B364" s="6">
        <f>$A364-Config!$J$13/2</f>
        <v/>
      </c>
      <c r="C364" s="6">
        <f>$A364+Config!$J$13/2</f>
        <v/>
      </c>
      <c r="D364" s="6">
        <f>COUNTIFS(RawData!$C$2:$C$941,"LT",RawData!$R$2:$R$941,"&gt;="&amp;$B364,RawData!$R$2:$R$941,"&lt;"&amp;$C364,RawData!$R$2:$R$941,"&lt;&gt;0")</f>
        <v/>
      </c>
      <c r="E364" s="6">
        <f>IF(Config!$G$13=0,0,IF(ABS(($A364-Config!$F$13)/Config!$G$13)&lt;=2,$D364,0))</f>
        <v/>
      </c>
      <c r="F364" s="6">
        <f>IF(Config!$G$13=0,0,IF(AND(ABS(($A364-Config!$F$13)/Config!$G$13)&gt;2,ABS(($A364-Config!$F$13)/Config!$G$13)&lt;=3),$D364,0))</f>
        <v/>
      </c>
      <c r="G364" s="6">
        <f>IF(Config!$G$13=0,0,IF(ABS(($A364-Config!$F$13)/Config!$G$13)&gt;3,$D364,0))</f>
        <v/>
      </c>
      <c r="H364" s="6">
        <f>IFERROR(NORM.DIST($A364,Config!$F$13,Config!$G$13,FALSE)*Config!$D$13*Config!$J$13,0)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IFERROR(NORM.DIST($A365,Config!$F$13,Config!$G$13,FALSE)*Config!$D$13*Config!$J$13,0)</f>
        <v/>
      </c>
    </row>
    <row r="366">
      <c r="A366" s="6">
        <f>Config!$K$13+12*Config!$J$13+Config!$J$13/2</f>
        <v/>
      </c>
      <c r="B366" s="6">
        <f>$A366-Config!$J$13/2</f>
        <v/>
      </c>
      <c r="C366" s="6">
        <f>$A366+Config!$J$13/2</f>
        <v/>
      </c>
      <c r="D366" s="6">
        <f>COUNTIFS(RawData!$C$2:$C$941,"LT",RawData!$R$2:$R$941,"&gt;="&amp;$B366,RawData!$R$2:$R$941,"&lt;"&amp;$C366,RawData!$R$2:$R$941,"&lt;&gt;0")</f>
        <v/>
      </c>
      <c r="E366" s="6">
        <f>IF(Config!$G$13=0,0,IF(ABS(($A366-Config!$F$13)/Config!$G$13)&lt;=2,$D366,0))</f>
        <v/>
      </c>
      <c r="F366" s="6">
        <f>IF(Config!$G$13=0,0,IF(AND(ABS(($A366-Config!$F$13)/Config!$G$13)&gt;2,ABS(($A366-Config!$F$13)/Config!$G$13)&lt;=3),$D366,0))</f>
        <v/>
      </c>
      <c r="G366" s="6">
        <f>IF(Config!$G$13=0,0,IF(ABS(($A366-Config!$F$13)/Config!$G$13)&gt;3,$D366,0))</f>
        <v/>
      </c>
      <c r="H366" s="6">
        <f>IFERROR(NORM.DIST($A366,Config!$F$13,Config!$G$13,FALSE)*Config!$D$13*Config!$J$13,0)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IFERROR(NORM.DIST($A367,Config!$F$13,Config!$G$13,FALSE)*Config!$D$13*Config!$J$13,0)</f>
        <v/>
      </c>
    </row>
    <row r="368">
      <c r="A368" s="6">
        <f>Config!$K$13+14*Config!$J$13+Config!$J$13/2</f>
        <v/>
      </c>
      <c r="B368" s="6">
        <f>$A368-Config!$J$13/2</f>
        <v/>
      </c>
      <c r="C368" s="6">
        <f>$A368+Config!$J$13/2</f>
        <v/>
      </c>
      <c r="D368" s="6">
        <f>COUNTIFS(RawData!$C$2:$C$941,"LT",RawData!$R$2:$R$941,"&gt;="&amp;$B368,RawData!$R$2:$R$941,"&lt;"&amp;$C368,RawData!$R$2:$R$941,"&lt;&gt;0")</f>
        <v/>
      </c>
      <c r="E368" s="6">
        <f>IF(Config!$G$13=0,0,IF(ABS(($A368-Config!$F$13)/Config!$G$13)&lt;=2,$D368,0))</f>
        <v/>
      </c>
      <c r="F368" s="6">
        <f>IF(Config!$G$13=0,0,IF(AND(ABS(($A368-Config!$F$13)/Config!$G$13)&gt;2,ABS(($A368-Config!$F$13)/Config!$G$13)&lt;=3),$D368,0))</f>
        <v/>
      </c>
      <c r="G368" s="6">
        <f>IF(Config!$G$13=0,0,IF(ABS(($A368-Config!$F$13)/Config!$G$13)&gt;3,$D368,0))</f>
        <v/>
      </c>
      <c r="H368" s="6">
        <f>IFERROR(NORM.DIST($A368,Config!$F$13,Config!$G$13,FALSE)*Config!$D$13*Config!$J$13,0)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IFERROR(NORM.DIST($A369,Config!$F$13,Config!$G$13,FALSE)*Config!$D$13*Config!$J$13,0)</f>
        <v/>
      </c>
    </row>
    <row r="370">
      <c r="A370" s="6">
        <f>Config!$K$13+16*Config!$J$13+Config!$J$13/2</f>
        <v/>
      </c>
      <c r="B370" s="6">
        <f>$A370-Config!$J$13/2</f>
        <v/>
      </c>
      <c r="C370" s="6">
        <f>$A370+Config!$J$13/2</f>
        <v/>
      </c>
      <c r="D370" s="6">
        <f>COUNTIFS(RawData!$C$2:$C$941,"LT",RawData!$R$2:$R$941,"&gt;="&amp;$B370,RawData!$R$2:$R$941,"&lt;"&amp;$C370,RawData!$R$2:$R$941,"&lt;&gt;0")</f>
        <v/>
      </c>
      <c r="E370" s="6">
        <f>IF(Config!$G$13=0,0,IF(ABS(($A370-Config!$F$13)/Config!$G$13)&lt;=2,$D370,0))</f>
        <v/>
      </c>
      <c r="F370" s="6">
        <f>IF(Config!$G$13=0,0,IF(AND(ABS(($A370-Config!$F$13)/Config!$G$13)&gt;2,ABS(($A370-Config!$F$13)/Config!$G$13)&lt;=3),$D370,0))</f>
        <v/>
      </c>
      <c r="G370" s="6">
        <f>IF(Config!$G$13=0,0,IF(ABS(($A370-Config!$F$13)/Config!$G$13)&gt;3,$D370,0))</f>
        <v/>
      </c>
      <c r="H370" s="6">
        <f>IFERROR(NORM.DIST($A370,Config!$F$13,Config!$G$13,FALSE)*Config!$D$13*Config!$J$13,0)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IFERROR(NORM.DIST($A371,Config!$F$13,Config!$G$13,FALSE)*Config!$D$13*Config!$J$13,0)</f>
        <v/>
      </c>
    </row>
    <row r="372">
      <c r="A372" s="6">
        <f>Config!$K$13+18*Config!$J$13+Config!$J$13/2</f>
        <v/>
      </c>
      <c r="B372" s="6">
        <f>$A372-Config!$J$13/2</f>
        <v/>
      </c>
      <c r="C372" s="6">
        <f>$A372+Config!$J$13/2</f>
        <v/>
      </c>
      <c r="D372" s="6">
        <f>COUNTIFS(RawData!$C$2:$C$941,"LT",RawData!$R$2:$R$941,"&gt;="&amp;$B372,RawData!$R$2:$R$941,"&lt;"&amp;$C372,RawData!$R$2:$R$941,"&lt;&gt;0")</f>
        <v/>
      </c>
      <c r="E372" s="6">
        <f>IF(Config!$G$13=0,0,IF(ABS(($A372-Config!$F$13)/Config!$G$13)&lt;=2,$D372,0))</f>
        <v/>
      </c>
      <c r="F372" s="6">
        <f>IF(Config!$G$13=0,0,IF(AND(ABS(($A372-Config!$F$13)/Config!$G$13)&gt;2,ABS(($A372-Config!$F$13)/Config!$G$13)&lt;=3),$D372,0))</f>
        <v/>
      </c>
      <c r="G372" s="6">
        <f>IF(Config!$G$13=0,0,IF(ABS(($A372-Config!$F$13)/Config!$G$13)&gt;3,$D372,0))</f>
        <v/>
      </c>
      <c r="H372" s="6">
        <f>IFERROR(NORM.DIST($A372,Config!$F$13,Config!$G$13,FALSE)*Config!$D$13*Config!$J$13,0)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IFERROR(NORM.DIST($A373,Config!$F$13,Config!$G$13,FALSE)*Config!$D$13*Config!$J$13,0)</f>
        <v/>
      </c>
    </row>
    <row r="374">
      <c r="A374" s="6">
        <f>Config!$K$13+20*Config!$J$13+Config!$J$13/2</f>
        <v/>
      </c>
      <c r="B374" s="6">
        <f>$A374-Config!$J$13/2</f>
        <v/>
      </c>
      <c r="C374" s="6">
        <f>$A374+Config!$J$13/2</f>
        <v/>
      </c>
      <c r="D374" s="6">
        <f>COUNTIFS(RawData!$C$2:$C$941,"LT",RawData!$R$2:$R$941,"&gt;="&amp;$B374,RawData!$R$2:$R$941,"&lt;"&amp;$C374,RawData!$R$2:$R$941,"&lt;&gt;0")</f>
        <v/>
      </c>
      <c r="E374" s="6">
        <f>IF(Config!$G$13=0,0,IF(ABS(($A374-Config!$F$13)/Config!$G$13)&lt;=2,$D374,0))</f>
        <v/>
      </c>
      <c r="F374" s="6">
        <f>IF(Config!$G$13=0,0,IF(AND(ABS(($A374-Config!$F$13)/Config!$G$13)&gt;2,ABS(($A374-Config!$F$13)/Config!$G$13)&lt;=3),$D374,0))</f>
        <v/>
      </c>
      <c r="G374" s="6">
        <f>IF(Config!$G$13=0,0,IF(ABS(($A374-Config!$F$13)/Config!$G$13)&gt;3,$D374,0))</f>
        <v/>
      </c>
      <c r="H374" s="6">
        <f>IFERROR(NORM.DIST($A374,Config!$F$13,Config!$G$13,FALSE)*Config!$D$13*Config!$J$13,0)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IFERROR(NORM.DIST($A375,Config!$F$13,Config!$G$13,FALSE)*Config!$D$13*Config!$J$13,0)</f>
        <v/>
      </c>
    </row>
    <row r="376">
      <c r="A376" s="6">
        <f>Config!$K$13+22*Config!$J$13+Config!$J$13/2</f>
        <v/>
      </c>
      <c r="B376" s="6">
        <f>$A376-Config!$J$13/2</f>
        <v/>
      </c>
      <c r="C376" s="6">
        <f>$A376+Config!$J$13/2</f>
        <v/>
      </c>
      <c r="D376" s="6">
        <f>COUNTIFS(RawData!$C$2:$C$941,"LT",RawData!$R$2:$R$941,"&gt;="&amp;$B376,RawData!$R$2:$R$941,"&lt;"&amp;$C376,RawData!$R$2:$R$941,"&lt;&gt;0")</f>
        <v/>
      </c>
      <c r="E376" s="6">
        <f>IF(Config!$G$13=0,0,IF(ABS(($A376-Config!$F$13)/Config!$G$13)&lt;=2,$D376,0))</f>
        <v/>
      </c>
      <c r="F376" s="6">
        <f>IF(Config!$G$13=0,0,IF(AND(ABS(($A376-Config!$F$13)/Config!$G$13)&gt;2,ABS(($A376-Config!$F$13)/Config!$G$13)&lt;=3),$D376,0))</f>
        <v/>
      </c>
      <c r="G376" s="6">
        <f>IF(Config!$G$13=0,0,IF(ABS(($A376-Config!$F$13)/Config!$G$13)&gt;3,$D376,0))</f>
        <v/>
      </c>
      <c r="H376" s="6">
        <f>IFERROR(NORM.DIST($A376,Config!$F$13,Config!$G$13,FALSE)*Config!$D$13*Config!$J$13,0)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IFERROR(NORM.DIST($A377,Config!$F$13,Config!$G$13,FALSE)*Config!$D$13*Config!$J$13,0)</f>
        <v/>
      </c>
    </row>
    <row r="378">
      <c r="A378" s="6">
        <f>Config!$K$13+24*Config!$J$13+Config!$J$13/2</f>
        <v/>
      </c>
      <c r="B378" s="6">
        <f>$A378-Config!$J$13/2</f>
        <v/>
      </c>
      <c r="C378" s="6">
        <f>$A378+Config!$J$13/2</f>
        <v/>
      </c>
      <c r="D378" s="6">
        <f>COUNTIFS(RawData!$C$2:$C$941,"LT",RawData!$R$2:$R$941,"&gt;="&amp;$B378,RawData!$R$2:$R$941,"&lt;"&amp;$C378,RawData!$R$2:$R$941,"&lt;&gt;0")</f>
        <v/>
      </c>
      <c r="E378" s="6">
        <f>IF(Config!$G$13=0,0,IF(ABS(($A378-Config!$F$13)/Config!$G$13)&lt;=2,$D378,0))</f>
        <v/>
      </c>
      <c r="F378" s="6">
        <f>IF(Config!$G$13=0,0,IF(AND(ABS(($A378-Config!$F$13)/Config!$G$13)&gt;2,ABS(($A378-Config!$F$13)/Config!$G$13)&lt;=3),$D378,0))</f>
        <v/>
      </c>
      <c r="G378" s="6">
        <f>IF(Config!$G$13=0,0,IF(ABS(($A378-Config!$F$13)/Config!$G$13)&gt;3,$D378,0))</f>
        <v/>
      </c>
      <c r="H378" s="6">
        <f>IFERROR(NORM.DIST($A378,Config!$F$13,Config!$G$13,FALSE)*Config!$D$13*Config!$J$13,0)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IFERROR(NORM.DIST($A379,Config!$F$13,Config!$G$13,FALSE)*Config!$D$13*Config!$J$13,0)</f>
        <v/>
      </c>
    </row>
    <row r="380">
      <c r="A380" s="6">
        <f>Config!$K$13+26*Config!$J$13+Config!$J$13/2</f>
        <v/>
      </c>
      <c r="B380" s="6">
        <f>$A380-Config!$J$13/2</f>
        <v/>
      </c>
      <c r="C380" s="6">
        <f>$A380+Config!$J$13/2</f>
        <v/>
      </c>
      <c r="D380" s="6">
        <f>COUNTIFS(RawData!$C$2:$C$941,"LT",RawData!$R$2:$R$941,"&gt;="&amp;$B380,RawData!$R$2:$R$941,"&lt;"&amp;$C380,RawData!$R$2:$R$941,"&lt;&gt;0")</f>
        <v/>
      </c>
      <c r="E380" s="6">
        <f>IF(Config!$G$13=0,0,IF(ABS(($A380-Config!$F$13)/Config!$G$13)&lt;=2,$D380,0))</f>
        <v/>
      </c>
      <c r="F380" s="6">
        <f>IF(Config!$G$13=0,0,IF(AND(ABS(($A380-Config!$F$13)/Config!$G$13)&gt;2,ABS(($A380-Config!$F$13)/Config!$G$13)&lt;=3),$D380,0))</f>
        <v/>
      </c>
      <c r="G380" s="6">
        <f>IF(Config!$G$13=0,0,IF(ABS(($A380-Config!$F$13)/Config!$G$13)&gt;3,$D380,0))</f>
        <v/>
      </c>
      <c r="H380" s="6">
        <f>IFERROR(NORM.DIST($A380,Config!$F$13,Config!$G$13,FALSE)*Config!$D$13*Config!$J$13,0)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IFERROR(NORM.DIST($A381,Config!$F$13,Config!$G$13,FALSE)*Config!$D$13*Config!$J$13,0)</f>
        <v/>
      </c>
    </row>
    <row r="382">
      <c r="A382" s="6">
        <f>Config!$K$13+28*Config!$J$13+Config!$J$13/2</f>
        <v/>
      </c>
      <c r="B382" s="6">
        <f>$A382-Config!$J$13/2</f>
        <v/>
      </c>
      <c r="C382" s="6">
        <f>$A382+Config!$J$13/2</f>
        <v/>
      </c>
      <c r="D382" s="6">
        <f>COUNTIFS(RawData!$C$2:$C$941,"LT",RawData!$R$2:$R$941,"&gt;="&amp;$B382,RawData!$R$2:$R$941,"&lt;"&amp;$C382,RawData!$R$2:$R$941,"&lt;&gt;0")</f>
        <v/>
      </c>
      <c r="E382" s="6">
        <f>IF(Config!$G$13=0,0,IF(ABS(($A382-Config!$F$13)/Config!$G$13)&lt;=2,$D382,0))</f>
        <v/>
      </c>
      <c r="F382" s="6">
        <f>IF(Config!$G$13=0,0,IF(AND(ABS(($A382-Config!$F$13)/Config!$G$13)&gt;2,ABS(($A382-Config!$F$13)/Config!$G$13)&lt;=3),$D382,0))</f>
        <v/>
      </c>
      <c r="G382" s="6">
        <f>IF(Config!$G$13=0,0,IF(ABS(($A382-Config!$F$13)/Config!$G$13)&gt;3,$D382,0))</f>
        <v/>
      </c>
      <c r="H382" s="6">
        <f>IFERROR(NORM.DIST($A382,Config!$F$13,Config!$G$13,FALSE)*Config!$D$13*Config!$J$13,0)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IFERROR(NORM.DIST($A383,Config!$F$13,Config!$G$13,FALSE)*Config!$D$13*Config!$J$13,0)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Config!$K$14+0*Config!$J$14+Config!$J$14/2</f>
        <v/>
      </c>
      <c r="B2" s="6">
        <f>$A2-Config!$J$14/2</f>
        <v/>
      </c>
      <c r="C2" s="6">
        <f>$A2+Config!$J$14/2</f>
        <v/>
      </c>
      <c r="D2" s="6">
        <f>COUNTIFS(RawData!$C$2:$C$941,"MT",RawData!$G$2:$G$941,"&gt;="&amp;$B2,RawData!$G$2:$G$941,"&lt;"&amp;$C2,RawData!$G$2:$G$941,"&lt;&gt;0")</f>
        <v/>
      </c>
      <c r="E2" s="6">
        <f>IF(Config!$G$14=0,0,IF(ABS(($A2-Config!$F$14)/Config!$G$14)&lt;=2,$D2,0))</f>
        <v/>
      </c>
      <c r="F2" s="6">
        <f>IF(Config!$G$14=0,0,IF(AND(ABS(($A2-Config!$F$14)/Config!$G$14)&gt;2,ABS(($A2-Config!$F$14)/Config!$G$14)&lt;=3),$D2,0))</f>
        <v/>
      </c>
      <c r="G2" s="6">
        <f>IF(Config!$G$14=0,0,IF(ABS(($A2-Config!$F$14)/Config!$G$14)&gt;3,$D2,0))</f>
        <v/>
      </c>
      <c r="H2" s="6">
        <f>IFERROR(NORM.DIST($A2,Config!$F$14,Config!$G$14,FALSE)*Config!$D$14*Config!$J$14,0)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IFERROR(NORM.DIST($A3,Config!$F$14,Config!$G$14,FALSE)*Config!$D$14*Config!$J$14,0)</f>
        <v/>
      </c>
    </row>
    <row r="4">
      <c r="A4" s="6">
        <f>Config!$K$14+2*Config!$J$14+Config!$J$14/2</f>
        <v/>
      </c>
      <c r="B4" s="6">
        <f>$A4-Config!$J$14/2</f>
        <v/>
      </c>
      <c r="C4" s="6">
        <f>$A4+Config!$J$14/2</f>
        <v/>
      </c>
      <c r="D4" s="6">
        <f>COUNTIFS(RawData!$C$2:$C$941,"MT",RawData!$G$2:$G$941,"&gt;="&amp;$B4,RawData!$G$2:$G$941,"&lt;"&amp;$C4,RawData!$G$2:$G$941,"&lt;&gt;0")</f>
        <v/>
      </c>
      <c r="E4" s="6">
        <f>IF(Config!$G$14=0,0,IF(ABS(($A4-Config!$F$14)/Config!$G$14)&lt;=2,$D4,0))</f>
        <v/>
      </c>
      <c r="F4" s="6">
        <f>IF(Config!$G$14=0,0,IF(AND(ABS(($A4-Config!$F$14)/Config!$G$14)&gt;2,ABS(($A4-Config!$F$14)/Config!$G$14)&lt;=3),$D4,0))</f>
        <v/>
      </c>
      <c r="G4" s="6">
        <f>IF(Config!$G$14=0,0,IF(ABS(($A4-Config!$F$14)/Config!$G$14)&gt;3,$D4,0))</f>
        <v/>
      </c>
      <c r="H4" s="6">
        <f>IFERROR(NORM.DIST($A4,Config!$F$14,Config!$G$14,FALSE)*Config!$D$14*Config!$J$14,0)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IFERROR(NORM.DIST($A5,Config!$F$14,Config!$G$14,FALSE)*Config!$D$14*Config!$J$14,0)</f>
        <v/>
      </c>
    </row>
    <row r="6">
      <c r="A6" s="6">
        <f>Config!$K$14+4*Config!$J$14+Config!$J$14/2</f>
        <v/>
      </c>
      <c r="B6" s="6">
        <f>$A6-Config!$J$14/2</f>
        <v/>
      </c>
      <c r="C6" s="6">
        <f>$A6+Config!$J$14/2</f>
        <v/>
      </c>
      <c r="D6" s="6">
        <f>COUNTIFS(RawData!$C$2:$C$941,"MT",RawData!$G$2:$G$941,"&gt;="&amp;$B6,RawData!$G$2:$G$941,"&lt;"&amp;$C6,RawData!$G$2:$G$941,"&lt;&gt;0")</f>
        <v/>
      </c>
      <c r="E6" s="6">
        <f>IF(Config!$G$14=0,0,IF(ABS(($A6-Config!$F$14)/Config!$G$14)&lt;=2,$D6,0))</f>
        <v/>
      </c>
      <c r="F6" s="6">
        <f>IF(Config!$G$14=0,0,IF(AND(ABS(($A6-Config!$F$14)/Config!$G$14)&gt;2,ABS(($A6-Config!$F$14)/Config!$G$14)&lt;=3),$D6,0))</f>
        <v/>
      </c>
      <c r="G6" s="6">
        <f>IF(Config!$G$14=0,0,IF(ABS(($A6-Config!$F$14)/Config!$G$14)&gt;3,$D6,0))</f>
        <v/>
      </c>
      <c r="H6" s="6">
        <f>IFERROR(NORM.DIST($A6,Config!$F$14,Config!$G$14,FALSE)*Config!$D$14*Config!$J$14,0)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IFERROR(NORM.DIST($A7,Config!$F$14,Config!$G$14,FALSE)*Config!$D$14*Config!$J$14,0)</f>
        <v/>
      </c>
    </row>
    <row r="8">
      <c r="A8" s="6">
        <f>Config!$K$14+6*Config!$J$14+Config!$J$14/2</f>
        <v/>
      </c>
      <c r="B8" s="6">
        <f>$A8-Config!$J$14/2</f>
        <v/>
      </c>
      <c r="C8" s="6">
        <f>$A8+Config!$J$14/2</f>
        <v/>
      </c>
      <c r="D8" s="6">
        <f>COUNTIFS(RawData!$C$2:$C$941,"MT",RawData!$G$2:$G$941,"&gt;="&amp;$B8,RawData!$G$2:$G$941,"&lt;"&amp;$C8,RawData!$G$2:$G$941,"&lt;&gt;0")</f>
        <v/>
      </c>
      <c r="E8" s="6">
        <f>IF(Config!$G$14=0,0,IF(ABS(($A8-Config!$F$14)/Config!$G$14)&lt;=2,$D8,0))</f>
        <v/>
      </c>
      <c r="F8" s="6">
        <f>IF(Config!$G$14=0,0,IF(AND(ABS(($A8-Config!$F$14)/Config!$G$14)&gt;2,ABS(($A8-Config!$F$14)/Config!$G$14)&lt;=3),$D8,0))</f>
        <v/>
      </c>
      <c r="G8" s="6">
        <f>IF(Config!$G$14=0,0,IF(ABS(($A8-Config!$F$14)/Config!$G$14)&gt;3,$D8,0))</f>
        <v/>
      </c>
      <c r="H8" s="6">
        <f>IFERROR(NORM.DIST($A8,Config!$F$14,Config!$G$14,FALSE)*Config!$D$14*Config!$J$14,0)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IFERROR(NORM.DIST($A9,Config!$F$14,Config!$G$14,FALSE)*Config!$D$14*Config!$J$14,0)</f>
        <v/>
      </c>
    </row>
    <row r="10">
      <c r="A10" s="6">
        <f>Config!$K$14+8*Config!$J$14+Config!$J$14/2</f>
        <v/>
      </c>
      <c r="B10" s="6">
        <f>$A10-Config!$J$14/2</f>
        <v/>
      </c>
      <c r="C10" s="6">
        <f>$A10+Config!$J$14/2</f>
        <v/>
      </c>
      <c r="D10" s="6">
        <f>COUNTIFS(RawData!$C$2:$C$941,"MT",RawData!$G$2:$G$941,"&gt;="&amp;$B10,RawData!$G$2:$G$941,"&lt;"&amp;$C10,RawData!$G$2:$G$941,"&lt;&gt;0")</f>
        <v/>
      </c>
      <c r="E10" s="6">
        <f>IF(Config!$G$14=0,0,IF(ABS(($A10-Config!$F$14)/Config!$G$14)&lt;=2,$D10,0))</f>
        <v/>
      </c>
      <c r="F10" s="6">
        <f>IF(Config!$G$14=0,0,IF(AND(ABS(($A10-Config!$F$14)/Config!$G$14)&gt;2,ABS(($A10-Config!$F$14)/Config!$G$14)&lt;=3),$D10,0))</f>
        <v/>
      </c>
      <c r="G10" s="6">
        <f>IF(Config!$G$14=0,0,IF(ABS(($A10-Config!$F$14)/Config!$G$14)&gt;3,$D10,0))</f>
        <v/>
      </c>
      <c r="H10" s="6">
        <f>IFERROR(NORM.DIST($A10,Config!$F$14,Config!$G$14,FALSE)*Config!$D$14*Config!$J$14,0)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IFERROR(NORM.DIST($A11,Config!$F$14,Config!$G$14,FALSE)*Config!$D$14*Config!$J$14,0)</f>
        <v/>
      </c>
    </row>
    <row r="12">
      <c r="A12" s="6">
        <f>Config!$K$14+10*Config!$J$14+Config!$J$14/2</f>
        <v/>
      </c>
      <c r="B12" s="6">
        <f>$A12-Config!$J$14/2</f>
        <v/>
      </c>
      <c r="C12" s="6">
        <f>$A12+Config!$J$14/2</f>
        <v/>
      </c>
      <c r="D12" s="6">
        <f>COUNTIFS(RawData!$C$2:$C$941,"MT",RawData!$G$2:$G$941,"&gt;="&amp;$B12,RawData!$G$2:$G$941,"&lt;"&amp;$C12,RawData!$G$2:$G$941,"&lt;&gt;0")</f>
        <v/>
      </c>
      <c r="E12" s="6">
        <f>IF(Config!$G$14=0,0,IF(ABS(($A12-Config!$F$14)/Config!$G$14)&lt;=2,$D12,0))</f>
        <v/>
      </c>
      <c r="F12" s="6">
        <f>IF(Config!$G$14=0,0,IF(AND(ABS(($A12-Config!$F$14)/Config!$G$14)&gt;2,ABS(($A12-Config!$F$14)/Config!$G$14)&lt;=3),$D12,0))</f>
        <v/>
      </c>
      <c r="G12" s="6">
        <f>IF(Config!$G$14=0,0,IF(ABS(($A12-Config!$F$14)/Config!$G$14)&gt;3,$D12,0))</f>
        <v/>
      </c>
      <c r="H12" s="6">
        <f>IFERROR(NORM.DIST($A12,Config!$F$14,Config!$G$14,FALSE)*Config!$D$14*Config!$J$14,0)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IFERROR(NORM.DIST($A13,Config!$F$14,Config!$G$14,FALSE)*Config!$D$14*Config!$J$14,0)</f>
        <v/>
      </c>
    </row>
    <row r="14">
      <c r="A14" s="6">
        <f>Config!$K$14+12*Config!$J$14+Config!$J$14/2</f>
        <v/>
      </c>
      <c r="B14" s="6">
        <f>$A14-Config!$J$14/2</f>
        <v/>
      </c>
      <c r="C14" s="6">
        <f>$A14+Config!$J$14/2</f>
        <v/>
      </c>
      <c r="D14" s="6">
        <f>COUNTIFS(RawData!$C$2:$C$941,"MT",RawData!$G$2:$G$941,"&gt;="&amp;$B14,RawData!$G$2:$G$941,"&lt;"&amp;$C14,RawData!$G$2:$G$941,"&lt;&gt;0")</f>
        <v/>
      </c>
      <c r="E14" s="6">
        <f>IF(Config!$G$14=0,0,IF(ABS(($A14-Config!$F$14)/Config!$G$14)&lt;=2,$D14,0))</f>
        <v/>
      </c>
      <c r="F14" s="6">
        <f>IF(Config!$G$14=0,0,IF(AND(ABS(($A14-Config!$F$14)/Config!$G$14)&gt;2,ABS(($A14-Config!$F$14)/Config!$G$14)&lt;=3),$D14,0))</f>
        <v/>
      </c>
      <c r="G14" s="6">
        <f>IF(Config!$G$14=0,0,IF(ABS(($A14-Config!$F$14)/Config!$G$14)&gt;3,$D14,0))</f>
        <v/>
      </c>
      <c r="H14" s="6">
        <f>IFERROR(NORM.DIST($A14,Config!$F$14,Config!$G$14,FALSE)*Config!$D$14*Config!$J$14,0)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IFERROR(NORM.DIST($A15,Config!$F$14,Config!$G$14,FALSE)*Config!$D$14*Config!$J$14,0)</f>
        <v/>
      </c>
    </row>
    <row r="16">
      <c r="A16" s="6">
        <f>Config!$K$14+14*Config!$J$14+Config!$J$14/2</f>
        <v/>
      </c>
      <c r="B16" s="6">
        <f>$A16-Config!$J$14/2</f>
        <v/>
      </c>
      <c r="C16" s="6">
        <f>$A16+Config!$J$14/2</f>
        <v/>
      </c>
      <c r="D16" s="6">
        <f>COUNTIFS(RawData!$C$2:$C$941,"MT",RawData!$G$2:$G$941,"&gt;="&amp;$B16,RawData!$G$2:$G$941,"&lt;"&amp;$C16,RawData!$G$2:$G$941,"&lt;&gt;0")</f>
        <v/>
      </c>
      <c r="E16" s="6">
        <f>IF(Config!$G$14=0,0,IF(ABS(($A16-Config!$F$14)/Config!$G$14)&lt;=2,$D16,0))</f>
        <v/>
      </c>
      <c r="F16" s="6">
        <f>IF(Config!$G$14=0,0,IF(AND(ABS(($A16-Config!$F$14)/Config!$G$14)&gt;2,ABS(($A16-Config!$F$14)/Config!$G$14)&lt;=3),$D16,0))</f>
        <v/>
      </c>
      <c r="G16" s="6">
        <f>IF(Config!$G$14=0,0,IF(ABS(($A16-Config!$F$14)/Config!$G$14)&gt;3,$D16,0))</f>
        <v/>
      </c>
      <c r="H16" s="6">
        <f>IFERROR(NORM.DIST($A16,Config!$F$14,Config!$G$14,FALSE)*Config!$D$14*Config!$J$14,0)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IFERROR(NORM.DIST($A17,Config!$F$14,Config!$G$14,FALSE)*Config!$D$14*Config!$J$14,0)</f>
        <v/>
      </c>
    </row>
    <row r="18">
      <c r="A18" s="6">
        <f>Config!$K$14+16*Config!$J$14+Config!$J$14/2</f>
        <v/>
      </c>
      <c r="B18" s="6">
        <f>$A18-Config!$J$14/2</f>
        <v/>
      </c>
      <c r="C18" s="6">
        <f>$A18+Config!$J$14/2</f>
        <v/>
      </c>
      <c r="D18" s="6">
        <f>COUNTIFS(RawData!$C$2:$C$941,"MT",RawData!$G$2:$G$941,"&gt;="&amp;$B18,RawData!$G$2:$G$941,"&lt;"&amp;$C18,RawData!$G$2:$G$941,"&lt;&gt;0")</f>
        <v/>
      </c>
      <c r="E18" s="6">
        <f>IF(Config!$G$14=0,0,IF(ABS(($A18-Config!$F$14)/Config!$G$14)&lt;=2,$D18,0))</f>
        <v/>
      </c>
      <c r="F18" s="6">
        <f>IF(Config!$G$14=0,0,IF(AND(ABS(($A18-Config!$F$14)/Config!$G$14)&gt;2,ABS(($A18-Config!$F$14)/Config!$G$14)&lt;=3),$D18,0))</f>
        <v/>
      </c>
      <c r="G18" s="6">
        <f>IF(Config!$G$14=0,0,IF(ABS(($A18-Config!$F$14)/Config!$G$14)&gt;3,$D18,0))</f>
        <v/>
      </c>
      <c r="H18" s="6">
        <f>IFERROR(NORM.DIST($A18,Config!$F$14,Config!$G$14,FALSE)*Config!$D$14*Config!$J$14,0)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IFERROR(NORM.DIST($A19,Config!$F$14,Config!$G$14,FALSE)*Config!$D$14*Config!$J$14,0)</f>
        <v/>
      </c>
    </row>
    <row r="20">
      <c r="A20" s="6">
        <f>Config!$K$14+18*Config!$J$14+Config!$J$14/2</f>
        <v/>
      </c>
      <c r="B20" s="6">
        <f>$A20-Config!$J$14/2</f>
        <v/>
      </c>
      <c r="C20" s="6">
        <f>$A20+Config!$J$14/2</f>
        <v/>
      </c>
      <c r="D20" s="6">
        <f>COUNTIFS(RawData!$C$2:$C$941,"MT",RawData!$G$2:$G$941,"&gt;="&amp;$B20,RawData!$G$2:$G$941,"&lt;"&amp;$C20,RawData!$G$2:$G$941,"&lt;&gt;0")</f>
        <v/>
      </c>
      <c r="E20" s="6">
        <f>IF(Config!$G$14=0,0,IF(ABS(($A20-Config!$F$14)/Config!$G$14)&lt;=2,$D20,0))</f>
        <v/>
      </c>
      <c r="F20" s="6">
        <f>IF(Config!$G$14=0,0,IF(AND(ABS(($A20-Config!$F$14)/Config!$G$14)&gt;2,ABS(($A20-Config!$F$14)/Config!$G$14)&lt;=3),$D20,0))</f>
        <v/>
      </c>
      <c r="G20" s="6">
        <f>IF(Config!$G$14=0,0,IF(ABS(($A20-Config!$F$14)/Config!$G$14)&gt;3,$D20,0))</f>
        <v/>
      </c>
      <c r="H20" s="6">
        <f>IFERROR(NORM.DIST($A20,Config!$F$14,Config!$G$14,FALSE)*Config!$D$14*Config!$J$14,0)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IFERROR(NORM.DIST($A21,Config!$F$14,Config!$G$14,FALSE)*Config!$D$14*Config!$J$14,0)</f>
        <v/>
      </c>
    </row>
    <row r="22">
      <c r="A22" s="6">
        <f>Config!$K$14+20*Config!$J$14+Config!$J$14/2</f>
        <v/>
      </c>
      <c r="B22" s="6">
        <f>$A22-Config!$J$14/2</f>
        <v/>
      </c>
      <c r="C22" s="6">
        <f>$A22+Config!$J$14/2</f>
        <v/>
      </c>
      <c r="D22" s="6">
        <f>COUNTIFS(RawData!$C$2:$C$941,"MT",RawData!$G$2:$G$941,"&gt;="&amp;$B22,RawData!$G$2:$G$941,"&lt;"&amp;$C22,RawData!$G$2:$G$941,"&lt;&gt;0")</f>
        <v/>
      </c>
      <c r="E22" s="6">
        <f>IF(Config!$G$14=0,0,IF(ABS(($A22-Config!$F$14)/Config!$G$14)&lt;=2,$D22,0))</f>
        <v/>
      </c>
      <c r="F22" s="6">
        <f>IF(Config!$G$14=0,0,IF(AND(ABS(($A22-Config!$F$14)/Config!$G$14)&gt;2,ABS(($A22-Config!$F$14)/Config!$G$14)&lt;=3),$D22,0))</f>
        <v/>
      </c>
      <c r="G22" s="6">
        <f>IF(Config!$G$14=0,0,IF(ABS(($A22-Config!$F$14)/Config!$G$14)&gt;3,$D22,0))</f>
        <v/>
      </c>
      <c r="H22" s="6">
        <f>IFERROR(NORM.DIST($A22,Config!$F$14,Config!$G$14,FALSE)*Config!$D$14*Config!$J$14,0)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IFERROR(NORM.DIST($A23,Config!$F$14,Config!$G$14,FALSE)*Config!$D$14*Config!$J$14,0)</f>
        <v/>
      </c>
    </row>
    <row r="24">
      <c r="A24" s="6">
        <f>Config!$K$14+22*Config!$J$14+Config!$J$14/2</f>
        <v/>
      </c>
      <c r="B24" s="6">
        <f>$A24-Config!$J$14/2</f>
        <v/>
      </c>
      <c r="C24" s="6">
        <f>$A24+Config!$J$14/2</f>
        <v/>
      </c>
      <c r="D24" s="6">
        <f>COUNTIFS(RawData!$C$2:$C$941,"MT",RawData!$G$2:$G$941,"&gt;="&amp;$B24,RawData!$G$2:$G$941,"&lt;"&amp;$C24,RawData!$G$2:$G$941,"&lt;&gt;0")</f>
        <v/>
      </c>
      <c r="E24" s="6">
        <f>IF(Config!$G$14=0,0,IF(ABS(($A24-Config!$F$14)/Config!$G$14)&lt;=2,$D24,0))</f>
        <v/>
      </c>
      <c r="F24" s="6">
        <f>IF(Config!$G$14=0,0,IF(AND(ABS(($A24-Config!$F$14)/Config!$G$14)&gt;2,ABS(($A24-Config!$F$14)/Config!$G$14)&lt;=3),$D24,0))</f>
        <v/>
      </c>
      <c r="G24" s="6">
        <f>IF(Config!$G$14=0,0,IF(ABS(($A24-Config!$F$14)/Config!$G$14)&gt;3,$D24,0))</f>
        <v/>
      </c>
      <c r="H24" s="6">
        <f>IFERROR(NORM.DIST($A24,Config!$F$14,Config!$G$14,FALSE)*Config!$D$14*Config!$J$14,0)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IFERROR(NORM.DIST($A25,Config!$F$14,Config!$G$14,FALSE)*Config!$D$14*Config!$J$14,0)</f>
        <v/>
      </c>
    </row>
    <row r="26">
      <c r="A26" s="6">
        <f>Config!$K$14+24*Config!$J$14+Config!$J$14/2</f>
        <v/>
      </c>
      <c r="B26" s="6">
        <f>$A26-Config!$J$14/2</f>
        <v/>
      </c>
      <c r="C26" s="6">
        <f>$A26+Config!$J$14/2</f>
        <v/>
      </c>
      <c r="D26" s="6">
        <f>COUNTIFS(RawData!$C$2:$C$941,"MT",RawData!$G$2:$G$941,"&gt;="&amp;$B26,RawData!$G$2:$G$941,"&lt;"&amp;$C26,RawData!$G$2:$G$941,"&lt;&gt;0")</f>
        <v/>
      </c>
      <c r="E26" s="6">
        <f>IF(Config!$G$14=0,0,IF(ABS(($A26-Config!$F$14)/Config!$G$14)&lt;=2,$D26,0))</f>
        <v/>
      </c>
      <c r="F26" s="6">
        <f>IF(Config!$G$14=0,0,IF(AND(ABS(($A26-Config!$F$14)/Config!$G$14)&gt;2,ABS(($A26-Config!$F$14)/Config!$G$14)&lt;=3),$D26,0))</f>
        <v/>
      </c>
      <c r="G26" s="6">
        <f>IF(Config!$G$14=0,0,IF(ABS(($A26-Config!$F$14)/Config!$G$14)&gt;3,$D26,0))</f>
        <v/>
      </c>
      <c r="H26" s="6">
        <f>IFERROR(NORM.DIST($A26,Config!$F$14,Config!$G$14,FALSE)*Config!$D$14*Config!$J$14,0)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IFERROR(NORM.DIST($A27,Config!$F$14,Config!$G$14,FALSE)*Config!$D$14*Config!$J$14,0)</f>
        <v/>
      </c>
    </row>
    <row r="28">
      <c r="A28" s="6">
        <f>Config!$K$14+26*Config!$J$14+Config!$J$14/2</f>
        <v/>
      </c>
      <c r="B28" s="6">
        <f>$A28-Config!$J$14/2</f>
        <v/>
      </c>
      <c r="C28" s="6">
        <f>$A28+Config!$J$14/2</f>
        <v/>
      </c>
      <c r="D28" s="6">
        <f>COUNTIFS(RawData!$C$2:$C$941,"MT",RawData!$G$2:$G$941,"&gt;="&amp;$B28,RawData!$G$2:$G$941,"&lt;"&amp;$C28,RawData!$G$2:$G$941,"&lt;&gt;0")</f>
        <v/>
      </c>
      <c r="E28" s="6">
        <f>IF(Config!$G$14=0,0,IF(ABS(($A28-Config!$F$14)/Config!$G$14)&lt;=2,$D28,0))</f>
        <v/>
      </c>
      <c r="F28" s="6">
        <f>IF(Config!$G$14=0,0,IF(AND(ABS(($A28-Config!$F$14)/Config!$G$14)&gt;2,ABS(($A28-Config!$F$14)/Config!$G$14)&lt;=3),$D28,0))</f>
        <v/>
      </c>
      <c r="G28" s="6">
        <f>IF(Config!$G$14=0,0,IF(ABS(($A28-Config!$F$14)/Config!$G$14)&gt;3,$D28,0))</f>
        <v/>
      </c>
      <c r="H28" s="6">
        <f>IFERROR(NORM.DIST($A28,Config!$F$14,Config!$G$14,FALSE)*Config!$D$14*Config!$J$14,0)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IFERROR(NORM.DIST($A29,Config!$F$14,Config!$G$14,FALSE)*Config!$D$14*Config!$J$14,0)</f>
        <v/>
      </c>
    </row>
    <row r="30">
      <c r="A30" s="6">
        <f>Config!$K$14+28*Config!$J$14+Config!$J$14/2</f>
        <v/>
      </c>
      <c r="B30" s="6">
        <f>$A30-Config!$J$14/2</f>
        <v/>
      </c>
      <c r="C30" s="6">
        <f>$A30+Config!$J$14/2</f>
        <v/>
      </c>
      <c r="D30" s="6">
        <f>COUNTIFS(RawData!$C$2:$C$941,"MT",RawData!$G$2:$G$941,"&gt;="&amp;$B30,RawData!$G$2:$G$941,"&lt;"&amp;$C30,RawData!$G$2:$G$941,"&lt;&gt;0")</f>
        <v/>
      </c>
      <c r="E30" s="6">
        <f>IF(Config!$G$14=0,0,IF(ABS(($A30-Config!$F$14)/Config!$G$14)&lt;=2,$D30,0))</f>
        <v/>
      </c>
      <c r="F30" s="6">
        <f>IF(Config!$G$14=0,0,IF(AND(ABS(($A30-Config!$F$14)/Config!$G$14)&gt;2,ABS(($A30-Config!$F$14)/Config!$G$14)&lt;=3),$D30,0))</f>
        <v/>
      </c>
      <c r="G30" s="6">
        <f>IF(Config!$G$14=0,0,IF(ABS(($A30-Config!$F$14)/Config!$G$14)&gt;3,$D30,0))</f>
        <v/>
      </c>
      <c r="H30" s="6">
        <f>IFERROR(NORM.DIST($A30,Config!$F$14,Config!$G$14,FALSE)*Config!$D$14*Config!$J$14,0)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IFERROR(NORM.DIST($A31,Config!$F$14,Config!$G$14,FALSE)*Config!$D$14*Config!$J$14,0)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Config!$K$15+0*Config!$J$15+Config!$J$15/2</f>
        <v/>
      </c>
      <c r="B34" s="6">
        <f>$A34-Config!$J$15/2</f>
        <v/>
      </c>
      <c r="C34" s="6">
        <f>$A34+Config!$J$15/2</f>
        <v/>
      </c>
      <c r="D34" s="6">
        <f>COUNTIFS(RawData!$C$2:$C$941,"MT",RawData!$H$2:$H$941,"&gt;="&amp;$B34,RawData!$H$2:$H$941,"&lt;"&amp;$C34,RawData!$H$2:$H$941,"&lt;&gt;0")</f>
        <v/>
      </c>
      <c r="E34" s="6">
        <f>IF(Config!$G$15=0,0,IF(ABS(($A34-Config!$F$15)/Config!$G$15)&lt;=2,$D34,0))</f>
        <v/>
      </c>
      <c r="F34" s="6">
        <f>IF(Config!$G$15=0,0,IF(AND(ABS(($A34-Config!$F$15)/Config!$G$15)&gt;2,ABS(($A34-Config!$F$15)/Config!$G$15)&lt;=3),$D34,0))</f>
        <v/>
      </c>
      <c r="G34" s="6">
        <f>IF(Config!$G$15=0,0,IF(ABS(($A34-Config!$F$15)/Config!$G$15)&gt;3,$D34,0))</f>
        <v/>
      </c>
      <c r="H34" s="6">
        <f>IFERROR(NORM.DIST($A34,Config!$F$15,Config!$G$15,FALSE)*Config!$D$15*Config!$J$15,0)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IFERROR(NORM.DIST($A35,Config!$F$15,Config!$G$15,FALSE)*Config!$D$15*Config!$J$15,0)</f>
        <v/>
      </c>
    </row>
    <row r="36">
      <c r="A36" s="6">
        <f>Config!$K$15+2*Config!$J$15+Config!$J$15/2</f>
        <v/>
      </c>
      <c r="B36" s="6">
        <f>$A36-Config!$J$15/2</f>
        <v/>
      </c>
      <c r="C36" s="6">
        <f>$A36+Config!$J$15/2</f>
        <v/>
      </c>
      <c r="D36" s="6">
        <f>COUNTIFS(RawData!$C$2:$C$941,"MT",RawData!$H$2:$H$941,"&gt;="&amp;$B36,RawData!$H$2:$H$941,"&lt;"&amp;$C36,RawData!$H$2:$H$941,"&lt;&gt;0")</f>
        <v/>
      </c>
      <c r="E36" s="6">
        <f>IF(Config!$G$15=0,0,IF(ABS(($A36-Config!$F$15)/Config!$G$15)&lt;=2,$D36,0))</f>
        <v/>
      </c>
      <c r="F36" s="6">
        <f>IF(Config!$G$15=0,0,IF(AND(ABS(($A36-Config!$F$15)/Config!$G$15)&gt;2,ABS(($A36-Config!$F$15)/Config!$G$15)&lt;=3),$D36,0))</f>
        <v/>
      </c>
      <c r="G36" s="6">
        <f>IF(Config!$G$15=0,0,IF(ABS(($A36-Config!$F$15)/Config!$G$15)&gt;3,$D36,0))</f>
        <v/>
      </c>
      <c r="H36" s="6">
        <f>IFERROR(NORM.DIST($A36,Config!$F$15,Config!$G$15,FALSE)*Config!$D$15*Config!$J$15,0)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IFERROR(NORM.DIST($A37,Config!$F$15,Config!$G$15,FALSE)*Config!$D$15*Config!$J$15,0)</f>
        <v/>
      </c>
    </row>
    <row r="38">
      <c r="A38" s="6">
        <f>Config!$K$15+4*Config!$J$15+Config!$J$15/2</f>
        <v/>
      </c>
      <c r="B38" s="6">
        <f>$A38-Config!$J$15/2</f>
        <v/>
      </c>
      <c r="C38" s="6">
        <f>$A38+Config!$J$15/2</f>
        <v/>
      </c>
      <c r="D38" s="6">
        <f>COUNTIFS(RawData!$C$2:$C$941,"MT",RawData!$H$2:$H$941,"&gt;="&amp;$B38,RawData!$H$2:$H$941,"&lt;"&amp;$C38,RawData!$H$2:$H$941,"&lt;&gt;0")</f>
        <v/>
      </c>
      <c r="E38" s="6">
        <f>IF(Config!$G$15=0,0,IF(ABS(($A38-Config!$F$15)/Config!$G$15)&lt;=2,$D38,0))</f>
        <v/>
      </c>
      <c r="F38" s="6">
        <f>IF(Config!$G$15=0,0,IF(AND(ABS(($A38-Config!$F$15)/Config!$G$15)&gt;2,ABS(($A38-Config!$F$15)/Config!$G$15)&lt;=3),$D38,0))</f>
        <v/>
      </c>
      <c r="G38" s="6">
        <f>IF(Config!$G$15=0,0,IF(ABS(($A38-Config!$F$15)/Config!$G$15)&gt;3,$D38,0))</f>
        <v/>
      </c>
      <c r="H38" s="6">
        <f>IFERROR(NORM.DIST($A38,Config!$F$15,Config!$G$15,FALSE)*Config!$D$15*Config!$J$15,0)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IFERROR(NORM.DIST($A39,Config!$F$15,Config!$G$15,FALSE)*Config!$D$15*Config!$J$15,0)</f>
        <v/>
      </c>
    </row>
    <row r="40">
      <c r="A40" s="6">
        <f>Config!$K$15+6*Config!$J$15+Config!$J$15/2</f>
        <v/>
      </c>
      <c r="B40" s="6">
        <f>$A40-Config!$J$15/2</f>
        <v/>
      </c>
      <c r="C40" s="6">
        <f>$A40+Config!$J$15/2</f>
        <v/>
      </c>
      <c r="D40" s="6">
        <f>COUNTIFS(RawData!$C$2:$C$941,"MT",RawData!$H$2:$H$941,"&gt;="&amp;$B40,RawData!$H$2:$H$941,"&lt;"&amp;$C40,RawData!$H$2:$H$941,"&lt;&gt;0")</f>
        <v/>
      </c>
      <c r="E40" s="6">
        <f>IF(Config!$G$15=0,0,IF(ABS(($A40-Config!$F$15)/Config!$G$15)&lt;=2,$D40,0))</f>
        <v/>
      </c>
      <c r="F40" s="6">
        <f>IF(Config!$G$15=0,0,IF(AND(ABS(($A40-Config!$F$15)/Config!$G$15)&gt;2,ABS(($A40-Config!$F$15)/Config!$G$15)&lt;=3),$D40,0))</f>
        <v/>
      </c>
      <c r="G40" s="6">
        <f>IF(Config!$G$15=0,0,IF(ABS(($A40-Config!$F$15)/Config!$G$15)&gt;3,$D40,0))</f>
        <v/>
      </c>
      <c r="H40" s="6">
        <f>IFERROR(NORM.DIST($A40,Config!$F$15,Config!$G$15,FALSE)*Config!$D$15*Config!$J$15,0)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IFERROR(NORM.DIST($A41,Config!$F$15,Config!$G$15,FALSE)*Config!$D$15*Config!$J$15,0)</f>
        <v/>
      </c>
    </row>
    <row r="42">
      <c r="A42" s="6">
        <f>Config!$K$15+8*Config!$J$15+Config!$J$15/2</f>
        <v/>
      </c>
      <c r="B42" s="6">
        <f>$A42-Config!$J$15/2</f>
        <v/>
      </c>
      <c r="C42" s="6">
        <f>$A42+Config!$J$15/2</f>
        <v/>
      </c>
      <c r="D42" s="6">
        <f>COUNTIFS(RawData!$C$2:$C$941,"MT",RawData!$H$2:$H$941,"&gt;="&amp;$B42,RawData!$H$2:$H$941,"&lt;"&amp;$C42,RawData!$H$2:$H$941,"&lt;&gt;0")</f>
        <v/>
      </c>
      <c r="E42" s="6">
        <f>IF(Config!$G$15=0,0,IF(ABS(($A42-Config!$F$15)/Config!$G$15)&lt;=2,$D42,0))</f>
        <v/>
      </c>
      <c r="F42" s="6">
        <f>IF(Config!$G$15=0,0,IF(AND(ABS(($A42-Config!$F$15)/Config!$G$15)&gt;2,ABS(($A42-Config!$F$15)/Config!$G$15)&lt;=3),$D42,0))</f>
        <v/>
      </c>
      <c r="G42" s="6">
        <f>IF(Config!$G$15=0,0,IF(ABS(($A42-Config!$F$15)/Config!$G$15)&gt;3,$D42,0))</f>
        <v/>
      </c>
      <c r="H42" s="6">
        <f>IFERROR(NORM.DIST($A42,Config!$F$15,Config!$G$15,FALSE)*Config!$D$15*Config!$J$15,0)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IFERROR(NORM.DIST($A43,Config!$F$15,Config!$G$15,FALSE)*Config!$D$15*Config!$J$15,0)</f>
        <v/>
      </c>
    </row>
    <row r="44">
      <c r="A44" s="6">
        <f>Config!$K$15+10*Config!$J$15+Config!$J$15/2</f>
        <v/>
      </c>
      <c r="B44" s="6">
        <f>$A44-Config!$J$15/2</f>
        <v/>
      </c>
      <c r="C44" s="6">
        <f>$A44+Config!$J$15/2</f>
        <v/>
      </c>
      <c r="D44" s="6">
        <f>COUNTIFS(RawData!$C$2:$C$941,"MT",RawData!$H$2:$H$941,"&gt;="&amp;$B44,RawData!$H$2:$H$941,"&lt;"&amp;$C44,RawData!$H$2:$H$941,"&lt;&gt;0")</f>
        <v/>
      </c>
      <c r="E44" s="6">
        <f>IF(Config!$G$15=0,0,IF(ABS(($A44-Config!$F$15)/Config!$G$15)&lt;=2,$D44,0))</f>
        <v/>
      </c>
      <c r="F44" s="6">
        <f>IF(Config!$G$15=0,0,IF(AND(ABS(($A44-Config!$F$15)/Config!$G$15)&gt;2,ABS(($A44-Config!$F$15)/Config!$G$15)&lt;=3),$D44,0))</f>
        <v/>
      </c>
      <c r="G44" s="6">
        <f>IF(Config!$G$15=0,0,IF(ABS(($A44-Config!$F$15)/Config!$G$15)&gt;3,$D44,0))</f>
        <v/>
      </c>
      <c r="H44" s="6">
        <f>IFERROR(NORM.DIST($A44,Config!$F$15,Config!$G$15,FALSE)*Config!$D$15*Config!$J$15,0)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IFERROR(NORM.DIST($A45,Config!$F$15,Config!$G$15,FALSE)*Config!$D$15*Config!$J$15,0)</f>
        <v/>
      </c>
    </row>
    <row r="46">
      <c r="A46" s="6">
        <f>Config!$K$15+12*Config!$J$15+Config!$J$15/2</f>
        <v/>
      </c>
      <c r="B46" s="6">
        <f>$A46-Config!$J$15/2</f>
        <v/>
      </c>
      <c r="C46" s="6">
        <f>$A46+Config!$J$15/2</f>
        <v/>
      </c>
      <c r="D46" s="6">
        <f>COUNTIFS(RawData!$C$2:$C$941,"MT",RawData!$H$2:$H$941,"&gt;="&amp;$B46,RawData!$H$2:$H$941,"&lt;"&amp;$C46,RawData!$H$2:$H$941,"&lt;&gt;0")</f>
        <v/>
      </c>
      <c r="E46" s="6">
        <f>IF(Config!$G$15=0,0,IF(ABS(($A46-Config!$F$15)/Config!$G$15)&lt;=2,$D46,0))</f>
        <v/>
      </c>
      <c r="F46" s="6">
        <f>IF(Config!$G$15=0,0,IF(AND(ABS(($A46-Config!$F$15)/Config!$G$15)&gt;2,ABS(($A46-Config!$F$15)/Config!$G$15)&lt;=3),$D46,0))</f>
        <v/>
      </c>
      <c r="G46" s="6">
        <f>IF(Config!$G$15=0,0,IF(ABS(($A46-Config!$F$15)/Config!$G$15)&gt;3,$D46,0))</f>
        <v/>
      </c>
      <c r="H46" s="6">
        <f>IFERROR(NORM.DIST($A46,Config!$F$15,Config!$G$15,FALSE)*Config!$D$15*Config!$J$15,0)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IFERROR(NORM.DIST($A47,Config!$F$15,Config!$G$15,FALSE)*Config!$D$15*Config!$J$15,0)</f>
        <v/>
      </c>
    </row>
    <row r="48">
      <c r="A48" s="6">
        <f>Config!$K$15+14*Config!$J$15+Config!$J$15/2</f>
        <v/>
      </c>
      <c r="B48" s="6">
        <f>$A48-Config!$J$15/2</f>
        <v/>
      </c>
      <c r="C48" s="6">
        <f>$A48+Config!$J$15/2</f>
        <v/>
      </c>
      <c r="D48" s="6">
        <f>COUNTIFS(RawData!$C$2:$C$941,"MT",RawData!$H$2:$H$941,"&gt;="&amp;$B48,RawData!$H$2:$H$941,"&lt;"&amp;$C48,RawData!$H$2:$H$941,"&lt;&gt;0")</f>
        <v/>
      </c>
      <c r="E48" s="6">
        <f>IF(Config!$G$15=0,0,IF(ABS(($A48-Config!$F$15)/Config!$G$15)&lt;=2,$D48,0))</f>
        <v/>
      </c>
      <c r="F48" s="6">
        <f>IF(Config!$G$15=0,0,IF(AND(ABS(($A48-Config!$F$15)/Config!$G$15)&gt;2,ABS(($A48-Config!$F$15)/Config!$G$15)&lt;=3),$D48,0))</f>
        <v/>
      </c>
      <c r="G48" s="6">
        <f>IF(Config!$G$15=0,0,IF(ABS(($A48-Config!$F$15)/Config!$G$15)&gt;3,$D48,0))</f>
        <v/>
      </c>
      <c r="H48" s="6">
        <f>IFERROR(NORM.DIST($A48,Config!$F$15,Config!$G$15,FALSE)*Config!$D$15*Config!$J$15,0)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IFERROR(NORM.DIST($A49,Config!$F$15,Config!$G$15,FALSE)*Config!$D$15*Config!$J$15,0)</f>
        <v/>
      </c>
    </row>
    <row r="50">
      <c r="A50" s="6">
        <f>Config!$K$15+16*Config!$J$15+Config!$J$15/2</f>
        <v/>
      </c>
      <c r="B50" s="6">
        <f>$A50-Config!$J$15/2</f>
        <v/>
      </c>
      <c r="C50" s="6">
        <f>$A50+Config!$J$15/2</f>
        <v/>
      </c>
      <c r="D50" s="6">
        <f>COUNTIFS(RawData!$C$2:$C$941,"MT",RawData!$H$2:$H$941,"&gt;="&amp;$B50,RawData!$H$2:$H$941,"&lt;"&amp;$C50,RawData!$H$2:$H$941,"&lt;&gt;0")</f>
        <v/>
      </c>
      <c r="E50" s="6">
        <f>IF(Config!$G$15=0,0,IF(ABS(($A50-Config!$F$15)/Config!$G$15)&lt;=2,$D50,0))</f>
        <v/>
      </c>
      <c r="F50" s="6">
        <f>IF(Config!$G$15=0,0,IF(AND(ABS(($A50-Config!$F$15)/Config!$G$15)&gt;2,ABS(($A50-Config!$F$15)/Config!$G$15)&lt;=3),$D50,0))</f>
        <v/>
      </c>
      <c r="G50" s="6">
        <f>IF(Config!$G$15=0,0,IF(ABS(($A50-Config!$F$15)/Config!$G$15)&gt;3,$D50,0))</f>
        <v/>
      </c>
      <c r="H50" s="6">
        <f>IFERROR(NORM.DIST($A50,Config!$F$15,Config!$G$15,FALSE)*Config!$D$15*Config!$J$15,0)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IFERROR(NORM.DIST($A51,Config!$F$15,Config!$G$15,FALSE)*Config!$D$15*Config!$J$15,0)</f>
        <v/>
      </c>
    </row>
    <row r="52">
      <c r="A52" s="6">
        <f>Config!$K$15+18*Config!$J$15+Config!$J$15/2</f>
        <v/>
      </c>
      <c r="B52" s="6">
        <f>$A52-Config!$J$15/2</f>
        <v/>
      </c>
      <c r="C52" s="6">
        <f>$A52+Config!$J$15/2</f>
        <v/>
      </c>
      <c r="D52" s="6">
        <f>COUNTIFS(RawData!$C$2:$C$941,"MT",RawData!$H$2:$H$941,"&gt;="&amp;$B52,RawData!$H$2:$H$941,"&lt;"&amp;$C52,RawData!$H$2:$H$941,"&lt;&gt;0")</f>
        <v/>
      </c>
      <c r="E52" s="6">
        <f>IF(Config!$G$15=0,0,IF(ABS(($A52-Config!$F$15)/Config!$G$15)&lt;=2,$D52,0))</f>
        <v/>
      </c>
      <c r="F52" s="6">
        <f>IF(Config!$G$15=0,0,IF(AND(ABS(($A52-Config!$F$15)/Config!$G$15)&gt;2,ABS(($A52-Config!$F$15)/Config!$G$15)&lt;=3),$D52,0))</f>
        <v/>
      </c>
      <c r="G52" s="6">
        <f>IF(Config!$G$15=0,0,IF(ABS(($A52-Config!$F$15)/Config!$G$15)&gt;3,$D52,0))</f>
        <v/>
      </c>
      <c r="H52" s="6">
        <f>IFERROR(NORM.DIST($A52,Config!$F$15,Config!$G$15,FALSE)*Config!$D$15*Config!$J$15,0)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IFERROR(NORM.DIST($A53,Config!$F$15,Config!$G$15,FALSE)*Config!$D$15*Config!$J$15,0)</f>
        <v/>
      </c>
    </row>
    <row r="54">
      <c r="A54" s="6">
        <f>Config!$K$15+20*Config!$J$15+Config!$J$15/2</f>
        <v/>
      </c>
      <c r="B54" s="6">
        <f>$A54-Config!$J$15/2</f>
        <v/>
      </c>
      <c r="C54" s="6">
        <f>$A54+Config!$J$15/2</f>
        <v/>
      </c>
      <c r="D54" s="6">
        <f>COUNTIFS(RawData!$C$2:$C$941,"MT",RawData!$H$2:$H$941,"&gt;="&amp;$B54,RawData!$H$2:$H$941,"&lt;"&amp;$C54,RawData!$H$2:$H$941,"&lt;&gt;0")</f>
        <v/>
      </c>
      <c r="E54" s="6">
        <f>IF(Config!$G$15=0,0,IF(ABS(($A54-Config!$F$15)/Config!$G$15)&lt;=2,$D54,0))</f>
        <v/>
      </c>
      <c r="F54" s="6">
        <f>IF(Config!$G$15=0,0,IF(AND(ABS(($A54-Config!$F$15)/Config!$G$15)&gt;2,ABS(($A54-Config!$F$15)/Config!$G$15)&lt;=3),$D54,0))</f>
        <v/>
      </c>
      <c r="G54" s="6">
        <f>IF(Config!$G$15=0,0,IF(ABS(($A54-Config!$F$15)/Config!$G$15)&gt;3,$D54,0))</f>
        <v/>
      </c>
      <c r="H54" s="6">
        <f>IFERROR(NORM.DIST($A54,Config!$F$15,Config!$G$15,FALSE)*Config!$D$15*Config!$J$15,0)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IFERROR(NORM.DIST($A55,Config!$F$15,Config!$G$15,FALSE)*Config!$D$15*Config!$J$15,0)</f>
        <v/>
      </c>
    </row>
    <row r="56">
      <c r="A56" s="6">
        <f>Config!$K$15+22*Config!$J$15+Config!$J$15/2</f>
        <v/>
      </c>
      <c r="B56" s="6">
        <f>$A56-Config!$J$15/2</f>
        <v/>
      </c>
      <c r="C56" s="6">
        <f>$A56+Config!$J$15/2</f>
        <v/>
      </c>
      <c r="D56" s="6">
        <f>COUNTIFS(RawData!$C$2:$C$941,"MT",RawData!$H$2:$H$941,"&gt;="&amp;$B56,RawData!$H$2:$H$941,"&lt;"&amp;$C56,RawData!$H$2:$H$941,"&lt;&gt;0")</f>
        <v/>
      </c>
      <c r="E56" s="6">
        <f>IF(Config!$G$15=0,0,IF(ABS(($A56-Config!$F$15)/Config!$G$15)&lt;=2,$D56,0))</f>
        <v/>
      </c>
      <c r="F56" s="6">
        <f>IF(Config!$G$15=0,0,IF(AND(ABS(($A56-Config!$F$15)/Config!$G$15)&gt;2,ABS(($A56-Config!$F$15)/Config!$G$15)&lt;=3),$D56,0))</f>
        <v/>
      </c>
      <c r="G56" s="6">
        <f>IF(Config!$G$15=0,0,IF(ABS(($A56-Config!$F$15)/Config!$G$15)&gt;3,$D56,0))</f>
        <v/>
      </c>
      <c r="H56" s="6">
        <f>IFERROR(NORM.DIST($A56,Config!$F$15,Config!$G$15,FALSE)*Config!$D$15*Config!$J$15,0)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IFERROR(NORM.DIST($A57,Config!$F$15,Config!$G$15,FALSE)*Config!$D$15*Config!$J$15,0)</f>
        <v/>
      </c>
    </row>
    <row r="58">
      <c r="A58" s="6">
        <f>Config!$K$15+24*Config!$J$15+Config!$J$15/2</f>
        <v/>
      </c>
      <c r="B58" s="6">
        <f>$A58-Config!$J$15/2</f>
        <v/>
      </c>
      <c r="C58" s="6">
        <f>$A58+Config!$J$15/2</f>
        <v/>
      </c>
      <c r="D58" s="6">
        <f>COUNTIFS(RawData!$C$2:$C$941,"MT",RawData!$H$2:$H$941,"&gt;="&amp;$B58,RawData!$H$2:$H$941,"&lt;"&amp;$C58,RawData!$H$2:$H$941,"&lt;&gt;0")</f>
        <v/>
      </c>
      <c r="E58" s="6">
        <f>IF(Config!$G$15=0,0,IF(ABS(($A58-Config!$F$15)/Config!$G$15)&lt;=2,$D58,0))</f>
        <v/>
      </c>
      <c r="F58" s="6">
        <f>IF(Config!$G$15=0,0,IF(AND(ABS(($A58-Config!$F$15)/Config!$G$15)&gt;2,ABS(($A58-Config!$F$15)/Config!$G$15)&lt;=3),$D58,0))</f>
        <v/>
      </c>
      <c r="G58" s="6">
        <f>IF(Config!$G$15=0,0,IF(ABS(($A58-Config!$F$15)/Config!$G$15)&gt;3,$D58,0))</f>
        <v/>
      </c>
      <c r="H58" s="6">
        <f>IFERROR(NORM.DIST($A58,Config!$F$15,Config!$G$15,FALSE)*Config!$D$15*Config!$J$15,0)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IFERROR(NORM.DIST($A59,Config!$F$15,Config!$G$15,FALSE)*Config!$D$15*Config!$J$15,0)</f>
        <v/>
      </c>
    </row>
    <row r="60">
      <c r="A60" s="6">
        <f>Config!$K$15+26*Config!$J$15+Config!$J$15/2</f>
        <v/>
      </c>
      <c r="B60" s="6">
        <f>$A60-Config!$J$15/2</f>
        <v/>
      </c>
      <c r="C60" s="6">
        <f>$A60+Config!$J$15/2</f>
        <v/>
      </c>
      <c r="D60" s="6">
        <f>COUNTIFS(RawData!$C$2:$C$941,"MT",RawData!$H$2:$H$941,"&gt;="&amp;$B60,RawData!$H$2:$H$941,"&lt;"&amp;$C60,RawData!$H$2:$H$941,"&lt;&gt;0")</f>
        <v/>
      </c>
      <c r="E60" s="6">
        <f>IF(Config!$G$15=0,0,IF(ABS(($A60-Config!$F$15)/Config!$G$15)&lt;=2,$D60,0))</f>
        <v/>
      </c>
      <c r="F60" s="6">
        <f>IF(Config!$G$15=0,0,IF(AND(ABS(($A60-Config!$F$15)/Config!$G$15)&gt;2,ABS(($A60-Config!$F$15)/Config!$G$15)&lt;=3),$D60,0))</f>
        <v/>
      </c>
      <c r="G60" s="6">
        <f>IF(Config!$G$15=0,0,IF(ABS(($A60-Config!$F$15)/Config!$G$15)&gt;3,$D60,0))</f>
        <v/>
      </c>
      <c r="H60" s="6">
        <f>IFERROR(NORM.DIST($A60,Config!$F$15,Config!$G$15,FALSE)*Config!$D$15*Config!$J$15,0)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IFERROR(NORM.DIST($A61,Config!$F$15,Config!$G$15,FALSE)*Config!$D$15*Config!$J$15,0)</f>
        <v/>
      </c>
    </row>
    <row r="62">
      <c r="A62" s="6">
        <f>Config!$K$15+28*Config!$J$15+Config!$J$15/2</f>
        <v/>
      </c>
      <c r="B62" s="6">
        <f>$A62-Config!$J$15/2</f>
        <v/>
      </c>
      <c r="C62" s="6">
        <f>$A62+Config!$J$15/2</f>
        <v/>
      </c>
      <c r="D62" s="6">
        <f>COUNTIFS(RawData!$C$2:$C$941,"MT",RawData!$H$2:$H$941,"&gt;="&amp;$B62,RawData!$H$2:$H$941,"&lt;"&amp;$C62,RawData!$H$2:$H$941,"&lt;&gt;0")</f>
        <v/>
      </c>
      <c r="E62" s="6">
        <f>IF(Config!$G$15=0,0,IF(ABS(($A62-Config!$F$15)/Config!$G$15)&lt;=2,$D62,0))</f>
        <v/>
      </c>
      <c r="F62" s="6">
        <f>IF(Config!$G$15=0,0,IF(AND(ABS(($A62-Config!$F$15)/Config!$G$15)&gt;2,ABS(($A62-Config!$F$15)/Config!$G$15)&lt;=3),$D62,0))</f>
        <v/>
      </c>
      <c r="G62" s="6">
        <f>IF(Config!$G$15=0,0,IF(ABS(($A62-Config!$F$15)/Config!$G$15)&gt;3,$D62,0))</f>
        <v/>
      </c>
      <c r="H62" s="6">
        <f>IFERROR(NORM.DIST($A62,Config!$F$15,Config!$G$15,FALSE)*Config!$D$15*Config!$J$15,0)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IFERROR(NORM.DIST($A63,Config!$F$15,Config!$G$15,FALSE)*Config!$D$15*Config!$J$15,0)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Config!$K$16+0*Config!$J$16+Config!$J$16/2</f>
        <v/>
      </c>
      <c r="B66" s="6">
        <f>$A66-Config!$J$16/2</f>
        <v/>
      </c>
      <c r="C66" s="6">
        <f>$A66+Config!$J$16/2</f>
        <v/>
      </c>
      <c r="D66" s="6">
        <f>COUNTIFS(RawData!$C$2:$C$941,"MT",RawData!$I$2:$I$941,"&gt;="&amp;$B66,RawData!$I$2:$I$941,"&lt;"&amp;$C66,RawData!$I$2:$I$941,"&lt;&gt;0")</f>
        <v/>
      </c>
      <c r="E66" s="6">
        <f>IF(Config!$G$16=0,0,IF(ABS(($A66-Config!$F$16)/Config!$G$16)&lt;=2,$D66,0))</f>
        <v/>
      </c>
      <c r="F66" s="6">
        <f>IF(Config!$G$16=0,0,IF(AND(ABS(($A66-Config!$F$16)/Config!$G$16)&gt;2,ABS(($A66-Config!$F$16)/Config!$G$16)&lt;=3),$D66,0))</f>
        <v/>
      </c>
      <c r="G66" s="6">
        <f>IF(Config!$G$16=0,0,IF(ABS(($A66-Config!$F$16)/Config!$G$16)&gt;3,$D66,0))</f>
        <v/>
      </c>
      <c r="H66" s="6">
        <f>IFERROR(NORM.DIST($A66,Config!$F$16,Config!$G$16,FALSE)*Config!$D$16*Config!$J$16,0)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IFERROR(NORM.DIST($A67,Config!$F$16,Config!$G$16,FALSE)*Config!$D$16*Config!$J$16,0)</f>
        <v/>
      </c>
    </row>
    <row r="68">
      <c r="A68" s="6">
        <f>Config!$K$16+2*Config!$J$16+Config!$J$16/2</f>
        <v/>
      </c>
      <c r="B68" s="6">
        <f>$A68-Config!$J$16/2</f>
        <v/>
      </c>
      <c r="C68" s="6">
        <f>$A68+Config!$J$16/2</f>
        <v/>
      </c>
      <c r="D68" s="6">
        <f>COUNTIFS(RawData!$C$2:$C$941,"MT",RawData!$I$2:$I$941,"&gt;="&amp;$B68,RawData!$I$2:$I$941,"&lt;"&amp;$C68,RawData!$I$2:$I$941,"&lt;&gt;0")</f>
        <v/>
      </c>
      <c r="E68" s="6">
        <f>IF(Config!$G$16=0,0,IF(ABS(($A68-Config!$F$16)/Config!$G$16)&lt;=2,$D68,0))</f>
        <v/>
      </c>
      <c r="F68" s="6">
        <f>IF(Config!$G$16=0,0,IF(AND(ABS(($A68-Config!$F$16)/Config!$G$16)&gt;2,ABS(($A68-Config!$F$16)/Config!$G$16)&lt;=3),$D68,0))</f>
        <v/>
      </c>
      <c r="G68" s="6">
        <f>IF(Config!$G$16=0,0,IF(ABS(($A68-Config!$F$16)/Config!$G$16)&gt;3,$D68,0))</f>
        <v/>
      </c>
      <c r="H68" s="6">
        <f>IFERROR(NORM.DIST($A68,Config!$F$16,Config!$G$16,FALSE)*Config!$D$16*Config!$J$16,0)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IFERROR(NORM.DIST($A69,Config!$F$16,Config!$G$16,FALSE)*Config!$D$16*Config!$J$16,0)</f>
        <v/>
      </c>
    </row>
    <row r="70">
      <c r="A70" s="6">
        <f>Config!$K$16+4*Config!$J$16+Config!$J$16/2</f>
        <v/>
      </c>
      <c r="B70" s="6">
        <f>$A70-Config!$J$16/2</f>
        <v/>
      </c>
      <c r="C70" s="6">
        <f>$A70+Config!$J$16/2</f>
        <v/>
      </c>
      <c r="D70" s="6">
        <f>COUNTIFS(RawData!$C$2:$C$941,"MT",RawData!$I$2:$I$941,"&gt;="&amp;$B70,RawData!$I$2:$I$941,"&lt;"&amp;$C70,RawData!$I$2:$I$941,"&lt;&gt;0")</f>
        <v/>
      </c>
      <c r="E70" s="6">
        <f>IF(Config!$G$16=0,0,IF(ABS(($A70-Config!$F$16)/Config!$G$16)&lt;=2,$D70,0))</f>
        <v/>
      </c>
      <c r="F70" s="6">
        <f>IF(Config!$G$16=0,0,IF(AND(ABS(($A70-Config!$F$16)/Config!$G$16)&gt;2,ABS(($A70-Config!$F$16)/Config!$G$16)&lt;=3),$D70,0))</f>
        <v/>
      </c>
      <c r="G70" s="6">
        <f>IF(Config!$G$16=0,0,IF(ABS(($A70-Config!$F$16)/Config!$G$16)&gt;3,$D70,0))</f>
        <v/>
      </c>
      <c r="H70" s="6">
        <f>IFERROR(NORM.DIST($A70,Config!$F$16,Config!$G$16,FALSE)*Config!$D$16*Config!$J$16,0)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IFERROR(NORM.DIST($A71,Config!$F$16,Config!$G$16,FALSE)*Config!$D$16*Config!$J$16,0)</f>
        <v/>
      </c>
    </row>
    <row r="72">
      <c r="A72" s="6">
        <f>Config!$K$16+6*Config!$J$16+Config!$J$16/2</f>
        <v/>
      </c>
      <c r="B72" s="6">
        <f>$A72-Config!$J$16/2</f>
        <v/>
      </c>
      <c r="C72" s="6">
        <f>$A72+Config!$J$16/2</f>
        <v/>
      </c>
      <c r="D72" s="6">
        <f>COUNTIFS(RawData!$C$2:$C$941,"MT",RawData!$I$2:$I$941,"&gt;="&amp;$B72,RawData!$I$2:$I$941,"&lt;"&amp;$C72,RawData!$I$2:$I$941,"&lt;&gt;0")</f>
        <v/>
      </c>
      <c r="E72" s="6">
        <f>IF(Config!$G$16=0,0,IF(ABS(($A72-Config!$F$16)/Config!$G$16)&lt;=2,$D72,0))</f>
        <v/>
      </c>
      <c r="F72" s="6">
        <f>IF(Config!$G$16=0,0,IF(AND(ABS(($A72-Config!$F$16)/Config!$G$16)&gt;2,ABS(($A72-Config!$F$16)/Config!$G$16)&lt;=3),$D72,0))</f>
        <v/>
      </c>
      <c r="G72" s="6">
        <f>IF(Config!$G$16=0,0,IF(ABS(($A72-Config!$F$16)/Config!$G$16)&gt;3,$D72,0))</f>
        <v/>
      </c>
      <c r="H72" s="6">
        <f>IFERROR(NORM.DIST($A72,Config!$F$16,Config!$G$16,FALSE)*Config!$D$16*Config!$J$16,0)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IFERROR(NORM.DIST($A73,Config!$F$16,Config!$G$16,FALSE)*Config!$D$16*Config!$J$16,0)</f>
        <v/>
      </c>
    </row>
    <row r="74">
      <c r="A74" s="6">
        <f>Config!$K$16+8*Config!$J$16+Config!$J$16/2</f>
        <v/>
      </c>
      <c r="B74" s="6">
        <f>$A74-Config!$J$16/2</f>
        <v/>
      </c>
      <c r="C74" s="6">
        <f>$A74+Config!$J$16/2</f>
        <v/>
      </c>
      <c r="D74" s="6">
        <f>COUNTIFS(RawData!$C$2:$C$941,"MT",RawData!$I$2:$I$941,"&gt;="&amp;$B74,RawData!$I$2:$I$941,"&lt;"&amp;$C74,RawData!$I$2:$I$941,"&lt;&gt;0")</f>
        <v/>
      </c>
      <c r="E74" s="6">
        <f>IF(Config!$G$16=0,0,IF(ABS(($A74-Config!$F$16)/Config!$G$16)&lt;=2,$D74,0))</f>
        <v/>
      </c>
      <c r="F74" s="6">
        <f>IF(Config!$G$16=0,0,IF(AND(ABS(($A74-Config!$F$16)/Config!$G$16)&gt;2,ABS(($A74-Config!$F$16)/Config!$G$16)&lt;=3),$D74,0))</f>
        <v/>
      </c>
      <c r="G74" s="6">
        <f>IF(Config!$G$16=0,0,IF(ABS(($A74-Config!$F$16)/Config!$G$16)&gt;3,$D74,0))</f>
        <v/>
      </c>
      <c r="H74" s="6">
        <f>IFERROR(NORM.DIST($A74,Config!$F$16,Config!$G$16,FALSE)*Config!$D$16*Config!$J$16,0)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IFERROR(NORM.DIST($A75,Config!$F$16,Config!$G$16,FALSE)*Config!$D$16*Config!$J$16,0)</f>
        <v/>
      </c>
    </row>
    <row r="76">
      <c r="A76" s="6">
        <f>Config!$K$16+10*Config!$J$16+Config!$J$16/2</f>
        <v/>
      </c>
      <c r="B76" s="6">
        <f>$A76-Config!$J$16/2</f>
        <v/>
      </c>
      <c r="C76" s="6">
        <f>$A76+Config!$J$16/2</f>
        <v/>
      </c>
      <c r="D76" s="6">
        <f>COUNTIFS(RawData!$C$2:$C$941,"MT",RawData!$I$2:$I$941,"&gt;="&amp;$B76,RawData!$I$2:$I$941,"&lt;"&amp;$C76,RawData!$I$2:$I$941,"&lt;&gt;0")</f>
        <v/>
      </c>
      <c r="E76" s="6">
        <f>IF(Config!$G$16=0,0,IF(ABS(($A76-Config!$F$16)/Config!$G$16)&lt;=2,$D76,0))</f>
        <v/>
      </c>
      <c r="F76" s="6">
        <f>IF(Config!$G$16=0,0,IF(AND(ABS(($A76-Config!$F$16)/Config!$G$16)&gt;2,ABS(($A76-Config!$F$16)/Config!$G$16)&lt;=3),$D76,0))</f>
        <v/>
      </c>
      <c r="G76" s="6">
        <f>IF(Config!$G$16=0,0,IF(ABS(($A76-Config!$F$16)/Config!$G$16)&gt;3,$D76,0))</f>
        <v/>
      </c>
      <c r="H76" s="6">
        <f>IFERROR(NORM.DIST($A76,Config!$F$16,Config!$G$16,FALSE)*Config!$D$16*Config!$J$16,0)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IFERROR(NORM.DIST($A77,Config!$F$16,Config!$G$16,FALSE)*Config!$D$16*Config!$J$16,0)</f>
        <v/>
      </c>
    </row>
    <row r="78">
      <c r="A78" s="6">
        <f>Config!$K$16+12*Config!$J$16+Config!$J$16/2</f>
        <v/>
      </c>
      <c r="B78" s="6">
        <f>$A78-Config!$J$16/2</f>
        <v/>
      </c>
      <c r="C78" s="6">
        <f>$A78+Config!$J$16/2</f>
        <v/>
      </c>
      <c r="D78" s="6">
        <f>COUNTIFS(RawData!$C$2:$C$941,"MT",RawData!$I$2:$I$941,"&gt;="&amp;$B78,RawData!$I$2:$I$941,"&lt;"&amp;$C78,RawData!$I$2:$I$941,"&lt;&gt;0")</f>
        <v/>
      </c>
      <c r="E78" s="6">
        <f>IF(Config!$G$16=0,0,IF(ABS(($A78-Config!$F$16)/Config!$G$16)&lt;=2,$D78,0))</f>
        <v/>
      </c>
      <c r="F78" s="6">
        <f>IF(Config!$G$16=0,0,IF(AND(ABS(($A78-Config!$F$16)/Config!$G$16)&gt;2,ABS(($A78-Config!$F$16)/Config!$G$16)&lt;=3),$D78,0))</f>
        <v/>
      </c>
      <c r="G78" s="6">
        <f>IF(Config!$G$16=0,0,IF(ABS(($A78-Config!$F$16)/Config!$G$16)&gt;3,$D78,0))</f>
        <v/>
      </c>
      <c r="H78" s="6">
        <f>IFERROR(NORM.DIST($A78,Config!$F$16,Config!$G$16,FALSE)*Config!$D$16*Config!$J$16,0)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IFERROR(NORM.DIST($A79,Config!$F$16,Config!$G$16,FALSE)*Config!$D$16*Config!$J$16,0)</f>
        <v/>
      </c>
    </row>
    <row r="80">
      <c r="A80" s="6">
        <f>Config!$K$16+14*Config!$J$16+Config!$J$16/2</f>
        <v/>
      </c>
      <c r="B80" s="6">
        <f>$A80-Config!$J$16/2</f>
        <v/>
      </c>
      <c r="C80" s="6">
        <f>$A80+Config!$J$16/2</f>
        <v/>
      </c>
      <c r="D80" s="6">
        <f>COUNTIFS(RawData!$C$2:$C$941,"MT",RawData!$I$2:$I$941,"&gt;="&amp;$B80,RawData!$I$2:$I$941,"&lt;"&amp;$C80,RawData!$I$2:$I$941,"&lt;&gt;0")</f>
        <v/>
      </c>
      <c r="E80" s="6">
        <f>IF(Config!$G$16=0,0,IF(ABS(($A80-Config!$F$16)/Config!$G$16)&lt;=2,$D80,0))</f>
        <v/>
      </c>
      <c r="F80" s="6">
        <f>IF(Config!$G$16=0,0,IF(AND(ABS(($A80-Config!$F$16)/Config!$G$16)&gt;2,ABS(($A80-Config!$F$16)/Config!$G$16)&lt;=3),$D80,0))</f>
        <v/>
      </c>
      <c r="G80" s="6">
        <f>IF(Config!$G$16=0,0,IF(ABS(($A80-Config!$F$16)/Config!$G$16)&gt;3,$D80,0))</f>
        <v/>
      </c>
      <c r="H80" s="6">
        <f>IFERROR(NORM.DIST($A80,Config!$F$16,Config!$G$16,FALSE)*Config!$D$16*Config!$J$16,0)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IFERROR(NORM.DIST($A81,Config!$F$16,Config!$G$16,FALSE)*Config!$D$16*Config!$J$16,0)</f>
        <v/>
      </c>
    </row>
    <row r="82">
      <c r="A82" s="6">
        <f>Config!$K$16+16*Config!$J$16+Config!$J$16/2</f>
        <v/>
      </c>
      <c r="B82" s="6">
        <f>$A82-Config!$J$16/2</f>
        <v/>
      </c>
      <c r="C82" s="6">
        <f>$A82+Config!$J$16/2</f>
        <v/>
      </c>
      <c r="D82" s="6">
        <f>COUNTIFS(RawData!$C$2:$C$941,"MT",RawData!$I$2:$I$941,"&gt;="&amp;$B82,RawData!$I$2:$I$941,"&lt;"&amp;$C82,RawData!$I$2:$I$941,"&lt;&gt;0")</f>
        <v/>
      </c>
      <c r="E82" s="6">
        <f>IF(Config!$G$16=0,0,IF(ABS(($A82-Config!$F$16)/Config!$G$16)&lt;=2,$D82,0))</f>
        <v/>
      </c>
      <c r="F82" s="6">
        <f>IF(Config!$G$16=0,0,IF(AND(ABS(($A82-Config!$F$16)/Config!$G$16)&gt;2,ABS(($A82-Config!$F$16)/Config!$G$16)&lt;=3),$D82,0))</f>
        <v/>
      </c>
      <c r="G82" s="6">
        <f>IF(Config!$G$16=0,0,IF(ABS(($A82-Config!$F$16)/Config!$G$16)&gt;3,$D82,0))</f>
        <v/>
      </c>
      <c r="H82" s="6">
        <f>IFERROR(NORM.DIST($A82,Config!$F$16,Config!$G$16,FALSE)*Config!$D$16*Config!$J$16,0)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IFERROR(NORM.DIST($A83,Config!$F$16,Config!$G$16,FALSE)*Config!$D$16*Config!$J$16,0)</f>
        <v/>
      </c>
    </row>
    <row r="84">
      <c r="A84" s="6">
        <f>Config!$K$16+18*Config!$J$16+Config!$J$16/2</f>
        <v/>
      </c>
      <c r="B84" s="6">
        <f>$A84-Config!$J$16/2</f>
        <v/>
      </c>
      <c r="C84" s="6">
        <f>$A84+Config!$J$16/2</f>
        <v/>
      </c>
      <c r="D84" s="6">
        <f>COUNTIFS(RawData!$C$2:$C$941,"MT",RawData!$I$2:$I$941,"&gt;="&amp;$B84,RawData!$I$2:$I$941,"&lt;"&amp;$C84,RawData!$I$2:$I$941,"&lt;&gt;0")</f>
        <v/>
      </c>
      <c r="E84" s="6">
        <f>IF(Config!$G$16=0,0,IF(ABS(($A84-Config!$F$16)/Config!$G$16)&lt;=2,$D84,0))</f>
        <v/>
      </c>
      <c r="F84" s="6">
        <f>IF(Config!$G$16=0,0,IF(AND(ABS(($A84-Config!$F$16)/Config!$G$16)&gt;2,ABS(($A84-Config!$F$16)/Config!$G$16)&lt;=3),$D84,0))</f>
        <v/>
      </c>
      <c r="G84" s="6">
        <f>IF(Config!$G$16=0,0,IF(ABS(($A84-Config!$F$16)/Config!$G$16)&gt;3,$D84,0))</f>
        <v/>
      </c>
      <c r="H84" s="6">
        <f>IFERROR(NORM.DIST($A84,Config!$F$16,Config!$G$16,FALSE)*Config!$D$16*Config!$J$16,0)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IFERROR(NORM.DIST($A85,Config!$F$16,Config!$G$16,FALSE)*Config!$D$16*Config!$J$16,0)</f>
        <v/>
      </c>
    </row>
    <row r="86">
      <c r="A86" s="6">
        <f>Config!$K$16+20*Config!$J$16+Config!$J$16/2</f>
        <v/>
      </c>
      <c r="B86" s="6">
        <f>$A86-Config!$J$16/2</f>
        <v/>
      </c>
      <c r="C86" s="6">
        <f>$A86+Config!$J$16/2</f>
        <v/>
      </c>
      <c r="D86" s="6">
        <f>COUNTIFS(RawData!$C$2:$C$941,"MT",RawData!$I$2:$I$941,"&gt;="&amp;$B86,RawData!$I$2:$I$941,"&lt;"&amp;$C86,RawData!$I$2:$I$941,"&lt;&gt;0")</f>
        <v/>
      </c>
      <c r="E86" s="6">
        <f>IF(Config!$G$16=0,0,IF(ABS(($A86-Config!$F$16)/Config!$G$16)&lt;=2,$D86,0))</f>
        <v/>
      </c>
      <c r="F86" s="6">
        <f>IF(Config!$G$16=0,0,IF(AND(ABS(($A86-Config!$F$16)/Config!$G$16)&gt;2,ABS(($A86-Config!$F$16)/Config!$G$16)&lt;=3),$D86,0))</f>
        <v/>
      </c>
      <c r="G86" s="6">
        <f>IF(Config!$G$16=0,0,IF(ABS(($A86-Config!$F$16)/Config!$G$16)&gt;3,$D86,0))</f>
        <v/>
      </c>
      <c r="H86" s="6">
        <f>IFERROR(NORM.DIST($A86,Config!$F$16,Config!$G$16,FALSE)*Config!$D$16*Config!$J$16,0)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IFERROR(NORM.DIST($A87,Config!$F$16,Config!$G$16,FALSE)*Config!$D$16*Config!$J$16,0)</f>
        <v/>
      </c>
    </row>
    <row r="88">
      <c r="A88" s="6">
        <f>Config!$K$16+22*Config!$J$16+Config!$J$16/2</f>
        <v/>
      </c>
      <c r="B88" s="6">
        <f>$A88-Config!$J$16/2</f>
        <v/>
      </c>
      <c r="C88" s="6">
        <f>$A88+Config!$J$16/2</f>
        <v/>
      </c>
      <c r="D88" s="6">
        <f>COUNTIFS(RawData!$C$2:$C$941,"MT",RawData!$I$2:$I$941,"&gt;="&amp;$B88,RawData!$I$2:$I$941,"&lt;"&amp;$C88,RawData!$I$2:$I$941,"&lt;&gt;0")</f>
        <v/>
      </c>
      <c r="E88" s="6">
        <f>IF(Config!$G$16=0,0,IF(ABS(($A88-Config!$F$16)/Config!$G$16)&lt;=2,$D88,0))</f>
        <v/>
      </c>
      <c r="F88" s="6">
        <f>IF(Config!$G$16=0,0,IF(AND(ABS(($A88-Config!$F$16)/Config!$G$16)&gt;2,ABS(($A88-Config!$F$16)/Config!$G$16)&lt;=3),$D88,0))</f>
        <v/>
      </c>
      <c r="G88" s="6">
        <f>IF(Config!$G$16=0,0,IF(ABS(($A88-Config!$F$16)/Config!$G$16)&gt;3,$D88,0))</f>
        <v/>
      </c>
      <c r="H88" s="6">
        <f>IFERROR(NORM.DIST($A88,Config!$F$16,Config!$G$16,FALSE)*Config!$D$16*Config!$J$16,0)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IFERROR(NORM.DIST($A89,Config!$F$16,Config!$G$16,FALSE)*Config!$D$16*Config!$J$16,0)</f>
        <v/>
      </c>
    </row>
    <row r="90">
      <c r="A90" s="6">
        <f>Config!$K$16+24*Config!$J$16+Config!$J$16/2</f>
        <v/>
      </c>
      <c r="B90" s="6">
        <f>$A90-Config!$J$16/2</f>
        <v/>
      </c>
      <c r="C90" s="6">
        <f>$A90+Config!$J$16/2</f>
        <v/>
      </c>
      <c r="D90" s="6">
        <f>COUNTIFS(RawData!$C$2:$C$941,"MT",RawData!$I$2:$I$941,"&gt;="&amp;$B90,RawData!$I$2:$I$941,"&lt;"&amp;$C90,RawData!$I$2:$I$941,"&lt;&gt;0")</f>
        <v/>
      </c>
      <c r="E90" s="6">
        <f>IF(Config!$G$16=0,0,IF(ABS(($A90-Config!$F$16)/Config!$G$16)&lt;=2,$D90,0))</f>
        <v/>
      </c>
      <c r="F90" s="6">
        <f>IF(Config!$G$16=0,0,IF(AND(ABS(($A90-Config!$F$16)/Config!$G$16)&gt;2,ABS(($A90-Config!$F$16)/Config!$G$16)&lt;=3),$D90,0))</f>
        <v/>
      </c>
      <c r="G90" s="6">
        <f>IF(Config!$G$16=0,0,IF(ABS(($A90-Config!$F$16)/Config!$G$16)&gt;3,$D90,0))</f>
        <v/>
      </c>
      <c r="H90" s="6">
        <f>IFERROR(NORM.DIST($A90,Config!$F$16,Config!$G$16,FALSE)*Config!$D$16*Config!$J$16,0)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IFERROR(NORM.DIST($A91,Config!$F$16,Config!$G$16,FALSE)*Config!$D$16*Config!$J$16,0)</f>
        <v/>
      </c>
    </row>
    <row r="92">
      <c r="A92" s="6">
        <f>Config!$K$16+26*Config!$J$16+Config!$J$16/2</f>
        <v/>
      </c>
      <c r="B92" s="6">
        <f>$A92-Config!$J$16/2</f>
        <v/>
      </c>
      <c r="C92" s="6">
        <f>$A92+Config!$J$16/2</f>
        <v/>
      </c>
      <c r="D92" s="6">
        <f>COUNTIFS(RawData!$C$2:$C$941,"MT",RawData!$I$2:$I$941,"&gt;="&amp;$B92,RawData!$I$2:$I$941,"&lt;"&amp;$C92,RawData!$I$2:$I$941,"&lt;&gt;0")</f>
        <v/>
      </c>
      <c r="E92" s="6">
        <f>IF(Config!$G$16=0,0,IF(ABS(($A92-Config!$F$16)/Config!$G$16)&lt;=2,$D92,0))</f>
        <v/>
      </c>
      <c r="F92" s="6">
        <f>IF(Config!$G$16=0,0,IF(AND(ABS(($A92-Config!$F$16)/Config!$G$16)&gt;2,ABS(($A92-Config!$F$16)/Config!$G$16)&lt;=3),$D92,0))</f>
        <v/>
      </c>
      <c r="G92" s="6">
        <f>IF(Config!$G$16=0,0,IF(ABS(($A92-Config!$F$16)/Config!$G$16)&gt;3,$D92,0))</f>
        <v/>
      </c>
      <c r="H92" s="6">
        <f>IFERROR(NORM.DIST($A92,Config!$F$16,Config!$G$16,FALSE)*Config!$D$16*Config!$J$16,0)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IFERROR(NORM.DIST($A93,Config!$F$16,Config!$G$16,FALSE)*Config!$D$16*Config!$J$16,0)</f>
        <v/>
      </c>
    </row>
    <row r="94">
      <c r="A94" s="6">
        <f>Config!$K$16+28*Config!$J$16+Config!$J$16/2</f>
        <v/>
      </c>
      <c r="B94" s="6">
        <f>$A94-Config!$J$16/2</f>
        <v/>
      </c>
      <c r="C94" s="6">
        <f>$A94+Config!$J$16/2</f>
        <v/>
      </c>
      <c r="D94" s="6">
        <f>COUNTIFS(RawData!$C$2:$C$941,"MT",RawData!$I$2:$I$941,"&gt;="&amp;$B94,RawData!$I$2:$I$941,"&lt;"&amp;$C94,RawData!$I$2:$I$941,"&lt;&gt;0")</f>
        <v/>
      </c>
      <c r="E94" s="6">
        <f>IF(Config!$G$16=0,0,IF(ABS(($A94-Config!$F$16)/Config!$G$16)&lt;=2,$D94,0))</f>
        <v/>
      </c>
      <c r="F94" s="6">
        <f>IF(Config!$G$16=0,0,IF(AND(ABS(($A94-Config!$F$16)/Config!$G$16)&gt;2,ABS(($A94-Config!$F$16)/Config!$G$16)&lt;=3),$D94,0))</f>
        <v/>
      </c>
      <c r="G94" s="6">
        <f>IF(Config!$G$16=0,0,IF(ABS(($A94-Config!$F$16)/Config!$G$16)&gt;3,$D94,0))</f>
        <v/>
      </c>
      <c r="H94" s="6">
        <f>IFERROR(NORM.DIST($A94,Config!$F$16,Config!$G$16,FALSE)*Config!$D$16*Config!$J$16,0)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IFERROR(NORM.DIST($A95,Config!$F$16,Config!$G$16,FALSE)*Config!$D$16*Config!$J$16,0)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Config!$K$17+0*Config!$J$17+Config!$J$17/2</f>
        <v/>
      </c>
      <c r="B98" s="6">
        <f>$A98-Config!$J$17/2</f>
        <v/>
      </c>
      <c r="C98" s="6">
        <f>$A98+Config!$J$17/2</f>
        <v/>
      </c>
      <c r="D98" s="6">
        <f>COUNTIFS(RawData!$C$2:$C$941,"MT",RawData!$J$2:$J$941,"&gt;="&amp;$B98,RawData!$J$2:$J$941,"&lt;"&amp;$C98,RawData!$J$2:$J$941,"&lt;&gt;0")</f>
        <v/>
      </c>
      <c r="E98" s="6">
        <f>IF(Config!$G$17=0,0,IF(ABS(($A98-Config!$F$17)/Config!$G$17)&lt;=2,$D98,0))</f>
        <v/>
      </c>
      <c r="F98" s="6">
        <f>IF(Config!$G$17=0,0,IF(AND(ABS(($A98-Config!$F$17)/Config!$G$17)&gt;2,ABS(($A98-Config!$F$17)/Config!$G$17)&lt;=3),$D98,0))</f>
        <v/>
      </c>
      <c r="G98" s="6">
        <f>IF(Config!$G$17=0,0,IF(ABS(($A98-Config!$F$17)/Config!$G$17)&gt;3,$D98,0))</f>
        <v/>
      </c>
      <c r="H98" s="6">
        <f>IFERROR(NORM.DIST($A98,Config!$F$17,Config!$G$17,FALSE)*Config!$D$17*Config!$J$17,0)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IFERROR(NORM.DIST($A99,Config!$F$17,Config!$G$17,FALSE)*Config!$D$17*Config!$J$17,0)</f>
        <v/>
      </c>
    </row>
    <row r="100">
      <c r="A100" s="6">
        <f>Config!$K$17+2*Config!$J$17+Config!$J$17/2</f>
        <v/>
      </c>
      <c r="B100" s="6">
        <f>$A100-Config!$J$17/2</f>
        <v/>
      </c>
      <c r="C100" s="6">
        <f>$A100+Config!$J$17/2</f>
        <v/>
      </c>
      <c r="D100" s="6">
        <f>COUNTIFS(RawData!$C$2:$C$941,"MT",RawData!$J$2:$J$941,"&gt;="&amp;$B100,RawData!$J$2:$J$941,"&lt;"&amp;$C100,RawData!$J$2:$J$941,"&lt;&gt;0")</f>
        <v/>
      </c>
      <c r="E100" s="6">
        <f>IF(Config!$G$17=0,0,IF(ABS(($A100-Config!$F$17)/Config!$G$17)&lt;=2,$D100,0))</f>
        <v/>
      </c>
      <c r="F100" s="6">
        <f>IF(Config!$G$17=0,0,IF(AND(ABS(($A100-Config!$F$17)/Config!$G$17)&gt;2,ABS(($A100-Config!$F$17)/Config!$G$17)&lt;=3),$D100,0))</f>
        <v/>
      </c>
      <c r="G100" s="6">
        <f>IF(Config!$G$17=0,0,IF(ABS(($A100-Config!$F$17)/Config!$G$17)&gt;3,$D100,0))</f>
        <v/>
      </c>
      <c r="H100" s="6">
        <f>IFERROR(NORM.DIST($A100,Config!$F$17,Config!$G$17,FALSE)*Config!$D$17*Config!$J$17,0)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IFERROR(NORM.DIST($A101,Config!$F$17,Config!$G$17,FALSE)*Config!$D$17*Config!$J$17,0)</f>
        <v/>
      </c>
    </row>
    <row r="102">
      <c r="A102" s="6">
        <f>Config!$K$17+4*Config!$J$17+Config!$J$17/2</f>
        <v/>
      </c>
      <c r="B102" s="6">
        <f>$A102-Config!$J$17/2</f>
        <v/>
      </c>
      <c r="C102" s="6">
        <f>$A102+Config!$J$17/2</f>
        <v/>
      </c>
      <c r="D102" s="6">
        <f>COUNTIFS(RawData!$C$2:$C$941,"MT",RawData!$J$2:$J$941,"&gt;="&amp;$B102,RawData!$J$2:$J$941,"&lt;"&amp;$C102,RawData!$J$2:$J$941,"&lt;&gt;0")</f>
        <v/>
      </c>
      <c r="E102" s="6">
        <f>IF(Config!$G$17=0,0,IF(ABS(($A102-Config!$F$17)/Config!$G$17)&lt;=2,$D102,0))</f>
        <v/>
      </c>
      <c r="F102" s="6">
        <f>IF(Config!$G$17=0,0,IF(AND(ABS(($A102-Config!$F$17)/Config!$G$17)&gt;2,ABS(($A102-Config!$F$17)/Config!$G$17)&lt;=3),$D102,0))</f>
        <v/>
      </c>
      <c r="G102" s="6">
        <f>IF(Config!$G$17=0,0,IF(ABS(($A102-Config!$F$17)/Config!$G$17)&gt;3,$D102,0))</f>
        <v/>
      </c>
      <c r="H102" s="6">
        <f>IFERROR(NORM.DIST($A102,Config!$F$17,Config!$G$17,FALSE)*Config!$D$17*Config!$J$17,0)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IFERROR(NORM.DIST($A103,Config!$F$17,Config!$G$17,FALSE)*Config!$D$17*Config!$J$17,0)</f>
        <v/>
      </c>
    </row>
    <row r="104">
      <c r="A104" s="6">
        <f>Config!$K$17+6*Config!$J$17+Config!$J$17/2</f>
        <v/>
      </c>
      <c r="B104" s="6">
        <f>$A104-Config!$J$17/2</f>
        <v/>
      </c>
      <c r="C104" s="6">
        <f>$A104+Config!$J$17/2</f>
        <v/>
      </c>
      <c r="D104" s="6">
        <f>COUNTIFS(RawData!$C$2:$C$941,"MT",RawData!$J$2:$J$941,"&gt;="&amp;$B104,RawData!$J$2:$J$941,"&lt;"&amp;$C104,RawData!$J$2:$J$941,"&lt;&gt;0")</f>
        <v/>
      </c>
      <c r="E104" s="6">
        <f>IF(Config!$G$17=0,0,IF(ABS(($A104-Config!$F$17)/Config!$G$17)&lt;=2,$D104,0))</f>
        <v/>
      </c>
      <c r="F104" s="6">
        <f>IF(Config!$G$17=0,0,IF(AND(ABS(($A104-Config!$F$17)/Config!$G$17)&gt;2,ABS(($A104-Config!$F$17)/Config!$G$17)&lt;=3),$D104,0))</f>
        <v/>
      </c>
      <c r="G104" s="6">
        <f>IF(Config!$G$17=0,0,IF(ABS(($A104-Config!$F$17)/Config!$G$17)&gt;3,$D104,0))</f>
        <v/>
      </c>
      <c r="H104" s="6">
        <f>IFERROR(NORM.DIST($A104,Config!$F$17,Config!$G$17,FALSE)*Config!$D$17*Config!$J$17,0)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IFERROR(NORM.DIST($A105,Config!$F$17,Config!$G$17,FALSE)*Config!$D$17*Config!$J$17,0)</f>
        <v/>
      </c>
    </row>
    <row r="106">
      <c r="A106" s="6">
        <f>Config!$K$17+8*Config!$J$17+Config!$J$17/2</f>
        <v/>
      </c>
      <c r="B106" s="6">
        <f>$A106-Config!$J$17/2</f>
        <v/>
      </c>
      <c r="C106" s="6">
        <f>$A106+Config!$J$17/2</f>
        <v/>
      </c>
      <c r="D106" s="6">
        <f>COUNTIFS(RawData!$C$2:$C$941,"MT",RawData!$J$2:$J$941,"&gt;="&amp;$B106,RawData!$J$2:$J$941,"&lt;"&amp;$C106,RawData!$J$2:$J$941,"&lt;&gt;0")</f>
        <v/>
      </c>
      <c r="E106" s="6">
        <f>IF(Config!$G$17=0,0,IF(ABS(($A106-Config!$F$17)/Config!$G$17)&lt;=2,$D106,0))</f>
        <v/>
      </c>
      <c r="F106" s="6">
        <f>IF(Config!$G$17=0,0,IF(AND(ABS(($A106-Config!$F$17)/Config!$G$17)&gt;2,ABS(($A106-Config!$F$17)/Config!$G$17)&lt;=3),$D106,0))</f>
        <v/>
      </c>
      <c r="G106" s="6">
        <f>IF(Config!$G$17=0,0,IF(ABS(($A106-Config!$F$17)/Config!$G$17)&gt;3,$D106,0))</f>
        <v/>
      </c>
      <c r="H106" s="6">
        <f>IFERROR(NORM.DIST($A106,Config!$F$17,Config!$G$17,FALSE)*Config!$D$17*Config!$J$17,0)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IFERROR(NORM.DIST($A107,Config!$F$17,Config!$G$17,FALSE)*Config!$D$17*Config!$J$17,0)</f>
        <v/>
      </c>
    </row>
    <row r="108">
      <c r="A108" s="6">
        <f>Config!$K$17+10*Config!$J$17+Config!$J$17/2</f>
        <v/>
      </c>
      <c r="B108" s="6">
        <f>$A108-Config!$J$17/2</f>
        <v/>
      </c>
      <c r="C108" s="6">
        <f>$A108+Config!$J$17/2</f>
        <v/>
      </c>
      <c r="D108" s="6">
        <f>COUNTIFS(RawData!$C$2:$C$941,"MT",RawData!$J$2:$J$941,"&gt;="&amp;$B108,RawData!$J$2:$J$941,"&lt;"&amp;$C108,RawData!$J$2:$J$941,"&lt;&gt;0")</f>
        <v/>
      </c>
      <c r="E108" s="6">
        <f>IF(Config!$G$17=0,0,IF(ABS(($A108-Config!$F$17)/Config!$G$17)&lt;=2,$D108,0))</f>
        <v/>
      </c>
      <c r="F108" s="6">
        <f>IF(Config!$G$17=0,0,IF(AND(ABS(($A108-Config!$F$17)/Config!$G$17)&gt;2,ABS(($A108-Config!$F$17)/Config!$G$17)&lt;=3),$D108,0))</f>
        <v/>
      </c>
      <c r="G108" s="6">
        <f>IF(Config!$G$17=0,0,IF(ABS(($A108-Config!$F$17)/Config!$G$17)&gt;3,$D108,0))</f>
        <v/>
      </c>
      <c r="H108" s="6">
        <f>IFERROR(NORM.DIST($A108,Config!$F$17,Config!$G$17,FALSE)*Config!$D$17*Config!$J$17,0)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IFERROR(NORM.DIST($A109,Config!$F$17,Config!$G$17,FALSE)*Config!$D$17*Config!$J$17,0)</f>
        <v/>
      </c>
    </row>
    <row r="110">
      <c r="A110" s="6">
        <f>Config!$K$17+12*Config!$J$17+Config!$J$17/2</f>
        <v/>
      </c>
      <c r="B110" s="6">
        <f>$A110-Config!$J$17/2</f>
        <v/>
      </c>
      <c r="C110" s="6">
        <f>$A110+Config!$J$17/2</f>
        <v/>
      </c>
      <c r="D110" s="6">
        <f>COUNTIFS(RawData!$C$2:$C$941,"MT",RawData!$J$2:$J$941,"&gt;="&amp;$B110,RawData!$J$2:$J$941,"&lt;"&amp;$C110,RawData!$J$2:$J$941,"&lt;&gt;0")</f>
        <v/>
      </c>
      <c r="E110" s="6">
        <f>IF(Config!$G$17=0,0,IF(ABS(($A110-Config!$F$17)/Config!$G$17)&lt;=2,$D110,0))</f>
        <v/>
      </c>
      <c r="F110" s="6">
        <f>IF(Config!$G$17=0,0,IF(AND(ABS(($A110-Config!$F$17)/Config!$G$17)&gt;2,ABS(($A110-Config!$F$17)/Config!$G$17)&lt;=3),$D110,0))</f>
        <v/>
      </c>
      <c r="G110" s="6">
        <f>IF(Config!$G$17=0,0,IF(ABS(($A110-Config!$F$17)/Config!$G$17)&gt;3,$D110,0))</f>
        <v/>
      </c>
      <c r="H110" s="6">
        <f>IFERROR(NORM.DIST($A110,Config!$F$17,Config!$G$17,FALSE)*Config!$D$17*Config!$J$17,0)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IFERROR(NORM.DIST($A111,Config!$F$17,Config!$G$17,FALSE)*Config!$D$17*Config!$J$17,0)</f>
        <v/>
      </c>
    </row>
    <row r="112">
      <c r="A112" s="6">
        <f>Config!$K$17+14*Config!$J$17+Config!$J$17/2</f>
        <v/>
      </c>
      <c r="B112" s="6">
        <f>$A112-Config!$J$17/2</f>
        <v/>
      </c>
      <c r="C112" s="6">
        <f>$A112+Config!$J$17/2</f>
        <v/>
      </c>
      <c r="D112" s="6">
        <f>COUNTIFS(RawData!$C$2:$C$941,"MT",RawData!$J$2:$J$941,"&gt;="&amp;$B112,RawData!$J$2:$J$941,"&lt;"&amp;$C112,RawData!$J$2:$J$941,"&lt;&gt;0")</f>
        <v/>
      </c>
      <c r="E112" s="6">
        <f>IF(Config!$G$17=0,0,IF(ABS(($A112-Config!$F$17)/Config!$G$17)&lt;=2,$D112,0))</f>
        <v/>
      </c>
      <c r="F112" s="6">
        <f>IF(Config!$G$17=0,0,IF(AND(ABS(($A112-Config!$F$17)/Config!$G$17)&gt;2,ABS(($A112-Config!$F$17)/Config!$G$17)&lt;=3),$D112,0))</f>
        <v/>
      </c>
      <c r="G112" s="6">
        <f>IF(Config!$G$17=0,0,IF(ABS(($A112-Config!$F$17)/Config!$G$17)&gt;3,$D112,0))</f>
        <v/>
      </c>
      <c r="H112" s="6">
        <f>IFERROR(NORM.DIST($A112,Config!$F$17,Config!$G$17,FALSE)*Config!$D$17*Config!$J$17,0)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IFERROR(NORM.DIST($A113,Config!$F$17,Config!$G$17,FALSE)*Config!$D$17*Config!$J$17,0)</f>
        <v/>
      </c>
    </row>
    <row r="114">
      <c r="A114" s="6">
        <f>Config!$K$17+16*Config!$J$17+Config!$J$17/2</f>
        <v/>
      </c>
      <c r="B114" s="6">
        <f>$A114-Config!$J$17/2</f>
        <v/>
      </c>
      <c r="C114" s="6">
        <f>$A114+Config!$J$17/2</f>
        <v/>
      </c>
      <c r="D114" s="6">
        <f>COUNTIFS(RawData!$C$2:$C$941,"MT",RawData!$J$2:$J$941,"&gt;="&amp;$B114,RawData!$J$2:$J$941,"&lt;"&amp;$C114,RawData!$J$2:$J$941,"&lt;&gt;0")</f>
        <v/>
      </c>
      <c r="E114" s="6">
        <f>IF(Config!$G$17=0,0,IF(ABS(($A114-Config!$F$17)/Config!$G$17)&lt;=2,$D114,0))</f>
        <v/>
      </c>
      <c r="F114" s="6">
        <f>IF(Config!$G$17=0,0,IF(AND(ABS(($A114-Config!$F$17)/Config!$G$17)&gt;2,ABS(($A114-Config!$F$17)/Config!$G$17)&lt;=3),$D114,0))</f>
        <v/>
      </c>
      <c r="G114" s="6">
        <f>IF(Config!$G$17=0,0,IF(ABS(($A114-Config!$F$17)/Config!$G$17)&gt;3,$D114,0))</f>
        <v/>
      </c>
      <c r="H114" s="6">
        <f>IFERROR(NORM.DIST($A114,Config!$F$17,Config!$G$17,FALSE)*Config!$D$17*Config!$J$17,0)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IFERROR(NORM.DIST($A115,Config!$F$17,Config!$G$17,FALSE)*Config!$D$17*Config!$J$17,0)</f>
        <v/>
      </c>
    </row>
    <row r="116">
      <c r="A116" s="6">
        <f>Config!$K$17+18*Config!$J$17+Config!$J$17/2</f>
        <v/>
      </c>
      <c r="B116" s="6">
        <f>$A116-Config!$J$17/2</f>
        <v/>
      </c>
      <c r="C116" s="6">
        <f>$A116+Config!$J$17/2</f>
        <v/>
      </c>
      <c r="D116" s="6">
        <f>COUNTIFS(RawData!$C$2:$C$941,"MT",RawData!$J$2:$J$941,"&gt;="&amp;$B116,RawData!$J$2:$J$941,"&lt;"&amp;$C116,RawData!$J$2:$J$941,"&lt;&gt;0")</f>
        <v/>
      </c>
      <c r="E116" s="6">
        <f>IF(Config!$G$17=0,0,IF(ABS(($A116-Config!$F$17)/Config!$G$17)&lt;=2,$D116,0))</f>
        <v/>
      </c>
      <c r="F116" s="6">
        <f>IF(Config!$G$17=0,0,IF(AND(ABS(($A116-Config!$F$17)/Config!$G$17)&gt;2,ABS(($A116-Config!$F$17)/Config!$G$17)&lt;=3),$D116,0))</f>
        <v/>
      </c>
      <c r="G116" s="6">
        <f>IF(Config!$G$17=0,0,IF(ABS(($A116-Config!$F$17)/Config!$G$17)&gt;3,$D116,0))</f>
        <v/>
      </c>
      <c r="H116" s="6">
        <f>IFERROR(NORM.DIST($A116,Config!$F$17,Config!$G$17,FALSE)*Config!$D$17*Config!$J$17,0)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IFERROR(NORM.DIST($A117,Config!$F$17,Config!$G$17,FALSE)*Config!$D$17*Config!$J$17,0)</f>
        <v/>
      </c>
    </row>
    <row r="118">
      <c r="A118" s="6">
        <f>Config!$K$17+20*Config!$J$17+Config!$J$17/2</f>
        <v/>
      </c>
      <c r="B118" s="6">
        <f>$A118-Config!$J$17/2</f>
        <v/>
      </c>
      <c r="C118" s="6">
        <f>$A118+Config!$J$17/2</f>
        <v/>
      </c>
      <c r="D118" s="6">
        <f>COUNTIFS(RawData!$C$2:$C$941,"MT",RawData!$J$2:$J$941,"&gt;="&amp;$B118,RawData!$J$2:$J$941,"&lt;"&amp;$C118,RawData!$J$2:$J$941,"&lt;&gt;0")</f>
        <v/>
      </c>
      <c r="E118" s="6">
        <f>IF(Config!$G$17=0,0,IF(ABS(($A118-Config!$F$17)/Config!$G$17)&lt;=2,$D118,0))</f>
        <v/>
      </c>
      <c r="F118" s="6">
        <f>IF(Config!$G$17=0,0,IF(AND(ABS(($A118-Config!$F$17)/Config!$G$17)&gt;2,ABS(($A118-Config!$F$17)/Config!$G$17)&lt;=3),$D118,0))</f>
        <v/>
      </c>
      <c r="G118" s="6">
        <f>IF(Config!$G$17=0,0,IF(ABS(($A118-Config!$F$17)/Config!$G$17)&gt;3,$D118,0))</f>
        <v/>
      </c>
      <c r="H118" s="6">
        <f>IFERROR(NORM.DIST($A118,Config!$F$17,Config!$G$17,FALSE)*Config!$D$17*Config!$J$17,0)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IFERROR(NORM.DIST($A119,Config!$F$17,Config!$G$17,FALSE)*Config!$D$17*Config!$J$17,0)</f>
        <v/>
      </c>
    </row>
    <row r="120">
      <c r="A120" s="6">
        <f>Config!$K$17+22*Config!$J$17+Config!$J$17/2</f>
        <v/>
      </c>
      <c r="B120" s="6">
        <f>$A120-Config!$J$17/2</f>
        <v/>
      </c>
      <c r="C120" s="6">
        <f>$A120+Config!$J$17/2</f>
        <v/>
      </c>
      <c r="D120" s="6">
        <f>COUNTIFS(RawData!$C$2:$C$941,"MT",RawData!$J$2:$J$941,"&gt;="&amp;$B120,RawData!$J$2:$J$941,"&lt;"&amp;$C120,RawData!$J$2:$J$941,"&lt;&gt;0")</f>
        <v/>
      </c>
      <c r="E120" s="6">
        <f>IF(Config!$G$17=0,0,IF(ABS(($A120-Config!$F$17)/Config!$G$17)&lt;=2,$D120,0))</f>
        <v/>
      </c>
      <c r="F120" s="6">
        <f>IF(Config!$G$17=0,0,IF(AND(ABS(($A120-Config!$F$17)/Config!$G$17)&gt;2,ABS(($A120-Config!$F$17)/Config!$G$17)&lt;=3),$D120,0))</f>
        <v/>
      </c>
      <c r="G120" s="6">
        <f>IF(Config!$G$17=0,0,IF(ABS(($A120-Config!$F$17)/Config!$G$17)&gt;3,$D120,0))</f>
        <v/>
      </c>
      <c r="H120" s="6">
        <f>IFERROR(NORM.DIST($A120,Config!$F$17,Config!$G$17,FALSE)*Config!$D$17*Config!$J$17,0)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IFERROR(NORM.DIST($A121,Config!$F$17,Config!$G$17,FALSE)*Config!$D$17*Config!$J$17,0)</f>
        <v/>
      </c>
    </row>
    <row r="122">
      <c r="A122" s="6">
        <f>Config!$K$17+24*Config!$J$17+Config!$J$17/2</f>
        <v/>
      </c>
      <c r="B122" s="6">
        <f>$A122-Config!$J$17/2</f>
        <v/>
      </c>
      <c r="C122" s="6">
        <f>$A122+Config!$J$17/2</f>
        <v/>
      </c>
      <c r="D122" s="6">
        <f>COUNTIFS(RawData!$C$2:$C$941,"MT",RawData!$J$2:$J$941,"&gt;="&amp;$B122,RawData!$J$2:$J$941,"&lt;"&amp;$C122,RawData!$J$2:$J$941,"&lt;&gt;0")</f>
        <v/>
      </c>
      <c r="E122" s="6">
        <f>IF(Config!$G$17=0,0,IF(ABS(($A122-Config!$F$17)/Config!$G$17)&lt;=2,$D122,0))</f>
        <v/>
      </c>
      <c r="F122" s="6">
        <f>IF(Config!$G$17=0,0,IF(AND(ABS(($A122-Config!$F$17)/Config!$G$17)&gt;2,ABS(($A122-Config!$F$17)/Config!$G$17)&lt;=3),$D122,0))</f>
        <v/>
      </c>
      <c r="G122" s="6">
        <f>IF(Config!$G$17=0,0,IF(ABS(($A122-Config!$F$17)/Config!$G$17)&gt;3,$D122,0))</f>
        <v/>
      </c>
      <c r="H122" s="6">
        <f>IFERROR(NORM.DIST($A122,Config!$F$17,Config!$G$17,FALSE)*Config!$D$17*Config!$J$17,0)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IFERROR(NORM.DIST($A123,Config!$F$17,Config!$G$17,FALSE)*Config!$D$17*Config!$J$17,0)</f>
        <v/>
      </c>
    </row>
    <row r="124">
      <c r="A124" s="6">
        <f>Config!$K$17+26*Config!$J$17+Config!$J$17/2</f>
        <v/>
      </c>
      <c r="B124" s="6">
        <f>$A124-Config!$J$17/2</f>
        <v/>
      </c>
      <c r="C124" s="6">
        <f>$A124+Config!$J$17/2</f>
        <v/>
      </c>
      <c r="D124" s="6">
        <f>COUNTIFS(RawData!$C$2:$C$941,"MT",RawData!$J$2:$J$941,"&gt;="&amp;$B124,RawData!$J$2:$J$941,"&lt;"&amp;$C124,RawData!$J$2:$J$941,"&lt;&gt;0")</f>
        <v/>
      </c>
      <c r="E124" s="6">
        <f>IF(Config!$G$17=0,0,IF(ABS(($A124-Config!$F$17)/Config!$G$17)&lt;=2,$D124,0))</f>
        <v/>
      </c>
      <c r="F124" s="6">
        <f>IF(Config!$G$17=0,0,IF(AND(ABS(($A124-Config!$F$17)/Config!$G$17)&gt;2,ABS(($A124-Config!$F$17)/Config!$G$17)&lt;=3),$D124,0))</f>
        <v/>
      </c>
      <c r="G124" s="6">
        <f>IF(Config!$G$17=0,0,IF(ABS(($A124-Config!$F$17)/Config!$G$17)&gt;3,$D124,0))</f>
        <v/>
      </c>
      <c r="H124" s="6">
        <f>IFERROR(NORM.DIST($A124,Config!$F$17,Config!$G$17,FALSE)*Config!$D$17*Config!$J$17,0)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IFERROR(NORM.DIST($A125,Config!$F$17,Config!$G$17,FALSE)*Config!$D$17*Config!$J$17,0)</f>
        <v/>
      </c>
    </row>
    <row r="126">
      <c r="A126" s="6">
        <f>Config!$K$17+28*Config!$J$17+Config!$J$17/2</f>
        <v/>
      </c>
      <c r="B126" s="6">
        <f>$A126-Config!$J$17/2</f>
        <v/>
      </c>
      <c r="C126" s="6">
        <f>$A126+Config!$J$17/2</f>
        <v/>
      </c>
      <c r="D126" s="6">
        <f>COUNTIFS(RawData!$C$2:$C$941,"MT",RawData!$J$2:$J$941,"&gt;="&amp;$B126,RawData!$J$2:$J$941,"&lt;"&amp;$C126,RawData!$J$2:$J$941,"&lt;&gt;0")</f>
        <v/>
      </c>
      <c r="E126" s="6">
        <f>IF(Config!$G$17=0,0,IF(ABS(($A126-Config!$F$17)/Config!$G$17)&lt;=2,$D126,0))</f>
        <v/>
      </c>
      <c r="F126" s="6">
        <f>IF(Config!$G$17=0,0,IF(AND(ABS(($A126-Config!$F$17)/Config!$G$17)&gt;2,ABS(($A126-Config!$F$17)/Config!$G$17)&lt;=3),$D126,0))</f>
        <v/>
      </c>
      <c r="G126" s="6">
        <f>IF(Config!$G$17=0,0,IF(ABS(($A126-Config!$F$17)/Config!$G$17)&gt;3,$D126,0))</f>
        <v/>
      </c>
      <c r="H126" s="6">
        <f>IFERROR(NORM.DIST($A126,Config!$F$17,Config!$G$17,FALSE)*Config!$D$17*Config!$J$17,0)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IFERROR(NORM.DIST($A127,Config!$F$17,Config!$G$17,FALSE)*Config!$D$17*Config!$J$17,0)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Config!$K$18+0*Config!$J$18+Config!$J$18/2</f>
        <v/>
      </c>
      <c r="B130" s="6">
        <f>$A130-Config!$J$18/2</f>
        <v/>
      </c>
      <c r="C130" s="6">
        <f>$A130+Config!$J$18/2</f>
        <v/>
      </c>
      <c r="D130" s="6">
        <f>COUNTIFS(RawData!$C$2:$C$941,"MT",RawData!$K$2:$K$941,"&gt;="&amp;$B130,RawData!$K$2:$K$941,"&lt;"&amp;$C130,RawData!$K$2:$K$941,"&lt;&gt;0")</f>
        <v/>
      </c>
      <c r="E130" s="6">
        <f>IF(Config!$G$18=0,0,IF(ABS(($A130-Config!$F$18)/Config!$G$18)&lt;=2,$D130,0))</f>
        <v/>
      </c>
      <c r="F130" s="6">
        <f>IF(Config!$G$18=0,0,IF(AND(ABS(($A130-Config!$F$18)/Config!$G$18)&gt;2,ABS(($A130-Config!$F$18)/Config!$G$18)&lt;=3),$D130,0))</f>
        <v/>
      </c>
      <c r="G130" s="6">
        <f>IF(Config!$G$18=0,0,IF(ABS(($A130-Config!$F$18)/Config!$G$18)&gt;3,$D130,0))</f>
        <v/>
      </c>
      <c r="H130" s="6">
        <f>IFERROR(NORM.DIST($A130,Config!$F$18,Config!$G$18,FALSE)*Config!$D$18*Config!$J$18,0)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IFERROR(NORM.DIST($A131,Config!$F$18,Config!$G$18,FALSE)*Config!$D$18*Config!$J$18,0)</f>
        <v/>
      </c>
    </row>
    <row r="132">
      <c r="A132" s="6">
        <f>Config!$K$18+2*Config!$J$18+Config!$J$18/2</f>
        <v/>
      </c>
      <c r="B132" s="6">
        <f>$A132-Config!$J$18/2</f>
        <v/>
      </c>
      <c r="C132" s="6">
        <f>$A132+Config!$J$18/2</f>
        <v/>
      </c>
      <c r="D132" s="6">
        <f>COUNTIFS(RawData!$C$2:$C$941,"MT",RawData!$K$2:$K$941,"&gt;="&amp;$B132,RawData!$K$2:$K$941,"&lt;"&amp;$C132,RawData!$K$2:$K$941,"&lt;&gt;0")</f>
        <v/>
      </c>
      <c r="E132" s="6">
        <f>IF(Config!$G$18=0,0,IF(ABS(($A132-Config!$F$18)/Config!$G$18)&lt;=2,$D132,0))</f>
        <v/>
      </c>
      <c r="F132" s="6">
        <f>IF(Config!$G$18=0,0,IF(AND(ABS(($A132-Config!$F$18)/Config!$G$18)&gt;2,ABS(($A132-Config!$F$18)/Config!$G$18)&lt;=3),$D132,0))</f>
        <v/>
      </c>
      <c r="G132" s="6">
        <f>IF(Config!$G$18=0,0,IF(ABS(($A132-Config!$F$18)/Config!$G$18)&gt;3,$D132,0))</f>
        <v/>
      </c>
      <c r="H132" s="6">
        <f>IFERROR(NORM.DIST($A132,Config!$F$18,Config!$G$18,FALSE)*Config!$D$18*Config!$J$18,0)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IFERROR(NORM.DIST($A133,Config!$F$18,Config!$G$18,FALSE)*Config!$D$18*Config!$J$18,0)</f>
        <v/>
      </c>
    </row>
    <row r="134">
      <c r="A134" s="6">
        <f>Config!$K$18+4*Config!$J$18+Config!$J$18/2</f>
        <v/>
      </c>
      <c r="B134" s="6">
        <f>$A134-Config!$J$18/2</f>
        <v/>
      </c>
      <c r="C134" s="6">
        <f>$A134+Config!$J$18/2</f>
        <v/>
      </c>
      <c r="D134" s="6">
        <f>COUNTIFS(RawData!$C$2:$C$941,"MT",RawData!$K$2:$K$941,"&gt;="&amp;$B134,RawData!$K$2:$K$941,"&lt;"&amp;$C134,RawData!$K$2:$K$941,"&lt;&gt;0")</f>
        <v/>
      </c>
      <c r="E134" s="6">
        <f>IF(Config!$G$18=0,0,IF(ABS(($A134-Config!$F$18)/Config!$G$18)&lt;=2,$D134,0))</f>
        <v/>
      </c>
      <c r="F134" s="6">
        <f>IF(Config!$G$18=0,0,IF(AND(ABS(($A134-Config!$F$18)/Config!$G$18)&gt;2,ABS(($A134-Config!$F$18)/Config!$G$18)&lt;=3),$D134,0))</f>
        <v/>
      </c>
      <c r="G134" s="6">
        <f>IF(Config!$G$18=0,0,IF(ABS(($A134-Config!$F$18)/Config!$G$18)&gt;3,$D134,0))</f>
        <v/>
      </c>
      <c r="H134" s="6">
        <f>IFERROR(NORM.DIST($A134,Config!$F$18,Config!$G$18,FALSE)*Config!$D$18*Config!$J$18,0)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IFERROR(NORM.DIST($A135,Config!$F$18,Config!$G$18,FALSE)*Config!$D$18*Config!$J$18,0)</f>
        <v/>
      </c>
    </row>
    <row r="136">
      <c r="A136" s="6">
        <f>Config!$K$18+6*Config!$J$18+Config!$J$18/2</f>
        <v/>
      </c>
      <c r="B136" s="6">
        <f>$A136-Config!$J$18/2</f>
        <v/>
      </c>
      <c r="C136" s="6">
        <f>$A136+Config!$J$18/2</f>
        <v/>
      </c>
      <c r="D136" s="6">
        <f>COUNTIFS(RawData!$C$2:$C$941,"MT",RawData!$K$2:$K$941,"&gt;="&amp;$B136,RawData!$K$2:$K$941,"&lt;"&amp;$C136,RawData!$K$2:$K$941,"&lt;&gt;0")</f>
        <v/>
      </c>
      <c r="E136" s="6">
        <f>IF(Config!$G$18=0,0,IF(ABS(($A136-Config!$F$18)/Config!$G$18)&lt;=2,$D136,0))</f>
        <v/>
      </c>
      <c r="F136" s="6">
        <f>IF(Config!$G$18=0,0,IF(AND(ABS(($A136-Config!$F$18)/Config!$G$18)&gt;2,ABS(($A136-Config!$F$18)/Config!$G$18)&lt;=3),$D136,0))</f>
        <v/>
      </c>
      <c r="G136" s="6">
        <f>IF(Config!$G$18=0,0,IF(ABS(($A136-Config!$F$18)/Config!$G$18)&gt;3,$D136,0))</f>
        <v/>
      </c>
      <c r="H136" s="6">
        <f>IFERROR(NORM.DIST($A136,Config!$F$18,Config!$G$18,FALSE)*Config!$D$18*Config!$J$18,0)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IFERROR(NORM.DIST($A137,Config!$F$18,Config!$G$18,FALSE)*Config!$D$18*Config!$J$18,0)</f>
        <v/>
      </c>
    </row>
    <row r="138">
      <c r="A138" s="6">
        <f>Config!$K$18+8*Config!$J$18+Config!$J$18/2</f>
        <v/>
      </c>
      <c r="B138" s="6">
        <f>$A138-Config!$J$18/2</f>
        <v/>
      </c>
      <c r="C138" s="6">
        <f>$A138+Config!$J$18/2</f>
        <v/>
      </c>
      <c r="D138" s="6">
        <f>COUNTIFS(RawData!$C$2:$C$941,"MT",RawData!$K$2:$K$941,"&gt;="&amp;$B138,RawData!$K$2:$K$941,"&lt;"&amp;$C138,RawData!$K$2:$K$941,"&lt;&gt;0")</f>
        <v/>
      </c>
      <c r="E138" s="6">
        <f>IF(Config!$G$18=0,0,IF(ABS(($A138-Config!$F$18)/Config!$G$18)&lt;=2,$D138,0))</f>
        <v/>
      </c>
      <c r="F138" s="6">
        <f>IF(Config!$G$18=0,0,IF(AND(ABS(($A138-Config!$F$18)/Config!$G$18)&gt;2,ABS(($A138-Config!$F$18)/Config!$G$18)&lt;=3),$D138,0))</f>
        <v/>
      </c>
      <c r="G138" s="6">
        <f>IF(Config!$G$18=0,0,IF(ABS(($A138-Config!$F$18)/Config!$G$18)&gt;3,$D138,0))</f>
        <v/>
      </c>
      <c r="H138" s="6">
        <f>IFERROR(NORM.DIST($A138,Config!$F$18,Config!$G$18,FALSE)*Config!$D$18*Config!$J$18,0)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IFERROR(NORM.DIST($A139,Config!$F$18,Config!$G$18,FALSE)*Config!$D$18*Config!$J$18,0)</f>
        <v/>
      </c>
    </row>
    <row r="140">
      <c r="A140" s="6">
        <f>Config!$K$18+10*Config!$J$18+Config!$J$18/2</f>
        <v/>
      </c>
      <c r="B140" s="6">
        <f>$A140-Config!$J$18/2</f>
        <v/>
      </c>
      <c r="C140" s="6">
        <f>$A140+Config!$J$18/2</f>
        <v/>
      </c>
      <c r="D140" s="6">
        <f>COUNTIFS(RawData!$C$2:$C$941,"MT",RawData!$K$2:$K$941,"&gt;="&amp;$B140,RawData!$K$2:$K$941,"&lt;"&amp;$C140,RawData!$K$2:$K$941,"&lt;&gt;0")</f>
        <v/>
      </c>
      <c r="E140" s="6">
        <f>IF(Config!$G$18=0,0,IF(ABS(($A140-Config!$F$18)/Config!$G$18)&lt;=2,$D140,0))</f>
        <v/>
      </c>
      <c r="F140" s="6">
        <f>IF(Config!$G$18=0,0,IF(AND(ABS(($A140-Config!$F$18)/Config!$G$18)&gt;2,ABS(($A140-Config!$F$18)/Config!$G$18)&lt;=3),$D140,0))</f>
        <v/>
      </c>
      <c r="G140" s="6">
        <f>IF(Config!$G$18=0,0,IF(ABS(($A140-Config!$F$18)/Config!$G$18)&gt;3,$D140,0))</f>
        <v/>
      </c>
      <c r="H140" s="6">
        <f>IFERROR(NORM.DIST($A140,Config!$F$18,Config!$G$18,FALSE)*Config!$D$18*Config!$J$18,0)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IFERROR(NORM.DIST($A141,Config!$F$18,Config!$G$18,FALSE)*Config!$D$18*Config!$J$18,0)</f>
        <v/>
      </c>
    </row>
    <row r="142">
      <c r="A142" s="6">
        <f>Config!$K$18+12*Config!$J$18+Config!$J$18/2</f>
        <v/>
      </c>
      <c r="B142" s="6">
        <f>$A142-Config!$J$18/2</f>
        <v/>
      </c>
      <c r="C142" s="6">
        <f>$A142+Config!$J$18/2</f>
        <v/>
      </c>
      <c r="D142" s="6">
        <f>COUNTIFS(RawData!$C$2:$C$941,"MT",RawData!$K$2:$K$941,"&gt;="&amp;$B142,RawData!$K$2:$K$941,"&lt;"&amp;$C142,RawData!$K$2:$K$941,"&lt;&gt;0")</f>
        <v/>
      </c>
      <c r="E142" s="6">
        <f>IF(Config!$G$18=0,0,IF(ABS(($A142-Config!$F$18)/Config!$G$18)&lt;=2,$D142,0))</f>
        <v/>
      </c>
      <c r="F142" s="6">
        <f>IF(Config!$G$18=0,0,IF(AND(ABS(($A142-Config!$F$18)/Config!$G$18)&gt;2,ABS(($A142-Config!$F$18)/Config!$G$18)&lt;=3),$D142,0))</f>
        <v/>
      </c>
      <c r="G142" s="6">
        <f>IF(Config!$G$18=0,0,IF(ABS(($A142-Config!$F$18)/Config!$G$18)&gt;3,$D142,0))</f>
        <v/>
      </c>
      <c r="H142" s="6">
        <f>IFERROR(NORM.DIST($A142,Config!$F$18,Config!$G$18,FALSE)*Config!$D$18*Config!$J$18,0)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IFERROR(NORM.DIST($A143,Config!$F$18,Config!$G$18,FALSE)*Config!$D$18*Config!$J$18,0)</f>
        <v/>
      </c>
    </row>
    <row r="144">
      <c r="A144" s="6">
        <f>Config!$K$18+14*Config!$J$18+Config!$J$18/2</f>
        <v/>
      </c>
      <c r="B144" s="6">
        <f>$A144-Config!$J$18/2</f>
        <v/>
      </c>
      <c r="C144" s="6">
        <f>$A144+Config!$J$18/2</f>
        <v/>
      </c>
      <c r="D144" s="6">
        <f>COUNTIFS(RawData!$C$2:$C$941,"MT",RawData!$K$2:$K$941,"&gt;="&amp;$B144,RawData!$K$2:$K$941,"&lt;"&amp;$C144,RawData!$K$2:$K$941,"&lt;&gt;0")</f>
        <v/>
      </c>
      <c r="E144" s="6">
        <f>IF(Config!$G$18=0,0,IF(ABS(($A144-Config!$F$18)/Config!$G$18)&lt;=2,$D144,0))</f>
        <v/>
      </c>
      <c r="F144" s="6">
        <f>IF(Config!$G$18=0,0,IF(AND(ABS(($A144-Config!$F$18)/Config!$G$18)&gt;2,ABS(($A144-Config!$F$18)/Config!$G$18)&lt;=3),$D144,0))</f>
        <v/>
      </c>
      <c r="G144" s="6">
        <f>IF(Config!$G$18=0,0,IF(ABS(($A144-Config!$F$18)/Config!$G$18)&gt;3,$D144,0))</f>
        <v/>
      </c>
      <c r="H144" s="6">
        <f>IFERROR(NORM.DIST($A144,Config!$F$18,Config!$G$18,FALSE)*Config!$D$18*Config!$J$18,0)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IFERROR(NORM.DIST($A145,Config!$F$18,Config!$G$18,FALSE)*Config!$D$18*Config!$J$18,0)</f>
        <v/>
      </c>
    </row>
    <row r="146">
      <c r="A146" s="6">
        <f>Config!$K$18+16*Config!$J$18+Config!$J$18/2</f>
        <v/>
      </c>
      <c r="B146" s="6">
        <f>$A146-Config!$J$18/2</f>
        <v/>
      </c>
      <c r="C146" s="6">
        <f>$A146+Config!$J$18/2</f>
        <v/>
      </c>
      <c r="D146" s="6">
        <f>COUNTIFS(RawData!$C$2:$C$941,"MT",RawData!$K$2:$K$941,"&gt;="&amp;$B146,RawData!$K$2:$K$941,"&lt;"&amp;$C146,RawData!$K$2:$K$941,"&lt;&gt;0")</f>
        <v/>
      </c>
      <c r="E146" s="6">
        <f>IF(Config!$G$18=0,0,IF(ABS(($A146-Config!$F$18)/Config!$G$18)&lt;=2,$D146,0))</f>
        <v/>
      </c>
      <c r="F146" s="6">
        <f>IF(Config!$G$18=0,0,IF(AND(ABS(($A146-Config!$F$18)/Config!$G$18)&gt;2,ABS(($A146-Config!$F$18)/Config!$G$18)&lt;=3),$D146,0))</f>
        <v/>
      </c>
      <c r="G146" s="6">
        <f>IF(Config!$G$18=0,0,IF(ABS(($A146-Config!$F$18)/Config!$G$18)&gt;3,$D146,0))</f>
        <v/>
      </c>
      <c r="H146" s="6">
        <f>IFERROR(NORM.DIST($A146,Config!$F$18,Config!$G$18,FALSE)*Config!$D$18*Config!$J$18,0)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IFERROR(NORM.DIST($A147,Config!$F$18,Config!$G$18,FALSE)*Config!$D$18*Config!$J$18,0)</f>
        <v/>
      </c>
    </row>
    <row r="148">
      <c r="A148" s="6">
        <f>Config!$K$18+18*Config!$J$18+Config!$J$18/2</f>
        <v/>
      </c>
      <c r="B148" s="6">
        <f>$A148-Config!$J$18/2</f>
        <v/>
      </c>
      <c r="C148" s="6">
        <f>$A148+Config!$J$18/2</f>
        <v/>
      </c>
      <c r="D148" s="6">
        <f>COUNTIFS(RawData!$C$2:$C$941,"MT",RawData!$K$2:$K$941,"&gt;="&amp;$B148,RawData!$K$2:$K$941,"&lt;"&amp;$C148,RawData!$K$2:$K$941,"&lt;&gt;0")</f>
        <v/>
      </c>
      <c r="E148" s="6">
        <f>IF(Config!$G$18=0,0,IF(ABS(($A148-Config!$F$18)/Config!$G$18)&lt;=2,$D148,0))</f>
        <v/>
      </c>
      <c r="F148" s="6">
        <f>IF(Config!$G$18=0,0,IF(AND(ABS(($A148-Config!$F$18)/Config!$G$18)&gt;2,ABS(($A148-Config!$F$18)/Config!$G$18)&lt;=3),$D148,0))</f>
        <v/>
      </c>
      <c r="G148" s="6">
        <f>IF(Config!$G$18=0,0,IF(ABS(($A148-Config!$F$18)/Config!$G$18)&gt;3,$D148,0))</f>
        <v/>
      </c>
      <c r="H148" s="6">
        <f>IFERROR(NORM.DIST($A148,Config!$F$18,Config!$G$18,FALSE)*Config!$D$18*Config!$J$18,0)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IFERROR(NORM.DIST($A149,Config!$F$18,Config!$G$18,FALSE)*Config!$D$18*Config!$J$18,0)</f>
        <v/>
      </c>
    </row>
    <row r="150">
      <c r="A150" s="6">
        <f>Config!$K$18+20*Config!$J$18+Config!$J$18/2</f>
        <v/>
      </c>
      <c r="B150" s="6">
        <f>$A150-Config!$J$18/2</f>
        <v/>
      </c>
      <c r="C150" s="6">
        <f>$A150+Config!$J$18/2</f>
        <v/>
      </c>
      <c r="D150" s="6">
        <f>COUNTIFS(RawData!$C$2:$C$941,"MT",RawData!$K$2:$K$941,"&gt;="&amp;$B150,RawData!$K$2:$K$941,"&lt;"&amp;$C150,RawData!$K$2:$K$941,"&lt;&gt;0")</f>
        <v/>
      </c>
      <c r="E150" s="6">
        <f>IF(Config!$G$18=0,0,IF(ABS(($A150-Config!$F$18)/Config!$G$18)&lt;=2,$D150,0))</f>
        <v/>
      </c>
      <c r="F150" s="6">
        <f>IF(Config!$G$18=0,0,IF(AND(ABS(($A150-Config!$F$18)/Config!$G$18)&gt;2,ABS(($A150-Config!$F$18)/Config!$G$18)&lt;=3),$D150,0))</f>
        <v/>
      </c>
      <c r="G150" s="6">
        <f>IF(Config!$G$18=0,0,IF(ABS(($A150-Config!$F$18)/Config!$G$18)&gt;3,$D150,0))</f>
        <v/>
      </c>
      <c r="H150" s="6">
        <f>IFERROR(NORM.DIST($A150,Config!$F$18,Config!$G$18,FALSE)*Config!$D$18*Config!$J$18,0)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IFERROR(NORM.DIST($A151,Config!$F$18,Config!$G$18,FALSE)*Config!$D$18*Config!$J$18,0)</f>
        <v/>
      </c>
    </row>
    <row r="152">
      <c r="A152" s="6">
        <f>Config!$K$18+22*Config!$J$18+Config!$J$18/2</f>
        <v/>
      </c>
      <c r="B152" s="6">
        <f>$A152-Config!$J$18/2</f>
        <v/>
      </c>
      <c r="C152" s="6">
        <f>$A152+Config!$J$18/2</f>
        <v/>
      </c>
      <c r="D152" s="6">
        <f>COUNTIFS(RawData!$C$2:$C$941,"MT",RawData!$K$2:$K$941,"&gt;="&amp;$B152,RawData!$K$2:$K$941,"&lt;"&amp;$C152,RawData!$K$2:$K$941,"&lt;&gt;0")</f>
        <v/>
      </c>
      <c r="E152" s="6">
        <f>IF(Config!$G$18=0,0,IF(ABS(($A152-Config!$F$18)/Config!$G$18)&lt;=2,$D152,0))</f>
        <v/>
      </c>
      <c r="F152" s="6">
        <f>IF(Config!$G$18=0,0,IF(AND(ABS(($A152-Config!$F$18)/Config!$G$18)&gt;2,ABS(($A152-Config!$F$18)/Config!$G$18)&lt;=3),$D152,0))</f>
        <v/>
      </c>
      <c r="G152" s="6">
        <f>IF(Config!$G$18=0,0,IF(ABS(($A152-Config!$F$18)/Config!$G$18)&gt;3,$D152,0))</f>
        <v/>
      </c>
      <c r="H152" s="6">
        <f>IFERROR(NORM.DIST($A152,Config!$F$18,Config!$G$18,FALSE)*Config!$D$18*Config!$J$18,0)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IFERROR(NORM.DIST($A153,Config!$F$18,Config!$G$18,FALSE)*Config!$D$18*Config!$J$18,0)</f>
        <v/>
      </c>
    </row>
    <row r="154">
      <c r="A154" s="6">
        <f>Config!$K$18+24*Config!$J$18+Config!$J$18/2</f>
        <v/>
      </c>
      <c r="B154" s="6">
        <f>$A154-Config!$J$18/2</f>
        <v/>
      </c>
      <c r="C154" s="6">
        <f>$A154+Config!$J$18/2</f>
        <v/>
      </c>
      <c r="D154" s="6">
        <f>COUNTIFS(RawData!$C$2:$C$941,"MT",RawData!$K$2:$K$941,"&gt;="&amp;$B154,RawData!$K$2:$K$941,"&lt;"&amp;$C154,RawData!$K$2:$K$941,"&lt;&gt;0")</f>
        <v/>
      </c>
      <c r="E154" s="6">
        <f>IF(Config!$G$18=0,0,IF(ABS(($A154-Config!$F$18)/Config!$G$18)&lt;=2,$D154,0))</f>
        <v/>
      </c>
      <c r="F154" s="6">
        <f>IF(Config!$G$18=0,0,IF(AND(ABS(($A154-Config!$F$18)/Config!$G$18)&gt;2,ABS(($A154-Config!$F$18)/Config!$G$18)&lt;=3),$D154,0))</f>
        <v/>
      </c>
      <c r="G154" s="6">
        <f>IF(Config!$G$18=0,0,IF(ABS(($A154-Config!$F$18)/Config!$G$18)&gt;3,$D154,0))</f>
        <v/>
      </c>
      <c r="H154" s="6">
        <f>IFERROR(NORM.DIST($A154,Config!$F$18,Config!$G$18,FALSE)*Config!$D$18*Config!$J$18,0)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IFERROR(NORM.DIST($A155,Config!$F$18,Config!$G$18,FALSE)*Config!$D$18*Config!$J$18,0)</f>
        <v/>
      </c>
    </row>
    <row r="156">
      <c r="A156" s="6">
        <f>Config!$K$18+26*Config!$J$18+Config!$J$18/2</f>
        <v/>
      </c>
      <c r="B156" s="6">
        <f>$A156-Config!$J$18/2</f>
        <v/>
      </c>
      <c r="C156" s="6">
        <f>$A156+Config!$J$18/2</f>
        <v/>
      </c>
      <c r="D156" s="6">
        <f>COUNTIFS(RawData!$C$2:$C$941,"MT",RawData!$K$2:$K$941,"&gt;="&amp;$B156,RawData!$K$2:$K$941,"&lt;"&amp;$C156,RawData!$K$2:$K$941,"&lt;&gt;0")</f>
        <v/>
      </c>
      <c r="E156" s="6">
        <f>IF(Config!$G$18=0,0,IF(ABS(($A156-Config!$F$18)/Config!$G$18)&lt;=2,$D156,0))</f>
        <v/>
      </c>
      <c r="F156" s="6">
        <f>IF(Config!$G$18=0,0,IF(AND(ABS(($A156-Config!$F$18)/Config!$G$18)&gt;2,ABS(($A156-Config!$F$18)/Config!$G$18)&lt;=3),$D156,0))</f>
        <v/>
      </c>
      <c r="G156" s="6">
        <f>IF(Config!$G$18=0,0,IF(ABS(($A156-Config!$F$18)/Config!$G$18)&gt;3,$D156,0))</f>
        <v/>
      </c>
      <c r="H156" s="6">
        <f>IFERROR(NORM.DIST($A156,Config!$F$18,Config!$G$18,FALSE)*Config!$D$18*Config!$J$18,0)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IFERROR(NORM.DIST($A157,Config!$F$18,Config!$G$18,FALSE)*Config!$D$18*Config!$J$18,0)</f>
        <v/>
      </c>
    </row>
    <row r="158">
      <c r="A158" s="6">
        <f>Config!$K$18+28*Config!$J$18+Config!$J$18/2</f>
        <v/>
      </c>
      <c r="B158" s="6">
        <f>$A158-Config!$J$18/2</f>
        <v/>
      </c>
      <c r="C158" s="6">
        <f>$A158+Config!$J$18/2</f>
        <v/>
      </c>
      <c r="D158" s="6">
        <f>COUNTIFS(RawData!$C$2:$C$941,"MT",RawData!$K$2:$K$941,"&gt;="&amp;$B158,RawData!$K$2:$K$941,"&lt;"&amp;$C158,RawData!$K$2:$K$941,"&lt;&gt;0")</f>
        <v/>
      </c>
      <c r="E158" s="6">
        <f>IF(Config!$G$18=0,0,IF(ABS(($A158-Config!$F$18)/Config!$G$18)&lt;=2,$D158,0))</f>
        <v/>
      </c>
      <c r="F158" s="6">
        <f>IF(Config!$G$18=0,0,IF(AND(ABS(($A158-Config!$F$18)/Config!$G$18)&gt;2,ABS(($A158-Config!$F$18)/Config!$G$18)&lt;=3),$D158,0))</f>
        <v/>
      </c>
      <c r="G158" s="6">
        <f>IF(Config!$G$18=0,0,IF(ABS(($A158-Config!$F$18)/Config!$G$18)&gt;3,$D158,0))</f>
        <v/>
      </c>
      <c r="H158" s="6">
        <f>IFERROR(NORM.DIST($A158,Config!$F$18,Config!$G$18,FALSE)*Config!$D$18*Config!$J$18,0)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IFERROR(NORM.DIST($A159,Config!$F$18,Config!$G$18,FALSE)*Config!$D$18*Config!$J$18,0)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Config!$K$19+0*Config!$J$19+Config!$J$19/2</f>
        <v/>
      </c>
      <c r="B162" s="6">
        <f>$A162-Config!$J$19/2</f>
        <v/>
      </c>
      <c r="C162" s="6">
        <f>$A162+Config!$J$19/2</f>
        <v/>
      </c>
      <c r="D162" s="6">
        <f>COUNTIFS(RawData!$C$2:$C$941,"MT",RawData!$L$2:$L$941,"&gt;="&amp;$B162,RawData!$L$2:$L$941,"&lt;"&amp;$C162,RawData!$L$2:$L$941,"&lt;&gt;0")</f>
        <v/>
      </c>
      <c r="E162" s="6">
        <f>IF(Config!$G$19=0,0,IF(ABS(($A162-Config!$F$19)/Config!$G$19)&lt;=2,$D162,0))</f>
        <v/>
      </c>
      <c r="F162" s="6">
        <f>IF(Config!$G$19=0,0,IF(AND(ABS(($A162-Config!$F$19)/Config!$G$19)&gt;2,ABS(($A162-Config!$F$19)/Config!$G$19)&lt;=3),$D162,0))</f>
        <v/>
      </c>
      <c r="G162" s="6">
        <f>IF(Config!$G$19=0,0,IF(ABS(($A162-Config!$F$19)/Config!$G$19)&gt;3,$D162,0))</f>
        <v/>
      </c>
      <c r="H162" s="6">
        <f>IFERROR(NORM.DIST($A162,Config!$F$19,Config!$G$19,FALSE)*Config!$D$19*Config!$J$19,0)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IFERROR(NORM.DIST($A163,Config!$F$19,Config!$G$19,FALSE)*Config!$D$19*Config!$J$19,0)</f>
        <v/>
      </c>
    </row>
    <row r="164">
      <c r="A164" s="6">
        <f>Config!$K$19+2*Config!$J$19+Config!$J$19/2</f>
        <v/>
      </c>
      <c r="B164" s="6">
        <f>$A164-Config!$J$19/2</f>
        <v/>
      </c>
      <c r="C164" s="6">
        <f>$A164+Config!$J$19/2</f>
        <v/>
      </c>
      <c r="D164" s="6">
        <f>COUNTIFS(RawData!$C$2:$C$941,"MT",RawData!$L$2:$L$941,"&gt;="&amp;$B164,RawData!$L$2:$L$941,"&lt;"&amp;$C164,RawData!$L$2:$L$941,"&lt;&gt;0")</f>
        <v/>
      </c>
      <c r="E164" s="6">
        <f>IF(Config!$G$19=0,0,IF(ABS(($A164-Config!$F$19)/Config!$G$19)&lt;=2,$D164,0))</f>
        <v/>
      </c>
      <c r="F164" s="6">
        <f>IF(Config!$G$19=0,0,IF(AND(ABS(($A164-Config!$F$19)/Config!$G$19)&gt;2,ABS(($A164-Config!$F$19)/Config!$G$19)&lt;=3),$D164,0))</f>
        <v/>
      </c>
      <c r="G164" s="6">
        <f>IF(Config!$G$19=0,0,IF(ABS(($A164-Config!$F$19)/Config!$G$19)&gt;3,$D164,0))</f>
        <v/>
      </c>
      <c r="H164" s="6">
        <f>IFERROR(NORM.DIST($A164,Config!$F$19,Config!$G$19,FALSE)*Config!$D$19*Config!$J$19,0)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IFERROR(NORM.DIST($A165,Config!$F$19,Config!$G$19,FALSE)*Config!$D$19*Config!$J$19,0)</f>
        <v/>
      </c>
    </row>
    <row r="166">
      <c r="A166" s="6">
        <f>Config!$K$19+4*Config!$J$19+Config!$J$19/2</f>
        <v/>
      </c>
      <c r="B166" s="6">
        <f>$A166-Config!$J$19/2</f>
        <v/>
      </c>
      <c r="C166" s="6">
        <f>$A166+Config!$J$19/2</f>
        <v/>
      </c>
      <c r="D166" s="6">
        <f>COUNTIFS(RawData!$C$2:$C$941,"MT",RawData!$L$2:$L$941,"&gt;="&amp;$B166,RawData!$L$2:$L$941,"&lt;"&amp;$C166,RawData!$L$2:$L$941,"&lt;&gt;0")</f>
        <v/>
      </c>
      <c r="E166" s="6">
        <f>IF(Config!$G$19=0,0,IF(ABS(($A166-Config!$F$19)/Config!$G$19)&lt;=2,$D166,0))</f>
        <v/>
      </c>
      <c r="F166" s="6">
        <f>IF(Config!$G$19=0,0,IF(AND(ABS(($A166-Config!$F$19)/Config!$G$19)&gt;2,ABS(($A166-Config!$F$19)/Config!$G$19)&lt;=3),$D166,0))</f>
        <v/>
      </c>
      <c r="G166" s="6">
        <f>IF(Config!$G$19=0,0,IF(ABS(($A166-Config!$F$19)/Config!$G$19)&gt;3,$D166,0))</f>
        <v/>
      </c>
      <c r="H166" s="6">
        <f>IFERROR(NORM.DIST($A166,Config!$F$19,Config!$G$19,FALSE)*Config!$D$19*Config!$J$19,0)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IFERROR(NORM.DIST($A167,Config!$F$19,Config!$G$19,FALSE)*Config!$D$19*Config!$J$19,0)</f>
        <v/>
      </c>
    </row>
    <row r="168">
      <c r="A168" s="6">
        <f>Config!$K$19+6*Config!$J$19+Config!$J$19/2</f>
        <v/>
      </c>
      <c r="B168" s="6">
        <f>$A168-Config!$J$19/2</f>
        <v/>
      </c>
      <c r="C168" s="6">
        <f>$A168+Config!$J$19/2</f>
        <v/>
      </c>
      <c r="D168" s="6">
        <f>COUNTIFS(RawData!$C$2:$C$941,"MT",RawData!$L$2:$L$941,"&gt;="&amp;$B168,RawData!$L$2:$L$941,"&lt;"&amp;$C168,RawData!$L$2:$L$941,"&lt;&gt;0")</f>
        <v/>
      </c>
      <c r="E168" s="6">
        <f>IF(Config!$G$19=0,0,IF(ABS(($A168-Config!$F$19)/Config!$G$19)&lt;=2,$D168,0))</f>
        <v/>
      </c>
      <c r="F168" s="6">
        <f>IF(Config!$G$19=0,0,IF(AND(ABS(($A168-Config!$F$19)/Config!$G$19)&gt;2,ABS(($A168-Config!$F$19)/Config!$G$19)&lt;=3),$D168,0))</f>
        <v/>
      </c>
      <c r="G168" s="6">
        <f>IF(Config!$G$19=0,0,IF(ABS(($A168-Config!$F$19)/Config!$G$19)&gt;3,$D168,0))</f>
        <v/>
      </c>
      <c r="H168" s="6">
        <f>IFERROR(NORM.DIST($A168,Config!$F$19,Config!$G$19,FALSE)*Config!$D$19*Config!$J$19,0)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IFERROR(NORM.DIST($A169,Config!$F$19,Config!$G$19,FALSE)*Config!$D$19*Config!$J$19,0)</f>
        <v/>
      </c>
    </row>
    <row r="170">
      <c r="A170" s="6">
        <f>Config!$K$19+8*Config!$J$19+Config!$J$19/2</f>
        <v/>
      </c>
      <c r="B170" s="6">
        <f>$A170-Config!$J$19/2</f>
        <v/>
      </c>
      <c r="C170" s="6">
        <f>$A170+Config!$J$19/2</f>
        <v/>
      </c>
      <c r="D170" s="6">
        <f>COUNTIFS(RawData!$C$2:$C$941,"MT",RawData!$L$2:$L$941,"&gt;="&amp;$B170,RawData!$L$2:$L$941,"&lt;"&amp;$C170,RawData!$L$2:$L$941,"&lt;&gt;0")</f>
        <v/>
      </c>
      <c r="E170" s="6">
        <f>IF(Config!$G$19=0,0,IF(ABS(($A170-Config!$F$19)/Config!$G$19)&lt;=2,$D170,0))</f>
        <v/>
      </c>
      <c r="F170" s="6">
        <f>IF(Config!$G$19=0,0,IF(AND(ABS(($A170-Config!$F$19)/Config!$G$19)&gt;2,ABS(($A170-Config!$F$19)/Config!$G$19)&lt;=3),$D170,0))</f>
        <v/>
      </c>
      <c r="G170" s="6">
        <f>IF(Config!$G$19=0,0,IF(ABS(($A170-Config!$F$19)/Config!$G$19)&gt;3,$D170,0))</f>
        <v/>
      </c>
      <c r="H170" s="6">
        <f>IFERROR(NORM.DIST($A170,Config!$F$19,Config!$G$19,FALSE)*Config!$D$19*Config!$J$19,0)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IFERROR(NORM.DIST($A171,Config!$F$19,Config!$G$19,FALSE)*Config!$D$19*Config!$J$19,0)</f>
        <v/>
      </c>
    </row>
    <row r="172">
      <c r="A172" s="6">
        <f>Config!$K$19+10*Config!$J$19+Config!$J$19/2</f>
        <v/>
      </c>
      <c r="B172" s="6">
        <f>$A172-Config!$J$19/2</f>
        <v/>
      </c>
      <c r="C172" s="6">
        <f>$A172+Config!$J$19/2</f>
        <v/>
      </c>
      <c r="D172" s="6">
        <f>COUNTIFS(RawData!$C$2:$C$941,"MT",RawData!$L$2:$L$941,"&gt;="&amp;$B172,RawData!$L$2:$L$941,"&lt;"&amp;$C172,RawData!$L$2:$L$941,"&lt;&gt;0")</f>
        <v/>
      </c>
      <c r="E172" s="6">
        <f>IF(Config!$G$19=0,0,IF(ABS(($A172-Config!$F$19)/Config!$G$19)&lt;=2,$D172,0))</f>
        <v/>
      </c>
      <c r="F172" s="6">
        <f>IF(Config!$G$19=0,0,IF(AND(ABS(($A172-Config!$F$19)/Config!$G$19)&gt;2,ABS(($A172-Config!$F$19)/Config!$G$19)&lt;=3),$D172,0))</f>
        <v/>
      </c>
      <c r="G172" s="6">
        <f>IF(Config!$G$19=0,0,IF(ABS(($A172-Config!$F$19)/Config!$G$19)&gt;3,$D172,0))</f>
        <v/>
      </c>
      <c r="H172" s="6">
        <f>IFERROR(NORM.DIST($A172,Config!$F$19,Config!$G$19,FALSE)*Config!$D$19*Config!$J$19,0)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IFERROR(NORM.DIST($A173,Config!$F$19,Config!$G$19,FALSE)*Config!$D$19*Config!$J$19,0)</f>
        <v/>
      </c>
    </row>
    <row r="174">
      <c r="A174" s="6">
        <f>Config!$K$19+12*Config!$J$19+Config!$J$19/2</f>
        <v/>
      </c>
      <c r="B174" s="6">
        <f>$A174-Config!$J$19/2</f>
        <v/>
      </c>
      <c r="C174" s="6">
        <f>$A174+Config!$J$19/2</f>
        <v/>
      </c>
      <c r="D174" s="6">
        <f>COUNTIFS(RawData!$C$2:$C$941,"MT",RawData!$L$2:$L$941,"&gt;="&amp;$B174,RawData!$L$2:$L$941,"&lt;"&amp;$C174,RawData!$L$2:$L$941,"&lt;&gt;0")</f>
        <v/>
      </c>
      <c r="E174" s="6">
        <f>IF(Config!$G$19=0,0,IF(ABS(($A174-Config!$F$19)/Config!$G$19)&lt;=2,$D174,0))</f>
        <v/>
      </c>
      <c r="F174" s="6">
        <f>IF(Config!$G$19=0,0,IF(AND(ABS(($A174-Config!$F$19)/Config!$G$19)&gt;2,ABS(($A174-Config!$F$19)/Config!$G$19)&lt;=3),$D174,0))</f>
        <v/>
      </c>
      <c r="G174" s="6">
        <f>IF(Config!$G$19=0,0,IF(ABS(($A174-Config!$F$19)/Config!$G$19)&gt;3,$D174,0))</f>
        <v/>
      </c>
      <c r="H174" s="6">
        <f>IFERROR(NORM.DIST($A174,Config!$F$19,Config!$G$19,FALSE)*Config!$D$19*Config!$J$19,0)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IFERROR(NORM.DIST($A175,Config!$F$19,Config!$G$19,FALSE)*Config!$D$19*Config!$J$19,0)</f>
        <v/>
      </c>
    </row>
    <row r="176">
      <c r="A176" s="6">
        <f>Config!$K$19+14*Config!$J$19+Config!$J$19/2</f>
        <v/>
      </c>
      <c r="B176" s="6">
        <f>$A176-Config!$J$19/2</f>
        <v/>
      </c>
      <c r="C176" s="6">
        <f>$A176+Config!$J$19/2</f>
        <v/>
      </c>
      <c r="D176" s="6">
        <f>COUNTIFS(RawData!$C$2:$C$941,"MT",RawData!$L$2:$L$941,"&gt;="&amp;$B176,RawData!$L$2:$L$941,"&lt;"&amp;$C176,RawData!$L$2:$L$941,"&lt;&gt;0")</f>
        <v/>
      </c>
      <c r="E176" s="6">
        <f>IF(Config!$G$19=0,0,IF(ABS(($A176-Config!$F$19)/Config!$G$19)&lt;=2,$D176,0))</f>
        <v/>
      </c>
      <c r="F176" s="6">
        <f>IF(Config!$G$19=0,0,IF(AND(ABS(($A176-Config!$F$19)/Config!$G$19)&gt;2,ABS(($A176-Config!$F$19)/Config!$G$19)&lt;=3),$D176,0))</f>
        <v/>
      </c>
      <c r="G176" s="6">
        <f>IF(Config!$G$19=0,0,IF(ABS(($A176-Config!$F$19)/Config!$G$19)&gt;3,$D176,0))</f>
        <v/>
      </c>
      <c r="H176" s="6">
        <f>IFERROR(NORM.DIST($A176,Config!$F$19,Config!$G$19,FALSE)*Config!$D$19*Config!$J$19,0)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IFERROR(NORM.DIST($A177,Config!$F$19,Config!$G$19,FALSE)*Config!$D$19*Config!$J$19,0)</f>
        <v/>
      </c>
    </row>
    <row r="178">
      <c r="A178" s="6">
        <f>Config!$K$19+16*Config!$J$19+Config!$J$19/2</f>
        <v/>
      </c>
      <c r="B178" s="6">
        <f>$A178-Config!$J$19/2</f>
        <v/>
      </c>
      <c r="C178" s="6">
        <f>$A178+Config!$J$19/2</f>
        <v/>
      </c>
      <c r="D178" s="6">
        <f>COUNTIFS(RawData!$C$2:$C$941,"MT",RawData!$L$2:$L$941,"&gt;="&amp;$B178,RawData!$L$2:$L$941,"&lt;"&amp;$C178,RawData!$L$2:$L$941,"&lt;&gt;0")</f>
        <v/>
      </c>
      <c r="E178" s="6">
        <f>IF(Config!$G$19=0,0,IF(ABS(($A178-Config!$F$19)/Config!$G$19)&lt;=2,$D178,0))</f>
        <v/>
      </c>
      <c r="F178" s="6">
        <f>IF(Config!$G$19=0,0,IF(AND(ABS(($A178-Config!$F$19)/Config!$G$19)&gt;2,ABS(($A178-Config!$F$19)/Config!$G$19)&lt;=3),$D178,0))</f>
        <v/>
      </c>
      <c r="G178" s="6">
        <f>IF(Config!$G$19=0,0,IF(ABS(($A178-Config!$F$19)/Config!$G$19)&gt;3,$D178,0))</f>
        <v/>
      </c>
      <c r="H178" s="6">
        <f>IFERROR(NORM.DIST($A178,Config!$F$19,Config!$G$19,FALSE)*Config!$D$19*Config!$J$19,0)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IFERROR(NORM.DIST($A179,Config!$F$19,Config!$G$19,FALSE)*Config!$D$19*Config!$J$19,0)</f>
        <v/>
      </c>
    </row>
    <row r="180">
      <c r="A180" s="6">
        <f>Config!$K$19+18*Config!$J$19+Config!$J$19/2</f>
        <v/>
      </c>
      <c r="B180" s="6">
        <f>$A180-Config!$J$19/2</f>
        <v/>
      </c>
      <c r="C180" s="6">
        <f>$A180+Config!$J$19/2</f>
        <v/>
      </c>
      <c r="D180" s="6">
        <f>COUNTIFS(RawData!$C$2:$C$941,"MT",RawData!$L$2:$L$941,"&gt;="&amp;$B180,RawData!$L$2:$L$941,"&lt;"&amp;$C180,RawData!$L$2:$L$941,"&lt;&gt;0")</f>
        <v/>
      </c>
      <c r="E180" s="6">
        <f>IF(Config!$G$19=0,0,IF(ABS(($A180-Config!$F$19)/Config!$G$19)&lt;=2,$D180,0))</f>
        <v/>
      </c>
      <c r="F180" s="6">
        <f>IF(Config!$G$19=0,0,IF(AND(ABS(($A180-Config!$F$19)/Config!$G$19)&gt;2,ABS(($A180-Config!$F$19)/Config!$G$19)&lt;=3),$D180,0))</f>
        <v/>
      </c>
      <c r="G180" s="6">
        <f>IF(Config!$G$19=0,0,IF(ABS(($A180-Config!$F$19)/Config!$G$19)&gt;3,$D180,0))</f>
        <v/>
      </c>
      <c r="H180" s="6">
        <f>IFERROR(NORM.DIST($A180,Config!$F$19,Config!$G$19,FALSE)*Config!$D$19*Config!$J$19,0)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IFERROR(NORM.DIST($A181,Config!$F$19,Config!$G$19,FALSE)*Config!$D$19*Config!$J$19,0)</f>
        <v/>
      </c>
    </row>
    <row r="182">
      <c r="A182" s="6">
        <f>Config!$K$19+20*Config!$J$19+Config!$J$19/2</f>
        <v/>
      </c>
      <c r="B182" s="6">
        <f>$A182-Config!$J$19/2</f>
        <v/>
      </c>
      <c r="C182" s="6">
        <f>$A182+Config!$J$19/2</f>
        <v/>
      </c>
      <c r="D182" s="6">
        <f>COUNTIFS(RawData!$C$2:$C$941,"MT",RawData!$L$2:$L$941,"&gt;="&amp;$B182,RawData!$L$2:$L$941,"&lt;"&amp;$C182,RawData!$L$2:$L$941,"&lt;&gt;0")</f>
        <v/>
      </c>
      <c r="E182" s="6">
        <f>IF(Config!$G$19=0,0,IF(ABS(($A182-Config!$F$19)/Config!$G$19)&lt;=2,$D182,0))</f>
        <v/>
      </c>
      <c r="F182" s="6">
        <f>IF(Config!$G$19=0,0,IF(AND(ABS(($A182-Config!$F$19)/Config!$G$19)&gt;2,ABS(($A182-Config!$F$19)/Config!$G$19)&lt;=3),$D182,0))</f>
        <v/>
      </c>
      <c r="G182" s="6">
        <f>IF(Config!$G$19=0,0,IF(ABS(($A182-Config!$F$19)/Config!$G$19)&gt;3,$D182,0))</f>
        <v/>
      </c>
      <c r="H182" s="6">
        <f>IFERROR(NORM.DIST($A182,Config!$F$19,Config!$G$19,FALSE)*Config!$D$19*Config!$J$19,0)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IFERROR(NORM.DIST($A183,Config!$F$19,Config!$G$19,FALSE)*Config!$D$19*Config!$J$19,0)</f>
        <v/>
      </c>
    </row>
    <row r="184">
      <c r="A184" s="6">
        <f>Config!$K$19+22*Config!$J$19+Config!$J$19/2</f>
        <v/>
      </c>
      <c r="B184" s="6">
        <f>$A184-Config!$J$19/2</f>
        <v/>
      </c>
      <c r="C184" s="6">
        <f>$A184+Config!$J$19/2</f>
        <v/>
      </c>
      <c r="D184" s="6">
        <f>COUNTIFS(RawData!$C$2:$C$941,"MT",RawData!$L$2:$L$941,"&gt;="&amp;$B184,RawData!$L$2:$L$941,"&lt;"&amp;$C184,RawData!$L$2:$L$941,"&lt;&gt;0")</f>
        <v/>
      </c>
      <c r="E184" s="6">
        <f>IF(Config!$G$19=0,0,IF(ABS(($A184-Config!$F$19)/Config!$G$19)&lt;=2,$D184,0))</f>
        <v/>
      </c>
      <c r="F184" s="6">
        <f>IF(Config!$G$19=0,0,IF(AND(ABS(($A184-Config!$F$19)/Config!$G$19)&gt;2,ABS(($A184-Config!$F$19)/Config!$G$19)&lt;=3),$D184,0))</f>
        <v/>
      </c>
      <c r="G184" s="6">
        <f>IF(Config!$G$19=0,0,IF(ABS(($A184-Config!$F$19)/Config!$G$19)&gt;3,$D184,0))</f>
        <v/>
      </c>
      <c r="H184" s="6">
        <f>IFERROR(NORM.DIST($A184,Config!$F$19,Config!$G$19,FALSE)*Config!$D$19*Config!$J$19,0)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IFERROR(NORM.DIST($A185,Config!$F$19,Config!$G$19,FALSE)*Config!$D$19*Config!$J$19,0)</f>
        <v/>
      </c>
    </row>
    <row r="186">
      <c r="A186" s="6">
        <f>Config!$K$19+24*Config!$J$19+Config!$J$19/2</f>
        <v/>
      </c>
      <c r="B186" s="6">
        <f>$A186-Config!$J$19/2</f>
        <v/>
      </c>
      <c r="C186" s="6">
        <f>$A186+Config!$J$19/2</f>
        <v/>
      </c>
      <c r="D186" s="6">
        <f>COUNTIFS(RawData!$C$2:$C$941,"MT",RawData!$L$2:$L$941,"&gt;="&amp;$B186,RawData!$L$2:$L$941,"&lt;"&amp;$C186,RawData!$L$2:$L$941,"&lt;&gt;0")</f>
        <v/>
      </c>
      <c r="E186" s="6">
        <f>IF(Config!$G$19=0,0,IF(ABS(($A186-Config!$F$19)/Config!$G$19)&lt;=2,$D186,0))</f>
        <v/>
      </c>
      <c r="F186" s="6">
        <f>IF(Config!$G$19=0,0,IF(AND(ABS(($A186-Config!$F$19)/Config!$G$19)&gt;2,ABS(($A186-Config!$F$19)/Config!$G$19)&lt;=3),$D186,0))</f>
        <v/>
      </c>
      <c r="G186" s="6">
        <f>IF(Config!$G$19=0,0,IF(ABS(($A186-Config!$F$19)/Config!$G$19)&gt;3,$D186,0))</f>
        <v/>
      </c>
      <c r="H186" s="6">
        <f>IFERROR(NORM.DIST($A186,Config!$F$19,Config!$G$19,FALSE)*Config!$D$19*Config!$J$19,0)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IFERROR(NORM.DIST($A187,Config!$F$19,Config!$G$19,FALSE)*Config!$D$19*Config!$J$19,0)</f>
        <v/>
      </c>
    </row>
    <row r="188">
      <c r="A188" s="6">
        <f>Config!$K$19+26*Config!$J$19+Config!$J$19/2</f>
        <v/>
      </c>
      <c r="B188" s="6">
        <f>$A188-Config!$J$19/2</f>
        <v/>
      </c>
      <c r="C188" s="6">
        <f>$A188+Config!$J$19/2</f>
        <v/>
      </c>
      <c r="D188" s="6">
        <f>COUNTIFS(RawData!$C$2:$C$941,"MT",RawData!$L$2:$L$941,"&gt;="&amp;$B188,RawData!$L$2:$L$941,"&lt;"&amp;$C188,RawData!$L$2:$L$941,"&lt;&gt;0")</f>
        <v/>
      </c>
      <c r="E188" s="6">
        <f>IF(Config!$G$19=0,0,IF(ABS(($A188-Config!$F$19)/Config!$G$19)&lt;=2,$D188,0))</f>
        <v/>
      </c>
      <c r="F188" s="6">
        <f>IF(Config!$G$19=0,0,IF(AND(ABS(($A188-Config!$F$19)/Config!$G$19)&gt;2,ABS(($A188-Config!$F$19)/Config!$G$19)&lt;=3),$D188,0))</f>
        <v/>
      </c>
      <c r="G188" s="6">
        <f>IF(Config!$G$19=0,0,IF(ABS(($A188-Config!$F$19)/Config!$G$19)&gt;3,$D188,0))</f>
        <v/>
      </c>
      <c r="H188" s="6">
        <f>IFERROR(NORM.DIST($A188,Config!$F$19,Config!$G$19,FALSE)*Config!$D$19*Config!$J$19,0)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IFERROR(NORM.DIST($A189,Config!$F$19,Config!$G$19,FALSE)*Config!$D$19*Config!$J$19,0)</f>
        <v/>
      </c>
    </row>
    <row r="190">
      <c r="A190" s="6">
        <f>Config!$K$19+28*Config!$J$19+Config!$J$19/2</f>
        <v/>
      </c>
      <c r="B190" s="6">
        <f>$A190-Config!$J$19/2</f>
        <v/>
      </c>
      <c r="C190" s="6">
        <f>$A190+Config!$J$19/2</f>
        <v/>
      </c>
      <c r="D190" s="6">
        <f>COUNTIFS(RawData!$C$2:$C$941,"MT",RawData!$L$2:$L$941,"&gt;="&amp;$B190,RawData!$L$2:$L$941,"&lt;"&amp;$C190,RawData!$L$2:$L$941,"&lt;&gt;0")</f>
        <v/>
      </c>
      <c r="E190" s="6">
        <f>IF(Config!$G$19=0,0,IF(ABS(($A190-Config!$F$19)/Config!$G$19)&lt;=2,$D190,0))</f>
        <v/>
      </c>
      <c r="F190" s="6">
        <f>IF(Config!$G$19=0,0,IF(AND(ABS(($A190-Config!$F$19)/Config!$G$19)&gt;2,ABS(($A190-Config!$F$19)/Config!$G$19)&lt;=3),$D190,0))</f>
        <v/>
      </c>
      <c r="G190" s="6">
        <f>IF(Config!$G$19=0,0,IF(ABS(($A190-Config!$F$19)/Config!$G$19)&gt;3,$D190,0))</f>
        <v/>
      </c>
      <c r="H190" s="6">
        <f>IFERROR(NORM.DIST($A190,Config!$F$19,Config!$G$19,FALSE)*Config!$D$19*Config!$J$19,0)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IFERROR(NORM.DIST($A191,Config!$F$19,Config!$G$19,FALSE)*Config!$D$19*Config!$J$19,0)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Config!$K$20+0*Config!$J$20+Config!$J$20/2</f>
        <v/>
      </c>
      <c r="B194" s="6">
        <f>$A194-Config!$J$20/2</f>
        <v/>
      </c>
      <c r="C194" s="6">
        <f>$A194+Config!$J$20/2</f>
        <v/>
      </c>
      <c r="D194" s="6">
        <f>COUNTIFS(RawData!$C$2:$C$941,"MT",RawData!$M$2:$M$941,"&gt;="&amp;$B194,RawData!$M$2:$M$941,"&lt;"&amp;$C194,RawData!$M$2:$M$941,"&lt;&gt;0")</f>
        <v/>
      </c>
      <c r="E194" s="6">
        <f>IF(Config!$G$20=0,0,IF(ABS(($A194-Config!$F$20)/Config!$G$20)&lt;=2,$D194,0))</f>
        <v/>
      </c>
      <c r="F194" s="6">
        <f>IF(Config!$G$20=0,0,IF(AND(ABS(($A194-Config!$F$20)/Config!$G$20)&gt;2,ABS(($A194-Config!$F$20)/Config!$G$20)&lt;=3),$D194,0))</f>
        <v/>
      </c>
      <c r="G194" s="6">
        <f>IF(Config!$G$20=0,0,IF(ABS(($A194-Config!$F$20)/Config!$G$20)&gt;3,$D194,0))</f>
        <v/>
      </c>
      <c r="H194" s="6">
        <f>IFERROR(NORM.DIST($A194,Config!$F$20,Config!$G$20,FALSE)*Config!$D$20*Config!$J$20,0)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IFERROR(NORM.DIST($A195,Config!$F$20,Config!$G$20,FALSE)*Config!$D$20*Config!$J$20,0)</f>
        <v/>
      </c>
    </row>
    <row r="196">
      <c r="A196" s="6">
        <f>Config!$K$20+2*Config!$J$20+Config!$J$20/2</f>
        <v/>
      </c>
      <c r="B196" s="6">
        <f>$A196-Config!$J$20/2</f>
        <v/>
      </c>
      <c r="C196" s="6">
        <f>$A196+Config!$J$20/2</f>
        <v/>
      </c>
      <c r="D196" s="6">
        <f>COUNTIFS(RawData!$C$2:$C$941,"MT",RawData!$M$2:$M$941,"&gt;="&amp;$B196,RawData!$M$2:$M$941,"&lt;"&amp;$C196,RawData!$M$2:$M$941,"&lt;&gt;0")</f>
        <v/>
      </c>
      <c r="E196" s="6">
        <f>IF(Config!$G$20=0,0,IF(ABS(($A196-Config!$F$20)/Config!$G$20)&lt;=2,$D196,0))</f>
        <v/>
      </c>
      <c r="F196" s="6">
        <f>IF(Config!$G$20=0,0,IF(AND(ABS(($A196-Config!$F$20)/Config!$G$20)&gt;2,ABS(($A196-Config!$F$20)/Config!$G$20)&lt;=3),$D196,0))</f>
        <v/>
      </c>
      <c r="G196" s="6">
        <f>IF(Config!$G$20=0,0,IF(ABS(($A196-Config!$F$20)/Config!$G$20)&gt;3,$D196,0))</f>
        <v/>
      </c>
      <c r="H196" s="6">
        <f>IFERROR(NORM.DIST($A196,Config!$F$20,Config!$G$20,FALSE)*Config!$D$20*Config!$J$20,0)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IFERROR(NORM.DIST($A197,Config!$F$20,Config!$G$20,FALSE)*Config!$D$20*Config!$J$20,0)</f>
        <v/>
      </c>
    </row>
    <row r="198">
      <c r="A198" s="6">
        <f>Config!$K$20+4*Config!$J$20+Config!$J$20/2</f>
        <v/>
      </c>
      <c r="B198" s="6">
        <f>$A198-Config!$J$20/2</f>
        <v/>
      </c>
      <c r="C198" s="6">
        <f>$A198+Config!$J$20/2</f>
        <v/>
      </c>
      <c r="D198" s="6">
        <f>COUNTIFS(RawData!$C$2:$C$941,"MT",RawData!$M$2:$M$941,"&gt;="&amp;$B198,RawData!$M$2:$M$941,"&lt;"&amp;$C198,RawData!$M$2:$M$941,"&lt;&gt;0")</f>
        <v/>
      </c>
      <c r="E198" s="6">
        <f>IF(Config!$G$20=0,0,IF(ABS(($A198-Config!$F$20)/Config!$G$20)&lt;=2,$D198,0))</f>
        <v/>
      </c>
      <c r="F198" s="6">
        <f>IF(Config!$G$20=0,0,IF(AND(ABS(($A198-Config!$F$20)/Config!$G$20)&gt;2,ABS(($A198-Config!$F$20)/Config!$G$20)&lt;=3),$D198,0))</f>
        <v/>
      </c>
      <c r="G198" s="6">
        <f>IF(Config!$G$20=0,0,IF(ABS(($A198-Config!$F$20)/Config!$G$20)&gt;3,$D198,0))</f>
        <v/>
      </c>
      <c r="H198" s="6">
        <f>IFERROR(NORM.DIST($A198,Config!$F$20,Config!$G$20,FALSE)*Config!$D$20*Config!$J$20,0)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IFERROR(NORM.DIST($A199,Config!$F$20,Config!$G$20,FALSE)*Config!$D$20*Config!$J$20,0)</f>
        <v/>
      </c>
    </row>
    <row r="200">
      <c r="A200" s="6">
        <f>Config!$K$20+6*Config!$J$20+Config!$J$20/2</f>
        <v/>
      </c>
      <c r="B200" s="6">
        <f>$A200-Config!$J$20/2</f>
        <v/>
      </c>
      <c r="C200" s="6">
        <f>$A200+Config!$J$20/2</f>
        <v/>
      </c>
      <c r="D200" s="6">
        <f>COUNTIFS(RawData!$C$2:$C$941,"MT",RawData!$M$2:$M$941,"&gt;="&amp;$B200,RawData!$M$2:$M$941,"&lt;"&amp;$C200,RawData!$M$2:$M$941,"&lt;&gt;0")</f>
        <v/>
      </c>
      <c r="E200" s="6">
        <f>IF(Config!$G$20=0,0,IF(ABS(($A200-Config!$F$20)/Config!$G$20)&lt;=2,$D200,0))</f>
        <v/>
      </c>
      <c r="F200" s="6">
        <f>IF(Config!$G$20=0,0,IF(AND(ABS(($A200-Config!$F$20)/Config!$G$20)&gt;2,ABS(($A200-Config!$F$20)/Config!$G$20)&lt;=3),$D200,0))</f>
        <v/>
      </c>
      <c r="G200" s="6">
        <f>IF(Config!$G$20=0,0,IF(ABS(($A200-Config!$F$20)/Config!$G$20)&gt;3,$D200,0))</f>
        <v/>
      </c>
      <c r="H200" s="6">
        <f>IFERROR(NORM.DIST($A200,Config!$F$20,Config!$G$20,FALSE)*Config!$D$20*Config!$J$20,0)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IFERROR(NORM.DIST($A201,Config!$F$20,Config!$G$20,FALSE)*Config!$D$20*Config!$J$20,0)</f>
        <v/>
      </c>
    </row>
    <row r="202">
      <c r="A202" s="6">
        <f>Config!$K$20+8*Config!$J$20+Config!$J$20/2</f>
        <v/>
      </c>
      <c r="B202" s="6">
        <f>$A202-Config!$J$20/2</f>
        <v/>
      </c>
      <c r="C202" s="6">
        <f>$A202+Config!$J$20/2</f>
        <v/>
      </c>
      <c r="D202" s="6">
        <f>COUNTIFS(RawData!$C$2:$C$941,"MT",RawData!$M$2:$M$941,"&gt;="&amp;$B202,RawData!$M$2:$M$941,"&lt;"&amp;$C202,RawData!$M$2:$M$941,"&lt;&gt;0")</f>
        <v/>
      </c>
      <c r="E202" s="6">
        <f>IF(Config!$G$20=0,0,IF(ABS(($A202-Config!$F$20)/Config!$G$20)&lt;=2,$D202,0))</f>
        <v/>
      </c>
      <c r="F202" s="6">
        <f>IF(Config!$G$20=0,0,IF(AND(ABS(($A202-Config!$F$20)/Config!$G$20)&gt;2,ABS(($A202-Config!$F$20)/Config!$G$20)&lt;=3),$D202,0))</f>
        <v/>
      </c>
      <c r="G202" s="6">
        <f>IF(Config!$G$20=0,0,IF(ABS(($A202-Config!$F$20)/Config!$G$20)&gt;3,$D202,0))</f>
        <v/>
      </c>
      <c r="H202" s="6">
        <f>IFERROR(NORM.DIST($A202,Config!$F$20,Config!$G$20,FALSE)*Config!$D$20*Config!$J$20,0)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IFERROR(NORM.DIST($A203,Config!$F$20,Config!$G$20,FALSE)*Config!$D$20*Config!$J$20,0)</f>
        <v/>
      </c>
    </row>
    <row r="204">
      <c r="A204" s="6">
        <f>Config!$K$20+10*Config!$J$20+Config!$J$20/2</f>
        <v/>
      </c>
      <c r="B204" s="6">
        <f>$A204-Config!$J$20/2</f>
        <v/>
      </c>
      <c r="C204" s="6">
        <f>$A204+Config!$J$20/2</f>
        <v/>
      </c>
      <c r="D204" s="6">
        <f>COUNTIFS(RawData!$C$2:$C$941,"MT",RawData!$M$2:$M$941,"&gt;="&amp;$B204,RawData!$M$2:$M$941,"&lt;"&amp;$C204,RawData!$M$2:$M$941,"&lt;&gt;0")</f>
        <v/>
      </c>
      <c r="E204" s="6">
        <f>IF(Config!$G$20=0,0,IF(ABS(($A204-Config!$F$20)/Config!$G$20)&lt;=2,$D204,0))</f>
        <v/>
      </c>
      <c r="F204" s="6">
        <f>IF(Config!$G$20=0,0,IF(AND(ABS(($A204-Config!$F$20)/Config!$G$20)&gt;2,ABS(($A204-Config!$F$20)/Config!$G$20)&lt;=3),$D204,0))</f>
        <v/>
      </c>
      <c r="G204" s="6">
        <f>IF(Config!$G$20=0,0,IF(ABS(($A204-Config!$F$20)/Config!$G$20)&gt;3,$D204,0))</f>
        <v/>
      </c>
      <c r="H204" s="6">
        <f>IFERROR(NORM.DIST($A204,Config!$F$20,Config!$G$20,FALSE)*Config!$D$20*Config!$J$20,0)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IFERROR(NORM.DIST($A205,Config!$F$20,Config!$G$20,FALSE)*Config!$D$20*Config!$J$20,0)</f>
        <v/>
      </c>
    </row>
    <row r="206">
      <c r="A206" s="6">
        <f>Config!$K$20+12*Config!$J$20+Config!$J$20/2</f>
        <v/>
      </c>
      <c r="B206" s="6">
        <f>$A206-Config!$J$20/2</f>
        <v/>
      </c>
      <c r="C206" s="6">
        <f>$A206+Config!$J$20/2</f>
        <v/>
      </c>
      <c r="D206" s="6">
        <f>COUNTIFS(RawData!$C$2:$C$941,"MT",RawData!$M$2:$M$941,"&gt;="&amp;$B206,RawData!$M$2:$M$941,"&lt;"&amp;$C206,RawData!$M$2:$M$941,"&lt;&gt;0")</f>
        <v/>
      </c>
      <c r="E206" s="6">
        <f>IF(Config!$G$20=0,0,IF(ABS(($A206-Config!$F$20)/Config!$G$20)&lt;=2,$D206,0))</f>
        <v/>
      </c>
      <c r="F206" s="6">
        <f>IF(Config!$G$20=0,0,IF(AND(ABS(($A206-Config!$F$20)/Config!$G$20)&gt;2,ABS(($A206-Config!$F$20)/Config!$G$20)&lt;=3),$D206,0))</f>
        <v/>
      </c>
      <c r="G206" s="6">
        <f>IF(Config!$G$20=0,0,IF(ABS(($A206-Config!$F$20)/Config!$G$20)&gt;3,$D206,0))</f>
        <v/>
      </c>
      <c r="H206" s="6">
        <f>IFERROR(NORM.DIST($A206,Config!$F$20,Config!$G$20,FALSE)*Config!$D$20*Config!$J$20,0)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IFERROR(NORM.DIST($A207,Config!$F$20,Config!$G$20,FALSE)*Config!$D$20*Config!$J$20,0)</f>
        <v/>
      </c>
    </row>
    <row r="208">
      <c r="A208" s="6">
        <f>Config!$K$20+14*Config!$J$20+Config!$J$20/2</f>
        <v/>
      </c>
      <c r="B208" s="6">
        <f>$A208-Config!$J$20/2</f>
        <v/>
      </c>
      <c r="C208" s="6">
        <f>$A208+Config!$J$20/2</f>
        <v/>
      </c>
      <c r="D208" s="6">
        <f>COUNTIFS(RawData!$C$2:$C$941,"MT",RawData!$M$2:$M$941,"&gt;="&amp;$B208,RawData!$M$2:$M$941,"&lt;"&amp;$C208,RawData!$M$2:$M$941,"&lt;&gt;0")</f>
        <v/>
      </c>
      <c r="E208" s="6">
        <f>IF(Config!$G$20=0,0,IF(ABS(($A208-Config!$F$20)/Config!$G$20)&lt;=2,$D208,0))</f>
        <v/>
      </c>
      <c r="F208" s="6">
        <f>IF(Config!$G$20=0,0,IF(AND(ABS(($A208-Config!$F$20)/Config!$G$20)&gt;2,ABS(($A208-Config!$F$20)/Config!$G$20)&lt;=3),$D208,0))</f>
        <v/>
      </c>
      <c r="G208" s="6">
        <f>IF(Config!$G$20=0,0,IF(ABS(($A208-Config!$F$20)/Config!$G$20)&gt;3,$D208,0))</f>
        <v/>
      </c>
      <c r="H208" s="6">
        <f>IFERROR(NORM.DIST($A208,Config!$F$20,Config!$G$20,FALSE)*Config!$D$20*Config!$J$20,0)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IFERROR(NORM.DIST($A209,Config!$F$20,Config!$G$20,FALSE)*Config!$D$20*Config!$J$20,0)</f>
        <v/>
      </c>
    </row>
    <row r="210">
      <c r="A210" s="6">
        <f>Config!$K$20+16*Config!$J$20+Config!$J$20/2</f>
        <v/>
      </c>
      <c r="B210" s="6">
        <f>$A210-Config!$J$20/2</f>
        <v/>
      </c>
      <c r="C210" s="6">
        <f>$A210+Config!$J$20/2</f>
        <v/>
      </c>
      <c r="D210" s="6">
        <f>COUNTIFS(RawData!$C$2:$C$941,"MT",RawData!$M$2:$M$941,"&gt;="&amp;$B210,RawData!$M$2:$M$941,"&lt;"&amp;$C210,RawData!$M$2:$M$941,"&lt;&gt;0")</f>
        <v/>
      </c>
      <c r="E210" s="6">
        <f>IF(Config!$G$20=0,0,IF(ABS(($A210-Config!$F$20)/Config!$G$20)&lt;=2,$D210,0))</f>
        <v/>
      </c>
      <c r="F210" s="6">
        <f>IF(Config!$G$20=0,0,IF(AND(ABS(($A210-Config!$F$20)/Config!$G$20)&gt;2,ABS(($A210-Config!$F$20)/Config!$G$20)&lt;=3),$D210,0))</f>
        <v/>
      </c>
      <c r="G210" s="6">
        <f>IF(Config!$G$20=0,0,IF(ABS(($A210-Config!$F$20)/Config!$G$20)&gt;3,$D210,0))</f>
        <v/>
      </c>
      <c r="H210" s="6">
        <f>IFERROR(NORM.DIST($A210,Config!$F$20,Config!$G$20,FALSE)*Config!$D$20*Config!$J$20,0)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IFERROR(NORM.DIST($A211,Config!$F$20,Config!$G$20,FALSE)*Config!$D$20*Config!$J$20,0)</f>
        <v/>
      </c>
    </row>
    <row r="212">
      <c r="A212" s="6">
        <f>Config!$K$20+18*Config!$J$20+Config!$J$20/2</f>
        <v/>
      </c>
      <c r="B212" s="6">
        <f>$A212-Config!$J$20/2</f>
        <v/>
      </c>
      <c r="C212" s="6">
        <f>$A212+Config!$J$20/2</f>
        <v/>
      </c>
      <c r="D212" s="6">
        <f>COUNTIFS(RawData!$C$2:$C$941,"MT",RawData!$M$2:$M$941,"&gt;="&amp;$B212,RawData!$M$2:$M$941,"&lt;"&amp;$C212,RawData!$M$2:$M$941,"&lt;&gt;0")</f>
        <v/>
      </c>
      <c r="E212" s="6">
        <f>IF(Config!$G$20=0,0,IF(ABS(($A212-Config!$F$20)/Config!$G$20)&lt;=2,$D212,0))</f>
        <v/>
      </c>
      <c r="F212" s="6">
        <f>IF(Config!$G$20=0,0,IF(AND(ABS(($A212-Config!$F$20)/Config!$G$20)&gt;2,ABS(($A212-Config!$F$20)/Config!$G$20)&lt;=3),$D212,0))</f>
        <v/>
      </c>
      <c r="G212" s="6">
        <f>IF(Config!$G$20=0,0,IF(ABS(($A212-Config!$F$20)/Config!$G$20)&gt;3,$D212,0))</f>
        <v/>
      </c>
      <c r="H212" s="6">
        <f>IFERROR(NORM.DIST($A212,Config!$F$20,Config!$G$20,FALSE)*Config!$D$20*Config!$J$20,0)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IFERROR(NORM.DIST($A213,Config!$F$20,Config!$G$20,FALSE)*Config!$D$20*Config!$J$20,0)</f>
        <v/>
      </c>
    </row>
    <row r="214">
      <c r="A214" s="6">
        <f>Config!$K$20+20*Config!$J$20+Config!$J$20/2</f>
        <v/>
      </c>
      <c r="B214" s="6">
        <f>$A214-Config!$J$20/2</f>
        <v/>
      </c>
      <c r="C214" s="6">
        <f>$A214+Config!$J$20/2</f>
        <v/>
      </c>
      <c r="D214" s="6">
        <f>COUNTIFS(RawData!$C$2:$C$941,"MT",RawData!$M$2:$M$941,"&gt;="&amp;$B214,RawData!$M$2:$M$941,"&lt;"&amp;$C214,RawData!$M$2:$M$941,"&lt;&gt;0")</f>
        <v/>
      </c>
      <c r="E214" s="6">
        <f>IF(Config!$G$20=0,0,IF(ABS(($A214-Config!$F$20)/Config!$G$20)&lt;=2,$D214,0))</f>
        <v/>
      </c>
      <c r="F214" s="6">
        <f>IF(Config!$G$20=0,0,IF(AND(ABS(($A214-Config!$F$20)/Config!$G$20)&gt;2,ABS(($A214-Config!$F$20)/Config!$G$20)&lt;=3),$D214,0))</f>
        <v/>
      </c>
      <c r="G214" s="6">
        <f>IF(Config!$G$20=0,0,IF(ABS(($A214-Config!$F$20)/Config!$G$20)&gt;3,$D214,0))</f>
        <v/>
      </c>
      <c r="H214" s="6">
        <f>IFERROR(NORM.DIST($A214,Config!$F$20,Config!$G$20,FALSE)*Config!$D$20*Config!$J$20,0)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IFERROR(NORM.DIST($A215,Config!$F$20,Config!$G$20,FALSE)*Config!$D$20*Config!$J$20,0)</f>
        <v/>
      </c>
    </row>
    <row r="216">
      <c r="A216" s="6">
        <f>Config!$K$20+22*Config!$J$20+Config!$J$20/2</f>
        <v/>
      </c>
      <c r="B216" s="6">
        <f>$A216-Config!$J$20/2</f>
        <v/>
      </c>
      <c r="C216" s="6">
        <f>$A216+Config!$J$20/2</f>
        <v/>
      </c>
      <c r="D216" s="6">
        <f>COUNTIFS(RawData!$C$2:$C$941,"MT",RawData!$M$2:$M$941,"&gt;="&amp;$B216,RawData!$M$2:$M$941,"&lt;"&amp;$C216,RawData!$M$2:$M$941,"&lt;&gt;0")</f>
        <v/>
      </c>
      <c r="E216" s="6">
        <f>IF(Config!$G$20=0,0,IF(ABS(($A216-Config!$F$20)/Config!$G$20)&lt;=2,$D216,0))</f>
        <v/>
      </c>
      <c r="F216" s="6">
        <f>IF(Config!$G$20=0,0,IF(AND(ABS(($A216-Config!$F$20)/Config!$G$20)&gt;2,ABS(($A216-Config!$F$20)/Config!$G$20)&lt;=3),$D216,0))</f>
        <v/>
      </c>
      <c r="G216" s="6">
        <f>IF(Config!$G$20=0,0,IF(ABS(($A216-Config!$F$20)/Config!$G$20)&gt;3,$D216,0))</f>
        <v/>
      </c>
      <c r="H216" s="6">
        <f>IFERROR(NORM.DIST($A216,Config!$F$20,Config!$G$20,FALSE)*Config!$D$20*Config!$J$20,0)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IFERROR(NORM.DIST($A217,Config!$F$20,Config!$G$20,FALSE)*Config!$D$20*Config!$J$20,0)</f>
        <v/>
      </c>
    </row>
    <row r="218">
      <c r="A218" s="6">
        <f>Config!$K$20+24*Config!$J$20+Config!$J$20/2</f>
        <v/>
      </c>
      <c r="B218" s="6">
        <f>$A218-Config!$J$20/2</f>
        <v/>
      </c>
      <c r="C218" s="6">
        <f>$A218+Config!$J$20/2</f>
        <v/>
      </c>
      <c r="D218" s="6">
        <f>COUNTIFS(RawData!$C$2:$C$941,"MT",RawData!$M$2:$M$941,"&gt;="&amp;$B218,RawData!$M$2:$M$941,"&lt;"&amp;$C218,RawData!$M$2:$M$941,"&lt;&gt;0")</f>
        <v/>
      </c>
      <c r="E218" s="6">
        <f>IF(Config!$G$20=0,0,IF(ABS(($A218-Config!$F$20)/Config!$G$20)&lt;=2,$D218,0))</f>
        <v/>
      </c>
      <c r="F218" s="6">
        <f>IF(Config!$G$20=0,0,IF(AND(ABS(($A218-Config!$F$20)/Config!$G$20)&gt;2,ABS(($A218-Config!$F$20)/Config!$G$20)&lt;=3),$D218,0))</f>
        <v/>
      </c>
      <c r="G218" s="6">
        <f>IF(Config!$G$20=0,0,IF(ABS(($A218-Config!$F$20)/Config!$G$20)&gt;3,$D218,0))</f>
        <v/>
      </c>
      <c r="H218" s="6">
        <f>IFERROR(NORM.DIST($A218,Config!$F$20,Config!$G$20,FALSE)*Config!$D$20*Config!$J$20,0)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IFERROR(NORM.DIST($A219,Config!$F$20,Config!$G$20,FALSE)*Config!$D$20*Config!$J$20,0)</f>
        <v/>
      </c>
    </row>
    <row r="220">
      <c r="A220" s="6">
        <f>Config!$K$20+26*Config!$J$20+Config!$J$20/2</f>
        <v/>
      </c>
      <c r="B220" s="6">
        <f>$A220-Config!$J$20/2</f>
        <v/>
      </c>
      <c r="C220" s="6">
        <f>$A220+Config!$J$20/2</f>
        <v/>
      </c>
      <c r="D220" s="6">
        <f>COUNTIFS(RawData!$C$2:$C$941,"MT",RawData!$M$2:$M$941,"&gt;="&amp;$B220,RawData!$M$2:$M$941,"&lt;"&amp;$C220,RawData!$M$2:$M$941,"&lt;&gt;0")</f>
        <v/>
      </c>
      <c r="E220" s="6">
        <f>IF(Config!$G$20=0,0,IF(ABS(($A220-Config!$F$20)/Config!$G$20)&lt;=2,$D220,0))</f>
        <v/>
      </c>
      <c r="F220" s="6">
        <f>IF(Config!$G$20=0,0,IF(AND(ABS(($A220-Config!$F$20)/Config!$G$20)&gt;2,ABS(($A220-Config!$F$20)/Config!$G$20)&lt;=3),$D220,0))</f>
        <v/>
      </c>
      <c r="G220" s="6">
        <f>IF(Config!$G$20=0,0,IF(ABS(($A220-Config!$F$20)/Config!$G$20)&gt;3,$D220,0))</f>
        <v/>
      </c>
      <c r="H220" s="6">
        <f>IFERROR(NORM.DIST($A220,Config!$F$20,Config!$G$20,FALSE)*Config!$D$20*Config!$J$20,0)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IFERROR(NORM.DIST($A221,Config!$F$20,Config!$G$20,FALSE)*Config!$D$20*Config!$J$20,0)</f>
        <v/>
      </c>
    </row>
    <row r="222">
      <c r="A222" s="6">
        <f>Config!$K$20+28*Config!$J$20+Config!$J$20/2</f>
        <v/>
      </c>
      <c r="B222" s="6">
        <f>$A222-Config!$J$20/2</f>
        <v/>
      </c>
      <c r="C222" s="6">
        <f>$A222+Config!$J$20/2</f>
        <v/>
      </c>
      <c r="D222" s="6">
        <f>COUNTIFS(RawData!$C$2:$C$941,"MT",RawData!$M$2:$M$941,"&gt;="&amp;$B222,RawData!$M$2:$M$941,"&lt;"&amp;$C222,RawData!$M$2:$M$941,"&lt;&gt;0")</f>
        <v/>
      </c>
      <c r="E222" s="6">
        <f>IF(Config!$G$20=0,0,IF(ABS(($A222-Config!$F$20)/Config!$G$20)&lt;=2,$D222,0))</f>
        <v/>
      </c>
      <c r="F222" s="6">
        <f>IF(Config!$G$20=0,0,IF(AND(ABS(($A222-Config!$F$20)/Config!$G$20)&gt;2,ABS(($A222-Config!$F$20)/Config!$G$20)&lt;=3),$D222,0))</f>
        <v/>
      </c>
      <c r="G222" s="6">
        <f>IF(Config!$G$20=0,0,IF(ABS(($A222-Config!$F$20)/Config!$G$20)&gt;3,$D222,0))</f>
        <v/>
      </c>
      <c r="H222" s="6">
        <f>IFERROR(NORM.DIST($A222,Config!$F$20,Config!$G$20,FALSE)*Config!$D$20*Config!$J$20,0)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IFERROR(NORM.DIST($A223,Config!$F$20,Config!$G$20,FALSE)*Config!$D$20*Config!$J$20,0)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Config!$K$21+0*Config!$J$21+Config!$J$21/2</f>
        <v/>
      </c>
      <c r="B226" s="6">
        <f>$A226-Config!$J$21/2</f>
        <v/>
      </c>
      <c r="C226" s="6">
        <f>$A226+Config!$J$21/2</f>
        <v/>
      </c>
      <c r="D226" s="6">
        <f>COUNTIFS(RawData!$C$2:$C$941,"MT",RawData!$N$2:$N$941,"&gt;="&amp;$B226,RawData!$N$2:$N$941,"&lt;"&amp;$C226,RawData!$N$2:$N$941,"&lt;&gt;0")</f>
        <v/>
      </c>
      <c r="E226" s="6">
        <f>IF(Config!$G$21=0,0,IF(ABS(($A226-Config!$F$21)/Config!$G$21)&lt;=2,$D226,0))</f>
        <v/>
      </c>
      <c r="F226" s="6">
        <f>IF(Config!$G$21=0,0,IF(AND(ABS(($A226-Config!$F$21)/Config!$G$21)&gt;2,ABS(($A226-Config!$F$21)/Config!$G$21)&lt;=3),$D226,0))</f>
        <v/>
      </c>
      <c r="G226" s="6">
        <f>IF(Config!$G$21=0,0,IF(ABS(($A226-Config!$F$21)/Config!$G$21)&gt;3,$D226,0))</f>
        <v/>
      </c>
      <c r="H226" s="6">
        <f>IFERROR(NORM.DIST($A226,Config!$F$21,Config!$G$21,FALSE)*Config!$D$21*Config!$J$21,0)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IFERROR(NORM.DIST($A227,Config!$F$21,Config!$G$21,FALSE)*Config!$D$21*Config!$J$21,0)</f>
        <v/>
      </c>
    </row>
    <row r="228">
      <c r="A228" s="6">
        <f>Config!$K$21+2*Config!$J$21+Config!$J$21/2</f>
        <v/>
      </c>
      <c r="B228" s="6">
        <f>$A228-Config!$J$21/2</f>
        <v/>
      </c>
      <c r="C228" s="6">
        <f>$A228+Config!$J$21/2</f>
        <v/>
      </c>
      <c r="D228" s="6">
        <f>COUNTIFS(RawData!$C$2:$C$941,"MT",RawData!$N$2:$N$941,"&gt;="&amp;$B228,RawData!$N$2:$N$941,"&lt;"&amp;$C228,RawData!$N$2:$N$941,"&lt;&gt;0")</f>
        <v/>
      </c>
      <c r="E228" s="6">
        <f>IF(Config!$G$21=0,0,IF(ABS(($A228-Config!$F$21)/Config!$G$21)&lt;=2,$D228,0))</f>
        <v/>
      </c>
      <c r="F228" s="6">
        <f>IF(Config!$G$21=0,0,IF(AND(ABS(($A228-Config!$F$21)/Config!$G$21)&gt;2,ABS(($A228-Config!$F$21)/Config!$G$21)&lt;=3),$D228,0))</f>
        <v/>
      </c>
      <c r="G228" s="6">
        <f>IF(Config!$G$21=0,0,IF(ABS(($A228-Config!$F$21)/Config!$G$21)&gt;3,$D228,0))</f>
        <v/>
      </c>
      <c r="H228" s="6">
        <f>IFERROR(NORM.DIST($A228,Config!$F$21,Config!$G$21,FALSE)*Config!$D$21*Config!$J$21,0)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IFERROR(NORM.DIST($A229,Config!$F$21,Config!$G$21,FALSE)*Config!$D$21*Config!$J$21,0)</f>
        <v/>
      </c>
    </row>
    <row r="230">
      <c r="A230" s="6">
        <f>Config!$K$21+4*Config!$J$21+Config!$J$21/2</f>
        <v/>
      </c>
      <c r="B230" s="6">
        <f>$A230-Config!$J$21/2</f>
        <v/>
      </c>
      <c r="C230" s="6">
        <f>$A230+Config!$J$21/2</f>
        <v/>
      </c>
      <c r="D230" s="6">
        <f>COUNTIFS(RawData!$C$2:$C$941,"MT",RawData!$N$2:$N$941,"&gt;="&amp;$B230,RawData!$N$2:$N$941,"&lt;"&amp;$C230,RawData!$N$2:$N$941,"&lt;&gt;0")</f>
        <v/>
      </c>
      <c r="E230" s="6">
        <f>IF(Config!$G$21=0,0,IF(ABS(($A230-Config!$F$21)/Config!$G$21)&lt;=2,$D230,0))</f>
        <v/>
      </c>
      <c r="F230" s="6">
        <f>IF(Config!$G$21=0,0,IF(AND(ABS(($A230-Config!$F$21)/Config!$G$21)&gt;2,ABS(($A230-Config!$F$21)/Config!$G$21)&lt;=3),$D230,0))</f>
        <v/>
      </c>
      <c r="G230" s="6">
        <f>IF(Config!$G$21=0,0,IF(ABS(($A230-Config!$F$21)/Config!$G$21)&gt;3,$D230,0))</f>
        <v/>
      </c>
      <c r="H230" s="6">
        <f>IFERROR(NORM.DIST($A230,Config!$F$21,Config!$G$21,FALSE)*Config!$D$21*Config!$J$21,0)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IFERROR(NORM.DIST($A231,Config!$F$21,Config!$G$21,FALSE)*Config!$D$21*Config!$J$21,0)</f>
        <v/>
      </c>
    </row>
    <row r="232">
      <c r="A232" s="6">
        <f>Config!$K$21+6*Config!$J$21+Config!$J$21/2</f>
        <v/>
      </c>
      <c r="B232" s="6">
        <f>$A232-Config!$J$21/2</f>
        <v/>
      </c>
      <c r="C232" s="6">
        <f>$A232+Config!$J$21/2</f>
        <v/>
      </c>
      <c r="D232" s="6">
        <f>COUNTIFS(RawData!$C$2:$C$941,"MT",RawData!$N$2:$N$941,"&gt;="&amp;$B232,RawData!$N$2:$N$941,"&lt;"&amp;$C232,RawData!$N$2:$N$941,"&lt;&gt;0")</f>
        <v/>
      </c>
      <c r="E232" s="6">
        <f>IF(Config!$G$21=0,0,IF(ABS(($A232-Config!$F$21)/Config!$G$21)&lt;=2,$D232,0))</f>
        <v/>
      </c>
      <c r="F232" s="6">
        <f>IF(Config!$G$21=0,0,IF(AND(ABS(($A232-Config!$F$21)/Config!$G$21)&gt;2,ABS(($A232-Config!$F$21)/Config!$G$21)&lt;=3),$D232,0))</f>
        <v/>
      </c>
      <c r="G232" s="6">
        <f>IF(Config!$G$21=0,0,IF(ABS(($A232-Config!$F$21)/Config!$G$21)&gt;3,$D232,0))</f>
        <v/>
      </c>
      <c r="H232" s="6">
        <f>IFERROR(NORM.DIST($A232,Config!$F$21,Config!$G$21,FALSE)*Config!$D$21*Config!$J$21,0)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IFERROR(NORM.DIST($A233,Config!$F$21,Config!$G$21,FALSE)*Config!$D$21*Config!$J$21,0)</f>
        <v/>
      </c>
    </row>
    <row r="234">
      <c r="A234" s="6">
        <f>Config!$K$21+8*Config!$J$21+Config!$J$21/2</f>
        <v/>
      </c>
      <c r="B234" s="6">
        <f>$A234-Config!$J$21/2</f>
        <v/>
      </c>
      <c r="C234" s="6">
        <f>$A234+Config!$J$21/2</f>
        <v/>
      </c>
      <c r="D234" s="6">
        <f>COUNTIFS(RawData!$C$2:$C$941,"MT",RawData!$N$2:$N$941,"&gt;="&amp;$B234,RawData!$N$2:$N$941,"&lt;"&amp;$C234,RawData!$N$2:$N$941,"&lt;&gt;0")</f>
        <v/>
      </c>
      <c r="E234" s="6">
        <f>IF(Config!$G$21=0,0,IF(ABS(($A234-Config!$F$21)/Config!$G$21)&lt;=2,$D234,0))</f>
        <v/>
      </c>
      <c r="F234" s="6">
        <f>IF(Config!$G$21=0,0,IF(AND(ABS(($A234-Config!$F$21)/Config!$G$21)&gt;2,ABS(($A234-Config!$F$21)/Config!$G$21)&lt;=3),$D234,0))</f>
        <v/>
      </c>
      <c r="G234" s="6">
        <f>IF(Config!$G$21=0,0,IF(ABS(($A234-Config!$F$21)/Config!$G$21)&gt;3,$D234,0))</f>
        <v/>
      </c>
      <c r="H234" s="6">
        <f>IFERROR(NORM.DIST($A234,Config!$F$21,Config!$G$21,FALSE)*Config!$D$21*Config!$J$21,0)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IFERROR(NORM.DIST($A235,Config!$F$21,Config!$G$21,FALSE)*Config!$D$21*Config!$J$21,0)</f>
        <v/>
      </c>
    </row>
    <row r="236">
      <c r="A236" s="6">
        <f>Config!$K$21+10*Config!$J$21+Config!$J$21/2</f>
        <v/>
      </c>
      <c r="B236" s="6">
        <f>$A236-Config!$J$21/2</f>
        <v/>
      </c>
      <c r="C236" s="6">
        <f>$A236+Config!$J$21/2</f>
        <v/>
      </c>
      <c r="D236" s="6">
        <f>COUNTIFS(RawData!$C$2:$C$941,"MT",RawData!$N$2:$N$941,"&gt;="&amp;$B236,RawData!$N$2:$N$941,"&lt;"&amp;$C236,RawData!$N$2:$N$941,"&lt;&gt;0")</f>
        <v/>
      </c>
      <c r="E236" s="6">
        <f>IF(Config!$G$21=0,0,IF(ABS(($A236-Config!$F$21)/Config!$G$21)&lt;=2,$D236,0))</f>
        <v/>
      </c>
      <c r="F236" s="6">
        <f>IF(Config!$G$21=0,0,IF(AND(ABS(($A236-Config!$F$21)/Config!$G$21)&gt;2,ABS(($A236-Config!$F$21)/Config!$G$21)&lt;=3),$D236,0))</f>
        <v/>
      </c>
      <c r="G236" s="6">
        <f>IF(Config!$G$21=0,0,IF(ABS(($A236-Config!$F$21)/Config!$G$21)&gt;3,$D236,0))</f>
        <v/>
      </c>
      <c r="H236" s="6">
        <f>IFERROR(NORM.DIST($A236,Config!$F$21,Config!$G$21,FALSE)*Config!$D$21*Config!$J$21,0)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IFERROR(NORM.DIST($A237,Config!$F$21,Config!$G$21,FALSE)*Config!$D$21*Config!$J$21,0)</f>
        <v/>
      </c>
    </row>
    <row r="238">
      <c r="A238" s="6">
        <f>Config!$K$21+12*Config!$J$21+Config!$J$21/2</f>
        <v/>
      </c>
      <c r="B238" s="6">
        <f>$A238-Config!$J$21/2</f>
        <v/>
      </c>
      <c r="C238" s="6">
        <f>$A238+Config!$J$21/2</f>
        <v/>
      </c>
      <c r="D238" s="6">
        <f>COUNTIFS(RawData!$C$2:$C$941,"MT",RawData!$N$2:$N$941,"&gt;="&amp;$B238,RawData!$N$2:$N$941,"&lt;"&amp;$C238,RawData!$N$2:$N$941,"&lt;&gt;0")</f>
        <v/>
      </c>
      <c r="E238" s="6">
        <f>IF(Config!$G$21=0,0,IF(ABS(($A238-Config!$F$21)/Config!$G$21)&lt;=2,$D238,0))</f>
        <v/>
      </c>
      <c r="F238" s="6">
        <f>IF(Config!$G$21=0,0,IF(AND(ABS(($A238-Config!$F$21)/Config!$G$21)&gt;2,ABS(($A238-Config!$F$21)/Config!$G$21)&lt;=3),$D238,0))</f>
        <v/>
      </c>
      <c r="G238" s="6">
        <f>IF(Config!$G$21=0,0,IF(ABS(($A238-Config!$F$21)/Config!$G$21)&gt;3,$D238,0))</f>
        <v/>
      </c>
      <c r="H238" s="6">
        <f>IFERROR(NORM.DIST($A238,Config!$F$21,Config!$G$21,FALSE)*Config!$D$21*Config!$J$21,0)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IFERROR(NORM.DIST($A239,Config!$F$21,Config!$G$21,FALSE)*Config!$D$21*Config!$J$21,0)</f>
        <v/>
      </c>
    </row>
    <row r="240">
      <c r="A240" s="6">
        <f>Config!$K$21+14*Config!$J$21+Config!$J$21/2</f>
        <v/>
      </c>
      <c r="B240" s="6">
        <f>$A240-Config!$J$21/2</f>
        <v/>
      </c>
      <c r="C240" s="6">
        <f>$A240+Config!$J$21/2</f>
        <v/>
      </c>
      <c r="D240" s="6">
        <f>COUNTIFS(RawData!$C$2:$C$941,"MT",RawData!$N$2:$N$941,"&gt;="&amp;$B240,RawData!$N$2:$N$941,"&lt;"&amp;$C240,RawData!$N$2:$N$941,"&lt;&gt;0")</f>
        <v/>
      </c>
      <c r="E240" s="6">
        <f>IF(Config!$G$21=0,0,IF(ABS(($A240-Config!$F$21)/Config!$G$21)&lt;=2,$D240,0))</f>
        <v/>
      </c>
      <c r="F240" s="6">
        <f>IF(Config!$G$21=0,0,IF(AND(ABS(($A240-Config!$F$21)/Config!$G$21)&gt;2,ABS(($A240-Config!$F$21)/Config!$G$21)&lt;=3),$D240,0))</f>
        <v/>
      </c>
      <c r="G240" s="6">
        <f>IF(Config!$G$21=0,0,IF(ABS(($A240-Config!$F$21)/Config!$G$21)&gt;3,$D240,0))</f>
        <v/>
      </c>
      <c r="H240" s="6">
        <f>IFERROR(NORM.DIST($A240,Config!$F$21,Config!$G$21,FALSE)*Config!$D$21*Config!$J$21,0)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IFERROR(NORM.DIST($A241,Config!$F$21,Config!$G$21,FALSE)*Config!$D$21*Config!$J$21,0)</f>
        <v/>
      </c>
    </row>
    <row r="242">
      <c r="A242" s="6">
        <f>Config!$K$21+16*Config!$J$21+Config!$J$21/2</f>
        <v/>
      </c>
      <c r="B242" s="6">
        <f>$A242-Config!$J$21/2</f>
        <v/>
      </c>
      <c r="C242" s="6">
        <f>$A242+Config!$J$21/2</f>
        <v/>
      </c>
      <c r="D242" s="6">
        <f>COUNTIFS(RawData!$C$2:$C$941,"MT",RawData!$N$2:$N$941,"&gt;="&amp;$B242,RawData!$N$2:$N$941,"&lt;"&amp;$C242,RawData!$N$2:$N$941,"&lt;&gt;0")</f>
        <v/>
      </c>
      <c r="E242" s="6">
        <f>IF(Config!$G$21=0,0,IF(ABS(($A242-Config!$F$21)/Config!$G$21)&lt;=2,$D242,0))</f>
        <v/>
      </c>
      <c r="F242" s="6">
        <f>IF(Config!$G$21=0,0,IF(AND(ABS(($A242-Config!$F$21)/Config!$G$21)&gt;2,ABS(($A242-Config!$F$21)/Config!$G$21)&lt;=3),$D242,0))</f>
        <v/>
      </c>
      <c r="G242" s="6">
        <f>IF(Config!$G$21=0,0,IF(ABS(($A242-Config!$F$21)/Config!$G$21)&gt;3,$D242,0))</f>
        <v/>
      </c>
      <c r="H242" s="6">
        <f>IFERROR(NORM.DIST($A242,Config!$F$21,Config!$G$21,FALSE)*Config!$D$21*Config!$J$21,0)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IFERROR(NORM.DIST($A243,Config!$F$21,Config!$G$21,FALSE)*Config!$D$21*Config!$J$21,0)</f>
        <v/>
      </c>
    </row>
    <row r="244">
      <c r="A244" s="6">
        <f>Config!$K$21+18*Config!$J$21+Config!$J$21/2</f>
        <v/>
      </c>
      <c r="B244" s="6">
        <f>$A244-Config!$J$21/2</f>
        <v/>
      </c>
      <c r="C244" s="6">
        <f>$A244+Config!$J$21/2</f>
        <v/>
      </c>
      <c r="D244" s="6">
        <f>COUNTIFS(RawData!$C$2:$C$941,"MT",RawData!$N$2:$N$941,"&gt;="&amp;$B244,RawData!$N$2:$N$941,"&lt;"&amp;$C244,RawData!$N$2:$N$941,"&lt;&gt;0")</f>
        <v/>
      </c>
      <c r="E244" s="6">
        <f>IF(Config!$G$21=0,0,IF(ABS(($A244-Config!$F$21)/Config!$G$21)&lt;=2,$D244,0))</f>
        <v/>
      </c>
      <c r="F244" s="6">
        <f>IF(Config!$G$21=0,0,IF(AND(ABS(($A244-Config!$F$21)/Config!$G$21)&gt;2,ABS(($A244-Config!$F$21)/Config!$G$21)&lt;=3),$D244,0))</f>
        <v/>
      </c>
      <c r="G244" s="6">
        <f>IF(Config!$G$21=0,0,IF(ABS(($A244-Config!$F$21)/Config!$G$21)&gt;3,$D244,0))</f>
        <v/>
      </c>
      <c r="H244" s="6">
        <f>IFERROR(NORM.DIST($A244,Config!$F$21,Config!$G$21,FALSE)*Config!$D$21*Config!$J$21,0)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IFERROR(NORM.DIST($A245,Config!$F$21,Config!$G$21,FALSE)*Config!$D$21*Config!$J$21,0)</f>
        <v/>
      </c>
    </row>
    <row r="246">
      <c r="A246" s="6">
        <f>Config!$K$21+20*Config!$J$21+Config!$J$21/2</f>
        <v/>
      </c>
      <c r="B246" s="6">
        <f>$A246-Config!$J$21/2</f>
        <v/>
      </c>
      <c r="C246" s="6">
        <f>$A246+Config!$J$21/2</f>
        <v/>
      </c>
      <c r="D246" s="6">
        <f>COUNTIFS(RawData!$C$2:$C$941,"MT",RawData!$N$2:$N$941,"&gt;="&amp;$B246,RawData!$N$2:$N$941,"&lt;"&amp;$C246,RawData!$N$2:$N$941,"&lt;&gt;0")</f>
        <v/>
      </c>
      <c r="E246" s="6">
        <f>IF(Config!$G$21=0,0,IF(ABS(($A246-Config!$F$21)/Config!$G$21)&lt;=2,$D246,0))</f>
        <v/>
      </c>
      <c r="F246" s="6">
        <f>IF(Config!$G$21=0,0,IF(AND(ABS(($A246-Config!$F$21)/Config!$G$21)&gt;2,ABS(($A246-Config!$F$21)/Config!$G$21)&lt;=3),$D246,0))</f>
        <v/>
      </c>
      <c r="G246" s="6">
        <f>IF(Config!$G$21=0,0,IF(ABS(($A246-Config!$F$21)/Config!$G$21)&gt;3,$D246,0))</f>
        <v/>
      </c>
      <c r="H246" s="6">
        <f>IFERROR(NORM.DIST($A246,Config!$F$21,Config!$G$21,FALSE)*Config!$D$21*Config!$J$21,0)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IFERROR(NORM.DIST($A247,Config!$F$21,Config!$G$21,FALSE)*Config!$D$21*Config!$J$21,0)</f>
        <v/>
      </c>
    </row>
    <row r="248">
      <c r="A248" s="6">
        <f>Config!$K$21+22*Config!$J$21+Config!$J$21/2</f>
        <v/>
      </c>
      <c r="B248" s="6">
        <f>$A248-Config!$J$21/2</f>
        <v/>
      </c>
      <c r="C248" s="6">
        <f>$A248+Config!$J$21/2</f>
        <v/>
      </c>
      <c r="D248" s="6">
        <f>COUNTIFS(RawData!$C$2:$C$941,"MT",RawData!$N$2:$N$941,"&gt;="&amp;$B248,RawData!$N$2:$N$941,"&lt;"&amp;$C248,RawData!$N$2:$N$941,"&lt;&gt;0")</f>
        <v/>
      </c>
      <c r="E248" s="6">
        <f>IF(Config!$G$21=0,0,IF(ABS(($A248-Config!$F$21)/Config!$G$21)&lt;=2,$D248,0))</f>
        <v/>
      </c>
      <c r="F248" s="6">
        <f>IF(Config!$G$21=0,0,IF(AND(ABS(($A248-Config!$F$21)/Config!$G$21)&gt;2,ABS(($A248-Config!$F$21)/Config!$G$21)&lt;=3),$D248,0))</f>
        <v/>
      </c>
      <c r="G248" s="6">
        <f>IF(Config!$G$21=0,0,IF(ABS(($A248-Config!$F$21)/Config!$G$21)&gt;3,$D248,0))</f>
        <v/>
      </c>
      <c r="H248" s="6">
        <f>IFERROR(NORM.DIST($A248,Config!$F$21,Config!$G$21,FALSE)*Config!$D$21*Config!$J$21,0)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IFERROR(NORM.DIST($A249,Config!$F$21,Config!$G$21,FALSE)*Config!$D$21*Config!$J$21,0)</f>
        <v/>
      </c>
    </row>
    <row r="250">
      <c r="A250" s="6">
        <f>Config!$K$21+24*Config!$J$21+Config!$J$21/2</f>
        <v/>
      </c>
      <c r="B250" s="6">
        <f>$A250-Config!$J$21/2</f>
        <v/>
      </c>
      <c r="C250" s="6">
        <f>$A250+Config!$J$21/2</f>
        <v/>
      </c>
      <c r="D250" s="6">
        <f>COUNTIFS(RawData!$C$2:$C$941,"MT",RawData!$N$2:$N$941,"&gt;="&amp;$B250,RawData!$N$2:$N$941,"&lt;"&amp;$C250,RawData!$N$2:$N$941,"&lt;&gt;0")</f>
        <v/>
      </c>
      <c r="E250" s="6">
        <f>IF(Config!$G$21=0,0,IF(ABS(($A250-Config!$F$21)/Config!$G$21)&lt;=2,$D250,0))</f>
        <v/>
      </c>
      <c r="F250" s="6">
        <f>IF(Config!$G$21=0,0,IF(AND(ABS(($A250-Config!$F$21)/Config!$G$21)&gt;2,ABS(($A250-Config!$F$21)/Config!$G$21)&lt;=3),$D250,0))</f>
        <v/>
      </c>
      <c r="G250" s="6">
        <f>IF(Config!$G$21=0,0,IF(ABS(($A250-Config!$F$21)/Config!$G$21)&gt;3,$D250,0))</f>
        <v/>
      </c>
      <c r="H250" s="6">
        <f>IFERROR(NORM.DIST($A250,Config!$F$21,Config!$G$21,FALSE)*Config!$D$21*Config!$J$21,0)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IFERROR(NORM.DIST($A251,Config!$F$21,Config!$G$21,FALSE)*Config!$D$21*Config!$J$21,0)</f>
        <v/>
      </c>
    </row>
    <row r="252">
      <c r="A252" s="6">
        <f>Config!$K$21+26*Config!$J$21+Config!$J$21/2</f>
        <v/>
      </c>
      <c r="B252" s="6">
        <f>$A252-Config!$J$21/2</f>
        <v/>
      </c>
      <c r="C252" s="6">
        <f>$A252+Config!$J$21/2</f>
        <v/>
      </c>
      <c r="D252" s="6">
        <f>COUNTIFS(RawData!$C$2:$C$941,"MT",RawData!$N$2:$N$941,"&gt;="&amp;$B252,RawData!$N$2:$N$941,"&lt;"&amp;$C252,RawData!$N$2:$N$941,"&lt;&gt;0")</f>
        <v/>
      </c>
      <c r="E252" s="6">
        <f>IF(Config!$G$21=0,0,IF(ABS(($A252-Config!$F$21)/Config!$G$21)&lt;=2,$D252,0))</f>
        <v/>
      </c>
      <c r="F252" s="6">
        <f>IF(Config!$G$21=0,0,IF(AND(ABS(($A252-Config!$F$21)/Config!$G$21)&gt;2,ABS(($A252-Config!$F$21)/Config!$G$21)&lt;=3),$D252,0))</f>
        <v/>
      </c>
      <c r="G252" s="6">
        <f>IF(Config!$G$21=0,0,IF(ABS(($A252-Config!$F$21)/Config!$G$21)&gt;3,$D252,0))</f>
        <v/>
      </c>
      <c r="H252" s="6">
        <f>IFERROR(NORM.DIST($A252,Config!$F$21,Config!$G$21,FALSE)*Config!$D$21*Config!$J$21,0)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IFERROR(NORM.DIST($A253,Config!$F$21,Config!$G$21,FALSE)*Config!$D$21*Config!$J$21,0)</f>
        <v/>
      </c>
    </row>
    <row r="254">
      <c r="A254" s="6">
        <f>Config!$K$21+28*Config!$J$21+Config!$J$21/2</f>
        <v/>
      </c>
      <c r="B254" s="6">
        <f>$A254-Config!$J$21/2</f>
        <v/>
      </c>
      <c r="C254" s="6">
        <f>$A254+Config!$J$21/2</f>
        <v/>
      </c>
      <c r="D254" s="6">
        <f>COUNTIFS(RawData!$C$2:$C$941,"MT",RawData!$N$2:$N$941,"&gt;="&amp;$B254,RawData!$N$2:$N$941,"&lt;"&amp;$C254,RawData!$N$2:$N$941,"&lt;&gt;0")</f>
        <v/>
      </c>
      <c r="E254" s="6">
        <f>IF(Config!$G$21=0,0,IF(ABS(($A254-Config!$F$21)/Config!$G$21)&lt;=2,$D254,0))</f>
        <v/>
      </c>
      <c r="F254" s="6">
        <f>IF(Config!$G$21=0,0,IF(AND(ABS(($A254-Config!$F$21)/Config!$G$21)&gt;2,ABS(($A254-Config!$F$21)/Config!$G$21)&lt;=3),$D254,0))</f>
        <v/>
      </c>
      <c r="G254" s="6">
        <f>IF(Config!$G$21=0,0,IF(ABS(($A254-Config!$F$21)/Config!$G$21)&gt;3,$D254,0))</f>
        <v/>
      </c>
      <c r="H254" s="6">
        <f>IFERROR(NORM.DIST($A254,Config!$F$21,Config!$G$21,FALSE)*Config!$D$21*Config!$J$21,0)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IFERROR(NORM.DIST($A255,Config!$F$21,Config!$G$21,FALSE)*Config!$D$21*Config!$J$21,0)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Config!$K$22+0*Config!$J$22+Config!$J$22/2</f>
        <v/>
      </c>
      <c r="B258" s="6">
        <f>$A258-Config!$J$22/2</f>
        <v/>
      </c>
      <c r="C258" s="6">
        <f>$A258+Config!$J$22/2</f>
        <v/>
      </c>
      <c r="D258" s="6">
        <f>COUNTIFS(RawData!$C$2:$C$941,"MT",RawData!$O$2:$O$941,"&gt;="&amp;$B258,RawData!$O$2:$O$941,"&lt;"&amp;$C258,RawData!$O$2:$O$941,"&lt;&gt;0")</f>
        <v/>
      </c>
      <c r="E258" s="6">
        <f>IF(Config!$G$22=0,0,IF(ABS(($A258-Config!$F$22)/Config!$G$22)&lt;=2,$D258,0))</f>
        <v/>
      </c>
      <c r="F258" s="6">
        <f>IF(Config!$G$22=0,0,IF(AND(ABS(($A258-Config!$F$22)/Config!$G$22)&gt;2,ABS(($A258-Config!$F$22)/Config!$G$22)&lt;=3),$D258,0))</f>
        <v/>
      </c>
      <c r="G258" s="6">
        <f>IF(Config!$G$22=0,0,IF(ABS(($A258-Config!$F$22)/Config!$G$22)&gt;3,$D258,0))</f>
        <v/>
      </c>
      <c r="H258" s="6">
        <f>IFERROR(NORM.DIST($A258,Config!$F$22,Config!$G$22,FALSE)*Config!$D$22*Config!$J$22,0)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IFERROR(NORM.DIST($A259,Config!$F$22,Config!$G$22,FALSE)*Config!$D$22*Config!$J$22,0)</f>
        <v/>
      </c>
    </row>
    <row r="260">
      <c r="A260" s="6">
        <f>Config!$K$22+2*Config!$J$22+Config!$J$22/2</f>
        <v/>
      </c>
      <c r="B260" s="6">
        <f>$A260-Config!$J$22/2</f>
        <v/>
      </c>
      <c r="C260" s="6">
        <f>$A260+Config!$J$22/2</f>
        <v/>
      </c>
      <c r="D260" s="6">
        <f>COUNTIFS(RawData!$C$2:$C$941,"MT",RawData!$O$2:$O$941,"&gt;="&amp;$B260,RawData!$O$2:$O$941,"&lt;"&amp;$C260,RawData!$O$2:$O$941,"&lt;&gt;0")</f>
        <v/>
      </c>
      <c r="E260" s="6">
        <f>IF(Config!$G$22=0,0,IF(ABS(($A260-Config!$F$22)/Config!$G$22)&lt;=2,$D260,0))</f>
        <v/>
      </c>
      <c r="F260" s="6">
        <f>IF(Config!$G$22=0,0,IF(AND(ABS(($A260-Config!$F$22)/Config!$G$22)&gt;2,ABS(($A260-Config!$F$22)/Config!$G$22)&lt;=3),$D260,0))</f>
        <v/>
      </c>
      <c r="G260" s="6">
        <f>IF(Config!$G$22=0,0,IF(ABS(($A260-Config!$F$22)/Config!$G$22)&gt;3,$D260,0))</f>
        <v/>
      </c>
      <c r="H260" s="6">
        <f>IFERROR(NORM.DIST($A260,Config!$F$22,Config!$G$22,FALSE)*Config!$D$22*Config!$J$22,0)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IFERROR(NORM.DIST($A261,Config!$F$22,Config!$G$22,FALSE)*Config!$D$22*Config!$J$22,0)</f>
        <v/>
      </c>
    </row>
    <row r="262">
      <c r="A262" s="6">
        <f>Config!$K$22+4*Config!$J$22+Config!$J$22/2</f>
        <v/>
      </c>
      <c r="B262" s="6">
        <f>$A262-Config!$J$22/2</f>
        <v/>
      </c>
      <c r="C262" s="6">
        <f>$A262+Config!$J$22/2</f>
        <v/>
      </c>
      <c r="D262" s="6">
        <f>COUNTIFS(RawData!$C$2:$C$941,"MT",RawData!$O$2:$O$941,"&gt;="&amp;$B262,RawData!$O$2:$O$941,"&lt;"&amp;$C262,RawData!$O$2:$O$941,"&lt;&gt;0")</f>
        <v/>
      </c>
      <c r="E262" s="6">
        <f>IF(Config!$G$22=0,0,IF(ABS(($A262-Config!$F$22)/Config!$G$22)&lt;=2,$D262,0))</f>
        <v/>
      </c>
      <c r="F262" s="6">
        <f>IF(Config!$G$22=0,0,IF(AND(ABS(($A262-Config!$F$22)/Config!$G$22)&gt;2,ABS(($A262-Config!$F$22)/Config!$G$22)&lt;=3),$D262,0))</f>
        <v/>
      </c>
      <c r="G262" s="6">
        <f>IF(Config!$G$22=0,0,IF(ABS(($A262-Config!$F$22)/Config!$G$22)&gt;3,$D262,0))</f>
        <v/>
      </c>
      <c r="H262" s="6">
        <f>IFERROR(NORM.DIST($A262,Config!$F$22,Config!$G$22,FALSE)*Config!$D$22*Config!$J$22,0)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IFERROR(NORM.DIST($A263,Config!$F$22,Config!$G$22,FALSE)*Config!$D$22*Config!$J$22,0)</f>
        <v/>
      </c>
    </row>
    <row r="264">
      <c r="A264" s="6">
        <f>Config!$K$22+6*Config!$J$22+Config!$J$22/2</f>
        <v/>
      </c>
      <c r="B264" s="6">
        <f>$A264-Config!$J$22/2</f>
        <v/>
      </c>
      <c r="C264" s="6">
        <f>$A264+Config!$J$22/2</f>
        <v/>
      </c>
      <c r="D264" s="6">
        <f>COUNTIFS(RawData!$C$2:$C$941,"MT",RawData!$O$2:$O$941,"&gt;="&amp;$B264,RawData!$O$2:$O$941,"&lt;"&amp;$C264,RawData!$O$2:$O$941,"&lt;&gt;0")</f>
        <v/>
      </c>
      <c r="E264" s="6">
        <f>IF(Config!$G$22=0,0,IF(ABS(($A264-Config!$F$22)/Config!$G$22)&lt;=2,$D264,0))</f>
        <v/>
      </c>
      <c r="F264" s="6">
        <f>IF(Config!$G$22=0,0,IF(AND(ABS(($A264-Config!$F$22)/Config!$G$22)&gt;2,ABS(($A264-Config!$F$22)/Config!$G$22)&lt;=3),$D264,0))</f>
        <v/>
      </c>
      <c r="G264" s="6">
        <f>IF(Config!$G$22=0,0,IF(ABS(($A264-Config!$F$22)/Config!$G$22)&gt;3,$D264,0))</f>
        <v/>
      </c>
      <c r="H264" s="6">
        <f>IFERROR(NORM.DIST($A264,Config!$F$22,Config!$G$22,FALSE)*Config!$D$22*Config!$J$22,0)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IFERROR(NORM.DIST($A265,Config!$F$22,Config!$G$22,FALSE)*Config!$D$22*Config!$J$22,0)</f>
        <v/>
      </c>
    </row>
    <row r="266">
      <c r="A266" s="6">
        <f>Config!$K$22+8*Config!$J$22+Config!$J$22/2</f>
        <v/>
      </c>
      <c r="B266" s="6">
        <f>$A266-Config!$J$22/2</f>
        <v/>
      </c>
      <c r="C266" s="6">
        <f>$A266+Config!$J$22/2</f>
        <v/>
      </c>
      <c r="D266" s="6">
        <f>COUNTIFS(RawData!$C$2:$C$941,"MT",RawData!$O$2:$O$941,"&gt;="&amp;$B266,RawData!$O$2:$O$941,"&lt;"&amp;$C266,RawData!$O$2:$O$941,"&lt;&gt;0")</f>
        <v/>
      </c>
      <c r="E266" s="6">
        <f>IF(Config!$G$22=0,0,IF(ABS(($A266-Config!$F$22)/Config!$G$22)&lt;=2,$D266,0))</f>
        <v/>
      </c>
      <c r="F266" s="6">
        <f>IF(Config!$G$22=0,0,IF(AND(ABS(($A266-Config!$F$22)/Config!$G$22)&gt;2,ABS(($A266-Config!$F$22)/Config!$G$22)&lt;=3),$D266,0))</f>
        <v/>
      </c>
      <c r="G266" s="6">
        <f>IF(Config!$G$22=0,0,IF(ABS(($A266-Config!$F$22)/Config!$G$22)&gt;3,$D266,0))</f>
        <v/>
      </c>
      <c r="H266" s="6">
        <f>IFERROR(NORM.DIST($A266,Config!$F$22,Config!$G$22,FALSE)*Config!$D$22*Config!$J$22,0)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IFERROR(NORM.DIST($A267,Config!$F$22,Config!$G$22,FALSE)*Config!$D$22*Config!$J$22,0)</f>
        <v/>
      </c>
    </row>
    <row r="268">
      <c r="A268" s="6">
        <f>Config!$K$22+10*Config!$J$22+Config!$J$22/2</f>
        <v/>
      </c>
      <c r="B268" s="6">
        <f>$A268-Config!$J$22/2</f>
        <v/>
      </c>
      <c r="C268" s="6">
        <f>$A268+Config!$J$22/2</f>
        <v/>
      </c>
      <c r="D268" s="6">
        <f>COUNTIFS(RawData!$C$2:$C$941,"MT",RawData!$O$2:$O$941,"&gt;="&amp;$B268,RawData!$O$2:$O$941,"&lt;"&amp;$C268,RawData!$O$2:$O$941,"&lt;&gt;0")</f>
        <v/>
      </c>
      <c r="E268" s="6">
        <f>IF(Config!$G$22=0,0,IF(ABS(($A268-Config!$F$22)/Config!$G$22)&lt;=2,$D268,0))</f>
        <v/>
      </c>
      <c r="F268" s="6">
        <f>IF(Config!$G$22=0,0,IF(AND(ABS(($A268-Config!$F$22)/Config!$G$22)&gt;2,ABS(($A268-Config!$F$22)/Config!$G$22)&lt;=3),$D268,0))</f>
        <v/>
      </c>
      <c r="G268" s="6">
        <f>IF(Config!$G$22=0,0,IF(ABS(($A268-Config!$F$22)/Config!$G$22)&gt;3,$D268,0))</f>
        <v/>
      </c>
      <c r="H268" s="6">
        <f>IFERROR(NORM.DIST($A268,Config!$F$22,Config!$G$22,FALSE)*Config!$D$22*Config!$J$22,0)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IFERROR(NORM.DIST($A269,Config!$F$22,Config!$G$22,FALSE)*Config!$D$22*Config!$J$22,0)</f>
        <v/>
      </c>
    </row>
    <row r="270">
      <c r="A270" s="6">
        <f>Config!$K$22+12*Config!$J$22+Config!$J$22/2</f>
        <v/>
      </c>
      <c r="B270" s="6">
        <f>$A270-Config!$J$22/2</f>
        <v/>
      </c>
      <c r="C270" s="6">
        <f>$A270+Config!$J$22/2</f>
        <v/>
      </c>
      <c r="D270" s="6">
        <f>COUNTIFS(RawData!$C$2:$C$941,"MT",RawData!$O$2:$O$941,"&gt;="&amp;$B270,RawData!$O$2:$O$941,"&lt;"&amp;$C270,RawData!$O$2:$O$941,"&lt;&gt;0")</f>
        <v/>
      </c>
      <c r="E270" s="6">
        <f>IF(Config!$G$22=0,0,IF(ABS(($A270-Config!$F$22)/Config!$G$22)&lt;=2,$D270,0))</f>
        <v/>
      </c>
      <c r="F270" s="6">
        <f>IF(Config!$G$22=0,0,IF(AND(ABS(($A270-Config!$F$22)/Config!$G$22)&gt;2,ABS(($A270-Config!$F$22)/Config!$G$22)&lt;=3),$D270,0))</f>
        <v/>
      </c>
      <c r="G270" s="6">
        <f>IF(Config!$G$22=0,0,IF(ABS(($A270-Config!$F$22)/Config!$G$22)&gt;3,$D270,0))</f>
        <v/>
      </c>
      <c r="H270" s="6">
        <f>IFERROR(NORM.DIST($A270,Config!$F$22,Config!$G$22,FALSE)*Config!$D$22*Config!$J$22,0)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IFERROR(NORM.DIST($A271,Config!$F$22,Config!$G$22,FALSE)*Config!$D$22*Config!$J$22,0)</f>
        <v/>
      </c>
    </row>
    <row r="272">
      <c r="A272" s="6">
        <f>Config!$K$22+14*Config!$J$22+Config!$J$22/2</f>
        <v/>
      </c>
      <c r="B272" s="6">
        <f>$A272-Config!$J$22/2</f>
        <v/>
      </c>
      <c r="C272" s="6">
        <f>$A272+Config!$J$22/2</f>
        <v/>
      </c>
      <c r="D272" s="6">
        <f>COUNTIFS(RawData!$C$2:$C$941,"MT",RawData!$O$2:$O$941,"&gt;="&amp;$B272,RawData!$O$2:$O$941,"&lt;"&amp;$C272,RawData!$O$2:$O$941,"&lt;&gt;0")</f>
        <v/>
      </c>
      <c r="E272" s="6">
        <f>IF(Config!$G$22=0,0,IF(ABS(($A272-Config!$F$22)/Config!$G$22)&lt;=2,$D272,0))</f>
        <v/>
      </c>
      <c r="F272" s="6">
        <f>IF(Config!$G$22=0,0,IF(AND(ABS(($A272-Config!$F$22)/Config!$G$22)&gt;2,ABS(($A272-Config!$F$22)/Config!$G$22)&lt;=3),$D272,0))</f>
        <v/>
      </c>
      <c r="G272" s="6">
        <f>IF(Config!$G$22=0,0,IF(ABS(($A272-Config!$F$22)/Config!$G$22)&gt;3,$D272,0))</f>
        <v/>
      </c>
      <c r="H272" s="6">
        <f>IFERROR(NORM.DIST($A272,Config!$F$22,Config!$G$22,FALSE)*Config!$D$22*Config!$J$22,0)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IFERROR(NORM.DIST($A273,Config!$F$22,Config!$G$22,FALSE)*Config!$D$22*Config!$J$22,0)</f>
        <v/>
      </c>
    </row>
    <row r="274">
      <c r="A274" s="6">
        <f>Config!$K$22+16*Config!$J$22+Config!$J$22/2</f>
        <v/>
      </c>
      <c r="B274" s="6">
        <f>$A274-Config!$J$22/2</f>
        <v/>
      </c>
      <c r="C274" s="6">
        <f>$A274+Config!$J$22/2</f>
        <v/>
      </c>
      <c r="D274" s="6">
        <f>COUNTIFS(RawData!$C$2:$C$941,"MT",RawData!$O$2:$O$941,"&gt;="&amp;$B274,RawData!$O$2:$O$941,"&lt;"&amp;$C274,RawData!$O$2:$O$941,"&lt;&gt;0")</f>
        <v/>
      </c>
      <c r="E274" s="6">
        <f>IF(Config!$G$22=0,0,IF(ABS(($A274-Config!$F$22)/Config!$G$22)&lt;=2,$D274,0))</f>
        <v/>
      </c>
      <c r="F274" s="6">
        <f>IF(Config!$G$22=0,0,IF(AND(ABS(($A274-Config!$F$22)/Config!$G$22)&gt;2,ABS(($A274-Config!$F$22)/Config!$G$22)&lt;=3),$D274,0))</f>
        <v/>
      </c>
      <c r="G274" s="6">
        <f>IF(Config!$G$22=0,0,IF(ABS(($A274-Config!$F$22)/Config!$G$22)&gt;3,$D274,0))</f>
        <v/>
      </c>
      <c r="H274" s="6">
        <f>IFERROR(NORM.DIST($A274,Config!$F$22,Config!$G$22,FALSE)*Config!$D$22*Config!$J$22,0)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IFERROR(NORM.DIST($A275,Config!$F$22,Config!$G$22,FALSE)*Config!$D$22*Config!$J$22,0)</f>
        <v/>
      </c>
    </row>
    <row r="276">
      <c r="A276" s="6">
        <f>Config!$K$22+18*Config!$J$22+Config!$J$22/2</f>
        <v/>
      </c>
      <c r="B276" s="6">
        <f>$A276-Config!$J$22/2</f>
        <v/>
      </c>
      <c r="C276" s="6">
        <f>$A276+Config!$J$22/2</f>
        <v/>
      </c>
      <c r="D276" s="6">
        <f>COUNTIFS(RawData!$C$2:$C$941,"MT",RawData!$O$2:$O$941,"&gt;="&amp;$B276,RawData!$O$2:$O$941,"&lt;"&amp;$C276,RawData!$O$2:$O$941,"&lt;&gt;0")</f>
        <v/>
      </c>
      <c r="E276" s="6">
        <f>IF(Config!$G$22=0,0,IF(ABS(($A276-Config!$F$22)/Config!$G$22)&lt;=2,$D276,0))</f>
        <v/>
      </c>
      <c r="F276" s="6">
        <f>IF(Config!$G$22=0,0,IF(AND(ABS(($A276-Config!$F$22)/Config!$G$22)&gt;2,ABS(($A276-Config!$F$22)/Config!$G$22)&lt;=3),$D276,0))</f>
        <v/>
      </c>
      <c r="G276" s="6">
        <f>IF(Config!$G$22=0,0,IF(ABS(($A276-Config!$F$22)/Config!$G$22)&gt;3,$D276,0))</f>
        <v/>
      </c>
      <c r="H276" s="6">
        <f>IFERROR(NORM.DIST($A276,Config!$F$22,Config!$G$22,FALSE)*Config!$D$22*Config!$J$22,0)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IFERROR(NORM.DIST($A277,Config!$F$22,Config!$G$22,FALSE)*Config!$D$22*Config!$J$22,0)</f>
        <v/>
      </c>
    </row>
    <row r="278">
      <c r="A278" s="6">
        <f>Config!$K$22+20*Config!$J$22+Config!$J$22/2</f>
        <v/>
      </c>
      <c r="B278" s="6">
        <f>$A278-Config!$J$22/2</f>
        <v/>
      </c>
      <c r="C278" s="6">
        <f>$A278+Config!$J$22/2</f>
        <v/>
      </c>
      <c r="D278" s="6">
        <f>COUNTIFS(RawData!$C$2:$C$941,"MT",RawData!$O$2:$O$941,"&gt;="&amp;$B278,RawData!$O$2:$O$941,"&lt;"&amp;$C278,RawData!$O$2:$O$941,"&lt;&gt;0")</f>
        <v/>
      </c>
      <c r="E278" s="6">
        <f>IF(Config!$G$22=0,0,IF(ABS(($A278-Config!$F$22)/Config!$G$22)&lt;=2,$D278,0))</f>
        <v/>
      </c>
      <c r="F278" s="6">
        <f>IF(Config!$G$22=0,0,IF(AND(ABS(($A278-Config!$F$22)/Config!$G$22)&gt;2,ABS(($A278-Config!$F$22)/Config!$G$22)&lt;=3),$D278,0))</f>
        <v/>
      </c>
      <c r="G278" s="6">
        <f>IF(Config!$G$22=0,0,IF(ABS(($A278-Config!$F$22)/Config!$G$22)&gt;3,$D278,0))</f>
        <v/>
      </c>
      <c r="H278" s="6">
        <f>IFERROR(NORM.DIST($A278,Config!$F$22,Config!$G$22,FALSE)*Config!$D$22*Config!$J$22,0)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IFERROR(NORM.DIST($A279,Config!$F$22,Config!$G$22,FALSE)*Config!$D$22*Config!$J$22,0)</f>
        <v/>
      </c>
    </row>
    <row r="280">
      <c r="A280" s="6">
        <f>Config!$K$22+22*Config!$J$22+Config!$J$22/2</f>
        <v/>
      </c>
      <c r="B280" s="6">
        <f>$A280-Config!$J$22/2</f>
        <v/>
      </c>
      <c r="C280" s="6">
        <f>$A280+Config!$J$22/2</f>
        <v/>
      </c>
      <c r="D280" s="6">
        <f>COUNTIFS(RawData!$C$2:$C$941,"MT",RawData!$O$2:$O$941,"&gt;="&amp;$B280,RawData!$O$2:$O$941,"&lt;"&amp;$C280,RawData!$O$2:$O$941,"&lt;&gt;0")</f>
        <v/>
      </c>
      <c r="E280" s="6">
        <f>IF(Config!$G$22=0,0,IF(ABS(($A280-Config!$F$22)/Config!$G$22)&lt;=2,$D280,0))</f>
        <v/>
      </c>
      <c r="F280" s="6">
        <f>IF(Config!$G$22=0,0,IF(AND(ABS(($A280-Config!$F$22)/Config!$G$22)&gt;2,ABS(($A280-Config!$F$22)/Config!$G$22)&lt;=3),$D280,0))</f>
        <v/>
      </c>
      <c r="G280" s="6">
        <f>IF(Config!$G$22=0,0,IF(ABS(($A280-Config!$F$22)/Config!$G$22)&gt;3,$D280,0))</f>
        <v/>
      </c>
      <c r="H280" s="6">
        <f>IFERROR(NORM.DIST($A280,Config!$F$22,Config!$G$22,FALSE)*Config!$D$22*Config!$J$22,0)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IFERROR(NORM.DIST($A281,Config!$F$22,Config!$G$22,FALSE)*Config!$D$22*Config!$J$22,0)</f>
        <v/>
      </c>
    </row>
    <row r="282">
      <c r="A282" s="6">
        <f>Config!$K$22+24*Config!$J$22+Config!$J$22/2</f>
        <v/>
      </c>
      <c r="B282" s="6">
        <f>$A282-Config!$J$22/2</f>
        <v/>
      </c>
      <c r="C282" s="6">
        <f>$A282+Config!$J$22/2</f>
        <v/>
      </c>
      <c r="D282" s="6">
        <f>COUNTIFS(RawData!$C$2:$C$941,"MT",RawData!$O$2:$O$941,"&gt;="&amp;$B282,RawData!$O$2:$O$941,"&lt;"&amp;$C282,RawData!$O$2:$O$941,"&lt;&gt;0")</f>
        <v/>
      </c>
      <c r="E282" s="6">
        <f>IF(Config!$G$22=0,0,IF(ABS(($A282-Config!$F$22)/Config!$G$22)&lt;=2,$D282,0))</f>
        <v/>
      </c>
      <c r="F282" s="6">
        <f>IF(Config!$G$22=0,0,IF(AND(ABS(($A282-Config!$F$22)/Config!$G$22)&gt;2,ABS(($A282-Config!$F$22)/Config!$G$22)&lt;=3),$D282,0))</f>
        <v/>
      </c>
      <c r="G282" s="6">
        <f>IF(Config!$G$22=0,0,IF(ABS(($A282-Config!$F$22)/Config!$G$22)&gt;3,$D282,0))</f>
        <v/>
      </c>
      <c r="H282" s="6">
        <f>IFERROR(NORM.DIST($A282,Config!$F$22,Config!$G$22,FALSE)*Config!$D$22*Config!$J$22,0)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IFERROR(NORM.DIST($A283,Config!$F$22,Config!$G$22,FALSE)*Config!$D$22*Config!$J$22,0)</f>
        <v/>
      </c>
    </row>
    <row r="284">
      <c r="A284" s="6">
        <f>Config!$K$22+26*Config!$J$22+Config!$J$22/2</f>
        <v/>
      </c>
      <c r="B284" s="6">
        <f>$A284-Config!$J$22/2</f>
        <v/>
      </c>
      <c r="C284" s="6">
        <f>$A284+Config!$J$22/2</f>
        <v/>
      </c>
      <c r="D284" s="6">
        <f>COUNTIFS(RawData!$C$2:$C$941,"MT",RawData!$O$2:$O$941,"&gt;="&amp;$B284,RawData!$O$2:$O$941,"&lt;"&amp;$C284,RawData!$O$2:$O$941,"&lt;&gt;0")</f>
        <v/>
      </c>
      <c r="E284" s="6">
        <f>IF(Config!$G$22=0,0,IF(ABS(($A284-Config!$F$22)/Config!$G$22)&lt;=2,$D284,0))</f>
        <v/>
      </c>
      <c r="F284" s="6">
        <f>IF(Config!$G$22=0,0,IF(AND(ABS(($A284-Config!$F$22)/Config!$G$22)&gt;2,ABS(($A284-Config!$F$22)/Config!$G$22)&lt;=3),$D284,0))</f>
        <v/>
      </c>
      <c r="G284" s="6">
        <f>IF(Config!$G$22=0,0,IF(ABS(($A284-Config!$F$22)/Config!$G$22)&gt;3,$D284,0))</f>
        <v/>
      </c>
      <c r="H284" s="6">
        <f>IFERROR(NORM.DIST($A284,Config!$F$22,Config!$G$22,FALSE)*Config!$D$22*Config!$J$22,0)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IFERROR(NORM.DIST($A285,Config!$F$22,Config!$G$22,FALSE)*Config!$D$22*Config!$J$22,0)</f>
        <v/>
      </c>
    </row>
    <row r="286">
      <c r="A286" s="6">
        <f>Config!$K$22+28*Config!$J$22+Config!$J$22/2</f>
        <v/>
      </c>
      <c r="B286" s="6">
        <f>$A286-Config!$J$22/2</f>
        <v/>
      </c>
      <c r="C286" s="6">
        <f>$A286+Config!$J$22/2</f>
        <v/>
      </c>
      <c r="D286" s="6">
        <f>COUNTIFS(RawData!$C$2:$C$941,"MT",RawData!$O$2:$O$941,"&gt;="&amp;$B286,RawData!$O$2:$O$941,"&lt;"&amp;$C286,RawData!$O$2:$O$941,"&lt;&gt;0")</f>
        <v/>
      </c>
      <c r="E286" s="6">
        <f>IF(Config!$G$22=0,0,IF(ABS(($A286-Config!$F$22)/Config!$G$22)&lt;=2,$D286,0))</f>
        <v/>
      </c>
      <c r="F286" s="6">
        <f>IF(Config!$G$22=0,0,IF(AND(ABS(($A286-Config!$F$22)/Config!$G$22)&gt;2,ABS(($A286-Config!$F$22)/Config!$G$22)&lt;=3),$D286,0))</f>
        <v/>
      </c>
      <c r="G286" s="6">
        <f>IF(Config!$G$22=0,0,IF(ABS(($A286-Config!$F$22)/Config!$G$22)&gt;3,$D286,0))</f>
        <v/>
      </c>
      <c r="H286" s="6">
        <f>IFERROR(NORM.DIST($A286,Config!$F$22,Config!$G$22,FALSE)*Config!$D$22*Config!$J$22,0)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IFERROR(NORM.DIST($A287,Config!$F$22,Config!$G$22,FALSE)*Config!$D$22*Config!$J$22,0)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Config!$K$23+0*Config!$J$23+Config!$J$23/2</f>
        <v/>
      </c>
      <c r="B290" s="6">
        <f>$A290-Config!$J$23/2</f>
        <v/>
      </c>
      <c r="C290" s="6">
        <f>$A290+Config!$J$23/2</f>
        <v/>
      </c>
      <c r="D290" s="6">
        <f>COUNTIFS(RawData!$C$2:$C$941,"MT",RawData!$P$2:$P$941,"&gt;="&amp;$B290,RawData!$P$2:$P$941,"&lt;"&amp;$C290,RawData!$P$2:$P$941,"&lt;&gt;0")</f>
        <v/>
      </c>
      <c r="E290" s="6">
        <f>IF(Config!$G$23=0,0,IF(ABS(($A290-Config!$F$23)/Config!$G$23)&lt;=2,$D290,0))</f>
        <v/>
      </c>
      <c r="F290" s="6">
        <f>IF(Config!$G$23=0,0,IF(AND(ABS(($A290-Config!$F$23)/Config!$G$23)&gt;2,ABS(($A290-Config!$F$23)/Config!$G$23)&lt;=3),$D290,0))</f>
        <v/>
      </c>
      <c r="G290" s="6">
        <f>IF(Config!$G$23=0,0,IF(ABS(($A290-Config!$F$23)/Config!$G$23)&gt;3,$D290,0))</f>
        <v/>
      </c>
      <c r="H290" s="6">
        <f>IFERROR(NORM.DIST($A290,Config!$F$23,Config!$G$23,FALSE)*Config!$D$23*Config!$J$23,0)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IFERROR(NORM.DIST($A291,Config!$F$23,Config!$G$23,FALSE)*Config!$D$23*Config!$J$23,0)</f>
        <v/>
      </c>
    </row>
    <row r="292">
      <c r="A292" s="6">
        <f>Config!$K$23+2*Config!$J$23+Config!$J$23/2</f>
        <v/>
      </c>
      <c r="B292" s="6">
        <f>$A292-Config!$J$23/2</f>
        <v/>
      </c>
      <c r="C292" s="6">
        <f>$A292+Config!$J$23/2</f>
        <v/>
      </c>
      <c r="D292" s="6">
        <f>COUNTIFS(RawData!$C$2:$C$941,"MT",RawData!$P$2:$P$941,"&gt;="&amp;$B292,RawData!$P$2:$P$941,"&lt;"&amp;$C292,RawData!$P$2:$P$941,"&lt;&gt;0")</f>
        <v/>
      </c>
      <c r="E292" s="6">
        <f>IF(Config!$G$23=0,0,IF(ABS(($A292-Config!$F$23)/Config!$G$23)&lt;=2,$D292,0))</f>
        <v/>
      </c>
      <c r="F292" s="6">
        <f>IF(Config!$G$23=0,0,IF(AND(ABS(($A292-Config!$F$23)/Config!$G$23)&gt;2,ABS(($A292-Config!$F$23)/Config!$G$23)&lt;=3),$D292,0))</f>
        <v/>
      </c>
      <c r="G292" s="6">
        <f>IF(Config!$G$23=0,0,IF(ABS(($A292-Config!$F$23)/Config!$G$23)&gt;3,$D292,0))</f>
        <v/>
      </c>
      <c r="H292" s="6">
        <f>IFERROR(NORM.DIST($A292,Config!$F$23,Config!$G$23,FALSE)*Config!$D$23*Config!$J$23,0)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IFERROR(NORM.DIST($A293,Config!$F$23,Config!$G$23,FALSE)*Config!$D$23*Config!$J$23,0)</f>
        <v/>
      </c>
    </row>
    <row r="294">
      <c r="A294" s="6">
        <f>Config!$K$23+4*Config!$J$23+Config!$J$23/2</f>
        <v/>
      </c>
      <c r="B294" s="6">
        <f>$A294-Config!$J$23/2</f>
        <v/>
      </c>
      <c r="C294" s="6">
        <f>$A294+Config!$J$23/2</f>
        <v/>
      </c>
      <c r="D294" s="6">
        <f>COUNTIFS(RawData!$C$2:$C$941,"MT",RawData!$P$2:$P$941,"&gt;="&amp;$B294,RawData!$P$2:$P$941,"&lt;"&amp;$C294,RawData!$P$2:$P$941,"&lt;&gt;0")</f>
        <v/>
      </c>
      <c r="E294" s="6">
        <f>IF(Config!$G$23=0,0,IF(ABS(($A294-Config!$F$23)/Config!$G$23)&lt;=2,$D294,0))</f>
        <v/>
      </c>
      <c r="F294" s="6">
        <f>IF(Config!$G$23=0,0,IF(AND(ABS(($A294-Config!$F$23)/Config!$G$23)&gt;2,ABS(($A294-Config!$F$23)/Config!$G$23)&lt;=3),$D294,0))</f>
        <v/>
      </c>
      <c r="G294" s="6">
        <f>IF(Config!$G$23=0,0,IF(ABS(($A294-Config!$F$23)/Config!$G$23)&gt;3,$D294,0))</f>
        <v/>
      </c>
      <c r="H294" s="6">
        <f>IFERROR(NORM.DIST($A294,Config!$F$23,Config!$G$23,FALSE)*Config!$D$23*Config!$J$23,0)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IFERROR(NORM.DIST($A295,Config!$F$23,Config!$G$23,FALSE)*Config!$D$23*Config!$J$23,0)</f>
        <v/>
      </c>
    </row>
    <row r="296">
      <c r="A296" s="6">
        <f>Config!$K$23+6*Config!$J$23+Config!$J$23/2</f>
        <v/>
      </c>
      <c r="B296" s="6">
        <f>$A296-Config!$J$23/2</f>
        <v/>
      </c>
      <c r="C296" s="6">
        <f>$A296+Config!$J$23/2</f>
        <v/>
      </c>
      <c r="D296" s="6">
        <f>COUNTIFS(RawData!$C$2:$C$941,"MT",RawData!$P$2:$P$941,"&gt;="&amp;$B296,RawData!$P$2:$P$941,"&lt;"&amp;$C296,RawData!$P$2:$P$941,"&lt;&gt;0")</f>
        <v/>
      </c>
      <c r="E296" s="6">
        <f>IF(Config!$G$23=0,0,IF(ABS(($A296-Config!$F$23)/Config!$G$23)&lt;=2,$D296,0))</f>
        <v/>
      </c>
      <c r="F296" s="6">
        <f>IF(Config!$G$23=0,0,IF(AND(ABS(($A296-Config!$F$23)/Config!$G$23)&gt;2,ABS(($A296-Config!$F$23)/Config!$G$23)&lt;=3),$D296,0))</f>
        <v/>
      </c>
      <c r="G296" s="6">
        <f>IF(Config!$G$23=0,0,IF(ABS(($A296-Config!$F$23)/Config!$G$23)&gt;3,$D296,0))</f>
        <v/>
      </c>
      <c r="H296" s="6">
        <f>IFERROR(NORM.DIST($A296,Config!$F$23,Config!$G$23,FALSE)*Config!$D$23*Config!$J$23,0)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IFERROR(NORM.DIST($A297,Config!$F$23,Config!$G$23,FALSE)*Config!$D$23*Config!$J$23,0)</f>
        <v/>
      </c>
    </row>
    <row r="298">
      <c r="A298" s="6">
        <f>Config!$K$23+8*Config!$J$23+Config!$J$23/2</f>
        <v/>
      </c>
      <c r="B298" s="6">
        <f>$A298-Config!$J$23/2</f>
        <v/>
      </c>
      <c r="C298" s="6">
        <f>$A298+Config!$J$23/2</f>
        <v/>
      </c>
      <c r="D298" s="6">
        <f>COUNTIFS(RawData!$C$2:$C$941,"MT",RawData!$P$2:$P$941,"&gt;="&amp;$B298,RawData!$P$2:$P$941,"&lt;"&amp;$C298,RawData!$P$2:$P$941,"&lt;&gt;0")</f>
        <v/>
      </c>
      <c r="E298" s="6">
        <f>IF(Config!$G$23=0,0,IF(ABS(($A298-Config!$F$23)/Config!$G$23)&lt;=2,$D298,0))</f>
        <v/>
      </c>
      <c r="F298" s="6">
        <f>IF(Config!$G$23=0,0,IF(AND(ABS(($A298-Config!$F$23)/Config!$G$23)&gt;2,ABS(($A298-Config!$F$23)/Config!$G$23)&lt;=3),$D298,0))</f>
        <v/>
      </c>
      <c r="G298" s="6">
        <f>IF(Config!$G$23=0,0,IF(ABS(($A298-Config!$F$23)/Config!$G$23)&gt;3,$D298,0))</f>
        <v/>
      </c>
      <c r="H298" s="6">
        <f>IFERROR(NORM.DIST($A298,Config!$F$23,Config!$G$23,FALSE)*Config!$D$23*Config!$J$23,0)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IFERROR(NORM.DIST($A299,Config!$F$23,Config!$G$23,FALSE)*Config!$D$23*Config!$J$23,0)</f>
        <v/>
      </c>
    </row>
    <row r="300">
      <c r="A300" s="6">
        <f>Config!$K$23+10*Config!$J$23+Config!$J$23/2</f>
        <v/>
      </c>
      <c r="B300" s="6">
        <f>$A300-Config!$J$23/2</f>
        <v/>
      </c>
      <c r="C300" s="6">
        <f>$A300+Config!$J$23/2</f>
        <v/>
      </c>
      <c r="D300" s="6">
        <f>COUNTIFS(RawData!$C$2:$C$941,"MT",RawData!$P$2:$P$941,"&gt;="&amp;$B300,RawData!$P$2:$P$941,"&lt;"&amp;$C300,RawData!$P$2:$P$941,"&lt;&gt;0")</f>
        <v/>
      </c>
      <c r="E300" s="6">
        <f>IF(Config!$G$23=0,0,IF(ABS(($A300-Config!$F$23)/Config!$G$23)&lt;=2,$D300,0))</f>
        <v/>
      </c>
      <c r="F300" s="6">
        <f>IF(Config!$G$23=0,0,IF(AND(ABS(($A300-Config!$F$23)/Config!$G$23)&gt;2,ABS(($A300-Config!$F$23)/Config!$G$23)&lt;=3),$D300,0))</f>
        <v/>
      </c>
      <c r="G300" s="6">
        <f>IF(Config!$G$23=0,0,IF(ABS(($A300-Config!$F$23)/Config!$G$23)&gt;3,$D300,0))</f>
        <v/>
      </c>
      <c r="H300" s="6">
        <f>IFERROR(NORM.DIST($A300,Config!$F$23,Config!$G$23,FALSE)*Config!$D$23*Config!$J$23,0)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IFERROR(NORM.DIST($A301,Config!$F$23,Config!$G$23,FALSE)*Config!$D$23*Config!$J$23,0)</f>
        <v/>
      </c>
    </row>
    <row r="302">
      <c r="A302" s="6">
        <f>Config!$K$23+12*Config!$J$23+Config!$J$23/2</f>
        <v/>
      </c>
      <c r="B302" s="6">
        <f>$A302-Config!$J$23/2</f>
        <v/>
      </c>
      <c r="C302" s="6">
        <f>$A302+Config!$J$23/2</f>
        <v/>
      </c>
      <c r="D302" s="6">
        <f>COUNTIFS(RawData!$C$2:$C$941,"MT",RawData!$P$2:$P$941,"&gt;="&amp;$B302,RawData!$P$2:$P$941,"&lt;"&amp;$C302,RawData!$P$2:$P$941,"&lt;&gt;0")</f>
        <v/>
      </c>
      <c r="E302" s="6">
        <f>IF(Config!$G$23=0,0,IF(ABS(($A302-Config!$F$23)/Config!$G$23)&lt;=2,$D302,0))</f>
        <v/>
      </c>
      <c r="F302" s="6">
        <f>IF(Config!$G$23=0,0,IF(AND(ABS(($A302-Config!$F$23)/Config!$G$23)&gt;2,ABS(($A302-Config!$F$23)/Config!$G$23)&lt;=3),$D302,0))</f>
        <v/>
      </c>
      <c r="G302" s="6">
        <f>IF(Config!$G$23=0,0,IF(ABS(($A302-Config!$F$23)/Config!$G$23)&gt;3,$D302,0))</f>
        <v/>
      </c>
      <c r="H302" s="6">
        <f>IFERROR(NORM.DIST($A302,Config!$F$23,Config!$G$23,FALSE)*Config!$D$23*Config!$J$23,0)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IFERROR(NORM.DIST($A303,Config!$F$23,Config!$G$23,FALSE)*Config!$D$23*Config!$J$23,0)</f>
        <v/>
      </c>
    </row>
    <row r="304">
      <c r="A304" s="6">
        <f>Config!$K$23+14*Config!$J$23+Config!$J$23/2</f>
        <v/>
      </c>
      <c r="B304" s="6">
        <f>$A304-Config!$J$23/2</f>
        <v/>
      </c>
      <c r="C304" s="6">
        <f>$A304+Config!$J$23/2</f>
        <v/>
      </c>
      <c r="D304" s="6">
        <f>COUNTIFS(RawData!$C$2:$C$941,"MT",RawData!$P$2:$P$941,"&gt;="&amp;$B304,RawData!$P$2:$P$941,"&lt;"&amp;$C304,RawData!$P$2:$P$941,"&lt;&gt;0")</f>
        <v/>
      </c>
      <c r="E304" s="6">
        <f>IF(Config!$G$23=0,0,IF(ABS(($A304-Config!$F$23)/Config!$G$23)&lt;=2,$D304,0))</f>
        <v/>
      </c>
      <c r="F304" s="6">
        <f>IF(Config!$G$23=0,0,IF(AND(ABS(($A304-Config!$F$23)/Config!$G$23)&gt;2,ABS(($A304-Config!$F$23)/Config!$G$23)&lt;=3),$D304,0))</f>
        <v/>
      </c>
      <c r="G304" s="6">
        <f>IF(Config!$G$23=0,0,IF(ABS(($A304-Config!$F$23)/Config!$G$23)&gt;3,$D304,0))</f>
        <v/>
      </c>
      <c r="H304" s="6">
        <f>IFERROR(NORM.DIST($A304,Config!$F$23,Config!$G$23,FALSE)*Config!$D$23*Config!$J$23,0)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IFERROR(NORM.DIST($A305,Config!$F$23,Config!$G$23,FALSE)*Config!$D$23*Config!$J$23,0)</f>
        <v/>
      </c>
    </row>
    <row r="306">
      <c r="A306" s="6">
        <f>Config!$K$23+16*Config!$J$23+Config!$J$23/2</f>
        <v/>
      </c>
      <c r="B306" s="6">
        <f>$A306-Config!$J$23/2</f>
        <v/>
      </c>
      <c r="C306" s="6">
        <f>$A306+Config!$J$23/2</f>
        <v/>
      </c>
      <c r="D306" s="6">
        <f>COUNTIFS(RawData!$C$2:$C$941,"MT",RawData!$P$2:$P$941,"&gt;="&amp;$B306,RawData!$P$2:$P$941,"&lt;"&amp;$C306,RawData!$P$2:$P$941,"&lt;&gt;0")</f>
        <v/>
      </c>
      <c r="E306" s="6">
        <f>IF(Config!$G$23=0,0,IF(ABS(($A306-Config!$F$23)/Config!$G$23)&lt;=2,$D306,0))</f>
        <v/>
      </c>
      <c r="F306" s="6">
        <f>IF(Config!$G$23=0,0,IF(AND(ABS(($A306-Config!$F$23)/Config!$G$23)&gt;2,ABS(($A306-Config!$F$23)/Config!$G$23)&lt;=3),$D306,0))</f>
        <v/>
      </c>
      <c r="G306" s="6">
        <f>IF(Config!$G$23=0,0,IF(ABS(($A306-Config!$F$23)/Config!$G$23)&gt;3,$D306,0))</f>
        <v/>
      </c>
      <c r="H306" s="6">
        <f>IFERROR(NORM.DIST($A306,Config!$F$23,Config!$G$23,FALSE)*Config!$D$23*Config!$J$23,0)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IFERROR(NORM.DIST($A307,Config!$F$23,Config!$G$23,FALSE)*Config!$D$23*Config!$J$23,0)</f>
        <v/>
      </c>
    </row>
    <row r="308">
      <c r="A308" s="6">
        <f>Config!$K$23+18*Config!$J$23+Config!$J$23/2</f>
        <v/>
      </c>
      <c r="B308" s="6">
        <f>$A308-Config!$J$23/2</f>
        <v/>
      </c>
      <c r="C308" s="6">
        <f>$A308+Config!$J$23/2</f>
        <v/>
      </c>
      <c r="D308" s="6">
        <f>COUNTIFS(RawData!$C$2:$C$941,"MT",RawData!$P$2:$P$941,"&gt;="&amp;$B308,RawData!$P$2:$P$941,"&lt;"&amp;$C308,RawData!$P$2:$P$941,"&lt;&gt;0")</f>
        <v/>
      </c>
      <c r="E308" s="6">
        <f>IF(Config!$G$23=0,0,IF(ABS(($A308-Config!$F$23)/Config!$G$23)&lt;=2,$D308,0))</f>
        <v/>
      </c>
      <c r="F308" s="6">
        <f>IF(Config!$G$23=0,0,IF(AND(ABS(($A308-Config!$F$23)/Config!$G$23)&gt;2,ABS(($A308-Config!$F$23)/Config!$G$23)&lt;=3),$D308,0))</f>
        <v/>
      </c>
      <c r="G308" s="6">
        <f>IF(Config!$G$23=0,0,IF(ABS(($A308-Config!$F$23)/Config!$G$23)&gt;3,$D308,0))</f>
        <v/>
      </c>
      <c r="H308" s="6">
        <f>IFERROR(NORM.DIST($A308,Config!$F$23,Config!$G$23,FALSE)*Config!$D$23*Config!$J$23,0)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IFERROR(NORM.DIST($A309,Config!$F$23,Config!$G$23,FALSE)*Config!$D$23*Config!$J$23,0)</f>
        <v/>
      </c>
    </row>
    <row r="310">
      <c r="A310" s="6">
        <f>Config!$K$23+20*Config!$J$23+Config!$J$23/2</f>
        <v/>
      </c>
      <c r="B310" s="6">
        <f>$A310-Config!$J$23/2</f>
        <v/>
      </c>
      <c r="C310" s="6">
        <f>$A310+Config!$J$23/2</f>
        <v/>
      </c>
      <c r="D310" s="6">
        <f>COUNTIFS(RawData!$C$2:$C$941,"MT",RawData!$P$2:$P$941,"&gt;="&amp;$B310,RawData!$P$2:$P$941,"&lt;"&amp;$C310,RawData!$P$2:$P$941,"&lt;&gt;0")</f>
        <v/>
      </c>
      <c r="E310" s="6">
        <f>IF(Config!$G$23=0,0,IF(ABS(($A310-Config!$F$23)/Config!$G$23)&lt;=2,$D310,0))</f>
        <v/>
      </c>
      <c r="F310" s="6">
        <f>IF(Config!$G$23=0,0,IF(AND(ABS(($A310-Config!$F$23)/Config!$G$23)&gt;2,ABS(($A310-Config!$F$23)/Config!$G$23)&lt;=3),$D310,0))</f>
        <v/>
      </c>
      <c r="G310" s="6">
        <f>IF(Config!$G$23=0,0,IF(ABS(($A310-Config!$F$23)/Config!$G$23)&gt;3,$D310,0))</f>
        <v/>
      </c>
      <c r="H310" s="6">
        <f>IFERROR(NORM.DIST($A310,Config!$F$23,Config!$G$23,FALSE)*Config!$D$23*Config!$J$23,0)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IFERROR(NORM.DIST($A311,Config!$F$23,Config!$G$23,FALSE)*Config!$D$23*Config!$J$23,0)</f>
        <v/>
      </c>
    </row>
    <row r="312">
      <c r="A312" s="6">
        <f>Config!$K$23+22*Config!$J$23+Config!$J$23/2</f>
        <v/>
      </c>
      <c r="B312" s="6">
        <f>$A312-Config!$J$23/2</f>
        <v/>
      </c>
      <c r="C312" s="6">
        <f>$A312+Config!$J$23/2</f>
        <v/>
      </c>
      <c r="D312" s="6">
        <f>COUNTIFS(RawData!$C$2:$C$941,"MT",RawData!$P$2:$P$941,"&gt;="&amp;$B312,RawData!$P$2:$P$941,"&lt;"&amp;$C312,RawData!$P$2:$P$941,"&lt;&gt;0")</f>
        <v/>
      </c>
      <c r="E312" s="6">
        <f>IF(Config!$G$23=0,0,IF(ABS(($A312-Config!$F$23)/Config!$G$23)&lt;=2,$D312,0))</f>
        <v/>
      </c>
      <c r="F312" s="6">
        <f>IF(Config!$G$23=0,0,IF(AND(ABS(($A312-Config!$F$23)/Config!$G$23)&gt;2,ABS(($A312-Config!$F$23)/Config!$G$23)&lt;=3),$D312,0))</f>
        <v/>
      </c>
      <c r="G312" s="6">
        <f>IF(Config!$G$23=0,0,IF(ABS(($A312-Config!$F$23)/Config!$G$23)&gt;3,$D312,0))</f>
        <v/>
      </c>
      <c r="H312" s="6">
        <f>IFERROR(NORM.DIST($A312,Config!$F$23,Config!$G$23,FALSE)*Config!$D$23*Config!$J$23,0)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IFERROR(NORM.DIST($A313,Config!$F$23,Config!$G$23,FALSE)*Config!$D$23*Config!$J$23,0)</f>
        <v/>
      </c>
    </row>
    <row r="314">
      <c r="A314" s="6">
        <f>Config!$K$23+24*Config!$J$23+Config!$J$23/2</f>
        <v/>
      </c>
      <c r="B314" s="6">
        <f>$A314-Config!$J$23/2</f>
        <v/>
      </c>
      <c r="C314" s="6">
        <f>$A314+Config!$J$23/2</f>
        <v/>
      </c>
      <c r="D314" s="6">
        <f>COUNTIFS(RawData!$C$2:$C$941,"MT",RawData!$P$2:$P$941,"&gt;="&amp;$B314,RawData!$P$2:$P$941,"&lt;"&amp;$C314,RawData!$P$2:$P$941,"&lt;&gt;0")</f>
        <v/>
      </c>
      <c r="E314" s="6">
        <f>IF(Config!$G$23=0,0,IF(ABS(($A314-Config!$F$23)/Config!$G$23)&lt;=2,$D314,0))</f>
        <v/>
      </c>
      <c r="F314" s="6">
        <f>IF(Config!$G$23=0,0,IF(AND(ABS(($A314-Config!$F$23)/Config!$G$23)&gt;2,ABS(($A314-Config!$F$23)/Config!$G$23)&lt;=3),$D314,0))</f>
        <v/>
      </c>
      <c r="G314" s="6">
        <f>IF(Config!$G$23=0,0,IF(ABS(($A314-Config!$F$23)/Config!$G$23)&gt;3,$D314,0))</f>
        <v/>
      </c>
      <c r="H314" s="6">
        <f>IFERROR(NORM.DIST($A314,Config!$F$23,Config!$G$23,FALSE)*Config!$D$23*Config!$J$23,0)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IFERROR(NORM.DIST($A315,Config!$F$23,Config!$G$23,FALSE)*Config!$D$23*Config!$J$23,0)</f>
        <v/>
      </c>
    </row>
    <row r="316">
      <c r="A316" s="6">
        <f>Config!$K$23+26*Config!$J$23+Config!$J$23/2</f>
        <v/>
      </c>
      <c r="B316" s="6">
        <f>$A316-Config!$J$23/2</f>
        <v/>
      </c>
      <c r="C316" s="6">
        <f>$A316+Config!$J$23/2</f>
        <v/>
      </c>
      <c r="D316" s="6">
        <f>COUNTIFS(RawData!$C$2:$C$941,"MT",RawData!$P$2:$P$941,"&gt;="&amp;$B316,RawData!$P$2:$P$941,"&lt;"&amp;$C316,RawData!$P$2:$P$941,"&lt;&gt;0")</f>
        <v/>
      </c>
      <c r="E316" s="6">
        <f>IF(Config!$G$23=0,0,IF(ABS(($A316-Config!$F$23)/Config!$G$23)&lt;=2,$D316,0))</f>
        <v/>
      </c>
      <c r="F316" s="6">
        <f>IF(Config!$G$23=0,0,IF(AND(ABS(($A316-Config!$F$23)/Config!$G$23)&gt;2,ABS(($A316-Config!$F$23)/Config!$G$23)&lt;=3),$D316,0))</f>
        <v/>
      </c>
      <c r="G316" s="6">
        <f>IF(Config!$G$23=0,0,IF(ABS(($A316-Config!$F$23)/Config!$G$23)&gt;3,$D316,0))</f>
        <v/>
      </c>
      <c r="H316" s="6">
        <f>IFERROR(NORM.DIST($A316,Config!$F$23,Config!$G$23,FALSE)*Config!$D$23*Config!$J$23,0)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IFERROR(NORM.DIST($A317,Config!$F$23,Config!$G$23,FALSE)*Config!$D$23*Config!$J$23,0)</f>
        <v/>
      </c>
    </row>
    <row r="318">
      <c r="A318" s="6">
        <f>Config!$K$23+28*Config!$J$23+Config!$J$23/2</f>
        <v/>
      </c>
      <c r="B318" s="6">
        <f>$A318-Config!$J$23/2</f>
        <v/>
      </c>
      <c r="C318" s="6">
        <f>$A318+Config!$J$23/2</f>
        <v/>
      </c>
      <c r="D318" s="6">
        <f>COUNTIFS(RawData!$C$2:$C$941,"MT",RawData!$P$2:$P$941,"&gt;="&amp;$B318,RawData!$P$2:$P$941,"&lt;"&amp;$C318,RawData!$P$2:$P$941,"&lt;&gt;0")</f>
        <v/>
      </c>
      <c r="E318" s="6">
        <f>IF(Config!$G$23=0,0,IF(ABS(($A318-Config!$F$23)/Config!$G$23)&lt;=2,$D318,0))</f>
        <v/>
      </c>
      <c r="F318" s="6">
        <f>IF(Config!$G$23=0,0,IF(AND(ABS(($A318-Config!$F$23)/Config!$G$23)&gt;2,ABS(($A318-Config!$F$23)/Config!$G$23)&lt;=3),$D318,0))</f>
        <v/>
      </c>
      <c r="G318" s="6">
        <f>IF(Config!$G$23=0,0,IF(ABS(($A318-Config!$F$23)/Config!$G$23)&gt;3,$D318,0))</f>
        <v/>
      </c>
      <c r="H318" s="6">
        <f>IFERROR(NORM.DIST($A318,Config!$F$23,Config!$G$23,FALSE)*Config!$D$23*Config!$J$23,0)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IFERROR(NORM.DIST($A319,Config!$F$23,Config!$G$23,FALSE)*Config!$D$23*Config!$J$23,0)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Config!$K$24+0*Config!$J$24+Config!$J$24/2</f>
        <v/>
      </c>
      <c r="B322" s="6">
        <f>$A322-Config!$J$24/2</f>
        <v/>
      </c>
      <c r="C322" s="6">
        <f>$A322+Config!$J$24/2</f>
        <v/>
      </c>
      <c r="D322" s="6">
        <f>COUNTIFS(RawData!$C$2:$C$941,"MT",RawData!$Q$2:$Q$941,"&gt;="&amp;$B322,RawData!$Q$2:$Q$941,"&lt;"&amp;$C322,RawData!$Q$2:$Q$941,"&lt;&gt;0")</f>
        <v/>
      </c>
      <c r="E322" s="6">
        <f>IF(Config!$G$24=0,0,IF(ABS(($A322-Config!$F$24)/Config!$G$24)&lt;=2,$D322,0))</f>
        <v/>
      </c>
      <c r="F322" s="6">
        <f>IF(Config!$G$24=0,0,IF(AND(ABS(($A322-Config!$F$24)/Config!$G$24)&gt;2,ABS(($A322-Config!$F$24)/Config!$G$24)&lt;=3),$D322,0))</f>
        <v/>
      </c>
      <c r="G322" s="6">
        <f>IF(Config!$G$24=0,0,IF(ABS(($A322-Config!$F$24)/Config!$G$24)&gt;3,$D322,0))</f>
        <v/>
      </c>
      <c r="H322" s="6">
        <f>IFERROR(NORM.DIST($A322,Config!$F$24,Config!$G$24,FALSE)*Config!$D$24*Config!$J$24,0)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IFERROR(NORM.DIST($A323,Config!$F$24,Config!$G$24,FALSE)*Config!$D$24*Config!$J$24,0)</f>
        <v/>
      </c>
    </row>
    <row r="324">
      <c r="A324" s="6">
        <f>Config!$K$24+2*Config!$J$24+Config!$J$24/2</f>
        <v/>
      </c>
      <c r="B324" s="6">
        <f>$A324-Config!$J$24/2</f>
        <v/>
      </c>
      <c r="C324" s="6">
        <f>$A324+Config!$J$24/2</f>
        <v/>
      </c>
      <c r="D324" s="6">
        <f>COUNTIFS(RawData!$C$2:$C$941,"MT",RawData!$Q$2:$Q$941,"&gt;="&amp;$B324,RawData!$Q$2:$Q$941,"&lt;"&amp;$C324,RawData!$Q$2:$Q$941,"&lt;&gt;0")</f>
        <v/>
      </c>
      <c r="E324" s="6">
        <f>IF(Config!$G$24=0,0,IF(ABS(($A324-Config!$F$24)/Config!$G$24)&lt;=2,$D324,0))</f>
        <v/>
      </c>
      <c r="F324" s="6">
        <f>IF(Config!$G$24=0,0,IF(AND(ABS(($A324-Config!$F$24)/Config!$G$24)&gt;2,ABS(($A324-Config!$F$24)/Config!$G$24)&lt;=3),$D324,0))</f>
        <v/>
      </c>
      <c r="G324" s="6">
        <f>IF(Config!$G$24=0,0,IF(ABS(($A324-Config!$F$24)/Config!$G$24)&gt;3,$D324,0))</f>
        <v/>
      </c>
      <c r="H324" s="6">
        <f>IFERROR(NORM.DIST($A324,Config!$F$24,Config!$G$24,FALSE)*Config!$D$24*Config!$J$24,0)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IFERROR(NORM.DIST($A325,Config!$F$24,Config!$G$24,FALSE)*Config!$D$24*Config!$J$24,0)</f>
        <v/>
      </c>
    </row>
    <row r="326">
      <c r="A326" s="6">
        <f>Config!$K$24+4*Config!$J$24+Config!$J$24/2</f>
        <v/>
      </c>
      <c r="B326" s="6">
        <f>$A326-Config!$J$24/2</f>
        <v/>
      </c>
      <c r="C326" s="6">
        <f>$A326+Config!$J$24/2</f>
        <v/>
      </c>
      <c r="D326" s="6">
        <f>COUNTIFS(RawData!$C$2:$C$941,"MT",RawData!$Q$2:$Q$941,"&gt;="&amp;$B326,RawData!$Q$2:$Q$941,"&lt;"&amp;$C326,RawData!$Q$2:$Q$941,"&lt;&gt;0")</f>
        <v/>
      </c>
      <c r="E326" s="6">
        <f>IF(Config!$G$24=0,0,IF(ABS(($A326-Config!$F$24)/Config!$G$24)&lt;=2,$D326,0))</f>
        <v/>
      </c>
      <c r="F326" s="6">
        <f>IF(Config!$G$24=0,0,IF(AND(ABS(($A326-Config!$F$24)/Config!$G$24)&gt;2,ABS(($A326-Config!$F$24)/Config!$G$24)&lt;=3),$D326,0))</f>
        <v/>
      </c>
      <c r="G326" s="6">
        <f>IF(Config!$G$24=0,0,IF(ABS(($A326-Config!$F$24)/Config!$G$24)&gt;3,$D326,0))</f>
        <v/>
      </c>
      <c r="H326" s="6">
        <f>IFERROR(NORM.DIST($A326,Config!$F$24,Config!$G$24,FALSE)*Config!$D$24*Config!$J$24,0)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IFERROR(NORM.DIST($A327,Config!$F$24,Config!$G$24,FALSE)*Config!$D$24*Config!$J$24,0)</f>
        <v/>
      </c>
    </row>
    <row r="328">
      <c r="A328" s="6">
        <f>Config!$K$24+6*Config!$J$24+Config!$J$24/2</f>
        <v/>
      </c>
      <c r="B328" s="6">
        <f>$A328-Config!$J$24/2</f>
        <v/>
      </c>
      <c r="C328" s="6">
        <f>$A328+Config!$J$24/2</f>
        <v/>
      </c>
      <c r="D328" s="6">
        <f>COUNTIFS(RawData!$C$2:$C$941,"MT",RawData!$Q$2:$Q$941,"&gt;="&amp;$B328,RawData!$Q$2:$Q$941,"&lt;"&amp;$C328,RawData!$Q$2:$Q$941,"&lt;&gt;0")</f>
        <v/>
      </c>
      <c r="E328" s="6">
        <f>IF(Config!$G$24=0,0,IF(ABS(($A328-Config!$F$24)/Config!$G$24)&lt;=2,$D328,0))</f>
        <v/>
      </c>
      <c r="F328" s="6">
        <f>IF(Config!$G$24=0,0,IF(AND(ABS(($A328-Config!$F$24)/Config!$G$24)&gt;2,ABS(($A328-Config!$F$24)/Config!$G$24)&lt;=3),$D328,0))</f>
        <v/>
      </c>
      <c r="G328" s="6">
        <f>IF(Config!$G$24=0,0,IF(ABS(($A328-Config!$F$24)/Config!$G$24)&gt;3,$D328,0))</f>
        <v/>
      </c>
      <c r="H328" s="6">
        <f>IFERROR(NORM.DIST($A328,Config!$F$24,Config!$G$24,FALSE)*Config!$D$24*Config!$J$24,0)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IFERROR(NORM.DIST($A329,Config!$F$24,Config!$G$24,FALSE)*Config!$D$24*Config!$J$24,0)</f>
        <v/>
      </c>
    </row>
    <row r="330">
      <c r="A330" s="6">
        <f>Config!$K$24+8*Config!$J$24+Config!$J$24/2</f>
        <v/>
      </c>
      <c r="B330" s="6">
        <f>$A330-Config!$J$24/2</f>
        <v/>
      </c>
      <c r="C330" s="6">
        <f>$A330+Config!$J$24/2</f>
        <v/>
      </c>
      <c r="D330" s="6">
        <f>COUNTIFS(RawData!$C$2:$C$941,"MT",RawData!$Q$2:$Q$941,"&gt;="&amp;$B330,RawData!$Q$2:$Q$941,"&lt;"&amp;$C330,RawData!$Q$2:$Q$941,"&lt;&gt;0")</f>
        <v/>
      </c>
      <c r="E330" s="6">
        <f>IF(Config!$G$24=0,0,IF(ABS(($A330-Config!$F$24)/Config!$G$24)&lt;=2,$D330,0))</f>
        <v/>
      </c>
      <c r="F330" s="6">
        <f>IF(Config!$G$24=0,0,IF(AND(ABS(($A330-Config!$F$24)/Config!$G$24)&gt;2,ABS(($A330-Config!$F$24)/Config!$G$24)&lt;=3),$D330,0))</f>
        <v/>
      </c>
      <c r="G330" s="6">
        <f>IF(Config!$G$24=0,0,IF(ABS(($A330-Config!$F$24)/Config!$G$24)&gt;3,$D330,0))</f>
        <v/>
      </c>
      <c r="H330" s="6">
        <f>IFERROR(NORM.DIST($A330,Config!$F$24,Config!$G$24,FALSE)*Config!$D$24*Config!$J$24,0)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IFERROR(NORM.DIST($A331,Config!$F$24,Config!$G$24,FALSE)*Config!$D$24*Config!$J$24,0)</f>
        <v/>
      </c>
    </row>
    <row r="332">
      <c r="A332" s="6">
        <f>Config!$K$24+10*Config!$J$24+Config!$J$24/2</f>
        <v/>
      </c>
      <c r="B332" s="6">
        <f>$A332-Config!$J$24/2</f>
        <v/>
      </c>
      <c r="C332" s="6">
        <f>$A332+Config!$J$24/2</f>
        <v/>
      </c>
      <c r="D332" s="6">
        <f>COUNTIFS(RawData!$C$2:$C$941,"MT",RawData!$Q$2:$Q$941,"&gt;="&amp;$B332,RawData!$Q$2:$Q$941,"&lt;"&amp;$C332,RawData!$Q$2:$Q$941,"&lt;&gt;0")</f>
        <v/>
      </c>
      <c r="E332" s="6">
        <f>IF(Config!$G$24=0,0,IF(ABS(($A332-Config!$F$24)/Config!$G$24)&lt;=2,$D332,0))</f>
        <v/>
      </c>
      <c r="F332" s="6">
        <f>IF(Config!$G$24=0,0,IF(AND(ABS(($A332-Config!$F$24)/Config!$G$24)&gt;2,ABS(($A332-Config!$F$24)/Config!$G$24)&lt;=3),$D332,0))</f>
        <v/>
      </c>
      <c r="G332" s="6">
        <f>IF(Config!$G$24=0,0,IF(ABS(($A332-Config!$F$24)/Config!$G$24)&gt;3,$D332,0))</f>
        <v/>
      </c>
      <c r="H332" s="6">
        <f>IFERROR(NORM.DIST($A332,Config!$F$24,Config!$G$24,FALSE)*Config!$D$24*Config!$J$24,0)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IFERROR(NORM.DIST($A333,Config!$F$24,Config!$G$24,FALSE)*Config!$D$24*Config!$J$24,0)</f>
        <v/>
      </c>
    </row>
    <row r="334">
      <c r="A334" s="6">
        <f>Config!$K$24+12*Config!$J$24+Config!$J$24/2</f>
        <v/>
      </c>
      <c r="B334" s="6">
        <f>$A334-Config!$J$24/2</f>
        <v/>
      </c>
      <c r="C334" s="6">
        <f>$A334+Config!$J$24/2</f>
        <v/>
      </c>
      <c r="D334" s="6">
        <f>COUNTIFS(RawData!$C$2:$C$941,"MT",RawData!$Q$2:$Q$941,"&gt;="&amp;$B334,RawData!$Q$2:$Q$941,"&lt;"&amp;$C334,RawData!$Q$2:$Q$941,"&lt;&gt;0")</f>
        <v/>
      </c>
      <c r="E334" s="6">
        <f>IF(Config!$G$24=0,0,IF(ABS(($A334-Config!$F$24)/Config!$G$24)&lt;=2,$D334,0))</f>
        <v/>
      </c>
      <c r="F334" s="6">
        <f>IF(Config!$G$24=0,0,IF(AND(ABS(($A334-Config!$F$24)/Config!$G$24)&gt;2,ABS(($A334-Config!$F$24)/Config!$G$24)&lt;=3),$D334,0))</f>
        <v/>
      </c>
      <c r="G334" s="6">
        <f>IF(Config!$G$24=0,0,IF(ABS(($A334-Config!$F$24)/Config!$G$24)&gt;3,$D334,0))</f>
        <v/>
      </c>
      <c r="H334" s="6">
        <f>IFERROR(NORM.DIST($A334,Config!$F$24,Config!$G$24,FALSE)*Config!$D$24*Config!$J$24,0)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IFERROR(NORM.DIST($A335,Config!$F$24,Config!$G$24,FALSE)*Config!$D$24*Config!$J$24,0)</f>
        <v/>
      </c>
    </row>
    <row r="336">
      <c r="A336" s="6">
        <f>Config!$K$24+14*Config!$J$24+Config!$J$24/2</f>
        <v/>
      </c>
      <c r="B336" s="6">
        <f>$A336-Config!$J$24/2</f>
        <v/>
      </c>
      <c r="C336" s="6">
        <f>$A336+Config!$J$24/2</f>
        <v/>
      </c>
      <c r="D336" s="6">
        <f>COUNTIFS(RawData!$C$2:$C$941,"MT",RawData!$Q$2:$Q$941,"&gt;="&amp;$B336,RawData!$Q$2:$Q$941,"&lt;"&amp;$C336,RawData!$Q$2:$Q$941,"&lt;&gt;0")</f>
        <v/>
      </c>
      <c r="E336" s="6">
        <f>IF(Config!$G$24=0,0,IF(ABS(($A336-Config!$F$24)/Config!$G$24)&lt;=2,$D336,0))</f>
        <v/>
      </c>
      <c r="F336" s="6">
        <f>IF(Config!$G$24=0,0,IF(AND(ABS(($A336-Config!$F$24)/Config!$G$24)&gt;2,ABS(($A336-Config!$F$24)/Config!$G$24)&lt;=3),$D336,0))</f>
        <v/>
      </c>
      <c r="G336" s="6">
        <f>IF(Config!$G$24=0,0,IF(ABS(($A336-Config!$F$24)/Config!$G$24)&gt;3,$D336,0))</f>
        <v/>
      </c>
      <c r="H336" s="6">
        <f>IFERROR(NORM.DIST($A336,Config!$F$24,Config!$G$24,FALSE)*Config!$D$24*Config!$J$24,0)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IFERROR(NORM.DIST($A337,Config!$F$24,Config!$G$24,FALSE)*Config!$D$24*Config!$J$24,0)</f>
        <v/>
      </c>
    </row>
    <row r="338">
      <c r="A338" s="6">
        <f>Config!$K$24+16*Config!$J$24+Config!$J$24/2</f>
        <v/>
      </c>
      <c r="B338" s="6">
        <f>$A338-Config!$J$24/2</f>
        <v/>
      </c>
      <c r="C338" s="6">
        <f>$A338+Config!$J$24/2</f>
        <v/>
      </c>
      <c r="D338" s="6">
        <f>COUNTIFS(RawData!$C$2:$C$941,"MT",RawData!$Q$2:$Q$941,"&gt;="&amp;$B338,RawData!$Q$2:$Q$941,"&lt;"&amp;$C338,RawData!$Q$2:$Q$941,"&lt;&gt;0")</f>
        <v/>
      </c>
      <c r="E338" s="6">
        <f>IF(Config!$G$24=0,0,IF(ABS(($A338-Config!$F$24)/Config!$G$24)&lt;=2,$D338,0))</f>
        <v/>
      </c>
      <c r="F338" s="6">
        <f>IF(Config!$G$24=0,0,IF(AND(ABS(($A338-Config!$F$24)/Config!$G$24)&gt;2,ABS(($A338-Config!$F$24)/Config!$G$24)&lt;=3),$D338,0))</f>
        <v/>
      </c>
      <c r="G338" s="6">
        <f>IF(Config!$G$24=0,0,IF(ABS(($A338-Config!$F$24)/Config!$G$24)&gt;3,$D338,0))</f>
        <v/>
      </c>
      <c r="H338" s="6">
        <f>IFERROR(NORM.DIST($A338,Config!$F$24,Config!$G$24,FALSE)*Config!$D$24*Config!$J$24,0)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IFERROR(NORM.DIST($A339,Config!$F$24,Config!$G$24,FALSE)*Config!$D$24*Config!$J$24,0)</f>
        <v/>
      </c>
    </row>
    <row r="340">
      <c r="A340" s="6">
        <f>Config!$K$24+18*Config!$J$24+Config!$J$24/2</f>
        <v/>
      </c>
      <c r="B340" s="6">
        <f>$A340-Config!$J$24/2</f>
        <v/>
      </c>
      <c r="C340" s="6">
        <f>$A340+Config!$J$24/2</f>
        <v/>
      </c>
      <c r="D340" s="6">
        <f>COUNTIFS(RawData!$C$2:$C$941,"MT",RawData!$Q$2:$Q$941,"&gt;="&amp;$B340,RawData!$Q$2:$Q$941,"&lt;"&amp;$C340,RawData!$Q$2:$Q$941,"&lt;&gt;0")</f>
        <v/>
      </c>
      <c r="E340" s="6">
        <f>IF(Config!$G$24=0,0,IF(ABS(($A340-Config!$F$24)/Config!$G$24)&lt;=2,$D340,0))</f>
        <v/>
      </c>
      <c r="F340" s="6">
        <f>IF(Config!$G$24=0,0,IF(AND(ABS(($A340-Config!$F$24)/Config!$G$24)&gt;2,ABS(($A340-Config!$F$24)/Config!$G$24)&lt;=3),$D340,0))</f>
        <v/>
      </c>
      <c r="G340" s="6">
        <f>IF(Config!$G$24=0,0,IF(ABS(($A340-Config!$F$24)/Config!$G$24)&gt;3,$D340,0))</f>
        <v/>
      </c>
      <c r="H340" s="6">
        <f>IFERROR(NORM.DIST($A340,Config!$F$24,Config!$G$24,FALSE)*Config!$D$24*Config!$J$24,0)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IFERROR(NORM.DIST($A341,Config!$F$24,Config!$G$24,FALSE)*Config!$D$24*Config!$J$24,0)</f>
        <v/>
      </c>
    </row>
    <row r="342">
      <c r="A342" s="6">
        <f>Config!$K$24+20*Config!$J$24+Config!$J$24/2</f>
        <v/>
      </c>
      <c r="B342" s="6">
        <f>$A342-Config!$J$24/2</f>
        <v/>
      </c>
      <c r="C342" s="6">
        <f>$A342+Config!$J$24/2</f>
        <v/>
      </c>
      <c r="D342" s="6">
        <f>COUNTIFS(RawData!$C$2:$C$941,"MT",RawData!$Q$2:$Q$941,"&gt;="&amp;$B342,RawData!$Q$2:$Q$941,"&lt;"&amp;$C342,RawData!$Q$2:$Q$941,"&lt;&gt;0")</f>
        <v/>
      </c>
      <c r="E342" s="6">
        <f>IF(Config!$G$24=0,0,IF(ABS(($A342-Config!$F$24)/Config!$G$24)&lt;=2,$D342,0))</f>
        <v/>
      </c>
      <c r="F342" s="6">
        <f>IF(Config!$G$24=0,0,IF(AND(ABS(($A342-Config!$F$24)/Config!$G$24)&gt;2,ABS(($A342-Config!$F$24)/Config!$G$24)&lt;=3),$D342,0))</f>
        <v/>
      </c>
      <c r="G342" s="6">
        <f>IF(Config!$G$24=0,0,IF(ABS(($A342-Config!$F$24)/Config!$G$24)&gt;3,$D342,0))</f>
        <v/>
      </c>
      <c r="H342" s="6">
        <f>IFERROR(NORM.DIST($A342,Config!$F$24,Config!$G$24,FALSE)*Config!$D$24*Config!$J$24,0)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IFERROR(NORM.DIST($A343,Config!$F$24,Config!$G$24,FALSE)*Config!$D$24*Config!$J$24,0)</f>
        <v/>
      </c>
    </row>
    <row r="344">
      <c r="A344" s="6">
        <f>Config!$K$24+22*Config!$J$24+Config!$J$24/2</f>
        <v/>
      </c>
      <c r="B344" s="6">
        <f>$A344-Config!$J$24/2</f>
        <v/>
      </c>
      <c r="C344" s="6">
        <f>$A344+Config!$J$24/2</f>
        <v/>
      </c>
      <c r="D344" s="6">
        <f>COUNTIFS(RawData!$C$2:$C$941,"MT",RawData!$Q$2:$Q$941,"&gt;="&amp;$B344,RawData!$Q$2:$Q$941,"&lt;"&amp;$C344,RawData!$Q$2:$Q$941,"&lt;&gt;0")</f>
        <v/>
      </c>
      <c r="E344" s="6">
        <f>IF(Config!$G$24=0,0,IF(ABS(($A344-Config!$F$24)/Config!$G$24)&lt;=2,$D344,0))</f>
        <v/>
      </c>
      <c r="F344" s="6">
        <f>IF(Config!$G$24=0,0,IF(AND(ABS(($A344-Config!$F$24)/Config!$G$24)&gt;2,ABS(($A344-Config!$F$24)/Config!$G$24)&lt;=3),$D344,0))</f>
        <v/>
      </c>
      <c r="G344" s="6">
        <f>IF(Config!$G$24=0,0,IF(ABS(($A344-Config!$F$24)/Config!$G$24)&gt;3,$D344,0))</f>
        <v/>
      </c>
      <c r="H344" s="6">
        <f>IFERROR(NORM.DIST($A344,Config!$F$24,Config!$G$24,FALSE)*Config!$D$24*Config!$J$24,0)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IFERROR(NORM.DIST($A345,Config!$F$24,Config!$G$24,FALSE)*Config!$D$24*Config!$J$24,0)</f>
        <v/>
      </c>
    </row>
    <row r="346">
      <c r="A346" s="6">
        <f>Config!$K$24+24*Config!$J$24+Config!$J$24/2</f>
        <v/>
      </c>
      <c r="B346" s="6">
        <f>$A346-Config!$J$24/2</f>
        <v/>
      </c>
      <c r="C346" s="6">
        <f>$A346+Config!$J$24/2</f>
        <v/>
      </c>
      <c r="D346" s="6">
        <f>COUNTIFS(RawData!$C$2:$C$941,"MT",RawData!$Q$2:$Q$941,"&gt;="&amp;$B346,RawData!$Q$2:$Q$941,"&lt;"&amp;$C346,RawData!$Q$2:$Q$941,"&lt;&gt;0")</f>
        <v/>
      </c>
      <c r="E346" s="6">
        <f>IF(Config!$G$24=0,0,IF(ABS(($A346-Config!$F$24)/Config!$G$24)&lt;=2,$D346,0))</f>
        <v/>
      </c>
      <c r="F346" s="6">
        <f>IF(Config!$G$24=0,0,IF(AND(ABS(($A346-Config!$F$24)/Config!$G$24)&gt;2,ABS(($A346-Config!$F$24)/Config!$G$24)&lt;=3),$D346,0))</f>
        <v/>
      </c>
      <c r="G346" s="6">
        <f>IF(Config!$G$24=0,0,IF(ABS(($A346-Config!$F$24)/Config!$G$24)&gt;3,$D346,0))</f>
        <v/>
      </c>
      <c r="H346" s="6">
        <f>IFERROR(NORM.DIST($A346,Config!$F$24,Config!$G$24,FALSE)*Config!$D$24*Config!$J$24,0)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IFERROR(NORM.DIST($A347,Config!$F$24,Config!$G$24,FALSE)*Config!$D$24*Config!$J$24,0)</f>
        <v/>
      </c>
    </row>
    <row r="348">
      <c r="A348" s="6">
        <f>Config!$K$24+26*Config!$J$24+Config!$J$24/2</f>
        <v/>
      </c>
      <c r="B348" s="6">
        <f>$A348-Config!$J$24/2</f>
        <v/>
      </c>
      <c r="C348" s="6">
        <f>$A348+Config!$J$24/2</f>
        <v/>
      </c>
      <c r="D348" s="6">
        <f>COUNTIFS(RawData!$C$2:$C$941,"MT",RawData!$Q$2:$Q$941,"&gt;="&amp;$B348,RawData!$Q$2:$Q$941,"&lt;"&amp;$C348,RawData!$Q$2:$Q$941,"&lt;&gt;0")</f>
        <v/>
      </c>
      <c r="E348" s="6">
        <f>IF(Config!$G$24=0,0,IF(ABS(($A348-Config!$F$24)/Config!$G$24)&lt;=2,$D348,0))</f>
        <v/>
      </c>
      <c r="F348" s="6">
        <f>IF(Config!$G$24=0,0,IF(AND(ABS(($A348-Config!$F$24)/Config!$G$24)&gt;2,ABS(($A348-Config!$F$24)/Config!$G$24)&lt;=3),$D348,0))</f>
        <v/>
      </c>
      <c r="G348" s="6">
        <f>IF(Config!$G$24=0,0,IF(ABS(($A348-Config!$F$24)/Config!$G$24)&gt;3,$D348,0))</f>
        <v/>
      </c>
      <c r="H348" s="6">
        <f>IFERROR(NORM.DIST($A348,Config!$F$24,Config!$G$24,FALSE)*Config!$D$24*Config!$J$24,0)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IFERROR(NORM.DIST($A349,Config!$F$24,Config!$G$24,FALSE)*Config!$D$24*Config!$J$24,0)</f>
        <v/>
      </c>
    </row>
    <row r="350">
      <c r="A350" s="6">
        <f>Config!$K$24+28*Config!$J$24+Config!$J$24/2</f>
        <v/>
      </c>
      <c r="B350" s="6">
        <f>$A350-Config!$J$24/2</f>
        <v/>
      </c>
      <c r="C350" s="6">
        <f>$A350+Config!$J$24/2</f>
        <v/>
      </c>
      <c r="D350" s="6">
        <f>COUNTIFS(RawData!$C$2:$C$941,"MT",RawData!$Q$2:$Q$941,"&gt;="&amp;$B350,RawData!$Q$2:$Q$941,"&lt;"&amp;$C350,RawData!$Q$2:$Q$941,"&lt;&gt;0")</f>
        <v/>
      </c>
      <c r="E350" s="6">
        <f>IF(Config!$G$24=0,0,IF(ABS(($A350-Config!$F$24)/Config!$G$24)&lt;=2,$D350,0))</f>
        <v/>
      </c>
      <c r="F350" s="6">
        <f>IF(Config!$G$24=0,0,IF(AND(ABS(($A350-Config!$F$24)/Config!$G$24)&gt;2,ABS(($A350-Config!$F$24)/Config!$G$24)&lt;=3),$D350,0))</f>
        <v/>
      </c>
      <c r="G350" s="6">
        <f>IF(Config!$G$24=0,0,IF(ABS(($A350-Config!$F$24)/Config!$G$24)&gt;3,$D350,0))</f>
        <v/>
      </c>
      <c r="H350" s="6">
        <f>IFERROR(NORM.DIST($A350,Config!$F$24,Config!$G$24,FALSE)*Config!$D$24*Config!$J$24,0)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IFERROR(NORM.DIST($A351,Config!$F$24,Config!$G$24,FALSE)*Config!$D$24*Config!$J$24,0)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Config!$K$25+0*Config!$J$25+Config!$J$25/2</f>
        <v/>
      </c>
      <c r="B354" s="6">
        <f>$A354-Config!$J$25/2</f>
        <v/>
      </c>
      <c r="C354" s="6">
        <f>$A354+Config!$J$25/2</f>
        <v/>
      </c>
      <c r="D354" s="6">
        <f>COUNTIFS(RawData!$C$2:$C$941,"MT",RawData!$R$2:$R$941,"&gt;="&amp;$B354,RawData!$R$2:$R$941,"&lt;"&amp;$C354,RawData!$R$2:$R$941,"&lt;&gt;0")</f>
        <v/>
      </c>
      <c r="E354" s="6">
        <f>IF(Config!$G$25=0,0,IF(ABS(($A354-Config!$F$25)/Config!$G$25)&lt;=2,$D354,0))</f>
        <v/>
      </c>
      <c r="F354" s="6">
        <f>IF(Config!$G$25=0,0,IF(AND(ABS(($A354-Config!$F$25)/Config!$G$25)&gt;2,ABS(($A354-Config!$F$25)/Config!$G$25)&lt;=3),$D354,0))</f>
        <v/>
      </c>
      <c r="G354" s="6">
        <f>IF(Config!$G$25=0,0,IF(ABS(($A354-Config!$F$25)/Config!$G$25)&gt;3,$D354,0))</f>
        <v/>
      </c>
      <c r="H354" s="6">
        <f>IFERROR(NORM.DIST($A354,Config!$F$25,Config!$G$25,FALSE)*Config!$D$25*Config!$J$25,0)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IFERROR(NORM.DIST($A355,Config!$F$25,Config!$G$25,FALSE)*Config!$D$25*Config!$J$25,0)</f>
        <v/>
      </c>
    </row>
    <row r="356">
      <c r="A356" s="6">
        <f>Config!$K$25+2*Config!$J$25+Config!$J$25/2</f>
        <v/>
      </c>
      <c r="B356" s="6">
        <f>$A356-Config!$J$25/2</f>
        <v/>
      </c>
      <c r="C356" s="6">
        <f>$A356+Config!$J$25/2</f>
        <v/>
      </c>
      <c r="D356" s="6">
        <f>COUNTIFS(RawData!$C$2:$C$941,"MT",RawData!$R$2:$R$941,"&gt;="&amp;$B356,RawData!$R$2:$R$941,"&lt;"&amp;$C356,RawData!$R$2:$R$941,"&lt;&gt;0")</f>
        <v/>
      </c>
      <c r="E356" s="6">
        <f>IF(Config!$G$25=0,0,IF(ABS(($A356-Config!$F$25)/Config!$G$25)&lt;=2,$D356,0))</f>
        <v/>
      </c>
      <c r="F356" s="6">
        <f>IF(Config!$G$25=0,0,IF(AND(ABS(($A356-Config!$F$25)/Config!$G$25)&gt;2,ABS(($A356-Config!$F$25)/Config!$G$25)&lt;=3),$D356,0))</f>
        <v/>
      </c>
      <c r="G356" s="6">
        <f>IF(Config!$G$25=0,0,IF(ABS(($A356-Config!$F$25)/Config!$G$25)&gt;3,$D356,0))</f>
        <v/>
      </c>
      <c r="H356" s="6">
        <f>IFERROR(NORM.DIST($A356,Config!$F$25,Config!$G$25,FALSE)*Config!$D$25*Config!$J$25,0)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IFERROR(NORM.DIST($A357,Config!$F$25,Config!$G$25,FALSE)*Config!$D$25*Config!$J$25,0)</f>
        <v/>
      </c>
    </row>
    <row r="358">
      <c r="A358" s="6">
        <f>Config!$K$25+4*Config!$J$25+Config!$J$25/2</f>
        <v/>
      </c>
      <c r="B358" s="6">
        <f>$A358-Config!$J$25/2</f>
        <v/>
      </c>
      <c r="C358" s="6">
        <f>$A358+Config!$J$25/2</f>
        <v/>
      </c>
      <c r="D358" s="6">
        <f>COUNTIFS(RawData!$C$2:$C$941,"MT",RawData!$R$2:$R$941,"&gt;="&amp;$B358,RawData!$R$2:$R$941,"&lt;"&amp;$C358,RawData!$R$2:$R$941,"&lt;&gt;0")</f>
        <v/>
      </c>
      <c r="E358" s="6">
        <f>IF(Config!$G$25=0,0,IF(ABS(($A358-Config!$F$25)/Config!$G$25)&lt;=2,$D358,0))</f>
        <v/>
      </c>
      <c r="F358" s="6">
        <f>IF(Config!$G$25=0,0,IF(AND(ABS(($A358-Config!$F$25)/Config!$G$25)&gt;2,ABS(($A358-Config!$F$25)/Config!$G$25)&lt;=3),$D358,0))</f>
        <v/>
      </c>
      <c r="G358" s="6">
        <f>IF(Config!$G$25=0,0,IF(ABS(($A358-Config!$F$25)/Config!$G$25)&gt;3,$D358,0))</f>
        <v/>
      </c>
      <c r="H358" s="6">
        <f>IFERROR(NORM.DIST($A358,Config!$F$25,Config!$G$25,FALSE)*Config!$D$25*Config!$J$25,0)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IFERROR(NORM.DIST($A359,Config!$F$25,Config!$G$25,FALSE)*Config!$D$25*Config!$J$25,0)</f>
        <v/>
      </c>
    </row>
    <row r="360">
      <c r="A360" s="6">
        <f>Config!$K$25+6*Config!$J$25+Config!$J$25/2</f>
        <v/>
      </c>
      <c r="B360" s="6">
        <f>$A360-Config!$J$25/2</f>
        <v/>
      </c>
      <c r="C360" s="6">
        <f>$A360+Config!$J$25/2</f>
        <v/>
      </c>
      <c r="D360" s="6">
        <f>COUNTIFS(RawData!$C$2:$C$941,"MT",RawData!$R$2:$R$941,"&gt;="&amp;$B360,RawData!$R$2:$R$941,"&lt;"&amp;$C360,RawData!$R$2:$R$941,"&lt;&gt;0")</f>
        <v/>
      </c>
      <c r="E360" s="6">
        <f>IF(Config!$G$25=0,0,IF(ABS(($A360-Config!$F$25)/Config!$G$25)&lt;=2,$D360,0))</f>
        <v/>
      </c>
      <c r="F360" s="6">
        <f>IF(Config!$G$25=0,0,IF(AND(ABS(($A360-Config!$F$25)/Config!$G$25)&gt;2,ABS(($A360-Config!$F$25)/Config!$G$25)&lt;=3),$D360,0))</f>
        <v/>
      </c>
      <c r="G360" s="6">
        <f>IF(Config!$G$25=0,0,IF(ABS(($A360-Config!$F$25)/Config!$G$25)&gt;3,$D360,0))</f>
        <v/>
      </c>
      <c r="H360" s="6">
        <f>IFERROR(NORM.DIST($A360,Config!$F$25,Config!$G$25,FALSE)*Config!$D$25*Config!$J$25,0)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IFERROR(NORM.DIST($A361,Config!$F$25,Config!$G$25,FALSE)*Config!$D$25*Config!$J$25,0)</f>
        <v/>
      </c>
    </row>
    <row r="362">
      <c r="A362" s="6">
        <f>Config!$K$25+8*Config!$J$25+Config!$J$25/2</f>
        <v/>
      </c>
      <c r="B362" s="6">
        <f>$A362-Config!$J$25/2</f>
        <v/>
      </c>
      <c r="C362" s="6">
        <f>$A362+Config!$J$25/2</f>
        <v/>
      </c>
      <c r="D362" s="6">
        <f>COUNTIFS(RawData!$C$2:$C$941,"MT",RawData!$R$2:$R$941,"&gt;="&amp;$B362,RawData!$R$2:$R$941,"&lt;"&amp;$C362,RawData!$R$2:$R$941,"&lt;&gt;0")</f>
        <v/>
      </c>
      <c r="E362" s="6">
        <f>IF(Config!$G$25=0,0,IF(ABS(($A362-Config!$F$25)/Config!$G$25)&lt;=2,$D362,0))</f>
        <v/>
      </c>
      <c r="F362" s="6">
        <f>IF(Config!$G$25=0,0,IF(AND(ABS(($A362-Config!$F$25)/Config!$G$25)&gt;2,ABS(($A362-Config!$F$25)/Config!$G$25)&lt;=3),$D362,0))</f>
        <v/>
      </c>
      <c r="G362" s="6">
        <f>IF(Config!$G$25=0,0,IF(ABS(($A362-Config!$F$25)/Config!$G$25)&gt;3,$D362,0))</f>
        <v/>
      </c>
      <c r="H362" s="6">
        <f>IFERROR(NORM.DIST($A362,Config!$F$25,Config!$G$25,FALSE)*Config!$D$25*Config!$J$25,0)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IFERROR(NORM.DIST($A363,Config!$F$25,Config!$G$25,FALSE)*Config!$D$25*Config!$J$25,0)</f>
        <v/>
      </c>
    </row>
    <row r="364">
      <c r="A364" s="6">
        <f>Config!$K$25+10*Config!$J$25+Config!$J$25/2</f>
        <v/>
      </c>
      <c r="B364" s="6">
        <f>$A364-Config!$J$25/2</f>
        <v/>
      </c>
      <c r="C364" s="6">
        <f>$A364+Config!$J$25/2</f>
        <v/>
      </c>
      <c r="D364" s="6">
        <f>COUNTIFS(RawData!$C$2:$C$941,"MT",RawData!$R$2:$R$941,"&gt;="&amp;$B364,RawData!$R$2:$R$941,"&lt;"&amp;$C364,RawData!$R$2:$R$941,"&lt;&gt;0")</f>
        <v/>
      </c>
      <c r="E364" s="6">
        <f>IF(Config!$G$25=0,0,IF(ABS(($A364-Config!$F$25)/Config!$G$25)&lt;=2,$D364,0))</f>
        <v/>
      </c>
      <c r="F364" s="6">
        <f>IF(Config!$G$25=0,0,IF(AND(ABS(($A364-Config!$F$25)/Config!$G$25)&gt;2,ABS(($A364-Config!$F$25)/Config!$G$25)&lt;=3),$D364,0))</f>
        <v/>
      </c>
      <c r="G364" s="6">
        <f>IF(Config!$G$25=0,0,IF(ABS(($A364-Config!$F$25)/Config!$G$25)&gt;3,$D364,0))</f>
        <v/>
      </c>
      <c r="H364" s="6">
        <f>IFERROR(NORM.DIST($A364,Config!$F$25,Config!$G$25,FALSE)*Config!$D$25*Config!$J$25,0)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IFERROR(NORM.DIST($A365,Config!$F$25,Config!$G$25,FALSE)*Config!$D$25*Config!$J$25,0)</f>
        <v/>
      </c>
    </row>
    <row r="366">
      <c r="A366" s="6">
        <f>Config!$K$25+12*Config!$J$25+Config!$J$25/2</f>
        <v/>
      </c>
      <c r="B366" s="6">
        <f>$A366-Config!$J$25/2</f>
        <v/>
      </c>
      <c r="C366" s="6">
        <f>$A366+Config!$J$25/2</f>
        <v/>
      </c>
      <c r="D366" s="6">
        <f>COUNTIFS(RawData!$C$2:$C$941,"MT",RawData!$R$2:$R$941,"&gt;="&amp;$B366,RawData!$R$2:$R$941,"&lt;"&amp;$C366,RawData!$R$2:$R$941,"&lt;&gt;0")</f>
        <v/>
      </c>
      <c r="E366" s="6">
        <f>IF(Config!$G$25=0,0,IF(ABS(($A366-Config!$F$25)/Config!$G$25)&lt;=2,$D366,0))</f>
        <v/>
      </c>
      <c r="F366" s="6">
        <f>IF(Config!$G$25=0,0,IF(AND(ABS(($A366-Config!$F$25)/Config!$G$25)&gt;2,ABS(($A366-Config!$F$25)/Config!$G$25)&lt;=3),$D366,0))</f>
        <v/>
      </c>
      <c r="G366" s="6">
        <f>IF(Config!$G$25=0,0,IF(ABS(($A366-Config!$F$25)/Config!$G$25)&gt;3,$D366,0))</f>
        <v/>
      </c>
      <c r="H366" s="6">
        <f>IFERROR(NORM.DIST($A366,Config!$F$25,Config!$G$25,FALSE)*Config!$D$25*Config!$J$25,0)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IFERROR(NORM.DIST($A367,Config!$F$25,Config!$G$25,FALSE)*Config!$D$25*Config!$J$25,0)</f>
        <v/>
      </c>
    </row>
    <row r="368">
      <c r="A368" s="6">
        <f>Config!$K$25+14*Config!$J$25+Config!$J$25/2</f>
        <v/>
      </c>
      <c r="B368" s="6">
        <f>$A368-Config!$J$25/2</f>
        <v/>
      </c>
      <c r="C368" s="6">
        <f>$A368+Config!$J$25/2</f>
        <v/>
      </c>
      <c r="D368" s="6">
        <f>COUNTIFS(RawData!$C$2:$C$941,"MT",RawData!$R$2:$R$941,"&gt;="&amp;$B368,RawData!$R$2:$R$941,"&lt;"&amp;$C368,RawData!$R$2:$R$941,"&lt;&gt;0")</f>
        <v/>
      </c>
      <c r="E368" s="6">
        <f>IF(Config!$G$25=0,0,IF(ABS(($A368-Config!$F$25)/Config!$G$25)&lt;=2,$D368,0))</f>
        <v/>
      </c>
      <c r="F368" s="6">
        <f>IF(Config!$G$25=0,0,IF(AND(ABS(($A368-Config!$F$25)/Config!$G$25)&gt;2,ABS(($A368-Config!$F$25)/Config!$G$25)&lt;=3),$D368,0))</f>
        <v/>
      </c>
      <c r="G368" s="6">
        <f>IF(Config!$G$25=0,0,IF(ABS(($A368-Config!$F$25)/Config!$G$25)&gt;3,$D368,0))</f>
        <v/>
      </c>
      <c r="H368" s="6">
        <f>IFERROR(NORM.DIST($A368,Config!$F$25,Config!$G$25,FALSE)*Config!$D$25*Config!$J$25,0)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IFERROR(NORM.DIST($A369,Config!$F$25,Config!$G$25,FALSE)*Config!$D$25*Config!$J$25,0)</f>
        <v/>
      </c>
    </row>
    <row r="370">
      <c r="A370" s="6">
        <f>Config!$K$25+16*Config!$J$25+Config!$J$25/2</f>
        <v/>
      </c>
      <c r="B370" s="6">
        <f>$A370-Config!$J$25/2</f>
        <v/>
      </c>
      <c r="C370" s="6">
        <f>$A370+Config!$J$25/2</f>
        <v/>
      </c>
      <c r="D370" s="6">
        <f>COUNTIFS(RawData!$C$2:$C$941,"MT",RawData!$R$2:$R$941,"&gt;="&amp;$B370,RawData!$R$2:$R$941,"&lt;"&amp;$C370,RawData!$R$2:$R$941,"&lt;&gt;0")</f>
        <v/>
      </c>
      <c r="E370" s="6">
        <f>IF(Config!$G$25=0,0,IF(ABS(($A370-Config!$F$25)/Config!$G$25)&lt;=2,$D370,0))</f>
        <v/>
      </c>
      <c r="F370" s="6">
        <f>IF(Config!$G$25=0,0,IF(AND(ABS(($A370-Config!$F$25)/Config!$G$25)&gt;2,ABS(($A370-Config!$F$25)/Config!$G$25)&lt;=3),$D370,0))</f>
        <v/>
      </c>
      <c r="G370" s="6">
        <f>IF(Config!$G$25=0,0,IF(ABS(($A370-Config!$F$25)/Config!$G$25)&gt;3,$D370,0))</f>
        <v/>
      </c>
      <c r="H370" s="6">
        <f>IFERROR(NORM.DIST($A370,Config!$F$25,Config!$G$25,FALSE)*Config!$D$25*Config!$J$25,0)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IFERROR(NORM.DIST($A371,Config!$F$25,Config!$G$25,FALSE)*Config!$D$25*Config!$J$25,0)</f>
        <v/>
      </c>
    </row>
    <row r="372">
      <c r="A372" s="6">
        <f>Config!$K$25+18*Config!$J$25+Config!$J$25/2</f>
        <v/>
      </c>
      <c r="B372" s="6">
        <f>$A372-Config!$J$25/2</f>
        <v/>
      </c>
      <c r="C372" s="6">
        <f>$A372+Config!$J$25/2</f>
        <v/>
      </c>
      <c r="D372" s="6">
        <f>COUNTIFS(RawData!$C$2:$C$941,"MT",RawData!$R$2:$R$941,"&gt;="&amp;$B372,RawData!$R$2:$R$941,"&lt;"&amp;$C372,RawData!$R$2:$R$941,"&lt;&gt;0")</f>
        <v/>
      </c>
      <c r="E372" s="6">
        <f>IF(Config!$G$25=0,0,IF(ABS(($A372-Config!$F$25)/Config!$G$25)&lt;=2,$D372,0))</f>
        <v/>
      </c>
      <c r="F372" s="6">
        <f>IF(Config!$G$25=0,0,IF(AND(ABS(($A372-Config!$F$25)/Config!$G$25)&gt;2,ABS(($A372-Config!$F$25)/Config!$G$25)&lt;=3),$D372,0))</f>
        <v/>
      </c>
      <c r="G372" s="6">
        <f>IF(Config!$G$25=0,0,IF(ABS(($A372-Config!$F$25)/Config!$G$25)&gt;3,$D372,0))</f>
        <v/>
      </c>
      <c r="H372" s="6">
        <f>IFERROR(NORM.DIST($A372,Config!$F$25,Config!$G$25,FALSE)*Config!$D$25*Config!$J$25,0)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IFERROR(NORM.DIST($A373,Config!$F$25,Config!$G$25,FALSE)*Config!$D$25*Config!$J$25,0)</f>
        <v/>
      </c>
    </row>
    <row r="374">
      <c r="A374" s="6">
        <f>Config!$K$25+20*Config!$J$25+Config!$J$25/2</f>
        <v/>
      </c>
      <c r="B374" s="6">
        <f>$A374-Config!$J$25/2</f>
        <v/>
      </c>
      <c r="C374" s="6">
        <f>$A374+Config!$J$25/2</f>
        <v/>
      </c>
      <c r="D374" s="6">
        <f>COUNTIFS(RawData!$C$2:$C$941,"MT",RawData!$R$2:$R$941,"&gt;="&amp;$B374,RawData!$R$2:$R$941,"&lt;"&amp;$C374,RawData!$R$2:$R$941,"&lt;&gt;0")</f>
        <v/>
      </c>
      <c r="E374" s="6">
        <f>IF(Config!$G$25=0,0,IF(ABS(($A374-Config!$F$25)/Config!$G$25)&lt;=2,$D374,0))</f>
        <v/>
      </c>
      <c r="F374" s="6">
        <f>IF(Config!$G$25=0,0,IF(AND(ABS(($A374-Config!$F$25)/Config!$G$25)&gt;2,ABS(($A374-Config!$F$25)/Config!$G$25)&lt;=3),$D374,0))</f>
        <v/>
      </c>
      <c r="G374" s="6">
        <f>IF(Config!$G$25=0,0,IF(ABS(($A374-Config!$F$25)/Config!$G$25)&gt;3,$D374,0))</f>
        <v/>
      </c>
      <c r="H374" s="6">
        <f>IFERROR(NORM.DIST($A374,Config!$F$25,Config!$G$25,FALSE)*Config!$D$25*Config!$J$25,0)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IFERROR(NORM.DIST($A375,Config!$F$25,Config!$G$25,FALSE)*Config!$D$25*Config!$J$25,0)</f>
        <v/>
      </c>
    </row>
    <row r="376">
      <c r="A376" s="6">
        <f>Config!$K$25+22*Config!$J$25+Config!$J$25/2</f>
        <v/>
      </c>
      <c r="B376" s="6">
        <f>$A376-Config!$J$25/2</f>
        <v/>
      </c>
      <c r="C376" s="6">
        <f>$A376+Config!$J$25/2</f>
        <v/>
      </c>
      <c r="D376" s="6">
        <f>COUNTIFS(RawData!$C$2:$C$941,"MT",RawData!$R$2:$R$941,"&gt;="&amp;$B376,RawData!$R$2:$R$941,"&lt;"&amp;$C376,RawData!$R$2:$R$941,"&lt;&gt;0")</f>
        <v/>
      </c>
      <c r="E376" s="6">
        <f>IF(Config!$G$25=0,0,IF(ABS(($A376-Config!$F$25)/Config!$G$25)&lt;=2,$D376,0))</f>
        <v/>
      </c>
      <c r="F376" s="6">
        <f>IF(Config!$G$25=0,0,IF(AND(ABS(($A376-Config!$F$25)/Config!$G$25)&gt;2,ABS(($A376-Config!$F$25)/Config!$G$25)&lt;=3),$D376,0))</f>
        <v/>
      </c>
      <c r="G376" s="6">
        <f>IF(Config!$G$25=0,0,IF(ABS(($A376-Config!$F$25)/Config!$G$25)&gt;3,$D376,0))</f>
        <v/>
      </c>
      <c r="H376" s="6">
        <f>IFERROR(NORM.DIST($A376,Config!$F$25,Config!$G$25,FALSE)*Config!$D$25*Config!$J$25,0)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IFERROR(NORM.DIST($A377,Config!$F$25,Config!$G$25,FALSE)*Config!$D$25*Config!$J$25,0)</f>
        <v/>
      </c>
    </row>
    <row r="378">
      <c r="A378" s="6">
        <f>Config!$K$25+24*Config!$J$25+Config!$J$25/2</f>
        <v/>
      </c>
      <c r="B378" s="6">
        <f>$A378-Config!$J$25/2</f>
        <v/>
      </c>
      <c r="C378" s="6">
        <f>$A378+Config!$J$25/2</f>
        <v/>
      </c>
      <c r="D378" s="6">
        <f>COUNTIFS(RawData!$C$2:$C$941,"MT",RawData!$R$2:$R$941,"&gt;="&amp;$B378,RawData!$R$2:$R$941,"&lt;"&amp;$C378,RawData!$R$2:$R$941,"&lt;&gt;0")</f>
        <v/>
      </c>
      <c r="E378" s="6">
        <f>IF(Config!$G$25=0,0,IF(ABS(($A378-Config!$F$25)/Config!$G$25)&lt;=2,$D378,0))</f>
        <v/>
      </c>
      <c r="F378" s="6">
        <f>IF(Config!$G$25=0,0,IF(AND(ABS(($A378-Config!$F$25)/Config!$G$25)&gt;2,ABS(($A378-Config!$F$25)/Config!$G$25)&lt;=3),$D378,0))</f>
        <v/>
      </c>
      <c r="G378" s="6">
        <f>IF(Config!$G$25=0,0,IF(ABS(($A378-Config!$F$25)/Config!$G$25)&gt;3,$D378,0))</f>
        <v/>
      </c>
      <c r="H378" s="6">
        <f>IFERROR(NORM.DIST($A378,Config!$F$25,Config!$G$25,FALSE)*Config!$D$25*Config!$J$25,0)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IFERROR(NORM.DIST($A379,Config!$F$25,Config!$G$25,FALSE)*Config!$D$25*Config!$J$25,0)</f>
        <v/>
      </c>
    </row>
    <row r="380">
      <c r="A380" s="6">
        <f>Config!$K$25+26*Config!$J$25+Config!$J$25/2</f>
        <v/>
      </c>
      <c r="B380" s="6">
        <f>$A380-Config!$J$25/2</f>
        <v/>
      </c>
      <c r="C380" s="6">
        <f>$A380+Config!$J$25/2</f>
        <v/>
      </c>
      <c r="D380" s="6">
        <f>COUNTIFS(RawData!$C$2:$C$941,"MT",RawData!$R$2:$R$941,"&gt;="&amp;$B380,RawData!$R$2:$R$941,"&lt;"&amp;$C380,RawData!$R$2:$R$941,"&lt;&gt;0")</f>
        <v/>
      </c>
      <c r="E380" s="6">
        <f>IF(Config!$G$25=0,0,IF(ABS(($A380-Config!$F$25)/Config!$G$25)&lt;=2,$D380,0))</f>
        <v/>
      </c>
      <c r="F380" s="6">
        <f>IF(Config!$G$25=0,0,IF(AND(ABS(($A380-Config!$F$25)/Config!$G$25)&gt;2,ABS(($A380-Config!$F$25)/Config!$G$25)&lt;=3),$D380,0))</f>
        <v/>
      </c>
      <c r="G380" s="6">
        <f>IF(Config!$G$25=0,0,IF(ABS(($A380-Config!$F$25)/Config!$G$25)&gt;3,$D380,0))</f>
        <v/>
      </c>
      <c r="H380" s="6">
        <f>IFERROR(NORM.DIST($A380,Config!$F$25,Config!$G$25,FALSE)*Config!$D$25*Config!$J$25,0)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IFERROR(NORM.DIST($A381,Config!$F$25,Config!$G$25,FALSE)*Config!$D$25*Config!$J$25,0)</f>
        <v/>
      </c>
    </row>
    <row r="382">
      <c r="A382" s="6">
        <f>Config!$K$25+28*Config!$J$25+Config!$J$25/2</f>
        <v/>
      </c>
      <c r="B382" s="6">
        <f>$A382-Config!$J$25/2</f>
        <v/>
      </c>
      <c r="C382" s="6">
        <f>$A382+Config!$J$25/2</f>
        <v/>
      </c>
      <c r="D382" s="6">
        <f>COUNTIFS(RawData!$C$2:$C$941,"MT",RawData!$R$2:$R$941,"&gt;="&amp;$B382,RawData!$R$2:$R$941,"&lt;"&amp;$C382,RawData!$R$2:$R$941,"&lt;&gt;0")</f>
        <v/>
      </c>
      <c r="E382" s="6">
        <f>IF(Config!$G$25=0,0,IF(ABS(($A382-Config!$F$25)/Config!$G$25)&lt;=2,$D382,0))</f>
        <v/>
      </c>
      <c r="F382" s="6">
        <f>IF(Config!$G$25=0,0,IF(AND(ABS(($A382-Config!$F$25)/Config!$G$25)&gt;2,ABS(($A382-Config!$F$25)/Config!$G$25)&lt;=3),$D382,0))</f>
        <v/>
      </c>
      <c r="G382" s="6">
        <f>IF(Config!$G$25=0,0,IF(ABS(($A382-Config!$F$25)/Config!$G$25)&gt;3,$D382,0))</f>
        <v/>
      </c>
      <c r="H382" s="6">
        <f>IFERROR(NORM.DIST($A382,Config!$F$25,Config!$G$25,FALSE)*Config!$D$25*Config!$J$25,0)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IFERROR(NORM.DIST($A383,Config!$F$25,Config!$G$25,FALSE)*Config!$D$25*Config!$J$25,0)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>
        <f>Config!$E$2</f>
        <v/>
      </c>
      <c r="D2" s="3">
        <f>Config!$F$2</f>
        <v/>
      </c>
      <c r="E2" s="3">
        <f>Config!$G$2</f>
        <v/>
      </c>
      <c r="F2" s="3">
        <f>Config!$F$2-3*Config!$G$2</f>
        <v/>
      </c>
      <c r="G2" s="3">
        <f>Config!$F$2+3*Config!$G$2</f>
        <v/>
      </c>
      <c r="H2" s="3">
        <f>IFERROR(AGGREGATE(16,6,RawData!$G$2:$G$941/((RawData!$C$2:$C$941="LT")*(RawData!$F$2:$F$941="Pass")*(RawData!$G$2:$G$941&lt;&gt;0)),0.01),"")</f>
        <v/>
      </c>
      <c r="I2" s="3">
        <f>IFERROR(AGGREGATE(16,6,RawData!$G$2:$G$941/((RawData!$C$2:$C$941="LT")*(RawData!$F$2:$F$941="Pass")*(RawData!$G$2:$G$941&lt;&gt;0)),0.99),"")</f>
        <v/>
      </c>
      <c r="J2" s="3">
        <f>IFERROR(AGGREGATE(17,6,RawData!$G$2:$G$941/((RawData!$C$2:$C$941="LT")*(RawData!$F$2:$F$941="Pass")*(RawData!$G$2:$G$941&lt;&gt;0)),1)-1.5*(AGGREGATE(17,6,RawData!$G$2:$G$941/((RawData!$C$2:$C$941="LT")*(RawData!$F$2:$F$941="Pass")*(RawData!$G$2:$G$941&lt;&gt;0)),3)-AGGREGATE(17,6,RawData!$G$2:$G$941/((RawData!$C$2:$C$941="LT")*(RawData!$F$2:$F$941="Pass")*(RawData!$G$2:$G$941&lt;&gt;0)),1)),"")</f>
        <v/>
      </c>
      <c r="K2" s="3">
        <f>IFERROR(AGGREGATE(17,6,RawData!$G$2:$G$941/((RawData!$C$2:$C$941="LT")*(RawData!$F$2:$F$941="Pass")*(RawData!$G$2:$G$941&lt;&gt;0)),3)+1.5*(AGGREGATE(17,6,RawData!$G$2:$G$941/((RawData!$C$2:$C$941="LT")*(RawData!$F$2:$F$941="Pass")*(RawData!$G$2:$G$941&lt;&gt;0)),3)-AGGREGATE(17,6,RawData!$G$2:$G$941/((RawData!$C$2:$C$941="LT")*(RawData!$F$2:$F$941="Pass")*(RawData!$G$2:$G$941&lt;&gt;0)),1)),"")</f>
        <v/>
      </c>
      <c r="L2" s="7">
        <f>IFERROR(MAX($F2,$H2,$J2),"")</f>
        <v/>
      </c>
      <c r="M2" s="7">
        <f>IFERROR(MIN($G2,$I2,$K2),"")</f>
        <v/>
      </c>
      <c r="N2" s="3">
        <f>IFERROR(MAX($G2-$F2,$I2-$H2,$K2-$J2)/MIN($G2-$F2,$I2-$H2,$K2-$J2),"")</f>
        <v/>
      </c>
      <c r="O2" s="3">
        <f>IF($N2="","",IF($N2&lt;1.2,"Good",IF($N2&lt;1.5,"Review","Poor - non-normal")))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>
        <f>Config!$E$3</f>
        <v/>
      </c>
      <c r="D3" s="4">
        <f>Config!$F$3</f>
        <v/>
      </c>
      <c r="E3" s="4">
        <f>Config!$G$3</f>
        <v/>
      </c>
      <c r="F3" s="4">
        <f>Config!$F$3-3*Config!$G$3</f>
        <v/>
      </c>
      <c r="G3" s="4">
        <f>Config!$F$3+3*Config!$G$3</f>
        <v/>
      </c>
      <c r="H3" s="4">
        <f>IFERROR(AGGREGATE(16,6,RawData!$H$2:$H$941/((RawData!$C$2:$C$941="LT")*(RawData!$F$2:$F$941="Pass")*(RawData!$H$2:$H$941&lt;&gt;0)),0.01),"")</f>
        <v/>
      </c>
      <c r="I3" s="4">
        <f>IFERROR(AGGREGATE(16,6,RawData!$H$2:$H$941/((RawData!$C$2:$C$941="LT")*(RawData!$F$2:$F$941="Pass")*(RawData!$H$2:$H$941&lt;&gt;0)),0.99),"")</f>
        <v/>
      </c>
      <c r="J3" s="4">
        <f>IFERROR(AGGREGATE(17,6,RawData!$H$2:$H$941/((RawData!$C$2:$C$941="LT")*(RawData!$F$2:$F$941="Pass")*(RawData!$H$2:$H$941&lt;&gt;0)),1)-1.5*(AGGREGATE(17,6,RawData!$H$2:$H$941/((RawData!$C$2:$C$941="LT")*(RawData!$F$2:$F$941="Pass")*(RawData!$H$2:$H$941&lt;&gt;0)),3)-AGGREGATE(17,6,RawData!$H$2:$H$941/((RawData!$C$2:$C$941="LT")*(RawData!$F$2:$F$941="Pass")*(RawData!$H$2:$H$941&lt;&gt;0)),1)),"")</f>
        <v/>
      </c>
      <c r="K3" s="4">
        <f>IFERROR(AGGREGATE(17,6,RawData!$H$2:$H$941/((RawData!$C$2:$C$941="LT")*(RawData!$F$2:$F$941="Pass")*(RawData!$H$2:$H$941&lt;&gt;0)),3)+1.5*(AGGREGATE(17,6,RawData!$H$2:$H$941/((RawData!$C$2:$C$941="LT")*(RawData!$F$2:$F$941="Pass")*(RawData!$H$2:$H$941&lt;&gt;0)),3)-AGGREGATE(17,6,RawData!$H$2:$H$941/((RawData!$C$2:$C$941="LT")*(RawData!$F$2:$F$941="Pass")*(RawData!$H$2:$H$941&lt;&gt;0)),1)),"")</f>
        <v/>
      </c>
      <c r="L3" s="7">
        <f>IFERROR(MAX($F3,$H3,$J3),"")</f>
        <v/>
      </c>
      <c r="M3" s="7">
        <f>IFERROR(MIN($G3,$I3,$K3),"")</f>
        <v/>
      </c>
      <c r="N3" s="4">
        <f>IFERROR(MAX($G3-$F3,$I3-$H3,$K3-$J3)/MIN($G3-$F3,$I3-$H3,$K3-$J3),"")</f>
        <v/>
      </c>
      <c r="O3" s="4">
        <f>IF($N3="","",IF($N3&lt;1.2,"Good",IF($N3&lt;1.5,"Review","Poor - non-normal")))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>
        <f>Config!$E$4</f>
        <v/>
      </c>
      <c r="D4" s="3">
        <f>Config!$F$4</f>
        <v/>
      </c>
      <c r="E4" s="3">
        <f>Config!$G$4</f>
        <v/>
      </c>
      <c r="F4" s="3">
        <f>Config!$F$4-3*Config!$G$4</f>
        <v/>
      </c>
      <c r="G4" s="3">
        <f>Config!$F$4+3*Config!$G$4</f>
        <v/>
      </c>
      <c r="H4" s="3">
        <f>IFERROR(AGGREGATE(16,6,RawData!$I$2:$I$941/((RawData!$C$2:$C$941="LT")*(RawData!$F$2:$F$941="Pass")*(RawData!$I$2:$I$941&lt;&gt;0)),0.01),"")</f>
        <v/>
      </c>
      <c r="I4" s="3">
        <f>IFERROR(AGGREGATE(16,6,RawData!$I$2:$I$941/((RawData!$C$2:$C$941="LT")*(RawData!$F$2:$F$941="Pass")*(RawData!$I$2:$I$941&lt;&gt;0)),0.99),"")</f>
        <v/>
      </c>
      <c r="J4" s="3">
        <f>IFERROR(AGGREGATE(17,6,RawData!$I$2:$I$941/((RawData!$C$2:$C$941="LT")*(RawData!$F$2:$F$941="Pass")*(RawData!$I$2:$I$941&lt;&gt;0)),1)-1.5*(AGGREGATE(17,6,RawData!$I$2:$I$941/((RawData!$C$2:$C$941="LT")*(RawData!$F$2:$F$941="Pass")*(RawData!$I$2:$I$941&lt;&gt;0)),3)-AGGREGATE(17,6,RawData!$I$2:$I$941/((RawData!$C$2:$C$941="LT")*(RawData!$F$2:$F$941="Pass")*(RawData!$I$2:$I$941&lt;&gt;0)),1)),"")</f>
        <v/>
      </c>
      <c r="K4" s="3">
        <f>IFERROR(AGGREGATE(17,6,RawData!$I$2:$I$941/((RawData!$C$2:$C$941="LT")*(RawData!$F$2:$F$941="Pass")*(RawData!$I$2:$I$941&lt;&gt;0)),3)+1.5*(AGGREGATE(17,6,RawData!$I$2:$I$941/((RawData!$C$2:$C$941="LT")*(RawData!$F$2:$F$941="Pass")*(RawData!$I$2:$I$941&lt;&gt;0)),3)-AGGREGATE(17,6,RawData!$I$2:$I$941/((RawData!$C$2:$C$941="LT")*(RawData!$F$2:$F$941="Pass")*(RawData!$I$2:$I$941&lt;&gt;0)),1)),"")</f>
        <v/>
      </c>
      <c r="L4" s="7">
        <f>IFERROR(MAX($F4,$H4,$J4),"")</f>
        <v/>
      </c>
      <c r="M4" s="7">
        <f>IFERROR(MIN($G4,$I4,$K4),"")</f>
        <v/>
      </c>
      <c r="N4" s="3">
        <f>IFERROR(MAX($G4-$F4,$I4-$H4,$K4-$J4)/MIN($G4-$F4,$I4-$H4,$K4-$J4),"")</f>
        <v/>
      </c>
      <c r="O4" s="3">
        <f>IF($N4="","",IF($N4&lt;1.2,"Good",IF($N4&lt;1.5,"Review","Poor - non-normal")))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>
        <f>Config!$E$5</f>
        <v/>
      </c>
      <c r="D5" s="4">
        <f>Config!$F$5</f>
        <v/>
      </c>
      <c r="E5" s="4">
        <f>Config!$G$5</f>
        <v/>
      </c>
      <c r="F5" s="4">
        <f>Config!$F$5-3*Config!$G$5</f>
        <v/>
      </c>
      <c r="G5" s="4">
        <f>Config!$F$5+3*Config!$G$5</f>
        <v/>
      </c>
      <c r="H5" s="4">
        <f>IFERROR(AGGREGATE(16,6,RawData!$J$2:$J$941/((RawData!$C$2:$C$941="LT")*(RawData!$F$2:$F$941="Pass")*(RawData!$J$2:$J$941&lt;&gt;0)),0.01),"")</f>
        <v/>
      </c>
      <c r="I5" s="4">
        <f>IFERROR(AGGREGATE(16,6,RawData!$J$2:$J$941/((RawData!$C$2:$C$941="LT")*(RawData!$F$2:$F$941="Pass")*(RawData!$J$2:$J$941&lt;&gt;0)),0.99),"")</f>
        <v/>
      </c>
      <c r="J5" s="4">
        <f>IFERROR(AGGREGATE(17,6,RawData!$J$2:$J$941/((RawData!$C$2:$C$941="LT")*(RawData!$F$2:$F$941="Pass")*(RawData!$J$2:$J$941&lt;&gt;0)),1)-1.5*(AGGREGATE(17,6,RawData!$J$2:$J$941/((RawData!$C$2:$C$941="LT")*(RawData!$F$2:$F$941="Pass")*(RawData!$J$2:$J$941&lt;&gt;0)),3)-AGGREGATE(17,6,RawData!$J$2:$J$941/((RawData!$C$2:$C$941="LT")*(RawData!$F$2:$F$941="Pass")*(RawData!$J$2:$J$941&lt;&gt;0)),1)),"")</f>
        <v/>
      </c>
      <c r="K5" s="4">
        <f>IFERROR(AGGREGATE(17,6,RawData!$J$2:$J$941/((RawData!$C$2:$C$941="LT")*(RawData!$F$2:$F$941="Pass")*(RawData!$J$2:$J$941&lt;&gt;0)),3)+1.5*(AGGREGATE(17,6,RawData!$J$2:$J$941/((RawData!$C$2:$C$941="LT")*(RawData!$F$2:$F$941="Pass")*(RawData!$J$2:$J$941&lt;&gt;0)),3)-AGGREGATE(17,6,RawData!$J$2:$J$941/((RawData!$C$2:$C$941="LT")*(RawData!$F$2:$F$941="Pass")*(RawData!$J$2:$J$941&lt;&gt;0)),1)),"")</f>
        <v/>
      </c>
      <c r="L5" s="7">
        <f>IFERROR(MAX($F5,$H5,$J5),"")</f>
        <v/>
      </c>
      <c r="M5" s="7">
        <f>IFERROR(MIN($G5,$I5,$K5),"")</f>
        <v/>
      </c>
      <c r="N5" s="4">
        <f>IFERROR(MAX($G5-$F5,$I5-$H5,$K5-$J5)/MIN($G5-$F5,$I5-$H5,$K5-$J5),"")</f>
        <v/>
      </c>
      <c r="O5" s="4">
        <f>IF($N5="","",IF($N5&lt;1.2,"Good",IF($N5&lt;1.5,"Review","Poor - non-normal")))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>
        <f>Config!$E$6</f>
        <v/>
      </c>
      <c r="D6" s="3">
        <f>Config!$F$6</f>
        <v/>
      </c>
      <c r="E6" s="3">
        <f>Config!$G$6</f>
        <v/>
      </c>
      <c r="F6" s="3">
        <f>Config!$F$6-3*Config!$G$6</f>
        <v/>
      </c>
      <c r="G6" s="3">
        <f>Config!$F$6+3*Config!$G$6</f>
        <v/>
      </c>
      <c r="H6" s="3">
        <f>IFERROR(AGGREGATE(16,6,RawData!$K$2:$K$941/((RawData!$C$2:$C$941="LT")*(RawData!$F$2:$F$941="Pass")*(RawData!$K$2:$K$941&lt;&gt;0)),0.01),"")</f>
        <v/>
      </c>
      <c r="I6" s="3">
        <f>IFERROR(AGGREGATE(16,6,RawData!$K$2:$K$941/((RawData!$C$2:$C$941="LT")*(RawData!$F$2:$F$941="Pass")*(RawData!$K$2:$K$941&lt;&gt;0)),0.99),"")</f>
        <v/>
      </c>
      <c r="J6" s="3">
        <f>IFERROR(AGGREGATE(17,6,RawData!$K$2:$K$941/((RawData!$C$2:$C$941="LT")*(RawData!$F$2:$F$941="Pass")*(RawData!$K$2:$K$941&lt;&gt;0)),1)-1.5*(AGGREGATE(17,6,RawData!$K$2:$K$941/((RawData!$C$2:$C$941="LT")*(RawData!$F$2:$F$941="Pass")*(RawData!$K$2:$K$941&lt;&gt;0)),3)-AGGREGATE(17,6,RawData!$K$2:$K$941/((RawData!$C$2:$C$941="LT")*(RawData!$F$2:$F$941="Pass")*(RawData!$K$2:$K$941&lt;&gt;0)),1)),"")</f>
        <v/>
      </c>
      <c r="K6" s="3">
        <f>IFERROR(AGGREGATE(17,6,RawData!$K$2:$K$941/((RawData!$C$2:$C$941="LT")*(RawData!$F$2:$F$941="Pass")*(RawData!$K$2:$K$941&lt;&gt;0)),3)+1.5*(AGGREGATE(17,6,RawData!$K$2:$K$941/((RawData!$C$2:$C$941="LT")*(RawData!$F$2:$F$941="Pass")*(RawData!$K$2:$K$941&lt;&gt;0)),3)-AGGREGATE(17,6,RawData!$K$2:$K$941/((RawData!$C$2:$C$941="LT")*(RawData!$F$2:$F$941="Pass")*(RawData!$K$2:$K$941&lt;&gt;0)),1)),"")</f>
        <v/>
      </c>
      <c r="L6" s="7">
        <f>IFERROR(MAX($F6,$H6,$J6),"")</f>
        <v/>
      </c>
      <c r="M6" s="7">
        <f>IFERROR(MIN($G6,$I6,$K6),"")</f>
        <v/>
      </c>
      <c r="N6" s="3">
        <f>IFERROR(MAX($G6-$F6,$I6-$H6,$K6-$J6)/MIN($G6-$F6,$I6-$H6,$K6-$J6),"")</f>
        <v/>
      </c>
      <c r="O6" s="3">
        <f>IF($N6="","",IF($N6&lt;1.2,"Good",IF($N6&lt;1.5,"Review","Poor - non-normal")))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>
        <f>Config!$E$7</f>
        <v/>
      </c>
      <c r="D7" s="4">
        <f>Config!$F$7</f>
        <v/>
      </c>
      <c r="E7" s="4">
        <f>Config!$G$7</f>
        <v/>
      </c>
      <c r="F7" s="4">
        <f>Config!$F$7-3*Config!$G$7</f>
        <v/>
      </c>
      <c r="G7" s="4">
        <f>Config!$F$7+3*Config!$G$7</f>
        <v/>
      </c>
      <c r="H7" s="4">
        <f>IFERROR(AGGREGATE(16,6,RawData!$L$2:$L$941/((RawData!$C$2:$C$941="LT")*(RawData!$F$2:$F$941="Pass")*(RawData!$L$2:$L$941&lt;&gt;0)),0.01),"")</f>
        <v/>
      </c>
      <c r="I7" s="4">
        <f>IFERROR(AGGREGATE(16,6,RawData!$L$2:$L$941/((RawData!$C$2:$C$941="LT")*(RawData!$F$2:$F$941="Pass")*(RawData!$L$2:$L$941&lt;&gt;0)),0.99),"")</f>
        <v/>
      </c>
      <c r="J7" s="4">
        <f>IFERROR(AGGREGATE(17,6,RawData!$L$2:$L$941/((RawData!$C$2:$C$941="LT")*(RawData!$F$2:$F$941="Pass")*(RawData!$L$2:$L$941&lt;&gt;0)),1)-1.5*(AGGREGATE(17,6,RawData!$L$2:$L$941/((RawData!$C$2:$C$941="LT")*(RawData!$F$2:$F$941="Pass")*(RawData!$L$2:$L$941&lt;&gt;0)),3)-AGGREGATE(17,6,RawData!$L$2:$L$941/((RawData!$C$2:$C$941="LT")*(RawData!$F$2:$F$941="Pass")*(RawData!$L$2:$L$941&lt;&gt;0)),1)),"")</f>
        <v/>
      </c>
      <c r="K7" s="4">
        <f>IFERROR(AGGREGATE(17,6,RawData!$L$2:$L$941/((RawData!$C$2:$C$941="LT")*(RawData!$F$2:$F$941="Pass")*(RawData!$L$2:$L$941&lt;&gt;0)),3)+1.5*(AGGREGATE(17,6,RawData!$L$2:$L$941/((RawData!$C$2:$C$941="LT")*(RawData!$F$2:$F$941="Pass")*(RawData!$L$2:$L$941&lt;&gt;0)),3)-AGGREGATE(17,6,RawData!$L$2:$L$941/((RawData!$C$2:$C$941="LT")*(RawData!$F$2:$F$941="Pass")*(RawData!$L$2:$L$941&lt;&gt;0)),1)),"")</f>
        <v/>
      </c>
      <c r="L7" s="7">
        <f>IFERROR(MAX($F7,$H7,$J7),"")</f>
        <v/>
      </c>
      <c r="M7" s="7">
        <f>IFERROR(MIN($G7,$I7,$K7),"")</f>
        <v/>
      </c>
      <c r="N7" s="4">
        <f>IFERROR(MAX($G7-$F7,$I7-$H7,$K7-$J7)/MIN($G7-$F7,$I7-$H7,$K7-$J7),"")</f>
        <v/>
      </c>
      <c r="O7" s="4">
        <f>IF($N7="","",IF($N7&lt;1.2,"Good",IF($N7&lt;1.5,"Review","Poor - non-normal")))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>
        <f>Config!$E$8</f>
        <v/>
      </c>
      <c r="D8" s="3">
        <f>Config!$F$8</f>
        <v/>
      </c>
      <c r="E8" s="3">
        <f>Config!$G$8</f>
        <v/>
      </c>
      <c r="F8" s="3">
        <f>Config!$F$8-3*Config!$G$8</f>
        <v/>
      </c>
      <c r="G8" s="3">
        <f>Config!$F$8+3*Config!$G$8</f>
        <v/>
      </c>
      <c r="H8" s="3">
        <f>IFERROR(AGGREGATE(16,6,RawData!$M$2:$M$941/((RawData!$C$2:$C$941="LT")*(RawData!$F$2:$F$941="Pass")*(RawData!$M$2:$M$941&lt;&gt;0)),0.01),"")</f>
        <v/>
      </c>
      <c r="I8" s="3">
        <f>IFERROR(AGGREGATE(16,6,RawData!$M$2:$M$941/((RawData!$C$2:$C$941="LT")*(RawData!$F$2:$F$941="Pass")*(RawData!$M$2:$M$941&lt;&gt;0)),0.99),"")</f>
        <v/>
      </c>
      <c r="J8" s="3">
        <f>IFERROR(AGGREGATE(17,6,RawData!$M$2:$M$941/((RawData!$C$2:$C$941="LT")*(RawData!$F$2:$F$941="Pass")*(RawData!$M$2:$M$941&lt;&gt;0)),1)-1.5*(AGGREGATE(17,6,RawData!$M$2:$M$941/((RawData!$C$2:$C$941="LT")*(RawData!$F$2:$F$941="Pass")*(RawData!$M$2:$M$941&lt;&gt;0)),3)-AGGREGATE(17,6,RawData!$M$2:$M$941/((RawData!$C$2:$C$941="LT")*(RawData!$F$2:$F$941="Pass")*(RawData!$M$2:$M$941&lt;&gt;0)),1)),"")</f>
        <v/>
      </c>
      <c r="K8" s="3">
        <f>IFERROR(AGGREGATE(17,6,RawData!$M$2:$M$941/((RawData!$C$2:$C$941="LT")*(RawData!$F$2:$F$941="Pass")*(RawData!$M$2:$M$941&lt;&gt;0)),3)+1.5*(AGGREGATE(17,6,RawData!$M$2:$M$941/((RawData!$C$2:$C$941="LT")*(RawData!$F$2:$F$941="Pass")*(RawData!$M$2:$M$941&lt;&gt;0)),3)-AGGREGATE(17,6,RawData!$M$2:$M$941/((RawData!$C$2:$C$941="LT")*(RawData!$F$2:$F$941="Pass")*(RawData!$M$2:$M$941&lt;&gt;0)),1)),"")</f>
        <v/>
      </c>
      <c r="L8" s="7">
        <f>IFERROR(MAX($F8,$H8,$J8),"")</f>
        <v/>
      </c>
      <c r="M8" s="7">
        <f>IFERROR(MIN($G8,$I8,$K8),"")</f>
        <v/>
      </c>
      <c r="N8" s="3">
        <f>IFERROR(MAX($G8-$F8,$I8-$H8,$K8-$J8)/MIN($G8-$F8,$I8-$H8,$K8-$J8),"")</f>
        <v/>
      </c>
      <c r="O8" s="3">
        <f>IF($N8="","",IF($N8&lt;1.2,"Good",IF($N8&lt;1.5,"Review","Poor - non-normal")))</f>
        <v/>
      </c>
    </row>
    <row r="9">
      <c r="A9" s="4" t="inlineStr">
        <is>
          <t>LT</t>
        </is>
      </c>
      <c r="B9" s="4" t="inlineStr">
        <is>
          <t>Ambient Temp</t>
        </is>
      </c>
      <c r="C9" s="4">
        <f>Config!$E$9</f>
        <v/>
      </c>
      <c r="D9" s="4">
        <f>Config!$F$9</f>
        <v/>
      </c>
      <c r="E9" s="4">
        <f>Config!$G$9</f>
        <v/>
      </c>
      <c r="F9" s="4">
        <f>Config!$F$9-3*Config!$G$9</f>
        <v/>
      </c>
      <c r="G9" s="4">
        <f>Config!$F$9+3*Config!$G$9</f>
        <v/>
      </c>
      <c r="H9" s="4">
        <f>IFERROR(AGGREGATE(16,6,RawData!$N$2:$N$941/((RawData!$C$2:$C$941="LT")*(RawData!$F$2:$F$941="Pass")*(RawData!$N$2:$N$941&lt;&gt;0)),0.01),"")</f>
        <v/>
      </c>
      <c r="I9" s="4">
        <f>IFERROR(AGGREGATE(16,6,RawData!$N$2:$N$941/((RawData!$C$2:$C$941="LT")*(RawData!$F$2:$F$941="Pass")*(RawData!$N$2:$N$941&lt;&gt;0)),0.99),"")</f>
        <v/>
      </c>
      <c r="J9" s="4">
        <f>IFERROR(AGGREGATE(17,6,RawData!$N$2:$N$941/((RawData!$C$2:$C$941="LT")*(RawData!$F$2:$F$941="Pass")*(RawData!$N$2:$N$941&lt;&gt;0)),1)-1.5*(AGGREGATE(17,6,RawData!$N$2:$N$941/((RawData!$C$2:$C$941="LT")*(RawData!$F$2:$F$941="Pass")*(RawData!$N$2:$N$941&lt;&gt;0)),3)-AGGREGATE(17,6,RawData!$N$2:$N$941/((RawData!$C$2:$C$941="LT")*(RawData!$F$2:$F$941="Pass")*(RawData!$N$2:$N$941&lt;&gt;0)),1)),"")</f>
        <v/>
      </c>
      <c r="K9" s="4">
        <f>IFERROR(AGGREGATE(17,6,RawData!$N$2:$N$941/((RawData!$C$2:$C$941="LT")*(RawData!$F$2:$F$941="Pass")*(RawData!$N$2:$N$941&lt;&gt;0)),3)+1.5*(AGGREGATE(17,6,RawData!$N$2:$N$941/((RawData!$C$2:$C$941="LT")*(RawData!$F$2:$F$941="Pass")*(RawData!$N$2:$N$941&lt;&gt;0)),3)-AGGREGATE(17,6,RawData!$N$2:$N$941/((RawData!$C$2:$C$941="LT")*(RawData!$F$2:$F$941="Pass")*(RawData!$N$2:$N$941&lt;&gt;0)),1)),"")</f>
        <v/>
      </c>
      <c r="L9" s="7">
        <f>IFERROR(MAX($F9,$H9,$J9),"")</f>
        <v/>
      </c>
      <c r="M9" s="7">
        <f>IFERROR(MIN($G9,$I9,$K9),"")</f>
        <v/>
      </c>
      <c r="N9" s="4">
        <f>IFERROR(MAX($G9-$F9,$I9-$H9,$K9-$J9)/MIN($G9-$F9,$I9-$H9,$K9-$J9),"")</f>
        <v/>
      </c>
      <c r="O9" s="4">
        <f>IF($N9="","",IF($N9&lt;1.2,"Good",IF($N9&lt;1.5,"Review","Poor - non-normal")))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>
        <f>Config!$E$10</f>
        <v/>
      </c>
      <c r="D10" s="3">
        <f>Config!$F$10</f>
        <v/>
      </c>
      <c r="E10" s="3">
        <f>Config!$G$10</f>
        <v/>
      </c>
      <c r="F10" s="3">
        <f>Config!$F$10-3*Config!$G$10</f>
        <v/>
      </c>
      <c r="G10" s="3">
        <f>Config!$F$10+3*Config!$G$10</f>
        <v/>
      </c>
      <c r="H10" s="3">
        <f>IFERROR(AGGREGATE(16,6,RawData!$O$2:$O$941/((RawData!$C$2:$C$941="LT")*(RawData!$F$2:$F$941="Pass")*(RawData!$O$2:$O$941&lt;&gt;0)),0.01),"")</f>
        <v/>
      </c>
      <c r="I10" s="3">
        <f>IFERROR(AGGREGATE(16,6,RawData!$O$2:$O$941/((RawData!$C$2:$C$941="LT")*(RawData!$F$2:$F$941="Pass")*(RawData!$O$2:$O$941&lt;&gt;0)),0.99),"")</f>
        <v/>
      </c>
      <c r="J10" s="3">
        <f>IFERROR(AGGREGATE(17,6,RawData!$O$2:$O$941/((RawData!$C$2:$C$941="LT")*(RawData!$F$2:$F$941="Pass")*(RawData!$O$2:$O$941&lt;&gt;0)),1)-1.5*(AGGREGATE(17,6,RawData!$O$2:$O$941/((RawData!$C$2:$C$941="LT")*(RawData!$F$2:$F$941="Pass")*(RawData!$O$2:$O$941&lt;&gt;0)),3)-AGGREGATE(17,6,RawData!$O$2:$O$941/((RawData!$C$2:$C$941="LT")*(RawData!$F$2:$F$941="Pass")*(RawData!$O$2:$O$941&lt;&gt;0)),1)),"")</f>
        <v/>
      </c>
      <c r="K10" s="3">
        <f>IFERROR(AGGREGATE(17,6,RawData!$O$2:$O$941/((RawData!$C$2:$C$941="LT")*(RawData!$F$2:$F$941="Pass")*(RawData!$O$2:$O$941&lt;&gt;0)),3)+1.5*(AGGREGATE(17,6,RawData!$O$2:$O$941/((RawData!$C$2:$C$941="LT")*(RawData!$F$2:$F$941="Pass")*(RawData!$O$2:$O$941&lt;&gt;0)),3)-AGGREGATE(17,6,RawData!$O$2:$O$941/((RawData!$C$2:$C$941="LT")*(RawData!$F$2:$F$941="Pass")*(RawData!$O$2:$O$941&lt;&gt;0)),1)),"")</f>
        <v/>
      </c>
      <c r="L10" s="7">
        <f>IFERROR(MAX($F10,$H10,$J10),"")</f>
        <v/>
      </c>
      <c r="M10" s="7">
        <f>IFERROR(MIN($G10,$I10,$K10),"")</f>
        <v/>
      </c>
      <c r="N10" s="3">
        <f>IFERROR(MAX($G10-$F10,$I10-$H10,$K10-$J10)/MIN($G10-$F10,$I10-$H10,$K10-$J10),"")</f>
        <v/>
      </c>
      <c r="O10" s="3">
        <f>IF($N10="","",IF($N10&lt;1.2,"Good",IF($N10&lt;1.5,"Review","Poor - non-normal")))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>
        <f>Config!$E$11</f>
        <v/>
      </c>
      <c r="D11" s="4">
        <f>Config!$F$11</f>
        <v/>
      </c>
      <c r="E11" s="4">
        <f>Config!$G$11</f>
        <v/>
      </c>
      <c r="F11" s="4">
        <f>Config!$F$11-3*Config!$G$11</f>
        <v/>
      </c>
      <c r="G11" s="4">
        <f>Config!$F$11+3*Config!$G$11</f>
        <v/>
      </c>
      <c r="H11" s="4">
        <f>IFERROR(AGGREGATE(16,6,RawData!$P$2:$P$941/((RawData!$C$2:$C$941="LT")*(RawData!$F$2:$F$941="Pass")*(RawData!$P$2:$P$941&lt;&gt;0)),0.01),"")</f>
        <v/>
      </c>
      <c r="I11" s="4">
        <f>IFERROR(AGGREGATE(16,6,RawData!$P$2:$P$941/((RawData!$C$2:$C$941="LT")*(RawData!$F$2:$F$941="Pass")*(RawData!$P$2:$P$941&lt;&gt;0)),0.99),"")</f>
        <v/>
      </c>
      <c r="J11" s="4">
        <f>IFERROR(AGGREGATE(17,6,RawData!$P$2:$P$941/((RawData!$C$2:$C$941="LT")*(RawData!$F$2:$F$941="Pass")*(RawData!$P$2:$P$941&lt;&gt;0)),1)-1.5*(AGGREGATE(17,6,RawData!$P$2:$P$941/((RawData!$C$2:$C$941="LT")*(RawData!$F$2:$F$941="Pass")*(RawData!$P$2:$P$941&lt;&gt;0)),3)-AGGREGATE(17,6,RawData!$P$2:$P$941/((RawData!$C$2:$C$941="LT")*(RawData!$F$2:$F$941="Pass")*(RawData!$P$2:$P$941&lt;&gt;0)),1)),"")</f>
        <v/>
      </c>
      <c r="K11" s="4">
        <f>IFERROR(AGGREGATE(17,6,RawData!$P$2:$P$941/((RawData!$C$2:$C$941="LT")*(RawData!$F$2:$F$941="Pass")*(RawData!$P$2:$P$941&lt;&gt;0)),3)+1.5*(AGGREGATE(17,6,RawData!$P$2:$P$941/((RawData!$C$2:$C$941="LT")*(RawData!$F$2:$F$941="Pass")*(RawData!$P$2:$P$941&lt;&gt;0)),3)-AGGREGATE(17,6,RawData!$P$2:$P$941/((RawData!$C$2:$C$941="LT")*(RawData!$F$2:$F$941="Pass")*(RawData!$P$2:$P$941&lt;&gt;0)),1)),"")</f>
        <v/>
      </c>
      <c r="L11" s="7">
        <f>IFERROR(MAX($F11,$H11,$J11),"")</f>
        <v/>
      </c>
      <c r="M11" s="7">
        <f>IFERROR(MIN($G11,$I11,$K11),"")</f>
        <v/>
      </c>
      <c r="N11" s="4">
        <f>IFERROR(MAX($G11-$F11,$I11-$H11,$K11-$J11)/MIN($G11-$F11,$I11-$H11,$K11-$J11),"")</f>
        <v/>
      </c>
      <c r="O11" s="4">
        <f>IF($N11="","",IF($N11&lt;1.2,"Good",IF($N11&lt;1.5,"Review","Poor - non-normal")))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>
        <f>Config!$E$12</f>
        <v/>
      </c>
      <c r="D12" s="3">
        <f>Config!$F$12</f>
        <v/>
      </c>
      <c r="E12" s="3">
        <f>Config!$G$12</f>
        <v/>
      </c>
      <c r="F12" s="3">
        <f>Config!$F$12-3*Config!$G$12</f>
        <v/>
      </c>
      <c r="G12" s="3">
        <f>Config!$F$12+3*Config!$G$12</f>
        <v/>
      </c>
      <c r="H12" s="3">
        <f>IFERROR(AGGREGATE(16,6,RawData!$Q$2:$Q$941/((RawData!$C$2:$C$941="LT")*(RawData!$F$2:$F$941="Pass")*(RawData!$Q$2:$Q$941&lt;&gt;0)),0.01),"")</f>
        <v/>
      </c>
      <c r="I12" s="3">
        <f>IFERROR(AGGREGATE(16,6,RawData!$Q$2:$Q$941/((RawData!$C$2:$C$941="LT")*(RawData!$F$2:$F$941="Pass")*(RawData!$Q$2:$Q$941&lt;&gt;0)),0.99),"")</f>
        <v/>
      </c>
      <c r="J12" s="3">
        <f>IFERROR(AGGREGATE(17,6,RawData!$Q$2:$Q$941/((RawData!$C$2:$C$941="LT")*(RawData!$F$2:$F$941="Pass")*(RawData!$Q$2:$Q$941&lt;&gt;0)),1)-1.5*(AGGREGATE(17,6,RawData!$Q$2:$Q$941/((RawData!$C$2:$C$941="LT")*(RawData!$F$2:$F$941="Pass")*(RawData!$Q$2:$Q$941&lt;&gt;0)),3)-AGGREGATE(17,6,RawData!$Q$2:$Q$941/((RawData!$C$2:$C$941="LT")*(RawData!$F$2:$F$941="Pass")*(RawData!$Q$2:$Q$941&lt;&gt;0)),1)),"")</f>
        <v/>
      </c>
      <c r="K12" s="3">
        <f>IFERROR(AGGREGATE(17,6,RawData!$Q$2:$Q$941/((RawData!$C$2:$C$941="LT")*(RawData!$F$2:$F$941="Pass")*(RawData!$Q$2:$Q$941&lt;&gt;0)),3)+1.5*(AGGREGATE(17,6,RawData!$Q$2:$Q$941/((RawData!$C$2:$C$941="LT")*(RawData!$F$2:$F$941="Pass")*(RawData!$Q$2:$Q$941&lt;&gt;0)),3)-AGGREGATE(17,6,RawData!$Q$2:$Q$941/((RawData!$C$2:$C$941="LT")*(RawData!$F$2:$F$941="Pass")*(RawData!$Q$2:$Q$941&lt;&gt;0)),1)),"")</f>
        <v/>
      </c>
      <c r="L12" s="7">
        <f>IFERROR(MAX($F12,$H12,$J12),"")</f>
        <v/>
      </c>
      <c r="M12" s="7">
        <f>IFERROR(MIN($G12,$I12,$K12),"")</f>
        <v/>
      </c>
      <c r="N12" s="3">
        <f>IFERROR(MAX($G12-$F12,$I12-$H12,$K12-$J12)/MIN($G12-$F12,$I12-$H12,$K12-$J12),"")</f>
        <v/>
      </c>
      <c r="O12" s="3">
        <f>IF($N12="","",IF($N12&lt;1.2,"Good",IF($N12&lt;1.5,"Review","Poor - non-normal")))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>
        <f>Config!$E$13</f>
        <v/>
      </c>
      <c r="D13" s="4">
        <f>Config!$F$13</f>
        <v/>
      </c>
      <c r="E13" s="4">
        <f>Config!$G$13</f>
        <v/>
      </c>
      <c r="F13" s="4">
        <f>Config!$F$13-3*Config!$G$13</f>
        <v/>
      </c>
      <c r="G13" s="4">
        <f>Config!$F$13+3*Config!$G$13</f>
        <v/>
      </c>
      <c r="H13" s="4">
        <f>IFERROR(AGGREGATE(16,6,RawData!$R$2:$R$941/((RawData!$C$2:$C$941="LT")*(RawData!$F$2:$F$941="Pass")*(RawData!$R$2:$R$941&lt;&gt;0)),0.01),"")</f>
        <v/>
      </c>
      <c r="I13" s="4">
        <f>IFERROR(AGGREGATE(16,6,RawData!$R$2:$R$941/((RawData!$C$2:$C$941="LT")*(RawData!$F$2:$F$941="Pass")*(RawData!$R$2:$R$941&lt;&gt;0)),0.99),"")</f>
        <v/>
      </c>
      <c r="J13" s="4">
        <f>IFERROR(AGGREGATE(17,6,RawData!$R$2:$R$941/((RawData!$C$2:$C$941="LT")*(RawData!$F$2:$F$941="Pass")*(RawData!$R$2:$R$941&lt;&gt;0)),1)-1.5*(AGGREGATE(17,6,RawData!$R$2:$R$941/((RawData!$C$2:$C$941="LT")*(RawData!$F$2:$F$941="Pass")*(RawData!$R$2:$R$941&lt;&gt;0)),3)-AGGREGATE(17,6,RawData!$R$2:$R$941/((RawData!$C$2:$C$941="LT")*(RawData!$F$2:$F$941="Pass")*(RawData!$R$2:$R$941&lt;&gt;0)),1)),"")</f>
        <v/>
      </c>
      <c r="K13" s="4">
        <f>IFERROR(AGGREGATE(17,6,RawData!$R$2:$R$941/((RawData!$C$2:$C$941="LT")*(RawData!$F$2:$F$941="Pass")*(RawData!$R$2:$R$941&lt;&gt;0)),3)+1.5*(AGGREGATE(17,6,RawData!$R$2:$R$941/((RawData!$C$2:$C$941="LT")*(RawData!$F$2:$F$941="Pass")*(RawData!$R$2:$R$941&lt;&gt;0)),3)-AGGREGATE(17,6,RawData!$R$2:$R$941/((RawData!$C$2:$C$941="LT")*(RawData!$F$2:$F$941="Pass")*(RawData!$R$2:$R$941&lt;&gt;0)),1)),"")</f>
        <v/>
      </c>
      <c r="L13" s="7">
        <f>IFERROR(MAX($F13,$H13,$J13),"")</f>
        <v/>
      </c>
      <c r="M13" s="7">
        <f>IFERROR(MIN($G13,$I13,$K13),"")</f>
        <v/>
      </c>
      <c r="N13" s="4">
        <f>IFERROR(MAX($G13-$F13,$I13-$H13,$K13-$J13)/MIN($G13-$F13,$I13-$H13,$K13-$J13),"")</f>
        <v/>
      </c>
      <c r="O13" s="4">
        <f>IF($N13="","",IF($N13&lt;1.2,"Good",IF($N13&lt;1.5,"Review","Poor - non-normal")))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>
        <f>Config!$E$14</f>
        <v/>
      </c>
      <c r="D14" s="3">
        <f>Config!$F$14</f>
        <v/>
      </c>
      <c r="E14" s="3">
        <f>Config!$G$14</f>
        <v/>
      </c>
      <c r="F14" s="3">
        <f>Config!$F$14-3*Config!$G$14</f>
        <v/>
      </c>
      <c r="G14" s="3">
        <f>Config!$F$14+3*Config!$G$14</f>
        <v/>
      </c>
      <c r="H14" s="3">
        <f>IFERROR(AGGREGATE(16,6,RawData!$G$2:$G$941/((RawData!$C$2:$C$941="MT")*(RawData!$F$2:$F$941="Pass")*(RawData!$G$2:$G$941&lt;&gt;0)),0.01),"")</f>
        <v/>
      </c>
      <c r="I14" s="3">
        <f>IFERROR(AGGREGATE(16,6,RawData!$G$2:$G$941/((RawData!$C$2:$C$941="MT")*(RawData!$F$2:$F$941="Pass")*(RawData!$G$2:$G$941&lt;&gt;0)),0.99),"")</f>
        <v/>
      </c>
      <c r="J14" s="3">
        <f>IFERROR(AGGREGATE(17,6,RawData!$G$2:$G$941/((RawData!$C$2:$C$941="MT")*(RawData!$F$2:$F$941="Pass")*(RawData!$G$2:$G$941&lt;&gt;0)),1)-1.5*(AGGREGATE(17,6,RawData!$G$2:$G$941/((RawData!$C$2:$C$941="MT")*(RawData!$F$2:$F$941="Pass")*(RawData!$G$2:$G$941&lt;&gt;0)),3)-AGGREGATE(17,6,RawData!$G$2:$G$941/((RawData!$C$2:$C$941="MT")*(RawData!$F$2:$F$941="Pass")*(RawData!$G$2:$G$941&lt;&gt;0)),1)),"")</f>
        <v/>
      </c>
      <c r="K14" s="3">
        <f>IFERROR(AGGREGATE(17,6,RawData!$G$2:$G$941/((RawData!$C$2:$C$941="MT")*(RawData!$F$2:$F$941="Pass")*(RawData!$G$2:$G$941&lt;&gt;0)),3)+1.5*(AGGREGATE(17,6,RawData!$G$2:$G$941/((RawData!$C$2:$C$941="MT")*(RawData!$F$2:$F$941="Pass")*(RawData!$G$2:$G$941&lt;&gt;0)),3)-AGGREGATE(17,6,RawData!$G$2:$G$941/((RawData!$C$2:$C$941="MT")*(RawData!$F$2:$F$941="Pass")*(RawData!$G$2:$G$941&lt;&gt;0)),1)),"")</f>
        <v/>
      </c>
      <c r="L14" s="7">
        <f>IFERROR(MAX($F14,$H14,$J14),"")</f>
        <v/>
      </c>
      <c r="M14" s="7">
        <f>IFERROR(MIN($G14,$I14,$K14),"")</f>
        <v/>
      </c>
      <c r="N14" s="3">
        <f>IFERROR(MAX($G14-$F14,$I14-$H14,$K14-$J14)/MIN($G14-$F14,$I14-$H14,$K14-$J14),"")</f>
        <v/>
      </c>
      <c r="O14" s="3">
        <f>IF($N14="","",IF($N14&lt;1.2,"Good",IF($N14&lt;1.5,"Review","Poor - non-normal")))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>
        <f>Config!$E$15</f>
        <v/>
      </c>
      <c r="D15" s="4">
        <f>Config!$F$15</f>
        <v/>
      </c>
      <c r="E15" s="4">
        <f>Config!$G$15</f>
        <v/>
      </c>
      <c r="F15" s="4">
        <f>Config!$F$15-3*Config!$G$15</f>
        <v/>
      </c>
      <c r="G15" s="4">
        <f>Config!$F$15+3*Config!$G$15</f>
        <v/>
      </c>
      <c r="H15" s="4">
        <f>IFERROR(AGGREGATE(16,6,RawData!$H$2:$H$941/((RawData!$C$2:$C$941="MT")*(RawData!$F$2:$F$941="Pass")*(RawData!$H$2:$H$941&lt;&gt;0)),0.01),"")</f>
        <v/>
      </c>
      <c r="I15" s="4">
        <f>IFERROR(AGGREGATE(16,6,RawData!$H$2:$H$941/((RawData!$C$2:$C$941="MT")*(RawData!$F$2:$F$941="Pass")*(RawData!$H$2:$H$941&lt;&gt;0)),0.99),"")</f>
        <v/>
      </c>
      <c r="J15" s="4">
        <f>IFERROR(AGGREGATE(17,6,RawData!$H$2:$H$941/((RawData!$C$2:$C$941="MT")*(RawData!$F$2:$F$941="Pass")*(RawData!$H$2:$H$941&lt;&gt;0)),1)-1.5*(AGGREGATE(17,6,RawData!$H$2:$H$941/((RawData!$C$2:$C$941="MT")*(RawData!$F$2:$F$941="Pass")*(RawData!$H$2:$H$941&lt;&gt;0)),3)-AGGREGATE(17,6,RawData!$H$2:$H$941/((RawData!$C$2:$C$941="MT")*(RawData!$F$2:$F$941="Pass")*(RawData!$H$2:$H$941&lt;&gt;0)),1)),"")</f>
        <v/>
      </c>
      <c r="K15" s="4">
        <f>IFERROR(AGGREGATE(17,6,RawData!$H$2:$H$941/((RawData!$C$2:$C$941="MT")*(RawData!$F$2:$F$941="Pass")*(RawData!$H$2:$H$941&lt;&gt;0)),3)+1.5*(AGGREGATE(17,6,RawData!$H$2:$H$941/((RawData!$C$2:$C$941="MT")*(RawData!$F$2:$F$941="Pass")*(RawData!$H$2:$H$941&lt;&gt;0)),3)-AGGREGATE(17,6,RawData!$H$2:$H$941/((RawData!$C$2:$C$941="MT")*(RawData!$F$2:$F$941="Pass")*(RawData!$H$2:$H$941&lt;&gt;0)),1)),"")</f>
        <v/>
      </c>
      <c r="L15" s="7">
        <f>IFERROR(MAX($F15,$H15,$J15),"")</f>
        <v/>
      </c>
      <c r="M15" s="7">
        <f>IFERROR(MIN($G15,$I15,$K15),"")</f>
        <v/>
      </c>
      <c r="N15" s="4">
        <f>IFERROR(MAX($G15-$F15,$I15-$H15,$K15-$J15)/MIN($G15-$F15,$I15-$H15,$K15-$J15),"")</f>
        <v/>
      </c>
      <c r="O15" s="4">
        <f>IF($N15="","",IF($N15&lt;1.2,"Good",IF($N15&lt;1.5,"Review","Poor - non-normal")))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>
        <f>Config!$E$16</f>
        <v/>
      </c>
      <c r="D16" s="3">
        <f>Config!$F$16</f>
        <v/>
      </c>
      <c r="E16" s="3">
        <f>Config!$G$16</f>
        <v/>
      </c>
      <c r="F16" s="3">
        <f>Config!$F$16-3*Config!$G$16</f>
        <v/>
      </c>
      <c r="G16" s="3">
        <f>Config!$F$16+3*Config!$G$16</f>
        <v/>
      </c>
      <c r="H16" s="3">
        <f>IFERROR(AGGREGATE(16,6,RawData!$I$2:$I$941/((RawData!$C$2:$C$941="MT")*(RawData!$F$2:$F$941="Pass")*(RawData!$I$2:$I$941&lt;&gt;0)),0.01),"")</f>
        <v/>
      </c>
      <c r="I16" s="3">
        <f>IFERROR(AGGREGATE(16,6,RawData!$I$2:$I$941/((RawData!$C$2:$C$941="MT")*(RawData!$F$2:$F$941="Pass")*(RawData!$I$2:$I$941&lt;&gt;0)),0.99),"")</f>
        <v/>
      </c>
      <c r="J16" s="3">
        <f>IFERROR(AGGREGATE(17,6,RawData!$I$2:$I$941/((RawData!$C$2:$C$941="MT")*(RawData!$F$2:$F$941="Pass")*(RawData!$I$2:$I$941&lt;&gt;0)),1)-1.5*(AGGREGATE(17,6,RawData!$I$2:$I$941/((RawData!$C$2:$C$941="MT")*(RawData!$F$2:$F$941="Pass")*(RawData!$I$2:$I$941&lt;&gt;0)),3)-AGGREGATE(17,6,RawData!$I$2:$I$941/((RawData!$C$2:$C$941="MT")*(RawData!$F$2:$F$941="Pass")*(RawData!$I$2:$I$941&lt;&gt;0)),1)),"")</f>
        <v/>
      </c>
      <c r="K16" s="3">
        <f>IFERROR(AGGREGATE(17,6,RawData!$I$2:$I$941/((RawData!$C$2:$C$941="MT")*(RawData!$F$2:$F$941="Pass")*(RawData!$I$2:$I$941&lt;&gt;0)),3)+1.5*(AGGREGATE(17,6,RawData!$I$2:$I$941/((RawData!$C$2:$C$941="MT")*(RawData!$F$2:$F$941="Pass")*(RawData!$I$2:$I$941&lt;&gt;0)),3)-AGGREGATE(17,6,RawData!$I$2:$I$941/((RawData!$C$2:$C$941="MT")*(RawData!$F$2:$F$941="Pass")*(RawData!$I$2:$I$941&lt;&gt;0)),1)),"")</f>
        <v/>
      </c>
      <c r="L16" s="7">
        <f>IFERROR(MAX($F16,$H16,$J16),"")</f>
        <v/>
      </c>
      <c r="M16" s="7">
        <f>IFERROR(MIN($G16,$I16,$K16),"")</f>
        <v/>
      </c>
      <c r="N16" s="3">
        <f>IFERROR(MAX($G16-$F16,$I16-$H16,$K16-$J16)/MIN($G16-$F16,$I16-$H16,$K16-$J16),"")</f>
        <v/>
      </c>
      <c r="O16" s="3">
        <f>IF($N16="","",IF($N16&lt;1.2,"Good",IF($N16&lt;1.5,"Review","Poor - non-normal")))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>
        <f>Config!$E$17</f>
        <v/>
      </c>
      <c r="D17" s="4">
        <f>Config!$F$17</f>
        <v/>
      </c>
      <c r="E17" s="4">
        <f>Config!$G$17</f>
        <v/>
      </c>
      <c r="F17" s="4">
        <f>Config!$F$17-3*Config!$G$17</f>
        <v/>
      </c>
      <c r="G17" s="4">
        <f>Config!$F$17+3*Config!$G$17</f>
        <v/>
      </c>
      <c r="H17" s="4">
        <f>IFERROR(AGGREGATE(16,6,RawData!$J$2:$J$941/((RawData!$C$2:$C$941="MT")*(RawData!$F$2:$F$941="Pass")*(RawData!$J$2:$J$941&lt;&gt;0)),0.01),"")</f>
        <v/>
      </c>
      <c r="I17" s="4">
        <f>IFERROR(AGGREGATE(16,6,RawData!$J$2:$J$941/((RawData!$C$2:$C$941="MT")*(RawData!$F$2:$F$941="Pass")*(RawData!$J$2:$J$941&lt;&gt;0)),0.99),"")</f>
        <v/>
      </c>
      <c r="J17" s="4">
        <f>IFERROR(AGGREGATE(17,6,RawData!$J$2:$J$941/((RawData!$C$2:$C$941="MT")*(RawData!$F$2:$F$941="Pass")*(RawData!$J$2:$J$941&lt;&gt;0)),1)-1.5*(AGGREGATE(17,6,RawData!$J$2:$J$941/((RawData!$C$2:$C$941="MT")*(RawData!$F$2:$F$941="Pass")*(RawData!$J$2:$J$941&lt;&gt;0)),3)-AGGREGATE(17,6,RawData!$J$2:$J$941/((RawData!$C$2:$C$941="MT")*(RawData!$F$2:$F$941="Pass")*(RawData!$J$2:$J$941&lt;&gt;0)),1)),"")</f>
        <v/>
      </c>
      <c r="K17" s="4">
        <f>IFERROR(AGGREGATE(17,6,RawData!$J$2:$J$941/((RawData!$C$2:$C$941="MT")*(RawData!$F$2:$F$941="Pass")*(RawData!$J$2:$J$941&lt;&gt;0)),3)+1.5*(AGGREGATE(17,6,RawData!$J$2:$J$941/((RawData!$C$2:$C$941="MT")*(RawData!$F$2:$F$941="Pass")*(RawData!$J$2:$J$941&lt;&gt;0)),3)-AGGREGATE(17,6,RawData!$J$2:$J$941/((RawData!$C$2:$C$941="MT")*(RawData!$F$2:$F$941="Pass")*(RawData!$J$2:$J$941&lt;&gt;0)),1)),"")</f>
        <v/>
      </c>
      <c r="L17" s="7">
        <f>IFERROR(MAX($F17,$H17,$J17),"")</f>
        <v/>
      </c>
      <c r="M17" s="7">
        <f>IFERROR(MIN($G17,$I17,$K17),"")</f>
        <v/>
      </c>
      <c r="N17" s="4">
        <f>IFERROR(MAX($G17-$F17,$I17-$H17,$K17-$J17)/MIN($G17-$F17,$I17-$H17,$K17-$J17),"")</f>
        <v/>
      </c>
      <c r="O17" s="4">
        <f>IF($N17="","",IF($N17&lt;1.2,"Good",IF($N17&lt;1.5,"Review","Poor - non-normal")))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>
        <f>Config!$E$18</f>
        <v/>
      </c>
      <c r="D18" s="3">
        <f>Config!$F$18</f>
        <v/>
      </c>
      <c r="E18" s="3">
        <f>Config!$G$18</f>
        <v/>
      </c>
      <c r="F18" s="3">
        <f>Config!$F$18-3*Config!$G$18</f>
        <v/>
      </c>
      <c r="G18" s="3">
        <f>Config!$F$18+3*Config!$G$18</f>
        <v/>
      </c>
      <c r="H18" s="3">
        <f>IFERROR(AGGREGATE(16,6,RawData!$K$2:$K$941/((RawData!$C$2:$C$941="MT")*(RawData!$F$2:$F$941="Pass")*(RawData!$K$2:$K$941&lt;&gt;0)),0.01),"")</f>
        <v/>
      </c>
      <c r="I18" s="3">
        <f>IFERROR(AGGREGATE(16,6,RawData!$K$2:$K$941/((RawData!$C$2:$C$941="MT")*(RawData!$F$2:$F$941="Pass")*(RawData!$K$2:$K$941&lt;&gt;0)),0.99),"")</f>
        <v/>
      </c>
      <c r="J18" s="3">
        <f>IFERROR(AGGREGATE(17,6,RawData!$K$2:$K$941/((RawData!$C$2:$C$941="MT")*(RawData!$F$2:$F$941="Pass")*(RawData!$K$2:$K$941&lt;&gt;0)),1)-1.5*(AGGREGATE(17,6,RawData!$K$2:$K$941/((RawData!$C$2:$C$941="MT")*(RawData!$F$2:$F$941="Pass")*(RawData!$K$2:$K$941&lt;&gt;0)),3)-AGGREGATE(17,6,RawData!$K$2:$K$941/((RawData!$C$2:$C$941="MT")*(RawData!$F$2:$F$941="Pass")*(RawData!$K$2:$K$941&lt;&gt;0)),1)),"")</f>
        <v/>
      </c>
      <c r="K18" s="3">
        <f>IFERROR(AGGREGATE(17,6,RawData!$K$2:$K$941/((RawData!$C$2:$C$941="MT")*(RawData!$F$2:$F$941="Pass")*(RawData!$K$2:$K$941&lt;&gt;0)),3)+1.5*(AGGREGATE(17,6,RawData!$K$2:$K$941/((RawData!$C$2:$C$941="MT")*(RawData!$F$2:$F$941="Pass")*(RawData!$K$2:$K$941&lt;&gt;0)),3)-AGGREGATE(17,6,RawData!$K$2:$K$941/((RawData!$C$2:$C$941="MT")*(RawData!$F$2:$F$941="Pass")*(RawData!$K$2:$K$941&lt;&gt;0)),1)),"")</f>
        <v/>
      </c>
      <c r="L18" s="7">
        <f>IFERROR(MAX($F18,$H18,$J18),"")</f>
        <v/>
      </c>
      <c r="M18" s="7">
        <f>IFERROR(MIN($G18,$I18,$K18),"")</f>
        <v/>
      </c>
      <c r="N18" s="3">
        <f>IFERROR(MAX($G18-$F18,$I18-$H18,$K18-$J18)/MIN($G18-$F18,$I18-$H18,$K18-$J18),"")</f>
        <v/>
      </c>
      <c r="O18" s="3">
        <f>IF($N18="","",IF($N18&lt;1.2,"Good",IF($N18&lt;1.5,"Review","Poor - non-normal")))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>
        <f>Config!$E$19</f>
        <v/>
      </c>
      <c r="D19" s="4">
        <f>Config!$F$19</f>
        <v/>
      </c>
      <c r="E19" s="4">
        <f>Config!$G$19</f>
        <v/>
      </c>
      <c r="F19" s="4">
        <f>Config!$F$19-3*Config!$G$19</f>
        <v/>
      </c>
      <c r="G19" s="4">
        <f>Config!$F$19+3*Config!$G$19</f>
        <v/>
      </c>
      <c r="H19" s="4">
        <f>IFERROR(AGGREGATE(16,6,RawData!$L$2:$L$941/((RawData!$C$2:$C$941="MT")*(RawData!$F$2:$F$941="Pass")*(RawData!$L$2:$L$941&lt;&gt;0)),0.01),"")</f>
        <v/>
      </c>
      <c r="I19" s="4">
        <f>IFERROR(AGGREGATE(16,6,RawData!$L$2:$L$941/((RawData!$C$2:$C$941="MT")*(RawData!$F$2:$F$941="Pass")*(RawData!$L$2:$L$941&lt;&gt;0)),0.99),"")</f>
        <v/>
      </c>
      <c r="J19" s="4">
        <f>IFERROR(AGGREGATE(17,6,RawData!$L$2:$L$941/((RawData!$C$2:$C$941="MT")*(RawData!$F$2:$F$941="Pass")*(RawData!$L$2:$L$941&lt;&gt;0)),1)-1.5*(AGGREGATE(17,6,RawData!$L$2:$L$941/((RawData!$C$2:$C$941="MT")*(RawData!$F$2:$F$941="Pass")*(RawData!$L$2:$L$941&lt;&gt;0)),3)-AGGREGATE(17,6,RawData!$L$2:$L$941/((RawData!$C$2:$C$941="MT")*(RawData!$F$2:$F$941="Pass")*(RawData!$L$2:$L$941&lt;&gt;0)),1)),"")</f>
        <v/>
      </c>
      <c r="K19" s="4">
        <f>IFERROR(AGGREGATE(17,6,RawData!$L$2:$L$941/((RawData!$C$2:$C$941="MT")*(RawData!$F$2:$F$941="Pass")*(RawData!$L$2:$L$941&lt;&gt;0)),3)+1.5*(AGGREGATE(17,6,RawData!$L$2:$L$941/((RawData!$C$2:$C$941="MT")*(RawData!$F$2:$F$941="Pass")*(RawData!$L$2:$L$941&lt;&gt;0)),3)-AGGREGATE(17,6,RawData!$L$2:$L$941/((RawData!$C$2:$C$941="MT")*(RawData!$F$2:$F$941="Pass")*(RawData!$L$2:$L$941&lt;&gt;0)),1)),"")</f>
        <v/>
      </c>
      <c r="L19" s="7">
        <f>IFERROR(MAX($F19,$H19,$J19),"")</f>
        <v/>
      </c>
      <c r="M19" s="7">
        <f>IFERROR(MIN($G19,$I19,$K19),"")</f>
        <v/>
      </c>
      <c r="N19" s="4">
        <f>IFERROR(MAX($G19-$F19,$I19-$H19,$K19-$J19)/MIN($G19-$F19,$I19-$H19,$K19-$J19),"")</f>
        <v/>
      </c>
      <c r="O19" s="4">
        <f>IF($N19="","",IF($N19&lt;1.2,"Good",IF($N19&lt;1.5,"Review","Poor - non-normal")))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>
        <f>Config!$E$20</f>
        <v/>
      </c>
      <c r="D20" s="3">
        <f>Config!$F$20</f>
        <v/>
      </c>
      <c r="E20" s="3">
        <f>Config!$G$20</f>
        <v/>
      </c>
      <c r="F20" s="3">
        <f>Config!$F$20-3*Config!$G$20</f>
        <v/>
      </c>
      <c r="G20" s="3">
        <f>Config!$F$20+3*Config!$G$20</f>
        <v/>
      </c>
      <c r="H20" s="3">
        <f>IFERROR(AGGREGATE(16,6,RawData!$M$2:$M$941/((RawData!$C$2:$C$941="MT")*(RawData!$F$2:$F$941="Pass")*(RawData!$M$2:$M$941&lt;&gt;0)),0.01),"")</f>
        <v/>
      </c>
      <c r="I20" s="3">
        <f>IFERROR(AGGREGATE(16,6,RawData!$M$2:$M$941/((RawData!$C$2:$C$941="MT")*(RawData!$F$2:$F$941="Pass")*(RawData!$M$2:$M$941&lt;&gt;0)),0.99),"")</f>
        <v/>
      </c>
      <c r="J20" s="3">
        <f>IFERROR(AGGREGATE(17,6,RawData!$M$2:$M$941/((RawData!$C$2:$C$941="MT")*(RawData!$F$2:$F$941="Pass")*(RawData!$M$2:$M$941&lt;&gt;0)),1)-1.5*(AGGREGATE(17,6,RawData!$M$2:$M$941/((RawData!$C$2:$C$941="MT")*(RawData!$F$2:$F$941="Pass")*(RawData!$M$2:$M$941&lt;&gt;0)),3)-AGGREGATE(17,6,RawData!$M$2:$M$941/((RawData!$C$2:$C$941="MT")*(RawData!$F$2:$F$941="Pass")*(RawData!$M$2:$M$941&lt;&gt;0)),1)),"")</f>
        <v/>
      </c>
      <c r="K20" s="3">
        <f>IFERROR(AGGREGATE(17,6,RawData!$M$2:$M$941/((RawData!$C$2:$C$941="MT")*(RawData!$F$2:$F$941="Pass")*(RawData!$M$2:$M$941&lt;&gt;0)),3)+1.5*(AGGREGATE(17,6,RawData!$M$2:$M$941/((RawData!$C$2:$C$941="MT")*(RawData!$F$2:$F$941="Pass")*(RawData!$M$2:$M$941&lt;&gt;0)),3)-AGGREGATE(17,6,RawData!$M$2:$M$941/((RawData!$C$2:$C$941="MT")*(RawData!$F$2:$F$941="Pass")*(RawData!$M$2:$M$941&lt;&gt;0)),1)),"")</f>
        <v/>
      </c>
      <c r="L20" s="7">
        <f>IFERROR(MAX($F20,$H20,$J20),"")</f>
        <v/>
      </c>
      <c r="M20" s="7">
        <f>IFERROR(MIN($G20,$I20,$K20),"")</f>
        <v/>
      </c>
      <c r="N20" s="3">
        <f>IFERROR(MAX($G20-$F20,$I20-$H20,$K20-$J20)/MIN($G20-$F20,$I20-$H20,$K20-$J20),"")</f>
        <v/>
      </c>
      <c r="O20" s="3">
        <f>IF($N20="","",IF($N20&lt;1.2,"Good",IF($N20&lt;1.5,"Review","Poor - non-normal")))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>
        <f>Config!$E$21</f>
        <v/>
      </c>
      <c r="D21" s="4">
        <f>Config!$F$21</f>
        <v/>
      </c>
      <c r="E21" s="4">
        <f>Config!$G$21</f>
        <v/>
      </c>
      <c r="F21" s="4">
        <f>Config!$F$21-3*Config!$G$21</f>
        <v/>
      </c>
      <c r="G21" s="4">
        <f>Config!$F$21+3*Config!$G$21</f>
        <v/>
      </c>
      <c r="H21" s="4">
        <f>IFERROR(AGGREGATE(16,6,RawData!$N$2:$N$941/((RawData!$C$2:$C$941="MT")*(RawData!$F$2:$F$941="Pass")*(RawData!$N$2:$N$941&lt;&gt;0)),0.01),"")</f>
        <v/>
      </c>
      <c r="I21" s="4">
        <f>IFERROR(AGGREGATE(16,6,RawData!$N$2:$N$941/((RawData!$C$2:$C$941="MT")*(RawData!$F$2:$F$941="Pass")*(RawData!$N$2:$N$941&lt;&gt;0)),0.99),"")</f>
        <v/>
      </c>
      <c r="J21" s="4">
        <f>IFERROR(AGGREGATE(17,6,RawData!$N$2:$N$941/((RawData!$C$2:$C$941="MT")*(RawData!$F$2:$F$941="Pass")*(RawData!$N$2:$N$941&lt;&gt;0)),1)-1.5*(AGGREGATE(17,6,RawData!$N$2:$N$941/((RawData!$C$2:$C$941="MT")*(RawData!$F$2:$F$941="Pass")*(RawData!$N$2:$N$941&lt;&gt;0)),3)-AGGREGATE(17,6,RawData!$N$2:$N$941/((RawData!$C$2:$C$941="MT")*(RawData!$F$2:$F$941="Pass")*(RawData!$N$2:$N$941&lt;&gt;0)),1)),"")</f>
        <v/>
      </c>
      <c r="K21" s="4">
        <f>IFERROR(AGGREGATE(17,6,RawData!$N$2:$N$941/((RawData!$C$2:$C$941="MT")*(RawData!$F$2:$F$941="Pass")*(RawData!$N$2:$N$941&lt;&gt;0)),3)+1.5*(AGGREGATE(17,6,RawData!$N$2:$N$941/((RawData!$C$2:$C$941="MT")*(RawData!$F$2:$F$941="Pass")*(RawData!$N$2:$N$941&lt;&gt;0)),3)-AGGREGATE(17,6,RawData!$N$2:$N$941/((RawData!$C$2:$C$941="MT")*(RawData!$F$2:$F$941="Pass")*(RawData!$N$2:$N$941&lt;&gt;0)),1)),"")</f>
        <v/>
      </c>
      <c r="L21" s="7">
        <f>IFERROR(MAX($F21,$H21,$J21),"")</f>
        <v/>
      </c>
      <c r="M21" s="7">
        <f>IFERROR(MIN($G21,$I21,$K21),"")</f>
        <v/>
      </c>
      <c r="N21" s="4">
        <f>IFERROR(MAX($G21-$F21,$I21-$H21,$K21-$J21)/MIN($G21-$F21,$I21-$H21,$K21-$J21),"")</f>
        <v/>
      </c>
      <c r="O21" s="4">
        <f>IF($N21="","",IF($N21&lt;1.2,"Good",IF($N21&lt;1.5,"Review","Poor - non-normal")))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>
        <f>Config!$E$22</f>
        <v/>
      </c>
      <c r="D22" s="3">
        <f>Config!$F$22</f>
        <v/>
      </c>
      <c r="E22" s="3">
        <f>Config!$G$22</f>
        <v/>
      </c>
      <c r="F22" s="3">
        <f>Config!$F$22-3*Config!$G$22</f>
        <v/>
      </c>
      <c r="G22" s="3">
        <f>Config!$F$22+3*Config!$G$22</f>
        <v/>
      </c>
      <c r="H22" s="3">
        <f>IFERROR(AGGREGATE(16,6,RawData!$O$2:$O$941/((RawData!$C$2:$C$941="MT")*(RawData!$F$2:$F$941="Pass")*(RawData!$O$2:$O$941&lt;&gt;0)),0.01),"")</f>
        <v/>
      </c>
      <c r="I22" s="3">
        <f>IFERROR(AGGREGATE(16,6,RawData!$O$2:$O$941/((RawData!$C$2:$C$941="MT")*(RawData!$F$2:$F$941="Pass")*(RawData!$O$2:$O$941&lt;&gt;0)),0.99),"")</f>
        <v/>
      </c>
      <c r="J22" s="3">
        <f>IFERROR(AGGREGATE(17,6,RawData!$O$2:$O$941/((RawData!$C$2:$C$941="MT")*(RawData!$F$2:$F$941="Pass")*(RawData!$O$2:$O$941&lt;&gt;0)),1)-1.5*(AGGREGATE(17,6,RawData!$O$2:$O$941/((RawData!$C$2:$C$941="MT")*(RawData!$F$2:$F$941="Pass")*(RawData!$O$2:$O$941&lt;&gt;0)),3)-AGGREGATE(17,6,RawData!$O$2:$O$941/((RawData!$C$2:$C$941="MT")*(RawData!$F$2:$F$941="Pass")*(RawData!$O$2:$O$941&lt;&gt;0)),1)),"")</f>
        <v/>
      </c>
      <c r="K22" s="3">
        <f>IFERROR(AGGREGATE(17,6,RawData!$O$2:$O$941/((RawData!$C$2:$C$941="MT")*(RawData!$F$2:$F$941="Pass")*(RawData!$O$2:$O$941&lt;&gt;0)),3)+1.5*(AGGREGATE(17,6,RawData!$O$2:$O$941/((RawData!$C$2:$C$941="MT")*(RawData!$F$2:$F$941="Pass")*(RawData!$O$2:$O$941&lt;&gt;0)),3)-AGGREGATE(17,6,RawData!$O$2:$O$941/((RawData!$C$2:$C$941="MT")*(RawData!$F$2:$F$941="Pass")*(RawData!$O$2:$O$941&lt;&gt;0)),1)),"")</f>
        <v/>
      </c>
      <c r="L22" s="7">
        <f>IFERROR(MAX($F22,$H22,$J22),"")</f>
        <v/>
      </c>
      <c r="M22" s="7">
        <f>IFERROR(MIN($G22,$I22,$K22),"")</f>
        <v/>
      </c>
      <c r="N22" s="3">
        <f>IFERROR(MAX($G22-$F22,$I22-$H22,$K22-$J22)/MIN($G22-$F22,$I22-$H22,$K22-$J22),"")</f>
        <v/>
      </c>
      <c r="O22" s="3">
        <f>IF($N22="","",IF($N22&lt;1.2,"Good",IF($N22&lt;1.5,"Review","Poor - non-normal")))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>
        <f>Config!$E$23</f>
        <v/>
      </c>
      <c r="D23" s="4">
        <f>Config!$F$23</f>
        <v/>
      </c>
      <c r="E23" s="4">
        <f>Config!$G$23</f>
        <v/>
      </c>
      <c r="F23" s="4">
        <f>Config!$F$23-3*Config!$G$23</f>
        <v/>
      </c>
      <c r="G23" s="4">
        <f>Config!$F$23+3*Config!$G$23</f>
        <v/>
      </c>
      <c r="H23" s="4">
        <f>IFERROR(AGGREGATE(16,6,RawData!$P$2:$P$941/((RawData!$C$2:$C$941="MT")*(RawData!$F$2:$F$941="Pass")*(RawData!$P$2:$P$941&lt;&gt;0)),0.01),"")</f>
        <v/>
      </c>
      <c r="I23" s="4">
        <f>IFERROR(AGGREGATE(16,6,RawData!$P$2:$P$941/((RawData!$C$2:$C$941="MT")*(RawData!$F$2:$F$941="Pass")*(RawData!$P$2:$P$941&lt;&gt;0)),0.99),"")</f>
        <v/>
      </c>
      <c r="J23" s="4">
        <f>IFERROR(AGGREGATE(17,6,RawData!$P$2:$P$941/((RawData!$C$2:$C$941="MT")*(RawData!$F$2:$F$941="Pass")*(RawData!$P$2:$P$941&lt;&gt;0)),1)-1.5*(AGGREGATE(17,6,RawData!$P$2:$P$941/((RawData!$C$2:$C$941="MT")*(RawData!$F$2:$F$941="Pass")*(RawData!$P$2:$P$941&lt;&gt;0)),3)-AGGREGATE(17,6,RawData!$P$2:$P$941/((RawData!$C$2:$C$941="MT")*(RawData!$F$2:$F$941="Pass")*(RawData!$P$2:$P$941&lt;&gt;0)),1)),"")</f>
        <v/>
      </c>
      <c r="K23" s="4">
        <f>IFERROR(AGGREGATE(17,6,RawData!$P$2:$P$941/((RawData!$C$2:$C$941="MT")*(RawData!$F$2:$F$941="Pass")*(RawData!$P$2:$P$941&lt;&gt;0)),3)+1.5*(AGGREGATE(17,6,RawData!$P$2:$P$941/((RawData!$C$2:$C$941="MT")*(RawData!$F$2:$F$941="Pass")*(RawData!$P$2:$P$941&lt;&gt;0)),3)-AGGREGATE(17,6,RawData!$P$2:$P$941/((RawData!$C$2:$C$941="MT")*(RawData!$F$2:$F$941="Pass")*(RawData!$P$2:$P$941&lt;&gt;0)),1)),"")</f>
        <v/>
      </c>
      <c r="L23" s="7">
        <f>IFERROR(MAX($F23,$H23,$J23),"")</f>
        <v/>
      </c>
      <c r="M23" s="7">
        <f>IFERROR(MIN($G23,$I23,$K23),"")</f>
        <v/>
      </c>
      <c r="N23" s="4">
        <f>IFERROR(MAX($G23-$F23,$I23-$H23,$K23-$J23)/MIN($G23-$F23,$I23-$H23,$K23-$J23),"")</f>
        <v/>
      </c>
      <c r="O23" s="4">
        <f>IF($N23="","",IF($N23&lt;1.2,"Good",IF($N23&lt;1.5,"Review","Poor - non-normal")))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>
        <f>Config!$E$24</f>
        <v/>
      </c>
      <c r="D24" s="3">
        <f>Config!$F$24</f>
        <v/>
      </c>
      <c r="E24" s="3">
        <f>Config!$G$24</f>
        <v/>
      </c>
      <c r="F24" s="3">
        <f>Config!$F$24-3*Config!$G$24</f>
        <v/>
      </c>
      <c r="G24" s="3">
        <f>Config!$F$24+3*Config!$G$24</f>
        <v/>
      </c>
      <c r="H24" s="3">
        <f>IFERROR(AGGREGATE(16,6,RawData!$Q$2:$Q$941/((RawData!$C$2:$C$941="MT")*(RawData!$F$2:$F$941="Pass")*(RawData!$Q$2:$Q$941&lt;&gt;0)),0.01),"")</f>
        <v/>
      </c>
      <c r="I24" s="3">
        <f>IFERROR(AGGREGATE(16,6,RawData!$Q$2:$Q$941/((RawData!$C$2:$C$941="MT")*(RawData!$F$2:$F$941="Pass")*(RawData!$Q$2:$Q$941&lt;&gt;0)),0.99),"")</f>
        <v/>
      </c>
      <c r="J24" s="3">
        <f>IFERROR(AGGREGATE(17,6,RawData!$Q$2:$Q$941/((RawData!$C$2:$C$941="MT")*(RawData!$F$2:$F$941="Pass")*(RawData!$Q$2:$Q$941&lt;&gt;0)),1)-1.5*(AGGREGATE(17,6,RawData!$Q$2:$Q$941/((RawData!$C$2:$C$941="MT")*(RawData!$F$2:$F$941="Pass")*(RawData!$Q$2:$Q$941&lt;&gt;0)),3)-AGGREGATE(17,6,RawData!$Q$2:$Q$941/((RawData!$C$2:$C$941="MT")*(RawData!$F$2:$F$941="Pass")*(RawData!$Q$2:$Q$941&lt;&gt;0)),1)),"")</f>
        <v/>
      </c>
      <c r="K24" s="3">
        <f>IFERROR(AGGREGATE(17,6,RawData!$Q$2:$Q$941/((RawData!$C$2:$C$941="MT")*(RawData!$F$2:$F$941="Pass")*(RawData!$Q$2:$Q$941&lt;&gt;0)),3)+1.5*(AGGREGATE(17,6,RawData!$Q$2:$Q$941/((RawData!$C$2:$C$941="MT")*(RawData!$F$2:$F$941="Pass")*(RawData!$Q$2:$Q$941&lt;&gt;0)),3)-AGGREGATE(17,6,RawData!$Q$2:$Q$941/((RawData!$C$2:$C$941="MT")*(RawData!$F$2:$F$941="Pass")*(RawData!$Q$2:$Q$941&lt;&gt;0)),1)),"")</f>
        <v/>
      </c>
      <c r="L24" s="7">
        <f>IFERROR(MAX($F24,$H24,$J24),"")</f>
        <v/>
      </c>
      <c r="M24" s="7">
        <f>IFERROR(MIN($G24,$I24,$K24),"")</f>
        <v/>
      </c>
      <c r="N24" s="3">
        <f>IFERROR(MAX($G24-$F24,$I24-$H24,$K24-$J24)/MIN($G24-$F24,$I24-$H24,$K24-$J24),"")</f>
        <v/>
      </c>
      <c r="O24" s="3">
        <f>IF($N24="","",IF($N24&lt;1.2,"Good",IF($N24&lt;1.5,"Review","Poor - non-normal")))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>
        <f>Config!$E$25</f>
        <v/>
      </c>
      <c r="D25" s="4">
        <f>Config!$F$25</f>
        <v/>
      </c>
      <c r="E25" s="4">
        <f>Config!$G$25</f>
        <v/>
      </c>
      <c r="F25" s="4">
        <f>Config!$F$25-3*Config!$G$25</f>
        <v/>
      </c>
      <c r="G25" s="4">
        <f>Config!$F$25+3*Config!$G$25</f>
        <v/>
      </c>
      <c r="H25" s="4">
        <f>IFERROR(AGGREGATE(16,6,RawData!$R$2:$R$941/((RawData!$C$2:$C$941="MT")*(RawData!$F$2:$F$941="Pass")*(RawData!$R$2:$R$941&lt;&gt;0)),0.01),"")</f>
        <v/>
      </c>
      <c r="I25" s="4">
        <f>IFERROR(AGGREGATE(16,6,RawData!$R$2:$R$941/((RawData!$C$2:$C$941="MT")*(RawData!$F$2:$F$941="Pass")*(RawData!$R$2:$R$941&lt;&gt;0)),0.99),"")</f>
        <v/>
      </c>
      <c r="J25" s="4">
        <f>IFERROR(AGGREGATE(17,6,RawData!$R$2:$R$941/((RawData!$C$2:$C$941="MT")*(RawData!$F$2:$F$941="Pass")*(RawData!$R$2:$R$941&lt;&gt;0)),1)-1.5*(AGGREGATE(17,6,RawData!$R$2:$R$941/((RawData!$C$2:$C$941="MT")*(RawData!$F$2:$F$941="Pass")*(RawData!$R$2:$R$941&lt;&gt;0)),3)-AGGREGATE(17,6,RawData!$R$2:$R$941/((RawData!$C$2:$C$941="MT")*(RawData!$F$2:$F$941="Pass")*(RawData!$R$2:$R$941&lt;&gt;0)),1)),"")</f>
        <v/>
      </c>
      <c r="K25" s="4">
        <f>IFERROR(AGGREGATE(17,6,RawData!$R$2:$R$941/((RawData!$C$2:$C$941="MT")*(RawData!$F$2:$F$941="Pass")*(RawData!$R$2:$R$941&lt;&gt;0)),3)+1.5*(AGGREGATE(17,6,RawData!$R$2:$R$941/((RawData!$C$2:$C$941="MT")*(RawData!$F$2:$F$941="Pass")*(RawData!$R$2:$R$941&lt;&gt;0)),3)-AGGREGATE(17,6,RawData!$R$2:$R$941/((RawData!$C$2:$C$941="MT")*(RawData!$F$2:$F$941="Pass")*(RawData!$R$2:$R$941&lt;&gt;0)),1)),"")</f>
        <v/>
      </c>
      <c r="L25" s="7">
        <f>IFERROR(MAX($F25,$H25,$J25),"")</f>
        <v/>
      </c>
      <c r="M25" s="7">
        <f>IFERROR(MIN($G25,$I25,$K25),"")</f>
        <v/>
      </c>
      <c r="N25" s="4">
        <f>IFERROR(MAX($G25-$F25,$I25-$H25,$K25-$J25)/MIN($G25-$F25,$I25-$H25,$K25-$J25),"")</f>
        <v/>
      </c>
      <c r="O25" s="4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3" t="inlineStr">
        <is>
          <t>04M2225120168</t>
        </is>
      </c>
      <c r="B2" s="3" t="inlineStr">
        <is>
          <t>LT</t>
        </is>
      </c>
      <c r="C2" s="3" t="inlineStr">
        <is>
          <t>CRS0000675</t>
        </is>
      </c>
      <c r="D2" s="8" t="n">
        <v>46038</v>
      </c>
      <c r="E2" s="3" t="inlineStr">
        <is>
          <t>Fail</t>
        </is>
      </c>
      <c r="F2" s="9" t="inlineStr">
        <is>
          <t>YES</t>
        </is>
      </c>
      <c r="G2" s="3" t="inlineStr">
        <is>
          <t>Inlet/Outlet Delta</t>
        </is>
      </c>
      <c r="H2" s="3" t="n">
        <v>2024</v>
      </c>
      <c r="I2" s="3" t="n">
        <v>1451.37</v>
      </c>
    </row>
    <row r="3">
      <c r="A3" s="4" t="inlineStr">
        <is>
          <t>04M2225120168</t>
        </is>
      </c>
      <c r="B3" s="4" t="inlineStr">
        <is>
          <t>LT</t>
        </is>
      </c>
      <c r="C3" s="4" t="inlineStr">
        <is>
          <t>CRS0000675</t>
        </is>
      </c>
      <c r="D3" s="10" t="n">
        <v>46038</v>
      </c>
      <c r="E3" s="4" t="inlineStr">
        <is>
          <t>Fail</t>
        </is>
      </c>
      <c r="F3" s="9" t="inlineStr">
        <is>
          <t>YES</t>
        </is>
      </c>
      <c r="G3" s="4" t="inlineStr">
        <is>
          <t>Inlet/Outlet Delta</t>
        </is>
      </c>
      <c r="H3" s="4" t="n">
        <v>2022.7</v>
      </c>
      <c r="I3" s="4" t="n">
        <v>1450.44</v>
      </c>
    </row>
    <row r="4">
      <c r="A4" s="3" t="inlineStr">
        <is>
          <t>04M2225120168</t>
        </is>
      </c>
      <c r="B4" s="3" t="inlineStr">
        <is>
          <t>LT</t>
        </is>
      </c>
      <c r="C4" s="3" t="inlineStr">
        <is>
          <t>CRS0000675</t>
        </is>
      </c>
      <c r="D4" s="8" t="n">
        <v>46038</v>
      </c>
      <c r="E4" s="3" t="inlineStr">
        <is>
          <t>Fail</t>
        </is>
      </c>
      <c r="F4" s="9" t="inlineStr">
        <is>
          <t>YES</t>
        </is>
      </c>
      <c r="G4" s="3" t="inlineStr">
        <is>
          <t>Evap Outlet Air Temp</t>
        </is>
      </c>
      <c r="H4" s="3" t="n">
        <v>-1952</v>
      </c>
      <c r="I4" s="3" t="n">
        <v>909.35</v>
      </c>
    </row>
    <row r="5">
      <c r="A5" s="4" t="inlineStr">
        <is>
          <t>04M2225120168</t>
        </is>
      </c>
      <c r="B5" s="4" t="inlineStr">
        <is>
          <t>LT</t>
        </is>
      </c>
      <c r="C5" s="4" t="inlineStr">
        <is>
          <t>CRS0000675</t>
        </is>
      </c>
      <c r="D5" s="10" t="n">
        <v>46038</v>
      </c>
      <c r="E5" s="4" t="inlineStr">
        <is>
          <t>Fail</t>
        </is>
      </c>
      <c r="F5" s="9" t="inlineStr">
        <is>
          <t>YES</t>
        </is>
      </c>
      <c r="G5" s="4" t="inlineStr">
        <is>
          <t>Evap Outlet Air Temp</t>
        </is>
      </c>
      <c r="H5" s="4" t="n">
        <v>-1952</v>
      </c>
      <c r="I5" s="4" t="n">
        <v>909.35</v>
      </c>
    </row>
    <row r="6">
      <c r="A6" s="3" t="inlineStr">
        <is>
          <t>04C1026120845</t>
        </is>
      </c>
      <c r="B6" s="3" t="inlineStr">
        <is>
          <t>LT</t>
        </is>
      </c>
      <c r="C6" s="3" t="inlineStr">
        <is>
          <t>CRS0000675</t>
        </is>
      </c>
      <c r="D6" s="8" t="n">
        <v>46091</v>
      </c>
      <c r="E6" s="3" t="inlineStr">
        <is>
          <t>Fail</t>
        </is>
      </c>
      <c r="F6" s="9" t="inlineStr">
        <is>
          <t>YES</t>
        </is>
      </c>
      <c r="G6" s="3" t="inlineStr">
        <is>
          <t>Evap Inlet Ret Bend A</t>
        </is>
      </c>
      <c r="H6" s="3" t="n">
        <v>-1973.8</v>
      </c>
      <c r="I6" s="3" t="n">
        <v>410.96</v>
      </c>
    </row>
    <row r="7">
      <c r="A7" s="4" t="inlineStr">
        <is>
          <t>04C1326120945</t>
        </is>
      </c>
      <c r="B7" s="4" t="inlineStr">
        <is>
          <t>MT</t>
        </is>
      </c>
      <c r="C7" s="4" t="inlineStr">
        <is>
          <t>CRS0000674</t>
        </is>
      </c>
      <c r="D7" s="10" t="n">
        <v>46097</v>
      </c>
      <c r="E7" s="4" t="inlineStr">
        <is>
          <t>Fail</t>
        </is>
      </c>
      <c r="F7" s="9" t="inlineStr">
        <is>
          <t>YES</t>
        </is>
      </c>
      <c r="G7" s="4" t="inlineStr">
        <is>
          <t>Evap Inlet Ret Bend A</t>
        </is>
      </c>
      <c r="H7" s="4" t="n">
        <v>156</v>
      </c>
      <c r="I7" s="4" t="n">
        <v>26.68</v>
      </c>
    </row>
    <row r="8">
      <c r="A8" s="3" t="inlineStr">
        <is>
          <t>04C1326120945</t>
        </is>
      </c>
      <c r="B8" s="3" t="inlineStr">
        <is>
          <t>MT</t>
        </is>
      </c>
      <c r="C8" s="3" t="inlineStr">
        <is>
          <t>CRS0000674</t>
        </is>
      </c>
      <c r="D8" s="8" t="n">
        <v>46097</v>
      </c>
      <c r="E8" s="3" t="inlineStr">
        <is>
          <t>Fail</t>
        </is>
      </c>
      <c r="F8" s="9" t="inlineStr">
        <is>
          <t>YES</t>
        </is>
      </c>
      <c r="G8" s="3" t="inlineStr">
        <is>
          <t>Evap Inlet Ret Bend A</t>
        </is>
      </c>
      <c r="H8" s="3" t="n">
        <v>153.3</v>
      </c>
      <c r="I8" s="3" t="n">
        <v>25.72</v>
      </c>
    </row>
    <row r="9">
      <c r="A9" s="4" t="inlineStr">
        <is>
          <t>04C1326120945</t>
        </is>
      </c>
      <c r="B9" s="4" t="inlineStr">
        <is>
          <t>MT</t>
        </is>
      </c>
      <c r="C9" s="4" t="inlineStr">
        <is>
          <t>CRS0000674</t>
        </is>
      </c>
      <c r="D9" s="10" t="n">
        <v>46095</v>
      </c>
      <c r="E9" s="4" t="inlineStr">
        <is>
          <t>Fail</t>
        </is>
      </c>
      <c r="F9" s="9" t="inlineStr">
        <is>
          <t>YES</t>
        </is>
      </c>
      <c r="G9" s="4" t="inlineStr">
        <is>
          <t>Evap Inlet Ret Bend A</t>
        </is>
      </c>
      <c r="H9" s="4" t="n">
        <v>148.3</v>
      </c>
      <c r="I9" s="4" t="n">
        <v>23.95</v>
      </c>
    </row>
    <row r="10">
      <c r="A10" s="3" t="inlineStr">
        <is>
          <t>04C1126120904</t>
        </is>
      </c>
      <c r="B10" s="3" t="inlineStr">
        <is>
          <t>MT</t>
        </is>
      </c>
      <c r="C10" s="3" t="inlineStr">
        <is>
          <t>CRS0000674</t>
        </is>
      </c>
      <c r="D10" s="8" t="n">
        <v>46092</v>
      </c>
      <c r="E10" s="3" t="inlineStr">
        <is>
          <t>Fail</t>
        </is>
      </c>
      <c r="F10" s="9" t="inlineStr">
        <is>
          <t>YES</t>
        </is>
      </c>
      <c r="G10" s="3" t="inlineStr">
        <is>
          <t>Evap Inlet Ret Bend A</t>
        </is>
      </c>
      <c r="H10" s="3" t="n">
        <v>143.8</v>
      </c>
      <c r="I10" s="3" t="n">
        <v>22.36</v>
      </c>
    </row>
    <row r="11">
      <c r="A11" s="4" t="inlineStr">
        <is>
          <t>04C1326120945</t>
        </is>
      </c>
      <c r="B11" s="4" t="inlineStr">
        <is>
          <t>MT</t>
        </is>
      </c>
      <c r="C11" s="4" t="inlineStr">
        <is>
          <t>CRS0000674</t>
        </is>
      </c>
      <c r="D11" s="10" t="n">
        <v>46095</v>
      </c>
      <c r="E11" s="4" t="inlineStr">
        <is>
          <t>Fail</t>
        </is>
      </c>
      <c r="F11" s="9" t="inlineStr">
        <is>
          <t>YES</t>
        </is>
      </c>
      <c r="G11" s="4" t="inlineStr">
        <is>
          <t>Evap Inlet Ret Bend A</t>
        </is>
      </c>
      <c r="H11" s="4" t="n">
        <v>135.2</v>
      </c>
      <c r="I11" s="4" t="n">
        <v>19.31</v>
      </c>
    </row>
    <row r="12">
      <c r="A12" s="3" t="inlineStr">
        <is>
          <t>04C1326120945</t>
        </is>
      </c>
      <c r="B12" s="3" t="inlineStr">
        <is>
          <t>MT</t>
        </is>
      </c>
      <c r="C12" s="3" t="inlineStr">
        <is>
          <t>CRS0000674</t>
        </is>
      </c>
      <c r="D12" s="8" t="n">
        <v>46097</v>
      </c>
      <c r="E12" s="3" t="inlineStr">
        <is>
          <t>Fail</t>
        </is>
      </c>
      <c r="F12" s="9" t="inlineStr">
        <is>
          <t>YES</t>
        </is>
      </c>
      <c r="G12" s="3" t="inlineStr">
        <is>
          <t>Final Current</t>
        </is>
      </c>
      <c r="H12" s="3" t="n">
        <v>6.54</v>
      </c>
      <c r="I12" s="3" t="n">
        <v>17.17</v>
      </c>
    </row>
    <row r="13">
      <c r="A13" s="4" t="inlineStr">
        <is>
          <t>04C1326120945</t>
        </is>
      </c>
      <c r="B13" s="4" t="inlineStr">
        <is>
          <t>MT</t>
        </is>
      </c>
      <c r="C13" s="4" t="inlineStr">
        <is>
          <t>CRS0000674</t>
        </is>
      </c>
      <c r="D13" s="10" t="n">
        <v>46097</v>
      </c>
      <c r="E13" s="4" t="inlineStr">
        <is>
          <t>Fail</t>
        </is>
      </c>
      <c r="F13" s="9" t="inlineStr">
        <is>
          <t>YES</t>
        </is>
      </c>
      <c r="G13" s="4" t="inlineStr">
        <is>
          <t>Final Current</t>
        </is>
      </c>
      <c r="H13" s="4" t="n">
        <v>6.49</v>
      </c>
      <c r="I13" s="4" t="n">
        <v>16.85</v>
      </c>
    </row>
    <row r="14">
      <c r="A14" s="3" t="inlineStr">
        <is>
          <t>04C1326120945</t>
        </is>
      </c>
      <c r="B14" s="3" t="inlineStr">
        <is>
          <t>MT</t>
        </is>
      </c>
      <c r="C14" s="3" t="inlineStr">
        <is>
          <t>CRS0000674</t>
        </is>
      </c>
      <c r="D14" s="8" t="n">
        <v>46095</v>
      </c>
      <c r="E14" s="3" t="inlineStr">
        <is>
          <t>Fail</t>
        </is>
      </c>
      <c r="F14" s="9" t="inlineStr">
        <is>
          <t>YES</t>
        </is>
      </c>
      <c r="G14" s="3" t="inlineStr">
        <is>
          <t>Evap Inlet Ret Bend A</t>
        </is>
      </c>
      <c r="H14" s="3" t="n">
        <v>127.6</v>
      </c>
      <c r="I14" s="3" t="n">
        <v>16.61</v>
      </c>
    </row>
    <row r="15">
      <c r="A15" s="4" t="inlineStr">
        <is>
          <t>04C1826121007</t>
        </is>
      </c>
      <c r="B15" s="4" t="inlineStr">
        <is>
          <t>LT</t>
        </is>
      </c>
      <c r="C15" s="4" t="inlineStr">
        <is>
          <t>CRS0000675</t>
        </is>
      </c>
      <c r="D15" s="10" t="n">
        <v>46100</v>
      </c>
      <c r="E15" s="4" t="inlineStr">
        <is>
          <t>Fail</t>
        </is>
      </c>
      <c r="F15" s="9" t="inlineStr">
        <is>
          <t>YES</t>
        </is>
      </c>
      <c r="G15" s="4" t="inlineStr">
        <is>
          <t>Evap Inlet Ret Bend A</t>
        </is>
      </c>
      <c r="H15" s="4" t="n">
        <v>175.4</v>
      </c>
      <c r="I15" s="4" t="n">
        <v>15.68</v>
      </c>
    </row>
    <row r="16">
      <c r="A16" s="3" t="inlineStr">
        <is>
          <t>04D1626121409</t>
        </is>
      </c>
      <c r="B16" s="3" t="inlineStr">
        <is>
          <t>MT</t>
        </is>
      </c>
      <c r="C16" s="3" t="inlineStr">
        <is>
          <t>CRS0000674</t>
        </is>
      </c>
      <c r="D16" s="8" t="n">
        <v>46128</v>
      </c>
      <c r="E16" s="3" t="inlineStr">
        <is>
          <t>Fail</t>
        </is>
      </c>
      <c r="F16" s="9" t="inlineStr">
        <is>
          <t>YES</t>
        </is>
      </c>
      <c r="G16" s="3" t="inlineStr">
        <is>
          <t>Evap Inlet Ret Bend A</t>
        </is>
      </c>
      <c r="H16" s="3" t="n">
        <v>124.4</v>
      </c>
      <c r="I16" s="3" t="n">
        <v>15.48</v>
      </c>
    </row>
    <row r="17">
      <c r="A17" s="4" t="inlineStr">
        <is>
          <t>04D1326121350</t>
        </is>
      </c>
      <c r="B17" s="4" t="inlineStr">
        <is>
          <t>LT</t>
        </is>
      </c>
      <c r="C17" s="4" t="inlineStr">
        <is>
          <t>CRS0000675</t>
        </is>
      </c>
      <c r="D17" s="10" t="n">
        <v>46136</v>
      </c>
      <c r="E17" s="4" t="inlineStr">
        <is>
          <t>Fail</t>
        </is>
      </c>
      <c r="F17" s="9" t="inlineStr">
        <is>
          <t>YES</t>
        </is>
      </c>
      <c r="G17" s="4" t="inlineStr">
        <is>
          <t>Final Current</t>
        </is>
      </c>
      <c r="H17" s="4" t="n">
        <v>2.08</v>
      </c>
      <c r="I17" s="4" t="n">
        <v>14.6</v>
      </c>
    </row>
    <row r="18">
      <c r="A18" s="3" t="inlineStr">
        <is>
          <t>04D1326121350</t>
        </is>
      </c>
      <c r="B18" s="3" t="inlineStr">
        <is>
          <t>LT</t>
        </is>
      </c>
      <c r="C18" s="3" t="inlineStr">
        <is>
          <t>CRS0000675</t>
        </is>
      </c>
      <c r="D18" s="8" t="n">
        <v>46125</v>
      </c>
      <c r="E18" s="3" t="inlineStr">
        <is>
          <t>Fail</t>
        </is>
      </c>
      <c r="F18" s="9" t="inlineStr">
        <is>
          <t>YES</t>
        </is>
      </c>
      <c r="G18" s="3" t="inlineStr">
        <is>
          <t>Final Current</t>
        </is>
      </c>
      <c r="H18" s="3" t="n">
        <v>2.1</v>
      </c>
      <c r="I18" s="3" t="n">
        <v>14.55</v>
      </c>
    </row>
    <row r="19">
      <c r="A19" s="4" t="inlineStr">
        <is>
          <t>04D1326121350</t>
        </is>
      </c>
      <c r="B19" s="4" t="inlineStr">
        <is>
          <t>LT</t>
        </is>
      </c>
      <c r="C19" s="4" t="inlineStr">
        <is>
          <t>CRS0000675</t>
        </is>
      </c>
      <c r="D19" s="10" t="n">
        <v>46125</v>
      </c>
      <c r="E19" s="4" t="inlineStr">
        <is>
          <t>Fail</t>
        </is>
      </c>
      <c r="F19" s="9" t="inlineStr">
        <is>
          <t>YES</t>
        </is>
      </c>
      <c r="G19" s="4" t="inlineStr">
        <is>
          <t>Final Current</t>
        </is>
      </c>
      <c r="H19" s="4" t="n">
        <v>2.1</v>
      </c>
      <c r="I19" s="4" t="n">
        <v>14.55</v>
      </c>
    </row>
    <row r="20">
      <c r="A20" s="3" t="inlineStr">
        <is>
          <t>04C1826121007</t>
        </is>
      </c>
      <c r="B20" s="3" t="inlineStr">
        <is>
          <t>LT</t>
        </is>
      </c>
      <c r="C20" s="3" t="inlineStr">
        <is>
          <t>CRS0000675</t>
        </is>
      </c>
      <c r="D20" s="8" t="n">
        <v>46100</v>
      </c>
      <c r="E20" s="3" t="inlineStr">
        <is>
          <t>Fail</t>
        </is>
      </c>
      <c r="F20" s="9" t="inlineStr">
        <is>
          <t>YES</t>
        </is>
      </c>
      <c r="G20" s="3" t="inlineStr">
        <is>
          <t>Evap Inlet Ret Bend A</t>
        </is>
      </c>
      <c r="H20" s="3" t="n">
        <v>169.1</v>
      </c>
      <c r="I20" s="3" t="n">
        <v>14.43</v>
      </c>
    </row>
    <row r="21">
      <c r="A21" s="4" t="inlineStr">
        <is>
          <t>04D0926121300</t>
        </is>
      </c>
      <c r="B21" s="4" t="inlineStr">
        <is>
          <t>LT</t>
        </is>
      </c>
      <c r="C21" s="4" t="inlineStr">
        <is>
          <t>CRS0000675</t>
        </is>
      </c>
      <c r="D21" s="10" t="n">
        <v>46122</v>
      </c>
      <c r="E21" s="4" t="inlineStr">
        <is>
          <t>Fail</t>
        </is>
      </c>
      <c r="F21" s="9" t="inlineStr">
        <is>
          <t>YES</t>
        </is>
      </c>
      <c r="G21" s="4" t="inlineStr">
        <is>
          <t>Suction Tube Temp</t>
        </is>
      </c>
      <c r="H21" s="4" t="n">
        <v>70.40000000000001</v>
      </c>
      <c r="I21" s="4" t="n">
        <v>14.37</v>
      </c>
    </row>
    <row r="22">
      <c r="A22" s="3" t="inlineStr">
        <is>
          <t>04D1326121350</t>
        </is>
      </c>
      <c r="B22" s="3" t="inlineStr">
        <is>
          <t>LT</t>
        </is>
      </c>
      <c r="C22" s="3" t="inlineStr">
        <is>
          <t>CRS0000675</t>
        </is>
      </c>
      <c r="D22" s="8" t="n">
        <v>46125</v>
      </c>
      <c r="E22" s="3" t="inlineStr">
        <is>
          <t>Fail</t>
        </is>
      </c>
      <c r="F22" s="9" t="inlineStr">
        <is>
          <t>YES</t>
        </is>
      </c>
      <c r="G22" s="3" t="inlineStr">
        <is>
          <t>Suction Tube Temp</t>
        </is>
      </c>
      <c r="H22" s="3" t="n">
        <v>70.40000000000001</v>
      </c>
      <c r="I22" s="3" t="n">
        <v>14.37</v>
      </c>
    </row>
    <row r="23">
      <c r="A23" s="4" t="inlineStr">
        <is>
          <t>04C1126120904</t>
        </is>
      </c>
      <c r="B23" s="4" t="inlineStr">
        <is>
          <t>MT</t>
        </is>
      </c>
      <c r="C23" s="4" t="inlineStr">
        <is>
          <t>CRS0000674</t>
        </is>
      </c>
      <c r="D23" s="10" t="n">
        <v>46092</v>
      </c>
      <c r="E23" s="4" t="inlineStr">
        <is>
          <t>Fail</t>
        </is>
      </c>
      <c r="F23" s="9" t="inlineStr">
        <is>
          <t>YES</t>
        </is>
      </c>
      <c r="G23" s="4" t="inlineStr">
        <is>
          <t>Final Current</t>
        </is>
      </c>
      <c r="H23" s="4" t="n">
        <v>6.1</v>
      </c>
      <c r="I23" s="4" t="n">
        <v>14.36</v>
      </c>
    </row>
    <row r="24">
      <c r="A24" s="3" t="inlineStr">
        <is>
          <t>04D1326121350</t>
        </is>
      </c>
      <c r="B24" s="3" t="inlineStr">
        <is>
          <t>LT</t>
        </is>
      </c>
      <c r="C24" s="3" t="inlineStr">
        <is>
          <t>CRS0000675</t>
        </is>
      </c>
      <c r="D24" s="8" t="n">
        <v>46136</v>
      </c>
      <c r="E24" s="3" t="inlineStr">
        <is>
          <t>Fail</t>
        </is>
      </c>
      <c r="F24" s="9" t="inlineStr">
        <is>
          <t>YES</t>
        </is>
      </c>
      <c r="G24" s="3" t="inlineStr">
        <is>
          <t>Final Current</t>
        </is>
      </c>
      <c r="H24" s="3" t="n">
        <v>2.2</v>
      </c>
      <c r="I24" s="3" t="n">
        <v>14.3</v>
      </c>
    </row>
    <row r="25">
      <c r="A25" s="4" t="inlineStr">
        <is>
          <t>04D1326121350</t>
        </is>
      </c>
      <c r="B25" s="4" t="inlineStr">
        <is>
          <t>LT</t>
        </is>
      </c>
      <c r="C25" s="4" t="inlineStr">
        <is>
          <t>CRS0000675</t>
        </is>
      </c>
      <c r="D25" s="10" t="n">
        <v>46125</v>
      </c>
      <c r="E25" s="4" t="inlineStr">
        <is>
          <t>Fail</t>
        </is>
      </c>
      <c r="F25" s="9" t="inlineStr">
        <is>
          <t>YES</t>
        </is>
      </c>
      <c r="G25" s="4" t="inlineStr">
        <is>
          <t>Suction Tube Temp</t>
        </is>
      </c>
      <c r="H25" s="4" t="n">
        <v>71.3</v>
      </c>
      <c r="I25" s="4" t="n">
        <v>14.21</v>
      </c>
    </row>
    <row r="26">
      <c r="A26" s="3" t="inlineStr">
        <is>
          <t>04D1326121350</t>
        </is>
      </c>
      <c r="B26" s="3" t="inlineStr">
        <is>
          <t>LT</t>
        </is>
      </c>
      <c r="C26" s="3" t="inlineStr">
        <is>
          <t>CRS0000675</t>
        </is>
      </c>
      <c r="D26" s="8" t="n">
        <v>46136</v>
      </c>
      <c r="E26" s="3" t="inlineStr">
        <is>
          <t>Fail</t>
        </is>
      </c>
      <c r="F26" s="9" t="inlineStr">
        <is>
          <t>YES</t>
        </is>
      </c>
      <c r="G26" s="3" t="inlineStr">
        <is>
          <t>Suction Tube Temp</t>
        </is>
      </c>
      <c r="H26" s="3" t="n">
        <v>71.3</v>
      </c>
      <c r="I26" s="3" t="n">
        <v>14.21</v>
      </c>
    </row>
    <row r="27">
      <c r="A27" s="4" t="inlineStr">
        <is>
          <t>04C2426121082</t>
        </is>
      </c>
      <c r="B27" s="4" t="inlineStr">
        <is>
          <t>LT</t>
        </is>
      </c>
      <c r="C27" s="4" t="inlineStr">
        <is>
          <t>CRS0000675</t>
        </is>
      </c>
      <c r="D27" s="10" t="n">
        <v>46130</v>
      </c>
      <c r="E27" s="4" t="inlineStr">
        <is>
          <t>Fail</t>
        </is>
      </c>
      <c r="F27" s="9" t="inlineStr">
        <is>
          <t>YES</t>
        </is>
      </c>
      <c r="G27" s="4" t="inlineStr">
        <is>
          <t>Suction Tube Temp</t>
        </is>
      </c>
      <c r="H27" s="4" t="n">
        <v>73.5</v>
      </c>
      <c r="I27" s="4" t="n">
        <v>13.83</v>
      </c>
    </row>
    <row r="28">
      <c r="A28" s="3" t="inlineStr">
        <is>
          <t>04D1326121350</t>
        </is>
      </c>
      <c r="B28" s="3" t="inlineStr">
        <is>
          <t>LT</t>
        </is>
      </c>
      <c r="C28" s="3" t="inlineStr">
        <is>
          <t>CRS0000675</t>
        </is>
      </c>
      <c r="D28" s="8" t="n">
        <v>46136</v>
      </c>
      <c r="E28" s="3" t="inlineStr">
        <is>
          <t>Fail</t>
        </is>
      </c>
      <c r="F28" s="9" t="inlineStr">
        <is>
          <t>YES</t>
        </is>
      </c>
      <c r="G28" s="3" t="inlineStr">
        <is>
          <t>Suction Tube Temp</t>
        </is>
      </c>
      <c r="H28" s="3" t="n">
        <v>74</v>
      </c>
      <c r="I28" s="3" t="n">
        <v>13.74</v>
      </c>
    </row>
    <row r="29">
      <c r="A29" s="4" t="inlineStr">
        <is>
          <t>04C1326120945</t>
        </is>
      </c>
      <c r="B29" s="4" t="inlineStr">
        <is>
          <t>MT</t>
        </is>
      </c>
      <c r="C29" s="4" t="inlineStr">
        <is>
          <t>CRS0000674</t>
        </is>
      </c>
      <c r="D29" s="10" t="n">
        <v>46097</v>
      </c>
      <c r="E29" s="4" t="inlineStr">
        <is>
          <t>Fail</t>
        </is>
      </c>
      <c r="F29" s="9" t="inlineStr">
        <is>
          <t>YES</t>
        </is>
      </c>
      <c r="G29" s="4" t="inlineStr">
        <is>
          <t>Final Current</t>
        </is>
      </c>
      <c r="H29" s="4" t="n">
        <v>5.83</v>
      </c>
      <c r="I29" s="4" t="n">
        <v>12.64</v>
      </c>
    </row>
    <row r="30">
      <c r="A30" s="3" t="inlineStr">
        <is>
          <t>04C1326120945</t>
        </is>
      </c>
      <c r="B30" s="3" t="inlineStr">
        <is>
          <t>MT</t>
        </is>
      </c>
      <c r="C30" s="3" t="inlineStr">
        <is>
          <t>CRS0000674</t>
        </is>
      </c>
      <c r="D30" s="8" t="n">
        <v>46097</v>
      </c>
      <c r="E30" s="3" t="inlineStr">
        <is>
          <t>Fail</t>
        </is>
      </c>
      <c r="F30" s="9" t="inlineStr">
        <is>
          <t>YES</t>
        </is>
      </c>
      <c r="G30" s="3" t="inlineStr">
        <is>
          <t>Evap Inlet Ret Bend A</t>
        </is>
      </c>
      <c r="H30" s="3" t="n">
        <v>115.4</v>
      </c>
      <c r="I30" s="3" t="n">
        <v>12.29</v>
      </c>
    </row>
    <row r="31">
      <c r="A31" s="4" t="inlineStr">
        <is>
          <t>04B2726120709</t>
        </is>
      </c>
      <c r="B31" s="4" t="inlineStr">
        <is>
          <t>MT</t>
        </is>
      </c>
      <c r="C31" s="4" t="inlineStr">
        <is>
          <t>CRS0000674</t>
        </is>
      </c>
      <c r="D31" s="10" t="n">
        <v>46081</v>
      </c>
      <c r="E31" s="4" t="inlineStr">
        <is>
          <t>Fail</t>
        </is>
      </c>
      <c r="F31" s="9" t="inlineStr">
        <is>
          <t>YES</t>
        </is>
      </c>
      <c r="G31" s="4" t="inlineStr">
        <is>
          <t>Startup Current</t>
        </is>
      </c>
      <c r="H31" s="4" t="n">
        <v>2</v>
      </c>
      <c r="I31" s="4" t="n">
        <v>12.1</v>
      </c>
    </row>
    <row r="32">
      <c r="A32" s="3" t="inlineStr">
        <is>
          <t>04C1326120945</t>
        </is>
      </c>
      <c r="B32" s="3" t="inlineStr">
        <is>
          <t>MT</t>
        </is>
      </c>
      <c r="C32" s="3" t="inlineStr">
        <is>
          <t>CRS0000674</t>
        </is>
      </c>
      <c r="D32" s="8" t="n">
        <v>46097</v>
      </c>
      <c r="E32" s="3" t="inlineStr">
        <is>
          <t>Fail</t>
        </is>
      </c>
      <c r="F32" s="9" t="inlineStr">
        <is>
          <t>YES</t>
        </is>
      </c>
      <c r="G32" s="3" t="inlineStr">
        <is>
          <t>Startup Current</t>
        </is>
      </c>
      <c r="H32" s="3" t="n">
        <v>5.59</v>
      </c>
      <c r="I32" s="3" t="n">
        <v>11.75</v>
      </c>
    </row>
    <row r="33">
      <c r="A33" s="4" t="inlineStr">
        <is>
          <t>04B2826120725</t>
        </is>
      </c>
      <c r="B33" s="4" t="inlineStr">
        <is>
          <t>LT</t>
        </is>
      </c>
      <c r="C33" s="4" t="inlineStr">
        <is>
          <t>CRS0000675</t>
        </is>
      </c>
      <c r="D33" s="10" t="n">
        <v>46082</v>
      </c>
      <c r="E33" s="4" t="inlineStr">
        <is>
          <t>Fail</t>
        </is>
      </c>
      <c r="F33" s="9" t="inlineStr">
        <is>
          <t>YES</t>
        </is>
      </c>
      <c r="G33" s="4" t="inlineStr">
        <is>
          <t>Suction Tube Temp</t>
        </is>
      </c>
      <c r="H33" s="4" t="n">
        <v>86.09999999999999</v>
      </c>
      <c r="I33" s="4" t="n">
        <v>11.63</v>
      </c>
    </row>
    <row r="34">
      <c r="A34" s="3" t="inlineStr">
        <is>
          <t>04C2526121094</t>
        </is>
      </c>
      <c r="B34" s="3" t="inlineStr">
        <is>
          <t>LT</t>
        </is>
      </c>
      <c r="C34" s="3" t="inlineStr">
        <is>
          <t>CRS0000675</t>
        </is>
      </c>
      <c r="D34" s="8" t="n">
        <v>46126</v>
      </c>
      <c r="E34" s="3" t="inlineStr">
        <is>
          <t>Fail</t>
        </is>
      </c>
      <c r="F34" s="9" t="inlineStr">
        <is>
          <t>YES</t>
        </is>
      </c>
      <c r="G34" s="3" t="inlineStr">
        <is>
          <t>Final Current</t>
        </is>
      </c>
      <c r="H34" s="3" t="n">
        <v>3.32</v>
      </c>
      <c r="I34" s="3" t="n">
        <v>11.49</v>
      </c>
    </row>
    <row r="35">
      <c r="A35" s="4" t="inlineStr">
        <is>
          <t>04D0626121252</t>
        </is>
      </c>
      <c r="B35" s="4" t="inlineStr">
        <is>
          <t>MT</t>
        </is>
      </c>
      <c r="C35" s="4" t="inlineStr">
        <is>
          <t>CRS0000674</t>
        </is>
      </c>
      <c r="D35" s="10" t="n">
        <v>46119</v>
      </c>
      <c r="E35" s="4" t="inlineStr">
        <is>
          <t>Fail</t>
        </is>
      </c>
      <c r="F35" s="9" t="inlineStr">
        <is>
          <t>YES</t>
        </is>
      </c>
      <c r="G35" s="4" t="inlineStr">
        <is>
          <t>Final Current</t>
        </is>
      </c>
      <c r="H35" s="4" t="n">
        <v>2.05</v>
      </c>
      <c r="I35" s="4" t="n">
        <v>11.47</v>
      </c>
    </row>
    <row r="36">
      <c r="A36" s="3" t="inlineStr">
        <is>
          <t>04C3126121174</t>
        </is>
      </c>
      <c r="B36" s="3" t="inlineStr">
        <is>
          <t>MT</t>
        </is>
      </c>
      <c r="C36" s="3" t="inlineStr">
        <is>
          <t>CRS0000674</t>
        </is>
      </c>
      <c r="D36" s="8" t="n">
        <v>46113</v>
      </c>
      <c r="E36" s="3" t="inlineStr">
        <is>
          <t>Fail</t>
        </is>
      </c>
      <c r="F36" s="9" t="inlineStr">
        <is>
          <t>YES</t>
        </is>
      </c>
      <c r="G36" s="3" t="inlineStr">
        <is>
          <t>Startup Current</t>
        </is>
      </c>
      <c r="H36" s="3" t="n">
        <v>2.1</v>
      </c>
      <c r="I36" s="3" t="n">
        <v>11.44</v>
      </c>
    </row>
    <row r="37">
      <c r="A37" s="4" t="inlineStr">
        <is>
          <t>04B2726120709</t>
        </is>
      </c>
      <c r="B37" s="4" t="inlineStr">
        <is>
          <t>MT</t>
        </is>
      </c>
      <c r="C37" s="4" t="inlineStr">
        <is>
          <t>CRS0000674</t>
        </is>
      </c>
      <c r="D37" s="10" t="n">
        <v>46081</v>
      </c>
      <c r="E37" s="4" t="inlineStr">
        <is>
          <t>Fail</t>
        </is>
      </c>
      <c r="F37" s="9" t="inlineStr">
        <is>
          <t>YES</t>
        </is>
      </c>
      <c r="G37" s="4" t="inlineStr">
        <is>
          <t>Final Current</t>
        </is>
      </c>
      <c r="H37" s="4" t="n">
        <v>2.08</v>
      </c>
      <c r="I37" s="4" t="n">
        <v>11.28</v>
      </c>
    </row>
    <row r="38">
      <c r="A38" s="3" t="inlineStr">
        <is>
          <t>04D1826121463</t>
        </is>
      </c>
      <c r="B38" s="3" t="inlineStr">
        <is>
          <t>LT</t>
        </is>
      </c>
      <c r="C38" s="3" t="inlineStr">
        <is>
          <t>CRS0000675</t>
        </is>
      </c>
      <c r="D38" s="8" t="n">
        <v>46130</v>
      </c>
      <c r="E38" s="3" t="inlineStr">
        <is>
          <t>Fail</t>
        </is>
      </c>
      <c r="F38" s="9" t="inlineStr">
        <is>
          <t>YES</t>
        </is>
      </c>
      <c r="G38" s="3" t="inlineStr">
        <is>
          <t>Suction Tube Temp</t>
        </is>
      </c>
      <c r="H38" s="3" t="n">
        <v>90.09999999999999</v>
      </c>
      <c r="I38" s="3" t="n">
        <v>10.93</v>
      </c>
    </row>
    <row r="39">
      <c r="A39" s="4" t="inlineStr">
        <is>
          <t>04C2526121093</t>
        </is>
      </c>
      <c r="B39" s="4" t="inlineStr">
        <is>
          <t>LT</t>
        </is>
      </c>
      <c r="C39" s="4" t="inlineStr">
        <is>
          <t>CRS0000675</t>
        </is>
      </c>
      <c r="D39" s="10" t="n">
        <v>46126</v>
      </c>
      <c r="E39" s="4" t="inlineStr">
        <is>
          <t>Fail</t>
        </is>
      </c>
      <c r="F39" s="9" t="inlineStr">
        <is>
          <t>YES</t>
        </is>
      </c>
      <c r="G39" s="4" t="inlineStr">
        <is>
          <t>Final Current</t>
        </is>
      </c>
      <c r="H39" s="4" t="n">
        <v>3.56</v>
      </c>
      <c r="I39" s="4" t="n">
        <v>10.89</v>
      </c>
    </row>
    <row r="40">
      <c r="A40" s="3" t="inlineStr">
        <is>
          <t>04D0626121252</t>
        </is>
      </c>
      <c r="B40" s="3" t="inlineStr">
        <is>
          <t>MT</t>
        </is>
      </c>
      <c r="C40" s="3" t="inlineStr">
        <is>
          <t>CRS0000674</t>
        </is>
      </c>
      <c r="D40" s="8" t="n">
        <v>46136</v>
      </c>
      <c r="E40" s="3" t="inlineStr">
        <is>
          <t>Fail</t>
        </is>
      </c>
      <c r="F40" s="9" t="inlineStr">
        <is>
          <t>YES</t>
        </is>
      </c>
      <c r="G40" s="3" t="inlineStr">
        <is>
          <t>Final Current</t>
        </is>
      </c>
      <c r="H40" s="3" t="n">
        <v>2.15</v>
      </c>
      <c r="I40" s="3" t="n">
        <v>10.83</v>
      </c>
    </row>
    <row r="41">
      <c r="A41" s="4" t="inlineStr">
        <is>
          <t>04C3126121174</t>
        </is>
      </c>
      <c r="B41" s="4" t="inlineStr">
        <is>
          <t>MT</t>
        </is>
      </c>
      <c r="C41" s="4" t="inlineStr">
        <is>
          <t>CRS0000674</t>
        </is>
      </c>
      <c r="D41" s="10" t="n">
        <v>46113</v>
      </c>
      <c r="E41" s="4" t="inlineStr">
        <is>
          <t>Fail</t>
        </is>
      </c>
      <c r="F41" s="9" t="inlineStr">
        <is>
          <t>YES</t>
        </is>
      </c>
      <c r="G41" s="4" t="inlineStr">
        <is>
          <t>Final Current</t>
        </is>
      </c>
      <c r="H41" s="4" t="n">
        <v>2.17</v>
      </c>
      <c r="I41" s="4" t="n">
        <v>10.71</v>
      </c>
    </row>
    <row r="42">
      <c r="A42" s="3" t="inlineStr">
        <is>
          <t>04D1326121350</t>
        </is>
      </c>
      <c r="B42" s="3" t="inlineStr">
        <is>
          <t>LT</t>
        </is>
      </c>
      <c r="C42" s="3" t="inlineStr">
        <is>
          <t>CRS0000675</t>
        </is>
      </c>
      <c r="D42" s="8" t="n">
        <v>46136</v>
      </c>
      <c r="E42" s="3" t="inlineStr">
        <is>
          <t>Fail</t>
        </is>
      </c>
      <c r="F42" s="9" t="inlineStr">
        <is>
          <t>YES</t>
        </is>
      </c>
      <c r="G42" s="3" t="inlineStr">
        <is>
          <t>Startup Current</t>
        </is>
      </c>
      <c r="H42" s="3" t="n">
        <v>2.12</v>
      </c>
      <c r="I42" s="3" t="n">
        <v>10.64</v>
      </c>
    </row>
    <row r="43">
      <c r="A43" s="4" t="inlineStr">
        <is>
          <t>04D0626121252</t>
        </is>
      </c>
      <c r="B43" s="4" t="inlineStr">
        <is>
          <t>MT</t>
        </is>
      </c>
      <c r="C43" s="4" t="inlineStr">
        <is>
          <t>CRS0000674</t>
        </is>
      </c>
      <c r="D43" s="10" t="n">
        <v>46136</v>
      </c>
      <c r="E43" s="4" t="inlineStr">
        <is>
          <t>Fail</t>
        </is>
      </c>
      <c r="F43" s="9" t="inlineStr">
        <is>
          <t>YES</t>
        </is>
      </c>
      <c r="G43" s="4" t="inlineStr">
        <is>
          <t>Startup Current</t>
        </is>
      </c>
      <c r="H43" s="4" t="n">
        <v>2.22</v>
      </c>
      <c r="I43" s="4" t="n">
        <v>10.64</v>
      </c>
    </row>
    <row r="44">
      <c r="A44" s="3" t="inlineStr">
        <is>
          <t>04D1326121350</t>
        </is>
      </c>
      <c r="B44" s="3" t="inlineStr">
        <is>
          <t>LT</t>
        </is>
      </c>
      <c r="C44" s="3" t="inlineStr">
        <is>
          <t>CRS0000675</t>
        </is>
      </c>
      <c r="D44" s="8" t="n">
        <v>46125</v>
      </c>
      <c r="E44" s="3" t="inlineStr">
        <is>
          <t>Fail</t>
        </is>
      </c>
      <c r="F44" s="9" t="inlineStr">
        <is>
          <t>YES</t>
        </is>
      </c>
      <c r="G44" s="3" t="inlineStr">
        <is>
          <t>Startup Current</t>
        </is>
      </c>
      <c r="H44" s="3" t="n">
        <v>2.17</v>
      </c>
      <c r="I44" s="3" t="n">
        <v>10.55</v>
      </c>
    </row>
    <row r="45">
      <c r="A45" s="4" t="inlineStr">
        <is>
          <t>04C3126121174</t>
        </is>
      </c>
      <c r="B45" s="4" t="inlineStr">
        <is>
          <t>MT</t>
        </is>
      </c>
      <c r="C45" s="4" t="inlineStr">
        <is>
          <t>CRS0000674</t>
        </is>
      </c>
      <c r="D45" s="10" t="n">
        <v>46113</v>
      </c>
      <c r="E45" s="4" t="inlineStr">
        <is>
          <t>Fail</t>
        </is>
      </c>
      <c r="F45" s="9" t="inlineStr">
        <is>
          <t>YES</t>
        </is>
      </c>
      <c r="G45" s="4" t="inlineStr">
        <is>
          <t>Final Current</t>
        </is>
      </c>
      <c r="H45" s="4" t="n">
        <v>2.2</v>
      </c>
      <c r="I45" s="4" t="n">
        <v>10.52</v>
      </c>
    </row>
    <row r="46">
      <c r="A46" s="3" t="inlineStr">
        <is>
          <t>04C3126121174</t>
        </is>
      </c>
      <c r="B46" s="3" t="inlineStr">
        <is>
          <t>MT</t>
        </is>
      </c>
      <c r="C46" s="3" t="inlineStr">
        <is>
          <t>CRS0000674</t>
        </is>
      </c>
      <c r="D46" s="8" t="n">
        <v>46113</v>
      </c>
      <c r="E46" s="3" t="inlineStr">
        <is>
          <t>Fail</t>
        </is>
      </c>
      <c r="F46" s="9" t="inlineStr">
        <is>
          <t>YES</t>
        </is>
      </c>
      <c r="G46" s="3" t="inlineStr">
        <is>
          <t>Startup Current</t>
        </is>
      </c>
      <c r="H46" s="3" t="n">
        <v>2.27</v>
      </c>
      <c r="I46" s="3" t="n">
        <v>10.31</v>
      </c>
    </row>
    <row r="47">
      <c r="A47" s="4" t="inlineStr">
        <is>
          <t>04D1326121350</t>
        </is>
      </c>
      <c r="B47" s="4" t="inlineStr">
        <is>
          <t>LT</t>
        </is>
      </c>
      <c r="C47" s="4" t="inlineStr">
        <is>
          <t>CRS0000675</t>
        </is>
      </c>
      <c r="D47" s="10" t="n">
        <v>46125</v>
      </c>
      <c r="E47" s="4" t="inlineStr">
        <is>
          <t>Fail</t>
        </is>
      </c>
      <c r="F47" s="9" t="inlineStr">
        <is>
          <t>YES</t>
        </is>
      </c>
      <c r="G47" s="4" t="inlineStr">
        <is>
          <t>Startup Current</t>
        </is>
      </c>
      <c r="H47" s="4" t="n">
        <v>2.32</v>
      </c>
      <c r="I47" s="4" t="n">
        <v>10.28</v>
      </c>
    </row>
    <row r="48">
      <c r="A48" s="3" t="inlineStr">
        <is>
          <t>04D1326121350</t>
        </is>
      </c>
      <c r="B48" s="3" t="inlineStr">
        <is>
          <t>LT</t>
        </is>
      </c>
      <c r="C48" s="3" t="inlineStr">
        <is>
          <t>CRS0000675</t>
        </is>
      </c>
      <c r="D48" s="8" t="n">
        <v>46136</v>
      </c>
      <c r="E48" s="3" t="inlineStr">
        <is>
          <t>Fail</t>
        </is>
      </c>
      <c r="F48" s="9" t="inlineStr">
        <is>
          <t>YES</t>
        </is>
      </c>
      <c r="G48" s="3" t="inlineStr">
        <is>
          <t>Startup Current</t>
        </is>
      </c>
      <c r="H48" s="3" t="n">
        <v>2.44</v>
      </c>
      <c r="I48" s="3" t="n">
        <v>10.06</v>
      </c>
    </row>
    <row r="49">
      <c r="A49" s="4" t="inlineStr">
        <is>
          <t>04D0626121252</t>
        </is>
      </c>
      <c r="B49" s="4" t="inlineStr">
        <is>
          <t>MT</t>
        </is>
      </c>
      <c r="C49" s="4" t="inlineStr">
        <is>
          <t>CRS0000674</t>
        </is>
      </c>
      <c r="D49" s="10" t="n">
        <v>46119</v>
      </c>
      <c r="E49" s="4" t="inlineStr">
        <is>
          <t>Fail</t>
        </is>
      </c>
      <c r="F49" s="9" t="inlineStr">
        <is>
          <t>YES</t>
        </is>
      </c>
      <c r="G49" s="4" t="inlineStr">
        <is>
          <t>Startup Current</t>
        </is>
      </c>
      <c r="H49" s="4" t="n">
        <v>2.34</v>
      </c>
      <c r="I49" s="4" t="n">
        <v>9.84</v>
      </c>
    </row>
    <row r="50">
      <c r="A50" s="3" t="inlineStr">
        <is>
          <t>04C1026120846</t>
        </is>
      </c>
      <c r="B50" s="3" t="inlineStr">
        <is>
          <t>LT</t>
        </is>
      </c>
      <c r="C50" s="3" t="inlineStr">
        <is>
          <t>CRS0000675</t>
        </is>
      </c>
      <c r="D50" s="8" t="n">
        <v>46092</v>
      </c>
      <c r="E50" s="3" t="inlineStr">
        <is>
          <t>Fail</t>
        </is>
      </c>
      <c r="F50" s="9" t="inlineStr">
        <is>
          <t>YES</t>
        </is>
      </c>
      <c r="G50" s="3" t="inlineStr">
        <is>
          <t>Evap Inlet Ret Bend A</t>
        </is>
      </c>
      <c r="H50" s="3" t="n">
        <v>47.7</v>
      </c>
      <c r="I50" s="3" t="n">
        <v>9.67</v>
      </c>
    </row>
    <row r="51">
      <c r="A51" s="4" t="inlineStr">
        <is>
          <t>04C1826121007</t>
        </is>
      </c>
      <c r="B51" s="4" t="inlineStr">
        <is>
          <t>LT</t>
        </is>
      </c>
      <c r="C51" s="4" t="inlineStr">
        <is>
          <t>CRS0000675</t>
        </is>
      </c>
      <c r="D51" s="10" t="n">
        <v>46100</v>
      </c>
      <c r="E51" s="4" t="inlineStr">
        <is>
          <t>Fail</t>
        </is>
      </c>
      <c r="F51" s="9" t="inlineStr">
        <is>
          <t>YES</t>
        </is>
      </c>
      <c r="G51" s="4" t="inlineStr">
        <is>
          <t>Suction Tube Temp</t>
        </is>
      </c>
      <c r="H51" s="4" t="n">
        <v>97.7</v>
      </c>
      <c r="I51" s="4" t="n">
        <v>9.609999999999999</v>
      </c>
    </row>
    <row r="52">
      <c r="A52" s="3" t="inlineStr">
        <is>
          <t>04C1826121007</t>
        </is>
      </c>
      <c r="B52" s="3" t="inlineStr">
        <is>
          <t>LT</t>
        </is>
      </c>
      <c r="C52" s="3" t="inlineStr">
        <is>
          <t>CRS0000675</t>
        </is>
      </c>
      <c r="D52" s="8" t="n">
        <v>46100</v>
      </c>
      <c r="E52" s="3" t="inlineStr">
        <is>
          <t>Fail</t>
        </is>
      </c>
      <c r="F52" s="9" t="inlineStr">
        <is>
          <t>YES</t>
        </is>
      </c>
      <c r="G52" s="3" t="inlineStr">
        <is>
          <t>Suction Tube Temp</t>
        </is>
      </c>
      <c r="H52" s="3" t="n">
        <v>97.7</v>
      </c>
      <c r="I52" s="3" t="n">
        <v>9.609999999999999</v>
      </c>
    </row>
    <row r="53">
      <c r="A53" s="4" t="inlineStr">
        <is>
          <t>04D0626121252</t>
        </is>
      </c>
      <c r="B53" s="4" t="inlineStr">
        <is>
          <t>MT</t>
        </is>
      </c>
      <c r="C53" s="4" t="inlineStr">
        <is>
          <t>CRS0000674</t>
        </is>
      </c>
      <c r="D53" s="10" t="n">
        <v>46119</v>
      </c>
      <c r="E53" s="4" t="inlineStr">
        <is>
          <t>Fail</t>
        </is>
      </c>
      <c r="F53" s="9" t="inlineStr">
        <is>
          <t>YES</t>
        </is>
      </c>
      <c r="G53" s="4" t="inlineStr">
        <is>
          <t>Evap Inlet Ret Bend A</t>
        </is>
      </c>
      <c r="H53" s="4" t="n">
        <v>54</v>
      </c>
      <c r="I53" s="4" t="n">
        <v>9.470000000000001</v>
      </c>
    </row>
    <row r="54">
      <c r="A54" s="3" t="inlineStr">
        <is>
          <t>04C2526121094</t>
        </is>
      </c>
      <c r="B54" s="3" t="inlineStr">
        <is>
          <t>LT</t>
        </is>
      </c>
      <c r="C54" s="3" t="inlineStr">
        <is>
          <t>CRS0000675</t>
        </is>
      </c>
      <c r="D54" s="8" t="n">
        <v>46126</v>
      </c>
      <c r="E54" s="3" t="inlineStr">
        <is>
          <t>Fail</t>
        </is>
      </c>
      <c r="F54" s="9" t="inlineStr">
        <is>
          <t>YES</t>
        </is>
      </c>
      <c r="G54" s="3" t="inlineStr">
        <is>
          <t>Suction Tube Temp</t>
        </is>
      </c>
      <c r="H54" s="3" t="n">
        <v>100.3</v>
      </c>
      <c r="I54" s="3" t="n">
        <v>9.15</v>
      </c>
    </row>
    <row r="55">
      <c r="A55" s="4" t="inlineStr">
        <is>
          <t>04C1326120945</t>
        </is>
      </c>
      <c r="B55" s="4" t="inlineStr">
        <is>
          <t>MT</t>
        </is>
      </c>
      <c r="C55" s="4" t="inlineStr">
        <is>
          <t>CRS0000674</t>
        </is>
      </c>
      <c r="D55" s="10" t="n">
        <v>46097</v>
      </c>
      <c r="E55" s="4" t="inlineStr">
        <is>
          <t>Fail</t>
        </is>
      </c>
      <c r="F55" s="9" t="inlineStr">
        <is>
          <t>YES</t>
        </is>
      </c>
      <c r="G55" s="4" t="inlineStr">
        <is>
          <t>Suction Tube Temp</t>
        </is>
      </c>
      <c r="H55" s="4" t="n">
        <v>157.5</v>
      </c>
      <c r="I55" s="4" t="n">
        <v>9.01</v>
      </c>
    </row>
    <row r="56">
      <c r="A56" s="3" t="inlineStr">
        <is>
          <t>04B0326120505</t>
        </is>
      </c>
      <c r="B56" s="3" t="inlineStr">
        <is>
          <t>LT</t>
        </is>
      </c>
      <c r="C56" s="3" t="inlineStr">
        <is>
          <t>CRS0000675</t>
        </is>
      </c>
      <c r="D56" s="8" t="n">
        <v>46056</v>
      </c>
      <c r="E56" s="3" t="inlineStr">
        <is>
          <t>Fail</t>
        </is>
      </c>
      <c r="F56" s="9" t="inlineStr">
        <is>
          <t>YES</t>
        </is>
      </c>
      <c r="G56" s="3" t="inlineStr">
        <is>
          <t>Suction Tube Temp</t>
        </is>
      </c>
      <c r="H56" s="3" t="n">
        <v>103.5</v>
      </c>
      <c r="I56" s="3" t="n">
        <v>8.59</v>
      </c>
    </row>
    <row r="57">
      <c r="A57" s="4" t="inlineStr">
        <is>
          <t>04C2526121093</t>
        </is>
      </c>
      <c r="B57" s="4" t="inlineStr">
        <is>
          <t>LT</t>
        </is>
      </c>
      <c r="C57" s="4" t="inlineStr">
        <is>
          <t>CRS0000675</t>
        </is>
      </c>
      <c r="D57" s="10" t="n">
        <v>46126</v>
      </c>
      <c r="E57" s="4" t="inlineStr">
        <is>
          <t>Fail</t>
        </is>
      </c>
      <c r="F57" s="9" t="inlineStr">
        <is>
          <t>YES</t>
        </is>
      </c>
      <c r="G57" s="4" t="inlineStr">
        <is>
          <t>Suction Tube Temp</t>
        </is>
      </c>
      <c r="H57" s="4" t="n">
        <v>103.9</v>
      </c>
      <c r="I57" s="4" t="n">
        <v>8.52</v>
      </c>
    </row>
    <row r="58">
      <c r="A58" s="3" t="inlineStr">
        <is>
          <t>04C1326120945</t>
        </is>
      </c>
      <c r="B58" s="3" t="inlineStr">
        <is>
          <t>MT</t>
        </is>
      </c>
      <c r="C58" s="3" t="inlineStr">
        <is>
          <t>CRS0000674</t>
        </is>
      </c>
      <c r="D58" s="8" t="n">
        <v>46097</v>
      </c>
      <c r="E58" s="3" t="inlineStr">
        <is>
          <t>Fail</t>
        </is>
      </c>
      <c r="F58" s="9" t="inlineStr">
        <is>
          <t>YES</t>
        </is>
      </c>
      <c r="G58" s="3" t="inlineStr">
        <is>
          <t>Suction Tube Temp</t>
        </is>
      </c>
      <c r="H58" s="3" t="n">
        <v>154.8</v>
      </c>
      <c r="I58" s="3" t="n">
        <v>8.470000000000001</v>
      </c>
    </row>
    <row r="59">
      <c r="A59" s="4" t="inlineStr">
        <is>
          <t>04B2726120709</t>
        </is>
      </c>
      <c r="B59" s="4" t="inlineStr">
        <is>
          <t>MT</t>
        </is>
      </c>
      <c r="C59" s="4" t="inlineStr">
        <is>
          <t>CRS0000674</t>
        </is>
      </c>
      <c r="D59" s="10" t="n">
        <v>46081</v>
      </c>
      <c r="E59" s="4" t="inlineStr">
        <is>
          <t>Fail</t>
        </is>
      </c>
      <c r="F59" s="9" t="inlineStr">
        <is>
          <t>YES</t>
        </is>
      </c>
      <c r="G59" s="4" t="inlineStr">
        <is>
          <t>Suction Tube Temp</t>
        </is>
      </c>
      <c r="H59" s="4" t="n">
        <v>70.40000000000001</v>
      </c>
      <c r="I59" s="4" t="n">
        <v>8.460000000000001</v>
      </c>
    </row>
    <row r="60">
      <c r="A60" s="3" t="inlineStr">
        <is>
          <t>04D1326121358</t>
        </is>
      </c>
      <c r="B60" s="3" t="inlineStr">
        <is>
          <t>MT</t>
        </is>
      </c>
      <c r="C60" s="3" t="inlineStr">
        <is>
          <t>CRS0000674</t>
        </is>
      </c>
      <c r="D60" s="8" t="n">
        <v>46125</v>
      </c>
      <c r="E60" s="3" t="inlineStr">
        <is>
          <t>Fail</t>
        </is>
      </c>
      <c r="F60" s="9" t="inlineStr">
        <is>
          <t>YES</t>
        </is>
      </c>
      <c r="G60" s="3" t="inlineStr">
        <is>
          <t>Suction Tube Temp</t>
        </is>
      </c>
      <c r="H60" s="3" t="n">
        <v>70.90000000000001</v>
      </c>
      <c r="I60" s="3" t="n">
        <v>8.359999999999999</v>
      </c>
    </row>
    <row r="61">
      <c r="A61" s="4" t="inlineStr">
        <is>
          <t>04C1326120945</t>
        </is>
      </c>
      <c r="B61" s="4" t="inlineStr">
        <is>
          <t>MT</t>
        </is>
      </c>
      <c r="C61" s="4" t="inlineStr">
        <is>
          <t>CRS0000674</t>
        </is>
      </c>
      <c r="D61" s="10" t="n">
        <v>46095</v>
      </c>
      <c r="E61" s="4" t="inlineStr">
        <is>
          <t>Fail</t>
        </is>
      </c>
      <c r="F61" s="9" t="inlineStr">
        <is>
          <t>YES</t>
        </is>
      </c>
      <c r="G61" s="4" t="inlineStr">
        <is>
          <t>Final Current</t>
        </is>
      </c>
      <c r="H61" s="4" t="n">
        <v>5.15</v>
      </c>
      <c r="I61" s="4" t="n">
        <v>8.300000000000001</v>
      </c>
    </row>
    <row r="62">
      <c r="A62" s="3" t="inlineStr">
        <is>
          <t>04C3126121160</t>
        </is>
      </c>
      <c r="B62" s="3" t="inlineStr">
        <is>
          <t>MT</t>
        </is>
      </c>
      <c r="C62" s="3" t="inlineStr">
        <is>
          <t>CRS0000674</t>
        </is>
      </c>
      <c r="D62" s="8" t="n">
        <v>46112</v>
      </c>
      <c r="E62" s="3" t="inlineStr">
        <is>
          <t>Fail</t>
        </is>
      </c>
      <c r="F62" s="9" t="inlineStr">
        <is>
          <t>YES</t>
        </is>
      </c>
      <c r="G62" s="3" t="inlineStr">
        <is>
          <t>Suction Tube Temp</t>
        </is>
      </c>
      <c r="H62" s="3" t="n">
        <v>71.3</v>
      </c>
      <c r="I62" s="3" t="n">
        <v>8.279999999999999</v>
      </c>
    </row>
    <row r="63">
      <c r="A63" s="4" t="inlineStr">
        <is>
          <t>04B1226120599</t>
        </is>
      </c>
      <c r="B63" s="4" t="inlineStr">
        <is>
          <t>LT</t>
        </is>
      </c>
      <c r="C63" s="4" t="inlineStr">
        <is>
          <t>CRS0000675</t>
        </is>
      </c>
      <c r="D63" s="10" t="n">
        <v>46066</v>
      </c>
      <c r="E63" s="4" t="inlineStr">
        <is>
          <t>Fail</t>
        </is>
      </c>
      <c r="F63" s="9" t="inlineStr">
        <is>
          <t>YES</t>
        </is>
      </c>
      <c r="G63" s="4" t="inlineStr">
        <is>
          <t>Final Current</t>
        </is>
      </c>
      <c r="H63" s="4" t="n">
        <v>4.61</v>
      </c>
      <c r="I63" s="4" t="n">
        <v>8.27</v>
      </c>
    </row>
    <row r="64">
      <c r="A64" s="3" t="inlineStr">
        <is>
          <t>04D1526121398</t>
        </is>
      </c>
      <c r="B64" s="3" t="inlineStr">
        <is>
          <t>MT</t>
        </is>
      </c>
      <c r="C64" s="3" t="inlineStr">
        <is>
          <t>CRS0000674</t>
        </is>
      </c>
      <c r="D64" s="8" t="n">
        <v>46127</v>
      </c>
      <c r="E64" s="3" t="inlineStr">
        <is>
          <t>Fail</t>
        </is>
      </c>
      <c r="F64" s="9" t="inlineStr">
        <is>
          <t>YES</t>
        </is>
      </c>
      <c r="G64" s="3" t="inlineStr">
        <is>
          <t>Suction Tube Temp</t>
        </is>
      </c>
      <c r="H64" s="3" t="n">
        <v>71.8</v>
      </c>
      <c r="I64" s="3" t="n">
        <v>8.18</v>
      </c>
    </row>
    <row r="65">
      <c r="A65" s="4" t="inlineStr">
        <is>
          <t>04C1126120904</t>
        </is>
      </c>
      <c r="B65" s="4" t="inlineStr">
        <is>
          <t>MT</t>
        </is>
      </c>
      <c r="C65" s="4" t="inlineStr">
        <is>
          <t>CRS0000674</t>
        </is>
      </c>
      <c r="D65" s="10" t="n">
        <v>46092</v>
      </c>
      <c r="E65" s="4" t="inlineStr">
        <is>
          <t>Fail</t>
        </is>
      </c>
      <c r="F65" s="9" t="inlineStr">
        <is>
          <t>YES</t>
        </is>
      </c>
      <c r="G65" s="4" t="inlineStr">
        <is>
          <t>Startup Current</t>
        </is>
      </c>
      <c r="H65" s="4" t="n">
        <v>5.05</v>
      </c>
      <c r="I65" s="4" t="n">
        <v>8.17</v>
      </c>
    </row>
    <row r="66">
      <c r="A66" s="3" t="inlineStr">
        <is>
          <t>04B2826120718</t>
        </is>
      </c>
      <c r="B66" s="3" t="inlineStr">
        <is>
          <t>LT</t>
        </is>
      </c>
      <c r="C66" s="3" t="inlineStr">
        <is>
          <t>CRS0000675</t>
        </is>
      </c>
      <c r="D66" s="8" t="n">
        <v>46082</v>
      </c>
      <c r="E66" s="3" t="inlineStr">
        <is>
          <t>Fail</t>
        </is>
      </c>
      <c r="F66" s="9" t="inlineStr">
        <is>
          <t>YES</t>
        </is>
      </c>
      <c r="G66" s="3" t="inlineStr">
        <is>
          <t>Suction Tube Temp</t>
        </is>
      </c>
      <c r="H66" s="3" t="n">
        <v>106.2</v>
      </c>
      <c r="I66" s="3" t="n">
        <v>8.119999999999999</v>
      </c>
    </row>
    <row r="67">
      <c r="A67" s="4" t="inlineStr">
        <is>
          <t>04C2526121094</t>
        </is>
      </c>
      <c r="B67" s="4" t="inlineStr">
        <is>
          <t>LT</t>
        </is>
      </c>
      <c r="C67" s="4" t="inlineStr">
        <is>
          <t>CRS0000675</t>
        </is>
      </c>
      <c r="D67" s="10" t="n">
        <v>46126</v>
      </c>
      <c r="E67" s="4" t="inlineStr">
        <is>
          <t>Fail</t>
        </is>
      </c>
      <c r="F67" s="9" t="inlineStr">
        <is>
          <t>YES</t>
        </is>
      </c>
      <c r="G67" s="4" t="inlineStr">
        <is>
          <t>Startup Current</t>
        </is>
      </c>
      <c r="H67" s="4" t="n">
        <v>3.64</v>
      </c>
      <c r="I67" s="4" t="n">
        <v>7.9</v>
      </c>
    </row>
    <row r="68">
      <c r="A68" s="3" t="inlineStr">
        <is>
          <t>04C2526121093</t>
        </is>
      </c>
      <c r="B68" s="3" t="inlineStr">
        <is>
          <t>LT</t>
        </is>
      </c>
      <c r="C68" s="3" t="inlineStr">
        <is>
          <t>CRS0000675</t>
        </is>
      </c>
      <c r="D68" s="8" t="n">
        <v>46126</v>
      </c>
      <c r="E68" s="3" t="inlineStr">
        <is>
          <t>Fail</t>
        </is>
      </c>
      <c r="F68" s="9" t="inlineStr">
        <is>
          <t>YES</t>
        </is>
      </c>
      <c r="G68" s="3" t="inlineStr">
        <is>
          <t>Startup Current</t>
        </is>
      </c>
      <c r="H68" s="3" t="n">
        <v>3.66</v>
      </c>
      <c r="I68" s="3" t="n">
        <v>7.87</v>
      </c>
    </row>
    <row r="69">
      <c r="A69" s="4" t="inlineStr">
        <is>
          <t>04A2926120428</t>
        </is>
      </c>
      <c r="B69" s="4" t="inlineStr">
        <is>
          <t>LT</t>
        </is>
      </c>
      <c r="C69" s="4" t="inlineStr">
        <is>
          <t>CRS0000675</t>
        </is>
      </c>
      <c r="D69" s="10" t="n">
        <v>46060</v>
      </c>
      <c r="E69" s="4" t="inlineStr">
        <is>
          <t>Fail</t>
        </is>
      </c>
      <c r="F69" s="9" t="inlineStr">
        <is>
          <t>YES</t>
        </is>
      </c>
      <c r="G69" s="4" t="inlineStr">
        <is>
          <t>Suction Tube Temp</t>
        </is>
      </c>
      <c r="H69" s="4" t="n">
        <v>107.9</v>
      </c>
      <c r="I69" s="4" t="n">
        <v>7.83</v>
      </c>
    </row>
    <row r="70">
      <c r="A70" s="3" t="inlineStr">
        <is>
          <t>04B2826120714</t>
        </is>
      </c>
      <c r="B70" s="3" t="inlineStr">
        <is>
          <t>LT</t>
        </is>
      </c>
      <c r="C70" s="3" t="inlineStr">
        <is>
          <t>CRS0000675</t>
        </is>
      </c>
      <c r="D70" s="8" t="n">
        <v>46081</v>
      </c>
      <c r="E70" s="3" t="inlineStr">
        <is>
          <t>Fail</t>
        </is>
      </c>
      <c r="F70" s="9" t="inlineStr">
        <is>
          <t>YES</t>
        </is>
      </c>
      <c r="G70" s="3" t="inlineStr">
        <is>
          <t>Suction Tube Temp</t>
        </is>
      </c>
      <c r="H70" s="3" t="n">
        <v>108.4</v>
      </c>
      <c r="I70" s="3" t="n">
        <v>7.74</v>
      </c>
    </row>
    <row r="71">
      <c r="A71" s="4" t="inlineStr">
        <is>
          <t>04C3126121174</t>
        </is>
      </c>
      <c r="B71" s="4" t="inlineStr">
        <is>
          <t>MT</t>
        </is>
      </c>
      <c r="C71" s="4" t="inlineStr">
        <is>
          <t>CRS0000674</t>
        </is>
      </c>
      <c r="D71" s="10" t="n">
        <v>46113</v>
      </c>
      <c r="E71" s="4" t="inlineStr">
        <is>
          <t>Fail</t>
        </is>
      </c>
      <c r="F71" s="9" t="inlineStr">
        <is>
          <t>YES</t>
        </is>
      </c>
      <c r="G71" s="4" t="inlineStr">
        <is>
          <t>Suction Tube Temp</t>
        </is>
      </c>
      <c r="H71" s="4" t="n">
        <v>74</v>
      </c>
      <c r="I71" s="4" t="n">
        <v>7.73</v>
      </c>
    </row>
    <row r="72">
      <c r="A72" s="3" t="inlineStr">
        <is>
          <t>04C2426121082</t>
        </is>
      </c>
      <c r="B72" s="3" t="inlineStr">
        <is>
          <t>LT</t>
        </is>
      </c>
      <c r="C72" s="3" t="inlineStr">
        <is>
          <t>CRS0000675</t>
        </is>
      </c>
      <c r="D72" s="8" t="n">
        <v>46130</v>
      </c>
      <c r="E72" s="3" t="inlineStr">
        <is>
          <t>Fail</t>
        </is>
      </c>
      <c r="F72" s="9" t="inlineStr">
        <is>
          <t>YES</t>
        </is>
      </c>
      <c r="G72" s="3" t="inlineStr">
        <is>
          <t>Final Current</t>
        </is>
      </c>
      <c r="H72" s="3" t="n">
        <v>4.83</v>
      </c>
      <c r="I72" s="3" t="n">
        <v>7.72</v>
      </c>
    </row>
    <row r="73">
      <c r="A73" s="4" t="inlineStr">
        <is>
          <t>04C1326120945</t>
        </is>
      </c>
      <c r="B73" s="4" t="inlineStr">
        <is>
          <t>MT</t>
        </is>
      </c>
      <c r="C73" s="4" t="inlineStr">
        <is>
          <t>CRS0000674</t>
        </is>
      </c>
      <c r="D73" s="10" t="n">
        <v>46097</v>
      </c>
      <c r="E73" s="4" t="inlineStr">
        <is>
          <t>Fail</t>
        </is>
      </c>
      <c r="F73" s="9" t="inlineStr">
        <is>
          <t>YES</t>
        </is>
      </c>
      <c r="G73" s="4" t="inlineStr">
        <is>
          <t>Startup Current</t>
        </is>
      </c>
      <c r="H73" s="4" t="n">
        <v>4.98</v>
      </c>
      <c r="I73" s="4" t="n">
        <v>7.7</v>
      </c>
    </row>
    <row r="74">
      <c r="A74" s="3" t="inlineStr">
        <is>
          <t>04B1226120597</t>
        </is>
      </c>
      <c r="B74" s="3" t="inlineStr">
        <is>
          <t>LT</t>
        </is>
      </c>
      <c r="C74" s="3" t="inlineStr">
        <is>
          <t>CRS0000675</t>
        </is>
      </c>
      <c r="D74" s="8" t="n">
        <v>46066</v>
      </c>
      <c r="E74" s="3" t="inlineStr">
        <is>
          <t>Fail</t>
        </is>
      </c>
      <c r="F74" s="9" t="inlineStr">
        <is>
          <t>YES</t>
        </is>
      </c>
      <c r="G74" s="3" t="inlineStr">
        <is>
          <t>Suction Tube Temp</t>
        </is>
      </c>
      <c r="H74" s="3" t="n">
        <v>108.8</v>
      </c>
      <c r="I74" s="3" t="n">
        <v>7.67</v>
      </c>
    </row>
    <row r="75">
      <c r="A75" s="4" t="inlineStr">
        <is>
          <t>04B1226120597</t>
        </is>
      </c>
      <c r="B75" s="4" t="inlineStr">
        <is>
          <t>LT</t>
        </is>
      </c>
      <c r="C75" s="4" t="inlineStr">
        <is>
          <t>CRS0000675</t>
        </is>
      </c>
      <c r="D75" s="10" t="n">
        <v>46066</v>
      </c>
      <c r="E75" s="4" t="inlineStr">
        <is>
          <t>Fail</t>
        </is>
      </c>
      <c r="F75" s="9" t="inlineStr">
        <is>
          <t>YES</t>
        </is>
      </c>
      <c r="G75" s="4" t="inlineStr">
        <is>
          <t>Suction Tube Temp</t>
        </is>
      </c>
      <c r="H75" s="4" t="n">
        <v>109.3</v>
      </c>
      <c r="I75" s="4" t="n">
        <v>7.58</v>
      </c>
    </row>
    <row r="76">
      <c r="A76" s="3" t="inlineStr">
        <is>
          <t>04B2626120700</t>
        </is>
      </c>
      <c r="B76" s="3" t="inlineStr">
        <is>
          <t>LT</t>
        </is>
      </c>
      <c r="C76" s="3" t="inlineStr">
        <is>
          <t>CRS0000675</t>
        </is>
      </c>
      <c r="D76" s="8" t="n">
        <v>46083</v>
      </c>
      <c r="E76" s="3" t="inlineStr">
        <is>
          <t>Fail</t>
        </is>
      </c>
      <c r="F76" s="9" t="inlineStr">
        <is>
          <t>YES</t>
        </is>
      </c>
      <c r="G76" s="3" t="inlineStr">
        <is>
          <t>Suction Tube Temp</t>
        </is>
      </c>
      <c r="H76" s="3" t="n">
        <v>110.2</v>
      </c>
      <c r="I76" s="3" t="n">
        <v>7.42</v>
      </c>
    </row>
    <row r="77">
      <c r="A77" s="4" t="inlineStr">
        <is>
          <t>04C1326120945</t>
        </is>
      </c>
      <c r="B77" s="4" t="inlineStr">
        <is>
          <t>MT</t>
        </is>
      </c>
      <c r="C77" s="4" t="inlineStr">
        <is>
          <t>CRS0000674</t>
        </is>
      </c>
      <c r="D77" s="10" t="n">
        <v>46095</v>
      </c>
      <c r="E77" s="4" t="inlineStr">
        <is>
          <t>Fail</t>
        </is>
      </c>
      <c r="F77" s="9" t="inlineStr">
        <is>
          <t>YES</t>
        </is>
      </c>
      <c r="G77" s="4" t="inlineStr">
        <is>
          <t>Suction Tube Temp</t>
        </is>
      </c>
      <c r="H77" s="4" t="n">
        <v>149.5</v>
      </c>
      <c r="I77" s="4" t="n">
        <v>7.41</v>
      </c>
    </row>
    <row r="78">
      <c r="A78" s="3" t="inlineStr">
        <is>
          <t>04C2426121082</t>
        </is>
      </c>
      <c r="B78" s="3" t="inlineStr">
        <is>
          <t>LT</t>
        </is>
      </c>
      <c r="C78" s="3" t="inlineStr">
        <is>
          <t>CRS0000675</t>
        </is>
      </c>
      <c r="D78" s="8" t="n">
        <v>46130</v>
      </c>
      <c r="E78" s="3" t="inlineStr">
        <is>
          <t>Fail</t>
        </is>
      </c>
      <c r="F78" s="9" t="inlineStr">
        <is>
          <t>YES</t>
        </is>
      </c>
      <c r="G78" s="3" t="inlineStr">
        <is>
          <t>Final Current</t>
        </is>
      </c>
      <c r="H78" s="3" t="n">
        <v>4.96</v>
      </c>
      <c r="I78" s="3" t="n">
        <v>7.39</v>
      </c>
    </row>
    <row r="79">
      <c r="A79" s="4" t="inlineStr">
        <is>
          <t>04A2926120428</t>
        </is>
      </c>
      <c r="B79" s="4" t="inlineStr">
        <is>
          <t>LT</t>
        </is>
      </c>
      <c r="C79" s="4" t="inlineStr">
        <is>
          <t>CRS0000675</t>
        </is>
      </c>
      <c r="D79" s="10" t="n">
        <v>46056</v>
      </c>
      <c r="E79" s="4" t="inlineStr">
        <is>
          <t>Fail</t>
        </is>
      </c>
      <c r="F79" s="9" t="inlineStr">
        <is>
          <t>YES</t>
        </is>
      </c>
      <c r="G79" s="4" t="inlineStr">
        <is>
          <t>Suction Tube Temp</t>
        </is>
      </c>
      <c r="H79" s="4" t="n">
        <v>110.6</v>
      </c>
      <c r="I79" s="4" t="n">
        <v>7.36</v>
      </c>
    </row>
    <row r="80">
      <c r="A80" s="3" t="inlineStr">
        <is>
          <t>04C2426121082</t>
        </is>
      </c>
      <c r="B80" s="3" t="inlineStr">
        <is>
          <t>LT</t>
        </is>
      </c>
      <c r="C80" s="3" t="inlineStr">
        <is>
          <t>CRS0000675</t>
        </is>
      </c>
      <c r="D80" s="8" t="n">
        <v>46130</v>
      </c>
      <c r="E80" s="3" t="inlineStr">
        <is>
          <t>Fail</t>
        </is>
      </c>
      <c r="F80" s="9" t="inlineStr">
        <is>
          <t>YES</t>
        </is>
      </c>
      <c r="G80" s="3" t="inlineStr">
        <is>
          <t>Final Current</t>
        </is>
      </c>
      <c r="H80" s="3" t="n">
        <v>4.98</v>
      </c>
      <c r="I80" s="3" t="n">
        <v>7.34</v>
      </c>
    </row>
    <row r="81">
      <c r="A81" s="4" t="inlineStr">
        <is>
          <t>04B1226120597</t>
        </is>
      </c>
      <c r="B81" s="4" t="inlineStr">
        <is>
          <t>LT</t>
        </is>
      </c>
      <c r="C81" s="4" t="inlineStr">
        <is>
          <t>CRS0000675</t>
        </is>
      </c>
      <c r="D81" s="10" t="n">
        <v>46066</v>
      </c>
      <c r="E81" s="4" t="inlineStr">
        <is>
          <t>Fail</t>
        </is>
      </c>
      <c r="F81" s="9" t="inlineStr">
        <is>
          <t>YES</t>
        </is>
      </c>
      <c r="G81" s="4" t="inlineStr">
        <is>
          <t>Suction Tube Temp</t>
        </is>
      </c>
      <c r="H81" s="4" t="n">
        <v>111.1</v>
      </c>
      <c r="I81" s="4" t="n">
        <v>7.27</v>
      </c>
    </row>
    <row r="82">
      <c r="A82" s="3" t="inlineStr">
        <is>
          <t>04C3126121174</t>
        </is>
      </c>
      <c r="B82" s="3" t="inlineStr">
        <is>
          <t>MT</t>
        </is>
      </c>
      <c r="C82" s="3" t="inlineStr">
        <is>
          <t>CRS0000674</t>
        </is>
      </c>
      <c r="D82" s="8" t="n">
        <v>46113</v>
      </c>
      <c r="E82" s="3" t="inlineStr">
        <is>
          <t>Fail</t>
        </is>
      </c>
      <c r="F82" s="9" t="inlineStr">
        <is>
          <t>YES</t>
        </is>
      </c>
      <c r="G82" s="3" t="inlineStr">
        <is>
          <t>Suction Tube Temp</t>
        </is>
      </c>
      <c r="H82" s="3" t="n">
        <v>77.09999999999999</v>
      </c>
      <c r="I82" s="3" t="n">
        <v>7.11</v>
      </c>
    </row>
    <row r="83">
      <c r="A83" s="4" t="inlineStr">
        <is>
          <t>04C2426121082</t>
        </is>
      </c>
      <c r="B83" s="4" t="inlineStr">
        <is>
          <t>LT</t>
        </is>
      </c>
      <c r="C83" s="4" t="inlineStr">
        <is>
          <t>CRS0000675</t>
        </is>
      </c>
      <c r="D83" s="10" t="n">
        <v>46106</v>
      </c>
      <c r="E83" s="4" t="inlineStr">
        <is>
          <t>Fail</t>
        </is>
      </c>
      <c r="F83" s="9" t="inlineStr">
        <is>
          <t>YES</t>
        </is>
      </c>
      <c r="G83" s="4" t="inlineStr">
        <is>
          <t>Final Current</t>
        </is>
      </c>
      <c r="H83" s="4" t="n">
        <v>5.08</v>
      </c>
      <c r="I83" s="4" t="n">
        <v>7.09</v>
      </c>
    </row>
    <row r="84">
      <c r="A84" s="3" t="inlineStr">
        <is>
          <t>04A2926120429</t>
        </is>
      </c>
      <c r="B84" s="3" t="inlineStr">
        <is>
          <t>LT</t>
        </is>
      </c>
      <c r="C84" s="3" t="inlineStr">
        <is>
          <t>CRS0000675</t>
        </is>
      </c>
      <c r="D84" s="8" t="n">
        <v>46053</v>
      </c>
      <c r="E84" s="3" t="inlineStr">
        <is>
          <t>Fail</t>
        </is>
      </c>
      <c r="F84" s="9" t="inlineStr">
        <is>
          <t>YES</t>
        </is>
      </c>
      <c r="G84" s="3" t="inlineStr">
        <is>
          <t>Evap Outlet Air Temp</t>
        </is>
      </c>
      <c r="H84" s="3" t="n">
        <v>53.9</v>
      </c>
      <c r="I84" s="3" t="n">
        <v>6.97</v>
      </c>
    </row>
    <row r="85">
      <c r="A85" s="4" t="inlineStr">
        <is>
          <t>04A2926120429</t>
        </is>
      </c>
      <c r="B85" s="4" t="inlineStr">
        <is>
          <t>LT</t>
        </is>
      </c>
      <c r="C85" s="4" t="inlineStr">
        <is>
          <t>CRS0000675</t>
        </is>
      </c>
      <c r="D85" s="10" t="n">
        <v>46053</v>
      </c>
      <c r="E85" s="4" t="inlineStr">
        <is>
          <t>Fail</t>
        </is>
      </c>
      <c r="F85" s="9" t="inlineStr">
        <is>
          <t>YES</t>
        </is>
      </c>
      <c r="G85" s="4" t="inlineStr">
        <is>
          <t>Evap Outlet Air Temp</t>
        </is>
      </c>
      <c r="H85" s="4" t="n">
        <v>53.9</v>
      </c>
      <c r="I85" s="4" t="n">
        <v>6.97</v>
      </c>
    </row>
    <row r="86">
      <c r="A86" s="3" t="inlineStr">
        <is>
          <t>04D0626121252</t>
        </is>
      </c>
      <c r="B86" s="3" t="inlineStr">
        <is>
          <t>MT</t>
        </is>
      </c>
      <c r="C86" s="3" t="inlineStr">
        <is>
          <t>CRS0000674</t>
        </is>
      </c>
      <c r="D86" s="8" t="n">
        <v>46119</v>
      </c>
      <c r="E86" s="3" t="inlineStr">
        <is>
          <t>Fail</t>
        </is>
      </c>
      <c r="F86" s="9" t="inlineStr">
        <is>
          <t>YES</t>
        </is>
      </c>
      <c r="G86" s="3" t="inlineStr">
        <is>
          <t>Suction Tube Temp</t>
        </is>
      </c>
      <c r="H86" s="3" t="n">
        <v>78</v>
      </c>
      <c r="I86" s="3" t="n">
        <v>6.93</v>
      </c>
    </row>
    <row r="87">
      <c r="A87" s="4" t="inlineStr">
        <is>
          <t>04C1726120990</t>
        </is>
      </c>
      <c r="B87" s="4" t="inlineStr">
        <is>
          <t>LT</t>
        </is>
      </c>
      <c r="C87" s="4" t="inlineStr">
        <is>
          <t>CRS0000675</t>
        </is>
      </c>
      <c r="D87" s="10" t="n">
        <v>46099</v>
      </c>
      <c r="E87" s="4" t="inlineStr">
        <is>
          <t>Fail</t>
        </is>
      </c>
      <c r="F87" s="9" t="inlineStr">
        <is>
          <t>YES</t>
        </is>
      </c>
      <c r="G87" s="4" t="inlineStr">
        <is>
          <t>Suction Tube Temp</t>
        </is>
      </c>
      <c r="H87" s="4" t="n">
        <v>113.7</v>
      </c>
      <c r="I87" s="4" t="n">
        <v>6.81</v>
      </c>
    </row>
    <row r="88">
      <c r="A88" s="3" t="inlineStr">
        <is>
          <t>04C2426121082</t>
        </is>
      </c>
      <c r="B88" s="3" t="inlineStr">
        <is>
          <t>LT</t>
        </is>
      </c>
      <c r="C88" s="3" t="inlineStr">
        <is>
          <t>CRS0000675</t>
        </is>
      </c>
      <c r="D88" s="8" t="n">
        <v>46106</v>
      </c>
      <c r="E88" s="3" t="inlineStr">
        <is>
          <t>Fail</t>
        </is>
      </c>
      <c r="F88" s="9" t="inlineStr">
        <is>
          <t>YES</t>
        </is>
      </c>
      <c r="G88" s="3" t="inlineStr">
        <is>
          <t>Final Current</t>
        </is>
      </c>
      <c r="H88" s="3" t="n">
        <v>5.2</v>
      </c>
      <c r="I88" s="3" t="n">
        <v>6.79</v>
      </c>
    </row>
    <row r="89">
      <c r="A89" s="4" t="inlineStr">
        <is>
          <t>04D1526121398</t>
        </is>
      </c>
      <c r="B89" s="4" t="inlineStr">
        <is>
          <t>MT</t>
        </is>
      </c>
      <c r="C89" s="4" t="inlineStr">
        <is>
          <t>CRS0000674</t>
        </is>
      </c>
      <c r="D89" s="10" t="n">
        <v>46133</v>
      </c>
      <c r="E89" s="4" t="inlineStr">
        <is>
          <t>Fail</t>
        </is>
      </c>
      <c r="F89" s="9" t="inlineStr">
        <is>
          <t>YES</t>
        </is>
      </c>
      <c r="G89" s="4" t="inlineStr">
        <is>
          <t>Evap Inlet Ret Bend A</t>
        </is>
      </c>
      <c r="H89" s="4" t="n">
        <v>61.7</v>
      </c>
      <c r="I89" s="4" t="n">
        <v>6.74</v>
      </c>
    </row>
    <row r="90">
      <c r="A90" s="3" t="inlineStr">
        <is>
          <t>04D0926121300</t>
        </is>
      </c>
      <c r="B90" s="3" t="inlineStr">
        <is>
          <t>LT</t>
        </is>
      </c>
      <c r="C90" s="3" t="inlineStr">
        <is>
          <t>CRS0000675</t>
        </is>
      </c>
      <c r="D90" s="8" t="n">
        <v>46122</v>
      </c>
      <c r="E90" s="3" t="inlineStr">
        <is>
          <t>Fail</t>
        </is>
      </c>
      <c r="F90" s="9" t="inlineStr">
        <is>
          <t>YES</t>
        </is>
      </c>
      <c r="G90" s="3" t="inlineStr">
        <is>
          <t>Evap Inlet Ret Bend A</t>
        </is>
      </c>
      <c r="H90" s="3" t="n">
        <v>129.8</v>
      </c>
      <c r="I90" s="3" t="n">
        <v>6.62</v>
      </c>
    </row>
    <row r="91">
      <c r="A91" s="4" t="inlineStr">
        <is>
          <t>04C1326120945</t>
        </is>
      </c>
      <c r="B91" s="4" t="inlineStr">
        <is>
          <t>MT</t>
        </is>
      </c>
      <c r="C91" s="4" t="inlineStr">
        <is>
          <t>CRS0000674</t>
        </is>
      </c>
      <c r="D91" s="10" t="n">
        <v>46095</v>
      </c>
      <c r="E91" s="4" t="inlineStr">
        <is>
          <t>Fail</t>
        </is>
      </c>
      <c r="F91" s="9" t="inlineStr">
        <is>
          <t>YES</t>
        </is>
      </c>
      <c r="G91" s="4" t="inlineStr">
        <is>
          <t>Final Current</t>
        </is>
      </c>
      <c r="H91" s="4" t="n">
        <v>4.88</v>
      </c>
      <c r="I91" s="4" t="n">
        <v>6.58</v>
      </c>
    </row>
    <row r="92">
      <c r="A92" s="3" t="inlineStr">
        <is>
          <t>04D1626121409</t>
        </is>
      </c>
      <c r="B92" s="3" t="inlineStr">
        <is>
          <t>MT</t>
        </is>
      </c>
      <c r="C92" s="3" t="inlineStr">
        <is>
          <t>CRS0000674</t>
        </is>
      </c>
      <c r="D92" s="8" t="n">
        <v>46128</v>
      </c>
      <c r="E92" s="3" t="inlineStr">
        <is>
          <t>Fail</t>
        </is>
      </c>
      <c r="F92" s="9" t="inlineStr">
        <is>
          <t>YES</t>
        </is>
      </c>
      <c r="G92" s="3" t="inlineStr">
        <is>
          <t>Suction Tube Temp</t>
        </is>
      </c>
      <c r="H92" s="3" t="n">
        <v>80.7</v>
      </c>
      <c r="I92" s="3" t="n">
        <v>6.39</v>
      </c>
    </row>
    <row r="93">
      <c r="A93" s="4" t="inlineStr">
        <is>
          <t>04D1426121381</t>
        </is>
      </c>
      <c r="B93" s="4" t="inlineStr">
        <is>
          <t>MT</t>
        </is>
      </c>
      <c r="C93" s="4" t="inlineStr">
        <is>
          <t>CRS0000674</t>
        </is>
      </c>
      <c r="D93" s="10" t="n">
        <v>46127</v>
      </c>
      <c r="E93" s="4" t="inlineStr">
        <is>
          <t>Fail</t>
        </is>
      </c>
      <c r="F93" s="9" t="inlineStr">
        <is>
          <t>YES</t>
        </is>
      </c>
      <c r="G93" s="4" t="inlineStr">
        <is>
          <t>Startup Current</t>
        </is>
      </c>
      <c r="H93" s="4" t="n">
        <v>2.86</v>
      </c>
      <c r="I93" s="4" t="n">
        <v>6.39</v>
      </c>
    </row>
    <row r="94">
      <c r="A94" s="3" t="inlineStr">
        <is>
          <t>04C1326120945</t>
        </is>
      </c>
      <c r="B94" s="3" t="inlineStr">
        <is>
          <t>MT</t>
        </is>
      </c>
      <c r="C94" s="3" t="inlineStr">
        <is>
          <t>CRS0000674</t>
        </is>
      </c>
      <c r="D94" s="8" t="n">
        <v>46097</v>
      </c>
      <c r="E94" s="3" t="inlineStr">
        <is>
          <t>Fail</t>
        </is>
      </c>
      <c r="F94" s="9" t="inlineStr">
        <is>
          <t>YES</t>
        </is>
      </c>
      <c r="G94" s="3" t="inlineStr">
        <is>
          <t>Suction Tube Temp</t>
        </is>
      </c>
      <c r="H94" s="3" t="n">
        <v>144.1</v>
      </c>
      <c r="I94" s="3" t="n">
        <v>6.33</v>
      </c>
    </row>
    <row r="95">
      <c r="A95" s="4" t="inlineStr">
        <is>
          <t>04D0626121252</t>
        </is>
      </c>
      <c r="B95" s="4" t="inlineStr">
        <is>
          <t>MT</t>
        </is>
      </c>
      <c r="C95" s="4" t="inlineStr">
        <is>
          <t>CRS0000674</t>
        </is>
      </c>
      <c r="D95" s="10" t="n">
        <v>46136</v>
      </c>
      <c r="E95" s="4" t="inlineStr">
        <is>
          <t>Fail</t>
        </is>
      </c>
      <c r="F95" s="9" t="inlineStr">
        <is>
          <t>YES</t>
        </is>
      </c>
      <c r="G95" s="4" t="inlineStr">
        <is>
          <t>Suction Tube Temp</t>
        </is>
      </c>
      <c r="H95" s="4" t="n">
        <v>81.59999999999999</v>
      </c>
      <c r="I95" s="4" t="n">
        <v>6.21</v>
      </c>
    </row>
    <row r="96">
      <c r="A96" s="3" t="inlineStr">
        <is>
          <t>04D1426121381</t>
        </is>
      </c>
      <c r="B96" s="3" t="inlineStr">
        <is>
          <t>MT</t>
        </is>
      </c>
      <c r="C96" s="3" t="inlineStr">
        <is>
          <t>CRS0000674</t>
        </is>
      </c>
      <c r="D96" s="8" t="n">
        <v>46127</v>
      </c>
      <c r="E96" s="3" t="inlineStr">
        <is>
          <t>Fail</t>
        </is>
      </c>
      <c r="F96" s="9" t="inlineStr">
        <is>
          <t>YES</t>
        </is>
      </c>
      <c r="G96" s="3" t="inlineStr">
        <is>
          <t>Startup Current</t>
        </is>
      </c>
      <c r="H96" s="3" t="n">
        <v>2.91</v>
      </c>
      <c r="I96" s="3" t="n">
        <v>6.05</v>
      </c>
    </row>
    <row r="97">
      <c r="A97" s="4" t="inlineStr">
        <is>
          <t>04D1626121415</t>
        </is>
      </c>
      <c r="B97" s="4" t="inlineStr">
        <is>
          <t>MT</t>
        </is>
      </c>
      <c r="C97" s="4" t="inlineStr">
        <is>
          <t>CRS0000674</t>
        </is>
      </c>
      <c r="D97" s="10" t="n">
        <v>46128</v>
      </c>
      <c r="E97" s="4" t="inlineStr">
        <is>
          <t>Fail</t>
        </is>
      </c>
      <c r="F97" s="9" t="inlineStr">
        <is>
          <t>YES</t>
        </is>
      </c>
      <c r="G97" s="4" t="inlineStr">
        <is>
          <t>Suction Tube Temp</t>
        </is>
      </c>
      <c r="H97" s="4" t="n">
        <v>82.90000000000001</v>
      </c>
      <c r="I97" s="4" t="n">
        <v>5.95</v>
      </c>
    </row>
    <row r="98">
      <c r="A98" s="3" t="inlineStr">
        <is>
          <t>04D0626121252</t>
        </is>
      </c>
      <c r="B98" s="3" t="inlineStr">
        <is>
          <t>MT</t>
        </is>
      </c>
      <c r="C98" s="3" t="inlineStr">
        <is>
          <t>CRS0000674</t>
        </is>
      </c>
      <c r="D98" s="8" t="n">
        <v>46136</v>
      </c>
      <c r="E98" s="3" t="inlineStr">
        <is>
          <t>Fail</t>
        </is>
      </c>
      <c r="F98" s="9" t="inlineStr">
        <is>
          <t>YES</t>
        </is>
      </c>
      <c r="G98" s="3" t="inlineStr">
        <is>
          <t>Evap Inlet Ret Bend A</t>
        </is>
      </c>
      <c r="H98" s="3" t="n">
        <v>64</v>
      </c>
      <c r="I98" s="3" t="n">
        <v>5.93</v>
      </c>
    </row>
    <row r="99">
      <c r="A99" s="4" t="inlineStr">
        <is>
          <t>04B1226120599</t>
        </is>
      </c>
      <c r="B99" s="4" t="inlineStr">
        <is>
          <t>LT</t>
        </is>
      </c>
      <c r="C99" s="4" t="inlineStr">
        <is>
          <t>CRS0000675</t>
        </is>
      </c>
      <c r="D99" s="10" t="n">
        <v>46066</v>
      </c>
      <c r="E99" s="4" t="inlineStr">
        <is>
          <t>Fail</t>
        </is>
      </c>
      <c r="F99" s="9" t="inlineStr">
        <is>
          <t>YES</t>
        </is>
      </c>
      <c r="G99" s="4" t="inlineStr">
        <is>
          <t>Evap Inlet Ret Bend A</t>
        </is>
      </c>
      <c r="H99" s="4" t="n">
        <v>66.7</v>
      </c>
      <c r="I99" s="4" t="n">
        <v>5.9</v>
      </c>
    </row>
    <row r="100">
      <c r="A100" s="3" t="inlineStr">
        <is>
          <t>04B1226120599</t>
        </is>
      </c>
      <c r="B100" s="3" t="inlineStr">
        <is>
          <t>LT</t>
        </is>
      </c>
      <c r="C100" s="3" t="inlineStr">
        <is>
          <t>CRS0000675</t>
        </is>
      </c>
      <c r="D100" s="8" t="n">
        <v>46066</v>
      </c>
      <c r="E100" s="3" t="inlineStr">
        <is>
          <t>Fail</t>
        </is>
      </c>
      <c r="F100" s="9" t="inlineStr">
        <is>
          <t>YES</t>
        </is>
      </c>
      <c r="G100" s="3" t="inlineStr">
        <is>
          <t>Startup Current</t>
        </is>
      </c>
      <c r="H100" s="3" t="n">
        <v>4.76</v>
      </c>
      <c r="I100" s="3" t="n">
        <v>5.89</v>
      </c>
    </row>
    <row r="101">
      <c r="A101" s="4" t="inlineStr">
        <is>
          <t>04C2426121082</t>
        </is>
      </c>
      <c r="B101" s="4" t="inlineStr">
        <is>
          <t>LT</t>
        </is>
      </c>
      <c r="C101" s="4" t="inlineStr">
        <is>
          <t>CRS0000675</t>
        </is>
      </c>
      <c r="D101" s="10" t="n">
        <v>46130</v>
      </c>
      <c r="E101" s="4" t="inlineStr">
        <is>
          <t>Fail</t>
        </is>
      </c>
      <c r="F101" s="9" t="inlineStr">
        <is>
          <t>YES</t>
        </is>
      </c>
      <c r="G101" s="4" t="inlineStr">
        <is>
          <t>Startup Current</t>
        </is>
      </c>
      <c r="H101" s="4" t="n">
        <v>4.76</v>
      </c>
      <c r="I101" s="4" t="n">
        <v>5.89</v>
      </c>
    </row>
    <row r="102">
      <c r="A102" s="3" t="inlineStr">
        <is>
          <t>04D1426121381</t>
        </is>
      </c>
      <c r="B102" s="3" t="inlineStr">
        <is>
          <t>MT</t>
        </is>
      </c>
      <c r="C102" s="3" t="inlineStr">
        <is>
          <t>CRS0000674</t>
        </is>
      </c>
      <c r="D102" s="8" t="n">
        <v>46127</v>
      </c>
      <c r="E102" s="3" t="inlineStr">
        <is>
          <t>Fail</t>
        </is>
      </c>
      <c r="F102" s="9" t="inlineStr">
        <is>
          <t>YES</t>
        </is>
      </c>
      <c r="G102" s="3" t="inlineStr">
        <is>
          <t>Final Current</t>
        </is>
      </c>
      <c r="H102" s="3" t="n">
        <v>2.93</v>
      </c>
      <c r="I102" s="3" t="n">
        <v>5.86</v>
      </c>
    </row>
    <row r="103">
      <c r="A103" s="4" t="inlineStr">
        <is>
          <t>04D1426121381</t>
        </is>
      </c>
      <c r="B103" s="4" t="inlineStr">
        <is>
          <t>MT</t>
        </is>
      </c>
      <c r="C103" s="4" t="inlineStr">
        <is>
          <t>CRS0000674</t>
        </is>
      </c>
      <c r="D103" s="10" t="n">
        <v>46127</v>
      </c>
      <c r="E103" s="4" t="inlineStr">
        <is>
          <t>Fail</t>
        </is>
      </c>
      <c r="F103" s="9" t="inlineStr">
        <is>
          <t>YES</t>
        </is>
      </c>
      <c r="G103" s="4" t="inlineStr">
        <is>
          <t>Final Current</t>
        </is>
      </c>
      <c r="H103" s="4" t="n">
        <v>2.95</v>
      </c>
      <c r="I103" s="4" t="n">
        <v>5.73</v>
      </c>
    </row>
    <row r="104">
      <c r="A104" s="3" t="inlineStr">
        <is>
          <t>04A2926120429</t>
        </is>
      </c>
      <c r="B104" s="3" t="inlineStr">
        <is>
          <t>LT</t>
        </is>
      </c>
      <c r="C104" s="3" t="inlineStr">
        <is>
          <t>CRS0000675</t>
        </is>
      </c>
      <c r="D104" s="8" t="n">
        <v>46053</v>
      </c>
      <c r="E104" s="3" t="inlineStr">
        <is>
          <t>Fail</t>
        </is>
      </c>
      <c r="F104" s="9" t="inlineStr">
        <is>
          <t>YES</t>
        </is>
      </c>
      <c r="G104" s="3" t="inlineStr">
        <is>
          <t>Inlet/Outlet Delta</t>
        </is>
      </c>
      <c r="H104" s="3" t="n">
        <v>9.800000000000001</v>
      </c>
      <c r="I104" s="3" t="n">
        <v>5.71</v>
      </c>
    </row>
    <row r="105">
      <c r="A105" s="4" t="inlineStr">
        <is>
          <t>04C2426121082</t>
        </is>
      </c>
      <c r="B105" s="4" t="inlineStr">
        <is>
          <t>LT</t>
        </is>
      </c>
      <c r="C105" s="4" t="inlineStr">
        <is>
          <t>CRS0000675</t>
        </is>
      </c>
      <c r="D105" s="10" t="n">
        <v>46130</v>
      </c>
      <c r="E105" s="4" t="inlineStr">
        <is>
          <t>Fail</t>
        </is>
      </c>
      <c r="F105" s="9" t="inlineStr">
        <is>
          <t>YES</t>
        </is>
      </c>
      <c r="G105" s="4" t="inlineStr">
        <is>
          <t>Suction Tube Temp</t>
        </is>
      </c>
      <c r="H105" s="4" t="n">
        <v>120.4</v>
      </c>
      <c r="I105" s="4" t="n">
        <v>5.64</v>
      </c>
    </row>
    <row r="106">
      <c r="A106" s="3" t="inlineStr">
        <is>
          <t>04C2426121082</t>
        </is>
      </c>
      <c r="B106" s="3" t="inlineStr">
        <is>
          <t>LT</t>
        </is>
      </c>
      <c r="C106" s="3" t="inlineStr">
        <is>
          <t>CRS0000675</t>
        </is>
      </c>
      <c r="D106" s="8" t="n">
        <v>46130</v>
      </c>
      <c r="E106" s="3" t="inlineStr">
        <is>
          <t>Fail</t>
        </is>
      </c>
      <c r="F106" s="9" t="inlineStr">
        <is>
          <t>YES</t>
        </is>
      </c>
      <c r="G106" s="3" t="inlineStr">
        <is>
          <t>Startup Current</t>
        </is>
      </c>
      <c r="H106" s="3" t="n">
        <v>4.91</v>
      </c>
      <c r="I106" s="3" t="n">
        <v>5.62</v>
      </c>
    </row>
    <row r="107">
      <c r="A107" s="4" t="inlineStr">
        <is>
          <t>04C2426121082</t>
        </is>
      </c>
      <c r="B107" s="4" t="inlineStr">
        <is>
          <t>LT</t>
        </is>
      </c>
      <c r="C107" s="4" t="inlineStr">
        <is>
          <t>CRS0000675</t>
        </is>
      </c>
      <c r="D107" s="10" t="n">
        <v>46130</v>
      </c>
      <c r="E107" s="4" t="inlineStr">
        <is>
          <t>Fail</t>
        </is>
      </c>
      <c r="F107" s="9" t="inlineStr">
        <is>
          <t>YES</t>
        </is>
      </c>
      <c r="G107" s="4" t="inlineStr">
        <is>
          <t>Startup Current</t>
        </is>
      </c>
      <c r="H107" s="4" t="n">
        <v>4.93</v>
      </c>
      <c r="I107" s="4" t="n">
        <v>5.59</v>
      </c>
    </row>
    <row r="108">
      <c r="A108" s="3" t="inlineStr">
        <is>
          <t>04C1326120945</t>
        </is>
      </c>
      <c r="B108" s="3" t="inlineStr">
        <is>
          <t>MT</t>
        </is>
      </c>
      <c r="C108" s="3" t="inlineStr">
        <is>
          <t>CRS0000674</t>
        </is>
      </c>
      <c r="D108" s="8" t="n">
        <v>46095</v>
      </c>
      <c r="E108" s="3" t="inlineStr">
        <is>
          <t>Fail</t>
        </is>
      </c>
      <c r="F108" s="9" t="inlineStr">
        <is>
          <t>YES</t>
        </is>
      </c>
      <c r="G108" s="3" t="inlineStr">
        <is>
          <t>Startup Current</t>
        </is>
      </c>
      <c r="H108" s="3" t="n">
        <v>4.66</v>
      </c>
      <c r="I108" s="3" t="n">
        <v>5.57</v>
      </c>
    </row>
    <row r="109">
      <c r="A109" s="4" t="inlineStr">
        <is>
          <t>04A2926120429</t>
        </is>
      </c>
      <c r="B109" s="4" t="inlineStr">
        <is>
          <t>LT</t>
        </is>
      </c>
      <c r="C109" s="4" t="inlineStr">
        <is>
          <t>CRS0000675</t>
        </is>
      </c>
      <c r="D109" s="10" t="n">
        <v>46053</v>
      </c>
      <c r="E109" s="4" t="inlineStr">
        <is>
          <t>Fail</t>
        </is>
      </c>
      <c r="F109" s="9" t="inlineStr">
        <is>
          <t>YES</t>
        </is>
      </c>
      <c r="G109" s="4" t="inlineStr">
        <is>
          <t>Inlet/Outlet Delta</t>
        </is>
      </c>
      <c r="H109" s="4" t="n">
        <v>9.6</v>
      </c>
      <c r="I109" s="4" t="n">
        <v>5.56</v>
      </c>
    </row>
    <row r="110">
      <c r="A110" s="3" t="inlineStr">
        <is>
          <t>04C1726120990</t>
        </is>
      </c>
      <c r="B110" s="3" t="inlineStr">
        <is>
          <t>LT</t>
        </is>
      </c>
      <c r="C110" s="3" t="inlineStr">
        <is>
          <t>CRS0000675</t>
        </is>
      </c>
      <c r="D110" s="8" t="n">
        <v>46099</v>
      </c>
      <c r="E110" s="3" t="inlineStr">
        <is>
          <t>Fail</t>
        </is>
      </c>
      <c r="F110" s="9" t="inlineStr">
        <is>
          <t>YES</t>
        </is>
      </c>
      <c r="G110" s="3" t="inlineStr">
        <is>
          <t>Evap Inlet Ret Bend A</t>
        </is>
      </c>
      <c r="H110" s="3" t="n">
        <v>68.5</v>
      </c>
      <c r="I110" s="3" t="n">
        <v>5.54</v>
      </c>
    </row>
    <row r="111">
      <c r="A111" s="4" t="inlineStr">
        <is>
          <t>04A2926120428</t>
        </is>
      </c>
      <c r="B111" s="4" t="inlineStr">
        <is>
          <t>LT</t>
        </is>
      </c>
      <c r="C111" s="4" t="inlineStr">
        <is>
          <t>CRS0000675</t>
        </is>
      </c>
      <c r="D111" s="10" t="n">
        <v>46059</v>
      </c>
      <c r="E111" s="4" t="inlineStr">
        <is>
          <t>Fail</t>
        </is>
      </c>
      <c r="F111" s="9" t="inlineStr">
        <is>
          <t>YES</t>
        </is>
      </c>
      <c r="G111" s="4" t="inlineStr">
        <is>
          <t>Suction Tube Temp</t>
        </is>
      </c>
      <c r="H111" s="4" t="n">
        <v>121.3</v>
      </c>
      <c r="I111" s="4" t="n">
        <v>5.49</v>
      </c>
    </row>
    <row r="112">
      <c r="A112" s="3" t="inlineStr">
        <is>
          <t>04D1326121350</t>
        </is>
      </c>
      <c r="B112" s="3" t="inlineStr">
        <is>
          <t>LT</t>
        </is>
      </c>
      <c r="C112" s="3" t="inlineStr">
        <is>
          <t>CRS0000675</t>
        </is>
      </c>
      <c r="D112" s="8" t="n">
        <v>46125</v>
      </c>
      <c r="E112" s="3" t="inlineStr">
        <is>
          <t>Fail</t>
        </is>
      </c>
      <c r="F112" s="9" t="inlineStr">
        <is>
          <t>YES</t>
        </is>
      </c>
      <c r="G112" s="3" t="inlineStr">
        <is>
          <t>Evap Inlet Ret Bend A</t>
        </is>
      </c>
      <c r="H112" s="3" t="n">
        <v>68.90000000000001</v>
      </c>
      <c r="I112" s="3" t="n">
        <v>5.46</v>
      </c>
    </row>
    <row r="113">
      <c r="A113" s="4" t="inlineStr">
        <is>
          <t>04C1326120945</t>
        </is>
      </c>
      <c r="B113" s="4" t="inlineStr">
        <is>
          <t>MT</t>
        </is>
      </c>
      <c r="C113" s="4" t="inlineStr">
        <is>
          <t>CRS0000674</t>
        </is>
      </c>
      <c r="D113" s="10" t="n">
        <v>46095</v>
      </c>
      <c r="E113" s="4" t="inlineStr">
        <is>
          <t>Fail</t>
        </is>
      </c>
      <c r="F113" s="9" t="inlineStr">
        <is>
          <t>YES</t>
        </is>
      </c>
      <c r="G113" s="4" t="inlineStr">
        <is>
          <t>Suction Tube Temp</t>
        </is>
      </c>
      <c r="H113" s="4" t="n">
        <v>139.7</v>
      </c>
      <c r="I113" s="4" t="n">
        <v>5.44</v>
      </c>
    </row>
    <row r="114">
      <c r="A114" s="3" t="inlineStr">
        <is>
          <t>04D0626121254</t>
        </is>
      </c>
      <c r="B114" s="3" t="inlineStr">
        <is>
          <t>MT</t>
        </is>
      </c>
      <c r="C114" s="3" t="inlineStr">
        <is>
          <t>CRS0000674</t>
        </is>
      </c>
      <c r="D114" s="8" t="n">
        <v>46135</v>
      </c>
      <c r="E114" s="3" t="inlineStr">
        <is>
          <t>Fail</t>
        </is>
      </c>
      <c r="F114" s="9" t="inlineStr">
        <is>
          <t>YES</t>
        </is>
      </c>
      <c r="G114" s="3" t="inlineStr">
        <is>
          <t>Suction Tube Temp</t>
        </is>
      </c>
      <c r="H114" s="3" t="n">
        <v>85.59999999999999</v>
      </c>
      <c r="I114" s="3" t="n">
        <v>5.41</v>
      </c>
    </row>
    <row r="115">
      <c r="A115" s="4" t="inlineStr">
        <is>
          <t>04D1426121369</t>
        </is>
      </c>
      <c r="B115" s="4" t="inlineStr">
        <is>
          <t>MT</t>
        </is>
      </c>
      <c r="C115" s="4" t="inlineStr">
        <is>
          <t>CRS0000674</t>
        </is>
      </c>
      <c r="D115" s="10" t="n">
        <v>46135</v>
      </c>
      <c r="E115" s="4" t="inlineStr">
        <is>
          <t>Fail</t>
        </is>
      </c>
      <c r="F115" s="9" t="inlineStr">
        <is>
          <t>YES</t>
        </is>
      </c>
      <c r="G115" s="4" t="inlineStr">
        <is>
          <t>Suction Tube Temp</t>
        </is>
      </c>
      <c r="H115" s="4" t="n">
        <v>85.59999999999999</v>
      </c>
      <c r="I115" s="4" t="n">
        <v>5.41</v>
      </c>
    </row>
    <row r="116">
      <c r="A116" s="3" t="inlineStr">
        <is>
          <t>04D0926121293</t>
        </is>
      </c>
      <c r="B116" s="3" t="inlineStr">
        <is>
          <t>LT</t>
        </is>
      </c>
      <c r="C116" s="3" t="inlineStr">
        <is>
          <t>CRS0000675</t>
        </is>
      </c>
      <c r="D116" s="8" t="n">
        <v>46129</v>
      </c>
      <c r="E116" s="3" t="inlineStr">
        <is>
          <t>Fail</t>
        </is>
      </c>
      <c r="F116" s="9" t="inlineStr">
        <is>
          <t>YES</t>
        </is>
      </c>
      <c r="G116" s="3" t="inlineStr">
        <is>
          <t>Evap Inlet Ret Bend A</t>
        </is>
      </c>
      <c r="H116" s="3" t="n">
        <v>69.40000000000001</v>
      </c>
      <c r="I116" s="3" t="n">
        <v>5.37</v>
      </c>
    </row>
    <row r="117">
      <c r="A117" s="4" t="inlineStr">
        <is>
          <t>04D0926121293</t>
        </is>
      </c>
      <c r="B117" s="4" t="inlineStr">
        <is>
          <t>LT</t>
        </is>
      </c>
      <c r="C117" s="4" t="inlineStr">
        <is>
          <t>CRS0000675</t>
        </is>
      </c>
      <c r="D117" s="10" t="n">
        <v>46129</v>
      </c>
      <c r="E117" s="4" t="inlineStr">
        <is>
          <t>Fail</t>
        </is>
      </c>
      <c r="F117" s="9" t="inlineStr">
        <is>
          <t>YES</t>
        </is>
      </c>
      <c r="G117" s="4" t="inlineStr">
        <is>
          <t>Evap Inlet Ret Bend A</t>
        </is>
      </c>
      <c r="H117" s="4" t="n">
        <v>69.8</v>
      </c>
      <c r="I117" s="4" t="n">
        <v>5.29</v>
      </c>
    </row>
    <row r="118">
      <c r="A118" s="3" t="inlineStr">
        <is>
          <t>04C2426121082</t>
        </is>
      </c>
      <c r="B118" s="3" t="inlineStr">
        <is>
          <t>LT</t>
        </is>
      </c>
      <c r="C118" s="3" t="inlineStr">
        <is>
          <t>CRS0000675</t>
        </is>
      </c>
      <c r="D118" s="8" t="n">
        <v>46106</v>
      </c>
      <c r="E118" s="3" t="inlineStr">
        <is>
          <t>Fail</t>
        </is>
      </c>
      <c r="F118" s="9" t="inlineStr">
        <is>
          <t>YES</t>
        </is>
      </c>
      <c r="G118" s="3" t="inlineStr">
        <is>
          <t>Startup Current</t>
        </is>
      </c>
      <c r="H118" s="3" t="n">
        <v>5.1</v>
      </c>
      <c r="I118" s="3" t="n">
        <v>5.28</v>
      </c>
    </row>
    <row r="119">
      <c r="A119" s="4" t="inlineStr">
        <is>
          <t>04A2926120429</t>
        </is>
      </c>
      <c r="B119" s="4" t="inlineStr">
        <is>
          <t>LT</t>
        </is>
      </c>
      <c r="C119" s="4" t="inlineStr">
        <is>
          <t>CRS0000675</t>
        </is>
      </c>
      <c r="D119" s="10" t="n">
        <v>46066</v>
      </c>
      <c r="E119" s="4" t="inlineStr">
        <is>
          <t>Fail</t>
        </is>
      </c>
      <c r="F119" s="9" t="inlineStr">
        <is>
          <t>YES</t>
        </is>
      </c>
      <c r="G119" s="4" t="inlineStr">
        <is>
          <t>Suction Tube Temp</t>
        </is>
      </c>
      <c r="H119" s="4" t="n">
        <v>122.7</v>
      </c>
      <c r="I119" s="4" t="n">
        <v>5.24</v>
      </c>
    </row>
    <row r="120">
      <c r="A120" s="3" t="inlineStr">
        <is>
          <t>04A2926120428</t>
        </is>
      </c>
      <c r="B120" s="3" t="inlineStr">
        <is>
          <t>LT</t>
        </is>
      </c>
      <c r="C120" s="3" t="inlineStr">
        <is>
          <t>CRS0000675</t>
        </is>
      </c>
      <c r="D120" s="8" t="n">
        <v>46059</v>
      </c>
      <c r="E120" s="3" t="inlineStr">
        <is>
          <t>Fail</t>
        </is>
      </c>
      <c r="F120" s="9" t="inlineStr">
        <is>
          <t>YES</t>
        </is>
      </c>
      <c r="G120" s="3" t="inlineStr">
        <is>
          <t>Inlet/Outlet Delta</t>
        </is>
      </c>
      <c r="H120" s="3" t="n">
        <v>9.1</v>
      </c>
      <c r="I120" s="3" t="n">
        <v>5.2</v>
      </c>
    </row>
    <row r="121">
      <c r="A121" s="4" t="inlineStr">
        <is>
          <t>04D1826121466</t>
        </is>
      </c>
      <c r="B121" s="4" t="inlineStr">
        <is>
          <t>LT</t>
        </is>
      </c>
      <c r="C121" s="4" t="inlineStr">
        <is>
          <t>CRS0000675</t>
        </is>
      </c>
      <c r="D121" s="10" t="n">
        <v>46130</v>
      </c>
      <c r="E121" s="4" t="inlineStr">
        <is>
          <t>Fail</t>
        </is>
      </c>
      <c r="F121" s="9" t="inlineStr">
        <is>
          <t>YES</t>
        </is>
      </c>
      <c r="G121" s="4" t="inlineStr">
        <is>
          <t>Suction Tube Temp</t>
        </is>
      </c>
      <c r="H121" s="4" t="n">
        <v>182.5</v>
      </c>
      <c r="I121" s="4" t="n">
        <v>5.19</v>
      </c>
    </row>
    <row r="122">
      <c r="A122" s="3" t="inlineStr">
        <is>
          <t>04D1326121350</t>
        </is>
      </c>
      <c r="B122" s="3" t="inlineStr">
        <is>
          <t>LT</t>
        </is>
      </c>
      <c r="C122" s="3" t="inlineStr">
        <is>
          <t>CRS0000675</t>
        </is>
      </c>
      <c r="D122" s="8" t="n">
        <v>46125</v>
      </c>
      <c r="E122" s="3" t="inlineStr">
        <is>
          <t>Fail</t>
        </is>
      </c>
      <c r="F122" s="9" t="inlineStr">
        <is>
          <t>YES</t>
        </is>
      </c>
      <c r="G122" s="3" t="inlineStr">
        <is>
          <t>Evap Inlet Ret Bend A</t>
        </is>
      </c>
      <c r="H122" s="3" t="n">
        <v>70.3</v>
      </c>
      <c r="I122" s="3" t="n">
        <v>5.19</v>
      </c>
    </row>
    <row r="123">
      <c r="A123" s="4" t="inlineStr">
        <is>
          <t>04D1326121350</t>
        </is>
      </c>
      <c r="B123" s="4" t="inlineStr">
        <is>
          <t>LT</t>
        </is>
      </c>
      <c r="C123" s="4" t="inlineStr">
        <is>
          <t>CRS0000675</t>
        </is>
      </c>
      <c r="D123" s="10" t="n">
        <v>46136</v>
      </c>
      <c r="E123" s="4" t="inlineStr">
        <is>
          <t>Fail</t>
        </is>
      </c>
      <c r="F123" s="9" t="inlineStr">
        <is>
          <t>YES</t>
        </is>
      </c>
      <c r="G123" s="4" t="inlineStr">
        <is>
          <t>Evap Inlet Ret Bend A</t>
        </is>
      </c>
      <c r="H123" s="4" t="n">
        <v>70.3</v>
      </c>
      <c r="I123" s="4" t="n">
        <v>5.19</v>
      </c>
    </row>
    <row r="124">
      <c r="A124" s="3" t="inlineStr">
        <is>
          <t>04D1626121411</t>
        </is>
      </c>
      <c r="B124" s="3" t="inlineStr">
        <is>
          <t>MT</t>
        </is>
      </c>
      <c r="C124" s="3" t="inlineStr">
        <is>
          <t>CRS0000674</t>
        </is>
      </c>
      <c r="D124" s="8" t="n">
        <v>46133</v>
      </c>
      <c r="E124" s="3" t="inlineStr">
        <is>
          <t>Fail</t>
        </is>
      </c>
      <c r="F124" s="9" t="inlineStr">
        <is>
          <t>YES</t>
        </is>
      </c>
      <c r="G124" s="3" t="inlineStr">
        <is>
          <t>Suction Tube Temp</t>
        </is>
      </c>
      <c r="H124" s="3" t="n">
        <v>86.90000000000001</v>
      </c>
      <c r="I124" s="3" t="n">
        <v>5.15</v>
      </c>
    </row>
    <row r="125">
      <c r="A125" s="4" t="inlineStr">
        <is>
          <t>04C3126121174</t>
        </is>
      </c>
      <c r="B125" s="4" t="inlineStr">
        <is>
          <t>MT</t>
        </is>
      </c>
      <c r="C125" s="4" t="inlineStr">
        <is>
          <t>CRS0000674</t>
        </is>
      </c>
      <c r="D125" s="10" t="n">
        <v>46113</v>
      </c>
      <c r="E125" s="4" t="inlineStr">
        <is>
          <t>Fail</t>
        </is>
      </c>
      <c r="F125" s="9" t="inlineStr">
        <is>
          <t>YES</t>
        </is>
      </c>
      <c r="G125" s="4" t="inlineStr">
        <is>
          <t>Startup Current</t>
        </is>
      </c>
      <c r="H125" s="4" t="n">
        <v>3.05</v>
      </c>
      <c r="I125" s="4" t="n">
        <v>5.12</v>
      </c>
    </row>
    <row r="126">
      <c r="A126" s="3" t="inlineStr">
        <is>
          <t>04D1326121350</t>
        </is>
      </c>
      <c r="B126" s="3" t="inlineStr">
        <is>
          <t>LT</t>
        </is>
      </c>
      <c r="C126" s="3" t="inlineStr">
        <is>
          <t>CRS0000675</t>
        </is>
      </c>
      <c r="D126" s="8" t="n">
        <v>46136</v>
      </c>
      <c r="E126" s="3" t="inlineStr">
        <is>
          <t>Fail</t>
        </is>
      </c>
      <c r="F126" s="9" t="inlineStr">
        <is>
          <t>YES</t>
        </is>
      </c>
      <c r="G126" s="3" t="inlineStr">
        <is>
          <t>Evap Inlet Ret Bend A</t>
        </is>
      </c>
      <c r="H126" s="3" t="n">
        <v>70.7</v>
      </c>
      <c r="I126" s="3" t="n">
        <v>5.11</v>
      </c>
    </row>
    <row r="127">
      <c r="A127" s="4" t="inlineStr">
        <is>
          <t>04C1326120945</t>
        </is>
      </c>
      <c r="B127" s="4" t="inlineStr">
        <is>
          <t>MT</t>
        </is>
      </c>
      <c r="C127" s="4" t="inlineStr">
        <is>
          <t>CRS0000674</t>
        </is>
      </c>
      <c r="D127" s="10" t="n">
        <v>46097</v>
      </c>
      <c r="E127" s="4" t="inlineStr">
        <is>
          <t>Fail</t>
        </is>
      </c>
      <c r="F127" s="9" t="inlineStr">
        <is>
          <t>YES</t>
        </is>
      </c>
      <c r="G127" s="4" t="inlineStr">
        <is>
          <t>Startup Current</t>
        </is>
      </c>
      <c r="H127" s="4" t="n">
        <v>4.59</v>
      </c>
      <c r="I127" s="4" t="n">
        <v>5.11</v>
      </c>
    </row>
    <row r="128">
      <c r="A128" s="3" t="inlineStr">
        <is>
          <t>04M2225120168</t>
        </is>
      </c>
      <c r="B128" s="3" t="inlineStr">
        <is>
          <t>LT</t>
        </is>
      </c>
      <c r="C128" s="3" t="inlineStr">
        <is>
          <t>CRS0000675</t>
        </is>
      </c>
      <c r="D128" s="8" t="n">
        <v>46041</v>
      </c>
      <c r="E128" s="3" t="inlineStr">
        <is>
          <t>Fail</t>
        </is>
      </c>
      <c r="F128" s="9" t="inlineStr">
        <is>
          <t>YES</t>
        </is>
      </c>
      <c r="G128" s="3" t="inlineStr">
        <is>
          <t>Inlet/Outlet Delta</t>
        </is>
      </c>
      <c r="H128" s="3" t="n">
        <v>8.9</v>
      </c>
      <c r="I128" s="3" t="n">
        <v>5.06</v>
      </c>
    </row>
    <row r="129">
      <c r="A129" s="4" t="inlineStr">
        <is>
          <t>04D1126121338</t>
        </is>
      </c>
      <c r="B129" s="4" t="inlineStr">
        <is>
          <t>LT</t>
        </is>
      </c>
      <c r="C129" s="4" t="inlineStr">
        <is>
          <t>CRS0000675</t>
        </is>
      </c>
      <c r="D129" s="10" t="n">
        <v>46135</v>
      </c>
      <c r="E129" s="4" t="inlineStr">
        <is>
          <t>Fail</t>
        </is>
      </c>
      <c r="F129" s="9" t="inlineStr">
        <is>
          <t>YES</t>
        </is>
      </c>
      <c r="G129" s="4" t="inlineStr">
        <is>
          <t>Suction Tube Temp</t>
        </is>
      </c>
      <c r="H129" s="4" t="n">
        <v>124</v>
      </c>
      <c r="I129" s="4" t="n">
        <v>5.02</v>
      </c>
    </row>
    <row r="130">
      <c r="A130" s="3" t="inlineStr">
        <is>
          <t>04C2426121082</t>
        </is>
      </c>
      <c r="B130" s="3" t="inlineStr">
        <is>
          <t>LT</t>
        </is>
      </c>
      <c r="C130" s="3" t="inlineStr">
        <is>
          <t>CRS0000675</t>
        </is>
      </c>
      <c r="D130" s="8" t="n">
        <v>46130</v>
      </c>
      <c r="E130" s="3" t="inlineStr">
        <is>
          <t>Fail</t>
        </is>
      </c>
      <c r="F130" s="9" t="inlineStr">
        <is>
          <t>YES</t>
        </is>
      </c>
      <c r="G130" s="3" t="inlineStr">
        <is>
          <t>Evap Inlet Ret Bend A</t>
        </is>
      </c>
      <c r="H130" s="3" t="n">
        <v>71.2</v>
      </c>
      <c r="I130" s="3" t="n">
        <v>5.01</v>
      </c>
    </row>
    <row r="131">
      <c r="A131" s="4" t="inlineStr">
        <is>
          <t>04A2926120428</t>
        </is>
      </c>
      <c r="B131" s="4" t="inlineStr">
        <is>
          <t>LT</t>
        </is>
      </c>
      <c r="C131" s="4" t="inlineStr">
        <is>
          <t>CRS0000675</t>
        </is>
      </c>
      <c r="D131" s="10" t="n">
        <v>46059</v>
      </c>
      <c r="E131" s="4" t="inlineStr">
        <is>
          <t>Fail</t>
        </is>
      </c>
      <c r="F131" s="9" t="inlineStr">
        <is>
          <t>YES</t>
        </is>
      </c>
      <c r="G131" s="4" t="inlineStr">
        <is>
          <t>Inlet/Outlet Delta</t>
        </is>
      </c>
      <c r="H131" s="4" t="n">
        <v>8.800000000000001</v>
      </c>
      <c r="I131" s="4" t="n">
        <v>4.99</v>
      </c>
    </row>
    <row r="132">
      <c r="A132" s="3" t="inlineStr">
        <is>
          <t>04C1126120904</t>
        </is>
      </c>
      <c r="B132" s="3" t="inlineStr">
        <is>
          <t>MT</t>
        </is>
      </c>
      <c r="C132" s="3" t="inlineStr">
        <is>
          <t>CRS0000674</t>
        </is>
      </c>
      <c r="D132" s="8" t="n">
        <v>46092</v>
      </c>
      <c r="E132" s="3" t="inlineStr">
        <is>
          <t>Fail</t>
        </is>
      </c>
      <c r="F132" s="9" t="inlineStr">
        <is>
          <t>YES</t>
        </is>
      </c>
      <c r="G132" s="3" t="inlineStr">
        <is>
          <t>Suction Tube Temp</t>
        </is>
      </c>
      <c r="H132" s="3" t="n">
        <v>137.4</v>
      </c>
      <c r="I132" s="3" t="n">
        <v>4.98</v>
      </c>
    </row>
    <row r="133">
      <c r="A133" s="4" t="inlineStr">
        <is>
          <t>04C2426121075</t>
        </is>
      </c>
      <c r="B133" s="4" t="inlineStr">
        <is>
          <t>LT</t>
        </is>
      </c>
      <c r="C133" s="4" t="inlineStr">
        <is>
          <t>CRS0000675</t>
        </is>
      </c>
      <c r="D133" s="10" t="n">
        <v>46136</v>
      </c>
      <c r="E133" s="4" t="inlineStr">
        <is>
          <t>Fail</t>
        </is>
      </c>
      <c r="F133" s="9" t="inlineStr">
        <is>
          <t>YES</t>
        </is>
      </c>
      <c r="G133" s="4" t="inlineStr">
        <is>
          <t>Suction Tube Temp</t>
        </is>
      </c>
      <c r="H133" s="4" t="n">
        <v>181.2</v>
      </c>
      <c r="I133" s="4" t="n">
        <v>4.97</v>
      </c>
    </row>
    <row r="134">
      <c r="A134" s="3" t="inlineStr">
        <is>
          <t>04D1626121409</t>
        </is>
      </c>
      <c r="B134" s="3" t="inlineStr">
        <is>
          <t>MT</t>
        </is>
      </c>
      <c r="C134" s="3" t="inlineStr">
        <is>
          <t>CRS0000674</t>
        </is>
      </c>
      <c r="D134" s="8" t="n">
        <v>46128</v>
      </c>
      <c r="E134" s="3" t="inlineStr">
        <is>
          <t>Fail</t>
        </is>
      </c>
      <c r="F134" s="9" t="inlineStr">
        <is>
          <t>YES</t>
        </is>
      </c>
      <c r="G134" s="3" t="inlineStr">
        <is>
          <t>Evap Inlet Ret Bend A</t>
        </is>
      </c>
      <c r="H134" s="3" t="n">
        <v>66.7</v>
      </c>
      <c r="I134" s="3" t="n">
        <v>4.97</v>
      </c>
    </row>
    <row r="135">
      <c r="A135" s="4" t="inlineStr">
        <is>
          <t>04A2926120429</t>
        </is>
      </c>
      <c r="B135" s="4" t="inlineStr">
        <is>
          <t>LT</t>
        </is>
      </c>
      <c r="C135" s="4" t="inlineStr">
        <is>
          <t>CRS0000675</t>
        </is>
      </c>
      <c r="D135" s="10" t="n">
        <v>46064</v>
      </c>
      <c r="E135" s="4" t="inlineStr">
        <is>
          <t>Fail</t>
        </is>
      </c>
      <c r="F135" s="9" t="inlineStr">
        <is>
          <t>YES</t>
        </is>
      </c>
      <c r="G135" s="4" t="inlineStr">
        <is>
          <t>Evap Inlet Ret Bend A</t>
        </is>
      </c>
      <c r="H135" s="4" t="n">
        <v>121.3</v>
      </c>
      <c r="I135" s="4" t="n">
        <v>4.94</v>
      </c>
    </row>
    <row r="136">
      <c r="A136" s="3" t="inlineStr">
        <is>
          <t>04D1426121385</t>
        </is>
      </c>
      <c r="B136" s="3" t="inlineStr">
        <is>
          <t>MT</t>
        </is>
      </c>
      <c r="C136" s="3" t="inlineStr">
        <is>
          <t>CRS0000674</t>
        </is>
      </c>
      <c r="D136" s="8" t="n">
        <v>46127</v>
      </c>
      <c r="E136" s="3" t="inlineStr">
        <is>
          <t>Fail</t>
        </is>
      </c>
      <c r="F136" s="9" t="inlineStr">
        <is>
          <t>YES</t>
        </is>
      </c>
      <c r="G136" s="3" t="inlineStr">
        <is>
          <t>Startup Current</t>
        </is>
      </c>
      <c r="H136" s="3" t="n">
        <v>3.08</v>
      </c>
      <c r="I136" s="3" t="n">
        <v>4.92</v>
      </c>
    </row>
    <row r="137">
      <c r="A137" s="4" t="inlineStr">
        <is>
          <t>04A2926120428</t>
        </is>
      </c>
      <c r="B137" s="4" t="inlineStr">
        <is>
          <t>LT</t>
        </is>
      </c>
      <c r="C137" s="4" t="inlineStr">
        <is>
          <t>CRS0000675</t>
        </is>
      </c>
      <c r="D137" s="10" t="n">
        <v>46059</v>
      </c>
      <c r="E137" s="4" t="inlineStr">
        <is>
          <t>Fail</t>
        </is>
      </c>
      <c r="F137" s="9" t="inlineStr">
        <is>
          <t>YES</t>
        </is>
      </c>
      <c r="G137" s="4" t="inlineStr">
        <is>
          <t>Suction Tube Temp</t>
        </is>
      </c>
      <c r="H137" s="4" t="n">
        <v>124.9</v>
      </c>
      <c r="I137" s="4" t="n">
        <v>4.86</v>
      </c>
    </row>
    <row r="138">
      <c r="A138" s="3" t="inlineStr">
        <is>
          <t>04B2726120709</t>
        </is>
      </c>
      <c r="B138" s="3" t="inlineStr">
        <is>
          <t>MT</t>
        </is>
      </c>
      <c r="C138" s="3" t="inlineStr">
        <is>
          <t>CRS0000674</t>
        </is>
      </c>
      <c r="D138" s="8" t="n">
        <v>46081</v>
      </c>
      <c r="E138" s="3" t="inlineStr">
        <is>
          <t>Fail</t>
        </is>
      </c>
      <c r="F138" s="9" t="inlineStr">
        <is>
          <t>YES</t>
        </is>
      </c>
      <c r="G138" s="3" t="inlineStr">
        <is>
          <t>Evap Inlet Ret Bend A</t>
        </is>
      </c>
      <c r="H138" s="3" t="n">
        <v>67.09999999999999</v>
      </c>
      <c r="I138" s="3" t="n">
        <v>4.83</v>
      </c>
    </row>
    <row r="139">
      <c r="A139" s="4" t="inlineStr">
        <is>
          <t>04C2326121067</t>
        </is>
      </c>
      <c r="B139" s="4" t="inlineStr">
        <is>
          <t>MT</t>
        </is>
      </c>
      <c r="C139" s="4" t="inlineStr">
        <is>
          <t>CRS0000674</t>
        </is>
      </c>
      <c r="D139" s="10" t="n">
        <v>46105</v>
      </c>
      <c r="E139" s="4" t="inlineStr">
        <is>
          <t>Fail</t>
        </is>
      </c>
      <c r="F139" s="9" t="inlineStr">
        <is>
          <t>YES</t>
        </is>
      </c>
      <c r="G139" s="4" t="inlineStr">
        <is>
          <t>Suction Tube Temp</t>
        </is>
      </c>
      <c r="H139" s="4" t="n">
        <v>88.7</v>
      </c>
      <c r="I139" s="4" t="n">
        <v>4.79</v>
      </c>
    </row>
    <row r="140">
      <c r="A140" s="3" t="inlineStr">
        <is>
          <t>04D0826121284</t>
        </is>
      </c>
      <c r="B140" s="3" t="inlineStr">
        <is>
          <t>LT</t>
        </is>
      </c>
      <c r="C140" s="3" t="inlineStr">
        <is>
          <t>CRS0000675</t>
        </is>
      </c>
      <c r="D140" s="8" t="n">
        <v>46136</v>
      </c>
      <c r="E140" s="3" t="inlineStr">
        <is>
          <t>Fail</t>
        </is>
      </c>
      <c r="F140" s="9" t="inlineStr">
        <is>
          <t>YES</t>
        </is>
      </c>
      <c r="G140" s="3" t="inlineStr">
        <is>
          <t>Suction Tube Temp</t>
        </is>
      </c>
      <c r="H140" s="3" t="n">
        <v>125.4</v>
      </c>
      <c r="I140" s="3" t="n">
        <v>4.77</v>
      </c>
    </row>
    <row r="141">
      <c r="A141" s="4" t="inlineStr">
        <is>
          <t>04C1126120917</t>
        </is>
      </c>
      <c r="B141" s="4" t="inlineStr">
        <is>
          <t>LT</t>
        </is>
      </c>
      <c r="C141" s="4" t="inlineStr">
        <is>
          <t>CRS0000675</t>
        </is>
      </c>
      <c r="D141" s="10" t="n">
        <v>46093</v>
      </c>
      <c r="E141" s="4" t="inlineStr">
        <is>
          <t>Fail</t>
        </is>
      </c>
      <c r="F141" s="9" t="inlineStr">
        <is>
          <t>YES</t>
        </is>
      </c>
      <c r="G141" s="4" t="inlineStr">
        <is>
          <t>Final Current</t>
        </is>
      </c>
      <c r="H141" s="4" t="n">
        <v>6.05</v>
      </c>
      <c r="I141" s="4" t="n">
        <v>4.67</v>
      </c>
    </row>
    <row r="142">
      <c r="A142" s="3" t="inlineStr">
        <is>
          <t>04C2526121093</t>
        </is>
      </c>
      <c r="B142" s="3" t="inlineStr">
        <is>
          <t>LT</t>
        </is>
      </c>
      <c r="C142" s="3" t="inlineStr">
        <is>
          <t>CRS0000675</t>
        </is>
      </c>
      <c r="D142" s="8" t="n">
        <v>46126</v>
      </c>
      <c r="E142" s="3" t="inlineStr">
        <is>
          <t>Fail</t>
        </is>
      </c>
      <c r="F142" s="9" t="inlineStr">
        <is>
          <t>YES</t>
        </is>
      </c>
      <c r="G142" s="3" t="inlineStr">
        <is>
          <t>Evap Inlet Ret Bend A</t>
        </is>
      </c>
      <c r="H142" s="3" t="n">
        <v>73</v>
      </c>
      <c r="I142" s="3" t="n">
        <v>4.65</v>
      </c>
    </row>
    <row r="143">
      <c r="A143" s="4" t="inlineStr">
        <is>
          <t>04A2926120428</t>
        </is>
      </c>
      <c r="B143" s="4" t="inlineStr">
        <is>
          <t>LT</t>
        </is>
      </c>
      <c r="C143" s="4" t="inlineStr">
        <is>
          <t>CRS0000675</t>
        </is>
      </c>
      <c r="D143" s="10" t="n">
        <v>46056</v>
      </c>
      <c r="E143" s="4" t="inlineStr">
        <is>
          <t>Fail</t>
        </is>
      </c>
      <c r="F143" s="9" t="inlineStr">
        <is>
          <t>YES</t>
        </is>
      </c>
      <c r="G143" s="4" t="inlineStr">
        <is>
          <t>Inlet/Outlet Delta</t>
        </is>
      </c>
      <c r="H143" s="4" t="n">
        <v>8.300000000000001</v>
      </c>
      <c r="I143" s="4" t="n">
        <v>4.63</v>
      </c>
    </row>
    <row r="144">
      <c r="A144" s="3" t="inlineStr">
        <is>
          <t>04C2426121082</t>
        </is>
      </c>
      <c r="B144" s="3" t="inlineStr">
        <is>
          <t>LT</t>
        </is>
      </c>
      <c r="C144" s="3" t="inlineStr">
        <is>
          <t>CRS0000675</t>
        </is>
      </c>
      <c r="D144" s="8" t="n">
        <v>46106</v>
      </c>
      <c r="E144" s="3" t="inlineStr">
        <is>
          <t>Fail</t>
        </is>
      </c>
      <c r="F144" s="9" t="inlineStr">
        <is>
          <t>YES</t>
        </is>
      </c>
      <c r="G144" s="3" t="inlineStr">
        <is>
          <t>Startup Current</t>
        </is>
      </c>
      <c r="H144" s="3" t="n">
        <v>5.47</v>
      </c>
      <c r="I144" s="3" t="n">
        <v>4.62</v>
      </c>
    </row>
    <row r="145">
      <c r="A145" s="4" t="inlineStr">
        <is>
          <t>04A2926120429</t>
        </is>
      </c>
      <c r="B145" s="4" t="inlineStr">
        <is>
          <t>LT</t>
        </is>
      </c>
      <c r="C145" s="4" t="inlineStr">
        <is>
          <t>CRS0000675</t>
        </is>
      </c>
      <c r="D145" s="10" t="n">
        <v>46066</v>
      </c>
      <c r="E145" s="4" t="inlineStr">
        <is>
          <t>Pass</t>
        </is>
      </c>
      <c r="F145" s="4" t="inlineStr">
        <is>
          <t>no</t>
        </is>
      </c>
      <c r="G145" s="4" t="inlineStr">
        <is>
          <t>Suction Tube Temp</t>
        </is>
      </c>
      <c r="H145" s="4" t="n">
        <v>126.3</v>
      </c>
      <c r="I145" s="4" t="n">
        <v>4.61</v>
      </c>
    </row>
    <row r="146">
      <c r="A146" s="3" t="inlineStr">
        <is>
          <t>04C2426121082</t>
        </is>
      </c>
      <c r="B146" s="3" t="inlineStr">
        <is>
          <t>LT</t>
        </is>
      </c>
      <c r="C146" s="3" t="inlineStr">
        <is>
          <t>CRS0000675</t>
        </is>
      </c>
      <c r="D146" s="8" t="n">
        <v>46130</v>
      </c>
      <c r="E146" s="3" t="inlineStr">
        <is>
          <t>Fail</t>
        </is>
      </c>
      <c r="F146" s="9" t="inlineStr">
        <is>
          <t>YES</t>
        </is>
      </c>
      <c r="G146" s="3" t="inlineStr">
        <is>
          <t>Suction Tube Temp</t>
        </is>
      </c>
      <c r="H146" s="3" t="n">
        <v>126.3</v>
      </c>
      <c r="I146" s="3" t="n">
        <v>4.61</v>
      </c>
    </row>
    <row r="147">
      <c r="A147" s="4" t="inlineStr">
        <is>
          <t>04A2026120315</t>
        </is>
      </c>
      <c r="B147" s="4" t="inlineStr">
        <is>
          <t>MT</t>
        </is>
      </c>
      <c r="C147" s="4" t="inlineStr">
        <is>
          <t>CRS0000674</t>
        </is>
      </c>
      <c r="D147" s="10" t="n">
        <v>46062</v>
      </c>
      <c r="E147" s="4" t="inlineStr">
        <is>
          <t>Fail</t>
        </is>
      </c>
      <c r="F147" s="9" t="inlineStr">
        <is>
          <t>YES</t>
        </is>
      </c>
      <c r="G147" s="4" t="inlineStr">
        <is>
          <t>Inlet/Outlet Delta</t>
        </is>
      </c>
      <c r="H147" s="4" t="n">
        <v>7.9</v>
      </c>
      <c r="I147" s="4" t="n">
        <v>4.6</v>
      </c>
    </row>
    <row r="148">
      <c r="A148" s="3" t="inlineStr">
        <is>
          <t>04C1326120945</t>
        </is>
      </c>
      <c r="B148" s="3" t="inlineStr">
        <is>
          <t>MT</t>
        </is>
      </c>
      <c r="C148" s="3" t="inlineStr">
        <is>
          <t>CRS0000674</t>
        </is>
      </c>
      <c r="D148" s="8" t="n">
        <v>46095</v>
      </c>
      <c r="E148" s="3" t="inlineStr">
        <is>
          <t>Fail</t>
        </is>
      </c>
      <c r="F148" s="9" t="inlineStr">
        <is>
          <t>YES</t>
        </is>
      </c>
      <c r="G148" s="3" t="inlineStr">
        <is>
          <t>Final Current</t>
        </is>
      </c>
      <c r="H148" s="3" t="n">
        <v>4.57</v>
      </c>
      <c r="I148" s="3" t="n">
        <v>4.6</v>
      </c>
    </row>
    <row r="149">
      <c r="A149" s="4" t="inlineStr">
        <is>
          <t>04A2926120428</t>
        </is>
      </c>
      <c r="B149" s="4" t="inlineStr">
        <is>
          <t>LT</t>
        </is>
      </c>
      <c r="C149" s="4" t="inlineStr">
        <is>
          <t>CRS0000675</t>
        </is>
      </c>
      <c r="D149" s="10" t="n">
        <v>46059</v>
      </c>
      <c r="E149" s="4" t="inlineStr">
        <is>
          <t>Fail</t>
        </is>
      </c>
      <c r="F149" s="9" t="inlineStr">
        <is>
          <t>YES</t>
        </is>
      </c>
      <c r="G149" s="4" t="inlineStr">
        <is>
          <t>Evap Outlet Air Temp</t>
        </is>
      </c>
      <c r="H149" s="4" t="n">
        <v>59.2</v>
      </c>
      <c r="I149" s="4" t="n">
        <v>4.59</v>
      </c>
    </row>
    <row r="150">
      <c r="A150" s="3" t="inlineStr">
        <is>
          <t>04A2926120428</t>
        </is>
      </c>
      <c r="B150" s="3" t="inlineStr">
        <is>
          <t>LT</t>
        </is>
      </c>
      <c r="C150" s="3" t="inlineStr">
        <is>
          <t>CRS0000675</t>
        </is>
      </c>
      <c r="D150" s="8" t="n">
        <v>46059</v>
      </c>
      <c r="E150" s="3" t="inlineStr">
        <is>
          <t>Fail</t>
        </is>
      </c>
      <c r="F150" s="9" t="inlineStr">
        <is>
          <t>YES</t>
        </is>
      </c>
      <c r="G150" s="3" t="inlineStr">
        <is>
          <t>Evap Outlet Air Temp</t>
        </is>
      </c>
      <c r="H150" s="3" t="n">
        <v>59.2</v>
      </c>
      <c r="I150" s="3" t="n">
        <v>4.59</v>
      </c>
    </row>
    <row r="151">
      <c r="A151" s="4" t="inlineStr">
        <is>
          <t>04C1126120917</t>
        </is>
      </c>
      <c r="B151" s="4" t="inlineStr">
        <is>
          <t>LT</t>
        </is>
      </c>
      <c r="C151" s="4" t="inlineStr">
        <is>
          <t>CRS0000675</t>
        </is>
      </c>
      <c r="D151" s="10" t="n">
        <v>46093</v>
      </c>
      <c r="E151" s="4" t="inlineStr">
        <is>
          <t>Fail</t>
        </is>
      </c>
      <c r="F151" s="9" t="inlineStr">
        <is>
          <t>YES</t>
        </is>
      </c>
      <c r="G151" s="4" t="inlineStr">
        <is>
          <t>Final Current</t>
        </is>
      </c>
      <c r="H151" s="4" t="n">
        <v>6.08</v>
      </c>
      <c r="I151" s="4" t="n">
        <v>4.59</v>
      </c>
    </row>
    <row r="152">
      <c r="A152" s="3" t="inlineStr">
        <is>
          <t>04C2426121075</t>
        </is>
      </c>
      <c r="B152" s="3" t="inlineStr">
        <is>
          <t>LT</t>
        </is>
      </c>
      <c r="C152" s="3" t="inlineStr">
        <is>
          <t>CRS0000675</t>
        </is>
      </c>
      <c r="D152" s="8" t="n">
        <v>46134</v>
      </c>
      <c r="E152" s="3" t="inlineStr">
        <is>
          <t>Fail</t>
        </is>
      </c>
      <c r="F152" s="9" t="inlineStr">
        <is>
          <t>YES</t>
        </is>
      </c>
      <c r="G152" s="3" t="inlineStr">
        <is>
          <t>Suction Tube Temp</t>
        </is>
      </c>
      <c r="H152" s="3" t="n">
        <v>179</v>
      </c>
      <c r="I152" s="3" t="n">
        <v>4.58</v>
      </c>
    </row>
    <row r="153">
      <c r="A153" s="4" t="inlineStr">
        <is>
          <t>04A2926120428</t>
        </is>
      </c>
      <c r="B153" s="4" t="inlineStr">
        <is>
          <t>LT</t>
        </is>
      </c>
      <c r="C153" s="4" t="inlineStr">
        <is>
          <t>CRS0000675</t>
        </is>
      </c>
      <c r="D153" s="10" t="n">
        <v>46060</v>
      </c>
      <c r="E153" s="4" t="inlineStr">
        <is>
          <t>Fail</t>
        </is>
      </c>
      <c r="F153" s="9" t="inlineStr">
        <is>
          <t>YES</t>
        </is>
      </c>
      <c r="G153" s="4" t="inlineStr">
        <is>
          <t>Suction Tube Temp</t>
        </is>
      </c>
      <c r="H153" s="4" t="n">
        <v>126.7</v>
      </c>
      <c r="I153" s="4" t="n">
        <v>4.55</v>
      </c>
    </row>
    <row r="154">
      <c r="A154" s="3" t="inlineStr">
        <is>
          <t>04D1726121461</t>
        </is>
      </c>
      <c r="B154" s="3" t="inlineStr">
        <is>
          <t>LT</t>
        </is>
      </c>
      <c r="C154" s="3" t="inlineStr">
        <is>
          <t>CRS0000675</t>
        </is>
      </c>
      <c r="D154" s="8" t="n">
        <v>46130</v>
      </c>
      <c r="E154" s="3" t="inlineStr">
        <is>
          <t>Fail</t>
        </is>
      </c>
      <c r="F154" s="9" t="inlineStr">
        <is>
          <t>YES</t>
        </is>
      </c>
      <c r="G154" s="3" t="inlineStr">
        <is>
          <t>Suction Tube Temp</t>
        </is>
      </c>
      <c r="H154" s="3" t="n">
        <v>126.7</v>
      </c>
      <c r="I154" s="3" t="n">
        <v>4.55</v>
      </c>
    </row>
    <row r="155">
      <c r="A155" s="4" t="inlineStr">
        <is>
          <t>04B2726120710</t>
        </is>
      </c>
      <c r="B155" s="4" t="inlineStr">
        <is>
          <t>MT</t>
        </is>
      </c>
      <c r="C155" s="4" t="inlineStr">
        <is>
          <t>CRS0000674</t>
        </is>
      </c>
      <c r="D155" s="10" t="n">
        <v>46081</v>
      </c>
      <c r="E155" s="4" t="inlineStr">
        <is>
          <t>Pass</t>
        </is>
      </c>
      <c r="F155" s="4" t="inlineStr">
        <is>
          <t>no</t>
        </is>
      </c>
      <c r="G155" s="4" t="inlineStr">
        <is>
          <t>Inlet/Outlet Delta</t>
        </is>
      </c>
      <c r="H155" s="4" t="n">
        <v>7.8</v>
      </c>
      <c r="I155" s="4" t="n">
        <v>4.53</v>
      </c>
    </row>
    <row r="156">
      <c r="A156" s="3" t="inlineStr">
        <is>
          <t>04D1626121415</t>
        </is>
      </c>
      <c r="B156" s="3" t="inlineStr">
        <is>
          <t>MT</t>
        </is>
      </c>
      <c r="C156" s="3" t="inlineStr">
        <is>
          <t>CRS0000674</t>
        </is>
      </c>
      <c r="D156" s="8" t="n">
        <v>46133</v>
      </c>
      <c r="E156" s="3" t="inlineStr">
        <is>
          <t>Fail</t>
        </is>
      </c>
      <c r="F156" s="9" t="inlineStr">
        <is>
          <t>YES</t>
        </is>
      </c>
      <c r="G156" s="3" t="inlineStr">
        <is>
          <t>Suction Tube Temp</t>
        </is>
      </c>
      <c r="H156" s="3" t="n">
        <v>90.09999999999999</v>
      </c>
      <c r="I156" s="3" t="n">
        <v>4.51</v>
      </c>
    </row>
    <row r="157">
      <c r="A157" s="4" t="inlineStr">
        <is>
          <t>04C2426121075</t>
        </is>
      </c>
      <c r="B157" s="4" t="inlineStr">
        <is>
          <t>LT</t>
        </is>
      </c>
      <c r="C157" s="4" t="inlineStr">
        <is>
          <t>CRS0000675</t>
        </is>
      </c>
      <c r="D157" s="10" t="n">
        <v>46136</v>
      </c>
      <c r="E157" s="4" t="inlineStr">
        <is>
          <t>Fail</t>
        </is>
      </c>
      <c r="F157" s="9" t="inlineStr">
        <is>
          <t>YES</t>
        </is>
      </c>
      <c r="G157" s="4" t="inlineStr">
        <is>
          <t>Suction Tube Temp</t>
        </is>
      </c>
      <c r="H157" s="4" t="n">
        <v>178.5</v>
      </c>
      <c r="I157" s="4" t="n">
        <v>4.5</v>
      </c>
    </row>
    <row r="158">
      <c r="A158" s="3" t="inlineStr">
        <is>
          <t>04M2225120168</t>
        </is>
      </c>
      <c r="B158" s="3" t="inlineStr">
        <is>
          <t>LT</t>
        </is>
      </c>
      <c r="C158" s="3" t="inlineStr">
        <is>
          <t>CRS0000675</t>
        </is>
      </c>
      <c r="D158" s="8" t="n">
        <v>46038</v>
      </c>
      <c r="E158" s="3" t="inlineStr">
        <is>
          <t>Fail</t>
        </is>
      </c>
      <c r="F158" s="9" t="inlineStr">
        <is>
          <t>YES</t>
        </is>
      </c>
      <c r="G158" s="3" t="inlineStr">
        <is>
          <t>Inlet/Outlet Delta</t>
        </is>
      </c>
      <c r="H158" s="3" t="n">
        <v>8.1</v>
      </c>
      <c r="I158" s="3" t="n">
        <v>4.49</v>
      </c>
    </row>
    <row r="159">
      <c r="A159" s="4" t="inlineStr">
        <is>
          <t>04B0326120505</t>
        </is>
      </c>
      <c r="B159" s="4" t="inlineStr">
        <is>
          <t>LT</t>
        </is>
      </c>
      <c r="C159" s="4" t="inlineStr">
        <is>
          <t>CRS0000675</t>
        </is>
      </c>
      <c r="D159" s="10" t="n">
        <v>46056</v>
      </c>
      <c r="E159" s="4" t="inlineStr">
        <is>
          <t>Fail</t>
        </is>
      </c>
      <c r="F159" s="9" t="inlineStr">
        <is>
          <t>YES</t>
        </is>
      </c>
      <c r="G159" s="4" t="inlineStr">
        <is>
          <t>Inlet/Outlet Delta</t>
        </is>
      </c>
      <c r="H159" s="4" t="n">
        <v>8.1</v>
      </c>
      <c r="I159" s="4" t="n">
        <v>4.49</v>
      </c>
    </row>
    <row r="160">
      <c r="A160" s="3" t="inlineStr">
        <is>
          <t>04B2826120724</t>
        </is>
      </c>
      <c r="B160" s="3" t="inlineStr">
        <is>
          <t>LT</t>
        </is>
      </c>
      <c r="C160" s="3" t="inlineStr">
        <is>
          <t>CRS0000675</t>
        </is>
      </c>
      <c r="D160" s="8" t="n">
        <v>46082</v>
      </c>
      <c r="E160" s="3" t="inlineStr">
        <is>
          <t>Fail</t>
        </is>
      </c>
      <c r="F160" s="9" t="inlineStr">
        <is>
          <t>YES</t>
        </is>
      </c>
      <c r="G160" s="3" t="inlineStr">
        <is>
          <t>Suction Tube Temp</t>
        </is>
      </c>
      <c r="H160" s="3" t="n">
        <v>127.1</v>
      </c>
      <c r="I160" s="3" t="n">
        <v>4.48</v>
      </c>
    </row>
    <row r="161">
      <c r="A161" s="4" t="inlineStr">
        <is>
          <t>04C2526121094</t>
        </is>
      </c>
      <c r="B161" s="4" t="inlineStr">
        <is>
          <t>LT</t>
        </is>
      </c>
      <c r="C161" s="4" t="inlineStr">
        <is>
          <t>CRS0000675</t>
        </is>
      </c>
      <c r="D161" s="10" t="n">
        <v>46126</v>
      </c>
      <c r="E161" s="4" t="inlineStr">
        <is>
          <t>Fail</t>
        </is>
      </c>
      <c r="F161" s="9" t="inlineStr">
        <is>
          <t>YES</t>
        </is>
      </c>
      <c r="G161" s="4" t="inlineStr">
        <is>
          <t>Evap Inlet Ret Bend A</t>
        </is>
      </c>
      <c r="H161" s="4" t="n">
        <v>73.90000000000001</v>
      </c>
      <c r="I161" s="4" t="n">
        <v>4.47</v>
      </c>
    </row>
    <row r="162">
      <c r="A162" s="3" t="inlineStr">
        <is>
          <t>04C1726120990</t>
        </is>
      </c>
      <c r="B162" s="3" t="inlineStr">
        <is>
          <t>LT</t>
        </is>
      </c>
      <c r="C162" s="3" t="inlineStr">
        <is>
          <t>CRS0000675</t>
        </is>
      </c>
      <c r="D162" s="8" t="n">
        <v>46099</v>
      </c>
      <c r="E162" s="3" t="inlineStr">
        <is>
          <t>Fail</t>
        </is>
      </c>
      <c r="F162" s="9" t="inlineStr">
        <is>
          <t>YES</t>
        </is>
      </c>
      <c r="G162" s="3" t="inlineStr">
        <is>
          <t>Final Current</t>
        </is>
      </c>
      <c r="H162" s="3" t="n">
        <v>6.13</v>
      </c>
      <c r="I162" s="3" t="n">
        <v>4.47</v>
      </c>
    </row>
    <row r="163">
      <c r="A163" s="4" t="inlineStr">
        <is>
          <t>04A2026120315</t>
        </is>
      </c>
      <c r="B163" s="4" t="inlineStr">
        <is>
          <t>MT</t>
        </is>
      </c>
      <c r="C163" s="4" t="inlineStr">
        <is>
          <t>CRS0000674</t>
        </is>
      </c>
      <c r="D163" s="10" t="n">
        <v>46042</v>
      </c>
      <c r="E163" s="4" t="inlineStr">
        <is>
          <t>Fail</t>
        </is>
      </c>
      <c r="F163" s="9" t="inlineStr">
        <is>
          <t>YES</t>
        </is>
      </c>
      <c r="G163" s="4" t="inlineStr">
        <is>
          <t>Inlet/Outlet Delta</t>
        </is>
      </c>
      <c r="H163" s="4" t="n">
        <v>7.7</v>
      </c>
      <c r="I163" s="4" t="n">
        <v>4.46</v>
      </c>
    </row>
    <row r="164">
      <c r="A164" s="3" t="inlineStr">
        <is>
          <t>04D1426121385</t>
        </is>
      </c>
      <c r="B164" s="3" t="inlineStr">
        <is>
          <t>MT</t>
        </is>
      </c>
      <c r="C164" s="3" t="inlineStr">
        <is>
          <t>CRS0000674</t>
        </is>
      </c>
      <c r="D164" s="8" t="n">
        <v>46127</v>
      </c>
      <c r="E164" s="3" t="inlineStr">
        <is>
          <t>Fail</t>
        </is>
      </c>
      <c r="F164" s="9" t="inlineStr">
        <is>
          <t>YES</t>
        </is>
      </c>
      <c r="G164" s="3" t="inlineStr">
        <is>
          <t>Final Current</t>
        </is>
      </c>
      <c r="H164" s="3" t="n">
        <v>3.15</v>
      </c>
      <c r="I164" s="3" t="n">
        <v>4.45</v>
      </c>
    </row>
    <row r="165">
      <c r="A165" s="4" t="inlineStr">
        <is>
          <t>04C2126121044</t>
        </is>
      </c>
      <c r="B165" s="4" t="inlineStr">
        <is>
          <t>MT</t>
        </is>
      </c>
      <c r="C165" s="4" t="inlineStr">
        <is>
          <t>CRS0000674</t>
        </is>
      </c>
      <c r="D165" s="10" t="n">
        <v>46102</v>
      </c>
      <c r="E165" s="4" t="inlineStr">
        <is>
          <t>Fail</t>
        </is>
      </c>
      <c r="F165" s="9" t="inlineStr">
        <is>
          <t>YES</t>
        </is>
      </c>
      <c r="G165" s="4" t="inlineStr">
        <is>
          <t>Suction Tube Temp</t>
        </is>
      </c>
      <c r="H165" s="4" t="n">
        <v>90.5</v>
      </c>
      <c r="I165" s="4" t="n">
        <v>4.42</v>
      </c>
    </row>
    <row r="166">
      <c r="A166" s="3" t="inlineStr">
        <is>
          <t>04M2225120168</t>
        </is>
      </c>
      <c r="B166" s="3" t="inlineStr">
        <is>
          <t>LT</t>
        </is>
      </c>
      <c r="C166" s="3" t="inlineStr">
        <is>
          <t>CRS0000675</t>
        </is>
      </c>
      <c r="D166" s="8" t="n">
        <v>46038</v>
      </c>
      <c r="E166" s="3" t="inlineStr">
        <is>
          <t>Fail</t>
        </is>
      </c>
      <c r="F166" s="9" t="inlineStr">
        <is>
          <t>YES</t>
        </is>
      </c>
      <c r="G166" s="3" t="inlineStr">
        <is>
          <t>Inlet/Outlet Delta</t>
        </is>
      </c>
      <c r="H166" s="3" t="n">
        <v>8</v>
      </c>
      <c r="I166" s="3" t="n">
        <v>4.41</v>
      </c>
    </row>
    <row r="167">
      <c r="A167" s="4" t="inlineStr">
        <is>
          <t>04B2826120715</t>
        </is>
      </c>
      <c r="B167" s="4" t="inlineStr">
        <is>
          <t>LT</t>
        </is>
      </c>
      <c r="C167" s="4" t="inlineStr">
        <is>
          <t>CRS0000675</t>
        </is>
      </c>
      <c r="D167" s="10" t="n">
        <v>46081</v>
      </c>
      <c r="E167" s="4" t="inlineStr">
        <is>
          <t>Fail</t>
        </is>
      </c>
      <c r="F167" s="9" t="inlineStr">
        <is>
          <t>YES</t>
        </is>
      </c>
      <c r="G167" s="4" t="inlineStr">
        <is>
          <t>Suction Tube Temp</t>
        </is>
      </c>
      <c r="H167" s="4" t="n">
        <v>127.6</v>
      </c>
      <c r="I167" s="4" t="n">
        <v>4.39</v>
      </c>
    </row>
    <row r="168">
      <c r="A168" s="3" t="inlineStr">
        <is>
          <t>04C1726120990</t>
        </is>
      </c>
      <c r="B168" s="3" t="inlineStr">
        <is>
          <t>LT</t>
        </is>
      </c>
      <c r="C168" s="3" t="inlineStr">
        <is>
          <t>CRS0000675</t>
        </is>
      </c>
      <c r="D168" s="8" t="n">
        <v>46112</v>
      </c>
      <c r="E168" s="3" t="inlineStr">
        <is>
          <t>Fail</t>
        </is>
      </c>
      <c r="F168" s="9" t="inlineStr">
        <is>
          <t>YES</t>
        </is>
      </c>
      <c r="G168" s="3" t="inlineStr">
        <is>
          <t>Suction Tube Temp</t>
        </is>
      </c>
      <c r="H168" s="3" t="n">
        <v>127.6</v>
      </c>
      <c r="I168" s="3" t="n">
        <v>4.39</v>
      </c>
    </row>
    <row r="169">
      <c r="A169" s="4" t="inlineStr">
        <is>
          <t>04B0326120505</t>
        </is>
      </c>
      <c r="B169" s="4" t="inlineStr">
        <is>
          <t>LT</t>
        </is>
      </c>
      <c r="C169" s="4" t="inlineStr">
        <is>
          <t>CRS0000675</t>
        </is>
      </c>
      <c r="D169" s="10" t="n">
        <v>46056</v>
      </c>
      <c r="E169" s="4" t="inlineStr">
        <is>
          <t>Fail</t>
        </is>
      </c>
      <c r="F169" s="9" t="inlineStr">
        <is>
          <t>YES</t>
        </is>
      </c>
      <c r="G169" s="4" t="inlineStr">
        <is>
          <t>Evap Inlet Ret Bend A</t>
        </is>
      </c>
      <c r="H169" s="4" t="n">
        <v>74.3</v>
      </c>
      <c r="I169" s="4" t="n">
        <v>4.39</v>
      </c>
    </row>
    <row r="170">
      <c r="A170" s="3" t="inlineStr">
        <is>
          <t>04C2426121082</t>
        </is>
      </c>
      <c r="B170" s="3" t="inlineStr">
        <is>
          <t>LT</t>
        </is>
      </c>
      <c r="C170" s="3" t="inlineStr">
        <is>
          <t>CRS0000675</t>
        </is>
      </c>
      <c r="D170" s="8" t="n">
        <v>46106</v>
      </c>
      <c r="E170" s="3" t="inlineStr">
        <is>
          <t>Fail</t>
        </is>
      </c>
      <c r="F170" s="9" t="inlineStr">
        <is>
          <t>YES</t>
        </is>
      </c>
      <c r="G170" s="3" t="inlineStr">
        <is>
          <t>Evap Inlet Ret Bend A</t>
        </is>
      </c>
      <c r="H170" s="3" t="n">
        <v>74.3</v>
      </c>
      <c r="I170" s="3" t="n">
        <v>4.39</v>
      </c>
    </row>
    <row r="171">
      <c r="A171" s="4" t="inlineStr">
        <is>
          <t>04A2026120315</t>
        </is>
      </c>
      <c r="B171" s="4" t="inlineStr">
        <is>
          <t>MT</t>
        </is>
      </c>
      <c r="C171" s="4" t="inlineStr">
        <is>
          <t>CRS0000674</t>
        </is>
      </c>
      <c r="D171" s="10" t="n">
        <v>46042</v>
      </c>
      <c r="E171" s="4" t="inlineStr">
        <is>
          <t>Pass</t>
        </is>
      </c>
      <c r="F171" s="4" t="inlineStr">
        <is>
          <t>no</t>
        </is>
      </c>
      <c r="G171" s="4" t="inlineStr">
        <is>
          <t>Inlet/Outlet Delta</t>
        </is>
      </c>
      <c r="H171" s="4" t="n">
        <v>7.6</v>
      </c>
      <c r="I171" s="4" t="n">
        <v>4.39</v>
      </c>
    </row>
    <row r="172">
      <c r="A172" s="3" t="inlineStr">
        <is>
          <t>04A2026120315</t>
        </is>
      </c>
      <c r="B172" s="3" t="inlineStr">
        <is>
          <t>MT</t>
        </is>
      </c>
      <c r="C172" s="3" t="inlineStr">
        <is>
          <t>CRS0000674</t>
        </is>
      </c>
      <c r="D172" s="8" t="n">
        <v>46060</v>
      </c>
      <c r="E172" s="3" t="inlineStr">
        <is>
          <t>Fail</t>
        </is>
      </c>
      <c r="F172" s="9" t="inlineStr">
        <is>
          <t>YES</t>
        </is>
      </c>
      <c r="G172" s="3" t="inlineStr">
        <is>
          <t>Evap Outlet Air Temp</t>
        </is>
      </c>
      <c r="H172" s="3" t="n">
        <v>61</v>
      </c>
      <c r="I172" s="3" t="n">
        <v>4.36</v>
      </c>
    </row>
    <row r="173">
      <c r="A173" s="4" t="inlineStr">
        <is>
          <t>04C3126121174</t>
        </is>
      </c>
      <c r="B173" s="4" t="inlineStr">
        <is>
          <t>MT</t>
        </is>
      </c>
      <c r="C173" s="4" t="inlineStr">
        <is>
          <t>CRS0000674</t>
        </is>
      </c>
      <c r="D173" s="10" t="n">
        <v>46113</v>
      </c>
      <c r="E173" s="4" t="inlineStr">
        <is>
          <t>Fail</t>
        </is>
      </c>
      <c r="F173" s="9" t="inlineStr">
        <is>
          <t>YES</t>
        </is>
      </c>
      <c r="G173" s="4" t="inlineStr">
        <is>
          <t>Evap Inlet Ret Bend A</t>
        </is>
      </c>
      <c r="H173" s="4" t="n">
        <v>68.5</v>
      </c>
      <c r="I173" s="4" t="n">
        <v>4.33</v>
      </c>
    </row>
    <row r="174">
      <c r="A174" s="3" t="inlineStr">
        <is>
          <t>04A2026120315</t>
        </is>
      </c>
      <c r="B174" s="3" t="inlineStr">
        <is>
          <t>MT</t>
        </is>
      </c>
      <c r="C174" s="3" t="inlineStr">
        <is>
          <t>CRS0000674</t>
        </is>
      </c>
      <c r="D174" s="8" t="n">
        <v>46060</v>
      </c>
      <c r="E174" s="3" t="inlineStr">
        <is>
          <t>Fail</t>
        </is>
      </c>
      <c r="F174" s="9" t="inlineStr">
        <is>
          <t>YES</t>
        </is>
      </c>
      <c r="G174" s="3" t="inlineStr">
        <is>
          <t>Inlet/Outlet Delta</t>
        </is>
      </c>
      <c r="H174" s="3" t="n">
        <v>7.5</v>
      </c>
      <c r="I174" s="3" t="n">
        <v>4.32</v>
      </c>
    </row>
    <row r="175">
      <c r="A175" s="4" t="inlineStr">
        <is>
          <t>04A2026120315</t>
        </is>
      </c>
      <c r="B175" s="4" t="inlineStr">
        <is>
          <t>MT</t>
        </is>
      </c>
      <c r="C175" s="4" t="inlineStr">
        <is>
          <t>CRS0000674</t>
        </is>
      </c>
      <c r="D175" s="10" t="n">
        <v>46062</v>
      </c>
      <c r="E175" s="4" t="inlineStr">
        <is>
          <t>Fail</t>
        </is>
      </c>
      <c r="F175" s="9" t="inlineStr">
        <is>
          <t>YES</t>
        </is>
      </c>
      <c r="G175" s="4" t="inlineStr">
        <is>
          <t>Inlet/Outlet Delta</t>
        </is>
      </c>
      <c r="H175" s="4" t="n">
        <v>7.5</v>
      </c>
      <c r="I175" s="4" t="n">
        <v>4.32</v>
      </c>
    </row>
    <row r="176">
      <c r="A176" s="3" t="inlineStr">
        <is>
          <t>04B2726120709</t>
        </is>
      </c>
      <c r="B176" s="3" t="inlineStr">
        <is>
          <t>MT</t>
        </is>
      </c>
      <c r="C176" s="3" t="inlineStr">
        <is>
          <t>CRS0000674</t>
        </is>
      </c>
      <c r="D176" s="8" t="n">
        <v>46081</v>
      </c>
      <c r="E176" s="3" t="inlineStr">
        <is>
          <t>Fail</t>
        </is>
      </c>
      <c r="F176" s="9" t="inlineStr">
        <is>
          <t>YES</t>
        </is>
      </c>
      <c r="G176" s="3" t="inlineStr">
        <is>
          <t>Inlet/Outlet Delta</t>
        </is>
      </c>
      <c r="H176" s="3" t="n">
        <v>7.5</v>
      </c>
      <c r="I176" s="3" t="n">
        <v>4.32</v>
      </c>
    </row>
    <row r="177">
      <c r="A177" s="4" t="inlineStr">
        <is>
          <t>04B2826120712</t>
        </is>
      </c>
      <c r="B177" s="4" t="inlineStr">
        <is>
          <t>MT</t>
        </is>
      </c>
      <c r="C177" s="4" t="inlineStr">
        <is>
          <t>CRS0000674</t>
        </is>
      </c>
      <c r="D177" s="10" t="n">
        <v>46081</v>
      </c>
      <c r="E177" s="4" t="inlineStr">
        <is>
          <t>Pass</t>
        </is>
      </c>
      <c r="F177" s="4" t="inlineStr">
        <is>
          <t>no</t>
        </is>
      </c>
      <c r="G177" s="4" t="inlineStr">
        <is>
          <t>Inlet/Outlet Delta</t>
        </is>
      </c>
      <c r="H177" s="4" t="n">
        <v>7.5</v>
      </c>
      <c r="I177" s="4" t="n">
        <v>4.32</v>
      </c>
    </row>
    <row r="178">
      <c r="A178" s="3" t="inlineStr">
        <is>
          <t>04C1326120945</t>
        </is>
      </c>
      <c r="B178" s="3" t="inlineStr">
        <is>
          <t>MT</t>
        </is>
      </c>
      <c r="C178" s="3" t="inlineStr">
        <is>
          <t>CRS0000674</t>
        </is>
      </c>
      <c r="D178" s="8" t="n">
        <v>46095</v>
      </c>
      <c r="E178" s="3" t="inlineStr">
        <is>
          <t>Fail</t>
        </is>
      </c>
      <c r="F178" s="9" t="inlineStr">
        <is>
          <t>YES</t>
        </is>
      </c>
      <c r="G178" s="3" t="inlineStr">
        <is>
          <t>Startup Current</t>
        </is>
      </c>
      <c r="H178" s="3" t="n">
        <v>4.47</v>
      </c>
      <c r="I178" s="3" t="n">
        <v>4.31</v>
      </c>
    </row>
    <row r="179">
      <c r="A179" s="4" t="inlineStr">
        <is>
          <t>04D1126121338</t>
        </is>
      </c>
      <c r="B179" s="4" t="inlineStr">
        <is>
          <t>LT</t>
        </is>
      </c>
      <c r="C179" s="4" t="inlineStr">
        <is>
          <t>CRS0000675</t>
        </is>
      </c>
      <c r="D179" s="10" t="n">
        <v>46135</v>
      </c>
      <c r="E179" s="4" t="inlineStr">
        <is>
          <t>Fail</t>
        </is>
      </c>
      <c r="F179" s="9" t="inlineStr">
        <is>
          <t>YES</t>
        </is>
      </c>
      <c r="G179" s="4" t="inlineStr">
        <is>
          <t>Evap Inlet Ret Bend A</t>
        </is>
      </c>
      <c r="H179" s="4" t="n">
        <v>74.8</v>
      </c>
      <c r="I179" s="4" t="n">
        <v>4.29</v>
      </c>
    </row>
    <row r="180">
      <c r="A180" s="3" t="inlineStr">
        <is>
          <t>04C2526121093</t>
        </is>
      </c>
      <c r="B180" s="3" t="inlineStr">
        <is>
          <t>LT</t>
        </is>
      </c>
      <c r="C180" s="3" t="inlineStr">
        <is>
          <t>CRS0000675</t>
        </is>
      </c>
      <c r="D180" s="8" t="n">
        <v>46132</v>
      </c>
      <c r="E180" s="3" t="inlineStr">
        <is>
          <t>Pass</t>
        </is>
      </c>
      <c r="F180" s="3" t="inlineStr">
        <is>
          <t>no</t>
        </is>
      </c>
      <c r="G180" s="3" t="inlineStr">
        <is>
          <t>Final Current</t>
        </is>
      </c>
      <c r="H180" s="3" t="n">
        <v>6.2</v>
      </c>
      <c r="I180" s="3" t="n">
        <v>4.29</v>
      </c>
    </row>
    <row r="181">
      <c r="A181" s="4" t="inlineStr">
        <is>
          <t>04C2026121034</t>
        </is>
      </c>
      <c r="B181" s="4" t="inlineStr">
        <is>
          <t>MT</t>
        </is>
      </c>
      <c r="C181" s="4" t="inlineStr">
        <is>
          <t>CRS0000674</t>
        </is>
      </c>
      <c r="D181" s="10" t="n">
        <v>46101</v>
      </c>
      <c r="E181" s="4" t="inlineStr">
        <is>
          <t>Fail</t>
        </is>
      </c>
      <c r="F181" s="9" t="inlineStr">
        <is>
          <t>YES</t>
        </is>
      </c>
      <c r="G181" s="4" t="inlineStr">
        <is>
          <t>Evap Outlet Air Temp</t>
        </is>
      </c>
      <c r="H181" s="4" t="n">
        <v>77.5</v>
      </c>
      <c r="I181" s="4" t="n">
        <v>4.26</v>
      </c>
    </row>
    <row r="182">
      <c r="A182" s="3" t="inlineStr">
        <is>
          <t>04B2526120684</t>
        </is>
      </c>
      <c r="B182" s="3" t="inlineStr">
        <is>
          <t>MT</t>
        </is>
      </c>
      <c r="C182" s="3" t="inlineStr">
        <is>
          <t>CRS0000674</t>
        </is>
      </c>
      <c r="D182" s="8" t="n">
        <v>46079</v>
      </c>
      <c r="E182" s="3" t="inlineStr">
        <is>
          <t>Pass</t>
        </is>
      </c>
      <c r="F182" s="3" t="inlineStr">
        <is>
          <t>no</t>
        </is>
      </c>
      <c r="G182" s="3" t="inlineStr">
        <is>
          <t>Inlet/Outlet Delta</t>
        </is>
      </c>
      <c r="H182" s="3" t="n">
        <v>7.4</v>
      </c>
      <c r="I182" s="3" t="n">
        <v>4.25</v>
      </c>
    </row>
    <row r="183">
      <c r="A183" s="4" t="inlineStr">
        <is>
          <t>04D0826121280</t>
        </is>
      </c>
      <c r="B183" s="4" t="inlineStr">
        <is>
          <t>MT</t>
        </is>
      </c>
      <c r="C183" s="4" t="inlineStr">
        <is>
          <t>CRS0000674</t>
        </is>
      </c>
      <c r="D183" s="10" t="n">
        <v>46120</v>
      </c>
      <c r="E183" s="4" t="inlineStr">
        <is>
          <t>Fail</t>
        </is>
      </c>
      <c r="F183" s="9" t="inlineStr">
        <is>
          <t>YES</t>
        </is>
      </c>
      <c r="G183" s="4" t="inlineStr">
        <is>
          <t>Suction Tube Temp</t>
        </is>
      </c>
      <c r="H183" s="4" t="n">
        <v>91.40000000000001</v>
      </c>
      <c r="I183" s="4" t="n">
        <v>4.24</v>
      </c>
    </row>
    <row r="184">
      <c r="A184" s="3" t="inlineStr">
        <is>
          <t>04C2426121082</t>
        </is>
      </c>
      <c r="B184" s="3" t="inlineStr">
        <is>
          <t>LT</t>
        </is>
      </c>
      <c r="C184" s="3" t="inlineStr">
        <is>
          <t>CRS0000675</t>
        </is>
      </c>
      <c r="D184" s="8" t="n">
        <v>46130</v>
      </c>
      <c r="E184" s="3" t="inlineStr">
        <is>
          <t>Fail</t>
        </is>
      </c>
      <c r="F184" s="9" t="inlineStr">
        <is>
          <t>YES</t>
        </is>
      </c>
      <c r="G184" s="3" t="inlineStr">
        <is>
          <t>Suction Tube Temp</t>
        </is>
      </c>
      <c r="H184" s="3" t="n">
        <v>128.5</v>
      </c>
      <c r="I184" s="3" t="n">
        <v>4.23</v>
      </c>
    </row>
    <row r="185">
      <c r="A185" s="4" t="inlineStr">
        <is>
          <t>04A2926120429</t>
        </is>
      </c>
      <c r="B185" s="4" t="inlineStr">
        <is>
          <t>LT</t>
        </is>
      </c>
      <c r="C185" s="4" t="inlineStr">
        <is>
          <t>CRS0000675</t>
        </is>
      </c>
      <c r="D185" s="10" t="n">
        <v>46064</v>
      </c>
      <c r="E185" s="4" t="inlineStr">
        <is>
          <t>Fail</t>
        </is>
      </c>
      <c r="F185" s="9" t="inlineStr">
        <is>
          <t>YES</t>
        </is>
      </c>
      <c r="G185" s="4" t="inlineStr">
        <is>
          <t>Inlet/Outlet Delta</t>
        </is>
      </c>
      <c r="H185" s="4" t="n">
        <v>7.7</v>
      </c>
      <c r="I185" s="4" t="n">
        <v>4.2</v>
      </c>
    </row>
    <row r="186">
      <c r="A186" s="3" t="inlineStr">
        <is>
          <t>04C3126121174</t>
        </is>
      </c>
      <c r="B186" s="3" t="inlineStr">
        <is>
          <t>MT</t>
        </is>
      </c>
      <c r="C186" s="3" t="inlineStr">
        <is>
          <t>CRS0000674</t>
        </is>
      </c>
      <c r="D186" s="8" t="n">
        <v>46113</v>
      </c>
      <c r="E186" s="3" t="inlineStr">
        <is>
          <t>Fail</t>
        </is>
      </c>
      <c r="F186" s="9" t="inlineStr">
        <is>
          <t>YES</t>
        </is>
      </c>
      <c r="G186" s="3" t="inlineStr">
        <is>
          <t>Evap Inlet Ret Bend A</t>
        </is>
      </c>
      <c r="H186" s="3" t="n">
        <v>68.90000000000001</v>
      </c>
      <c r="I186" s="3" t="n">
        <v>4.19</v>
      </c>
    </row>
    <row r="187">
      <c r="A187" s="4" t="inlineStr">
        <is>
          <t>04D1126121336</t>
        </is>
      </c>
      <c r="B187" s="4" t="inlineStr">
        <is>
          <t>MT</t>
        </is>
      </c>
      <c r="C187" s="4" t="inlineStr">
        <is>
          <t>CRS0000674</t>
        </is>
      </c>
      <c r="D187" s="10" t="n">
        <v>46123</v>
      </c>
      <c r="E187" s="4" t="inlineStr">
        <is>
          <t>Fail</t>
        </is>
      </c>
      <c r="F187" s="9" t="inlineStr">
        <is>
          <t>YES</t>
        </is>
      </c>
      <c r="G187" s="4" t="inlineStr">
        <is>
          <t>Evap Inlet Ret Bend A</t>
        </is>
      </c>
      <c r="H187" s="4" t="n">
        <v>68.90000000000001</v>
      </c>
      <c r="I187" s="4" t="n">
        <v>4.19</v>
      </c>
    </row>
    <row r="188">
      <c r="A188" s="3" t="inlineStr">
        <is>
          <t>04A2026120315</t>
        </is>
      </c>
      <c r="B188" s="3" t="inlineStr">
        <is>
          <t>MT</t>
        </is>
      </c>
      <c r="C188" s="3" t="inlineStr">
        <is>
          <t>CRS0000674</t>
        </is>
      </c>
      <c r="D188" s="8" t="n">
        <v>46060</v>
      </c>
      <c r="E188" s="3" t="inlineStr">
        <is>
          <t>Fail</t>
        </is>
      </c>
      <c r="F188" s="9" t="inlineStr">
        <is>
          <t>YES</t>
        </is>
      </c>
      <c r="G188" s="3" t="inlineStr">
        <is>
          <t>Inlet/Outlet Delta</t>
        </is>
      </c>
      <c r="H188" s="3" t="n">
        <v>7.3</v>
      </c>
      <c r="I188" s="3" t="n">
        <v>4.17</v>
      </c>
    </row>
    <row r="189">
      <c r="A189" s="4" t="inlineStr">
        <is>
          <t>04B2726120711</t>
        </is>
      </c>
      <c r="B189" s="4" t="inlineStr">
        <is>
          <t>MT</t>
        </is>
      </c>
      <c r="C189" s="4" t="inlineStr">
        <is>
          <t>CRS0000674</t>
        </is>
      </c>
      <c r="D189" s="10" t="n">
        <v>46081</v>
      </c>
      <c r="E189" s="4" t="inlineStr">
        <is>
          <t>Pass</t>
        </is>
      </c>
      <c r="F189" s="4" t="inlineStr">
        <is>
          <t>no</t>
        </is>
      </c>
      <c r="G189" s="4" t="inlineStr">
        <is>
          <t>Inlet/Outlet Delta</t>
        </is>
      </c>
      <c r="H189" s="4" t="n">
        <v>7.3</v>
      </c>
      <c r="I189" s="4" t="n">
        <v>4.17</v>
      </c>
    </row>
    <row r="190">
      <c r="A190" s="3" t="inlineStr">
        <is>
          <t>04C2426121075</t>
        </is>
      </c>
      <c r="B190" s="3" t="inlineStr">
        <is>
          <t>LT</t>
        </is>
      </c>
      <c r="C190" s="3" t="inlineStr">
        <is>
          <t>CRS0000675</t>
        </is>
      </c>
      <c r="D190" s="8" t="n">
        <v>46134</v>
      </c>
      <c r="E190" s="3" t="inlineStr">
        <is>
          <t>Fail</t>
        </is>
      </c>
      <c r="F190" s="9" t="inlineStr">
        <is>
          <t>YES</t>
        </is>
      </c>
      <c r="G190" s="3" t="inlineStr">
        <is>
          <t>Suction Tube Temp</t>
        </is>
      </c>
      <c r="H190" s="3" t="n">
        <v>128.9</v>
      </c>
      <c r="I190" s="3" t="n">
        <v>4.16</v>
      </c>
    </row>
    <row r="191">
      <c r="A191" s="4" t="inlineStr">
        <is>
          <t>04D1826121466</t>
        </is>
      </c>
      <c r="B191" s="4" t="inlineStr">
        <is>
          <t>LT</t>
        </is>
      </c>
      <c r="C191" s="4" t="inlineStr">
        <is>
          <t>CRS0000675</t>
        </is>
      </c>
      <c r="D191" s="10" t="n">
        <v>46130</v>
      </c>
      <c r="E191" s="4" t="inlineStr">
        <is>
          <t>Fail</t>
        </is>
      </c>
      <c r="F191" s="9" t="inlineStr">
        <is>
          <t>YES</t>
        </is>
      </c>
      <c r="G191" s="4" t="inlineStr">
        <is>
          <t>Suction Tube Temp</t>
        </is>
      </c>
      <c r="H191" s="4" t="n">
        <v>176.3</v>
      </c>
      <c r="I191" s="4" t="n">
        <v>4.11</v>
      </c>
    </row>
    <row r="192">
      <c r="A192" s="3" t="inlineStr">
        <is>
          <t>04C1226120921</t>
        </is>
      </c>
      <c r="B192" s="3" t="inlineStr">
        <is>
          <t>LT</t>
        </is>
      </c>
      <c r="C192" s="3" t="inlineStr">
        <is>
          <t>CRS0000675</t>
        </is>
      </c>
      <c r="D192" s="8" t="n">
        <v>46093</v>
      </c>
      <c r="E192" s="3" t="inlineStr">
        <is>
          <t>Fail</t>
        </is>
      </c>
      <c r="F192" s="9" t="inlineStr">
        <is>
          <t>YES</t>
        </is>
      </c>
      <c r="G192" s="3" t="inlineStr">
        <is>
          <t>Evap Inlet Ret Bend A</t>
        </is>
      </c>
      <c r="H192" s="3" t="n">
        <v>75.7</v>
      </c>
      <c r="I192" s="3" t="n">
        <v>4.11</v>
      </c>
    </row>
    <row r="193">
      <c r="A193" s="4" t="inlineStr">
        <is>
          <t>04A2026120315</t>
        </is>
      </c>
      <c r="B193" s="4" t="inlineStr">
        <is>
          <t>MT</t>
        </is>
      </c>
      <c r="C193" s="4" t="inlineStr">
        <is>
          <t>CRS0000674</t>
        </is>
      </c>
      <c r="D193" s="10" t="n">
        <v>46060</v>
      </c>
      <c r="E193" s="4" t="inlineStr">
        <is>
          <t>Fail</t>
        </is>
      </c>
      <c r="F193" s="9" t="inlineStr">
        <is>
          <t>YES</t>
        </is>
      </c>
      <c r="G193" s="4" t="inlineStr">
        <is>
          <t>Evap Outlet Air Temp</t>
        </is>
      </c>
      <c r="H193" s="4" t="n">
        <v>61.5</v>
      </c>
      <c r="I193" s="4" t="n">
        <v>4.1</v>
      </c>
    </row>
    <row r="194">
      <c r="A194" s="3" t="inlineStr">
        <is>
          <t>04A2926120428</t>
        </is>
      </c>
      <c r="B194" s="3" t="inlineStr">
        <is>
          <t>LT</t>
        </is>
      </c>
      <c r="C194" s="3" t="inlineStr">
        <is>
          <t>CRS0000675</t>
        </is>
      </c>
      <c r="D194" s="8" t="n">
        <v>46060</v>
      </c>
      <c r="E194" s="3" t="inlineStr">
        <is>
          <t>Fail</t>
        </is>
      </c>
      <c r="F194" s="9" t="inlineStr">
        <is>
          <t>YES</t>
        </is>
      </c>
      <c r="G194" s="3" t="inlineStr">
        <is>
          <t>Inlet/Outlet Delta</t>
        </is>
      </c>
      <c r="H194" s="3" t="n">
        <v>7.5</v>
      </c>
      <c r="I194" s="3" t="n">
        <v>4.06</v>
      </c>
    </row>
    <row r="195">
      <c r="A195" s="4" t="inlineStr">
        <is>
          <t>04A2926120428</t>
        </is>
      </c>
      <c r="B195" s="4" t="inlineStr">
        <is>
          <t>LT</t>
        </is>
      </c>
      <c r="C195" s="4" t="inlineStr">
        <is>
          <t>CRS0000675</t>
        </is>
      </c>
      <c r="D195" s="10" t="n">
        <v>46060</v>
      </c>
      <c r="E195" s="4" t="inlineStr">
        <is>
          <t>Fail</t>
        </is>
      </c>
      <c r="F195" s="9" t="inlineStr">
        <is>
          <t>YES</t>
        </is>
      </c>
      <c r="G195" s="4" t="inlineStr">
        <is>
          <t>Inlet/Outlet Delta</t>
        </is>
      </c>
      <c r="H195" s="4" t="n">
        <v>7.5</v>
      </c>
      <c r="I195" s="4" t="n">
        <v>4.06</v>
      </c>
    </row>
    <row r="196">
      <c r="A196" s="3" t="inlineStr">
        <is>
          <t>04C2026121034</t>
        </is>
      </c>
      <c r="B196" s="3" t="inlineStr">
        <is>
          <t>MT</t>
        </is>
      </c>
      <c r="C196" s="3" t="inlineStr">
        <is>
          <t>CRS0000674</t>
        </is>
      </c>
      <c r="D196" s="8" t="n">
        <v>46101</v>
      </c>
      <c r="E196" s="3" t="inlineStr">
        <is>
          <t>Pass</t>
        </is>
      </c>
      <c r="F196" s="3" t="inlineStr">
        <is>
          <t>no</t>
        </is>
      </c>
      <c r="G196" s="3" t="inlineStr">
        <is>
          <t>Evap Outlet Air Temp</t>
        </is>
      </c>
      <c r="H196" s="3" t="n">
        <v>77.09999999999999</v>
      </c>
      <c r="I196" s="3" t="n">
        <v>4.05</v>
      </c>
    </row>
    <row r="197">
      <c r="A197" s="4" t="inlineStr">
        <is>
          <t>04D1326121358</t>
        </is>
      </c>
      <c r="B197" s="4" t="inlineStr">
        <is>
          <t>MT</t>
        </is>
      </c>
      <c r="C197" s="4" t="inlineStr">
        <is>
          <t>CRS0000674</t>
        </is>
      </c>
      <c r="D197" s="10" t="n">
        <v>46125</v>
      </c>
      <c r="E197" s="4" t="inlineStr">
        <is>
          <t>Fail</t>
        </is>
      </c>
      <c r="F197" s="9" t="inlineStr">
        <is>
          <t>YES</t>
        </is>
      </c>
      <c r="G197" s="4" t="inlineStr">
        <is>
          <t>Evap Inlet Ret Bend A</t>
        </is>
      </c>
      <c r="H197" s="4" t="n">
        <v>69.40000000000001</v>
      </c>
      <c r="I197" s="4" t="n">
        <v>4.01</v>
      </c>
    </row>
    <row r="198">
      <c r="A198" s="3" t="inlineStr">
        <is>
          <t>04D1426121381</t>
        </is>
      </c>
      <c r="B198" s="3" t="inlineStr">
        <is>
          <t>MT</t>
        </is>
      </c>
      <c r="C198" s="3" t="inlineStr">
        <is>
          <t>CRS0000674</t>
        </is>
      </c>
      <c r="D198" s="8" t="n">
        <v>46127</v>
      </c>
      <c r="E198" s="3" t="inlineStr">
        <is>
          <t>Fail</t>
        </is>
      </c>
      <c r="F198" s="9" t="inlineStr">
        <is>
          <t>YES</t>
        </is>
      </c>
      <c r="G198" s="3" t="inlineStr">
        <is>
          <t>Evap Inlet Ret Bend A</t>
        </is>
      </c>
      <c r="H198" s="3" t="n">
        <v>69.40000000000001</v>
      </c>
      <c r="I198" s="3" t="n">
        <v>4.01</v>
      </c>
    </row>
    <row r="199">
      <c r="A199" s="4" t="inlineStr">
        <is>
          <t>04C1026120898</t>
        </is>
      </c>
      <c r="B199" s="4" t="inlineStr">
        <is>
          <t>LT</t>
        </is>
      </c>
      <c r="C199" s="4" t="inlineStr">
        <is>
          <t>CRS0000675</t>
        </is>
      </c>
      <c r="D199" s="10" t="n">
        <v>46092</v>
      </c>
      <c r="E199" s="4" t="inlineStr">
        <is>
          <t>Fail</t>
        </is>
      </c>
      <c r="F199" s="9" t="inlineStr">
        <is>
          <t>YES</t>
        </is>
      </c>
      <c r="G199" s="4" t="inlineStr">
        <is>
          <t>Suction Tube Temp</t>
        </is>
      </c>
      <c r="H199" s="4" t="n">
        <v>129.8</v>
      </c>
      <c r="I199" s="4" t="n">
        <v>4</v>
      </c>
    </row>
    <row r="200">
      <c r="A200" s="3" t="inlineStr">
        <is>
          <t>04A2926120429</t>
        </is>
      </c>
      <c r="B200" s="3" t="inlineStr">
        <is>
          <t>LT</t>
        </is>
      </c>
      <c r="C200" s="3" t="inlineStr">
        <is>
          <t>CRS0000675</t>
        </is>
      </c>
      <c r="D200" s="8" t="n">
        <v>46064</v>
      </c>
      <c r="E200" s="3" t="inlineStr">
        <is>
          <t>Fail</t>
        </is>
      </c>
      <c r="F200" s="9" t="inlineStr">
        <is>
          <t>YES</t>
        </is>
      </c>
      <c r="G200" s="3" t="inlineStr">
        <is>
          <t>Inlet/Outlet Delta</t>
        </is>
      </c>
      <c r="H200" s="3" t="n">
        <v>7.4</v>
      </c>
      <c r="I200" s="3" t="n">
        <v>3.98</v>
      </c>
    </row>
    <row r="201">
      <c r="A201" s="4" t="inlineStr">
        <is>
          <t>04D1426121378</t>
        </is>
      </c>
      <c r="B201" s="4" t="inlineStr">
        <is>
          <t>MT</t>
        </is>
      </c>
      <c r="C201" s="4" t="inlineStr">
        <is>
          <t>CRS0000674</t>
        </is>
      </c>
      <c r="D201" s="10" t="n">
        <v>46134</v>
      </c>
      <c r="E201" s="4" t="inlineStr">
        <is>
          <t>Fail</t>
        </is>
      </c>
      <c r="F201" s="9" t="inlineStr">
        <is>
          <t>YES</t>
        </is>
      </c>
      <c r="G201" s="4" t="inlineStr">
        <is>
          <t>Suction Tube Temp</t>
        </is>
      </c>
      <c r="H201" s="4" t="n">
        <v>92.8</v>
      </c>
      <c r="I201" s="4" t="n">
        <v>3.96</v>
      </c>
    </row>
    <row r="202">
      <c r="A202" s="3" t="inlineStr">
        <is>
          <t>04B1226120597</t>
        </is>
      </c>
      <c r="B202" s="3" t="inlineStr">
        <is>
          <t>LT</t>
        </is>
      </c>
      <c r="C202" s="3" t="inlineStr">
        <is>
          <t>CRS0000675</t>
        </is>
      </c>
      <c r="D202" s="8" t="n">
        <v>46066</v>
      </c>
      <c r="E202" s="3" t="inlineStr">
        <is>
          <t>Fail</t>
        </is>
      </c>
      <c r="F202" s="9" t="inlineStr">
        <is>
          <t>YES</t>
        </is>
      </c>
      <c r="G202" s="3" t="inlineStr">
        <is>
          <t>Suction Tube Temp</t>
        </is>
      </c>
      <c r="H202" s="3" t="n">
        <v>175.4</v>
      </c>
      <c r="I202" s="3" t="n">
        <v>3.95</v>
      </c>
    </row>
    <row r="203">
      <c r="A203" s="4" t="inlineStr">
        <is>
          <t>04C1126120918</t>
        </is>
      </c>
      <c r="B203" s="4" t="inlineStr">
        <is>
          <t>LT</t>
        </is>
      </c>
      <c r="C203" s="4" t="inlineStr">
        <is>
          <t>CRS0000675</t>
        </is>
      </c>
      <c r="D203" s="10" t="n">
        <v>46093</v>
      </c>
      <c r="E203" s="4" t="inlineStr">
        <is>
          <t>Fail</t>
        </is>
      </c>
      <c r="F203" s="9" t="inlineStr">
        <is>
          <t>YES</t>
        </is>
      </c>
      <c r="G203" s="4" t="inlineStr">
        <is>
          <t>Evap Inlet Ret Bend A</t>
        </is>
      </c>
      <c r="H203" s="4" t="n">
        <v>76.59999999999999</v>
      </c>
      <c r="I203" s="4" t="n">
        <v>3.94</v>
      </c>
    </row>
    <row r="204">
      <c r="A204" s="3" t="inlineStr">
        <is>
          <t>04C0426120788</t>
        </is>
      </c>
      <c r="B204" s="3" t="inlineStr">
        <is>
          <t>LT</t>
        </is>
      </c>
      <c r="C204" s="3" t="inlineStr">
        <is>
          <t>CRS0000675</t>
        </is>
      </c>
      <c r="D204" s="8" t="n">
        <v>46085</v>
      </c>
      <c r="E204" s="3" t="inlineStr">
        <is>
          <t>Pass</t>
        </is>
      </c>
      <c r="F204" s="3" t="inlineStr">
        <is>
          <t>no</t>
        </is>
      </c>
      <c r="G204" s="3" t="inlineStr">
        <is>
          <t>Startup Current</t>
        </is>
      </c>
      <c r="H204" s="3" t="n">
        <v>10.21</v>
      </c>
      <c r="I204" s="3" t="n">
        <v>3.9</v>
      </c>
    </row>
    <row r="205">
      <c r="A205" s="4" t="inlineStr">
        <is>
          <t>04A2026120315</t>
        </is>
      </c>
      <c r="B205" s="4" t="inlineStr">
        <is>
          <t>MT</t>
        </is>
      </c>
      <c r="C205" s="4" t="inlineStr">
        <is>
          <t>CRS0000674</t>
        </is>
      </c>
      <c r="D205" s="10" t="n">
        <v>46044</v>
      </c>
      <c r="E205" s="4" t="inlineStr">
        <is>
          <t>Fail</t>
        </is>
      </c>
      <c r="F205" s="9" t="inlineStr">
        <is>
          <t>YES</t>
        </is>
      </c>
      <c r="G205" s="4" t="inlineStr">
        <is>
          <t>Inlet/Outlet Delta</t>
        </is>
      </c>
      <c r="H205" s="4" t="n">
        <v>6.9</v>
      </c>
      <c r="I205" s="4" t="n">
        <v>3.89</v>
      </c>
    </row>
    <row r="206">
      <c r="A206" s="3" t="inlineStr">
        <is>
          <t>04C3026121148</t>
        </is>
      </c>
      <c r="B206" s="3" t="inlineStr">
        <is>
          <t>MT</t>
        </is>
      </c>
      <c r="C206" s="3" t="inlineStr">
        <is>
          <t>CRS0000674</t>
        </is>
      </c>
      <c r="D206" s="8" t="n">
        <v>46112</v>
      </c>
      <c r="E206" s="3" t="inlineStr">
        <is>
          <t>Fail</t>
        </is>
      </c>
      <c r="F206" s="9" t="inlineStr">
        <is>
          <t>YES</t>
        </is>
      </c>
      <c r="G206" s="3" t="inlineStr">
        <is>
          <t>Suction Tube Temp</t>
        </is>
      </c>
      <c r="H206" s="3" t="n">
        <v>93.2</v>
      </c>
      <c r="I206" s="3" t="n">
        <v>3.88</v>
      </c>
    </row>
    <row r="207">
      <c r="A207" s="4" t="inlineStr">
        <is>
          <t>04C2426121075</t>
        </is>
      </c>
      <c r="B207" s="4" t="inlineStr">
        <is>
          <t>LT</t>
        </is>
      </c>
      <c r="C207" s="4" t="inlineStr">
        <is>
          <t>CRS0000675</t>
        </is>
      </c>
      <c r="D207" s="10" t="n">
        <v>46136</v>
      </c>
      <c r="E207" s="4" t="inlineStr">
        <is>
          <t>Fail</t>
        </is>
      </c>
      <c r="F207" s="9" t="inlineStr">
        <is>
          <t>YES</t>
        </is>
      </c>
      <c r="G207" s="4" t="inlineStr">
        <is>
          <t>Suction Tube Temp</t>
        </is>
      </c>
      <c r="H207" s="4" t="n">
        <v>174.9</v>
      </c>
      <c r="I207" s="4" t="n">
        <v>3.87</v>
      </c>
    </row>
    <row r="208">
      <c r="A208" s="3" t="inlineStr">
        <is>
          <t>04C3126121160</t>
        </is>
      </c>
      <c r="B208" s="3" t="inlineStr">
        <is>
          <t>MT</t>
        </is>
      </c>
      <c r="C208" s="3" t="inlineStr">
        <is>
          <t>CRS0000674</t>
        </is>
      </c>
      <c r="D208" s="8" t="n">
        <v>46112</v>
      </c>
      <c r="E208" s="3" t="inlineStr">
        <is>
          <t>Fail</t>
        </is>
      </c>
      <c r="F208" s="9" t="inlineStr">
        <is>
          <t>YES</t>
        </is>
      </c>
      <c r="G208" s="3" t="inlineStr">
        <is>
          <t>Evap Inlet Ret Bend A</t>
        </is>
      </c>
      <c r="H208" s="3" t="n">
        <v>69.8</v>
      </c>
      <c r="I208" s="3" t="n">
        <v>3.87</v>
      </c>
    </row>
    <row r="209">
      <c r="A209" s="4" t="inlineStr">
        <is>
          <t>04C2426121082</t>
        </is>
      </c>
      <c r="B209" s="4" t="inlineStr">
        <is>
          <t>LT</t>
        </is>
      </c>
      <c r="C209" s="4" t="inlineStr">
        <is>
          <t>CRS0000675</t>
        </is>
      </c>
      <c r="D209" s="10" t="n">
        <v>46130</v>
      </c>
      <c r="E209" s="4" t="inlineStr">
        <is>
          <t>Fail</t>
        </is>
      </c>
      <c r="F209" s="9" t="inlineStr">
        <is>
          <t>YES</t>
        </is>
      </c>
      <c r="G209" s="4" t="inlineStr">
        <is>
          <t>Evap Inlet Ret Bend A</t>
        </is>
      </c>
      <c r="H209" s="4" t="n">
        <v>77</v>
      </c>
      <c r="I209" s="4" t="n">
        <v>3.86</v>
      </c>
    </row>
    <row r="210">
      <c r="A210" s="3" t="inlineStr">
        <is>
          <t>04D1126121338</t>
        </is>
      </c>
      <c r="B210" s="3" t="inlineStr">
        <is>
          <t>LT</t>
        </is>
      </c>
      <c r="C210" s="3" t="inlineStr">
        <is>
          <t>CRS0000675</t>
        </is>
      </c>
      <c r="D210" s="8" t="n">
        <v>46135</v>
      </c>
      <c r="E210" s="3" t="inlineStr">
        <is>
          <t>Fail</t>
        </is>
      </c>
      <c r="F210" s="9" t="inlineStr">
        <is>
          <t>YES</t>
        </is>
      </c>
      <c r="G210" s="3" t="inlineStr">
        <is>
          <t>Suction Tube Temp</t>
        </is>
      </c>
      <c r="H210" s="3" t="n">
        <v>130.7</v>
      </c>
      <c r="I210" s="3" t="n">
        <v>3.85</v>
      </c>
    </row>
    <row r="211">
      <c r="A211" s="4" t="inlineStr">
        <is>
          <t>04C3126121174</t>
        </is>
      </c>
      <c r="B211" s="4" t="inlineStr">
        <is>
          <t>MT</t>
        </is>
      </c>
      <c r="C211" s="4" t="inlineStr">
        <is>
          <t>CRS0000674</t>
        </is>
      </c>
      <c r="D211" s="10" t="n">
        <v>46113</v>
      </c>
      <c r="E211" s="4" t="inlineStr">
        <is>
          <t>Fail</t>
        </is>
      </c>
      <c r="F211" s="9" t="inlineStr">
        <is>
          <t>YES</t>
        </is>
      </c>
      <c r="G211" s="4" t="inlineStr">
        <is>
          <t>Final Current</t>
        </is>
      </c>
      <c r="H211" s="4" t="n">
        <v>3.25</v>
      </c>
      <c r="I211" s="4" t="n">
        <v>3.82</v>
      </c>
    </row>
    <row r="212">
      <c r="A212" s="3" t="inlineStr">
        <is>
          <t>04D1826121466</t>
        </is>
      </c>
      <c r="B212" s="3" t="inlineStr">
        <is>
          <t>LT</t>
        </is>
      </c>
      <c r="C212" s="3" t="inlineStr">
        <is>
          <t>CRS0000675</t>
        </is>
      </c>
      <c r="D212" s="8" t="n">
        <v>46130</v>
      </c>
      <c r="E212" s="3" t="inlineStr">
        <is>
          <t>Fail</t>
        </is>
      </c>
      <c r="F212" s="9" t="inlineStr">
        <is>
          <t>YES</t>
        </is>
      </c>
      <c r="G212" s="3" t="inlineStr">
        <is>
          <t>Suction Tube Temp</t>
        </is>
      </c>
      <c r="H212" s="3" t="n">
        <v>174.5</v>
      </c>
      <c r="I212" s="3" t="n">
        <v>3.8</v>
      </c>
    </row>
    <row r="213">
      <c r="A213" s="4" t="inlineStr">
        <is>
          <t>04D1326121365</t>
        </is>
      </c>
      <c r="B213" s="4" t="inlineStr">
        <is>
          <t>MT</t>
        </is>
      </c>
      <c r="C213" s="4" t="inlineStr">
        <is>
          <t>CRS0000674</t>
        </is>
      </c>
      <c r="D213" s="10" t="n">
        <v>46134</v>
      </c>
      <c r="E213" s="4" t="inlineStr">
        <is>
          <t>Fail</t>
        </is>
      </c>
      <c r="F213" s="9" t="inlineStr">
        <is>
          <t>YES</t>
        </is>
      </c>
      <c r="G213" s="4" t="inlineStr">
        <is>
          <t>Suction Tube Temp</t>
        </is>
      </c>
      <c r="H213" s="4" t="n">
        <v>93.59999999999999</v>
      </c>
      <c r="I213" s="4" t="n">
        <v>3.8</v>
      </c>
    </row>
    <row r="214">
      <c r="A214" s="3" t="inlineStr">
        <is>
          <t>04B0326120505</t>
        </is>
      </c>
      <c r="B214" s="3" t="inlineStr">
        <is>
          <t>LT</t>
        </is>
      </c>
      <c r="C214" s="3" t="inlineStr">
        <is>
          <t>CRS0000675</t>
        </is>
      </c>
      <c r="D214" s="8" t="n">
        <v>46056</v>
      </c>
      <c r="E214" s="3" t="inlineStr">
        <is>
          <t>Fail</t>
        </is>
      </c>
      <c r="F214" s="9" t="inlineStr">
        <is>
          <t>YES</t>
        </is>
      </c>
      <c r="G214" s="3" t="inlineStr">
        <is>
          <t>Evap Outlet Air Temp</t>
        </is>
      </c>
      <c r="H214" s="3" t="n">
        <v>61</v>
      </c>
      <c r="I214" s="3" t="n">
        <v>3.78</v>
      </c>
    </row>
    <row r="215">
      <c r="A215" s="4" t="inlineStr">
        <is>
          <t>04A2926120428</t>
        </is>
      </c>
      <c r="B215" s="4" t="inlineStr">
        <is>
          <t>LT</t>
        </is>
      </c>
      <c r="C215" s="4" t="inlineStr">
        <is>
          <t>CRS0000675</t>
        </is>
      </c>
      <c r="D215" s="10" t="n">
        <v>46056</v>
      </c>
      <c r="E215" s="4" t="inlineStr">
        <is>
          <t>Fail</t>
        </is>
      </c>
      <c r="F215" s="9" t="inlineStr">
        <is>
          <t>YES</t>
        </is>
      </c>
      <c r="G215" s="4" t="inlineStr">
        <is>
          <t>Evap Outlet Air Temp</t>
        </is>
      </c>
      <c r="H215" s="4" t="n">
        <v>61</v>
      </c>
      <c r="I215" s="4" t="n">
        <v>3.78</v>
      </c>
    </row>
    <row r="216">
      <c r="A216" s="3" t="inlineStr">
        <is>
          <t>04A2926120428</t>
        </is>
      </c>
      <c r="B216" s="3" t="inlineStr">
        <is>
          <t>LT</t>
        </is>
      </c>
      <c r="C216" s="3" t="inlineStr">
        <is>
          <t>CRS0000675</t>
        </is>
      </c>
      <c r="D216" s="8" t="n">
        <v>46060</v>
      </c>
      <c r="E216" s="3" t="inlineStr">
        <is>
          <t>Fail</t>
        </is>
      </c>
      <c r="F216" s="9" t="inlineStr">
        <is>
          <t>YES</t>
        </is>
      </c>
      <c r="G216" s="3" t="inlineStr">
        <is>
          <t>Evap Outlet Air Temp</t>
        </is>
      </c>
      <c r="H216" s="3" t="n">
        <v>61</v>
      </c>
      <c r="I216" s="3" t="n">
        <v>3.78</v>
      </c>
    </row>
    <row r="217">
      <c r="A217" s="4" t="inlineStr">
        <is>
          <t>04A2926120428</t>
        </is>
      </c>
      <c r="B217" s="4" t="inlineStr">
        <is>
          <t>LT</t>
        </is>
      </c>
      <c r="C217" s="4" t="inlineStr">
        <is>
          <t>CRS0000675</t>
        </is>
      </c>
      <c r="D217" s="10" t="n">
        <v>46060</v>
      </c>
      <c r="E217" s="4" t="inlineStr">
        <is>
          <t>Fail</t>
        </is>
      </c>
      <c r="F217" s="9" t="inlineStr">
        <is>
          <t>YES</t>
        </is>
      </c>
      <c r="G217" s="4" t="inlineStr">
        <is>
          <t>Evap Outlet Air Temp</t>
        </is>
      </c>
      <c r="H217" s="4" t="n">
        <v>61</v>
      </c>
      <c r="I217" s="4" t="n">
        <v>3.78</v>
      </c>
    </row>
    <row r="218">
      <c r="A218" s="3" t="inlineStr">
        <is>
          <t>04A2926120429</t>
        </is>
      </c>
      <c r="B218" s="3" t="inlineStr">
        <is>
          <t>LT</t>
        </is>
      </c>
      <c r="C218" s="3" t="inlineStr">
        <is>
          <t>CRS0000675</t>
        </is>
      </c>
      <c r="D218" s="8" t="n">
        <v>46064</v>
      </c>
      <c r="E218" s="3" t="inlineStr">
        <is>
          <t>Fail</t>
        </is>
      </c>
      <c r="F218" s="9" t="inlineStr">
        <is>
          <t>YES</t>
        </is>
      </c>
      <c r="G218" s="3" t="inlineStr">
        <is>
          <t>Evap Inlet Ret Bend A</t>
        </is>
      </c>
      <c r="H218" s="3" t="n">
        <v>115.4</v>
      </c>
      <c r="I218" s="3" t="n">
        <v>3.77</v>
      </c>
    </row>
    <row r="219">
      <c r="A219" s="4" t="inlineStr">
        <is>
          <t>04A2926120428</t>
        </is>
      </c>
      <c r="B219" s="4" t="inlineStr">
        <is>
          <t>LT</t>
        </is>
      </c>
      <c r="C219" s="4" t="inlineStr">
        <is>
          <t>CRS0000675</t>
        </is>
      </c>
      <c r="D219" s="10" t="n">
        <v>46056</v>
      </c>
      <c r="E219" s="4" t="inlineStr">
        <is>
          <t>Fail</t>
        </is>
      </c>
      <c r="F219" s="9" t="inlineStr">
        <is>
          <t>YES</t>
        </is>
      </c>
      <c r="G219" s="4" t="inlineStr">
        <is>
          <t>Evap Inlet Ret Bend A</t>
        </is>
      </c>
      <c r="H219" s="4" t="n">
        <v>77.5</v>
      </c>
      <c r="I219" s="4" t="n">
        <v>3.76</v>
      </c>
    </row>
    <row r="220">
      <c r="A220" s="3" t="inlineStr">
        <is>
          <t>04C1126120917</t>
        </is>
      </c>
      <c r="B220" s="3" t="inlineStr">
        <is>
          <t>LT</t>
        </is>
      </c>
      <c r="C220" s="3" t="inlineStr">
        <is>
          <t>CRS0000675</t>
        </is>
      </c>
      <c r="D220" s="8" t="n">
        <v>46093</v>
      </c>
      <c r="E220" s="3" t="inlineStr">
        <is>
          <t>Fail</t>
        </is>
      </c>
      <c r="F220" s="9" t="inlineStr">
        <is>
          <t>YES</t>
        </is>
      </c>
      <c r="G220" s="3" t="inlineStr">
        <is>
          <t>Evap Inlet Ret Bend A</t>
        </is>
      </c>
      <c r="H220" s="3" t="n">
        <v>77.5</v>
      </c>
      <c r="I220" s="3" t="n">
        <v>3.76</v>
      </c>
    </row>
    <row r="221">
      <c r="A221" s="4" t="inlineStr">
        <is>
          <t>04C2326121068</t>
        </is>
      </c>
      <c r="B221" s="4" t="inlineStr">
        <is>
          <t>MT</t>
        </is>
      </c>
      <c r="C221" s="4" t="inlineStr">
        <is>
          <t>CRS0000674</t>
        </is>
      </c>
      <c r="D221" s="10" t="n">
        <v>46105</v>
      </c>
      <c r="E221" s="4" t="inlineStr">
        <is>
          <t>Fail</t>
        </is>
      </c>
      <c r="F221" s="9" t="inlineStr">
        <is>
          <t>YES</t>
        </is>
      </c>
      <c r="G221" s="4" t="inlineStr">
        <is>
          <t>Ambient Temp</t>
        </is>
      </c>
      <c r="H221" s="4" t="n">
        <v>77.90000000000001</v>
      </c>
      <c r="I221" s="4" t="n">
        <v>3.74</v>
      </c>
    </row>
    <row r="222">
      <c r="A222" s="3" t="inlineStr">
        <is>
          <t>04D0926121293</t>
        </is>
      </c>
      <c r="B222" s="3" t="inlineStr">
        <is>
          <t>LT</t>
        </is>
      </c>
      <c r="C222" s="3" t="inlineStr">
        <is>
          <t>CRS0000675</t>
        </is>
      </c>
      <c r="D222" s="8" t="n">
        <v>46129</v>
      </c>
      <c r="E222" s="3" t="inlineStr">
        <is>
          <t>Fail</t>
        </is>
      </c>
      <c r="F222" s="9" t="inlineStr">
        <is>
          <t>YES</t>
        </is>
      </c>
      <c r="G222" s="3" t="inlineStr">
        <is>
          <t>Final Current</t>
        </is>
      </c>
      <c r="H222" s="3" t="n">
        <v>6.42</v>
      </c>
      <c r="I222" s="3" t="n">
        <v>3.74</v>
      </c>
    </row>
    <row r="223">
      <c r="A223" s="4" t="inlineStr">
        <is>
          <t>04A2926120429</t>
        </is>
      </c>
      <c r="B223" s="4" t="inlineStr">
        <is>
          <t>LT</t>
        </is>
      </c>
      <c r="C223" s="4" t="inlineStr">
        <is>
          <t>CRS0000675</t>
        </is>
      </c>
      <c r="D223" s="10" t="n">
        <v>46064</v>
      </c>
      <c r="E223" s="4" t="inlineStr">
        <is>
          <t>Fail</t>
        </is>
      </c>
      <c r="F223" s="9" t="inlineStr">
        <is>
          <t>YES</t>
        </is>
      </c>
      <c r="G223" s="4" t="inlineStr">
        <is>
          <t>Suction Tube Temp</t>
        </is>
      </c>
      <c r="H223" s="4" t="n">
        <v>131.6</v>
      </c>
      <c r="I223" s="4" t="n">
        <v>3.69</v>
      </c>
    </row>
    <row r="224">
      <c r="A224" s="3" t="inlineStr">
        <is>
          <t>04D1426121381</t>
        </is>
      </c>
      <c r="B224" s="3" t="inlineStr">
        <is>
          <t>MT</t>
        </is>
      </c>
      <c r="C224" s="3" t="inlineStr">
        <is>
          <t>CRS0000674</t>
        </is>
      </c>
      <c r="D224" s="8" t="n">
        <v>46127</v>
      </c>
      <c r="E224" s="3" t="inlineStr">
        <is>
          <t>Fail</t>
        </is>
      </c>
      <c r="F224" s="9" t="inlineStr">
        <is>
          <t>YES</t>
        </is>
      </c>
      <c r="G224" s="3" t="inlineStr">
        <is>
          <t>Evap Inlet Ret Bend A</t>
        </is>
      </c>
      <c r="H224" s="3" t="n">
        <v>70.3</v>
      </c>
      <c r="I224" s="3" t="n">
        <v>3.69</v>
      </c>
    </row>
    <row r="225">
      <c r="A225" s="4" t="inlineStr">
        <is>
          <t>04C2426121082</t>
        </is>
      </c>
      <c r="B225" s="4" t="inlineStr">
        <is>
          <t>LT</t>
        </is>
      </c>
      <c r="C225" s="4" t="inlineStr">
        <is>
          <t>CRS0000675</t>
        </is>
      </c>
      <c r="D225" s="10" t="n">
        <v>46106</v>
      </c>
      <c r="E225" s="4" t="inlineStr">
        <is>
          <t>Fail</t>
        </is>
      </c>
      <c r="F225" s="9" t="inlineStr">
        <is>
          <t>YES</t>
        </is>
      </c>
      <c r="G225" s="4" t="inlineStr">
        <is>
          <t>Evap Inlet Ret Bend A</t>
        </is>
      </c>
      <c r="H225" s="4" t="n">
        <v>77.90000000000001</v>
      </c>
      <c r="I225" s="4" t="n">
        <v>3.68</v>
      </c>
    </row>
    <row r="226">
      <c r="A226" s="3" t="inlineStr">
        <is>
          <t>04C2426121082</t>
        </is>
      </c>
      <c r="B226" s="3" t="inlineStr">
        <is>
          <t>LT</t>
        </is>
      </c>
      <c r="C226" s="3" t="inlineStr">
        <is>
          <t>CRS0000675</t>
        </is>
      </c>
      <c r="D226" s="8" t="n">
        <v>46130</v>
      </c>
      <c r="E226" s="3" t="inlineStr">
        <is>
          <t>Fail</t>
        </is>
      </c>
      <c r="F226" s="9" t="inlineStr">
        <is>
          <t>YES</t>
        </is>
      </c>
      <c r="G226" s="3" t="inlineStr">
        <is>
          <t>Evap Inlet Ret Bend A</t>
        </is>
      </c>
      <c r="H226" s="3" t="n">
        <v>77.90000000000001</v>
      </c>
      <c r="I226" s="3" t="n">
        <v>3.68</v>
      </c>
    </row>
    <row r="227">
      <c r="A227" s="4" t="inlineStr">
        <is>
          <t>04A2026120315</t>
        </is>
      </c>
      <c r="B227" s="4" t="inlineStr">
        <is>
          <t>MT</t>
        </is>
      </c>
      <c r="C227" s="4" t="inlineStr">
        <is>
          <t>CRS0000674</t>
        </is>
      </c>
      <c r="D227" s="10" t="n">
        <v>46044</v>
      </c>
      <c r="E227" s="4" t="inlineStr">
        <is>
          <t>Pass</t>
        </is>
      </c>
      <c r="F227" s="4" t="inlineStr">
        <is>
          <t>no</t>
        </is>
      </c>
      <c r="G227" s="4" t="inlineStr">
        <is>
          <t>Inlet/Outlet Delta</t>
        </is>
      </c>
      <c r="H227" s="4" t="n">
        <v>6.6</v>
      </c>
      <c r="I227" s="4" t="n">
        <v>3.67</v>
      </c>
    </row>
    <row r="228">
      <c r="A228" s="3" t="inlineStr">
        <is>
          <t>04B2726120706</t>
        </is>
      </c>
      <c r="B228" s="3" t="inlineStr">
        <is>
          <t>MT</t>
        </is>
      </c>
      <c r="C228" s="3" t="inlineStr">
        <is>
          <t>CRS0000674</t>
        </is>
      </c>
      <c r="D228" s="8" t="n">
        <v>46081</v>
      </c>
      <c r="E228" s="3" t="inlineStr">
        <is>
          <t>Pass</t>
        </is>
      </c>
      <c r="F228" s="3" t="inlineStr">
        <is>
          <t>no</t>
        </is>
      </c>
      <c r="G228" s="3" t="inlineStr">
        <is>
          <t>Inlet/Outlet Delta</t>
        </is>
      </c>
      <c r="H228" s="3" t="n">
        <v>6.6</v>
      </c>
      <c r="I228" s="3" t="n">
        <v>3.67</v>
      </c>
    </row>
    <row r="229">
      <c r="A229" s="4" t="inlineStr">
        <is>
          <t>04B2726120708</t>
        </is>
      </c>
      <c r="B229" s="4" t="inlineStr">
        <is>
          <t>MT</t>
        </is>
      </c>
      <c r="C229" s="4" t="inlineStr">
        <is>
          <t>CRS0000674</t>
        </is>
      </c>
      <c r="D229" s="10" t="n">
        <v>46081</v>
      </c>
      <c r="E229" s="4" t="inlineStr">
        <is>
          <t>Pass</t>
        </is>
      </c>
      <c r="F229" s="4" t="inlineStr">
        <is>
          <t>no</t>
        </is>
      </c>
      <c r="G229" s="4" t="inlineStr">
        <is>
          <t>Inlet/Outlet Delta</t>
        </is>
      </c>
      <c r="H229" s="4" t="n">
        <v>6.6</v>
      </c>
      <c r="I229" s="4" t="n">
        <v>3.67</v>
      </c>
    </row>
    <row r="230">
      <c r="A230" s="3" t="inlineStr">
        <is>
          <t>04D1826121465</t>
        </is>
      </c>
      <c r="B230" s="3" t="inlineStr">
        <is>
          <t>LT</t>
        </is>
      </c>
      <c r="C230" s="3" t="inlineStr">
        <is>
          <t>CRS0000675</t>
        </is>
      </c>
      <c r="D230" s="8" t="n">
        <v>46130</v>
      </c>
      <c r="E230" s="3" t="inlineStr">
        <is>
          <t>Fail</t>
        </is>
      </c>
      <c r="F230" s="9" t="inlineStr">
        <is>
          <t>YES</t>
        </is>
      </c>
      <c r="G230" s="3" t="inlineStr">
        <is>
          <t>Suction Tube Temp</t>
        </is>
      </c>
      <c r="H230" s="3" t="n">
        <v>173.6</v>
      </c>
      <c r="I230" s="3" t="n">
        <v>3.64</v>
      </c>
    </row>
    <row r="231">
      <c r="A231" s="4" t="inlineStr">
        <is>
          <t>04C2426121075</t>
        </is>
      </c>
      <c r="B231" s="4" t="inlineStr">
        <is>
          <t>LT</t>
        </is>
      </c>
      <c r="C231" s="4" t="inlineStr">
        <is>
          <t>CRS0000675</t>
        </is>
      </c>
      <c r="D231" s="10" t="n">
        <v>46136</v>
      </c>
      <c r="E231" s="4" t="inlineStr">
        <is>
          <t>Fail</t>
        </is>
      </c>
      <c r="F231" s="9" t="inlineStr">
        <is>
          <t>YES</t>
        </is>
      </c>
      <c r="G231" s="4" t="inlineStr">
        <is>
          <t>Suction Tube Temp</t>
        </is>
      </c>
      <c r="H231" s="4" t="n">
        <v>173.6</v>
      </c>
      <c r="I231" s="4" t="n">
        <v>3.64</v>
      </c>
    </row>
    <row r="232">
      <c r="A232" s="3" t="inlineStr">
        <is>
          <t>04A2026120315</t>
        </is>
      </c>
      <c r="B232" s="3" t="inlineStr">
        <is>
          <t>MT</t>
        </is>
      </c>
      <c r="C232" s="3" t="inlineStr">
        <is>
          <t>CRS0000674</t>
        </is>
      </c>
      <c r="D232" s="8" t="n">
        <v>46042</v>
      </c>
      <c r="E232" s="3" t="inlineStr">
        <is>
          <t>Fail</t>
        </is>
      </c>
      <c r="F232" s="9" t="inlineStr">
        <is>
          <t>YES</t>
        </is>
      </c>
      <c r="G232" s="3" t="inlineStr">
        <is>
          <t>Evap Outlet Air Temp</t>
        </is>
      </c>
      <c r="H232" s="3" t="n">
        <v>62.4</v>
      </c>
      <c r="I232" s="3" t="n">
        <v>3.63</v>
      </c>
    </row>
    <row r="233">
      <c r="A233" s="4" t="inlineStr">
        <is>
          <t>04A2026120315</t>
        </is>
      </c>
      <c r="B233" s="4" t="inlineStr">
        <is>
          <t>MT</t>
        </is>
      </c>
      <c r="C233" s="4" t="inlineStr">
        <is>
          <t>CRS0000674</t>
        </is>
      </c>
      <c r="D233" s="10" t="n">
        <v>46042</v>
      </c>
      <c r="E233" s="4" t="inlineStr">
        <is>
          <t>Pass</t>
        </is>
      </c>
      <c r="F233" s="4" t="inlineStr">
        <is>
          <t>no</t>
        </is>
      </c>
      <c r="G233" s="4" t="inlineStr">
        <is>
          <t>Evap Outlet Air Temp</t>
        </is>
      </c>
      <c r="H233" s="4" t="n">
        <v>62.4</v>
      </c>
      <c r="I233" s="4" t="n">
        <v>3.63</v>
      </c>
    </row>
    <row r="234">
      <c r="A234" s="3" t="inlineStr">
        <is>
          <t>04C0926120838</t>
        </is>
      </c>
      <c r="B234" s="3" t="inlineStr">
        <is>
          <t>MT</t>
        </is>
      </c>
      <c r="C234" s="3" t="inlineStr">
        <is>
          <t>CRS0000674</t>
        </is>
      </c>
      <c r="D234" s="8" t="n">
        <v>46091</v>
      </c>
      <c r="E234" s="3" t="inlineStr">
        <is>
          <t>Fail</t>
        </is>
      </c>
      <c r="F234" s="9" t="inlineStr">
        <is>
          <t>YES</t>
        </is>
      </c>
      <c r="G234" s="3" t="inlineStr">
        <is>
          <t>Suction Tube Temp</t>
        </is>
      </c>
      <c r="H234" s="3" t="n">
        <v>94.5</v>
      </c>
      <c r="I234" s="3" t="n">
        <v>3.62</v>
      </c>
    </row>
    <row r="235">
      <c r="A235" s="4" t="inlineStr">
        <is>
          <t>04B2826120715</t>
        </is>
      </c>
      <c r="B235" s="4" t="inlineStr">
        <is>
          <t>LT</t>
        </is>
      </c>
      <c r="C235" s="4" t="inlineStr">
        <is>
          <t>CRS0000675</t>
        </is>
      </c>
      <c r="D235" s="10" t="n">
        <v>46081</v>
      </c>
      <c r="E235" s="4" t="inlineStr">
        <is>
          <t>Fail</t>
        </is>
      </c>
      <c r="F235" s="9" t="inlineStr">
        <is>
          <t>YES</t>
        </is>
      </c>
      <c r="G235" s="4" t="inlineStr">
        <is>
          <t>Inlet/Outlet Delta</t>
        </is>
      </c>
      <c r="H235" s="4" t="n">
        <v>6.9</v>
      </c>
      <c r="I235" s="4" t="n">
        <v>3.62</v>
      </c>
    </row>
    <row r="236">
      <c r="A236" s="3" t="inlineStr">
        <is>
          <t>04D1126121338</t>
        </is>
      </c>
      <c r="B236" s="3" t="inlineStr">
        <is>
          <t>LT</t>
        </is>
      </c>
      <c r="C236" s="3" t="inlineStr">
        <is>
          <t>CRS0000675</t>
        </is>
      </c>
      <c r="D236" s="8" t="n">
        <v>46135</v>
      </c>
      <c r="E236" s="3" t="inlineStr">
        <is>
          <t>Fail</t>
        </is>
      </c>
      <c r="F236" s="9" t="inlineStr">
        <is>
          <t>YES</t>
        </is>
      </c>
      <c r="G236" s="3" t="inlineStr">
        <is>
          <t>Final Current</t>
        </is>
      </c>
      <c r="H236" s="3" t="n">
        <v>6.47</v>
      </c>
      <c r="I236" s="3" t="n">
        <v>3.62</v>
      </c>
    </row>
    <row r="237">
      <c r="A237" s="4" t="inlineStr">
        <is>
          <t>04B2526120683</t>
        </is>
      </c>
      <c r="B237" s="4" t="inlineStr">
        <is>
          <t>MT</t>
        </is>
      </c>
      <c r="C237" s="4" t="inlineStr">
        <is>
          <t>CRS0000674</t>
        </is>
      </c>
      <c r="D237" s="10" t="n">
        <v>46079</v>
      </c>
      <c r="E237" s="4" t="inlineStr">
        <is>
          <t>Fail</t>
        </is>
      </c>
      <c r="F237" s="9" t="inlineStr">
        <is>
          <t>YES</t>
        </is>
      </c>
      <c r="G237" s="4" t="inlineStr">
        <is>
          <t>Inlet/Outlet Delta</t>
        </is>
      </c>
      <c r="H237" s="4" t="n">
        <v>6.5</v>
      </c>
      <c r="I237" s="4" t="n">
        <v>3.6</v>
      </c>
    </row>
    <row r="238">
      <c r="A238" s="3" t="inlineStr">
        <is>
          <t>04B2726120707</t>
        </is>
      </c>
      <c r="B238" s="3" t="inlineStr">
        <is>
          <t>MT</t>
        </is>
      </c>
      <c r="C238" s="3" t="inlineStr">
        <is>
          <t>CRS0000674</t>
        </is>
      </c>
      <c r="D238" s="8" t="n">
        <v>46081</v>
      </c>
      <c r="E238" s="3" t="inlineStr">
        <is>
          <t>Pass</t>
        </is>
      </c>
      <c r="F238" s="3" t="inlineStr">
        <is>
          <t>no</t>
        </is>
      </c>
      <c r="G238" s="3" t="inlineStr">
        <is>
          <t>Inlet/Outlet Delta</t>
        </is>
      </c>
      <c r="H238" s="3" t="n">
        <v>6.5</v>
      </c>
      <c r="I238" s="3" t="n">
        <v>3.6</v>
      </c>
    </row>
    <row r="239">
      <c r="A239" s="4" t="inlineStr">
        <is>
          <t>04C2526121094</t>
        </is>
      </c>
      <c r="B239" s="4" t="inlineStr">
        <is>
          <t>LT</t>
        </is>
      </c>
      <c r="C239" s="4" t="inlineStr">
        <is>
          <t>CRS0000675</t>
        </is>
      </c>
      <c r="D239" s="10" t="n">
        <v>46136</v>
      </c>
      <c r="E239" s="4" t="inlineStr">
        <is>
          <t>Pass</t>
        </is>
      </c>
      <c r="F239" s="4" t="inlineStr">
        <is>
          <t>no</t>
        </is>
      </c>
      <c r="G239" s="4" t="inlineStr">
        <is>
          <t>Final Current</t>
        </is>
      </c>
      <c r="H239" s="4" t="n">
        <v>6.49</v>
      </c>
      <c r="I239" s="4" t="n">
        <v>3.57</v>
      </c>
    </row>
    <row r="240">
      <c r="A240" s="3" t="inlineStr">
        <is>
          <t>04B1926120664</t>
        </is>
      </c>
      <c r="B240" s="3" t="inlineStr">
        <is>
          <t>MT</t>
        </is>
      </c>
      <c r="C240" s="3" t="inlineStr">
        <is>
          <t>CRS0000674</t>
        </is>
      </c>
      <c r="D240" s="8" t="n">
        <v>46073</v>
      </c>
      <c r="E240" s="3" t="inlineStr">
        <is>
          <t>Pass</t>
        </is>
      </c>
      <c r="F240" s="3" t="inlineStr">
        <is>
          <t>no</t>
        </is>
      </c>
      <c r="G240" s="3" t="inlineStr">
        <is>
          <t>Evap Inlet Ret Bend A</t>
        </is>
      </c>
      <c r="H240" s="3" t="n">
        <v>70.7</v>
      </c>
      <c r="I240" s="3" t="n">
        <v>3.55</v>
      </c>
    </row>
    <row r="241">
      <c r="A241" s="4" t="inlineStr">
        <is>
          <t>04C3126121174</t>
        </is>
      </c>
      <c r="B241" s="4" t="inlineStr">
        <is>
          <t>MT</t>
        </is>
      </c>
      <c r="C241" s="4" t="inlineStr">
        <is>
          <t>CRS0000674</t>
        </is>
      </c>
      <c r="D241" s="10" t="n">
        <v>46113</v>
      </c>
      <c r="E241" s="4" t="inlineStr">
        <is>
          <t>Fail</t>
        </is>
      </c>
      <c r="F241" s="9" t="inlineStr">
        <is>
          <t>YES</t>
        </is>
      </c>
      <c r="G241" s="4" t="inlineStr">
        <is>
          <t>Evap Inlet Ret Bend A</t>
        </is>
      </c>
      <c r="H241" s="4" t="n">
        <v>70.7</v>
      </c>
      <c r="I241" s="4" t="n">
        <v>3.55</v>
      </c>
    </row>
    <row r="242">
      <c r="A242" s="3" t="inlineStr">
        <is>
          <t>04D0726121269</t>
        </is>
      </c>
      <c r="B242" s="3" t="inlineStr">
        <is>
          <t>MT</t>
        </is>
      </c>
      <c r="C242" s="3" t="inlineStr">
        <is>
          <t>CRS0000674</t>
        </is>
      </c>
      <c r="D242" s="8" t="n">
        <v>46120</v>
      </c>
      <c r="E242" s="3" t="inlineStr">
        <is>
          <t>Fail</t>
        </is>
      </c>
      <c r="F242" s="9" t="inlineStr">
        <is>
          <t>YES</t>
        </is>
      </c>
      <c r="G242" s="3" t="inlineStr">
        <is>
          <t>Evap Inlet Ret Bend A</t>
        </is>
      </c>
      <c r="H242" s="3" t="n">
        <v>70.7</v>
      </c>
      <c r="I242" s="3" t="n">
        <v>3.55</v>
      </c>
    </row>
    <row r="243">
      <c r="A243" s="4" t="inlineStr">
        <is>
          <t>04A2926120429</t>
        </is>
      </c>
      <c r="B243" s="4" t="inlineStr">
        <is>
          <t>LT</t>
        </is>
      </c>
      <c r="C243" s="4" t="inlineStr">
        <is>
          <t>CRS0000675</t>
        </is>
      </c>
      <c r="D243" s="10" t="n">
        <v>46066</v>
      </c>
      <c r="E243" s="4" t="inlineStr">
        <is>
          <t>Fail</t>
        </is>
      </c>
      <c r="F243" s="9" t="inlineStr">
        <is>
          <t>YES</t>
        </is>
      </c>
      <c r="G243" s="4" t="inlineStr">
        <is>
          <t>Final Current</t>
        </is>
      </c>
      <c r="H243" s="4" t="n">
        <v>9.33</v>
      </c>
      <c r="I243" s="4" t="n">
        <v>3.54</v>
      </c>
    </row>
    <row r="244">
      <c r="A244" s="3" t="inlineStr">
        <is>
          <t>04C1426120965</t>
        </is>
      </c>
      <c r="B244" s="3" t="inlineStr">
        <is>
          <t>MT</t>
        </is>
      </c>
      <c r="C244" s="3" t="inlineStr">
        <is>
          <t>CRS0000674</t>
        </is>
      </c>
      <c r="D244" s="8" t="n">
        <v>46097</v>
      </c>
      <c r="E244" s="3" t="inlineStr">
        <is>
          <t>Pass</t>
        </is>
      </c>
      <c r="F244" s="3" t="inlineStr">
        <is>
          <t>no</t>
        </is>
      </c>
      <c r="G244" s="3" t="inlineStr">
        <is>
          <t>Final Current</t>
        </is>
      </c>
      <c r="H244" s="3" t="n">
        <v>3.3</v>
      </c>
      <c r="I244" s="3" t="n">
        <v>3.5</v>
      </c>
    </row>
    <row r="245">
      <c r="A245" s="4" t="inlineStr">
        <is>
          <t>04C1026120841</t>
        </is>
      </c>
      <c r="B245" s="4" t="inlineStr">
        <is>
          <t>LT</t>
        </is>
      </c>
      <c r="C245" s="4" t="inlineStr">
        <is>
          <t>CRS0000675</t>
        </is>
      </c>
      <c r="D245" s="10" t="n">
        <v>46091</v>
      </c>
      <c r="E245" s="4" t="inlineStr">
        <is>
          <t>Fail</t>
        </is>
      </c>
      <c r="F245" s="9" t="inlineStr">
        <is>
          <t>YES</t>
        </is>
      </c>
      <c r="G245" s="4" t="inlineStr">
        <is>
          <t>Evap Inlet Ret Bend A</t>
        </is>
      </c>
      <c r="H245" s="4" t="n">
        <v>78.90000000000001</v>
      </c>
      <c r="I245" s="4" t="n">
        <v>3.48</v>
      </c>
    </row>
    <row r="246">
      <c r="A246" s="3" t="inlineStr">
        <is>
          <t>04C2426121082</t>
        </is>
      </c>
      <c r="B246" s="3" t="inlineStr">
        <is>
          <t>LT</t>
        </is>
      </c>
      <c r="C246" s="3" t="inlineStr">
        <is>
          <t>CRS0000675</t>
        </is>
      </c>
      <c r="D246" s="8" t="n">
        <v>46130</v>
      </c>
      <c r="E246" s="3" t="inlineStr">
        <is>
          <t>Fail</t>
        </is>
      </c>
      <c r="F246" s="9" t="inlineStr">
        <is>
          <t>YES</t>
        </is>
      </c>
      <c r="G246" s="3" t="inlineStr">
        <is>
          <t>Evap Inlet Ret Bend A</t>
        </is>
      </c>
      <c r="H246" s="3" t="n">
        <v>78.90000000000001</v>
      </c>
      <c r="I246" s="3" t="n">
        <v>3.48</v>
      </c>
    </row>
    <row r="247">
      <c r="A247" s="4" t="inlineStr">
        <is>
          <t>04C2526121083</t>
        </is>
      </c>
      <c r="B247" s="4" t="inlineStr">
        <is>
          <t>LT</t>
        </is>
      </c>
      <c r="C247" s="4" t="inlineStr">
        <is>
          <t>CRS0000675</t>
        </is>
      </c>
      <c r="D247" s="10" t="n">
        <v>46106</v>
      </c>
      <c r="E247" s="4" t="inlineStr">
        <is>
          <t>Pass</t>
        </is>
      </c>
      <c r="F247" s="4" t="inlineStr">
        <is>
          <t>no</t>
        </is>
      </c>
      <c r="G247" s="4" t="inlineStr">
        <is>
          <t>Evap Outlet Air Temp</t>
        </is>
      </c>
      <c r="H247" s="4" t="n">
        <v>77.09999999999999</v>
      </c>
      <c r="I247" s="4" t="n">
        <v>3.46</v>
      </c>
    </row>
    <row r="248">
      <c r="A248" s="3" t="inlineStr">
        <is>
          <t>04D0926121293</t>
        </is>
      </c>
      <c r="B248" s="3" t="inlineStr">
        <is>
          <t>LT</t>
        </is>
      </c>
      <c r="C248" s="3" t="inlineStr">
        <is>
          <t>CRS0000675</t>
        </is>
      </c>
      <c r="D248" s="8" t="n">
        <v>46129</v>
      </c>
      <c r="E248" s="3" t="inlineStr">
        <is>
          <t>Pass</t>
        </is>
      </c>
      <c r="F248" s="3" t="inlineStr">
        <is>
          <t>no</t>
        </is>
      </c>
      <c r="G248" s="3" t="inlineStr">
        <is>
          <t>Evap Outlet Air Temp</t>
        </is>
      </c>
      <c r="H248" s="3" t="n">
        <v>77.09999999999999</v>
      </c>
      <c r="I248" s="3" t="n">
        <v>3.46</v>
      </c>
    </row>
    <row r="249">
      <c r="A249" s="4" t="inlineStr">
        <is>
          <t>04C1826120995</t>
        </is>
      </c>
      <c r="B249" s="4" t="inlineStr">
        <is>
          <t>LT</t>
        </is>
      </c>
      <c r="C249" s="4" t="inlineStr">
        <is>
          <t>CRS0000675</t>
        </is>
      </c>
      <c r="D249" s="10" t="n">
        <v>46099</v>
      </c>
      <c r="E249" s="4" t="inlineStr">
        <is>
          <t>Fail</t>
        </is>
      </c>
      <c r="F249" s="9" t="inlineStr">
        <is>
          <t>YES</t>
        </is>
      </c>
      <c r="G249" s="4" t="inlineStr">
        <is>
          <t>Ambient Temp</t>
        </is>
      </c>
      <c r="H249" s="4" t="n">
        <v>77.90000000000001</v>
      </c>
      <c r="I249" s="4" t="n">
        <v>3.44</v>
      </c>
    </row>
    <row r="250">
      <c r="A250" s="3" t="inlineStr">
        <is>
          <t>04C2026121034</t>
        </is>
      </c>
      <c r="B250" s="3" t="inlineStr">
        <is>
          <t>MT</t>
        </is>
      </c>
      <c r="C250" s="3" t="inlineStr">
        <is>
          <t>CRS0000674</t>
        </is>
      </c>
      <c r="D250" s="8" t="n">
        <v>46101</v>
      </c>
      <c r="E250" s="3" t="inlineStr">
        <is>
          <t>Fail</t>
        </is>
      </c>
      <c r="F250" s="9" t="inlineStr">
        <is>
          <t>YES</t>
        </is>
      </c>
      <c r="G250" s="3" t="inlineStr">
        <is>
          <t>Ambient Temp</t>
        </is>
      </c>
      <c r="H250" s="3" t="n">
        <v>77.2</v>
      </c>
      <c r="I250" s="3" t="n">
        <v>3.42</v>
      </c>
    </row>
    <row r="251">
      <c r="A251" s="4" t="inlineStr">
        <is>
          <t>04D1826121466</t>
        </is>
      </c>
      <c r="B251" s="4" t="inlineStr">
        <is>
          <t>LT</t>
        </is>
      </c>
      <c r="C251" s="4" t="inlineStr">
        <is>
          <t>CRS0000675</t>
        </is>
      </c>
      <c r="D251" s="10" t="n">
        <v>46130</v>
      </c>
      <c r="E251" s="4" t="inlineStr">
        <is>
          <t>Fail</t>
        </is>
      </c>
      <c r="F251" s="9" t="inlineStr">
        <is>
          <t>YES</t>
        </is>
      </c>
      <c r="G251" s="4" t="inlineStr">
        <is>
          <t>Suction Tube Temp</t>
        </is>
      </c>
      <c r="H251" s="4" t="n">
        <v>172.3</v>
      </c>
      <c r="I251" s="4" t="n">
        <v>3.41</v>
      </c>
    </row>
    <row r="252">
      <c r="A252" s="3" t="inlineStr">
        <is>
          <t>04C1126120917</t>
        </is>
      </c>
      <c r="B252" s="3" t="inlineStr">
        <is>
          <t>LT</t>
        </is>
      </c>
      <c r="C252" s="3" t="inlineStr">
        <is>
          <t>CRS0000675</t>
        </is>
      </c>
      <c r="D252" s="8" t="n">
        <v>46093</v>
      </c>
      <c r="E252" s="3" t="inlineStr">
        <is>
          <t>Fail</t>
        </is>
      </c>
      <c r="F252" s="9" t="inlineStr">
        <is>
          <t>YES</t>
        </is>
      </c>
      <c r="G252" s="3" t="inlineStr">
        <is>
          <t>Startup Current</t>
        </is>
      </c>
      <c r="H252" s="3" t="n">
        <v>6.15</v>
      </c>
      <c r="I252" s="3" t="n">
        <v>3.4</v>
      </c>
    </row>
    <row r="253">
      <c r="A253" s="4" t="inlineStr">
        <is>
          <t>04C1726120990</t>
        </is>
      </c>
      <c r="B253" s="4" t="inlineStr">
        <is>
          <t>LT</t>
        </is>
      </c>
      <c r="C253" s="4" t="inlineStr">
        <is>
          <t>CRS0000675</t>
        </is>
      </c>
      <c r="D253" s="10" t="n">
        <v>46112</v>
      </c>
      <c r="E253" s="4" t="inlineStr">
        <is>
          <t>Fail</t>
        </is>
      </c>
      <c r="F253" s="9" t="inlineStr">
        <is>
          <t>YES</t>
        </is>
      </c>
      <c r="G253" s="4" t="inlineStr">
        <is>
          <t>Startup Current</t>
        </is>
      </c>
      <c r="H253" s="4" t="n">
        <v>6.15</v>
      </c>
      <c r="I253" s="4" t="n">
        <v>3.4</v>
      </c>
    </row>
    <row r="254">
      <c r="A254" s="3" t="inlineStr">
        <is>
          <t>04A2026120315</t>
        </is>
      </c>
      <c r="B254" s="3" t="inlineStr">
        <is>
          <t>MT</t>
        </is>
      </c>
      <c r="C254" s="3" t="inlineStr">
        <is>
          <t>CRS0000674</t>
        </is>
      </c>
      <c r="D254" s="8" t="n">
        <v>46060</v>
      </c>
      <c r="E254" s="3" t="inlineStr">
        <is>
          <t>Fail</t>
        </is>
      </c>
      <c r="F254" s="9" t="inlineStr">
        <is>
          <t>YES</t>
        </is>
      </c>
      <c r="G254" s="3" t="inlineStr">
        <is>
          <t>Evap Inlet Ret Bend A</t>
        </is>
      </c>
      <c r="H254" s="3" t="n">
        <v>71.2</v>
      </c>
      <c r="I254" s="3" t="n">
        <v>3.37</v>
      </c>
    </row>
    <row r="255">
      <c r="A255" s="4" t="inlineStr">
        <is>
          <t>04C2026121038</t>
        </is>
      </c>
      <c r="B255" s="4" t="inlineStr">
        <is>
          <t>MT</t>
        </is>
      </c>
      <c r="C255" s="4" t="inlineStr">
        <is>
          <t>CRS0000674</t>
        </is>
      </c>
      <c r="D255" s="10" t="n">
        <v>46102</v>
      </c>
      <c r="E255" s="4" t="inlineStr">
        <is>
          <t>Fail</t>
        </is>
      </c>
      <c r="F255" s="9" t="inlineStr">
        <is>
          <t>YES</t>
        </is>
      </c>
      <c r="G255" s="4" t="inlineStr">
        <is>
          <t>Evap Inlet Ret Bend A</t>
        </is>
      </c>
      <c r="H255" s="4" t="n">
        <v>71.2</v>
      </c>
      <c r="I255" s="4" t="n">
        <v>3.37</v>
      </c>
    </row>
    <row r="256">
      <c r="A256" s="3" t="inlineStr">
        <is>
          <t>04D1426121385</t>
        </is>
      </c>
      <c r="B256" s="3" t="inlineStr">
        <is>
          <t>MT</t>
        </is>
      </c>
      <c r="C256" s="3" t="inlineStr">
        <is>
          <t>CRS0000674</t>
        </is>
      </c>
      <c r="D256" s="8" t="n">
        <v>46127</v>
      </c>
      <c r="E256" s="3" t="inlineStr">
        <is>
          <t>Fail</t>
        </is>
      </c>
      <c r="F256" s="9" t="inlineStr">
        <is>
          <t>YES</t>
        </is>
      </c>
      <c r="G256" s="3" t="inlineStr">
        <is>
          <t>Evap Inlet Ret Bend A</t>
        </is>
      </c>
      <c r="H256" s="3" t="n">
        <v>71.2</v>
      </c>
      <c r="I256" s="3" t="n">
        <v>3.37</v>
      </c>
    </row>
    <row r="257">
      <c r="A257" s="4" t="inlineStr">
        <is>
          <t>04C1626120969</t>
        </is>
      </c>
      <c r="B257" s="4" t="inlineStr">
        <is>
          <t>MT</t>
        </is>
      </c>
      <c r="C257" s="4" t="inlineStr">
        <is>
          <t>CRS0000674</t>
        </is>
      </c>
      <c r="D257" s="10" t="n">
        <v>46097</v>
      </c>
      <c r="E257" s="4" t="inlineStr">
        <is>
          <t>Pass</t>
        </is>
      </c>
      <c r="F257" s="4" t="inlineStr">
        <is>
          <t>no</t>
        </is>
      </c>
      <c r="G257" s="4" t="inlineStr">
        <is>
          <t>Evap Outlet Air Temp</t>
        </is>
      </c>
      <c r="H257" s="4" t="n">
        <v>75.8</v>
      </c>
      <c r="I257" s="4" t="n">
        <v>3.37</v>
      </c>
    </row>
    <row r="258">
      <c r="A258" s="3" t="inlineStr">
        <is>
          <t>04C1626120971</t>
        </is>
      </c>
      <c r="B258" s="3" t="inlineStr">
        <is>
          <t>MT</t>
        </is>
      </c>
      <c r="C258" s="3" t="inlineStr">
        <is>
          <t>CRS0000674</t>
        </is>
      </c>
      <c r="D258" s="8" t="n">
        <v>46097</v>
      </c>
      <c r="E258" s="3" t="inlineStr">
        <is>
          <t>Pass</t>
        </is>
      </c>
      <c r="F258" s="3" t="inlineStr">
        <is>
          <t>no</t>
        </is>
      </c>
      <c r="G258" s="3" t="inlineStr">
        <is>
          <t>Evap Outlet Air Temp</t>
        </is>
      </c>
      <c r="H258" s="3" t="n">
        <v>75.8</v>
      </c>
      <c r="I258" s="3" t="n">
        <v>3.37</v>
      </c>
    </row>
    <row r="259">
      <c r="A259" s="4" t="inlineStr">
        <is>
          <t>04C2626121099</t>
        </is>
      </c>
      <c r="B259" s="4" t="inlineStr">
        <is>
          <t>LT</t>
        </is>
      </c>
      <c r="C259" s="4" t="inlineStr">
        <is>
          <t>CRS0000675</t>
        </is>
      </c>
      <c r="D259" s="10" t="n">
        <v>46107</v>
      </c>
      <c r="E259" s="4" t="inlineStr">
        <is>
          <t>Pass</t>
        </is>
      </c>
      <c r="F259" s="4" t="inlineStr">
        <is>
          <t>no</t>
        </is>
      </c>
      <c r="G259" s="4" t="inlineStr">
        <is>
          <t>Final Current</t>
        </is>
      </c>
      <c r="H259" s="4" t="n">
        <v>6.57</v>
      </c>
      <c r="I259" s="4" t="n">
        <v>3.36</v>
      </c>
    </row>
    <row r="260">
      <c r="A260" s="3" t="inlineStr">
        <is>
          <t>04D0726121269</t>
        </is>
      </c>
      <c r="B260" s="3" t="inlineStr">
        <is>
          <t>MT</t>
        </is>
      </c>
      <c r="C260" s="3" t="inlineStr">
        <is>
          <t>CRS0000674</t>
        </is>
      </c>
      <c r="D260" s="8" t="n">
        <v>46120</v>
      </c>
      <c r="E260" s="3" t="inlineStr">
        <is>
          <t>Fail</t>
        </is>
      </c>
      <c r="F260" s="9" t="inlineStr">
        <is>
          <t>YES</t>
        </is>
      </c>
      <c r="G260" s="3" t="inlineStr">
        <is>
          <t>Suction Tube Temp</t>
        </is>
      </c>
      <c r="H260" s="3" t="n">
        <v>95.90000000000001</v>
      </c>
      <c r="I260" s="3" t="n">
        <v>3.34</v>
      </c>
    </row>
    <row r="261">
      <c r="A261" s="4" t="inlineStr">
        <is>
          <t>04D1326121365</t>
        </is>
      </c>
      <c r="B261" s="4" t="inlineStr">
        <is>
          <t>MT</t>
        </is>
      </c>
      <c r="C261" s="4" t="inlineStr">
        <is>
          <t>CRS0000674</t>
        </is>
      </c>
      <c r="D261" s="10" t="n">
        <v>46134</v>
      </c>
      <c r="E261" s="4" t="inlineStr">
        <is>
          <t>Fail</t>
        </is>
      </c>
      <c r="F261" s="9" t="inlineStr">
        <is>
          <t>YES</t>
        </is>
      </c>
      <c r="G261" s="4" t="inlineStr">
        <is>
          <t>Suction Tube Temp</t>
        </is>
      </c>
      <c r="H261" s="4" t="n">
        <v>95.90000000000001</v>
      </c>
      <c r="I261" s="4" t="n">
        <v>3.34</v>
      </c>
    </row>
    <row r="262">
      <c r="A262" s="3" t="inlineStr">
        <is>
          <t>04B1226120597</t>
        </is>
      </c>
      <c r="B262" s="3" t="inlineStr">
        <is>
          <t>LT</t>
        </is>
      </c>
      <c r="C262" s="3" t="inlineStr">
        <is>
          <t>CRS0000675</t>
        </is>
      </c>
      <c r="D262" s="8" t="n">
        <v>46066</v>
      </c>
      <c r="E262" s="3" t="inlineStr">
        <is>
          <t>Pass</t>
        </is>
      </c>
      <c r="F262" s="3" t="inlineStr">
        <is>
          <t>no</t>
        </is>
      </c>
      <c r="G262" s="3" t="inlineStr">
        <is>
          <t>Suction Tube Temp</t>
        </is>
      </c>
      <c r="H262" s="3" t="n">
        <v>133.8</v>
      </c>
      <c r="I262" s="3" t="n">
        <v>3.31</v>
      </c>
    </row>
    <row r="263">
      <c r="A263" s="4" t="inlineStr">
        <is>
          <t>04C1126120913</t>
        </is>
      </c>
      <c r="B263" s="4" t="inlineStr">
        <is>
          <t>LT</t>
        </is>
      </c>
      <c r="C263" s="4" t="inlineStr">
        <is>
          <t>CRS0000675</t>
        </is>
      </c>
      <c r="D263" s="10" t="n">
        <v>46093</v>
      </c>
      <c r="E263" s="4" t="inlineStr">
        <is>
          <t>Fail</t>
        </is>
      </c>
      <c r="F263" s="9" t="inlineStr">
        <is>
          <t>YES</t>
        </is>
      </c>
      <c r="G263" s="4" t="inlineStr">
        <is>
          <t>Suction Tube Temp</t>
        </is>
      </c>
      <c r="H263" s="4" t="n">
        <v>133.8</v>
      </c>
      <c r="I263" s="4" t="n">
        <v>3.31</v>
      </c>
    </row>
    <row r="264">
      <c r="A264" s="3" t="inlineStr">
        <is>
          <t>04C1726120990</t>
        </is>
      </c>
      <c r="B264" s="3" t="inlineStr">
        <is>
          <t>LT</t>
        </is>
      </c>
      <c r="C264" s="3" t="inlineStr">
        <is>
          <t>CRS0000675</t>
        </is>
      </c>
      <c r="D264" s="8" t="n">
        <v>46112</v>
      </c>
      <c r="E264" s="3" t="inlineStr">
        <is>
          <t>Fail</t>
        </is>
      </c>
      <c r="F264" s="9" t="inlineStr">
        <is>
          <t>YES</t>
        </is>
      </c>
      <c r="G264" s="3" t="inlineStr">
        <is>
          <t>Final Current</t>
        </is>
      </c>
      <c r="H264" s="3" t="n">
        <v>6.59</v>
      </c>
      <c r="I264" s="3" t="n">
        <v>3.31</v>
      </c>
    </row>
    <row r="265">
      <c r="A265" s="4" t="inlineStr">
        <is>
          <t>04M2225120168</t>
        </is>
      </c>
      <c r="B265" s="4" t="inlineStr">
        <is>
          <t>LT</t>
        </is>
      </c>
      <c r="C265" s="4" t="inlineStr">
        <is>
          <t>CRS0000675</t>
        </is>
      </c>
      <c r="D265" s="10" t="n">
        <v>46036</v>
      </c>
      <c r="E265" s="4" t="inlineStr">
        <is>
          <t>Fail</t>
        </is>
      </c>
      <c r="F265" s="9" t="inlineStr">
        <is>
          <t>YES</t>
        </is>
      </c>
      <c r="G265" s="4" t="inlineStr">
        <is>
          <t>Evap Inlet Ret Bend A</t>
        </is>
      </c>
      <c r="H265" s="4" t="n">
        <v>79.8</v>
      </c>
      <c r="I265" s="4" t="n">
        <v>3.3</v>
      </c>
    </row>
    <row r="266">
      <c r="A266" s="3" t="inlineStr">
        <is>
          <t>04C1126120917</t>
        </is>
      </c>
      <c r="B266" s="3" t="inlineStr">
        <is>
          <t>LT</t>
        </is>
      </c>
      <c r="C266" s="3" t="inlineStr">
        <is>
          <t>CRS0000675</t>
        </is>
      </c>
      <c r="D266" s="8" t="n">
        <v>46093</v>
      </c>
      <c r="E266" s="3" t="inlineStr">
        <is>
          <t>Fail</t>
        </is>
      </c>
      <c r="F266" s="9" t="inlineStr">
        <is>
          <t>YES</t>
        </is>
      </c>
      <c r="G266" s="3" t="inlineStr">
        <is>
          <t>Evap Inlet Ret Bend A</t>
        </is>
      </c>
      <c r="H266" s="3" t="n">
        <v>79.8</v>
      </c>
      <c r="I266" s="3" t="n">
        <v>3.3</v>
      </c>
    </row>
    <row r="267">
      <c r="A267" s="4" t="inlineStr">
        <is>
          <t>04D0826121285</t>
        </is>
      </c>
      <c r="B267" s="4" t="inlineStr">
        <is>
          <t>LT</t>
        </is>
      </c>
      <c r="C267" s="4" t="inlineStr">
        <is>
          <t>CRS0000675</t>
        </is>
      </c>
      <c r="D267" s="10" t="n">
        <v>46121</v>
      </c>
      <c r="E267" s="4" t="inlineStr">
        <is>
          <t>Fail</t>
        </is>
      </c>
      <c r="F267" s="9" t="inlineStr">
        <is>
          <t>YES</t>
        </is>
      </c>
      <c r="G267" s="4" t="inlineStr">
        <is>
          <t>Evap Inlet Ret Bend A</t>
        </is>
      </c>
      <c r="H267" s="4" t="n">
        <v>79.8</v>
      </c>
      <c r="I267" s="4" t="n">
        <v>3.3</v>
      </c>
    </row>
    <row r="268">
      <c r="A268" s="3" t="inlineStr">
        <is>
          <t>04D1126121342</t>
        </is>
      </c>
      <c r="B268" s="3" t="inlineStr">
        <is>
          <t>LT</t>
        </is>
      </c>
      <c r="C268" s="3" t="inlineStr">
        <is>
          <t>CRS0000675</t>
        </is>
      </c>
      <c r="D268" s="8" t="n">
        <v>46129</v>
      </c>
      <c r="E268" s="3" t="inlineStr">
        <is>
          <t>Pass</t>
        </is>
      </c>
      <c r="F268" s="3" t="inlineStr">
        <is>
          <t>no</t>
        </is>
      </c>
      <c r="G268" s="3" t="inlineStr">
        <is>
          <t>Evap Outlet Air Temp</t>
        </is>
      </c>
      <c r="H268" s="3" t="n">
        <v>76.7</v>
      </c>
      <c r="I268" s="3" t="n">
        <v>3.28</v>
      </c>
    </row>
    <row r="269">
      <c r="A269" s="4" t="inlineStr">
        <is>
          <t>04B2826120713</t>
        </is>
      </c>
      <c r="B269" s="4" t="inlineStr">
        <is>
          <t>LT</t>
        </is>
      </c>
      <c r="C269" s="4" t="inlineStr">
        <is>
          <t>CRS0000675</t>
        </is>
      </c>
      <c r="D269" s="10" t="n">
        <v>46081</v>
      </c>
      <c r="E269" s="4" t="inlineStr">
        <is>
          <t>Pass</t>
        </is>
      </c>
      <c r="F269" s="4" t="inlineStr">
        <is>
          <t>no</t>
        </is>
      </c>
      <c r="G269" s="4" t="inlineStr">
        <is>
          <t>Inlet/Outlet Delta</t>
        </is>
      </c>
      <c r="H269" s="4" t="n">
        <v>6.4</v>
      </c>
      <c r="I269" s="4" t="n">
        <v>3.27</v>
      </c>
    </row>
    <row r="270">
      <c r="A270" s="3" t="inlineStr">
        <is>
          <t>04C1726120989</t>
        </is>
      </c>
      <c r="B270" s="3" t="inlineStr">
        <is>
          <t>LT</t>
        </is>
      </c>
      <c r="C270" s="3" t="inlineStr">
        <is>
          <t>CRS0000675</t>
        </is>
      </c>
      <c r="D270" s="8" t="n">
        <v>46099</v>
      </c>
      <c r="E270" s="3" t="inlineStr">
        <is>
          <t>Fail</t>
        </is>
      </c>
      <c r="F270" s="9" t="inlineStr">
        <is>
          <t>YES</t>
        </is>
      </c>
      <c r="G270" s="3" t="inlineStr">
        <is>
          <t>Inlet/Outlet Delta</t>
        </is>
      </c>
      <c r="H270" s="3" t="n">
        <v>6.4</v>
      </c>
      <c r="I270" s="3" t="n">
        <v>3.27</v>
      </c>
    </row>
    <row r="271">
      <c r="A271" s="4" t="inlineStr">
        <is>
          <t>04A2026120315</t>
        </is>
      </c>
      <c r="B271" s="4" t="inlineStr">
        <is>
          <t>MT</t>
        </is>
      </c>
      <c r="C271" s="4" t="inlineStr">
        <is>
          <t>CRS0000674</t>
        </is>
      </c>
      <c r="D271" s="10" t="n">
        <v>46043</v>
      </c>
      <c r="E271" s="4" t="inlineStr">
        <is>
          <t>Pass</t>
        </is>
      </c>
      <c r="F271" s="4" t="inlineStr">
        <is>
          <t>no</t>
        </is>
      </c>
      <c r="G271" s="4" t="inlineStr">
        <is>
          <t>Suction Tube Temp</t>
        </is>
      </c>
      <c r="H271" s="4" t="n">
        <v>96.3</v>
      </c>
      <c r="I271" s="4" t="n">
        <v>3.26</v>
      </c>
    </row>
    <row r="272">
      <c r="A272" s="3" t="inlineStr">
        <is>
          <t>04B2726120705</t>
        </is>
      </c>
      <c r="B272" s="3" t="inlineStr">
        <is>
          <t>MT</t>
        </is>
      </c>
      <c r="C272" s="3" t="inlineStr">
        <is>
          <t>CRS0000674</t>
        </is>
      </c>
      <c r="D272" s="8" t="n">
        <v>46081</v>
      </c>
      <c r="E272" s="3" t="inlineStr">
        <is>
          <t>Pass</t>
        </is>
      </c>
      <c r="F272" s="3" t="inlineStr">
        <is>
          <t>no</t>
        </is>
      </c>
      <c r="G272" s="3" t="inlineStr">
        <is>
          <t>Inlet/Outlet Delta</t>
        </is>
      </c>
      <c r="H272" s="3" t="n">
        <v>6</v>
      </c>
      <c r="I272" s="3" t="n">
        <v>3.25</v>
      </c>
    </row>
    <row r="273">
      <c r="A273" s="4" t="inlineStr">
        <is>
          <t>04D0626121259</t>
        </is>
      </c>
      <c r="B273" s="4" t="inlineStr">
        <is>
          <t>MT</t>
        </is>
      </c>
      <c r="C273" s="4" t="inlineStr">
        <is>
          <t>CRS0000674</t>
        </is>
      </c>
      <c r="D273" s="10" t="n">
        <v>46119</v>
      </c>
      <c r="E273" s="4" t="inlineStr">
        <is>
          <t>Fail</t>
        </is>
      </c>
      <c r="F273" s="9" t="inlineStr">
        <is>
          <t>YES</t>
        </is>
      </c>
      <c r="G273" s="4" t="inlineStr">
        <is>
          <t>Evap Inlet Ret Bend A</t>
        </is>
      </c>
      <c r="H273" s="4" t="n">
        <v>71.59999999999999</v>
      </c>
      <c r="I273" s="4" t="n">
        <v>3.23</v>
      </c>
    </row>
    <row r="274">
      <c r="A274" s="3" t="inlineStr">
        <is>
          <t>04C1726120989</t>
        </is>
      </c>
      <c r="B274" s="3" t="inlineStr">
        <is>
          <t>LT</t>
        </is>
      </c>
      <c r="C274" s="3" t="inlineStr">
        <is>
          <t>CRS0000675</t>
        </is>
      </c>
      <c r="D274" s="8" t="n">
        <v>46099</v>
      </c>
      <c r="E274" s="3" t="inlineStr">
        <is>
          <t>Fail</t>
        </is>
      </c>
      <c r="F274" s="9" t="inlineStr">
        <is>
          <t>YES</t>
        </is>
      </c>
      <c r="G274" s="3" t="inlineStr">
        <is>
          <t>Evap Inlet Ret Bend A</t>
        </is>
      </c>
      <c r="H274" s="3" t="n">
        <v>80.2</v>
      </c>
      <c r="I274" s="3" t="n">
        <v>3.22</v>
      </c>
    </row>
    <row r="275">
      <c r="A275" s="4" t="inlineStr">
        <is>
          <t>04C2426121075</t>
        </is>
      </c>
      <c r="B275" s="4" t="inlineStr">
        <is>
          <t>LT</t>
        </is>
      </c>
      <c r="C275" s="4" t="inlineStr">
        <is>
          <t>CRS0000675</t>
        </is>
      </c>
      <c r="D275" s="10" t="n">
        <v>46136</v>
      </c>
      <c r="E275" s="4" t="inlineStr">
        <is>
          <t>Fail</t>
        </is>
      </c>
      <c r="F275" s="9" t="inlineStr">
        <is>
          <t>YES</t>
        </is>
      </c>
      <c r="G275" s="4" t="inlineStr">
        <is>
          <t>Evap Inlet Ret Bend A</t>
        </is>
      </c>
      <c r="H275" s="4" t="n">
        <v>80.2</v>
      </c>
      <c r="I275" s="4" t="n">
        <v>3.22</v>
      </c>
    </row>
    <row r="276">
      <c r="A276" s="3" t="inlineStr">
        <is>
          <t>04B2826120722</t>
        </is>
      </c>
      <c r="B276" s="3" t="inlineStr">
        <is>
          <t>LT</t>
        </is>
      </c>
      <c r="C276" s="3" t="inlineStr">
        <is>
          <t>CRS0000675</t>
        </is>
      </c>
      <c r="D276" s="8" t="n">
        <v>46082</v>
      </c>
      <c r="E276" s="3" t="inlineStr">
        <is>
          <t>Pass</t>
        </is>
      </c>
      <c r="F276" s="3" t="inlineStr">
        <is>
          <t>no</t>
        </is>
      </c>
      <c r="G276" s="3" t="inlineStr">
        <is>
          <t>Inlet/Outlet Delta</t>
        </is>
      </c>
      <c r="H276" s="3" t="n">
        <v>6.3</v>
      </c>
      <c r="I276" s="3" t="n">
        <v>3.19</v>
      </c>
    </row>
    <row r="277">
      <c r="A277" s="4" t="inlineStr">
        <is>
          <t>04D1126121338</t>
        </is>
      </c>
      <c r="B277" s="4" t="inlineStr">
        <is>
          <t>LT</t>
        </is>
      </c>
      <c r="C277" s="4" t="inlineStr">
        <is>
          <t>CRS0000675</t>
        </is>
      </c>
      <c r="D277" s="10" t="n">
        <v>46135</v>
      </c>
      <c r="E277" s="4" t="inlineStr">
        <is>
          <t>Pass</t>
        </is>
      </c>
      <c r="F277" s="4" t="inlineStr">
        <is>
          <t>no</t>
        </is>
      </c>
      <c r="G277" s="4" t="inlineStr">
        <is>
          <t>Final Current</t>
        </is>
      </c>
      <c r="H277" s="4" t="n">
        <v>6.64</v>
      </c>
      <c r="I277" s="4" t="n">
        <v>3.19</v>
      </c>
    </row>
    <row r="278">
      <c r="A278" s="3" t="inlineStr">
        <is>
          <t>04D1626121408</t>
        </is>
      </c>
      <c r="B278" s="3" t="inlineStr">
        <is>
          <t>MT</t>
        </is>
      </c>
      <c r="C278" s="3" t="inlineStr">
        <is>
          <t>CRS0000674</t>
        </is>
      </c>
      <c r="D278" s="8" t="n">
        <v>46128</v>
      </c>
      <c r="E278" s="3" t="inlineStr">
        <is>
          <t>Pass</t>
        </is>
      </c>
      <c r="F278" s="3" t="inlineStr">
        <is>
          <t>no</t>
        </is>
      </c>
      <c r="G278" s="3" t="inlineStr">
        <is>
          <t>Startup Current</t>
        </is>
      </c>
      <c r="H278" s="3" t="n">
        <v>4.3</v>
      </c>
      <c r="I278" s="3" t="n">
        <v>3.18</v>
      </c>
    </row>
    <row r="279">
      <c r="A279" s="4" t="inlineStr">
        <is>
          <t>04A2026120315</t>
        </is>
      </c>
      <c r="B279" s="4" t="inlineStr">
        <is>
          <t>MT</t>
        </is>
      </c>
      <c r="C279" s="4" t="inlineStr">
        <is>
          <t>CRS0000674</t>
        </is>
      </c>
      <c r="D279" s="10" t="n">
        <v>46062</v>
      </c>
      <c r="E279" s="4" t="inlineStr">
        <is>
          <t>Fail</t>
        </is>
      </c>
      <c r="F279" s="9" t="inlineStr">
        <is>
          <t>YES</t>
        </is>
      </c>
      <c r="G279" s="4" t="inlineStr">
        <is>
          <t>Evap Outlet Air Temp</t>
        </is>
      </c>
      <c r="H279" s="4" t="n">
        <v>63.3</v>
      </c>
      <c r="I279" s="4" t="n">
        <v>3.16</v>
      </c>
    </row>
    <row r="280">
      <c r="A280" s="3" t="inlineStr">
        <is>
          <t>04A2026120315</t>
        </is>
      </c>
      <c r="B280" s="3" t="inlineStr">
        <is>
          <t>MT</t>
        </is>
      </c>
      <c r="C280" s="3" t="inlineStr">
        <is>
          <t>CRS0000674</t>
        </is>
      </c>
      <c r="D280" s="8" t="n">
        <v>46062</v>
      </c>
      <c r="E280" s="3" t="inlineStr">
        <is>
          <t>Fail</t>
        </is>
      </c>
      <c r="F280" s="9" t="inlineStr">
        <is>
          <t>YES</t>
        </is>
      </c>
      <c r="G280" s="3" t="inlineStr">
        <is>
          <t>Evap Outlet Air Temp</t>
        </is>
      </c>
      <c r="H280" s="3" t="n">
        <v>63.3</v>
      </c>
      <c r="I280" s="3" t="n">
        <v>3.16</v>
      </c>
    </row>
    <row r="281">
      <c r="A281" s="4" t="inlineStr">
        <is>
          <t>04C1226120935</t>
        </is>
      </c>
      <c r="B281" s="4" t="inlineStr">
        <is>
          <t>MT</t>
        </is>
      </c>
      <c r="C281" s="4" t="inlineStr">
        <is>
          <t>CRS0000674</t>
        </is>
      </c>
      <c r="D281" s="10" t="n">
        <v>46094</v>
      </c>
      <c r="E281" s="4" t="inlineStr">
        <is>
          <t>Fail</t>
        </is>
      </c>
      <c r="F281" s="9" t="inlineStr">
        <is>
          <t>YES</t>
        </is>
      </c>
      <c r="G281" s="4" t="inlineStr">
        <is>
          <t>Evap Outlet Air Temp</t>
        </is>
      </c>
      <c r="H281" s="4" t="n">
        <v>63.3</v>
      </c>
      <c r="I281" s="4" t="n">
        <v>3.16</v>
      </c>
    </row>
    <row r="282">
      <c r="A282" s="3" t="inlineStr">
        <is>
          <t>04A2926120429</t>
        </is>
      </c>
      <c r="B282" s="3" t="inlineStr">
        <is>
          <t>LT</t>
        </is>
      </c>
      <c r="C282" s="3" t="inlineStr">
        <is>
          <t>CRS0000675</t>
        </is>
      </c>
      <c r="D282" s="8" t="n">
        <v>46064</v>
      </c>
      <c r="E282" s="3" t="inlineStr">
        <is>
          <t>Fail</t>
        </is>
      </c>
      <c r="F282" s="9" t="inlineStr">
        <is>
          <t>YES</t>
        </is>
      </c>
      <c r="G282" s="3" t="inlineStr">
        <is>
          <t>Final Current</t>
        </is>
      </c>
      <c r="H282" s="3" t="n">
        <v>9.18</v>
      </c>
      <c r="I282" s="3" t="n">
        <v>3.16</v>
      </c>
    </row>
    <row r="283">
      <c r="A283" s="4" t="inlineStr">
        <is>
          <t>04D0926121293</t>
        </is>
      </c>
      <c r="B283" s="4" t="inlineStr">
        <is>
          <t>LT</t>
        </is>
      </c>
      <c r="C283" s="4" t="inlineStr">
        <is>
          <t>CRS0000675</t>
        </is>
      </c>
      <c r="D283" s="10" t="n">
        <v>46129</v>
      </c>
      <c r="E283" s="4" t="inlineStr">
        <is>
          <t>Fail</t>
        </is>
      </c>
      <c r="F283" s="9" t="inlineStr">
        <is>
          <t>YES</t>
        </is>
      </c>
      <c r="G283" s="4" t="inlineStr">
        <is>
          <t>Suction Tube Temp</t>
        </is>
      </c>
      <c r="H283" s="4" t="n">
        <v>134.7</v>
      </c>
      <c r="I283" s="4" t="n">
        <v>3.15</v>
      </c>
    </row>
    <row r="284">
      <c r="A284" s="3" t="inlineStr">
        <is>
          <t>04B2826120725</t>
        </is>
      </c>
      <c r="B284" s="3" t="inlineStr">
        <is>
          <t>LT</t>
        </is>
      </c>
      <c r="C284" s="3" t="inlineStr">
        <is>
          <t>CRS0000675</t>
        </is>
      </c>
      <c r="D284" s="8" t="n">
        <v>46082</v>
      </c>
      <c r="E284" s="3" t="inlineStr">
        <is>
          <t>Pass</t>
        </is>
      </c>
      <c r="F284" s="3" t="inlineStr">
        <is>
          <t>no</t>
        </is>
      </c>
      <c r="G284" s="3" t="inlineStr">
        <is>
          <t>Inlet/Outlet Delta</t>
        </is>
      </c>
      <c r="H284" s="3" t="n">
        <v>6.2</v>
      </c>
      <c r="I284" s="3" t="n">
        <v>3.12</v>
      </c>
    </row>
    <row r="285">
      <c r="A285" s="4" t="inlineStr">
        <is>
          <t>04D0926121293</t>
        </is>
      </c>
      <c r="B285" s="4" t="inlineStr">
        <is>
          <t>LT</t>
        </is>
      </c>
      <c r="C285" s="4" t="inlineStr">
        <is>
          <t>CRS0000675</t>
        </is>
      </c>
      <c r="D285" s="10" t="n">
        <v>46129</v>
      </c>
      <c r="E285" s="4" t="inlineStr">
        <is>
          <t>Fail</t>
        </is>
      </c>
      <c r="F285" s="9" t="inlineStr">
        <is>
          <t>YES</t>
        </is>
      </c>
      <c r="G285" s="4" t="inlineStr">
        <is>
          <t>Final Current</t>
        </is>
      </c>
      <c r="H285" s="4" t="n">
        <v>6.67</v>
      </c>
      <c r="I285" s="4" t="n">
        <v>3.11</v>
      </c>
    </row>
    <row r="286">
      <c r="A286" s="3" t="inlineStr">
        <is>
          <t>04D1326121345</t>
        </is>
      </c>
      <c r="B286" s="3" t="inlineStr">
        <is>
          <t>LT</t>
        </is>
      </c>
      <c r="C286" s="3" t="inlineStr">
        <is>
          <t>CRS0000675</t>
        </is>
      </c>
      <c r="D286" s="8" t="n">
        <v>46135</v>
      </c>
      <c r="E286" s="3" t="inlineStr">
        <is>
          <t>Pass</t>
        </is>
      </c>
      <c r="F286" s="3" t="inlineStr">
        <is>
          <t>no</t>
        </is>
      </c>
      <c r="G286" s="3" t="inlineStr">
        <is>
          <t>Final Current</t>
        </is>
      </c>
      <c r="H286" s="3" t="n">
        <v>6.67</v>
      </c>
      <c r="I286" s="3" t="n">
        <v>3.11</v>
      </c>
    </row>
    <row r="287">
      <c r="A287" s="4" t="inlineStr">
        <is>
          <t>04C1326120945</t>
        </is>
      </c>
      <c r="B287" s="4" t="inlineStr">
        <is>
          <t>MT</t>
        </is>
      </c>
      <c r="C287" s="4" t="inlineStr">
        <is>
          <t>CRS0000674</t>
        </is>
      </c>
      <c r="D287" s="10" t="n">
        <v>46095</v>
      </c>
      <c r="E287" s="4" t="inlineStr">
        <is>
          <t>Fail</t>
        </is>
      </c>
      <c r="F287" s="9" t="inlineStr">
        <is>
          <t>YES</t>
        </is>
      </c>
      <c r="G287" s="4" t="inlineStr">
        <is>
          <t>Suction Tube Temp</t>
        </is>
      </c>
      <c r="H287" s="4" t="n">
        <v>128</v>
      </c>
      <c r="I287" s="4" t="n">
        <v>3.1</v>
      </c>
    </row>
    <row r="288">
      <c r="A288" s="3" t="inlineStr">
        <is>
          <t>04B2626120698</t>
        </is>
      </c>
      <c r="B288" s="3" t="inlineStr">
        <is>
          <t>MT</t>
        </is>
      </c>
      <c r="C288" s="3" t="inlineStr">
        <is>
          <t>CRS0000674</t>
        </is>
      </c>
      <c r="D288" s="8" t="n">
        <v>46080</v>
      </c>
      <c r="E288" s="3" t="inlineStr">
        <is>
          <t>Pass</t>
        </is>
      </c>
      <c r="F288" s="3" t="inlineStr">
        <is>
          <t>no</t>
        </is>
      </c>
      <c r="G288" s="3" t="inlineStr">
        <is>
          <t>Inlet/Outlet Delta</t>
        </is>
      </c>
      <c r="H288" s="3" t="n">
        <v>5.8</v>
      </c>
      <c r="I288" s="3" t="n">
        <v>3.1</v>
      </c>
    </row>
    <row r="289">
      <c r="A289" s="4" t="inlineStr">
        <is>
          <t>04C2326121067</t>
        </is>
      </c>
      <c r="B289" s="4" t="inlineStr">
        <is>
          <t>MT</t>
        </is>
      </c>
      <c r="C289" s="4" t="inlineStr">
        <is>
          <t>CRS0000674</t>
        </is>
      </c>
      <c r="D289" s="10" t="n">
        <v>46105</v>
      </c>
      <c r="E289" s="4" t="inlineStr">
        <is>
          <t>Pass</t>
        </is>
      </c>
      <c r="F289" s="4" t="inlineStr">
        <is>
          <t>no</t>
        </is>
      </c>
      <c r="G289" s="4" t="inlineStr">
        <is>
          <t>Suction Tube Temp</t>
        </is>
      </c>
      <c r="H289" s="4" t="n">
        <v>97.2</v>
      </c>
      <c r="I289" s="4" t="n">
        <v>3.08</v>
      </c>
    </row>
    <row r="290">
      <c r="A290" s="3" t="inlineStr">
        <is>
          <t>04D0926121293</t>
        </is>
      </c>
      <c r="B290" s="3" t="inlineStr">
        <is>
          <t>LT</t>
        </is>
      </c>
      <c r="C290" s="3" t="inlineStr">
        <is>
          <t>CRS0000675</t>
        </is>
      </c>
      <c r="D290" s="8" t="n">
        <v>46129</v>
      </c>
      <c r="E290" s="3" t="inlineStr">
        <is>
          <t>Fail</t>
        </is>
      </c>
      <c r="F290" s="9" t="inlineStr">
        <is>
          <t>YES</t>
        </is>
      </c>
      <c r="G290" s="3" t="inlineStr">
        <is>
          <t>Suction Tube Temp</t>
        </is>
      </c>
      <c r="H290" s="3" t="n">
        <v>135.2</v>
      </c>
      <c r="I290" s="3" t="n">
        <v>3.06</v>
      </c>
    </row>
    <row r="291">
      <c r="A291" s="4" t="inlineStr">
        <is>
          <t>04D1126121338</t>
        </is>
      </c>
      <c r="B291" s="4" t="inlineStr">
        <is>
          <t>LT</t>
        </is>
      </c>
      <c r="C291" s="4" t="inlineStr">
        <is>
          <t>CRS0000675</t>
        </is>
      </c>
      <c r="D291" s="10" t="n">
        <v>46135</v>
      </c>
      <c r="E291" s="4" t="inlineStr">
        <is>
          <t>Fail</t>
        </is>
      </c>
      <c r="F291" s="9" t="inlineStr">
        <is>
          <t>YES</t>
        </is>
      </c>
      <c r="G291" s="4" t="inlineStr">
        <is>
          <t>Final Current</t>
        </is>
      </c>
      <c r="H291" s="4" t="n">
        <v>6.69</v>
      </c>
      <c r="I291" s="4" t="n">
        <v>3.06</v>
      </c>
    </row>
    <row r="292">
      <c r="A292" s="3" t="inlineStr">
        <is>
          <t>04C2626121099</t>
        </is>
      </c>
      <c r="B292" s="3" t="inlineStr">
        <is>
          <t>LT</t>
        </is>
      </c>
      <c r="C292" s="3" t="inlineStr">
        <is>
          <t>CRS0000675</t>
        </is>
      </c>
      <c r="D292" s="8" t="n">
        <v>46107</v>
      </c>
      <c r="E292" s="3" t="inlineStr">
        <is>
          <t>Pass</t>
        </is>
      </c>
      <c r="F292" s="3" t="inlineStr">
        <is>
          <t>no</t>
        </is>
      </c>
      <c r="G292" s="3" t="inlineStr">
        <is>
          <t>Startup Current</t>
        </is>
      </c>
      <c r="H292" s="3" t="n">
        <v>6.35</v>
      </c>
      <c r="I292" s="3" t="n">
        <v>3.04</v>
      </c>
    </row>
    <row r="293">
      <c r="A293" s="4" t="inlineStr">
        <is>
          <t>04C3126121160</t>
        </is>
      </c>
      <c r="B293" s="4" t="inlineStr">
        <is>
          <t>MT</t>
        </is>
      </c>
      <c r="C293" s="4" t="inlineStr">
        <is>
          <t>CRS0000674</t>
        </is>
      </c>
      <c r="D293" s="10" t="n">
        <v>46112</v>
      </c>
      <c r="E293" s="4" t="inlineStr">
        <is>
          <t>Pass</t>
        </is>
      </c>
      <c r="F293" s="4" t="inlineStr">
        <is>
          <t>no</t>
        </is>
      </c>
      <c r="G293" s="4" t="inlineStr">
        <is>
          <t>Suction Tube Temp</t>
        </is>
      </c>
      <c r="H293" s="4" t="n">
        <v>127.6</v>
      </c>
      <c r="I293" s="4" t="n">
        <v>3.02</v>
      </c>
    </row>
    <row r="294">
      <c r="A294" s="3" t="inlineStr">
        <is>
          <t>04C2026121031</t>
        </is>
      </c>
      <c r="B294" s="3" t="inlineStr">
        <is>
          <t>MT</t>
        </is>
      </c>
      <c r="C294" s="3" t="inlineStr">
        <is>
          <t>CRS0000674</t>
        </is>
      </c>
      <c r="D294" s="8" t="n">
        <v>46101</v>
      </c>
      <c r="E294" s="3" t="inlineStr">
        <is>
          <t>Fail</t>
        </is>
      </c>
      <c r="F294" s="9" t="inlineStr">
        <is>
          <t>YES</t>
        </is>
      </c>
      <c r="G294" s="3" t="inlineStr">
        <is>
          <t>Ambient Temp</t>
        </is>
      </c>
      <c r="H294" s="3" t="n">
        <v>76.3</v>
      </c>
      <c r="I294" s="3" t="n">
        <v>3.01</v>
      </c>
    </row>
    <row r="295">
      <c r="A295" s="4" t="inlineStr">
        <is>
          <t>04C2526121094</t>
        </is>
      </c>
      <c r="B295" s="4" t="inlineStr">
        <is>
          <t>LT</t>
        </is>
      </c>
      <c r="C295" s="4" t="inlineStr">
        <is>
          <t>CRS0000675</t>
        </is>
      </c>
      <c r="D295" s="10" t="n">
        <v>46136</v>
      </c>
      <c r="E295" s="4" t="inlineStr">
        <is>
          <t>Fail</t>
        </is>
      </c>
      <c r="F295" s="9" t="inlineStr">
        <is>
          <t>YES</t>
        </is>
      </c>
      <c r="G295" s="4" t="inlineStr">
        <is>
          <t>Final Current</t>
        </is>
      </c>
      <c r="H295" s="4" t="n">
        <v>6.71</v>
      </c>
      <c r="I295" s="4" t="n">
        <v>3.01</v>
      </c>
    </row>
    <row r="296">
      <c r="A296" s="3" t="inlineStr">
        <is>
          <t>04D1626121408</t>
        </is>
      </c>
      <c r="B296" s="3" t="inlineStr">
        <is>
          <t>MT</t>
        </is>
      </c>
      <c r="C296" s="3" t="inlineStr">
        <is>
          <t>CRS0000674</t>
        </is>
      </c>
      <c r="D296" s="8" t="n">
        <v>46128</v>
      </c>
      <c r="E296" s="3" t="inlineStr">
        <is>
          <t>Pass</t>
        </is>
      </c>
      <c r="F296" s="3" t="inlineStr">
        <is>
          <t>no</t>
        </is>
      </c>
      <c r="G296" s="3" t="inlineStr">
        <is>
          <t>Final Current</t>
        </is>
      </c>
      <c r="H296" s="3" t="n">
        <v>4.32</v>
      </c>
      <c r="I296" s="3" t="n">
        <v>3.01</v>
      </c>
    </row>
    <row r="297">
      <c r="A297" s="4" t="inlineStr">
        <is>
          <t>04B0326120505</t>
        </is>
      </c>
      <c r="B297" s="4" t="inlineStr">
        <is>
          <t>LT</t>
        </is>
      </c>
      <c r="C297" s="4" t="inlineStr">
        <is>
          <t>CRS0000675</t>
        </is>
      </c>
      <c r="D297" s="10" t="n">
        <v>46056</v>
      </c>
      <c r="E297" s="4" t="inlineStr">
        <is>
          <t>Fail</t>
        </is>
      </c>
      <c r="F297" s="9" t="inlineStr">
        <is>
          <t>YES</t>
        </is>
      </c>
      <c r="G297" s="4" t="inlineStr">
        <is>
          <t>Startup Current</t>
        </is>
      </c>
      <c r="H297" s="4" t="n">
        <v>6.37</v>
      </c>
      <c r="I297" s="4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2026-05-05T02:33:10Z</dcterms:created>
  <dcterms:modified xmlns:dcterms="http://purl.org/dc/terms/" xmlns:xsi="http://www.w3.org/2001/XMLSchema-instance" xsi:type="dcterms:W3CDTF">2026-05-05T02:33:10Z</dcterms:modified>
</cp:coreProperties>
</file>